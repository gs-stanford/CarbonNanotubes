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5440\Desktop\"/>
    </mc:Choice>
  </mc:AlternateContent>
  <xr:revisionPtr revIDLastSave="0" documentId="13_ncr:1_{00155D73-D330-4393-AD7D-B3A111A36437}" xr6:coauthVersionLast="45" xr6:coauthVersionMax="46" xr10:uidLastSave="{00000000-0000-0000-0000-000000000000}"/>
  <bookViews>
    <workbookView xWindow="-60" yWindow="-60" windowWidth="20610" windowHeight="11640" xr2:uid="{00000000-000D-0000-FFFF-FFFF00000000}"/>
  </bookViews>
  <sheets>
    <sheet name="Main" sheetId="1" r:id="rId1"/>
    <sheet name="Correlation Tables" sheetId="3" r:id="rId2"/>
    <sheet name="RvsT" sheetId="5" r:id="rId3"/>
  </sheets>
  <definedNames>
    <definedName name="_xlnm._FilterDatabase" localSheetId="0" hidden="1">Main!$A$1:$CK$1178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N628" i="1" l="1"/>
  <c r="CN629" i="1"/>
  <c r="CN627" i="1"/>
  <c r="CI1122" i="1"/>
  <c r="CI1245" i="1"/>
  <c r="CJ1245" i="1" s="1"/>
  <c r="CI1246" i="1"/>
  <c r="CJ1246" i="1" s="1"/>
  <c r="CI1247" i="1"/>
  <c r="CJ1247" i="1"/>
  <c r="CI1248" i="1"/>
  <c r="CJ1248" i="1"/>
  <c r="CI1249" i="1"/>
  <c r="CJ1249" i="1" s="1"/>
  <c r="CI1250" i="1"/>
  <c r="CJ1250" i="1" s="1"/>
  <c r="CI1251" i="1"/>
  <c r="CJ1251" i="1"/>
  <c r="CI1252" i="1"/>
  <c r="CJ1252" i="1"/>
  <c r="CI1253" i="1"/>
  <c r="CJ1253" i="1" s="1"/>
  <c r="CI1254" i="1"/>
  <c r="CJ1254" i="1" s="1"/>
  <c r="CI1255" i="1"/>
  <c r="CJ1255" i="1"/>
  <c r="CI1256" i="1"/>
  <c r="CJ1256" i="1"/>
  <c r="CI1257" i="1"/>
  <c r="CJ1257" i="1" s="1"/>
  <c r="CI1258" i="1"/>
  <c r="CJ1258" i="1" s="1"/>
  <c r="CI1259" i="1"/>
  <c r="CJ1259" i="1"/>
  <c r="CI1260" i="1"/>
  <c r="CJ1260" i="1"/>
  <c r="CI1261" i="1"/>
  <c r="CJ1261" i="1" s="1"/>
  <c r="CI1262" i="1"/>
  <c r="CJ1262" i="1" s="1"/>
  <c r="CI1263" i="1"/>
  <c r="CJ1263" i="1"/>
  <c r="CI1264" i="1"/>
  <c r="CJ1264" i="1"/>
  <c r="CI1265" i="1"/>
  <c r="CJ1265" i="1" s="1"/>
  <c r="CI1266" i="1"/>
  <c r="CJ1266" i="1" s="1"/>
  <c r="CI1267" i="1"/>
  <c r="CJ1267" i="1"/>
  <c r="CI1268" i="1"/>
  <c r="CJ1268" i="1"/>
  <c r="CI1269" i="1"/>
  <c r="CJ1269" i="1" s="1"/>
  <c r="CI1270" i="1"/>
  <c r="CJ1270" i="1" s="1"/>
  <c r="CI1271" i="1"/>
  <c r="CJ1271" i="1"/>
  <c r="CI1272" i="1"/>
  <c r="CJ1272" i="1"/>
  <c r="CI1273" i="1"/>
  <c r="CJ1273" i="1" s="1"/>
  <c r="CI1274" i="1"/>
  <c r="CJ1274" i="1" s="1"/>
  <c r="CI1275" i="1"/>
  <c r="CJ1275" i="1"/>
  <c r="CI1276" i="1"/>
  <c r="CJ1276" i="1"/>
  <c r="CI1277" i="1"/>
  <c r="CJ1277" i="1" s="1"/>
  <c r="CI1278" i="1"/>
  <c r="CJ1278" i="1" s="1"/>
  <c r="CI1279" i="1"/>
  <c r="CJ1279" i="1"/>
  <c r="CI1280" i="1"/>
  <c r="CJ1280" i="1"/>
  <c r="CI1281" i="1"/>
  <c r="CJ1281" i="1" s="1"/>
  <c r="CI1282" i="1"/>
  <c r="CJ1282" i="1" s="1"/>
  <c r="CI1283" i="1"/>
  <c r="CJ1283" i="1"/>
  <c r="CI1284" i="1"/>
  <c r="CJ1284" i="1"/>
  <c r="CI1285" i="1"/>
  <c r="CJ1285" i="1" s="1"/>
  <c r="CI1286" i="1"/>
  <c r="CJ1286" i="1" s="1"/>
  <c r="CI1287" i="1"/>
  <c r="CJ1287" i="1"/>
  <c r="CI1288" i="1"/>
  <c r="CJ1288" i="1"/>
  <c r="CI1289" i="1"/>
  <c r="CJ1289" i="1" s="1"/>
  <c r="CI1290" i="1"/>
  <c r="CJ1290" i="1" s="1"/>
  <c r="CI1291" i="1"/>
  <c r="CJ1291" i="1"/>
  <c r="CI1292" i="1"/>
  <c r="CJ1292" i="1"/>
  <c r="CI1226" i="1"/>
  <c r="CJ1226" i="1" s="1"/>
  <c r="CI1227" i="1"/>
  <c r="CJ1227" i="1" s="1"/>
  <c r="CI1228" i="1"/>
  <c r="CJ1228" i="1"/>
  <c r="CI1229" i="1"/>
  <c r="CJ1229" i="1"/>
  <c r="CI1230" i="1"/>
  <c r="CJ1230" i="1" s="1"/>
  <c r="CI1231" i="1"/>
  <c r="CJ1231" i="1" s="1"/>
  <c r="CI1232" i="1"/>
  <c r="CJ1232" i="1"/>
  <c r="CI1233" i="1"/>
  <c r="CJ1233" i="1"/>
  <c r="CI1234" i="1"/>
  <c r="CJ1234" i="1" s="1"/>
  <c r="CI1235" i="1"/>
  <c r="CJ1235" i="1" s="1"/>
  <c r="CI1236" i="1"/>
  <c r="CJ1236" i="1"/>
  <c r="CI1237" i="1"/>
  <c r="CJ1237" i="1"/>
  <c r="CI1238" i="1"/>
  <c r="CJ1238" i="1" s="1"/>
  <c r="CI1239" i="1"/>
  <c r="CJ1239" i="1" s="1"/>
  <c r="CI1240" i="1"/>
  <c r="CJ1240" i="1"/>
  <c r="CI1241" i="1"/>
  <c r="CJ1241" i="1"/>
  <c r="CI1242" i="1"/>
  <c r="CJ1242" i="1" s="1"/>
  <c r="CI1219" i="1"/>
  <c r="CJ1219" i="1" s="1"/>
  <c r="CI1220" i="1"/>
  <c r="CJ1220" i="1" s="1"/>
  <c r="CI1203" i="1"/>
  <c r="CJ1203" i="1" s="1"/>
  <c r="CI1204" i="1"/>
  <c r="CJ1204" i="1" s="1"/>
  <c r="CI1205" i="1"/>
  <c r="CJ1205" i="1"/>
  <c r="CI1206" i="1"/>
  <c r="CJ1206" i="1"/>
  <c r="CI1207" i="1"/>
  <c r="CJ1207" i="1" s="1"/>
  <c r="CI1208" i="1"/>
  <c r="CJ1208" i="1" s="1"/>
  <c r="CI1209" i="1"/>
  <c r="CJ1209" i="1"/>
  <c r="CI1210" i="1"/>
  <c r="CJ1210" i="1"/>
  <c r="CI1211" i="1"/>
  <c r="CJ1211" i="1" s="1"/>
  <c r="CI1167" i="1"/>
  <c r="CJ1167" i="1" s="1"/>
  <c r="CI1168" i="1"/>
  <c r="CJ1168" i="1" s="1"/>
  <c r="CI1169" i="1"/>
  <c r="CJ1169" i="1" s="1"/>
  <c r="CI1170" i="1"/>
  <c r="CJ1170" i="1"/>
  <c r="CI1171" i="1"/>
  <c r="CJ1171" i="1" s="1"/>
  <c r="CI1172" i="1"/>
  <c r="CJ1172" i="1" s="1"/>
  <c r="CI1173" i="1"/>
  <c r="CJ1173" i="1" s="1"/>
  <c r="CI1174" i="1"/>
  <c r="CJ1174" i="1"/>
  <c r="CI1175" i="1"/>
  <c r="CJ1175" i="1" s="1"/>
  <c r="CI1176" i="1"/>
  <c r="CJ1176" i="1" s="1"/>
  <c r="CI1177" i="1"/>
  <c r="CJ1177" i="1" s="1"/>
  <c r="CI1178" i="1"/>
  <c r="CJ1178" i="1"/>
  <c r="CI1179" i="1"/>
  <c r="CJ1179" i="1" s="1"/>
  <c r="CI1180" i="1"/>
  <c r="CJ1180" i="1" s="1"/>
  <c r="CI1181" i="1"/>
  <c r="CJ1181" i="1" s="1"/>
  <c r="CI1182" i="1"/>
  <c r="CJ1182" i="1"/>
  <c r="CI1183" i="1"/>
  <c r="CJ1183" i="1" s="1"/>
  <c r="CI1184" i="1"/>
  <c r="CJ1184" i="1" s="1"/>
  <c r="CI1185" i="1"/>
  <c r="CJ1185" i="1" s="1"/>
  <c r="CI1186" i="1"/>
  <c r="CJ1186" i="1"/>
  <c r="CI1187" i="1"/>
  <c r="CJ1187" i="1" s="1"/>
  <c r="CI1188" i="1"/>
  <c r="CJ1188" i="1" s="1"/>
  <c r="CI1189" i="1"/>
  <c r="CJ1189" i="1" s="1"/>
  <c r="CI1190" i="1"/>
  <c r="CJ1190" i="1"/>
  <c r="CI1191" i="1"/>
  <c r="CJ1191" i="1" s="1"/>
  <c r="CI1151" i="1"/>
  <c r="CJ1151" i="1"/>
  <c r="CI1152" i="1"/>
  <c r="CJ1152" i="1" s="1"/>
  <c r="CI1153" i="1"/>
  <c r="CJ1153" i="1" s="1"/>
  <c r="CI1154" i="1"/>
  <c r="CJ1154" i="1"/>
  <c r="CI1155" i="1"/>
  <c r="CJ1155" i="1"/>
  <c r="CI1156" i="1"/>
  <c r="CJ1156" i="1" s="1"/>
  <c r="CI1157" i="1"/>
  <c r="CJ1157" i="1" s="1"/>
  <c r="CI1158" i="1"/>
  <c r="CJ1158" i="1"/>
  <c r="CI1159" i="1"/>
  <c r="CJ1159" i="1"/>
  <c r="CI1160" i="1"/>
  <c r="CJ1160" i="1" s="1"/>
  <c r="CI1161" i="1"/>
  <c r="CJ1161" i="1" s="1"/>
  <c r="CI1162" i="1"/>
  <c r="CJ1162" i="1"/>
  <c r="CI1163" i="1"/>
  <c r="CJ1163" i="1"/>
  <c r="CI1060" i="1"/>
  <c r="CJ1060" i="1" s="1"/>
  <c r="CI1061" i="1"/>
  <c r="CJ1061" i="1" s="1"/>
  <c r="CI1062" i="1"/>
  <c r="CJ1062" i="1"/>
  <c r="CI1063" i="1"/>
  <c r="CJ1063" i="1"/>
  <c r="CI1064" i="1"/>
  <c r="CJ1064" i="1" s="1"/>
  <c r="CI1065" i="1"/>
  <c r="CJ1065" i="1" s="1"/>
  <c r="CI1066" i="1"/>
  <c r="CJ1066" i="1"/>
  <c r="CI1067" i="1"/>
  <c r="CJ1067" i="1"/>
  <c r="CI1068" i="1"/>
  <c r="CJ1068" i="1" s="1"/>
  <c r="CI1069" i="1"/>
  <c r="CJ1069" i="1" s="1"/>
  <c r="CI1070" i="1"/>
  <c r="CJ1070" i="1"/>
  <c r="CI1071" i="1"/>
  <c r="CJ1071" i="1"/>
  <c r="CI1072" i="1"/>
  <c r="CJ1072" i="1" s="1"/>
  <c r="CI1073" i="1"/>
  <c r="CJ1073" i="1" s="1"/>
  <c r="CI1074" i="1"/>
  <c r="CJ1074" i="1"/>
  <c r="CI1075" i="1"/>
  <c r="CJ1075" i="1"/>
  <c r="CI1076" i="1"/>
  <c r="CJ1076" i="1" s="1"/>
  <c r="CI1077" i="1"/>
  <c r="CJ1077" i="1" s="1"/>
  <c r="CI1078" i="1"/>
  <c r="CJ1078" i="1"/>
  <c r="CI1079" i="1"/>
  <c r="CJ1079" i="1"/>
  <c r="CI1080" i="1"/>
  <c r="CJ1080" i="1" s="1"/>
  <c r="CI1081" i="1"/>
  <c r="CJ1081" i="1" s="1"/>
  <c r="CI1082" i="1"/>
  <c r="CJ1082" i="1"/>
  <c r="CI1083" i="1"/>
  <c r="CJ1083" i="1"/>
  <c r="CI1084" i="1"/>
  <c r="CJ1084" i="1" s="1"/>
  <c r="CI1085" i="1"/>
  <c r="CJ1085" i="1" s="1"/>
  <c r="CI1086" i="1"/>
  <c r="CJ1086" i="1"/>
  <c r="CI1087" i="1"/>
  <c r="CJ1087" i="1"/>
  <c r="CI1088" i="1"/>
  <c r="CJ1088" i="1" s="1"/>
  <c r="CI1089" i="1"/>
  <c r="CJ1089" i="1" s="1"/>
  <c r="CI1090" i="1"/>
  <c r="CJ1090" i="1"/>
  <c r="CI1091" i="1"/>
  <c r="CJ1091" i="1"/>
  <c r="CI1092" i="1"/>
  <c r="CJ1092" i="1" s="1"/>
  <c r="CI1093" i="1"/>
  <c r="CJ1093" i="1" s="1"/>
  <c r="CI1094" i="1"/>
  <c r="CJ1094" i="1"/>
  <c r="CI1095" i="1"/>
  <c r="CJ1095" i="1"/>
  <c r="CI1096" i="1"/>
  <c r="CJ1096" i="1" s="1"/>
  <c r="CI1097" i="1"/>
  <c r="CJ1097" i="1" s="1"/>
  <c r="CI1098" i="1"/>
  <c r="CJ1098" i="1"/>
  <c r="CI1099" i="1"/>
  <c r="CJ1099" i="1"/>
  <c r="CI1018" i="1"/>
  <c r="CJ1018" i="1" s="1"/>
  <c r="CI1019" i="1"/>
  <c r="CJ1019" i="1" s="1"/>
  <c r="CI1020" i="1"/>
  <c r="CJ1020" i="1"/>
  <c r="CI1021" i="1"/>
  <c r="CJ1021" i="1"/>
  <c r="CI1022" i="1"/>
  <c r="CJ1022" i="1" s="1"/>
  <c r="CI1023" i="1"/>
  <c r="CJ1023" i="1" s="1"/>
  <c r="CI1024" i="1"/>
  <c r="CJ1024" i="1"/>
  <c r="CI1025" i="1"/>
  <c r="CJ1025" i="1"/>
  <c r="CI1026" i="1"/>
  <c r="CJ1026" i="1" s="1"/>
  <c r="CI1027" i="1"/>
  <c r="CJ1027" i="1" s="1"/>
  <c r="CI1028" i="1"/>
  <c r="CJ1028" i="1"/>
  <c r="CI1029" i="1"/>
  <c r="CJ1029" i="1"/>
  <c r="CI1030" i="1"/>
  <c r="CJ1030" i="1" s="1"/>
  <c r="CI1031" i="1"/>
  <c r="CJ1031" i="1" s="1"/>
  <c r="CI1032" i="1"/>
  <c r="CJ1032" i="1"/>
  <c r="CI1033" i="1"/>
  <c r="CJ1033" i="1"/>
  <c r="CI1034" i="1"/>
  <c r="CJ1034" i="1" s="1"/>
  <c r="CI1035" i="1"/>
  <c r="CJ1035" i="1" s="1"/>
  <c r="CI1036" i="1"/>
  <c r="CJ1036" i="1"/>
  <c r="CI1037" i="1"/>
  <c r="CJ1037" i="1"/>
  <c r="CI1038" i="1"/>
  <c r="CJ1038" i="1" s="1"/>
  <c r="CI1039" i="1"/>
  <c r="CJ1039" i="1" s="1"/>
  <c r="CI1040" i="1"/>
  <c r="CJ1040" i="1"/>
  <c r="CI977" i="1"/>
  <c r="CJ977" i="1" s="1"/>
  <c r="CI978" i="1"/>
  <c r="CJ978" i="1" s="1"/>
  <c r="CI979" i="1"/>
  <c r="CJ979" i="1"/>
  <c r="CI980" i="1"/>
  <c r="CJ980" i="1"/>
  <c r="CI981" i="1"/>
  <c r="CJ981" i="1" s="1"/>
  <c r="CI982" i="1"/>
  <c r="CJ982" i="1" s="1"/>
  <c r="CI983" i="1"/>
  <c r="CJ983" i="1"/>
  <c r="CI964" i="1"/>
  <c r="CJ964" i="1"/>
  <c r="CI965" i="1"/>
  <c r="CJ965" i="1" s="1"/>
  <c r="CI966" i="1"/>
  <c r="CJ966" i="1" s="1"/>
  <c r="CI967" i="1"/>
  <c r="CJ967" i="1"/>
  <c r="CI968" i="1"/>
  <c r="CJ968" i="1"/>
  <c r="CI939" i="1"/>
  <c r="CJ939" i="1"/>
  <c r="CI940" i="1"/>
  <c r="CJ940" i="1" s="1"/>
  <c r="CI941" i="1"/>
  <c r="CJ941" i="1" s="1"/>
  <c r="CI942" i="1"/>
  <c r="CJ942" i="1"/>
  <c r="CI943" i="1"/>
  <c r="CJ943" i="1"/>
  <c r="CI944" i="1"/>
  <c r="CJ944" i="1" s="1"/>
  <c r="CI945" i="1"/>
  <c r="CJ945" i="1" s="1"/>
  <c r="CI946" i="1"/>
  <c r="CJ946" i="1"/>
  <c r="CI947" i="1"/>
  <c r="CJ947" i="1"/>
  <c r="CI948" i="1"/>
  <c r="CJ948" i="1" s="1"/>
  <c r="CI949" i="1"/>
  <c r="CJ949" i="1" s="1"/>
  <c r="CI950" i="1"/>
  <c r="CJ950" i="1"/>
  <c r="CI951" i="1"/>
  <c r="CJ951" i="1"/>
  <c r="CI952" i="1"/>
  <c r="CJ952" i="1" s="1"/>
  <c r="CI953" i="1"/>
  <c r="CJ953" i="1" s="1"/>
  <c r="CI877" i="1"/>
  <c r="CJ877" i="1" s="1"/>
  <c r="CI878" i="1"/>
  <c r="CJ878" i="1"/>
  <c r="CI879" i="1"/>
  <c r="CJ879" i="1"/>
  <c r="CI880" i="1"/>
  <c r="CJ880" i="1"/>
  <c r="CI881" i="1"/>
  <c r="CJ881" i="1" s="1"/>
  <c r="CI882" i="1"/>
  <c r="CJ882" i="1"/>
  <c r="CI883" i="1"/>
  <c r="CJ883" i="1"/>
  <c r="CI884" i="1"/>
  <c r="CJ884" i="1"/>
  <c r="CI885" i="1"/>
  <c r="CJ885" i="1" s="1"/>
  <c r="CI886" i="1"/>
  <c r="CJ886" i="1"/>
  <c r="CI887" i="1"/>
  <c r="CJ887" i="1"/>
  <c r="CI888" i="1"/>
  <c r="CJ888" i="1"/>
  <c r="CI812" i="1"/>
  <c r="CJ812" i="1"/>
  <c r="CI813" i="1"/>
  <c r="CJ813" i="1" s="1"/>
  <c r="CI804" i="1"/>
  <c r="CJ804" i="1" s="1"/>
  <c r="CI805" i="1"/>
  <c r="CJ805" i="1" s="1"/>
  <c r="CI806" i="1"/>
  <c r="CJ806" i="1"/>
  <c r="CI807" i="1"/>
  <c r="CJ807" i="1" s="1"/>
  <c r="CI795" i="1"/>
  <c r="CJ795" i="1" s="1"/>
  <c r="CI796" i="1"/>
  <c r="CJ796" i="1" s="1"/>
  <c r="CI797" i="1"/>
  <c r="CJ797" i="1"/>
  <c r="CI794" i="1"/>
  <c r="CJ794" i="1" s="1"/>
  <c r="CI767" i="1"/>
  <c r="CJ767" i="1" s="1"/>
  <c r="CI768" i="1"/>
  <c r="CJ768" i="1" s="1"/>
  <c r="CI769" i="1"/>
  <c r="CJ769" i="1" s="1"/>
  <c r="CI770" i="1"/>
  <c r="CJ770" i="1"/>
  <c r="CI771" i="1"/>
  <c r="CJ771" i="1" s="1"/>
  <c r="CI772" i="1"/>
  <c r="CJ772" i="1" s="1"/>
  <c r="CI773" i="1"/>
  <c r="CJ773" i="1" s="1"/>
  <c r="CI774" i="1"/>
  <c r="CJ774" i="1"/>
  <c r="CI775" i="1"/>
  <c r="CJ775" i="1" s="1"/>
  <c r="CI776" i="1"/>
  <c r="CJ776" i="1" s="1"/>
  <c r="CI777" i="1"/>
  <c r="CJ777" i="1" s="1"/>
  <c r="CI778" i="1"/>
  <c r="CJ778" i="1"/>
  <c r="CI779" i="1"/>
  <c r="CJ779" i="1" s="1"/>
  <c r="CI780" i="1"/>
  <c r="CJ780" i="1" s="1"/>
  <c r="CI781" i="1"/>
  <c r="CJ781" i="1" s="1"/>
  <c r="CI782" i="1"/>
  <c r="CJ782" i="1"/>
  <c r="CI783" i="1"/>
  <c r="CJ783" i="1" s="1"/>
  <c r="CI784" i="1"/>
  <c r="CJ784" i="1" s="1"/>
  <c r="CI785" i="1"/>
  <c r="CJ785" i="1" s="1"/>
  <c r="CI786" i="1"/>
  <c r="CJ786" i="1"/>
  <c r="CI787" i="1"/>
  <c r="CJ787" i="1" s="1"/>
  <c r="CI788" i="1"/>
  <c r="CJ788" i="1" s="1"/>
  <c r="CI789" i="1"/>
  <c r="CJ789" i="1" s="1"/>
  <c r="CI790" i="1"/>
  <c r="CJ790" i="1"/>
  <c r="CI791" i="1"/>
  <c r="CJ791" i="1" s="1"/>
  <c r="CI792" i="1"/>
  <c r="CJ792" i="1" s="1"/>
  <c r="CI766" i="1"/>
  <c r="CJ766" i="1" s="1"/>
  <c r="CI714" i="1"/>
  <c r="CJ714" i="1" s="1"/>
  <c r="CI715" i="1"/>
  <c r="CJ715" i="1" s="1"/>
  <c r="CI716" i="1"/>
  <c r="CJ716" i="1"/>
  <c r="CI713" i="1"/>
  <c r="CJ713" i="1" s="1"/>
  <c r="CI674" i="1"/>
  <c r="CJ674" i="1" s="1"/>
  <c r="CI625" i="1"/>
  <c r="CJ625" i="1" s="1"/>
  <c r="CI626" i="1"/>
  <c r="CJ626" i="1" s="1"/>
  <c r="CI624" i="1"/>
  <c r="CJ624" i="1" s="1"/>
  <c r="CI621" i="1"/>
  <c r="CJ621" i="1" s="1"/>
  <c r="CI602" i="1"/>
  <c r="CJ602" i="1" s="1"/>
  <c r="CI603" i="1"/>
  <c r="CJ603" i="1" s="1"/>
  <c r="CI604" i="1"/>
  <c r="CJ604" i="1"/>
  <c r="CI605" i="1"/>
  <c r="CJ605" i="1"/>
  <c r="CI595" i="1"/>
  <c r="CJ595" i="1"/>
  <c r="CI565" i="1"/>
  <c r="CJ565" i="1"/>
  <c r="CI566" i="1"/>
  <c r="CJ566" i="1" s="1"/>
  <c r="CI461" i="1"/>
  <c r="CJ461" i="1" s="1"/>
  <c r="CI462" i="1"/>
  <c r="CJ462" i="1" s="1"/>
  <c r="CI463" i="1"/>
  <c r="CJ463" i="1"/>
  <c r="CI464" i="1"/>
  <c r="CJ464" i="1"/>
  <c r="CI465" i="1"/>
  <c r="CJ465" i="1" s="1"/>
  <c r="CI460" i="1"/>
  <c r="CJ460" i="1" s="1"/>
  <c r="CI450" i="1"/>
  <c r="CJ450" i="1" s="1"/>
  <c r="CI334" i="1"/>
  <c r="CJ334" i="1" s="1"/>
  <c r="CI335" i="1"/>
  <c r="CJ335" i="1" s="1"/>
  <c r="CI336" i="1"/>
  <c r="CJ336" i="1"/>
  <c r="CI337" i="1"/>
  <c r="CJ337" i="1"/>
  <c r="CI338" i="1"/>
  <c r="CJ338" i="1" s="1"/>
  <c r="CI339" i="1"/>
  <c r="CJ339" i="1" s="1"/>
  <c r="CI340" i="1"/>
  <c r="CJ340" i="1"/>
  <c r="CI333" i="1"/>
  <c r="CJ333" i="1" s="1"/>
  <c r="CI303" i="1"/>
  <c r="CJ303" i="1" s="1"/>
  <c r="CI304" i="1"/>
  <c r="CJ304" i="1"/>
  <c r="CI305" i="1"/>
  <c r="CJ305" i="1"/>
  <c r="CI306" i="1"/>
  <c r="CJ306" i="1"/>
  <c r="CI302" i="1"/>
  <c r="CJ302" i="1" s="1"/>
  <c r="CI284" i="1"/>
  <c r="CJ284" i="1" s="1"/>
  <c r="CI281" i="1"/>
  <c r="CJ281" i="1" s="1"/>
  <c r="CI229" i="1"/>
  <c r="CJ229" i="1" s="1"/>
  <c r="CI230" i="1"/>
  <c r="CJ230" i="1" s="1"/>
  <c r="CI204" i="1"/>
  <c r="CJ204" i="1" s="1"/>
  <c r="CI205" i="1"/>
  <c r="CJ205" i="1" s="1"/>
  <c r="CI206" i="1"/>
  <c r="CJ206" i="1"/>
  <c r="CI207" i="1"/>
  <c r="CJ207" i="1"/>
  <c r="CI208" i="1"/>
  <c r="CJ208" i="1" s="1"/>
  <c r="CI209" i="1"/>
  <c r="CJ209" i="1" s="1"/>
  <c r="CI210" i="1"/>
  <c r="CJ210" i="1"/>
  <c r="CI211" i="1"/>
  <c r="CJ211" i="1"/>
  <c r="CI212" i="1"/>
  <c r="CJ212" i="1" s="1"/>
  <c r="CI203" i="1"/>
  <c r="CJ203" i="1" s="1"/>
  <c r="CJ145" i="1"/>
  <c r="CJ146" i="1"/>
  <c r="CJ147" i="1"/>
  <c r="CJ148" i="1"/>
  <c r="CJ149" i="1"/>
  <c r="CJ150" i="1"/>
  <c r="CJ151" i="1"/>
  <c r="CJ152" i="1"/>
  <c r="CJ153" i="1"/>
  <c r="CI123" i="1"/>
  <c r="CJ123" i="1" s="1"/>
  <c r="CI124" i="1"/>
  <c r="CJ124" i="1"/>
  <c r="CI125" i="1"/>
  <c r="CJ125" i="1"/>
  <c r="CI126" i="1"/>
  <c r="CJ126" i="1"/>
  <c r="CI127" i="1"/>
  <c r="CJ127" i="1" s="1"/>
  <c r="CI128" i="1"/>
  <c r="CJ128" i="1"/>
  <c r="CI129" i="1"/>
  <c r="CJ129" i="1"/>
  <c r="CI130" i="1"/>
  <c r="CJ130" i="1"/>
  <c r="CI131" i="1"/>
  <c r="CJ131" i="1" s="1"/>
  <c r="CJ94" i="1"/>
  <c r="CI82" i="1"/>
  <c r="CJ82" i="1"/>
  <c r="CI83" i="1"/>
  <c r="CJ83" i="1" s="1"/>
  <c r="CI84" i="1"/>
  <c r="CJ84" i="1" s="1"/>
  <c r="CI85" i="1"/>
  <c r="CJ85" i="1"/>
  <c r="CI86" i="1"/>
  <c r="CJ86" i="1"/>
  <c r="CJ43" i="1"/>
  <c r="CJ44" i="1"/>
  <c r="CJ45" i="1"/>
  <c r="CJ46" i="1"/>
  <c r="CJ47" i="1"/>
  <c r="CJ48" i="1"/>
  <c r="CJ35" i="1"/>
  <c r="CJ36" i="1"/>
  <c r="CJ37" i="1"/>
  <c r="CJ38" i="1"/>
  <c r="CI35" i="1"/>
  <c r="CI36" i="1"/>
  <c r="CI37" i="1"/>
  <c r="CI38" i="1"/>
  <c r="CJ20" i="1"/>
  <c r="CJ14" i="1"/>
  <c r="CJ15" i="1"/>
  <c r="CJ16" i="1"/>
  <c r="CJ17" i="1"/>
  <c r="CJ793" i="1"/>
  <c r="CJ628" i="1"/>
  <c r="CJ629" i="1"/>
  <c r="CJ627" i="1"/>
  <c r="CE1305" i="1"/>
  <c r="CF1305" i="1"/>
  <c r="BH1303" i="1"/>
  <c r="BH1304" i="1"/>
  <c r="BH1305" i="1"/>
  <c r="BF1305" i="1"/>
  <c r="BG1305" i="1"/>
  <c r="BC1305" i="1"/>
  <c r="BD1305" i="1"/>
  <c r="AV1305" i="1"/>
  <c r="AW1305" i="1"/>
  <c r="AX1305" i="1"/>
  <c r="AY1305" i="1"/>
  <c r="AZ1305" i="1"/>
  <c r="BA1305" i="1"/>
  <c r="AU1305" i="1"/>
  <c r="BE1305" i="1"/>
  <c r="BI1305" i="1"/>
  <c r="CG1305" i="1"/>
  <c r="CH1305" i="1" s="1"/>
  <c r="L1305" i="1"/>
  <c r="BB1305" i="1" s="1"/>
  <c r="CG1304" i="1"/>
  <c r="CH1304" i="1" s="1"/>
  <c r="CE1304" i="1"/>
  <c r="BI1304" i="1"/>
  <c r="BE1304" i="1"/>
  <c r="BD1304" i="1"/>
  <c r="BC1304" i="1"/>
  <c r="BB1304" i="1"/>
  <c r="BA1304" i="1"/>
  <c r="AZ1304" i="1"/>
  <c r="AY1304" i="1"/>
  <c r="AX1304" i="1"/>
  <c r="AW1304" i="1"/>
  <c r="AV1304" i="1"/>
  <c r="AU1304" i="1"/>
  <c r="AN1304" i="1"/>
  <c r="BG1304" i="1" s="1"/>
  <c r="AM1304" i="1"/>
  <c r="BF1304" i="1" s="1"/>
  <c r="S1304" i="1"/>
  <c r="CG1303" i="1"/>
  <c r="CI1303" i="1" s="1"/>
  <c r="CJ1303" i="1" s="1"/>
  <c r="CE1303" i="1"/>
  <c r="BD1303" i="1"/>
  <c r="BB1303" i="1"/>
  <c r="AW1303" i="1"/>
  <c r="AU1303" i="1"/>
  <c r="AM1303" i="1"/>
  <c r="BF1303" i="1" s="1"/>
  <c r="AN1303" i="1"/>
  <c r="BG1303" i="1" s="1"/>
  <c r="BE1303" i="1"/>
  <c r="BI1303" i="1"/>
  <c r="BC1303" i="1"/>
  <c r="S1303" i="1"/>
  <c r="AZ1303" i="1"/>
  <c r="AY1303" i="1"/>
  <c r="AX1303" i="1"/>
  <c r="BA1303" i="1"/>
  <c r="AV1303" i="1"/>
  <c r="AT953" i="1"/>
  <c r="AT952" i="1"/>
  <c r="AT951" i="1"/>
  <c r="AT950" i="1"/>
  <c r="AT949" i="1"/>
  <c r="AT948" i="1"/>
  <c r="AT947" i="1"/>
  <c r="AT946" i="1"/>
  <c r="AT945" i="1"/>
  <c r="AT944" i="1"/>
  <c r="AT943" i="1"/>
  <c r="AT942" i="1"/>
  <c r="AT941" i="1"/>
  <c r="AT940" i="1"/>
  <c r="AT939" i="1"/>
  <c r="AT968" i="1"/>
  <c r="AT967" i="1"/>
  <c r="AT966" i="1"/>
  <c r="AT716" i="1"/>
  <c r="AT715" i="1"/>
  <c r="AT714" i="1"/>
  <c r="AT1302" i="1"/>
  <c r="AT1301" i="1"/>
  <c r="AT1300" i="1"/>
  <c r="AT1299" i="1"/>
  <c r="AT1298" i="1"/>
  <c r="AT1297" i="1"/>
  <c r="AT1296" i="1"/>
  <c r="AT1295" i="1"/>
  <c r="AT1294" i="1"/>
  <c r="AT1293" i="1"/>
  <c r="AT1292" i="1"/>
  <c r="AT1291" i="1"/>
  <c r="AT1290" i="1"/>
  <c r="AT1289" i="1"/>
  <c r="AT1288" i="1"/>
  <c r="AT1287" i="1"/>
  <c r="AT1286" i="1"/>
  <c r="AT1285" i="1"/>
  <c r="AT1284" i="1"/>
  <c r="AT1283" i="1"/>
  <c r="AT1282" i="1"/>
  <c r="AT1281" i="1"/>
  <c r="AT1280" i="1"/>
  <c r="AT1279" i="1"/>
  <c r="AT1278" i="1"/>
  <c r="AT1277" i="1"/>
  <c r="AT1276" i="1"/>
  <c r="AT1275" i="1"/>
  <c r="AT1274" i="1"/>
  <c r="AT1273" i="1"/>
  <c r="AT1272" i="1"/>
  <c r="AT1271" i="1"/>
  <c r="AT1270" i="1"/>
  <c r="AT1269" i="1"/>
  <c r="AT1268" i="1"/>
  <c r="AT1267" i="1"/>
  <c r="AT1266" i="1"/>
  <c r="AT1265" i="1"/>
  <c r="AT1264" i="1"/>
  <c r="AT1263" i="1"/>
  <c r="AT1262" i="1"/>
  <c r="AT1261" i="1"/>
  <c r="AT1260" i="1"/>
  <c r="AT1259" i="1"/>
  <c r="AT1258" i="1"/>
  <c r="AT1257" i="1"/>
  <c r="AT1256" i="1"/>
  <c r="AT1255" i="1"/>
  <c r="AT1254" i="1"/>
  <c r="AT1253" i="1"/>
  <c r="AT1252" i="1"/>
  <c r="AT1251" i="1"/>
  <c r="AT1250" i="1"/>
  <c r="AT1249" i="1"/>
  <c r="AT1248" i="1"/>
  <c r="AT1247" i="1"/>
  <c r="AT1246" i="1"/>
  <c r="AT1245" i="1"/>
  <c r="AT1244" i="1"/>
  <c r="AT1243" i="1"/>
  <c r="AT1242" i="1"/>
  <c r="AT1241" i="1"/>
  <c r="AT1240" i="1"/>
  <c r="AT1239" i="1"/>
  <c r="AT1238" i="1"/>
  <c r="AT1237" i="1"/>
  <c r="AT1236" i="1"/>
  <c r="AT1235" i="1"/>
  <c r="AT1234" i="1"/>
  <c r="AT1233" i="1"/>
  <c r="AT1232" i="1"/>
  <c r="AT1231" i="1"/>
  <c r="AT1230" i="1"/>
  <c r="AT1229" i="1"/>
  <c r="AT1228" i="1"/>
  <c r="AT1227" i="1"/>
  <c r="AT1226" i="1"/>
  <c r="AT1225" i="1"/>
  <c r="AT1224" i="1"/>
  <c r="AT1223" i="1"/>
  <c r="AT1222" i="1"/>
  <c r="AT1221" i="1"/>
  <c r="AT1220" i="1"/>
  <c r="AT1219" i="1"/>
  <c r="AT1218" i="1"/>
  <c r="AT1217" i="1"/>
  <c r="AT1216" i="1"/>
  <c r="AT1215" i="1"/>
  <c r="AT1214" i="1"/>
  <c r="AT1213" i="1"/>
  <c r="AT1212" i="1"/>
  <c r="AT1211" i="1"/>
  <c r="AT1210" i="1"/>
  <c r="AT1209" i="1"/>
  <c r="AT1208" i="1"/>
  <c r="AT1207" i="1"/>
  <c r="AT1206" i="1"/>
  <c r="AT1205" i="1"/>
  <c r="AT1204" i="1"/>
  <c r="AT1203" i="1"/>
  <c r="AT1202" i="1"/>
  <c r="AT1201" i="1"/>
  <c r="AT1200" i="1"/>
  <c r="AT1199" i="1"/>
  <c r="AT1198" i="1"/>
  <c r="AT1197" i="1"/>
  <c r="AT1196" i="1"/>
  <c r="AT1195" i="1"/>
  <c r="AT1194" i="1"/>
  <c r="AT1193" i="1"/>
  <c r="AT1192" i="1"/>
  <c r="AT1191" i="1"/>
  <c r="AT1190" i="1"/>
  <c r="AT1189" i="1"/>
  <c r="AT1188" i="1"/>
  <c r="AT1187" i="1"/>
  <c r="AT1186" i="1"/>
  <c r="AT1185" i="1"/>
  <c r="AT1184" i="1"/>
  <c r="AT1183" i="1"/>
  <c r="AT1182" i="1"/>
  <c r="AT1181" i="1"/>
  <c r="AT1180" i="1"/>
  <c r="AT1179" i="1"/>
  <c r="AT1178" i="1"/>
  <c r="AT1177" i="1"/>
  <c r="AT1176" i="1"/>
  <c r="AT1175" i="1"/>
  <c r="AT1174" i="1"/>
  <c r="AT1173" i="1"/>
  <c r="AT1172" i="1"/>
  <c r="AT1171" i="1"/>
  <c r="AT1170" i="1"/>
  <c r="AT1169" i="1"/>
  <c r="AT1168" i="1"/>
  <c r="AT1167" i="1"/>
  <c r="AT1166" i="1"/>
  <c r="AT1165" i="1"/>
  <c r="AT1164" i="1"/>
  <c r="AT1163" i="1"/>
  <c r="AT1162" i="1"/>
  <c r="AT1161" i="1"/>
  <c r="AT1160" i="1"/>
  <c r="AT1159" i="1"/>
  <c r="AT1158" i="1"/>
  <c r="AT1157" i="1"/>
  <c r="AT1156" i="1"/>
  <c r="AT1155" i="1"/>
  <c r="AT1154" i="1"/>
  <c r="AT1153" i="1"/>
  <c r="AT1152" i="1"/>
  <c r="AT1151" i="1"/>
  <c r="AT1150" i="1"/>
  <c r="AT1149" i="1"/>
  <c r="AT1148" i="1"/>
  <c r="AT1147" i="1"/>
  <c r="AT1146" i="1"/>
  <c r="AT1145" i="1"/>
  <c r="AT1144" i="1"/>
  <c r="AT1143" i="1"/>
  <c r="AT1142" i="1"/>
  <c r="AT1141" i="1"/>
  <c r="AT1140" i="1"/>
  <c r="AT1139" i="1"/>
  <c r="AT1138" i="1"/>
  <c r="AT1137" i="1"/>
  <c r="AT1136" i="1"/>
  <c r="AT1135" i="1"/>
  <c r="AT1134" i="1"/>
  <c r="AT1133" i="1"/>
  <c r="AT1132" i="1"/>
  <c r="AT1131" i="1"/>
  <c r="AT1130" i="1"/>
  <c r="AT1129" i="1"/>
  <c r="AT1128" i="1"/>
  <c r="AT1127" i="1"/>
  <c r="AT1126" i="1"/>
  <c r="AT1125" i="1"/>
  <c r="AT1124" i="1"/>
  <c r="AT1123" i="1"/>
  <c r="AT1122" i="1"/>
  <c r="AT1121" i="1"/>
  <c r="AT1120" i="1"/>
  <c r="AT1119" i="1"/>
  <c r="AT1118" i="1"/>
  <c r="AT1117" i="1"/>
  <c r="AT1116" i="1"/>
  <c r="AT1115" i="1"/>
  <c r="AT1114" i="1"/>
  <c r="AT1113" i="1"/>
  <c r="AT1112" i="1"/>
  <c r="AT1111" i="1"/>
  <c r="AT1110" i="1"/>
  <c r="AT1109" i="1"/>
  <c r="AT1108" i="1"/>
  <c r="AT1107" i="1"/>
  <c r="AT1106" i="1"/>
  <c r="AT1105" i="1"/>
  <c r="AT1104" i="1"/>
  <c r="AT1103" i="1"/>
  <c r="AT1102" i="1"/>
  <c r="AT1101" i="1"/>
  <c r="AT1100" i="1"/>
  <c r="AT1099" i="1"/>
  <c r="AT1098" i="1"/>
  <c r="AT1097" i="1"/>
  <c r="AT1096" i="1"/>
  <c r="AT1095" i="1"/>
  <c r="AT1094" i="1"/>
  <c r="AT1093" i="1"/>
  <c r="AT1092" i="1"/>
  <c r="AT1091" i="1"/>
  <c r="AT1090" i="1"/>
  <c r="AT1089" i="1"/>
  <c r="AT1088" i="1"/>
  <c r="AT1087" i="1"/>
  <c r="AT1086" i="1"/>
  <c r="AT1085" i="1"/>
  <c r="AT1084" i="1"/>
  <c r="AT1083" i="1"/>
  <c r="AT1082" i="1"/>
  <c r="AT1081" i="1"/>
  <c r="AT1080" i="1"/>
  <c r="AT1079" i="1"/>
  <c r="AT1078" i="1"/>
  <c r="AT1077" i="1"/>
  <c r="AT1076" i="1"/>
  <c r="AT1075" i="1"/>
  <c r="AT1074" i="1"/>
  <c r="AT1073" i="1"/>
  <c r="AT1072" i="1"/>
  <c r="AT1071" i="1"/>
  <c r="AT1070" i="1"/>
  <c r="AT1069" i="1"/>
  <c r="AT1068" i="1"/>
  <c r="AT1067" i="1"/>
  <c r="AT1066" i="1"/>
  <c r="AT1065" i="1"/>
  <c r="AT1064" i="1"/>
  <c r="AT1063" i="1"/>
  <c r="AT1062" i="1"/>
  <c r="AT1061" i="1"/>
  <c r="AT1060" i="1"/>
  <c r="AT1059" i="1"/>
  <c r="AT1058" i="1"/>
  <c r="AT1057" i="1"/>
  <c r="AT1056" i="1"/>
  <c r="AT1055" i="1"/>
  <c r="AT1054" i="1"/>
  <c r="AT1053" i="1"/>
  <c r="AT1052" i="1"/>
  <c r="AT1051" i="1"/>
  <c r="AT1050" i="1"/>
  <c r="AT1049" i="1"/>
  <c r="AT1048" i="1"/>
  <c r="AT1047" i="1"/>
  <c r="AT1046" i="1"/>
  <c r="AT1045" i="1"/>
  <c r="AT1044" i="1"/>
  <c r="AT1043" i="1"/>
  <c r="AT1042" i="1"/>
  <c r="AT1041" i="1"/>
  <c r="AT1040" i="1"/>
  <c r="AT1039" i="1"/>
  <c r="AT1038" i="1"/>
  <c r="AT1037" i="1"/>
  <c r="AT1036" i="1"/>
  <c r="AT1035" i="1"/>
  <c r="AT1034" i="1"/>
  <c r="AT1033" i="1"/>
  <c r="AT1032" i="1"/>
  <c r="AT1031" i="1"/>
  <c r="AT1030" i="1"/>
  <c r="AT1029" i="1"/>
  <c r="AT1028" i="1"/>
  <c r="AT1027" i="1"/>
  <c r="AT1026" i="1"/>
  <c r="AT1025" i="1"/>
  <c r="AT1024" i="1"/>
  <c r="AT1023" i="1"/>
  <c r="AT1022" i="1"/>
  <c r="AT1021" i="1"/>
  <c r="AT1020" i="1"/>
  <c r="AT1019" i="1"/>
  <c r="AT1018" i="1"/>
  <c r="AT1017" i="1"/>
  <c r="AT1016" i="1"/>
  <c r="AT1015" i="1"/>
  <c r="AT1014" i="1"/>
  <c r="AT1013" i="1"/>
  <c r="AT1012" i="1"/>
  <c r="AT1011" i="1"/>
  <c r="AT1010" i="1"/>
  <c r="AT1009" i="1"/>
  <c r="AT1008" i="1"/>
  <c r="AT1007" i="1"/>
  <c r="AT1006" i="1"/>
  <c r="AT1005" i="1"/>
  <c r="AT1004" i="1"/>
  <c r="AT1003" i="1"/>
  <c r="AT1002" i="1"/>
  <c r="AT1001" i="1"/>
  <c r="AT1000" i="1"/>
  <c r="AT999" i="1"/>
  <c r="AT998" i="1"/>
  <c r="AT997" i="1"/>
  <c r="AT996" i="1"/>
  <c r="AT995" i="1"/>
  <c r="AT994" i="1"/>
  <c r="AT993" i="1"/>
  <c r="AT992" i="1"/>
  <c r="AT991" i="1"/>
  <c r="AT990" i="1"/>
  <c r="AT989" i="1"/>
  <c r="AT988" i="1"/>
  <c r="AT987" i="1"/>
  <c r="AT986" i="1"/>
  <c r="AT985" i="1"/>
  <c r="AT984" i="1"/>
  <c r="AT983" i="1"/>
  <c r="AT982" i="1"/>
  <c r="AT981" i="1"/>
  <c r="AT980" i="1"/>
  <c r="AT979" i="1"/>
  <c r="AT978" i="1"/>
  <c r="AT977" i="1"/>
  <c r="AT976" i="1"/>
  <c r="AT975" i="1"/>
  <c r="AT974" i="1"/>
  <c r="AT973" i="1"/>
  <c r="AT972" i="1"/>
  <c r="AT971" i="1"/>
  <c r="AT970" i="1"/>
  <c r="AT969" i="1"/>
  <c r="AT965" i="1"/>
  <c r="AT964" i="1"/>
  <c r="AT963" i="1"/>
  <c r="AT962" i="1"/>
  <c r="AT961" i="1"/>
  <c r="AT960" i="1"/>
  <c r="AT959" i="1"/>
  <c r="AT958" i="1"/>
  <c r="AT957" i="1"/>
  <c r="AT956" i="1"/>
  <c r="AT955" i="1"/>
  <c r="AT954" i="1"/>
  <c r="AT938" i="1"/>
  <c r="AT937" i="1"/>
  <c r="AT936" i="1"/>
  <c r="AT935" i="1"/>
  <c r="AT934" i="1"/>
  <c r="AT933" i="1"/>
  <c r="AT932" i="1"/>
  <c r="AT931" i="1"/>
  <c r="AT930" i="1"/>
  <c r="AT929" i="1"/>
  <c r="AT928" i="1"/>
  <c r="AT927" i="1"/>
  <c r="AT926" i="1"/>
  <c r="AT925" i="1"/>
  <c r="AT924" i="1"/>
  <c r="AT923" i="1"/>
  <c r="AT922" i="1"/>
  <c r="AT921" i="1"/>
  <c r="AT920" i="1"/>
  <c r="AT919" i="1"/>
  <c r="AT918" i="1"/>
  <c r="AT917" i="1"/>
  <c r="AT916" i="1"/>
  <c r="AT915" i="1"/>
  <c r="AT914" i="1"/>
  <c r="AT913" i="1"/>
  <c r="AT912" i="1"/>
  <c r="AT911" i="1"/>
  <c r="AT910" i="1"/>
  <c r="AT909" i="1"/>
  <c r="AT908" i="1"/>
  <c r="AT907" i="1"/>
  <c r="AT906" i="1"/>
  <c r="AT905" i="1"/>
  <c r="AT904" i="1"/>
  <c r="AT903" i="1"/>
  <c r="AT902" i="1"/>
  <c r="AT901" i="1"/>
  <c r="AT900" i="1"/>
  <c r="AT899" i="1"/>
  <c r="AT898" i="1"/>
  <c r="AT897" i="1"/>
  <c r="AT896" i="1"/>
  <c r="AT895" i="1"/>
  <c r="AT894" i="1"/>
  <c r="AT893" i="1"/>
  <c r="AT892" i="1"/>
  <c r="AT891" i="1"/>
  <c r="AT890" i="1"/>
  <c r="AT889" i="1"/>
  <c r="AT888" i="1"/>
  <c r="AT887" i="1"/>
  <c r="AT886" i="1"/>
  <c r="AT885" i="1"/>
  <c r="AT884" i="1"/>
  <c r="AT883" i="1"/>
  <c r="AT882" i="1"/>
  <c r="AT881" i="1"/>
  <c r="AT880" i="1"/>
  <c r="AT879" i="1"/>
  <c r="AT878" i="1"/>
  <c r="AT877" i="1"/>
  <c r="AT876" i="1"/>
  <c r="AT875" i="1"/>
  <c r="AT874" i="1"/>
  <c r="AT873" i="1"/>
  <c r="AT872" i="1"/>
  <c r="AT871" i="1"/>
  <c r="AT870" i="1"/>
  <c r="AT869" i="1"/>
  <c r="AT868" i="1"/>
  <c r="AT867" i="1"/>
  <c r="AT866" i="1"/>
  <c r="AT865" i="1"/>
  <c r="AT864" i="1"/>
  <c r="AT863" i="1"/>
  <c r="AT862" i="1"/>
  <c r="AT861" i="1"/>
  <c r="AT860" i="1"/>
  <c r="AT859" i="1"/>
  <c r="AT858" i="1"/>
  <c r="AT857" i="1"/>
  <c r="AT856" i="1"/>
  <c r="AT855" i="1"/>
  <c r="AT854" i="1"/>
  <c r="AT853" i="1"/>
  <c r="AT852" i="1"/>
  <c r="AT851" i="1"/>
  <c r="AT850" i="1"/>
  <c r="AT849" i="1"/>
  <c r="AT848" i="1"/>
  <c r="AT847" i="1"/>
  <c r="AT846" i="1"/>
  <c r="AT845" i="1"/>
  <c r="AT844" i="1"/>
  <c r="AT843" i="1"/>
  <c r="AT842" i="1"/>
  <c r="AT841" i="1"/>
  <c r="AT840" i="1"/>
  <c r="AT839" i="1"/>
  <c r="AT838" i="1"/>
  <c r="AT837" i="1"/>
  <c r="AT836" i="1"/>
  <c r="AT835" i="1"/>
  <c r="AT834" i="1"/>
  <c r="AT833" i="1"/>
  <c r="AT832" i="1"/>
  <c r="AT831" i="1"/>
  <c r="AT830" i="1"/>
  <c r="AT829" i="1"/>
  <c r="AT828" i="1"/>
  <c r="AT827" i="1"/>
  <c r="AT826" i="1"/>
  <c r="AT825" i="1"/>
  <c r="AT824" i="1"/>
  <c r="AT823" i="1"/>
  <c r="AT822" i="1"/>
  <c r="AT821" i="1"/>
  <c r="AT820" i="1"/>
  <c r="AT819" i="1"/>
  <c r="AT818" i="1"/>
  <c r="AT817" i="1"/>
  <c r="AT816" i="1"/>
  <c r="AT815" i="1"/>
  <c r="AT814" i="1"/>
  <c r="AT813" i="1"/>
  <c r="AT812" i="1"/>
  <c r="AT811" i="1"/>
  <c r="AT810" i="1"/>
  <c r="AT809" i="1"/>
  <c r="AT808" i="1"/>
  <c r="AT807" i="1"/>
  <c r="AT806" i="1"/>
  <c r="AT805" i="1"/>
  <c r="AT804" i="1"/>
  <c r="AT803" i="1"/>
  <c r="AT802" i="1"/>
  <c r="AT801" i="1"/>
  <c r="AT800" i="1"/>
  <c r="AT799" i="1"/>
  <c r="AT798" i="1"/>
  <c r="AT797" i="1"/>
  <c r="AT796" i="1"/>
  <c r="AT795" i="1"/>
  <c r="AT794" i="1"/>
  <c r="AT793" i="1"/>
  <c r="AT792" i="1"/>
  <c r="AT791" i="1"/>
  <c r="AT790" i="1"/>
  <c r="AT789" i="1"/>
  <c r="AT788" i="1"/>
  <c r="AT787" i="1"/>
  <c r="AT786" i="1"/>
  <c r="AT785" i="1"/>
  <c r="AT784" i="1"/>
  <c r="AT783" i="1"/>
  <c r="AT782" i="1"/>
  <c r="AT781" i="1"/>
  <c r="AT780" i="1"/>
  <c r="AT779" i="1"/>
  <c r="AT778" i="1"/>
  <c r="AT777" i="1"/>
  <c r="AT776" i="1"/>
  <c r="AT775" i="1"/>
  <c r="AT774" i="1"/>
  <c r="AT773" i="1"/>
  <c r="AT772" i="1"/>
  <c r="AT771" i="1"/>
  <c r="AT770" i="1"/>
  <c r="AT769" i="1"/>
  <c r="AT768" i="1"/>
  <c r="AT767" i="1"/>
  <c r="AT766" i="1"/>
  <c r="AT765" i="1"/>
  <c r="AT764" i="1"/>
  <c r="AT763" i="1"/>
  <c r="AT762" i="1"/>
  <c r="AT761" i="1"/>
  <c r="AT760" i="1"/>
  <c r="AT759" i="1"/>
  <c r="AT758" i="1"/>
  <c r="AT757" i="1"/>
  <c r="AT756" i="1"/>
  <c r="AT755" i="1"/>
  <c r="AT754" i="1"/>
  <c r="AT753" i="1"/>
  <c r="AT752" i="1"/>
  <c r="AT751" i="1"/>
  <c r="AT750" i="1"/>
  <c r="AT749" i="1"/>
  <c r="AT748" i="1"/>
  <c r="AT747" i="1"/>
  <c r="AT746" i="1"/>
  <c r="AT745" i="1"/>
  <c r="AT744" i="1"/>
  <c r="AT743" i="1"/>
  <c r="AT742" i="1"/>
  <c r="AT741" i="1"/>
  <c r="AT740" i="1"/>
  <c r="AT739" i="1"/>
  <c r="AT738" i="1"/>
  <c r="AT737" i="1"/>
  <c r="AT736" i="1"/>
  <c r="AT735" i="1"/>
  <c r="AT734" i="1"/>
  <c r="AT733" i="1"/>
  <c r="AT732" i="1"/>
  <c r="AT731" i="1"/>
  <c r="AT730" i="1"/>
  <c r="AT729" i="1"/>
  <c r="AT728" i="1"/>
  <c r="AT727" i="1"/>
  <c r="AT726" i="1"/>
  <c r="AT725" i="1"/>
  <c r="AT724" i="1"/>
  <c r="AT723" i="1"/>
  <c r="AT722" i="1"/>
  <c r="AT721" i="1"/>
  <c r="AT720" i="1"/>
  <c r="AT719" i="1"/>
  <c r="AT718" i="1"/>
  <c r="AT717" i="1"/>
  <c r="AT713" i="1"/>
  <c r="AT712" i="1"/>
  <c r="AT711" i="1"/>
  <c r="AT710" i="1"/>
  <c r="AT709" i="1"/>
  <c r="AT708" i="1"/>
  <c r="AT707" i="1"/>
  <c r="AT706" i="1"/>
  <c r="AT705" i="1"/>
  <c r="AT704" i="1"/>
  <c r="AT703" i="1"/>
  <c r="AT702" i="1"/>
  <c r="AT701" i="1"/>
  <c r="AT700" i="1"/>
  <c r="AT699" i="1"/>
  <c r="AT698" i="1"/>
  <c r="AT697" i="1"/>
  <c r="AT696" i="1"/>
  <c r="AT695" i="1"/>
  <c r="AT694" i="1"/>
  <c r="AT693" i="1"/>
  <c r="AT692" i="1"/>
  <c r="AT691" i="1"/>
  <c r="AT690" i="1"/>
  <c r="AT689" i="1"/>
  <c r="AT688" i="1"/>
  <c r="AT687" i="1"/>
  <c r="AT686" i="1"/>
  <c r="AT685" i="1"/>
  <c r="AT684" i="1"/>
  <c r="AT683" i="1"/>
  <c r="AT682" i="1"/>
  <c r="AT681" i="1"/>
  <c r="AT680" i="1"/>
  <c r="AT679" i="1"/>
  <c r="AT678" i="1"/>
  <c r="AT677" i="1"/>
  <c r="AT676" i="1"/>
  <c r="AT675" i="1"/>
  <c r="AT674" i="1"/>
  <c r="AT673" i="1"/>
  <c r="AT672" i="1"/>
  <c r="AT671" i="1"/>
  <c r="AT670" i="1"/>
  <c r="AT669" i="1"/>
  <c r="AT668" i="1"/>
  <c r="AT667" i="1"/>
  <c r="AT666" i="1"/>
  <c r="AT665" i="1"/>
  <c r="AT664" i="1"/>
  <c r="AT663" i="1"/>
  <c r="AT662" i="1"/>
  <c r="AT661" i="1"/>
  <c r="AT660" i="1"/>
  <c r="AT659" i="1"/>
  <c r="AT658" i="1"/>
  <c r="AT657" i="1"/>
  <c r="AT656" i="1"/>
  <c r="AT655" i="1"/>
  <c r="AT654" i="1"/>
  <c r="AT653" i="1"/>
  <c r="AT652" i="1"/>
  <c r="AT651" i="1"/>
  <c r="AT650" i="1"/>
  <c r="AT649" i="1"/>
  <c r="AT648" i="1"/>
  <c r="AT647" i="1"/>
  <c r="AT646" i="1"/>
  <c r="AT645" i="1"/>
  <c r="AT644" i="1"/>
  <c r="AT643" i="1"/>
  <c r="AT642" i="1"/>
  <c r="AT641" i="1"/>
  <c r="AT640" i="1"/>
  <c r="AT639" i="1"/>
  <c r="AT638" i="1"/>
  <c r="AT637" i="1"/>
  <c r="AT636" i="1"/>
  <c r="AT635" i="1"/>
  <c r="AT634" i="1"/>
  <c r="AT633" i="1"/>
  <c r="AT632" i="1"/>
  <c r="AT631" i="1"/>
  <c r="AT630" i="1"/>
  <c r="AT629" i="1"/>
  <c r="AT628" i="1"/>
  <c r="AT627" i="1"/>
  <c r="AT626" i="1"/>
  <c r="AT625" i="1"/>
  <c r="AT624" i="1"/>
  <c r="AT623" i="1"/>
  <c r="AT622" i="1"/>
  <c r="AT621" i="1"/>
  <c r="AT620" i="1"/>
  <c r="AT619" i="1"/>
  <c r="AT618" i="1"/>
  <c r="AT617" i="1"/>
  <c r="AT616" i="1"/>
  <c r="AT615" i="1"/>
  <c r="AT614" i="1"/>
  <c r="AT613" i="1"/>
  <c r="AT612" i="1"/>
  <c r="AT611" i="1"/>
  <c r="AT610" i="1"/>
  <c r="AT609" i="1"/>
  <c r="AT608" i="1"/>
  <c r="AT607" i="1"/>
  <c r="AT606" i="1"/>
  <c r="AT605" i="1"/>
  <c r="AT604" i="1"/>
  <c r="AT603" i="1"/>
  <c r="AT602" i="1"/>
  <c r="AT601" i="1"/>
  <c r="AT600" i="1"/>
  <c r="AT599" i="1"/>
  <c r="AT598" i="1"/>
  <c r="AT597" i="1"/>
  <c r="AT596" i="1"/>
  <c r="AT595" i="1"/>
  <c r="AT594" i="1"/>
  <c r="AT593" i="1"/>
  <c r="AT592" i="1"/>
  <c r="AT591" i="1"/>
  <c r="AT590" i="1"/>
  <c r="AT589" i="1"/>
  <c r="AT588" i="1"/>
  <c r="AT587" i="1"/>
  <c r="AT586" i="1"/>
  <c r="AT585" i="1"/>
  <c r="AT584" i="1"/>
  <c r="AT583" i="1"/>
  <c r="AT582" i="1"/>
  <c r="AT581" i="1"/>
  <c r="AT580" i="1"/>
  <c r="AT579" i="1"/>
  <c r="AT578" i="1"/>
  <c r="AT577" i="1"/>
  <c r="AT576" i="1"/>
  <c r="AT575" i="1"/>
  <c r="AT574" i="1"/>
  <c r="AT573" i="1"/>
  <c r="AT572" i="1"/>
  <c r="AT571" i="1"/>
  <c r="AT570" i="1"/>
  <c r="AT569" i="1"/>
  <c r="AT568" i="1"/>
  <c r="AT567" i="1"/>
  <c r="AT566" i="1"/>
  <c r="AT565" i="1"/>
  <c r="AT564" i="1"/>
  <c r="AT563" i="1"/>
  <c r="AT562" i="1"/>
  <c r="AT561" i="1"/>
  <c r="AT560" i="1"/>
  <c r="AT559" i="1"/>
  <c r="AT558" i="1"/>
  <c r="AT557" i="1"/>
  <c r="AT556" i="1"/>
  <c r="AT555" i="1"/>
  <c r="AT554" i="1"/>
  <c r="AT553" i="1"/>
  <c r="AT552" i="1"/>
  <c r="AT551" i="1"/>
  <c r="AT550" i="1"/>
  <c r="AT549" i="1"/>
  <c r="AT548" i="1"/>
  <c r="AT547" i="1"/>
  <c r="AT546" i="1"/>
  <c r="AT545" i="1"/>
  <c r="AT544" i="1"/>
  <c r="AT543" i="1"/>
  <c r="AT542" i="1"/>
  <c r="AT541" i="1"/>
  <c r="AT540" i="1"/>
  <c r="AT539" i="1"/>
  <c r="AT538" i="1"/>
  <c r="AT537" i="1"/>
  <c r="AT536" i="1"/>
  <c r="AT535" i="1"/>
  <c r="AT534" i="1"/>
  <c r="AT533" i="1"/>
  <c r="AT532" i="1"/>
  <c r="AT531" i="1"/>
  <c r="AT530" i="1"/>
  <c r="AT529" i="1"/>
  <c r="AT528" i="1"/>
  <c r="AT527" i="1"/>
  <c r="AT526" i="1"/>
  <c r="AT525" i="1"/>
  <c r="AT524" i="1"/>
  <c r="AT523" i="1"/>
  <c r="AT522" i="1"/>
  <c r="AT521" i="1"/>
  <c r="AT520" i="1"/>
  <c r="AT519" i="1"/>
  <c r="AT518" i="1"/>
  <c r="AT517" i="1"/>
  <c r="AT516" i="1"/>
  <c r="AT515" i="1"/>
  <c r="AT514" i="1"/>
  <c r="AT513" i="1"/>
  <c r="AT512" i="1"/>
  <c r="AT511" i="1"/>
  <c r="AT510" i="1"/>
  <c r="AT509" i="1"/>
  <c r="AT508" i="1"/>
  <c r="AT507" i="1"/>
  <c r="AT506" i="1"/>
  <c r="AT505" i="1"/>
  <c r="AT504" i="1"/>
  <c r="AT503" i="1"/>
  <c r="AT502" i="1"/>
  <c r="AT501" i="1"/>
  <c r="AT500" i="1"/>
  <c r="AT499" i="1"/>
  <c r="AT498" i="1"/>
  <c r="AT497" i="1"/>
  <c r="AT496" i="1"/>
  <c r="AT495" i="1"/>
  <c r="AT494" i="1"/>
  <c r="AT493" i="1"/>
  <c r="AT492" i="1"/>
  <c r="AT491" i="1"/>
  <c r="AT490" i="1"/>
  <c r="AT489" i="1"/>
  <c r="AT488" i="1"/>
  <c r="AT487" i="1"/>
  <c r="AT486" i="1"/>
  <c r="AT485" i="1"/>
  <c r="AT484" i="1"/>
  <c r="AT483" i="1"/>
  <c r="AT482" i="1"/>
  <c r="AT481" i="1"/>
  <c r="AT480" i="1"/>
  <c r="AT479" i="1"/>
  <c r="AT478" i="1"/>
  <c r="AT477" i="1"/>
  <c r="AT476" i="1"/>
  <c r="AT475" i="1"/>
  <c r="AT474" i="1"/>
  <c r="AT473" i="1"/>
  <c r="AT472" i="1"/>
  <c r="AT471" i="1"/>
  <c r="AT470" i="1"/>
  <c r="AT469" i="1"/>
  <c r="AT468" i="1"/>
  <c r="AT467" i="1"/>
  <c r="AT466" i="1"/>
  <c r="AT465" i="1"/>
  <c r="AT464" i="1"/>
  <c r="AT463" i="1"/>
  <c r="AT462" i="1"/>
  <c r="AT461" i="1"/>
  <c r="AT460" i="1"/>
  <c r="AT459" i="1"/>
  <c r="AT458" i="1"/>
  <c r="AT457" i="1"/>
  <c r="AT456" i="1"/>
  <c r="AT455" i="1"/>
  <c r="AT454" i="1"/>
  <c r="AT453" i="1"/>
  <c r="AT452" i="1"/>
  <c r="AT451" i="1"/>
  <c r="AT450" i="1"/>
  <c r="AT449" i="1"/>
  <c r="AT448" i="1"/>
  <c r="AT447" i="1"/>
  <c r="AT446" i="1"/>
  <c r="AT445" i="1"/>
  <c r="AT444" i="1"/>
  <c r="AT443" i="1"/>
  <c r="AT442" i="1"/>
  <c r="AT441" i="1"/>
  <c r="AT440" i="1"/>
  <c r="AT439" i="1"/>
  <c r="AT438" i="1"/>
  <c r="AT437" i="1"/>
  <c r="AT436" i="1"/>
  <c r="AT435" i="1"/>
  <c r="AT434" i="1"/>
  <c r="AT433" i="1"/>
  <c r="AT432" i="1"/>
  <c r="AT431" i="1"/>
  <c r="AT430" i="1"/>
  <c r="AT429" i="1"/>
  <c r="AT428" i="1"/>
  <c r="AT427" i="1"/>
  <c r="AT426" i="1"/>
  <c r="AT425" i="1"/>
  <c r="AT424" i="1"/>
  <c r="AT423" i="1"/>
  <c r="AT422" i="1"/>
  <c r="AT421" i="1"/>
  <c r="AT420" i="1"/>
  <c r="AT419" i="1"/>
  <c r="AT418" i="1"/>
  <c r="AT417" i="1"/>
  <c r="AT416" i="1"/>
  <c r="AT415" i="1"/>
  <c r="AT414" i="1"/>
  <c r="AT413" i="1"/>
  <c r="AT412" i="1"/>
  <c r="AT411" i="1"/>
  <c r="AT410" i="1"/>
  <c r="AT409" i="1"/>
  <c r="AT408" i="1"/>
  <c r="AT407" i="1"/>
  <c r="AT406" i="1"/>
  <c r="AT405" i="1"/>
  <c r="AT404" i="1"/>
  <c r="AT403" i="1"/>
  <c r="AT402" i="1"/>
  <c r="AT401" i="1"/>
  <c r="AT400" i="1"/>
  <c r="AT399" i="1"/>
  <c r="AT398" i="1"/>
  <c r="AT397" i="1"/>
  <c r="AT396" i="1"/>
  <c r="AT395" i="1"/>
  <c r="AT394" i="1"/>
  <c r="AT393" i="1"/>
  <c r="AT392" i="1"/>
  <c r="AT391" i="1"/>
  <c r="AT390" i="1"/>
  <c r="AT389" i="1"/>
  <c r="AT388" i="1"/>
  <c r="AT387" i="1"/>
  <c r="AT386" i="1"/>
  <c r="AT385" i="1"/>
  <c r="AT384" i="1"/>
  <c r="AT383" i="1"/>
  <c r="AT382" i="1"/>
  <c r="AT381" i="1"/>
  <c r="AT380" i="1"/>
  <c r="AT379" i="1"/>
  <c r="AT378" i="1"/>
  <c r="AT377" i="1"/>
  <c r="AT376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T361" i="1"/>
  <c r="AT360" i="1"/>
  <c r="AT359" i="1"/>
  <c r="AT358" i="1"/>
  <c r="AT357" i="1"/>
  <c r="AT356" i="1"/>
  <c r="AT355" i="1"/>
  <c r="AT354" i="1"/>
  <c r="AT353" i="1"/>
  <c r="AT352" i="1"/>
  <c r="AT351" i="1"/>
  <c r="AT350" i="1"/>
  <c r="AT349" i="1"/>
  <c r="AT348" i="1"/>
  <c r="AT347" i="1"/>
  <c r="AT346" i="1"/>
  <c r="AT345" i="1"/>
  <c r="AT344" i="1"/>
  <c r="AT343" i="1"/>
  <c r="AT342" i="1"/>
  <c r="AT341" i="1"/>
  <c r="AT340" i="1"/>
  <c r="AT339" i="1"/>
  <c r="AT338" i="1"/>
  <c r="AT337" i="1"/>
  <c r="AT336" i="1"/>
  <c r="AT335" i="1"/>
  <c r="AT334" i="1"/>
  <c r="AT333" i="1"/>
  <c r="AT332" i="1"/>
  <c r="AT331" i="1"/>
  <c r="AT330" i="1"/>
  <c r="AT329" i="1"/>
  <c r="AT328" i="1"/>
  <c r="AT327" i="1"/>
  <c r="AT326" i="1"/>
  <c r="AT325" i="1"/>
  <c r="AT324" i="1"/>
  <c r="AT323" i="1"/>
  <c r="AT322" i="1"/>
  <c r="AT321" i="1"/>
  <c r="AT320" i="1"/>
  <c r="AT319" i="1"/>
  <c r="AT318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T2" i="1"/>
  <c r="BI953" i="1"/>
  <c r="BH953" i="1"/>
  <c r="BE953" i="1"/>
  <c r="BD953" i="1"/>
  <c r="BC953" i="1"/>
  <c r="BI952" i="1"/>
  <c r="BH952" i="1"/>
  <c r="BE952" i="1"/>
  <c r="BD952" i="1"/>
  <c r="BC952" i="1"/>
  <c r="BI951" i="1"/>
  <c r="BH951" i="1"/>
  <c r="BE951" i="1"/>
  <c r="BD951" i="1"/>
  <c r="BC951" i="1"/>
  <c r="BI950" i="1"/>
  <c r="BH950" i="1"/>
  <c r="BE950" i="1"/>
  <c r="BD950" i="1"/>
  <c r="BC950" i="1"/>
  <c r="BI949" i="1"/>
  <c r="BH949" i="1"/>
  <c r="BE949" i="1"/>
  <c r="BD949" i="1"/>
  <c r="BC949" i="1"/>
  <c r="BI948" i="1"/>
  <c r="BH948" i="1"/>
  <c r="BE948" i="1"/>
  <c r="BD948" i="1"/>
  <c r="BC948" i="1"/>
  <c r="BI947" i="1"/>
  <c r="BH947" i="1"/>
  <c r="BE947" i="1"/>
  <c r="BD947" i="1"/>
  <c r="BC947" i="1"/>
  <c r="BI946" i="1"/>
  <c r="BH946" i="1"/>
  <c r="BE946" i="1"/>
  <c r="BD946" i="1"/>
  <c r="BC946" i="1"/>
  <c r="BI945" i="1"/>
  <c r="BH945" i="1"/>
  <c r="BE945" i="1"/>
  <c r="BD945" i="1"/>
  <c r="BC945" i="1"/>
  <c r="BI944" i="1"/>
  <c r="BH944" i="1"/>
  <c r="BE944" i="1"/>
  <c r="BD944" i="1"/>
  <c r="BC944" i="1"/>
  <c r="BI943" i="1"/>
  <c r="BH943" i="1"/>
  <c r="BE943" i="1"/>
  <c r="BD943" i="1"/>
  <c r="BC943" i="1"/>
  <c r="BI942" i="1"/>
  <c r="BH942" i="1"/>
  <c r="BE942" i="1"/>
  <c r="BD942" i="1"/>
  <c r="BC942" i="1"/>
  <c r="BI941" i="1"/>
  <c r="BH941" i="1"/>
  <c r="BE941" i="1"/>
  <c r="BD941" i="1"/>
  <c r="BC941" i="1"/>
  <c r="BI940" i="1"/>
  <c r="BH940" i="1"/>
  <c r="BE940" i="1"/>
  <c r="BD940" i="1"/>
  <c r="BC940" i="1"/>
  <c r="BI939" i="1"/>
  <c r="BH939" i="1"/>
  <c r="BE939" i="1"/>
  <c r="BD939" i="1"/>
  <c r="BC939" i="1"/>
  <c r="BI968" i="1"/>
  <c r="BH968" i="1"/>
  <c r="BE968" i="1"/>
  <c r="BD968" i="1"/>
  <c r="BC968" i="1"/>
  <c r="BI967" i="1"/>
  <c r="BH967" i="1"/>
  <c r="BE967" i="1"/>
  <c r="BD967" i="1"/>
  <c r="BC967" i="1"/>
  <c r="BI966" i="1"/>
  <c r="BH966" i="1"/>
  <c r="BE966" i="1"/>
  <c r="BD966" i="1"/>
  <c r="BC966" i="1"/>
  <c r="BI716" i="1"/>
  <c r="BH716" i="1"/>
  <c r="BE716" i="1"/>
  <c r="BD716" i="1"/>
  <c r="BC716" i="1"/>
  <c r="BI715" i="1"/>
  <c r="BH715" i="1"/>
  <c r="BE715" i="1"/>
  <c r="BD715" i="1"/>
  <c r="BC715" i="1"/>
  <c r="BI714" i="1"/>
  <c r="BH714" i="1"/>
  <c r="BE714" i="1"/>
  <c r="BD714" i="1"/>
  <c r="BC714" i="1"/>
  <c r="BI1302" i="1"/>
  <c r="BH1302" i="1"/>
  <c r="BE1302" i="1"/>
  <c r="BD1302" i="1"/>
  <c r="BC1302" i="1"/>
  <c r="BB953" i="1"/>
  <c r="BA953" i="1"/>
  <c r="AZ953" i="1"/>
  <c r="AY953" i="1"/>
  <c r="AX953" i="1"/>
  <c r="AW953" i="1"/>
  <c r="AV953" i="1"/>
  <c r="AU953" i="1"/>
  <c r="BB952" i="1"/>
  <c r="BA952" i="1"/>
  <c r="AZ952" i="1"/>
  <c r="AY952" i="1"/>
  <c r="AX952" i="1"/>
  <c r="AW952" i="1"/>
  <c r="AV952" i="1"/>
  <c r="AU952" i="1"/>
  <c r="BB951" i="1"/>
  <c r="BA951" i="1"/>
  <c r="AZ951" i="1"/>
  <c r="AY951" i="1"/>
  <c r="AX951" i="1"/>
  <c r="AW951" i="1"/>
  <c r="AV951" i="1"/>
  <c r="AU951" i="1"/>
  <c r="BB950" i="1"/>
  <c r="BA950" i="1"/>
  <c r="AZ950" i="1"/>
  <c r="AY950" i="1"/>
  <c r="AX950" i="1"/>
  <c r="AW950" i="1"/>
  <c r="AV950" i="1"/>
  <c r="AU950" i="1"/>
  <c r="BB949" i="1"/>
  <c r="BA949" i="1"/>
  <c r="AZ949" i="1"/>
  <c r="AY949" i="1"/>
  <c r="AX949" i="1"/>
  <c r="AW949" i="1"/>
  <c r="AV949" i="1"/>
  <c r="AU949" i="1"/>
  <c r="BB948" i="1"/>
  <c r="BA948" i="1"/>
  <c r="AZ948" i="1"/>
  <c r="AY948" i="1"/>
  <c r="AX948" i="1"/>
  <c r="AW948" i="1"/>
  <c r="AV948" i="1"/>
  <c r="AU948" i="1"/>
  <c r="BB947" i="1"/>
  <c r="BA947" i="1"/>
  <c r="AZ947" i="1"/>
  <c r="AY947" i="1"/>
  <c r="AX947" i="1"/>
  <c r="AW947" i="1"/>
  <c r="AV947" i="1"/>
  <c r="AU947" i="1"/>
  <c r="BB946" i="1"/>
  <c r="BA946" i="1"/>
  <c r="AZ946" i="1"/>
  <c r="AY946" i="1"/>
  <c r="AX946" i="1"/>
  <c r="AW946" i="1"/>
  <c r="AV946" i="1"/>
  <c r="AU946" i="1"/>
  <c r="BB945" i="1"/>
  <c r="BA945" i="1"/>
  <c r="AZ945" i="1"/>
  <c r="AY945" i="1"/>
  <c r="AX945" i="1"/>
  <c r="AW945" i="1"/>
  <c r="AV945" i="1"/>
  <c r="AU945" i="1"/>
  <c r="BB944" i="1"/>
  <c r="BA944" i="1"/>
  <c r="AZ944" i="1"/>
  <c r="AY944" i="1"/>
  <c r="AX944" i="1"/>
  <c r="AW944" i="1"/>
  <c r="AV944" i="1"/>
  <c r="AU944" i="1"/>
  <c r="BB943" i="1"/>
  <c r="BA943" i="1"/>
  <c r="AZ943" i="1"/>
  <c r="AY943" i="1"/>
  <c r="AX943" i="1"/>
  <c r="AW943" i="1"/>
  <c r="AV943" i="1"/>
  <c r="AU943" i="1"/>
  <c r="BB942" i="1"/>
  <c r="BA942" i="1"/>
  <c r="AZ942" i="1"/>
  <c r="AY942" i="1"/>
  <c r="AX942" i="1"/>
  <c r="AW942" i="1"/>
  <c r="AV942" i="1"/>
  <c r="AU942" i="1"/>
  <c r="BB941" i="1"/>
  <c r="BA941" i="1"/>
  <c r="AZ941" i="1"/>
  <c r="AY941" i="1"/>
  <c r="AX941" i="1"/>
  <c r="AW941" i="1"/>
  <c r="AV941" i="1"/>
  <c r="AU941" i="1"/>
  <c r="BB940" i="1"/>
  <c r="BA940" i="1"/>
  <c r="AZ940" i="1"/>
  <c r="AY940" i="1"/>
  <c r="AX940" i="1"/>
  <c r="AW940" i="1"/>
  <c r="AV940" i="1"/>
  <c r="AU940" i="1"/>
  <c r="BB939" i="1"/>
  <c r="BA939" i="1"/>
  <c r="AZ939" i="1"/>
  <c r="AY939" i="1"/>
  <c r="AX939" i="1"/>
  <c r="AW939" i="1"/>
  <c r="AV939" i="1"/>
  <c r="AU939" i="1"/>
  <c r="BB968" i="1"/>
  <c r="BA968" i="1"/>
  <c r="AZ968" i="1"/>
  <c r="AY968" i="1"/>
  <c r="AX968" i="1"/>
  <c r="AW968" i="1"/>
  <c r="AV968" i="1"/>
  <c r="BB967" i="1"/>
  <c r="BA967" i="1"/>
  <c r="AZ967" i="1"/>
  <c r="AY967" i="1"/>
  <c r="AX967" i="1"/>
  <c r="AW967" i="1"/>
  <c r="AV967" i="1"/>
  <c r="BB966" i="1"/>
  <c r="BA966" i="1"/>
  <c r="AZ966" i="1"/>
  <c r="AY966" i="1"/>
  <c r="AX966" i="1"/>
  <c r="AW966" i="1"/>
  <c r="AV966" i="1"/>
  <c r="BB716" i="1"/>
  <c r="BA716" i="1"/>
  <c r="AZ716" i="1"/>
  <c r="AY716" i="1"/>
  <c r="AX716" i="1"/>
  <c r="AV716" i="1"/>
  <c r="BB715" i="1"/>
  <c r="BA715" i="1"/>
  <c r="AZ715" i="1"/>
  <c r="AY715" i="1"/>
  <c r="AX715" i="1"/>
  <c r="AV715" i="1"/>
  <c r="BB714" i="1"/>
  <c r="BA714" i="1"/>
  <c r="AZ714" i="1"/>
  <c r="AY714" i="1"/>
  <c r="AX714" i="1"/>
  <c r="AV714" i="1"/>
  <c r="BB1302" i="1"/>
  <c r="BA1302" i="1"/>
  <c r="AZ1302" i="1"/>
  <c r="AY1302" i="1"/>
  <c r="AX1302" i="1"/>
  <c r="AW1302" i="1"/>
  <c r="AV1302" i="1"/>
  <c r="AU1302" i="1"/>
  <c r="AN953" i="1"/>
  <c r="BG953" i="1" s="1"/>
  <c r="AM953" i="1"/>
  <c r="BF953" i="1" s="1"/>
  <c r="AN952" i="1"/>
  <c r="BG952" i="1" s="1"/>
  <c r="AM952" i="1"/>
  <c r="BF952" i="1" s="1"/>
  <c r="AN951" i="1"/>
  <c r="BG951" i="1" s="1"/>
  <c r="AM951" i="1"/>
  <c r="BF951" i="1" s="1"/>
  <c r="AN950" i="1"/>
  <c r="BG950" i="1" s="1"/>
  <c r="AM950" i="1"/>
  <c r="BF950" i="1" s="1"/>
  <c r="AN949" i="1"/>
  <c r="BG949" i="1" s="1"/>
  <c r="AM949" i="1"/>
  <c r="BF949" i="1" s="1"/>
  <c r="AN948" i="1"/>
  <c r="BG948" i="1" s="1"/>
  <c r="AM948" i="1"/>
  <c r="BF948" i="1" s="1"/>
  <c r="AN947" i="1"/>
  <c r="BG947" i="1" s="1"/>
  <c r="AM947" i="1"/>
  <c r="BF947" i="1" s="1"/>
  <c r="AN946" i="1"/>
  <c r="BG946" i="1" s="1"/>
  <c r="AM946" i="1"/>
  <c r="BF946" i="1" s="1"/>
  <c r="AN945" i="1"/>
  <c r="BG945" i="1" s="1"/>
  <c r="AM945" i="1"/>
  <c r="BF945" i="1" s="1"/>
  <c r="AN944" i="1"/>
  <c r="BG944" i="1" s="1"/>
  <c r="AM944" i="1"/>
  <c r="BF944" i="1" s="1"/>
  <c r="AN943" i="1"/>
  <c r="BG943" i="1" s="1"/>
  <c r="AM943" i="1"/>
  <c r="BF943" i="1" s="1"/>
  <c r="AN942" i="1"/>
  <c r="BG942" i="1" s="1"/>
  <c r="AM942" i="1"/>
  <c r="BF942" i="1" s="1"/>
  <c r="AN941" i="1"/>
  <c r="BG941" i="1" s="1"/>
  <c r="AM941" i="1"/>
  <c r="BF941" i="1" s="1"/>
  <c r="AN940" i="1"/>
  <c r="BG940" i="1" s="1"/>
  <c r="AN939" i="1"/>
  <c r="BG939" i="1" s="1"/>
  <c r="AN968" i="1"/>
  <c r="BG968" i="1" s="1"/>
  <c r="AM968" i="1"/>
  <c r="BF968" i="1" s="1"/>
  <c r="AN967" i="1"/>
  <c r="BG967" i="1" s="1"/>
  <c r="AM967" i="1"/>
  <c r="BF967" i="1" s="1"/>
  <c r="AN966" i="1"/>
  <c r="BG966" i="1" s="1"/>
  <c r="AM966" i="1"/>
  <c r="BF966" i="1" s="1"/>
  <c r="AN716" i="1"/>
  <c r="BG716" i="1" s="1"/>
  <c r="AM716" i="1"/>
  <c r="BF716" i="1" s="1"/>
  <c r="AN715" i="1"/>
  <c r="BG715" i="1" s="1"/>
  <c r="AM715" i="1"/>
  <c r="BF715" i="1" s="1"/>
  <c r="AN714" i="1"/>
  <c r="BG714" i="1" s="1"/>
  <c r="AM714" i="1"/>
  <c r="BF714" i="1" s="1"/>
  <c r="AI940" i="1"/>
  <c r="AM940" i="1" s="1"/>
  <c r="BF940" i="1" s="1"/>
  <c r="AI939" i="1"/>
  <c r="AM939" i="1" s="1"/>
  <c r="BF939" i="1" s="1"/>
  <c r="B968" i="1"/>
  <c r="AU968" i="1" s="1"/>
  <c r="B967" i="1"/>
  <c r="AU967" i="1" s="1"/>
  <c r="B966" i="1"/>
  <c r="AU966" i="1" s="1"/>
  <c r="B716" i="1"/>
  <c r="D716" i="1" s="1"/>
  <c r="AW716" i="1" s="1"/>
  <c r="B715" i="1"/>
  <c r="D715" i="1" s="1"/>
  <c r="AW715" i="1" s="1"/>
  <c r="B714" i="1"/>
  <c r="D714" i="1" s="1"/>
  <c r="AW714" i="1" s="1"/>
  <c r="BI807" i="1"/>
  <c r="BH807" i="1"/>
  <c r="BE807" i="1"/>
  <c r="BD807" i="1"/>
  <c r="BC807" i="1"/>
  <c r="BI806" i="1"/>
  <c r="BH806" i="1"/>
  <c r="BE806" i="1"/>
  <c r="BD806" i="1"/>
  <c r="BC806" i="1"/>
  <c r="BI805" i="1"/>
  <c r="BH805" i="1"/>
  <c r="BE805" i="1"/>
  <c r="BD805" i="1"/>
  <c r="BC805" i="1"/>
  <c r="BI804" i="1"/>
  <c r="BH804" i="1"/>
  <c r="BE804" i="1"/>
  <c r="BD804" i="1"/>
  <c r="BC804" i="1"/>
  <c r="AZ807" i="1"/>
  <c r="AY807" i="1"/>
  <c r="AX807" i="1"/>
  <c r="AW807" i="1"/>
  <c r="AV807" i="1"/>
  <c r="AU807" i="1"/>
  <c r="AZ806" i="1"/>
  <c r="AY806" i="1"/>
  <c r="AX806" i="1"/>
  <c r="AW806" i="1"/>
  <c r="AV806" i="1"/>
  <c r="AU806" i="1"/>
  <c r="AZ805" i="1"/>
  <c r="AY805" i="1"/>
  <c r="AX805" i="1"/>
  <c r="AW805" i="1"/>
  <c r="AV805" i="1"/>
  <c r="AU805" i="1"/>
  <c r="AZ804" i="1"/>
  <c r="AY804" i="1"/>
  <c r="AX804" i="1"/>
  <c r="AW804" i="1"/>
  <c r="AV804" i="1"/>
  <c r="AU804" i="1"/>
  <c r="BB803" i="1"/>
  <c r="BA803" i="1"/>
  <c r="AZ803" i="1"/>
  <c r="AY803" i="1"/>
  <c r="AX803" i="1"/>
  <c r="AW803" i="1"/>
  <c r="AV803" i="1"/>
  <c r="AU803" i="1"/>
  <c r="AN807" i="1"/>
  <c r="BG807" i="1" s="1"/>
  <c r="AM807" i="1"/>
  <c r="BF807" i="1" s="1"/>
  <c r="AN806" i="1"/>
  <c r="BG806" i="1" s="1"/>
  <c r="AM806" i="1"/>
  <c r="BF806" i="1" s="1"/>
  <c r="AN805" i="1"/>
  <c r="BG805" i="1" s="1"/>
  <c r="AM805" i="1"/>
  <c r="BF805" i="1" s="1"/>
  <c r="AN804" i="1"/>
  <c r="BG804" i="1" s="1"/>
  <c r="AM804" i="1"/>
  <c r="BF804" i="1" s="1"/>
  <c r="J806" i="1"/>
  <c r="L806" i="1" s="1"/>
  <c r="BB806" i="1" s="1"/>
  <c r="J807" i="1"/>
  <c r="BA807" i="1" s="1"/>
  <c r="J805" i="1"/>
  <c r="L805" i="1" s="1"/>
  <c r="BB805" i="1" s="1"/>
  <c r="J804" i="1"/>
  <c r="BA804" i="1" s="1"/>
  <c r="B692" i="1"/>
  <c r="CI1304" i="1" l="1"/>
  <c r="CJ1304" i="1" s="1"/>
  <c r="CH1303" i="1"/>
  <c r="CI1305" i="1"/>
  <c r="CJ1305" i="1" s="1"/>
  <c r="AU714" i="1"/>
  <c r="AU715" i="1"/>
  <c r="AU716" i="1"/>
  <c r="L804" i="1"/>
  <c r="BB804" i="1" s="1"/>
  <c r="BA806" i="1"/>
  <c r="BA805" i="1"/>
  <c r="L807" i="1"/>
  <c r="BB807" i="1" s="1"/>
  <c r="AN17" i="1"/>
  <c r="AM17" i="1"/>
  <c r="BI1292" i="1"/>
  <c r="BH1292" i="1"/>
  <c r="BE1292" i="1"/>
  <c r="BD1292" i="1"/>
  <c r="BC1292" i="1"/>
  <c r="BI1291" i="1"/>
  <c r="BH1291" i="1"/>
  <c r="BE1291" i="1"/>
  <c r="BD1291" i="1"/>
  <c r="BC1291" i="1"/>
  <c r="BI1290" i="1"/>
  <c r="BH1290" i="1"/>
  <c r="BE1290" i="1"/>
  <c r="BD1290" i="1"/>
  <c r="BC1290" i="1"/>
  <c r="BI884" i="1"/>
  <c r="BH884" i="1"/>
  <c r="BE884" i="1"/>
  <c r="BD884" i="1"/>
  <c r="BC884" i="1"/>
  <c r="BI883" i="1"/>
  <c r="BH883" i="1"/>
  <c r="BE883" i="1"/>
  <c r="BD883" i="1"/>
  <c r="BC883" i="1"/>
  <c r="BI882" i="1"/>
  <c r="BH882" i="1"/>
  <c r="BE882" i="1"/>
  <c r="BD882" i="1"/>
  <c r="BC882" i="1"/>
  <c r="BI881" i="1"/>
  <c r="BH881" i="1"/>
  <c r="BE881" i="1"/>
  <c r="BD881" i="1"/>
  <c r="BC881" i="1"/>
  <c r="BI880" i="1"/>
  <c r="BH880" i="1"/>
  <c r="BE880" i="1"/>
  <c r="BD880" i="1"/>
  <c r="BC880" i="1"/>
  <c r="BI879" i="1"/>
  <c r="BH879" i="1"/>
  <c r="BE879" i="1"/>
  <c r="BD879" i="1"/>
  <c r="BC879" i="1"/>
  <c r="BI878" i="1"/>
  <c r="BH878" i="1"/>
  <c r="BE878" i="1"/>
  <c r="BD878" i="1"/>
  <c r="BC878" i="1"/>
  <c r="BI877" i="1"/>
  <c r="BH877" i="1"/>
  <c r="BE877" i="1"/>
  <c r="BD877" i="1"/>
  <c r="BC877" i="1"/>
  <c r="BI1191" i="1"/>
  <c r="BH1191" i="1"/>
  <c r="BE1191" i="1"/>
  <c r="BD1191" i="1"/>
  <c r="BC1191" i="1"/>
  <c r="BI1190" i="1"/>
  <c r="BH1190" i="1"/>
  <c r="BE1190" i="1"/>
  <c r="BD1190" i="1"/>
  <c r="BC1190" i="1"/>
  <c r="BI1189" i="1"/>
  <c r="BH1189" i="1"/>
  <c r="BE1189" i="1"/>
  <c r="BD1189" i="1"/>
  <c r="BC1189" i="1"/>
  <c r="BI1188" i="1"/>
  <c r="BH1188" i="1"/>
  <c r="BE1188" i="1"/>
  <c r="BD1188" i="1"/>
  <c r="BC1188" i="1"/>
  <c r="BI1187" i="1"/>
  <c r="BH1187" i="1"/>
  <c r="BE1187" i="1"/>
  <c r="BD1187" i="1"/>
  <c r="BC1187" i="1"/>
  <c r="BI1186" i="1"/>
  <c r="BH1186" i="1"/>
  <c r="BE1186" i="1"/>
  <c r="BD1186" i="1"/>
  <c r="BC1186" i="1"/>
  <c r="BI1185" i="1"/>
  <c r="BH1185" i="1"/>
  <c r="BE1185" i="1"/>
  <c r="BD1185" i="1"/>
  <c r="BC1185" i="1"/>
  <c r="BI1184" i="1"/>
  <c r="BH1184" i="1"/>
  <c r="BE1184" i="1"/>
  <c r="BD1184" i="1"/>
  <c r="BC1184" i="1"/>
  <c r="BI1183" i="1"/>
  <c r="BH1183" i="1"/>
  <c r="BE1183" i="1"/>
  <c r="BD1183" i="1"/>
  <c r="BC1183" i="1"/>
  <c r="BI1182" i="1"/>
  <c r="BH1182" i="1"/>
  <c r="BE1182" i="1"/>
  <c r="BD1182" i="1"/>
  <c r="BC1182" i="1"/>
  <c r="BI1181" i="1"/>
  <c r="BH1181" i="1"/>
  <c r="BE1181" i="1"/>
  <c r="BD1181" i="1"/>
  <c r="BC1181" i="1"/>
  <c r="BI1180" i="1"/>
  <c r="BH1180" i="1"/>
  <c r="BE1180" i="1"/>
  <c r="BD1180" i="1"/>
  <c r="BC1180" i="1"/>
  <c r="BI1179" i="1"/>
  <c r="BH1179" i="1"/>
  <c r="BE1179" i="1"/>
  <c r="BD1179" i="1"/>
  <c r="BC1179" i="1"/>
  <c r="BI1178" i="1"/>
  <c r="BH1178" i="1"/>
  <c r="BE1178" i="1"/>
  <c r="BD1178" i="1"/>
  <c r="BC1178" i="1"/>
  <c r="BI1177" i="1"/>
  <c r="BH1177" i="1"/>
  <c r="BE1177" i="1"/>
  <c r="BD1177" i="1"/>
  <c r="BC1177" i="1"/>
  <c r="BI1176" i="1"/>
  <c r="BH1176" i="1"/>
  <c r="BE1176" i="1"/>
  <c r="BD1176" i="1"/>
  <c r="BC1176" i="1"/>
  <c r="BI1175" i="1"/>
  <c r="BH1175" i="1"/>
  <c r="BE1175" i="1"/>
  <c r="BD1175" i="1"/>
  <c r="BC1175" i="1"/>
  <c r="BI1174" i="1"/>
  <c r="BH1174" i="1"/>
  <c r="BE1174" i="1"/>
  <c r="BD1174" i="1"/>
  <c r="BC1174" i="1"/>
  <c r="BI1173" i="1"/>
  <c r="BH1173" i="1"/>
  <c r="BE1173" i="1"/>
  <c r="BD1173" i="1"/>
  <c r="BC1173" i="1"/>
  <c r="BI1172" i="1"/>
  <c r="BH1172" i="1"/>
  <c r="BE1172" i="1"/>
  <c r="BD1172" i="1"/>
  <c r="BC1172" i="1"/>
  <c r="BI1171" i="1"/>
  <c r="BH1171" i="1"/>
  <c r="BE1171" i="1"/>
  <c r="BD1171" i="1"/>
  <c r="BC1171" i="1"/>
  <c r="BI1170" i="1"/>
  <c r="BH1170" i="1"/>
  <c r="BE1170" i="1"/>
  <c r="BD1170" i="1"/>
  <c r="BC1170" i="1"/>
  <c r="BI1169" i="1"/>
  <c r="BH1169" i="1"/>
  <c r="BE1169" i="1"/>
  <c r="BD1169" i="1"/>
  <c r="BC1169" i="1"/>
  <c r="BI1168" i="1"/>
  <c r="BH1168" i="1"/>
  <c r="BE1168" i="1"/>
  <c r="BD1168" i="1"/>
  <c r="BC1168" i="1"/>
  <c r="BI1167" i="1"/>
  <c r="BH1167" i="1"/>
  <c r="BE1167" i="1"/>
  <c r="BD1167" i="1"/>
  <c r="BC1167" i="1"/>
  <c r="BI1242" i="1"/>
  <c r="BE1242" i="1"/>
  <c r="BD1242" i="1"/>
  <c r="BC1242" i="1"/>
  <c r="BI1241" i="1"/>
  <c r="BE1241" i="1"/>
  <c r="BD1241" i="1"/>
  <c r="BC1241" i="1"/>
  <c r="BI1240" i="1"/>
  <c r="BE1240" i="1"/>
  <c r="BD1240" i="1"/>
  <c r="BC1240" i="1"/>
  <c r="BI1239" i="1"/>
  <c r="BE1239" i="1"/>
  <c r="BD1239" i="1"/>
  <c r="BC1239" i="1"/>
  <c r="BI1238" i="1"/>
  <c r="BE1238" i="1"/>
  <c r="BD1238" i="1"/>
  <c r="BC1238" i="1"/>
  <c r="BI1237" i="1"/>
  <c r="BH1237" i="1"/>
  <c r="BE1237" i="1"/>
  <c r="BD1237" i="1"/>
  <c r="BC1237" i="1"/>
  <c r="BI1236" i="1"/>
  <c r="BH1236" i="1"/>
  <c r="BE1236" i="1"/>
  <c r="BD1236" i="1"/>
  <c r="BC1236" i="1"/>
  <c r="BI1235" i="1"/>
  <c r="BH1235" i="1"/>
  <c r="BE1235" i="1"/>
  <c r="BD1235" i="1"/>
  <c r="BC1235" i="1"/>
  <c r="BI1234" i="1"/>
  <c r="BH1234" i="1"/>
  <c r="BE1234" i="1"/>
  <c r="BD1234" i="1"/>
  <c r="BC1234" i="1"/>
  <c r="BI1159" i="1"/>
  <c r="BH1159" i="1"/>
  <c r="BE1159" i="1"/>
  <c r="BD1159" i="1"/>
  <c r="BC1159" i="1"/>
  <c r="BI1158" i="1"/>
  <c r="BH1158" i="1"/>
  <c r="BE1158" i="1"/>
  <c r="BD1158" i="1"/>
  <c r="BC1158" i="1"/>
  <c r="BI1157" i="1"/>
  <c r="BH1157" i="1"/>
  <c r="BE1157" i="1"/>
  <c r="BD1157" i="1"/>
  <c r="BC1157" i="1"/>
  <c r="BI1156" i="1"/>
  <c r="BH1156" i="1"/>
  <c r="BE1156" i="1"/>
  <c r="BD1156" i="1"/>
  <c r="BC1156" i="1"/>
  <c r="BI1155" i="1"/>
  <c r="BH1155" i="1"/>
  <c r="BE1155" i="1"/>
  <c r="BD1155" i="1"/>
  <c r="BC1155" i="1"/>
  <c r="BI1154" i="1"/>
  <c r="BH1154" i="1"/>
  <c r="BE1154" i="1"/>
  <c r="BD1154" i="1"/>
  <c r="BC1154" i="1"/>
  <c r="BI1153" i="1"/>
  <c r="BH1153" i="1"/>
  <c r="BE1153" i="1"/>
  <c r="BD1153" i="1"/>
  <c r="BC1153" i="1"/>
  <c r="BI48" i="1"/>
  <c r="BH48" i="1"/>
  <c r="BE48" i="1"/>
  <c r="BD48" i="1"/>
  <c r="BC48" i="1"/>
  <c r="BI47" i="1"/>
  <c r="BH47" i="1"/>
  <c r="BE47" i="1"/>
  <c r="BD47" i="1"/>
  <c r="BC47" i="1"/>
  <c r="BI1277" i="1"/>
  <c r="BH1277" i="1"/>
  <c r="BE1277" i="1"/>
  <c r="BD1277" i="1"/>
  <c r="BC1277" i="1"/>
  <c r="BI1276" i="1"/>
  <c r="BH1276" i="1"/>
  <c r="BE1276" i="1"/>
  <c r="BD1276" i="1"/>
  <c r="BC1276" i="1"/>
  <c r="BI1275" i="1"/>
  <c r="BH1275" i="1"/>
  <c r="BE1275" i="1"/>
  <c r="BD1275" i="1"/>
  <c r="BC1275" i="1"/>
  <c r="BI1274" i="1"/>
  <c r="BH1274" i="1"/>
  <c r="BE1274" i="1"/>
  <c r="BD1274" i="1"/>
  <c r="BC1274" i="1"/>
  <c r="BI1273" i="1"/>
  <c r="BH1273" i="1"/>
  <c r="BE1273" i="1"/>
  <c r="BD1273" i="1"/>
  <c r="BC1273" i="1"/>
  <c r="BI1272" i="1"/>
  <c r="BH1272" i="1"/>
  <c r="BE1272" i="1"/>
  <c r="BD1272" i="1"/>
  <c r="BC1272" i="1"/>
  <c r="BI1271" i="1"/>
  <c r="BH1271" i="1"/>
  <c r="BE1271" i="1"/>
  <c r="BD1271" i="1"/>
  <c r="BC1271" i="1"/>
  <c r="BI207" i="1"/>
  <c r="BH207" i="1"/>
  <c r="BE207" i="1"/>
  <c r="BD207" i="1"/>
  <c r="BC207" i="1"/>
  <c r="BI206" i="1"/>
  <c r="BH206" i="1"/>
  <c r="BE206" i="1"/>
  <c r="BD206" i="1"/>
  <c r="BC206" i="1"/>
  <c r="BI205" i="1"/>
  <c r="BH205" i="1"/>
  <c r="BE205" i="1"/>
  <c r="BD205" i="1"/>
  <c r="BC205" i="1"/>
  <c r="BI204" i="1"/>
  <c r="BH204" i="1"/>
  <c r="BE204" i="1"/>
  <c r="BD204" i="1"/>
  <c r="BC204" i="1"/>
  <c r="BI203" i="1"/>
  <c r="BH203" i="1"/>
  <c r="BE203" i="1"/>
  <c r="BD203" i="1"/>
  <c r="BC203" i="1"/>
  <c r="BI86" i="1"/>
  <c r="BH86" i="1"/>
  <c r="BE86" i="1"/>
  <c r="BD86" i="1"/>
  <c r="BC86" i="1"/>
  <c r="BI85" i="1"/>
  <c r="BH85" i="1"/>
  <c r="BE85" i="1"/>
  <c r="BD85" i="1"/>
  <c r="BC85" i="1"/>
  <c r="BI94" i="1"/>
  <c r="BH94" i="1"/>
  <c r="BE94" i="1"/>
  <c r="BD94" i="1"/>
  <c r="BC94" i="1"/>
  <c r="BI17" i="1"/>
  <c r="BH17" i="1"/>
  <c r="BE17" i="1"/>
  <c r="BD17" i="1"/>
  <c r="BC17" i="1"/>
  <c r="BI16" i="1"/>
  <c r="BH16" i="1"/>
  <c r="BE16" i="1"/>
  <c r="BD16" i="1"/>
  <c r="BC16" i="1"/>
  <c r="BI15" i="1"/>
  <c r="BH15" i="1"/>
  <c r="BE15" i="1"/>
  <c r="BD15" i="1"/>
  <c r="BC15" i="1"/>
  <c r="BI38" i="1"/>
  <c r="BE38" i="1"/>
  <c r="BD38" i="1"/>
  <c r="BC38" i="1"/>
  <c r="BI37" i="1"/>
  <c r="BE37" i="1"/>
  <c r="BD37" i="1"/>
  <c r="BC37" i="1"/>
  <c r="BI36" i="1"/>
  <c r="BE36" i="1"/>
  <c r="BD36" i="1"/>
  <c r="BC36" i="1"/>
  <c r="BI35" i="1"/>
  <c r="BE35" i="1"/>
  <c r="BD35" i="1"/>
  <c r="BC35" i="1"/>
  <c r="BI153" i="1"/>
  <c r="BH153" i="1"/>
  <c r="BE153" i="1"/>
  <c r="BD153" i="1"/>
  <c r="BC153" i="1"/>
  <c r="BI152" i="1"/>
  <c r="BH152" i="1"/>
  <c r="BE152" i="1"/>
  <c r="BD152" i="1"/>
  <c r="BC152" i="1"/>
  <c r="BI151" i="1"/>
  <c r="BH151" i="1"/>
  <c r="BE151" i="1"/>
  <c r="BD151" i="1"/>
  <c r="BC151" i="1"/>
  <c r="BI150" i="1"/>
  <c r="BE150" i="1"/>
  <c r="BD150" i="1"/>
  <c r="BC150" i="1"/>
  <c r="BI149" i="1"/>
  <c r="BE149" i="1"/>
  <c r="BD149" i="1"/>
  <c r="BC149" i="1"/>
  <c r="BI148" i="1"/>
  <c r="BE148" i="1"/>
  <c r="BD148" i="1"/>
  <c r="BC148" i="1"/>
  <c r="BI147" i="1"/>
  <c r="BE147" i="1"/>
  <c r="BD147" i="1"/>
  <c r="BC147" i="1"/>
  <c r="BI146" i="1"/>
  <c r="BE146" i="1"/>
  <c r="BD146" i="1"/>
  <c r="BC146" i="1"/>
  <c r="BI145" i="1"/>
  <c r="BE145" i="1"/>
  <c r="BD145" i="1"/>
  <c r="BC145" i="1"/>
  <c r="BI1288" i="1"/>
  <c r="BH1288" i="1"/>
  <c r="BE1288" i="1"/>
  <c r="BD1288" i="1"/>
  <c r="BC1288" i="1"/>
  <c r="BI1287" i="1"/>
  <c r="BH1287" i="1"/>
  <c r="BE1287" i="1"/>
  <c r="BD1287" i="1"/>
  <c r="BC1287" i="1"/>
  <c r="BI1286" i="1"/>
  <c r="BH1286" i="1"/>
  <c r="BE1286" i="1"/>
  <c r="BD1286" i="1"/>
  <c r="BC1286" i="1"/>
  <c r="BI1285" i="1"/>
  <c r="BH1285" i="1"/>
  <c r="BE1285" i="1"/>
  <c r="BD1285" i="1"/>
  <c r="BC1285" i="1"/>
  <c r="BI1284" i="1"/>
  <c r="BH1284" i="1"/>
  <c r="BE1284" i="1"/>
  <c r="BD1284" i="1"/>
  <c r="BC1284" i="1"/>
  <c r="BI1283" i="1"/>
  <c r="BH1283" i="1"/>
  <c r="BE1283" i="1"/>
  <c r="BD1283" i="1"/>
  <c r="BC1283" i="1"/>
  <c r="BI1264" i="1"/>
  <c r="BH1264" i="1"/>
  <c r="BE1264" i="1"/>
  <c r="BD1264" i="1"/>
  <c r="BC1264" i="1"/>
  <c r="BI123" i="1"/>
  <c r="BE123" i="1"/>
  <c r="BD123" i="1"/>
  <c r="BC123" i="1"/>
  <c r="BI20" i="1"/>
  <c r="BH20" i="1"/>
  <c r="BE20" i="1"/>
  <c r="BD20" i="1"/>
  <c r="BC20" i="1"/>
  <c r="BI131" i="1"/>
  <c r="BE131" i="1"/>
  <c r="BD131" i="1"/>
  <c r="BC131" i="1"/>
  <c r="BI130" i="1"/>
  <c r="BE130" i="1"/>
  <c r="BD130" i="1"/>
  <c r="BC130" i="1"/>
  <c r="BI129" i="1"/>
  <c r="BE129" i="1"/>
  <c r="BD129" i="1"/>
  <c r="BC129" i="1"/>
  <c r="BI128" i="1"/>
  <c r="BE128" i="1"/>
  <c r="BD128" i="1"/>
  <c r="BC128" i="1"/>
  <c r="BI127" i="1"/>
  <c r="BE127" i="1"/>
  <c r="BD127" i="1"/>
  <c r="BC127" i="1"/>
  <c r="BI126" i="1"/>
  <c r="BE126" i="1"/>
  <c r="BD126" i="1"/>
  <c r="BC126" i="1"/>
  <c r="BI125" i="1"/>
  <c r="BE125" i="1"/>
  <c r="BD125" i="1"/>
  <c r="BC125" i="1"/>
  <c r="BI124" i="1"/>
  <c r="BE124" i="1"/>
  <c r="BD124" i="1"/>
  <c r="BC124" i="1"/>
  <c r="BI1289" i="1"/>
  <c r="BH1289" i="1"/>
  <c r="BE1289" i="1"/>
  <c r="BD1289" i="1"/>
  <c r="BC1289" i="1"/>
  <c r="BI301" i="1"/>
  <c r="BH301" i="1"/>
  <c r="BE301" i="1"/>
  <c r="BD301" i="1"/>
  <c r="BC301" i="1"/>
  <c r="BI1301" i="1"/>
  <c r="BH1301" i="1"/>
  <c r="BE1301" i="1"/>
  <c r="BD1301" i="1"/>
  <c r="BC1301" i="1"/>
  <c r="BI1300" i="1"/>
  <c r="BH1300" i="1"/>
  <c r="BE1300" i="1"/>
  <c r="BD1300" i="1"/>
  <c r="BC1300" i="1"/>
  <c r="BI1299" i="1"/>
  <c r="BH1299" i="1"/>
  <c r="BE1299" i="1"/>
  <c r="BD1299" i="1"/>
  <c r="BC1299" i="1"/>
  <c r="BI1298" i="1"/>
  <c r="BH1298" i="1"/>
  <c r="BE1298" i="1"/>
  <c r="BD1298" i="1"/>
  <c r="BC1298" i="1"/>
  <c r="BI1297" i="1"/>
  <c r="BH1297" i="1"/>
  <c r="BE1297" i="1"/>
  <c r="BD1297" i="1"/>
  <c r="BC1297" i="1"/>
  <c r="BI1296" i="1"/>
  <c r="BH1296" i="1"/>
  <c r="BE1296" i="1"/>
  <c r="BD1296" i="1"/>
  <c r="BC1296" i="1"/>
  <c r="BI1295" i="1"/>
  <c r="BH1295" i="1"/>
  <c r="BE1295" i="1"/>
  <c r="BD1295" i="1"/>
  <c r="BC1295" i="1"/>
  <c r="BI1294" i="1"/>
  <c r="BH1294" i="1"/>
  <c r="BE1294" i="1"/>
  <c r="BD1294" i="1"/>
  <c r="BC1294" i="1"/>
  <c r="BI1293" i="1"/>
  <c r="BH1293" i="1"/>
  <c r="BE1293" i="1"/>
  <c r="BD1293" i="1"/>
  <c r="BC1293" i="1"/>
  <c r="BI1282" i="1"/>
  <c r="BH1282" i="1"/>
  <c r="BE1282" i="1"/>
  <c r="BD1282" i="1"/>
  <c r="BC1282" i="1"/>
  <c r="BI1281" i="1"/>
  <c r="BH1281" i="1"/>
  <c r="BE1281" i="1"/>
  <c r="BD1281" i="1"/>
  <c r="BC1281" i="1"/>
  <c r="BI1280" i="1"/>
  <c r="BH1280" i="1"/>
  <c r="BE1280" i="1"/>
  <c r="BD1280" i="1"/>
  <c r="BC1280" i="1"/>
  <c r="BI1279" i="1"/>
  <c r="BH1279" i="1"/>
  <c r="BE1279" i="1"/>
  <c r="BD1279" i="1"/>
  <c r="BC1279" i="1"/>
  <c r="BI1278" i="1"/>
  <c r="BH1278" i="1"/>
  <c r="BE1278" i="1"/>
  <c r="BD1278" i="1"/>
  <c r="BC1278" i="1"/>
  <c r="BI1270" i="1"/>
  <c r="BH1270" i="1"/>
  <c r="BE1270" i="1"/>
  <c r="BD1270" i="1"/>
  <c r="BC1270" i="1"/>
  <c r="BI1269" i="1"/>
  <c r="BH1269" i="1"/>
  <c r="BE1269" i="1"/>
  <c r="BD1269" i="1"/>
  <c r="BC1269" i="1"/>
  <c r="BA1292" i="1"/>
  <c r="AZ1292" i="1"/>
  <c r="AY1292" i="1"/>
  <c r="AX1292" i="1"/>
  <c r="BA1291" i="1"/>
  <c r="AZ1291" i="1"/>
  <c r="AY1291" i="1"/>
  <c r="AX1291" i="1"/>
  <c r="BA1290" i="1"/>
  <c r="AZ1290" i="1"/>
  <c r="AY1290" i="1"/>
  <c r="AX1290" i="1"/>
  <c r="AU1290" i="1"/>
  <c r="BB884" i="1"/>
  <c r="BA884" i="1"/>
  <c r="AZ884" i="1"/>
  <c r="AX884" i="1"/>
  <c r="AW884" i="1"/>
  <c r="AV884" i="1"/>
  <c r="AU884" i="1"/>
  <c r="BB883" i="1"/>
  <c r="BA883" i="1"/>
  <c r="AZ883" i="1"/>
  <c r="AX883" i="1"/>
  <c r="AW883" i="1"/>
  <c r="AV883" i="1"/>
  <c r="AU883" i="1"/>
  <c r="BB882" i="1"/>
  <c r="BA882" i="1"/>
  <c r="AZ882" i="1"/>
  <c r="AX882" i="1"/>
  <c r="AW882" i="1"/>
  <c r="AV882" i="1"/>
  <c r="AU882" i="1"/>
  <c r="BB881" i="1"/>
  <c r="BA881" i="1"/>
  <c r="AZ881" i="1"/>
  <c r="AX881" i="1"/>
  <c r="AW881" i="1"/>
  <c r="AV881" i="1"/>
  <c r="AU881" i="1"/>
  <c r="BB880" i="1"/>
  <c r="BA880" i="1"/>
  <c r="AZ880" i="1"/>
  <c r="AX880" i="1"/>
  <c r="AW880" i="1"/>
  <c r="AV880" i="1"/>
  <c r="AU880" i="1"/>
  <c r="BB879" i="1"/>
  <c r="BA879" i="1"/>
  <c r="AZ879" i="1"/>
  <c r="AX879" i="1"/>
  <c r="AW879" i="1"/>
  <c r="AV879" i="1"/>
  <c r="AU879" i="1"/>
  <c r="BB878" i="1"/>
  <c r="BA878" i="1"/>
  <c r="AZ878" i="1"/>
  <c r="AX878" i="1"/>
  <c r="AW878" i="1"/>
  <c r="AV878" i="1"/>
  <c r="AU878" i="1"/>
  <c r="BB877" i="1"/>
  <c r="BA877" i="1"/>
  <c r="AZ877" i="1"/>
  <c r="AX877" i="1"/>
  <c r="AW877" i="1"/>
  <c r="AV877" i="1"/>
  <c r="AU877" i="1"/>
  <c r="BB1191" i="1"/>
  <c r="BA1191" i="1"/>
  <c r="AZ1191" i="1"/>
  <c r="AY1191" i="1"/>
  <c r="AX1191" i="1"/>
  <c r="AW1191" i="1"/>
  <c r="AV1191" i="1"/>
  <c r="AU1191" i="1"/>
  <c r="BB1190" i="1"/>
  <c r="BA1190" i="1"/>
  <c r="AZ1190" i="1"/>
  <c r="AY1190" i="1"/>
  <c r="AX1190" i="1"/>
  <c r="AW1190" i="1"/>
  <c r="AV1190" i="1"/>
  <c r="AU1190" i="1"/>
  <c r="BB1189" i="1"/>
  <c r="BA1189" i="1"/>
  <c r="AZ1189" i="1"/>
  <c r="AY1189" i="1"/>
  <c r="AX1189" i="1"/>
  <c r="AV1189" i="1"/>
  <c r="AU1189" i="1"/>
  <c r="BB1188" i="1"/>
  <c r="BA1188" i="1"/>
  <c r="AZ1188" i="1"/>
  <c r="AY1188" i="1"/>
  <c r="AX1188" i="1"/>
  <c r="AV1188" i="1"/>
  <c r="AU1188" i="1"/>
  <c r="BB1187" i="1"/>
  <c r="BA1187" i="1"/>
  <c r="AZ1187" i="1"/>
  <c r="AY1187" i="1"/>
  <c r="AX1187" i="1"/>
  <c r="AW1187" i="1"/>
  <c r="AV1187" i="1"/>
  <c r="AU1187" i="1"/>
  <c r="BB1186" i="1"/>
  <c r="BA1186" i="1"/>
  <c r="AZ1186" i="1"/>
  <c r="AY1186" i="1"/>
  <c r="AX1186" i="1"/>
  <c r="AV1186" i="1"/>
  <c r="AU1186" i="1"/>
  <c r="BB1185" i="1"/>
  <c r="BA1185" i="1"/>
  <c r="AZ1185" i="1"/>
  <c r="AY1185" i="1"/>
  <c r="AX1185" i="1"/>
  <c r="AW1185" i="1"/>
  <c r="AV1185" i="1"/>
  <c r="AU1185" i="1"/>
  <c r="BB1184" i="1"/>
  <c r="BA1184" i="1"/>
  <c r="AZ1184" i="1"/>
  <c r="AY1184" i="1"/>
  <c r="AX1184" i="1"/>
  <c r="AV1184" i="1"/>
  <c r="AU1184" i="1"/>
  <c r="BB1183" i="1"/>
  <c r="BA1183" i="1"/>
  <c r="AZ1183" i="1"/>
  <c r="AY1183" i="1"/>
  <c r="AX1183" i="1"/>
  <c r="AW1183" i="1"/>
  <c r="AV1183" i="1"/>
  <c r="AU1183" i="1"/>
  <c r="BB1182" i="1"/>
  <c r="BA1182" i="1"/>
  <c r="AZ1182" i="1"/>
  <c r="AY1182" i="1"/>
  <c r="AX1182" i="1"/>
  <c r="AV1182" i="1"/>
  <c r="AU1182" i="1"/>
  <c r="BB1181" i="1"/>
  <c r="BA1181" i="1"/>
  <c r="AZ1181" i="1"/>
  <c r="AY1181" i="1"/>
  <c r="AX1181" i="1"/>
  <c r="AV1181" i="1"/>
  <c r="AU1181" i="1"/>
  <c r="BB1180" i="1"/>
  <c r="BA1180" i="1"/>
  <c r="AZ1180" i="1"/>
  <c r="AY1180" i="1"/>
  <c r="AX1180" i="1"/>
  <c r="AV1180" i="1"/>
  <c r="AU1180" i="1"/>
  <c r="BB1179" i="1"/>
  <c r="BA1179" i="1"/>
  <c r="AZ1179" i="1"/>
  <c r="AY1179" i="1"/>
  <c r="AX1179" i="1"/>
  <c r="AV1179" i="1"/>
  <c r="AU1179" i="1"/>
  <c r="BB1178" i="1"/>
  <c r="BA1178" i="1"/>
  <c r="AZ1178" i="1"/>
  <c r="AY1178" i="1"/>
  <c r="AX1178" i="1"/>
  <c r="AV1178" i="1"/>
  <c r="AU1178" i="1"/>
  <c r="BB1177" i="1"/>
  <c r="BA1177" i="1"/>
  <c r="AZ1177" i="1"/>
  <c r="AY1177" i="1"/>
  <c r="AX1177" i="1"/>
  <c r="AV1177" i="1"/>
  <c r="AU1177" i="1"/>
  <c r="BB1176" i="1"/>
  <c r="BA1176" i="1"/>
  <c r="AZ1176" i="1"/>
  <c r="AY1176" i="1"/>
  <c r="AX1176" i="1"/>
  <c r="AV1176" i="1"/>
  <c r="AU1176" i="1"/>
  <c r="BB1175" i="1"/>
  <c r="BA1175" i="1"/>
  <c r="AZ1175" i="1"/>
  <c r="AY1175" i="1"/>
  <c r="AX1175" i="1"/>
  <c r="AV1175" i="1"/>
  <c r="AU1175" i="1"/>
  <c r="BB1174" i="1"/>
  <c r="BA1174" i="1"/>
  <c r="AZ1174" i="1"/>
  <c r="AY1174" i="1"/>
  <c r="AX1174" i="1"/>
  <c r="AV1174" i="1"/>
  <c r="AU1174" i="1"/>
  <c r="BB1173" i="1"/>
  <c r="BA1173" i="1"/>
  <c r="AZ1173" i="1"/>
  <c r="AY1173" i="1"/>
  <c r="AX1173" i="1"/>
  <c r="AV1173" i="1"/>
  <c r="AU1173" i="1"/>
  <c r="BB1172" i="1"/>
  <c r="BA1172" i="1"/>
  <c r="AZ1172" i="1"/>
  <c r="AY1172" i="1"/>
  <c r="AX1172" i="1"/>
  <c r="AV1172" i="1"/>
  <c r="AU1172" i="1"/>
  <c r="BB1171" i="1"/>
  <c r="BA1171" i="1"/>
  <c r="AZ1171" i="1"/>
  <c r="AY1171" i="1"/>
  <c r="AX1171" i="1"/>
  <c r="AV1171" i="1"/>
  <c r="AU1171" i="1"/>
  <c r="BB1170" i="1"/>
  <c r="BA1170" i="1"/>
  <c r="AZ1170" i="1"/>
  <c r="AY1170" i="1"/>
  <c r="AX1170" i="1"/>
  <c r="AV1170" i="1"/>
  <c r="AU1170" i="1"/>
  <c r="BB1169" i="1"/>
  <c r="BA1169" i="1"/>
  <c r="AZ1169" i="1"/>
  <c r="AY1169" i="1"/>
  <c r="AX1169" i="1"/>
  <c r="AW1169" i="1"/>
  <c r="AV1169" i="1"/>
  <c r="AU1169" i="1"/>
  <c r="BB1168" i="1"/>
  <c r="BA1168" i="1"/>
  <c r="AZ1168" i="1"/>
  <c r="AY1168" i="1"/>
  <c r="AX1168" i="1"/>
  <c r="AV1168" i="1"/>
  <c r="AU1168" i="1"/>
  <c r="BB1167" i="1"/>
  <c r="BA1167" i="1"/>
  <c r="AZ1167" i="1"/>
  <c r="AY1167" i="1"/>
  <c r="AX1167" i="1"/>
  <c r="AV1167" i="1"/>
  <c r="AU1167" i="1"/>
  <c r="BB1242" i="1"/>
  <c r="BA1242" i="1"/>
  <c r="AZ1242" i="1"/>
  <c r="AY1242" i="1"/>
  <c r="AX1242" i="1"/>
  <c r="AV1242" i="1"/>
  <c r="AU1242" i="1"/>
  <c r="BB1241" i="1"/>
  <c r="BA1241" i="1"/>
  <c r="AZ1241" i="1"/>
  <c r="AY1241" i="1"/>
  <c r="AX1241" i="1"/>
  <c r="AV1241" i="1"/>
  <c r="AU1241" i="1"/>
  <c r="BB1240" i="1"/>
  <c r="BA1240" i="1"/>
  <c r="AZ1240" i="1"/>
  <c r="AY1240" i="1"/>
  <c r="AX1240" i="1"/>
  <c r="AV1240" i="1"/>
  <c r="AU1240" i="1"/>
  <c r="BB1239" i="1"/>
  <c r="BA1239" i="1"/>
  <c r="AZ1239" i="1"/>
  <c r="AY1239" i="1"/>
  <c r="AX1239" i="1"/>
  <c r="AV1239" i="1"/>
  <c r="AU1239" i="1"/>
  <c r="BB1238" i="1"/>
  <c r="BA1238" i="1"/>
  <c r="AZ1238" i="1"/>
  <c r="AY1238" i="1"/>
  <c r="AX1238" i="1"/>
  <c r="AV1238" i="1"/>
  <c r="AU1238" i="1"/>
  <c r="BB1237" i="1"/>
  <c r="BA1237" i="1"/>
  <c r="AZ1237" i="1"/>
  <c r="AY1237" i="1"/>
  <c r="AX1237" i="1"/>
  <c r="AV1237" i="1"/>
  <c r="AU1237" i="1"/>
  <c r="BB1236" i="1"/>
  <c r="BA1236" i="1"/>
  <c r="AZ1236" i="1"/>
  <c r="AY1236" i="1"/>
  <c r="AX1236" i="1"/>
  <c r="AV1236" i="1"/>
  <c r="AU1236" i="1"/>
  <c r="BB1235" i="1"/>
  <c r="BA1235" i="1"/>
  <c r="AZ1235" i="1"/>
  <c r="AY1235" i="1"/>
  <c r="AX1235" i="1"/>
  <c r="AV1235" i="1"/>
  <c r="AU1235" i="1"/>
  <c r="BB1234" i="1"/>
  <c r="BA1234" i="1"/>
  <c r="AZ1234" i="1"/>
  <c r="AY1234" i="1"/>
  <c r="AX1234" i="1"/>
  <c r="AV1234" i="1"/>
  <c r="AU1234" i="1"/>
  <c r="BA1159" i="1"/>
  <c r="AZ1159" i="1"/>
  <c r="AY1159" i="1"/>
  <c r="AX1159" i="1"/>
  <c r="AW1159" i="1"/>
  <c r="AV1159" i="1"/>
  <c r="AU1159" i="1"/>
  <c r="BA1158" i="1"/>
  <c r="AZ1158" i="1"/>
  <c r="AY1158" i="1"/>
  <c r="AX1158" i="1"/>
  <c r="AW1158" i="1"/>
  <c r="AV1158" i="1"/>
  <c r="AU1158" i="1"/>
  <c r="BA1157" i="1"/>
  <c r="AZ1157" i="1"/>
  <c r="AY1157" i="1"/>
  <c r="AX1157" i="1"/>
  <c r="AU1157" i="1"/>
  <c r="BA1156" i="1"/>
  <c r="AZ1156" i="1"/>
  <c r="AY1156" i="1"/>
  <c r="AX1156" i="1"/>
  <c r="AW1156" i="1"/>
  <c r="AV1156" i="1"/>
  <c r="AU1156" i="1"/>
  <c r="BA1155" i="1"/>
  <c r="AZ1155" i="1"/>
  <c r="AY1155" i="1"/>
  <c r="AX1155" i="1"/>
  <c r="AW1155" i="1"/>
  <c r="AV1155" i="1"/>
  <c r="AU1155" i="1"/>
  <c r="BA1154" i="1"/>
  <c r="AZ1154" i="1"/>
  <c r="AY1154" i="1"/>
  <c r="AX1154" i="1"/>
  <c r="AW1154" i="1"/>
  <c r="AV1154" i="1"/>
  <c r="AU1154" i="1"/>
  <c r="BB1153" i="1"/>
  <c r="BA1153" i="1"/>
  <c r="AZ1153" i="1"/>
  <c r="AY1153" i="1"/>
  <c r="AX1153" i="1"/>
  <c r="AW1153" i="1"/>
  <c r="AV1153" i="1"/>
  <c r="AU1153" i="1"/>
  <c r="BB48" i="1"/>
  <c r="BA48" i="1"/>
  <c r="AZ48" i="1"/>
  <c r="AY48" i="1"/>
  <c r="AX48" i="1"/>
  <c r="AW48" i="1"/>
  <c r="AV48" i="1"/>
  <c r="AU48" i="1"/>
  <c r="BB47" i="1"/>
  <c r="BA47" i="1"/>
  <c r="AZ47" i="1"/>
  <c r="AY47" i="1"/>
  <c r="AX47" i="1"/>
  <c r="AW47" i="1"/>
  <c r="AV47" i="1"/>
  <c r="AU47" i="1"/>
  <c r="BB1277" i="1"/>
  <c r="BA1277" i="1"/>
  <c r="AZ1277" i="1"/>
  <c r="AY1277" i="1"/>
  <c r="AX1277" i="1"/>
  <c r="AW1277" i="1"/>
  <c r="AV1277" i="1"/>
  <c r="AU1277" i="1"/>
  <c r="BB1276" i="1"/>
  <c r="BA1276" i="1"/>
  <c r="AZ1276" i="1"/>
  <c r="AY1276" i="1"/>
  <c r="AX1276" i="1"/>
  <c r="AW1276" i="1"/>
  <c r="AV1276" i="1"/>
  <c r="AU1276" i="1"/>
  <c r="BB1275" i="1"/>
  <c r="BA1275" i="1"/>
  <c r="AZ1275" i="1"/>
  <c r="AY1275" i="1"/>
  <c r="AX1275" i="1"/>
  <c r="AW1275" i="1"/>
  <c r="AV1275" i="1"/>
  <c r="AU1275" i="1"/>
  <c r="BB1274" i="1"/>
  <c r="BA1274" i="1"/>
  <c r="AZ1274" i="1"/>
  <c r="AY1274" i="1"/>
  <c r="AX1274" i="1"/>
  <c r="AW1274" i="1"/>
  <c r="AV1274" i="1"/>
  <c r="AU1274" i="1"/>
  <c r="BB1273" i="1"/>
  <c r="BA1273" i="1"/>
  <c r="AZ1273" i="1"/>
  <c r="AY1273" i="1"/>
  <c r="AX1273" i="1"/>
  <c r="AW1273" i="1"/>
  <c r="AV1273" i="1"/>
  <c r="AU1273" i="1"/>
  <c r="BB1272" i="1"/>
  <c r="BA1272" i="1"/>
  <c r="AZ1272" i="1"/>
  <c r="AY1272" i="1"/>
  <c r="AX1272" i="1"/>
  <c r="AW1272" i="1"/>
  <c r="AV1272" i="1"/>
  <c r="AU1272" i="1"/>
  <c r="BB1271" i="1"/>
  <c r="BA1271" i="1"/>
  <c r="AZ1271" i="1"/>
  <c r="AY1271" i="1"/>
  <c r="AX1271" i="1"/>
  <c r="AW1271" i="1"/>
  <c r="AV1271" i="1"/>
  <c r="AU1271" i="1"/>
  <c r="BB207" i="1"/>
  <c r="BA207" i="1"/>
  <c r="AZ207" i="1"/>
  <c r="AY207" i="1"/>
  <c r="AX207" i="1"/>
  <c r="AW207" i="1"/>
  <c r="AV207" i="1"/>
  <c r="BB206" i="1"/>
  <c r="BA206" i="1"/>
  <c r="AZ206" i="1"/>
  <c r="AY206" i="1"/>
  <c r="AX206" i="1"/>
  <c r="AW206" i="1"/>
  <c r="AV206" i="1"/>
  <c r="BB205" i="1"/>
  <c r="BA205" i="1"/>
  <c r="AZ205" i="1"/>
  <c r="AY205" i="1"/>
  <c r="AX205" i="1"/>
  <c r="AW205" i="1"/>
  <c r="AV205" i="1"/>
  <c r="BB204" i="1"/>
  <c r="BA204" i="1"/>
  <c r="AZ204" i="1"/>
  <c r="AY204" i="1"/>
  <c r="AX204" i="1"/>
  <c r="AW204" i="1"/>
  <c r="AV204" i="1"/>
  <c r="BB203" i="1"/>
  <c r="BA203" i="1"/>
  <c r="AZ203" i="1"/>
  <c r="AY203" i="1"/>
  <c r="AX203" i="1"/>
  <c r="AW203" i="1"/>
  <c r="AV203" i="1"/>
  <c r="BB86" i="1"/>
  <c r="BA86" i="1"/>
  <c r="AZ86" i="1"/>
  <c r="AY86" i="1"/>
  <c r="AX86" i="1"/>
  <c r="AW86" i="1"/>
  <c r="AV86" i="1"/>
  <c r="BB85" i="1"/>
  <c r="BA85" i="1"/>
  <c r="AZ85" i="1"/>
  <c r="AY85" i="1"/>
  <c r="AX85" i="1"/>
  <c r="AW85" i="1"/>
  <c r="AV85" i="1"/>
  <c r="BB94" i="1"/>
  <c r="BA94" i="1"/>
  <c r="AZ94" i="1"/>
  <c r="AY94" i="1"/>
  <c r="AX94" i="1"/>
  <c r="AW94" i="1"/>
  <c r="AV94" i="1"/>
  <c r="AU94" i="1"/>
  <c r="BB17" i="1"/>
  <c r="BA17" i="1"/>
  <c r="AZ17" i="1"/>
  <c r="AY17" i="1"/>
  <c r="AX17" i="1"/>
  <c r="AW17" i="1"/>
  <c r="AV17" i="1"/>
  <c r="BB16" i="1"/>
  <c r="BA16" i="1"/>
  <c r="AZ16" i="1"/>
  <c r="AY16" i="1"/>
  <c r="AX16" i="1"/>
  <c r="AW16" i="1"/>
  <c r="AV16" i="1"/>
  <c r="BB15" i="1"/>
  <c r="BA15" i="1"/>
  <c r="AZ15" i="1"/>
  <c r="AY15" i="1"/>
  <c r="AX15" i="1"/>
  <c r="AW15" i="1"/>
  <c r="AV15" i="1"/>
  <c r="BB38" i="1"/>
  <c r="BA38" i="1"/>
  <c r="AZ38" i="1"/>
  <c r="AY38" i="1"/>
  <c r="AX38" i="1"/>
  <c r="AW38" i="1"/>
  <c r="AV38" i="1"/>
  <c r="BB37" i="1"/>
  <c r="BA37" i="1"/>
  <c r="AZ37" i="1"/>
  <c r="AY37" i="1"/>
  <c r="AX37" i="1"/>
  <c r="AW37" i="1"/>
  <c r="AV37" i="1"/>
  <c r="BB36" i="1"/>
  <c r="BA36" i="1"/>
  <c r="AZ36" i="1"/>
  <c r="AY36" i="1"/>
  <c r="AX36" i="1"/>
  <c r="AW36" i="1"/>
  <c r="AV36" i="1"/>
  <c r="BB35" i="1"/>
  <c r="BA35" i="1"/>
  <c r="AZ35" i="1"/>
  <c r="AY35" i="1"/>
  <c r="AX35" i="1"/>
  <c r="AW35" i="1"/>
  <c r="AV35" i="1"/>
  <c r="BB153" i="1"/>
  <c r="BA153" i="1"/>
  <c r="AZ153" i="1"/>
  <c r="AY153" i="1"/>
  <c r="AX153" i="1"/>
  <c r="AW153" i="1"/>
  <c r="AV153" i="1"/>
  <c r="BB152" i="1"/>
  <c r="BA152" i="1"/>
  <c r="AZ152" i="1"/>
  <c r="AY152" i="1"/>
  <c r="AX152" i="1"/>
  <c r="AW152" i="1"/>
  <c r="AV152" i="1"/>
  <c r="BB151" i="1"/>
  <c r="BA151" i="1"/>
  <c r="AZ151" i="1"/>
  <c r="AY151" i="1"/>
  <c r="AX151" i="1"/>
  <c r="AW151" i="1"/>
  <c r="AV151" i="1"/>
  <c r="BB150" i="1"/>
  <c r="BA150" i="1"/>
  <c r="AZ150" i="1"/>
  <c r="AY150" i="1"/>
  <c r="AX150" i="1"/>
  <c r="AV150" i="1"/>
  <c r="BB149" i="1"/>
  <c r="BA149" i="1"/>
  <c r="AZ149" i="1"/>
  <c r="AY149" i="1"/>
  <c r="AX149" i="1"/>
  <c r="AV149" i="1"/>
  <c r="BB148" i="1"/>
  <c r="BA148" i="1"/>
  <c r="AZ148" i="1"/>
  <c r="AY148" i="1"/>
  <c r="AX148" i="1"/>
  <c r="AV148" i="1"/>
  <c r="BB147" i="1"/>
  <c r="BA147" i="1"/>
  <c r="AZ147" i="1"/>
  <c r="AY147" i="1"/>
  <c r="AX147" i="1"/>
  <c r="AV147" i="1"/>
  <c r="BB146" i="1"/>
  <c r="BA146" i="1"/>
  <c r="AZ146" i="1"/>
  <c r="AY146" i="1"/>
  <c r="AX146" i="1"/>
  <c r="AV146" i="1"/>
  <c r="BB145" i="1"/>
  <c r="BA145" i="1"/>
  <c r="AZ145" i="1"/>
  <c r="AY145" i="1"/>
  <c r="AX145" i="1"/>
  <c r="AV145" i="1"/>
  <c r="BB1288" i="1"/>
  <c r="BA1288" i="1"/>
  <c r="AZ1288" i="1"/>
  <c r="AY1288" i="1"/>
  <c r="AX1288" i="1"/>
  <c r="AW1288" i="1"/>
  <c r="AV1288" i="1"/>
  <c r="AU1288" i="1"/>
  <c r="BA1287" i="1"/>
  <c r="AZ1287" i="1"/>
  <c r="AY1287" i="1"/>
  <c r="AX1287" i="1"/>
  <c r="AV1287" i="1"/>
  <c r="AU1287" i="1"/>
  <c r="BA1286" i="1"/>
  <c r="AZ1286" i="1"/>
  <c r="AY1286" i="1"/>
  <c r="AX1286" i="1"/>
  <c r="AV1286" i="1"/>
  <c r="AU1286" i="1"/>
  <c r="BA1285" i="1"/>
  <c r="AZ1285" i="1"/>
  <c r="AY1285" i="1"/>
  <c r="AX1285" i="1"/>
  <c r="AV1285" i="1"/>
  <c r="AU1285" i="1"/>
  <c r="BB1284" i="1"/>
  <c r="BA1284" i="1"/>
  <c r="AZ1284" i="1"/>
  <c r="AY1284" i="1"/>
  <c r="AX1284" i="1"/>
  <c r="AV1284" i="1"/>
  <c r="AU1284" i="1"/>
  <c r="BA1283" i="1"/>
  <c r="AZ1283" i="1"/>
  <c r="AY1283" i="1"/>
  <c r="AX1283" i="1"/>
  <c r="AV1283" i="1"/>
  <c r="AU1283" i="1"/>
  <c r="BA1264" i="1"/>
  <c r="AY1264" i="1"/>
  <c r="AW1264" i="1"/>
  <c r="AV1264" i="1"/>
  <c r="AU1264" i="1"/>
  <c r="BB123" i="1"/>
  <c r="BA123" i="1"/>
  <c r="AZ123" i="1"/>
  <c r="AY123" i="1"/>
  <c r="AX123" i="1"/>
  <c r="AW123" i="1"/>
  <c r="AV123" i="1"/>
  <c r="BB20" i="1"/>
  <c r="BA20" i="1"/>
  <c r="AZ20" i="1"/>
  <c r="AY20" i="1"/>
  <c r="AX20" i="1"/>
  <c r="AW20" i="1"/>
  <c r="AV20" i="1"/>
  <c r="AU20" i="1"/>
  <c r="BB131" i="1"/>
  <c r="BA131" i="1"/>
  <c r="AZ131" i="1"/>
  <c r="AY131" i="1"/>
  <c r="AX131" i="1"/>
  <c r="AW131" i="1"/>
  <c r="AV131" i="1"/>
  <c r="BB130" i="1"/>
  <c r="BA130" i="1"/>
  <c r="AZ130" i="1"/>
  <c r="AY130" i="1"/>
  <c r="AX130" i="1"/>
  <c r="AW130" i="1"/>
  <c r="AV130" i="1"/>
  <c r="BB129" i="1"/>
  <c r="BA129" i="1"/>
  <c r="AZ129" i="1"/>
  <c r="AY129" i="1"/>
  <c r="AX129" i="1"/>
  <c r="AW129" i="1"/>
  <c r="AV129" i="1"/>
  <c r="BB128" i="1"/>
  <c r="BA128" i="1"/>
  <c r="AZ128" i="1"/>
  <c r="AY128" i="1"/>
  <c r="AX128" i="1"/>
  <c r="AW128" i="1"/>
  <c r="AV128" i="1"/>
  <c r="BB127" i="1"/>
  <c r="BA127" i="1"/>
  <c r="AZ127" i="1"/>
  <c r="AY127" i="1"/>
  <c r="AX127" i="1"/>
  <c r="AW127" i="1"/>
  <c r="AV127" i="1"/>
  <c r="BB126" i="1"/>
  <c r="BA126" i="1"/>
  <c r="AZ126" i="1"/>
  <c r="AY126" i="1"/>
  <c r="AX126" i="1"/>
  <c r="AW126" i="1"/>
  <c r="AV126" i="1"/>
  <c r="BB125" i="1"/>
  <c r="BA125" i="1"/>
  <c r="AZ125" i="1"/>
  <c r="AY125" i="1"/>
  <c r="AX125" i="1"/>
  <c r="AW125" i="1"/>
  <c r="AV125" i="1"/>
  <c r="BB124" i="1"/>
  <c r="BA124" i="1"/>
  <c r="AZ124" i="1"/>
  <c r="AY124" i="1"/>
  <c r="AX124" i="1"/>
  <c r="AW124" i="1"/>
  <c r="AV124" i="1"/>
  <c r="BA1289" i="1"/>
  <c r="AZ1289" i="1"/>
  <c r="AY1289" i="1"/>
  <c r="AX1289" i="1"/>
  <c r="AW1289" i="1"/>
  <c r="AU1289" i="1"/>
  <c r="BA301" i="1"/>
  <c r="AZ301" i="1"/>
  <c r="AY301" i="1"/>
  <c r="AX301" i="1"/>
  <c r="AW301" i="1"/>
  <c r="AV301" i="1"/>
  <c r="AU301" i="1"/>
  <c r="BA1301" i="1"/>
  <c r="AZ1301" i="1"/>
  <c r="AY1301" i="1"/>
  <c r="AX1301" i="1"/>
  <c r="AW1301" i="1"/>
  <c r="AV1301" i="1"/>
  <c r="AU1301" i="1"/>
  <c r="BA1300" i="1"/>
  <c r="AZ1300" i="1"/>
  <c r="AY1300" i="1"/>
  <c r="AX1300" i="1"/>
  <c r="AW1300" i="1"/>
  <c r="AV1300" i="1"/>
  <c r="AU1300" i="1"/>
  <c r="BA1299" i="1"/>
  <c r="AZ1299" i="1"/>
  <c r="AY1299" i="1"/>
  <c r="AX1299" i="1"/>
  <c r="AW1299" i="1"/>
  <c r="AV1299" i="1"/>
  <c r="AU1299" i="1"/>
  <c r="BA1298" i="1"/>
  <c r="AZ1298" i="1"/>
  <c r="AY1298" i="1"/>
  <c r="AX1298" i="1"/>
  <c r="AW1298" i="1"/>
  <c r="AV1298" i="1"/>
  <c r="AU1298" i="1"/>
  <c r="BA1297" i="1"/>
  <c r="AZ1297" i="1"/>
  <c r="AY1297" i="1"/>
  <c r="AX1297" i="1"/>
  <c r="AW1297" i="1"/>
  <c r="AV1297" i="1"/>
  <c r="AU1297" i="1"/>
  <c r="BA1296" i="1"/>
  <c r="AZ1296" i="1"/>
  <c r="AY1296" i="1"/>
  <c r="AX1296" i="1"/>
  <c r="AW1296" i="1"/>
  <c r="AV1296" i="1"/>
  <c r="AU1296" i="1"/>
  <c r="BA1295" i="1"/>
  <c r="AZ1295" i="1"/>
  <c r="AY1295" i="1"/>
  <c r="AX1295" i="1"/>
  <c r="AW1295" i="1"/>
  <c r="AV1295" i="1"/>
  <c r="AU1295" i="1"/>
  <c r="BA1294" i="1"/>
  <c r="AZ1294" i="1"/>
  <c r="AY1294" i="1"/>
  <c r="AX1294" i="1"/>
  <c r="AW1294" i="1"/>
  <c r="AV1294" i="1"/>
  <c r="AU1294" i="1"/>
  <c r="BA1293" i="1"/>
  <c r="AZ1293" i="1"/>
  <c r="AY1293" i="1"/>
  <c r="AX1293" i="1"/>
  <c r="AW1293" i="1"/>
  <c r="AV1293" i="1"/>
  <c r="AU1293" i="1"/>
  <c r="BA1282" i="1"/>
  <c r="AZ1282" i="1"/>
  <c r="AY1282" i="1"/>
  <c r="AX1282" i="1"/>
  <c r="AW1282" i="1"/>
  <c r="AV1282" i="1"/>
  <c r="AU1282" i="1"/>
  <c r="BA1281" i="1"/>
  <c r="AZ1281" i="1"/>
  <c r="AY1281" i="1"/>
  <c r="AX1281" i="1"/>
  <c r="AW1281" i="1"/>
  <c r="AV1281" i="1"/>
  <c r="AU1281" i="1"/>
  <c r="BA1280" i="1"/>
  <c r="AZ1280" i="1"/>
  <c r="AY1280" i="1"/>
  <c r="AX1280" i="1"/>
  <c r="AW1280" i="1"/>
  <c r="AV1280" i="1"/>
  <c r="AU1280" i="1"/>
  <c r="BA1279" i="1"/>
  <c r="AZ1279" i="1"/>
  <c r="AY1279" i="1"/>
  <c r="AX1279" i="1"/>
  <c r="AW1279" i="1"/>
  <c r="AV1279" i="1"/>
  <c r="AU1279" i="1"/>
  <c r="BA1278" i="1"/>
  <c r="AZ1278" i="1"/>
  <c r="AY1278" i="1"/>
  <c r="AX1278" i="1"/>
  <c r="AW1278" i="1"/>
  <c r="AV1278" i="1"/>
  <c r="AU1278" i="1"/>
  <c r="BB1270" i="1"/>
  <c r="BA1270" i="1"/>
  <c r="AZ1270" i="1"/>
  <c r="AY1270" i="1"/>
  <c r="AX1270" i="1"/>
  <c r="AW1270" i="1"/>
  <c r="AU1270" i="1"/>
  <c r="BB1269" i="1"/>
  <c r="BA1269" i="1"/>
  <c r="AZ1269" i="1"/>
  <c r="AY1269" i="1"/>
  <c r="AX1269" i="1"/>
  <c r="AW1269" i="1"/>
  <c r="AU1269" i="1"/>
  <c r="AN1292" i="1"/>
  <c r="BG1292" i="1" s="1"/>
  <c r="AM1292" i="1"/>
  <c r="BF1292" i="1" s="1"/>
  <c r="AN1291" i="1"/>
  <c r="BG1291" i="1" s="1"/>
  <c r="AM1291" i="1"/>
  <c r="BF1291" i="1" s="1"/>
  <c r="AN1290" i="1"/>
  <c r="BG1290" i="1" s="1"/>
  <c r="AM1290" i="1"/>
  <c r="BF1290" i="1" s="1"/>
  <c r="R1290" i="1"/>
  <c r="L1290" i="1"/>
  <c r="BB1290" i="1" s="1"/>
  <c r="L1291" i="1"/>
  <c r="BB1291" i="1" s="1"/>
  <c r="L1292" i="1"/>
  <c r="BB1292" i="1" s="1"/>
  <c r="D1292" i="1"/>
  <c r="AW1292" i="1" s="1"/>
  <c r="D1291" i="1"/>
  <c r="B1292" i="1"/>
  <c r="AU1292" i="1" s="1"/>
  <c r="B1291" i="1"/>
  <c r="D1290" i="1"/>
  <c r="AW1290" i="1" s="1"/>
  <c r="AN884" i="1"/>
  <c r="BG884" i="1" s="1"/>
  <c r="AM884" i="1"/>
  <c r="BF884" i="1" s="1"/>
  <c r="AN883" i="1"/>
  <c r="BG883" i="1" s="1"/>
  <c r="AM883" i="1"/>
  <c r="BF883" i="1" s="1"/>
  <c r="AN882" i="1"/>
  <c r="BG882" i="1" s="1"/>
  <c r="AM882" i="1"/>
  <c r="BF882" i="1" s="1"/>
  <c r="AN881" i="1"/>
  <c r="BG881" i="1" s="1"/>
  <c r="AM881" i="1"/>
  <c r="BF881" i="1" s="1"/>
  <c r="AN880" i="1"/>
  <c r="BG880" i="1" s="1"/>
  <c r="AM880" i="1"/>
  <c r="BF880" i="1" s="1"/>
  <c r="AN879" i="1"/>
  <c r="BG879" i="1" s="1"/>
  <c r="AM879" i="1"/>
  <c r="BF879" i="1" s="1"/>
  <c r="AN878" i="1"/>
  <c r="BG878" i="1" s="1"/>
  <c r="AM878" i="1"/>
  <c r="BF878" i="1" s="1"/>
  <c r="AN877" i="1"/>
  <c r="BG877" i="1" s="1"/>
  <c r="AM877" i="1"/>
  <c r="BF877" i="1" s="1"/>
  <c r="O884" i="1"/>
  <c r="AY884" i="1" s="1"/>
  <c r="O883" i="1"/>
  <c r="AY883" i="1" s="1"/>
  <c r="O882" i="1"/>
  <c r="AY882" i="1" s="1"/>
  <c r="O881" i="1"/>
  <c r="AY881" i="1" s="1"/>
  <c r="O880" i="1"/>
  <c r="AY880" i="1" s="1"/>
  <c r="O879" i="1"/>
  <c r="AY879" i="1" s="1"/>
  <c r="O878" i="1"/>
  <c r="AY878" i="1" s="1"/>
  <c r="O877" i="1"/>
  <c r="AY877" i="1" s="1"/>
  <c r="AN1191" i="1"/>
  <c r="BG1191" i="1" s="1"/>
  <c r="AM1191" i="1"/>
  <c r="BF1191" i="1" s="1"/>
  <c r="AN1190" i="1"/>
  <c r="BG1190" i="1" s="1"/>
  <c r="AM1190" i="1"/>
  <c r="BF1190" i="1" s="1"/>
  <c r="AN1189" i="1"/>
  <c r="BG1189" i="1" s="1"/>
  <c r="AM1189" i="1"/>
  <c r="BF1189" i="1" s="1"/>
  <c r="AN1188" i="1"/>
  <c r="BG1188" i="1" s="1"/>
  <c r="AM1188" i="1"/>
  <c r="BF1188" i="1" s="1"/>
  <c r="AN1187" i="1"/>
  <c r="BG1187" i="1" s="1"/>
  <c r="AM1187" i="1"/>
  <c r="BF1187" i="1" s="1"/>
  <c r="AN1186" i="1"/>
  <c r="BG1186" i="1" s="1"/>
  <c r="AM1186" i="1"/>
  <c r="BF1186" i="1" s="1"/>
  <c r="AN1185" i="1"/>
  <c r="BG1185" i="1" s="1"/>
  <c r="AM1185" i="1"/>
  <c r="BF1185" i="1" s="1"/>
  <c r="AN1184" i="1"/>
  <c r="BG1184" i="1" s="1"/>
  <c r="AM1184" i="1"/>
  <c r="BF1184" i="1" s="1"/>
  <c r="AN1183" i="1"/>
  <c r="BG1183" i="1" s="1"/>
  <c r="AM1183" i="1"/>
  <c r="BF1183" i="1" s="1"/>
  <c r="AN1182" i="1"/>
  <c r="BG1182" i="1" s="1"/>
  <c r="AM1182" i="1"/>
  <c r="BF1182" i="1" s="1"/>
  <c r="AN1181" i="1"/>
  <c r="BG1181" i="1" s="1"/>
  <c r="AM1181" i="1"/>
  <c r="BF1181" i="1" s="1"/>
  <c r="AN1180" i="1"/>
  <c r="BG1180" i="1" s="1"/>
  <c r="AM1180" i="1"/>
  <c r="BF1180" i="1" s="1"/>
  <c r="AN1179" i="1"/>
  <c r="BG1179" i="1" s="1"/>
  <c r="AM1179" i="1"/>
  <c r="BF1179" i="1" s="1"/>
  <c r="AN1178" i="1"/>
  <c r="BG1178" i="1" s="1"/>
  <c r="AM1178" i="1"/>
  <c r="BF1178" i="1" s="1"/>
  <c r="AN1177" i="1"/>
  <c r="BG1177" i="1" s="1"/>
  <c r="AM1177" i="1"/>
  <c r="BF1177" i="1" s="1"/>
  <c r="AN1176" i="1"/>
  <c r="BG1176" i="1" s="1"/>
  <c r="AM1176" i="1"/>
  <c r="BF1176" i="1" s="1"/>
  <c r="AN1175" i="1"/>
  <c r="BG1175" i="1" s="1"/>
  <c r="AM1175" i="1"/>
  <c r="BF1175" i="1" s="1"/>
  <c r="AN1174" i="1"/>
  <c r="BG1174" i="1" s="1"/>
  <c r="AM1174" i="1"/>
  <c r="BF1174" i="1" s="1"/>
  <c r="AN1173" i="1"/>
  <c r="BG1173" i="1" s="1"/>
  <c r="AM1173" i="1"/>
  <c r="BF1173" i="1" s="1"/>
  <c r="AN1172" i="1"/>
  <c r="BG1172" i="1" s="1"/>
  <c r="AM1172" i="1"/>
  <c r="BF1172" i="1" s="1"/>
  <c r="AN1171" i="1"/>
  <c r="BG1171" i="1" s="1"/>
  <c r="AM1171" i="1"/>
  <c r="BF1171" i="1" s="1"/>
  <c r="AN1170" i="1"/>
  <c r="BG1170" i="1" s="1"/>
  <c r="AM1170" i="1"/>
  <c r="BF1170" i="1" s="1"/>
  <c r="AN1169" i="1"/>
  <c r="BG1169" i="1" s="1"/>
  <c r="AM1169" i="1"/>
  <c r="BF1169" i="1" s="1"/>
  <c r="AN1168" i="1"/>
  <c r="BG1168" i="1" s="1"/>
  <c r="AM1168" i="1"/>
  <c r="BF1168" i="1" s="1"/>
  <c r="AN1167" i="1"/>
  <c r="BG1167" i="1" s="1"/>
  <c r="AM1167" i="1"/>
  <c r="BF1167" i="1" s="1"/>
  <c r="D1189" i="1"/>
  <c r="AW1189" i="1" s="1"/>
  <c r="D1188" i="1"/>
  <c r="AW1188" i="1" s="1"/>
  <c r="D1186" i="1"/>
  <c r="AW1186" i="1" s="1"/>
  <c r="D1184" i="1"/>
  <c r="AW1184" i="1" s="1"/>
  <c r="D1182" i="1"/>
  <c r="AW1182" i="1" s="1"/>
  <c r="D1181" i="1"/>
  <c r="AW1181" i="1" s="1"/>
  <c r="D1180" i="1"/>
  <c r="AW1180" i="1" s="1"/>
  <c r="D1179" i="1"/>
  <c r="AW1179" i="1" s="1"/>
  <c r="D1178" i="1"/>
  <c r="AW1178" i="1" s="1"/>
  <c r="D1177" i="1"/>
  <c r="AW1177" i="1" s="1"/>
  <c r="D1176" i="1"/>
  <c r="AW1176" i="1" s="1"/>
  <c r="D1175" i="1"/>
  <c r="AW1175" i="1" s="1"/>
  <c r="D1174" i="1"/>
  <c r="AW1174" i="1" s="1"/>
  <c r="D1173" i="1"/>
  <c r="AW1173" i="1" s="1"/>
  <c r="D1172" i="1"/>
  <c r="AW1172" i="1" s="1"/>
  <c r="D1171" i="1"/>
  <c r="AW1171" i="1" s="1"/>
  <c r="D1170" i="1"/>
  <c r="AW1170" i="1" s="1"/>
  <c r="D1168" i="1"/>
  <c r="AW1168" i="1" s="1"/>
  <c r="D1167" i="1"/>
  <c r="AW1167" i="1" s="1"/>
  <c r="AN1242" i="1"/>
  <c r="BG1242" i="1" s="1"/>
  <c r="AM1242" i="1"/>
  <c r="BF1242" i="1" s="1"/>
  <c r="AN1241" i="1"/>
  <c r="BG1241" i="1" s="1"/>
  <c r="AM1241" i="1"/>
  <c r="BF1241" i="1" s="1"/>
  <c r="AN1240" i="1"/>
  <c r="BG1240" i="1" s="1"/>
  <c r="AM1240" i="1"/>
  <c r="BF1240" i="1" s="1"/>
  <c r="AN1239" i="1"/>
  <c r="BG1239" i="1" s="1"/>
  <c r="AM1239" i="1"/>
  <c r="BF1239" i="1" s="1"/>
  <c r="AN1238" i="1"/>
  <c r="BG1238" i="1" s="1"/>
  <c r="AM1238" i="1"/>
  <c r="BF1238" i="1" s="1"/>
  <c r="AN1237" i="1"/>
  <c r="BG1237" i="1" s="1"/>
  <c r="AM1237" i="1"/>
  <c r="BF1237" i="1" s="1"/>
  <c r="AN1236" i="1"/>
  <c r="BG1236" i="1" s="1"/>
  <c r="AM1236" i="1"/>
  <c r="BF1236" i="1" s="1"/>
  <c r="AN1235" i="1"/>
  <c r="BG1235" i="1" s="1"/>
  <c r="AM1235" i="1"/>
  <c r="BF1235" i="1" s="1"/>
  <c r="AN1234" i="1"/>
  <c r="BG1234" i="1" s="1"/>
  <c r="AM1234" i="1"/>
  <c r="BF1234" i="1" s="1"/>
  <c r="AB1242" i="1"/>
  <c r="BH1242" i="1" s="1"/>
  <c r="AB1241" i="1"/>
  <c r="BH1241" i="1" s="1"/>
  <c r="AB1240" i="1"/>
  <c r="BH1240" i="1" s="1"/>
  <c r="AB1239" i="1"/>
  <c r="BH1239" i="1" s="1"/>
  <c r="AB1238" i="1"/>
  <c r="BH1238" i="1" s="1"/>
  <c r="D1242" i="1"/>
  <c r="AW1242" i="1" s="1"/>
  <c r="D1241" i="1"/>
  <c r="AW1241" i="1" s="1"/>
  <c r="D1240" i="1"/>
  <c r="AW1240" i="1" s="1"/>
  <c r="D1239" i="1"/>
  <c r="AW1239" i="1" s="1"/>
  <c r="D1238" i="1"/>
  <c r="AW1238" i="1" s="1"/>
  <c r="D1237" i="1"/>
  <c r="AW1237" i="1" s="1"/>
  <c r="D1236" i="1"/>
  <c r="AW1236" i="1" s="1"/>
  <c r="D1235" i="1"/>
  <c r="AW1235" i="1" s="1"/>
  <c r="D1234" i="1"/>
  <c r="AW1234" i="1" s="1"/>
  <c r="C1157" i="1"/>
  <c r="AV1157" i="1" s="1"/>
  <c r="L1159" i="1"/>
  <c r="BB1159" i="1" s="1"/>
  <c r="L1158" i="1"/>
  <c r="BB1158" i="1" s="1"/>
  <c r="L1157" i="1"/>
  <c r="BB1157" i="1" s="1"/>
  <c r="L1156" i="1"/>
  <c r="BB1156" i="1" s="1"/>
  <c r="L1155" i="1"/>
  <c r="BB1155" i="1" s="1"/>
  <c r="L1154" i="1"/>
  <c r="BB1154" i="1" s="1"/>
  <c r="AN1159" i="1"/>
  <c r="BG1159" i="1" s="1"/>
  <c r="AM1159" i="1"/>
  <c r="BF1159" i="1" s="1"/>
  <c r="AN1158" i="1"/>
  <c r="BG1158" i="1" s="1"/>
  <c r="AM1158" i="1"/>
  <c r="BF1158" i="1" s="1"/>
  <c r="AN1157" i="1"/>
  <c r="BG1157" i="1" s="1"/>
  <c r="AM1157" i="1"/>
  <c r="BF1157" i="1" s="1"/>
  <c r="AN1156" i="1"/>
  <c r="BG1156" i="1" s="1"/>
  <c r="AM1156" i="1"/>
  <c r="BF1156" i="1" s="1"/>
  <c r="AN1155" i="1"/>
  <c r="BG1155" i="1" s="1"/>
  <c r="AM1155" i="1"/>
  <c r="BF1155" i="1" s="1"/>
  <c r="AN1154" i="1"/>
  <c r="BG1154" i="1" s="1"/>
  <c r="AM1154" i="1"/>
  <c r="BF1154" i="1" s="1"/>
  <c r="AN1153" i="1"/>
  <c r="BG1153" i="1" s="1"/>
  <c r="AM1153" i="1"/>
  <c r="BF1153" i="1" s="1"/>
  <c r="R1159" i="1"/>
  <c r="R1158" i="1"/>
  <c r="R1157" i="1"/>
  <c r="R1156" i="1"/>
  <c r="R1155" i="1"/>
  <c r="R1154" i="1"/>
  <c r="R1153" i="1"/>
  <c r="AN48" i="1"/>
  <c r="BG48" i="1" s="1"/>
  <c r="AM48" i="1"/>
  <c r="BF48" i="1" s="1"/>
  <c r="AN47" i="1"/>
  <c r="BG47" i="1" s="1"/>
  <c r="AM47" i="1"/>
  <c r="BF47" i="1" s="1"/>
  <c r="AN1277" i="1"/>
  <c r="BG1277" i="1" s="1"/>
  <c r="AM1277" i="1"/>
  <c r="BF1277" i="1" s="1"/>
  <c r="AN1276" i="1"/>
  <c r="BG1276" i="1" s="1"/>
  <c r="AM1276" i="1"/>
  <c r="BF1276" i="1" s="1"/>
  <c r="AN1275" i="1"/>
  <c r="BG1275" i="1" s="1"/>
  <c r="AM1275" i="1"/>
  <c r="BF1275" i="1" s="1"/>
  <c r="AN1274" i="1"/>
  <c r="BG1274" i="1" s="1"/>
  <c r="AM1274" i="1"/>
  <c r="BF1274" i="1" s="1"/>
  <c r="AN1273" i="1"/>
  <c r="BG1273" i="1" s="1"/>
  <c r="AM1273" i="1"/>
  <c r="BF1273" i="1" s="1"/>
  <c r="AN1272" i="1"/>
  <c r="BG1272" i="1" s="1"/>
  <c r="AM1272" i="1"/>
  <c r="BF1272" i="1" s="1"/>
  <c r="AN1271" i="1"/>
  <c r="BG1271" i="1" s="1"/>
  <c r="AM1271" i="1"/>
  <c r="BF1271" i="1" s="1"/>
  <c r="AN207" i="1"/>
  <c r="BG207" i="1" s="1"/>
  <c r="AM207" i="1"/>
  <c r="BF207" i="1" s="1"/>
  <c r="AN206" i="1"/>
  <c r="BG206" i="1" s="1"/>
  <c r="AM206" i="1"/>
  <c r="BF206" i="1" s="1"/>
  <c r="AN205" i="1"/>
  <c r="BG205" i="1" s="1"/>
  <c r="AM205" i="1"/>
  <c r="BF205" i="1" s="1"/>
  <c r="AN204" i="1"/>
  <c r="BG204" i="1" s="1"/>
  <c r="AM204" i="1"/>
  <c r="BF204" i="1" s="1"/>
  <c r="AN203" i="1"/>
  <c r="BG203" i="1" s="1"/>
  <c r="AM203" i="1"/>
  <c r="BF203" i="1" s="1"/>
  <c r="AN86" i="1"/>
  <c r="BG86" i="1" s="1"/>
  <c r="AM86" i="1"/>
  <c r="BF86" i="1" s="1"/>
  <c r="AN85" i="1"/>
  <c r="BG85" i="1" s="1"/>
  <c r="AM85" i="1"/>
  <c r="BF85" i="1" s="1"/>
  <c r="AN94" i="1"/>
  <c r="BG94" i="1" s="1"/>
  <c r="AM94" i="1"/>
  <c r="BF94" i="1" s="1"/>
  <c r="B207" i="1"/>
  <c r="AU207" i="1" s="1"/>
  <c r="B206" i="1"/>
  <c r="AU206" i="1" s="1"/>
  <c r="B205" i="1"/>
  <c r="AU205" i="1" s="1"/>
  <c r="B204" i="1"/>
  <c r="AU204" i="1" s="1"/>
  <c r="B203" i="1"/>
  <c r="AU203" i="1" s="1"/>
  <c r="B85" i="1"/>
  <c r="AU85" i="1" s="1"/>
  <c r="B86" i="1"/>
  <c r="AU86" i="1" s="1"/>
  <c r="D1157" i="1" l="1"/>
  <c r="S1290" i="1"/>
  <c r="C1291" i="1"/>
  <c r="AV1291" i="1" s="1"/>
  <c r="AU1291" i="1"/>
  <c r="R1291" i="1"/>
  <c r="C1292" i="1"/>
  <c r="AV1292" i="1" s="1"/>
  <c r="AW1291" i="1"/>
  <c r="S1291" i="1"/>
  <c r="C1290" i="1"/>
  <c r="AV1290" i="1" s="1"/>
  <c r="BG17" i="1"/>
  <c r="BF17" i="1"/>
  <c r="B17" i="1"/>
  <c r="AU17" i="1" s="1"/>
  <c r="AN16" i="1"/>
  <c r="BG16" i="1" s="1"/>
  <c r="AM16" i="1"/>
  <c r="BF16" i="1" s="1"/>
  <c r="AN15" i="1"/>
  <c r="BG15" i="1" s="1"/>
  <c r="AM15" i="1"/>
  <c r="BF15" i="1" s="1"/>
  <c r="B16" i="1"/>
  <c r="B15" i="1"/>
  <c r="AN38" i="1"/>
  <c r="BG38" i="1" s="1"/>
  <c r="AM38" i="1"/>
  <c r="BF38" i="1" s="1"/>
  <c r="AN37" i="1"/>
  <c r="BG37" i="1" s="1"/>
  <c r="AM37" i="1"/>
  <c r="BF37" i="1" s="1"/>
  <c r="AN36" i="1"/>
  <c r="BG36" i="1" s="1"/>
  <c r="AM36" i="1"/>
  <c r="BF36" i="1" s="1"/>
  <c r="AN35" i="1"/>
  <c r="BG35" i="1" s="1"/>
  <c r="AM35" i="1"/>
  <c r="BF35" i="1" s="1"/>
  <c r="AB38" i="1"/>
  <c r="BH38" i="1" s="1"/>
  <c r="AB37" i="1"/>
  <c r="BH37" i="1" s="1"/>
  <c r="B38" i="1"/>
  <c r="AU38" i="1" s="1"/>
  <c r="B37" i="1"/>
  <c r="AU37" i="1" s="1"/>
  <c r="AB36" i="1"/>
  <c r="BH36" i="1" s="1"/>
  <c r="B36" i="1"/>
  <c r="AU36" i="1" s="1"/>
  <c r="AB35" i="1"/>
  <c r="BH35" i="1" s="1"/>
  <c r="B35" i="1"/>
  <c r="AU35" i="1" s="1"/>
  <c r="AN153" i="1"/>
  <c r="BG153" i="1" s="1"/>
  <c r="AM153" i="1"/>
  <c r="BF153" i="1" s="1"/>
  <c r="AN152" i="1"/>
  <c r="BG152" i="1" s="1"/>
  <c r="AM152" i="1"/>
  <c r="BF152" i="1" s="1"/>
  <c r="B153" i="1"/>
  <c r="AU153" i="1" s="1"/>
  <c r="B152" i="1"/>
  <c r="AU152" i="1" s="1"/>
  <c r="AN151" i="1"/>
  <c r="BG151" i="1" s="1"/>
  <c r="AM151" i="1"/>
  <c r="BF151" i="1" s="1"/>
  <c r="AN150" i="1"/>
  <c r="BG150" i="1" s="1"/>
  <c r="AM150" i="1"/>
  <c r="BF150" i="1" s="1"/>
  <c r="AN149" i="1"/>
  <c r="BG149" i="1" s="1"/>
  <c r="AM149" i="1"/>
  <c r="BF149" i="1" s="1"/>
  <c r="AN148" i="1"/>
  <c r="BG148" i="1" s="1"/>
  <c r="AM148" i="1"/>
  <c r="BF148" i="1" s="1"/>
  <c r="AN147" i="1"/>
  <c r="BG147" i="1" s="1"/>
  <c r="AM147" i="1"/>
  <c r="BF147" i="1" s="1"/>
  <c r="AN146" i="1"/>
  <c r="BG146" i="1" s="1"/>
  <c r="AM146" i="1"/>
  <c r="BF146" i="1" s="1"/>
  <c r="AN145" i="1"/>
  <c r="BG145" i="1" s="1"/>
  <c r="AM145" i="1"/>
  <c r="BF145" i="1" s="1"/>
  <c r="AN1288" i="1"/>
  <c r="BG1288" i="1" s="1"/>
  <c r="AM1288" i="1"/>
  <c r="BF1288" i="1" s="1"/>
  <c r="AN1287" i="1"/>
  <c r="BG1287" i="1" s="1"/>
  <c r="AM1287" i="1"/>
  <c r="BF1287" i="1" s="1"/>
  <c r="AN1286" i="1"/>
  <c r="BG1286" i="1" s="1"/>
  <c r="AM1286" i="1"/>
  <c r="BF1286" i="1" s="1"/>
  <c r="AN1285" i="1"/>
  <c r="BG1285" i="1" s="1"/>
  <c r="AM1285" i="1"/>
  <c r="BF1285" i="1" s="1"/>
  <c r="AN1284" i="1"/>
  <c r="BG1284" i="1" s="1"/>
  <c r="AM1284" i="1"/>
  <c r="BF1284" i="1" s="1"/>
  <c r="AN1283" i="1"/>
  <c r="BG1283" i="1" s="1"/>
  <c r="AM1283" i="1"/>
  <c r="BF1283" i="1" s="1"/>
  <c r="AN1264" i="1"/>
  <c r="BG1264" i="1" s="1"/>
  <c r="AM1264" i="1"/>
  <c r="BF1264" i="1" s="1"/>
  <c r="AN123" i="1"/>
  <c r="BG123" i="1" s="1"/>
  <c r="AM123" i="1"/>
  <c r="BF123" i="1" s="1"/>
  <c r="AN20" i="1"/>
  <c r="BG20" i="1" s="1"/>
  <c r="AM20" i="1"/>
  <c r="BF20" i="1" s="1"/>
  <c r="AN131" i="1"/>
  <c r="BG131" i="1" s="1"/>
  <c r="AM131" i="1"/>
  <c r="BF131" i="1" s="1"/>
  <c r="AN130" i="1"/>
  <c r="BG130" i="1" s="1"/>
  <c r="AM130" i="1"/>
  <c r="BF130" i="1" s="1"/>
  <c r="AN129" i="1"/>
  <c r="BG129" i="1" s="1"/>
  <c r="AM129" i="1"/>
  <c r="BF129" i="1" s="1"/>
  <c r="AN128" i="1"/>
  <c r="BG128" i="1" s="1"/>
  <c r="AM128" i="1"/>
  <c r="BF128" i="1" s="1"/>
  <c r="AN127" i="1"/>
  <c r="BG127" i="1" s="1"/>
  <c r="AM127" i="1"/>
  <c r="BF127" i="1" s="1"/>
  <c r="AN126" i="1"/>
  <c r="BG126" i="1" s="1"/>
  <c r="AM126" i="1"/>
  <c r="BF126" i="1" s="1"/>
  <c r="AN125" i="1"/>
  <c r="BG125" i="1" s="1"/>
  <c r="AM125" i="1"/>
  <c r="BF125" i="1" s="1"/>
  <c r="AN124" i="1"/>
  <c r="BG124" i="1" s="1"/>
  <c r="AM124" i="1"/>
  <c r="BF124" i="1" s="1"/>
  <c r="AN1289" i="1"/>
  <c r="BG1289" i="1" s="1"/>
  <c r="AM1289" i="1"/>
  <c r="BF1289" i="1" s="1"/>
  <c r="AN301" i="1"/>
  <c r="BG301" i="1" s="1"/>
  <c r="AM301" i="1"/>
  <c r="BF301" i="1" s="1"/>
  <c r="AN1302" i="1"/>
  <c r="BG1302" i="1" s="1"/>
  <c r="AM1302" i="1"/>
  <c r="BF1302" i="1" s="1"/>
  <c r="B151" i="1"/>
  <c r="AU151" i="1" s="1"/>
  <c r="AB150" i="1"/>
  <c r="BH150" i="1" s="1"/>
  <c r="AB149" i="1"/>
  <c r="BH149" i="1" s="1"/>
  <c r="AB148" i="1"/>
  <c r="BH148" i="1" s="1"/>
  <c r="AB147" i="1"/>
  <c r="BH147" i="1" s="1"/>
  <c r="AB146" i="1"/>
  <c r="BH146" i="1" s="1"/>
  <c r="AB145" i="1"/>
  <c r="BH145" i="1" s="1"/>
  <c r="B150" i="1"/>
  <c r="AU150" i="1" s="1"/>
  <c r="B149" i="1"/>
  <c r="AU149" i="1" s="1"/>
  <c r="B148" i="1"/>
  <c r="AU148" i="1" s="1"/>
  <c r="B147" i="1"/>
  <c r="AU147" i="1" s="1"/>
  <c r="B146" i="1"/>
  <c r="AU146" i="1" s="1"/>
  <c r="B145" i="1"/>
  <c r="AU145" i="1" s="1"/>
  <c r="R1287" i="1"/>
  <c r="S1301" i="1"/>
  <c r="S1300" i="1"/>
  <c r="S1299" i="1"/>
  <c r="S1298" i="1"/>
  <c r="S1294" i="1"/>
  <c r="S1293" i="1"/>
  <c r="R1286" i="1"/>
  <c r="R1285" i="1"/>
  <c r="R1284" i="1"/>
  <c r="R1283" i="1"/>
  <c r="L1287" i="1"/>
  <c r="BB1287" i="1" s="1"/>
  <c r="L1286" i="1"/>
  <c r="BB1286" i="1" s="1"/>
  <c r="L1285" i="1"/>
  <c r="BB1285" i="1" s="1"/>
  <c r="L1283" i="1"/>
  <c r="BB1283" i="1" s="1"/>
  <c r="L1264" i="1"/>
  <c r="BB1264" i="1" s="1"/>
  <c r="D1287" i="1"/>
  <c r="D1286" i="1"/>
  <c r="AW1286" i="1" s="1"/>
  <c r="D1285" i="1"/>
  <c r="AW1285" i="1" s="1"/>
  <c r="D1284" i="1"/>
  <c r="AW1284" i="1" s="1"/>
  <c r="D1283" i="1"/>
  <c r="AW1283" i="1" s="1"/>
  <c r="N1264" i="1"/>
  <c r="AX1264" i="1" s="1"/>
  <c r="P1264" i="1"/>
  <c r="AZ1264" i="1" s="1"/>
  <c r="B123" i="1"/>
  <c r="AU123" i="1" s="1"/>
  <c r="AB123" i="1"/>
  <c r="BH123" i="1" s="1"/>
  <c r="B131" i="1"/>
  <c r="AU131" i="1" s="1"/>
  <c r="B130" i="1"/>
  <c r="AU130" i="1" s="1"/>
  <c r="B129" i="1"/>
  <c r="AU129" i="1" s="1"/>
  <c r="B128" i="1"/>
  <c r="AU128" i="1" s="1"/>
  <c r="AB131" i="1"/>
  <c r="BH131" i="1" s="1"/>
  <c r="AB130" i="1"/>
  <c r="BH130" i="1" s="1"/>
  <c r="AB129" i="1"/>
  <c r="BH129" i="1" s="1"/>
  <c r="AB128" i="1"/>
  <c r="BH128" i="1" s="1"/>
  <c r="AB127" i="1"/>
  <c r="BH127" i="1" s="1"/>
  <c r="B127" i="1"/>
  <c r="AU127" i="1" s="1"/>
  <c r="AB126" i="1"/>
  <c r="BH126" i="1" s="1"/>
  <c r="B126" i="1"/>
  <c r="AU126" i="1" s="1"/>
  <c r="B125" i="1"/>
  <c r="AU125" i="1" s="1"/>
  <c r="AB125" i="1"/>
  <c r="BH125" i="1" s="1"/>
  <c r="AB124" i="1"/>
  <c r="BH124" i="1" s="1"/>
  <c r="B124" i="1"/>
  <c r="AU124" i="1" s="1"/>
  <c r="C1289" i="1"/>
  <c r="AV1289" i="1" s="1"/>
  <c r="L1289" i="1"/>
  <c r="BB1289" i="1" s="1"/>
  <c r="S1157" i="1" l="1"/>
  <c r="AW1157" i="1"/>
  <c r="S1284" i="1"/>
  <c r="S1285" i="1"/>
  <c r="D146" i="1"/>
  <c r="AW146" i="1" s="1"/>
  <c r="S1286" i="1"/>
  <c r="D147" i="1"/>
  <c r="AW147" i="1" s="1"/>
  <c r="D145" i="1"/>
  <c r="AW145" i="1" s="1"/>
  <c r="D149" i="1"/>
  <c r="AW149" i="1" s="1"/>
  <c r="AU16" i="1"/>
  <c r="E17" i="1"/>
  <c r="D150" i="1"/>
  <c r="AW150" i="1" s="1"/>
  <c r="S1287" i="1"/>
  <c r="AW1287" i="1"/>
  <c r="S1283" i="1"/>
  <c r="D148" i="1"/>
  <c r="AW148" i="1" s="1"/>
  <c r="AU15" i="1"/>
  <c r="E15" i="1"/>
  <c r="E16" i="1"/>
  <c r="AN797" i="1"/>
  <c r="BG797" i="1" s="1"/>
  <c r="AM797" i="1"/>
  <c r="BF797" i="1" s="1"/>
  <c r="AN796" i="1"/>
  <c r="BG796" i="1" s="1"/>
  <c r="AM796" i="1"/>
  <c r="BF796" i="1" s="1"/>
  <c r="AN795" i="1"/>
  <c r="BG795" i="1" s="1"/>
  <c r="AM795" i="1"/>
  <c r="BF795" i="1" s="1"/>
  <c r="BI797" i="1"/>
  <c r="BH797" i="1"/>
  <c r="BE797" i="1"/>
  <c r="BD797" i="1"/>
  <c r="BC797" i="1"/>
  <c r="BI796" i="1"/>
  <c r="BH796" i="1"/>
  <c r="BE796" i="1"/>
  <c r="BD796" i="1"/>
  <c r="BC796" i="1"/>
  <c r="BI795" i="1"/>
  <c r="BH795" i="1"/>
  <c r="BE795" i="1"/>
  <c r="BD795" i="1"/>
  <c r="BC795" i="1"/>
  <c r="BI230" i="1"/>
  <c r="BH230" i="1"/>
  <c r="BE230" i="1"/>
  <c r="BD230" i="1"/>
  <c r="BC230" i="1"/>
  <c r="BI229" i="1"/>
  <c r="BH229" i="1"/>
  <c r="BE229" i="1"/>
  <c r="BD229" i="1"/>
  <c r="BC229" i="1"/>
  <c r="BB797" i="1"/>
  <c r="BA797" i="1"/>
  <c r="AZ797" i="1"/>
  <c r="AY797" i="1"/>
  <c r="AX797" i="1"/>
  <c r="AW797" i="1"/>
  <c r="AV797" i="1"/>
  <c r="AU797" i="1"/>
  <c r="BB796" i="1"/>
  <c r="BA796" i="1"/>
  <c r="AZ796" i="1"/>
  <c r="AY796" i="1"/>
  <c r="AX796" i="1"/>
  <c r="AW796" i="1"/>
  <c r="AV796" i="1"/>
  <c r="AU796" i="1"/>
  <c r="BB795" i="1"/>
  <c r="BA795" i="1"/>
  <c r="AZ795" i="1"/>
  <c r="AY795" i="1"/>
  <c r="AX795" i="1"/>
  <c r="AW795" i="1"/>
  <c r="AV795" i="1"/>
  <c r="AU795" i="1"/>
  <c r="BB230" i="1"/>
  <c r="BA230" i="1"/>
  <c r="AZ230" i="1"/>
  <c r="AY230" i="1"/>
  <c r="AX230" i="1"/>
  <c r="AW230" i="1"/>
  <c r="AV230" i="1"/>
  <c r="BB229" i="1"/>
  <c r="BA229" i="1"/>
  <c r="AZ229" i="1"/>
  <c r="AY229" i="1"/>
  <c r="AX229" i="1"/>
  <c r="AV229" i="1"/>
  <c r="R797" i="1" l="1"/>
  <c r="R796" i="1"/>
  <c r="R795" i="1"/>
  <c r="AN230" i="1"/>
  <c r="BG230" i="1" s="1"/>
  <c r="AM230" i="1"/>
  <c r="BF230" i="1" s="1"/>
  <c r="AN229" i="1"/>
  <c r="BG229" i="1" s="1"/>
  <c r="AM229" i="1"/>
  <c r="BF229" i="1" s="1"/>
  <c r="B230" i="1"/>
  <c r="AU230" i="1" s="1"/>
  <c r="B229" i="1"/>
  <c r="AU229" i="1" s="1"/>
  <c r="D229" i="1" l="1"/>
  <c r="AW229" i="1" s="1"/>
  <c r="BI983" i="1"/>
  <c r="BI982" i="1"/>
  <c r="BI981" i="1"/>
  <c r="BH981" i="1"/>
  <c r="BI1233" i="1"/>
  <c r="BH1233" i="1"/>
  <c r="BI1232" i="1"/>
  <c r="BH1232" i="1"/>
  <c r="BI1231" i="1"/>
  <c r="BH1231" i="1"/>
  <c r="BI1230" i="1"/>
  <c r="BH1230" i="1"/>
  <c r="BI1229" i="1"/>
  <c r="BH1229" i="1"/>
  <c r="BI1228" i="1"/>
  <c r="BH1228" i="1"/>
  <c r="BI1227" i="1"/>
  <c r="BH1227" i="1"/>
  <c r="BI1226" i="1"/>
  <c r="BH1226" i="1"/>
  <c r="BI1152" i="1"/>
  <c r="BI1151" i="1"/>
  <c r="BH1151" i="1"/>
  <c r="BI621" i="1"/>
  <c r="BH621" i="1"/>
  <c r="BI771" i="1"/>
  <c r="BH771" i="1"/>
  <c r="BI770" i="1"/>
  <c r="BH770" i="1"/>
  <c r="BI769" i="1"/>
  <c r="BH769" i="1"/>
  <c r="BI768" i="1"/>
  <c r="BH768" i="1"/>
  <c r="BI965" i="1"/>
  <c r="BH965" i="1"/>
  <c r="BI964" i="1"/>
  <c r="BH964" i="1"/>
  <c r="BI340" i="1"/>
  <c r="BH340" i="1"/>
  <c r="BE983" i="1"/>
  <c r="BD983" i="1"/>
  <c r="BC983" i="1"/>
  <c r="BB983" i="1"/>
  <c r="BA983" i="1"/>
  <c r="BE982" i="1"/>
  <c r="BD982" i="1"/>
  <c r="BC982" i="1"/>
  <c r="BB982" i="1"/>
  <c r="BA982" i="1"/>
  <c r="BE981" i="1"/>
  <c r="BD981" i="1"/>
  <c r="BC981" i="1"/>
  <c r="BB981" i="1"/>
  <c r="BA981" i="1"/>
  <c r="BE1233" i="1"/>
  <c r="BD1233" i="1"/>
  <c r="BC1233" i="1"/>
  <c r="BB1233" i="1"/>
  <c r="BA1233" i="1"/>
  <c r="BE1232" i="1"/>
  <c r="BD1232" i="1"/>
  <c r="BC1232" i="1"/>
  <c r="BB1232" i="1"/>
  <c r="BA1232" i="1"/>
  <c r="BE1231" i="1"/>
  <c r="BD1231" i="1"/>
  <c r="BC1231" i="1"/>
  <c r="BB1231" i="1"/>
  <c r="BA1231" i="1"/>
  <c r="BE1230" i="1"/>
  <c r="BD1230" i="1"/>
  <c r="BC1230" i="1"/>
  <c r="BB1230" i="1"/>
  <c r="BA1230" i="1"/>
  <c r="BE1229" i="1"/>
  <c r="BD1229" i="1"/>
  <c r="BC1229" i="1"/>
  <c r="BB1229" i="1"/>
  <c r="BA1229" i="1"/>
  <c r="BE1228" i="1"/>
  <c r="BD1228" i="1"/>
  <c r="BC1228" i="1"/>
  <c r="BB1228" i="1"/>
  <c r="BA1228" i="1"/>
  <c r="BE1227" i="1"/>
  <c r="BD1227" i="1"/>
  <c r="BC1227" i="1"/>
  <c r="BB1227" i="1"/>
  <c r="BA1227" i="1"/>
  <c r="BE1226" i="1"/>
  <c r="BD1226" i="1"/>
  <c r="BC1226" i="1"/>
  <c r="BB1226" i="1"/>
  <c r="BA1226" i="1"/>
  <c r="BE1152" i="1"/>
  <c r="BD1152" i="1"/>
  <c r="BC1152" i="1"/>
  <c r="BB1152" i="1"/>
  <c r="BA1152" i="1"/>
  <c r="BE1151" i="1"/>
  <c r="BD1151" i="1"/>
  <c r="BC1151" i="1"/>
  <c r="BB1151" i="1"/>
  <c r="BA1151" i="1"/>
  <c r="BE621" i="1"/>
  <c r="BD621" i="1"/>
  <c r="BC621" i="1"/>
  <c r="BB621" i="1"/>
  <c r="BA621" i="1"/>
  <c r="BE771" i="1"/>
  <c r="BD771" i="1"/>
  <c r="BC771" i="1"/>
  <c r="BA771" i="1"/>
  <c r="BE770" i="1"/>
  <c r="BD770" i="1"/>
  <c r="BC770" i="1"/>
  <c r="BA770" i="1"/>
  <c r="BE769" i="1"/>
  <c r="BD769" i="1"/>
  <c r="BC769" i="1"/>
  <c r="BA769" i="1"/>
  <c r="BE768" i="1"/>
  <c r="BD768" i="1"/>
  <c r="BC768" i="1"/>
  <c r="BA768" i="1"/>
  <c r="BE965" i="1"/>
  <c r="BD965" i="1"/>
  <c r="BC965" i="1"/>
  <c r="BB965" i="1"/>
  <c r="BA965" i="1"/>
  <c r="BE964" i="1"/>
  <c r="BD964" i="1"/>
  <c r="BC964" i="1"/>
  <c r="BB964" i="1"/>
  <c r="BA964" i="1"/>
  <c r="BE340" i="1"/>
  <c r="BD340" i="1"/>
  <c r="BC340" i="1"/>
  <c r="BB340" i="1"/>
  <c r="BA340" i="1"/>
  <c r="AZ983" i="1"/>
  <c r="AY983" i="1"/>
  <c r="AX983" i="1"/>
  <c r="AW983" i="1"/>
  <c r="AV983" i="1"/>
  <c r="AZ982" i="1"/>
  <c r="AY982" i="1"/>
  <c r="AX982" i="1"/>
  <c r="AW982" i="1"/>
  <c r="AV982" i="1"/>
  <c r="AZ981" i="1"/>
  <c r="AY981" i="1"/>
  <c r="AX981" i="1"/>
  <c r="AW981" i="1"/>
  <c r="AV981" i="1"/>
  <c r="AZ1233" i="1"/>
  <c r="AY1233" i="1"/>
  <c r="AX1233" i="1"/>
  <c r="AW1233" i="1"/>
  <c r="AV1233" i="1"/>
  <c r="AU1233" i="1"/>
  <c r="AZ1232" i="1"/>
  <c r="AY1232" i="1"/>
  <c r="AX1232" i="1"/>
  <c r="AW1232" i="1"/>
  <c r="AV1232" i="1"/>
  <c r="AU1232" i="1"/>
  <c r="AZ1231" i="1"/>
  <c r="AY1231" i="1"/>
  <c r="AX1231" i="1"/>
  <c r="AW1231" i="1"/>
  <c r="AV1231" i="1"/>
  <c r="AU1231" i="1"/>
  <c r="AZ1230" i="1"/>
  <c r="AY1230" i="1"/>
  <c r="AX1230" i="1"/>
  <c r="AW1230" i="1"/>
  <c r="AV1230" i="1"/>
  <c r="AU1230" i="1"/>
  <c r="AZ1229" i="1"/>
  <c r="AY1229" i="1"/>
  <c r="AX1229" i="1"/>
  <c r="AW1229" i="1"/>
  <c r="AV1229" i="1"/>
  <c r="AU1229" i="1"/>
  <c r="AZ1228" i="1"/>
  <c r="AY1228" i="1"/>
  <c r="AX1228" i="1"/>
  <c r="AW1228" i="1"/>
  <c r="AV1228" i="1"/>
  <c r="AU1228" i="1"/>
  <c r="AZ1227" i="1"/>
  <c r="AY1227" i="1"/>
  <c r="AX1227" i="1"/>
  <c r="AW1227" i="1"/>
  <c r="AV1227" i="1"/>
  <c r="AU1227" i="1"/>
  <c r="AZ1226" i="1"/>
  <c r="AY1226" i="1"/>
  <c r="AX1226" i="1"/>
  <c r="AW1226" i="1"/>
  <c r="AV1226" i="1"/>
  <c r="AU1226" i="1"/>
  <c r="AZ1152" i="1"/>
  <c r="AY1152" i="1"/>
  <c r="AX1152" i="1"/>
  <c r="AV1152" i="1"/>
  <c r="AZ1151" i="1"/>
  <c r="AY1151" i="1"/>
  <c r="AX1151" i="1"/>
  <c r="AV1151" i="1"/>
  <c r="AZ621" i="1"/>
  <c r="AY621" i="1"/>
  <c r="AX621" i="1"/>
  <c r="AW621" i="1"/>
  <c r="AV621" i="1"/>
  <c r="AZ771" i="1"/>
  <c r="AY771" i="1"/>
  <c r="AX771" i="1"/>
  <c r="AW771" i="1"/>
  <c r="AV771" i="1"/>
  <c r="AU771" i="1"/>
  <c r="AZ770" i="1"/>
  <c r="AY770" i="1"/>
  <c r="AX770" i="1"/>
  <c r="AW770" i="1"/>
  <c r="AV770" i="1"/>
  <c r="AU770" i="1"/>
  <c r="AZ769" i="1"/>
  <c r="AY769" i="1"/>
  <c r="AX769" i="1"/>
  <c r="AW769" i="1"/>
  <c r="AV769" i="1"/>
  <c r="AU769" i="1"/>
  <c r="AZ768" i="1"/>
  <c r="AY768" i="1"/>
  <c r="AX768" i="1"/>
  <c r="AW768" i="1"/>
  <c r="AV768" i="1"/>
  <c r="AU768" i="1"/>
  <c r="AZ965" i="1"/>
  <c r="AY965" i="1"/>
  <c r="AX965" i="1"/>
  <c r="AW965" i="1"/>
  <c r="AV965" i="1"/>
  <c r="AU965" i="1"/>
  <c r="AZ964" i="1"/>
  <c r="AY964" i="1"/>
  <c r="AX964" i="1"/>
  <c r="AW964" i="1"/>
  <c r="AV964" i="1"/>
  <c r="AU964" i="1"/>
  <c r="AZ340" i="1"/>
  <c r="AY340" i="1"/>
  <c r="AX340" i="1"/>
  <c r="AW340" i="1"/>
  <c r="AV340" i="1"/>
  <c r="AU340" i="1"/>
  <c r="AN983" i="1"/>
  <c r="BG983" i="1" s="1"/>
  <c r="AM983" i="1"/>
  <c r="BF983" i="1" s="1"/>
  <c r="AN982" i="1"/>
  <c r="BG982" i="1" s="1"/>
  <c r="AM982" i="1"/>
  <c r="BF982" i="1" s="1"/>
  <c r="AN981" i="1"/>
  <c r="BG981" i="1" s="1"/>
  <c r="AM981" i="1"/>
  <c r="BF981" i="1" s="1"/>
  <c r="AB983" i="1"/>
  <c r="BH983" i="1" s="1"/>
  <c r="AB982" i="1"/>
  <c r="BH982" i="1" s="1"/>
  <c r="B983" i="1"/>
  <c r="AU983" i="1" s="1"/>
  <c r="B982" i="1"/>
  <c r="AU982" i="1" s="1"/>
  <c r="B981" i="1"/>
  <c r="AU981" i="1" s="1"/>
  <c r="AN1233" i="1"/>
  <c r="BG1233" i="1" s="1"/>
  <c r="AM1233" i="1"/>
  <c r="BF1233" i="1" s="1"/>
  <c r="AN1232" i="1"/>
  <c r="BG1232" i="1" s="1"/>
  <c r="AM1232" i="1"/>
  <c r="BF1232" i="1" s="1"/>
  <c r="AN1231" i="1"/>
  <c r="BG1231" i="1" s="1"/>
  <c r="AM1231" i="1"/>
  <c r="BF1231" i="1" s="1"/>
  <c r="AN1230" i="1"/>
  <c r="BG1230" i="1" s="1"/>
  <c r="AM1230" i="1"/>
  <c r="BF1230" i="1" s="1"/>
  <c r="AN1229" i="1"/>
  <c r="BG1229" i="1" s="1"/>
  <c r="AM1229" i="1"/>
  <c r="BF1229" i="1" s="1"/>
  <c r="AN1228" i="1"/>
  <c r="BG1228" i="1" s="1"/>
  <c r="AM1228" i="1"/>
  <c r="BF1228" i="1" s="1"/>
  <c r="AN1227" i="1"/>
  <c r="BG1227" i="1" s="1"/>
  <c r="AM1227" i="1"/>
  <c r="BF1227" i="1" s="1"/>
  <c r="AN1226" i="1"/>
  <c r="BG1226" i="1" s="1"/>
  <c r="AM1226" i="1"/>
  <c r="BF1226" i="1" s="1"/>
  <c r="AN1152" i="1"/>
  <c r="BG1152" i="1" s="1"/>
  <c r="AM1152" i="1"/>
  <c r="BF1152" i="1" s="1"/>
  <c r="AN1151" i="1"/>
  <c r="BG1151" i="1" s="1"/>
  <c r="AM1151" i="1"/>
  <c r="BF1151" i="1" s="1"/>
  <c r="AB1152" i="1"/>
  <c r="BH1152" i="1" s="1"/>
  <c r="B1152" i="1"/>
  <c r="AU1152" i="1" s="1"/>
  <c r="B1151" i="1"/>
  <c r="D1151" i="1" s="1"/>
  <c r="AW1151" i="1" s="1"/>
  <c r="AN621" i="1"/>
  <c r="BG621" i="1" s="1"/>
  <c r="AM621" i="1"/>
  <c r="BF621" i="1" s="1"/>
  <c r="B621" i="1"/>
  <c r="AU621" i="1" s="1"/>
  <c r="AN771" i="1"/>
  <c r="BG771" i="1" s="1"/>
  <c r="AM771" i="1"/>
  <c r="BF771" i="1" s="1"/>
  <c r="AN770" i="1"/>
  <c r="BG770" i="1" s="1"/>
  <c r="AM770" i="1"/>
  <c r="BF770" i="1" s="1"/>
  <c r="AN769" i="1"/>
  <c r="BG769" i="1" s="1"/>
  <c r="AM769" i="1"/>
  <c r="BF769" i="1" s="1"/>
  <c r="AN768" i="1"/>
  <c r="BG768" i="1" s="1"/>
  <c r="AM768" i="1"/>
  <c r="BF768" i="1" s="1"/>
  <c r="AN965" i="1"/>
  <c r="BG965" i="1" s="1"/>
  <c r="AM965" i="1"/>
  <c r="BF965" i="1" s="1"/>
  <c r="AN964" i="1"/>
  <c r="BG964" i="1" s="1"/>
  <c r="AM964" i="1"/>
  <c r="BF964" i="1" s="1"/>
  <c r="AN340" i="1"/>
  <c r="BG340" i="1" s="1"/>
  <c r="AM340" i="1"/>
  <c r="BF340" i="1" s="1"/>
  <c r="L771" i="1"/>
  <c r="BB771" i="1" s="1"/>
  <c r="L770" i="1"/>
  <c r="BB770" i="1" s="1"/>
  <c r="L769" i="1"/>
  <c r="BB769" i="1" s="1"/>
  <c r="L768" i="1"/>
  <c r="BB768" i="1" s="1"/>
  <c r="AN1282" i="1"/>
  <c r="BG1282" i="1" s="1"/>
  <c r="AM1282" i="1"/>
  <c r="BF1282" i="1" s="1"/>
  <c r="AN1281" i="1"/>
  <c r="BG1281" i="1" s="1"/>
  <c r="AM1281" i="1"/>
  <c r="BF1281" i="1" s="1"/>
  <c r="AN1280" i="1"/>
  <c r="BG1280" i="1" s="1"/>
  <c r="AM1280" i="1"/>
  <c r="BF1280" i="1" s="1"/>
  <c r="AN1279" i="1"/>
  <c r="BG1279" i="1" s="1"/>
  <c r="AM1279" i="1"/>
  <c r="BF1279" i="1" s="1"/>
  <c r="AN1278" i="1"/>
  <c r="BG1278" i="1" s="1"/>
  <c r="AM1278" i="1"/>
  <c r="BF1278" i="1" s="1"/>
  <c r="L1282" i="1"/>
  <c r="BB1282" i="1" s="1"/>
  <c r="L1281" i="1"/>
  <c r="BB1281" i="1" s="1"/>
  <c r="L1280" i="1"/>
  <c r="BB1280" i="1" s="1"/>
  <c r="L1279" i="1"/>
  <c r="BB1279" i="1" s="1"/>
  <c r="L1278" i="1"/>
  <c r="BB1278" i="1" s="1"/>
  <c r="AN1270" i="1"/>
  <c r="BG1270" i="1" s="1"/>
  <c r="AM1270" i="1"/>
  <c r="BF1270" i="1" s="1"/>
  <c r="AN1269" i="1"/>
  <c r="BG1269" i="1" s="1"/>
  <c r="AM1269" i="1"/>
  <c r="BF1269" i="1" s="1"/>
  <c r="AN1268" i="1"/>
  <c r="AM1268" i="1"/>
  <c r="AN1267" i="1"/>
  <c r="AM1267" i="1"/>
  <c r="AN1266" i="1"/>
  <c r="AM1266" i="1"/>
  <c r="AN1265" i="1"/>
  <c r="AM1265" i="1"/>
  <c r="S1270" i="1"/>
  <c r="R1270" i="1"/>
  <c r="S1269" i="1"/>
  <c r="R1269" i="1"/>
  <c r="S1268" i="1"/>
  <c r="R1268" i="1"/>
  <c r="S1267" i="1"/>
  <c r="R1267" i="1"/>
  <c r="S1266" i="1"/>
  <c r="R1266" i="1"/>
  <c r="S1265" i="1"/>
  <c r="R1265" i="1"/>
  <c r="C1270" i="1"/>
  <c r="AV1270" i="1" s="1"/>
  <c r="C1269" i="1"/>
  <c r="AV1269" i="1" s="1"/>
  <c r="C1268" i="1"/>
  <c r="C1267" i="1"/>
  <c r="C1266" i="1"/>
  <c r="C1265" i="1"/>
  <c r="AU1151" i="1" l="1"/>
  <c r="R621" i="1"/>
  <c r="D1152" i="1"/>
  <c r="AW1152" i="1" s="1"/>
  <c r="AN1099" i="1"/>
  <c r="AM1099" i="1"/>
  <c r="AN1098" i="1"/>
  <c r="AM1098" i="1"/>
  <c r="AN1097" i="1"/>
  <c r="AM1097" i="1"/>
  <c r="AN1096" i="1"/>
  <c r="AM1096" i="1"/>
  <c r="AN1095" i="1"/>
  <c r="AM1095" i="1"/>
  <c r="AN1094" i="1"/>
  <c r="AM1094" i="1"/>
  <c r="AN1093" i="1"/>
  <c r="AM1093" i="1"/>
  <c r="AN1092" i="1"/>
  <c r="AM1092" i="1"/>
  <c r="AN1091" i="1"/>
  <c r="AM1091" i="1"/>
  <c r="AN1090" i="1"/>
  <c r="AM1090" i="1"/>
  <c r="AN1089" i="1"/>
  <c r="AM1089" i="1"/>
  <c r="AN1088" i="1"/>
  <c r="AM1088" i="1"/>
  <c r="AN1087" i="1"/>
  <c r="AM1087" i="1"/>
  <c r="AN1086" i="1"/>
  <c r="AM1086" i="1"/>
  <c r="AN1085" i="1"/>
  <c r="AM1085" i="1"/>
  <c r="AN1084" i="1"/>
  <c r="AM1084" i="1"/>
  <c r="AN1083" i="1"/>
  <c r="AM1083" i="1"/>
  <c r="AN1082" i="1"/>
  <c r="AM1082" i="1"/>
  <c r="AN1081" i="1"/>
  <c r="AM1081" i="1"/>
  <c r="AN1080" i="1"/>
  <c r="AM1080" i="1"/>
  <c r="AN1079" i="1"/>
  <c r="AM1079" i="1"/>
  <c r="AN1078" i="1"/>
  <c r="AM1078" i="1"/>
  <c r="AN1077" i="1"/>
  <c r="AM1077" i="1"/>
  <c r="AN1076" i="1"/>
  <c r="AM1076" i="1"/>
  <c r="AN1075" i="1"/>
  <c r="AM1075" i="1"/>
  <c r="AN1074" i="1"/>
  <c r="AM1074" i="1"/>
  <c r="AN1073" i="1"/>
  <c r="AM1073" i="1"/>
  <c r="AN1072" i="1"/>
  <c r="AM1072" i="1"/>
  <c r="AN1071" i="1"/>
  <c r="AM1071" i="1"/>
  <c r="AN1070" i="1"/>
  <c r="AM1070" i="1"/>
  <c r="AN1069" i="1"/>
  <c r="AM1069" i="1"/>
  <c r="AN1068" i="1"/>
  <c r="AM1068" i="1"/>
  <c r="AN1067" i="1"/>
  <c r="AM1067" i="1"/>
  <c r="AN1066" i="1"/>
  <c r="AM1066" i="1"/>
  <c r="AN1065" i="1"/>
  <c r="AM1065" i="1"/>
  <c r="AN1064" i="1"/>
  <c r="AM1064" i="1"/>
  <c r="AN1063" i="1"/>
  <c r="AM1063" i="1"/>
  <c r="AN1062" i="1"/>
  <c r="AM1062" i="1"/>
  <c r="AN1061" i="1"/>
  <c r="AM1061" i="1"/>
  <c r="AN1060" i="1"/>
  <c r="AM1060" i="1"/>
  <c r="AN794" i="1"/>
  <c r="AM794" i="1"/>
  <c r="AN595" i="1"/>
  <c r="AM595" i="1"/>
  <c r="L1063" i="1"/>
  <c r="L1062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1" i="1"/>
  <c r="L106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O1099" i="1"/>
  <c r="S1099" i="1" s="1"/>
  <c r="O1098" i="1"/>
  <c r="S1098" i="1" s="1"/>
  <c r="O1097" i="1"/>
  <c r="S1097" i="1" s="1"/>
  <c r="O1096" i="1"/>
  <c r="S1096" i="1" s="1"/>
  <c r="O1095" i="1"/>
  <c r="S1095" i="1" s="1"/>
  <c r="O1094" i="1"/>
  <c r="S1094" i="1" s="1"/>
  <c r="O1093" i="1"/>
  <c r="S1093" i="1" s="1"/>
  <c r="O1092" i="1"/>
  <c r="S1092" i="1" s="1"/>
  <c r="O1091" i="1"/>
  <c r="S1091" i="1" s="1"/>
  <c r="O1090" i="1"/>
  <c r="S1090" i="1" s="1"/>
  <c r="O1089" i="1"/>
  <c r="S1089" i="1" s="1"/>
  <c r="O1088" i="1"/>
  <c r="S1088" i="1" s="1"/>
  <c r="O1087" i="1"/>
  <c r="S1087" i="1" s="1"/>
  <c r="O1086" i="1"/>
  <c r="S1086" i="1" s="1"/>
  <c r="O1085" i="1"/>
  <c r="S1085" i="1" s="1"/>
  <c r="O1084" i="1"/>
  <c r="S1084" i="1" s="1"/>
  <c r="O1083" i="1"/>
  <c r="S1083" i="1" s="1"/>
  <c r="O1082" i="1"/>
  <c r="S1082" i="1" s="1"/>
  <c r="O1081" i="1"/>
  <c r="S1081" i="1" s="1"/>
  <c r="O1080" i="1"/>
  <c r="S1080" i="1" s="1"/>
  <c r="O1079" i="1"/>
  <c r="S1079" i="1" s="1"/>
  <c r="O1078" i="1"/>
  <c r="S1078" i="1" s="1"/>
  <c r="O1077" i="1"/>
  <c r="S1077" i="1" s="1"/>
  <c r="O1076" i="1"/>
  <c r="S1076" i="1" s="1"/>
  <c r="O1075" i="1"/>
  <c r="S1075" i="1" s="1"/>
  <c r="O1074" i="1"/>
  <c r="S1074" i="1" s="1"/>
  <c r="O1073" i="1"/>
  <c r="S1073" i="1" s="1"/>
  <c r="O1072" i="1"/>
  <c r="S1072" i="1" s="1"/>
  <c r="O1071" i="1"/>
  <c r="S1071" i="1" s="1"/>
  <c r="O1070" i="1"/>
  <c r="S1070" i="1" s="1"/>
  <c r="O1069" i="1"/>
  <c r="S1069" i="1" s="1"/>
  <c r="O1068" i="1"/>
  <c r="S1068" i="1" s="1"/>
  <c r="O1067" i="1"/>
  <c r="S1067" i="1" s="1"/>
  <c r="O1066" i="1"/>
  <c r="S1066" i="1" s="1"/>
  <c r="O1065" i="1"/>
  <c r="S1065" i="1" s="1"/>
  <c r="O1064" i="1"/>
  <c r="S1064" i="1" s="1"/>
  <c r="O1063" i="1"/>
  <c r="S1063" i="1" s="1"/>
  <c r="O1062" i="1"/>
  <c r="S1062" i="1" s="1"/>
  <c r="O1061" i="1"/>
  <c r="S1061" i="1" s="1"/>
  <c r="O1060" i="1"/>
  <c r="S1060" i="1" s="1"/>
  <c r="O794" i="1"/>
  <c r="BI1064" i="1" l="1"/>
  <c r="BH1064" i="1"/>
  <c r="BG1064" i="1"/>
  <c r="BF1064" i="1"/>
  <c r="BE1064" i="1"/>
  <c r="BD1064" i="1"/>
  <c r="BC1064" i="1"/>
  <c r="BI1063" i="1"/>
  <c r="BH1063" i="1"/>
  <c r="BG1063" i="1"/>
  <c r="BF1063" i="1"/>
  <c r="BE1063" i="1"/>
  <c r="BD1063" i="1"/>
  <c r="BC1063" i="1"/>
  <c r="BI1062" i="1"/>
  <c r="BH1062" i="1"/>
  <c r="BG1062" i="1"/>
  <c r="BF1062" i="1"/>
  <c r="BE1062" i="1"/>
  <c r="BD1062" i="1"/>
  <c r="BC1062" i="1"/>
  <c r="BI1061" i="1"/>
  <c r="BH1061" i="1"/>
  <c r="BG1061" i="1"/>
  <c r="BF1061" i="1"/>
  <c r="BE1061" i="1"/>
  <c r="BD1061" i="1"/>
  <c r="BC1061" i="1"/>
  <c r="BI1060" i="1"/>
  <c r="BH1060" i="1"/>
  <c r="BG1060" i="1"/>
  <c r="BF1060" i="1"/>
  <c r="BE1060" i="1"/>
  <c r="BD1060" i="1"/>
  <c r="BC1060" i="1"/>
  <c r="BI794" i="1"/>
  <c r="BH794" i="1"/>
  <c r="BG794" i="1"/>
  <c r="BF794" i="1"/>
  <c r="BE794" i="1"/>
  <c r="BD794" i="1"/>
  <c r="BC794" i="1"/>
  <c r="BI595" i="1"/>
  <c r="BH595" i="1"/>
  <c r="BG595" i="1"/>
  <c r="BF595" i="1"/>
  <c r="BE595" i="1"/>
  <c r="BD595" i="1"/>
  <c r="BC595" i="1"/>
  <c r="BI1211" i="1"/>
  <c r="BH1211" i="1"/>
  <c r="BE1211" i="1"/>
  <c r="BD1211" i="1"/>
  <c r="BC1211" i="1"/>
  <c r="BI1210" i="1"/>
  <c r="BH1210" i="1"/>
  <c r="BE1210" i="1"/>
  <c r="BD1210" i="1"/>
  <c r="BC1210" i="1"/>
  <c r="BI1209" i="1"/>
  <c r="BH1209" i="1"/>
  <c r="BE1209" i="1"/>
  <c r="BD1209" i="1"/>
  <c r="BC1209" i="1"/>
  <c r="BI1208" i="1"/>
  <c r="BH1208" i="1"/>
  <c r="BE1208" i="1"/>
  <c r="BD1208" i="1"/>
  <c r="BC1208" i="1"/>
  <c r="BI1207" i="1"/>
  <c r="BH1207" i="1"/>
  <c r="BE1207" i="1"/>
  <c r="BD1207" i="1"/>
  <c r="BC1207" i="1"/>
  <c r="BI1206" i="1"/>
  <c r="BH1206" i="1"/>
  <c r="BE1206" i="1"/>
  <c r="BD1206" i="1"/>
  <c r="BC1206" i="1"/>
  <c r="BI1205" i="1"/>
  <c r="BH1205" i="1"/>
  <c r="BE1205" i="1"/>
  <c r="BD1205" i="1"/>
  <c r="BC1205" i="1"/>
  <c r="BI1204" i="1"/>
  <c r="BH1204" i="1"/>
  <c r="BE1204" i="1"/>
  <c r="BD1204" i="1"/>
  <c r="BC1204" i="1"/>
  <c r="BI1203" i="1"/>
  <c r="BH1203" i="1"/>
  <c r="BE1203" i="1"/>
  <c r="BD1203" i="1"/>
  <c r="BC1203" i="1"/>
  <c r="BB1063" i="1"/>
  <c r="BA1063" i="1"/>
  <c r="AZ1063" i="1"/>
  <c r="AY1063" i="1"/>
  <c r="AX1063" i="1"/>
  <c r="AW1063" i="1"/>
  <c r="AV1063" i="1"/>
  <c r="AU1063" i="1"/>
  <c r="BB1062" i="1"/>
  <c r="BA1062" i="1"/>
  <c r="AZ1062" i="1"/>
  <c r="AY1062" i="1"/>
  <c r="AX1062" i="1"/>
  <c r="AW1062" i="1"/>
  <c r="AV1062" i="1"/>
  <c r="AU1062" i="1"/>
  <c r="BB1061" i="1"/>
  <c r="BA1061" i="1"/>
  <c r="AZ1061" i="1"/>
  <c r="AY1061" i="1"/>
  <c r="AX1061" i="1"/>
  <c r="AW1061" i="1"/>
  <c r="AV1061" i="1"/>
  <c r="AU1061" i="1"/>
  <c r="BB1060" i="1"/>
  <c r="BA1060" i="1"/>
  <c r="AZ1060" i="1"/>
  <c r="AY1060" i="1"/>
  <c r="AX1060" i="1"/>
  <c r="AW1060" i="1"/>
  <c r="AV1060" i="1"/>
  <c r="AU1060" i="1"/>
  <c r="BB794" i="1"/>
  <c r="BA794" i="1"/>
  <c r="AZ794" i="1"/>
  <c r="AY794" i="1"/>
  <c r="AX794" i="1"/>
  <c r="AW794" i="1"/>
  <c r="AV794" i="1"/>
  <c r="AU794" i="1"/>
  <c r="BB595" i="1"/>
  <c r="BA595" i="1"/>
  <c r="AZ595" i="1"/>
  <c r="AY595" i="1"/>
  <c r="AX595" i="1"/>
  <c r="AW595" i="1"/>
  <c r="AV595" i="1"/>
  <c r="AU595" i="1"/>
  <c r="BB1211" i="1"/>
  <c r="BA1211" i="1"/>
  <c r="AZ1211" i="1"/>
  <c r="AY1211" i="1"/>
  <c r="AX1211" i="1"/>
  <c r="AW1211" i="1"/>
  <c r="AV1211" i="1"/>
  <c r="AU1211" i="1"/>
  <c r="BB1210" i="1"/>
  <c r="BA1210" i="1"/>
  <c r="AZ1210" i="1"/>
  <c r="AY1210" i="1"/>
  <c r="AX1210" i="1"/>
  <c r="AW1210" i="1"/>
  <c r="AV1210" i="1"/>
  <c r="AU1210" i="1"/>
  <c r="BB1209" i="1"/>
  <c r="BA1209" i="1"/>
  <c r="AZ1209" i="1"/>
  <c r="AY1209" i="1"/>
  <c r="AX1209" i="1"/>
  <c r="AW1209" i="1"/>
  <c r="AV1209" i="1"/>
  <c r="AU1209" i="1"/>
  <c r="BB1208" i="1"/>
  <c r="BA1208" i="1"/>
  <c r="AZ1208" i="1"/>
  <c r="AY1208" i="1"/>
  <c r="AX1208" i="1"/>
  <c r="AW1208" i="1"/>
  <c r="AV1208" i="1"/>
  <c r="AU1208" i="1"/>
  <c r="BB1207" i="1"/>
  <c r="BA1207" i="1"/>
  <c r="AZ1207" i="1"/>
  <c r="AY1207" i="1"/>
  <c r="AX1207" i="1"/>
  <c r="AW1207" i="1"/>
  <c r="AV1207" i="1"/>
  <c r="AU1207" i="1"/>
  <c r="BB1206" i="1"/>
  <c r="BA1206" i="1"/>
  <c r="AZ1206" i="1"/>
  <c r="AY1206" i="1"/>
  <c r="AX1206" i="1"/>
  <c r="AW1206" i="1"/>
  <c r="AV1206" i="1"/>
  <c r="AU1206" i="1"/>
  <c r="BB1205" i="1"/>
  <c r="BA1205" i="1"/>
  <c r="AZ1205" i="1"/>
  <c r="AY1205" i="1"/>
  <c r="AX1205" i="1"/>
  <c r="AW1205" i="1"/>
  <c r="AV1205" i="1"/>
  <c r="AU1205" i="1"/>
  <c r="BB1204" i="1"/>
  <c r="BA1204" i="1"/>
  <c r="AZ1204" i="1"/>
  <c r="AY1204" i="1"/>
  <c r="AX1204" i="1"/>
  <c r="AW1204" i="1"/>
  <c r="AV1204" i="1"/>
  <c r="AU1204" i="1"/>
  <c r="BB1203" i="1"/>
  <c r="BA1203" i="1"/>
  <c r="AZ1203" i="1"/>
  <c r="AY1203" i="1"/>
  <c r="AX1203" i="1"/>
  <c r="AW1203" i="1"/>
  <c r="AV1203" i="1"/>
  <c r="AU1203" i="1"/>
  <c r="AN1211" i="1"/>
  <c r="BG1211" i="1" s="1"/>
  <c r="AM1211" i="1"/>
  <c r="BF1211" i="1" s="1"/>
  <c r="AN1210" i="1"/>
  <c r="BG1210" i="1" s="1"/>
  <c r="AM1210" i="1"/>
  <c r="BF1210" i="1" s="1"/>
  <c r="AN1209" i="1"/>
  <c r="BG1209" i="1" s="1"/>
  <c r="AM1209" i="1"/>
  <c r="BF1209" i="1" s="1"/>
  <c r="AN1208" i="1"/>
  <c r="BG1208" i="1" s="1"/>
  <c r="AM1208" i="1"/>
  <c r="BF1208" i="1" s="1"/>
  <c r="AN1207" i="1"/>
  <c r="BG1207" i="1" s="1"/>
  <c r="AM1207" i="1"/>
  <c r="BF1207" i="1" s="1"/>
  <c r="AN1206" i="1"/>
  <c r="BG1206" i="1" s="1"/>
  <c r="AM1206" i="1"/>
  <c r="BF1206" i="1" s="1"/>
  <c r="AN1205" i="1"/>
  <c r="BG1205" i="1" s="1"/>
  <c r="AM1205" i="1"/>
  <c r="BF1205" i="1" s="1"/>
  <c r="AN1204" i="1"/>
  <c r="BG1204" i="1" s="1"/>
  <c r="AM1204" i="1"/>
  <c r="BF1204" i="1" s="1"/>
  <c r="AN1203" i="1"/>
  <c r="BG1203" i="1" s="1"/>
  <c r="AM1203" i="1"/>
  <c r="BF1203" i="1" s="1"/>
  <c r="AN1263" i="1"/>
  <c r="AM1263" i="1"/>
  <c r="AN1262" i="1"/>
  <c r="AM1262" i="1"/>
  <c r="AN1261" i="1"/>
  <c r="AM1261" i="1"/>
  <c r="AN1260" i="1"/>
  <c r="AM1260" i="1"/>
  <c r="AN1259" i="1"/>
  <c r="AM1259" i="1"/>
  <c r="AN1258" i="1"/>
  <c r="AM1258" i="1"/>
  <c r="AN1257" i="1"/>
  <c r="AM1257" i="1"/>
  <c r="AN1256" i="1"/>
  <c r="AM1256" i="1"/>
  <c r="AN1255" i="1"/>
  <c r="AM1255" i="1"/>
  <c r="AN1254" i="1"/>
  <c r="AM1254" i="1"/>
  <c r="AN1253" i="1"/>
  <c r="AM1253" i="1"/>
  <c r="R1253" i="1"/>
  <c r="R1254" i="1"/>
  <c r="R1255" i="1"/>
  <c r="R1256" i="1"/>
  <c r="R1257" i="1"/>
  <c r="R1258" i="1"/>
  <c r="R1259" i="1"/>
  <c r="R1260" i="1"/>
  <c r="R1261" i="1"/>
  <c r="R1262" i="1"/>
  <c r="R1263" i="1"/>
  <c r="R1301" i="1"/>
  <c r="R1300" i="1"/>
  <c r="R1299" i="1"/>
  <c r="R1298" i="1"/>
  <c r="R1294" i="1"/>
  <c r="R1293" i="1"/>
  <c r="L1263" i="1"/>
  <c r="L1262" i="1"/>
  <c r="L1261" i="1"/>
  <c r="L1260" i="1"/>
  <c r="L1259" i="1"/>
  <c r="L1258" i="1"/>
  <c r="L1257" i="1"/>
  <c r="L1256" i="1"/>
  <c r="L1255" i="1"/>
  <c r="L1254" i="1"/>
  <c r="L1253" i="1"/>
  <c r="AN780" i="1"/>
  <c r="AN779" i="1"/>
  <c r="AN778" i="1"/>
  <c r="AN777" i="1"/>
  <c r="AN776" i="1"/>
  <c r="AN775" i="1"/>
  <c r="AN774" i="1"/>
  <c r="AM780" i="1"/>
  <c r="AM779" i="1"/>
  <c r="AM778" i="1"/>
  <c r="AM777" i="1"/>
  <c r="AM776" i="1"/>
  <c r="L780" i="1"/>
  <c r="L779" i="1"/>
  <c r="L778" i="1"/>
  <c r="L777" i="1"/>
  <c r="L776" i="1"/>
  <c r="L775" i="1"/>
  <c r="L774" i="1"/>
  <c r="L773" i="1"/>
  <c r="L772" i="1"/>
  <c r="L301" i="1"/>
  <c r="BB301" i="1" s="1"/>
  <c r="CG141" i="1" l="1"/>
  <c r="CI141" i="1" s="1"/>
  <c r="CJ141" i="1" s="1"/>
  <c r="CE141" i="1"/>
  <c r="CH141" i="1" l="1"/>
  <c r="BI1268" i="1"/>
  <c r="BH1268" i="1"/>
  <c r="BI1267" i="1"/>
  <c r="BH1267" i="1"/>
  <c r="BI1266" i="1"/>
  <c r="BH1266" i="1"/>
  <c r="BI1265" i="1"/>
  <c r="BH1265" i="1"/>
  <c r="BI1099" i="1"/>
  <c r="BH1099" i="1"/>
  <c r="BI1098" i="1"/>
  <c r="BH1098" i="1"/>
  <c r="BI1097" i="1"/>
  <c r="BH1097" i="1"/>
  <c r="BI1096" i="1"/>
  <c r="BH1096" i="1"/>
  <c r="BI1095" i="1"/>
  <c r="BH1095" i="1"/>
  <c r="BI1094" i="1"/>
  <c r="BH1094" i="1"/>
  <c r="BI1093" i="1"/>
  <c r="BH1093" i="1"/>
  <c r="BI1092" i="1"/>
  <c r="BH1092" i="1"/>
  <c r="BI1091" i="1"/>
  <c r="BH1091" i="1"/>
  <c r="BI1090" i="1"/>
  <c r="BH1090" i="1"/>
  <c r="BI1089" i="1"/>
  <c r="BH1089" i="1"/>
  <c r="BI1088" i="1"/>
  <c r="BH1088" i="1"/>
  <c r="BI1087" i="1"/>
  <c r="BH1087" i="1"/>
  <c r="BI1086" i="1"/>
  <c r="BH1086" i="1"/>
  <c r="BI1085" i="1"/>
  <c r="BH1085" i="1"/>
  <c r="BI1084" i="1"/>
  <c r="BH1084" i="1"/>
  <c r="BI1083" i="1"/>
  <c r="BH1083" i="1"/>
  <c r="BI1082" i="1"/>
  <c r="BH1082" i="1"/>
  <c r="BI1081" i="1"/>
  <c r="BH1081" i="1"/>
  <c r="BI1080" i="1"/>
  <c r="BH1080" i="1"/>
  <c r="BI1079" i="1"/>
  <c r="BH1079" i="1"/>
  <c r="BI1078" i="1"/>
  <c r="BH1078" i="1"/>
  <c r="BI1077" i="1"/>
  <c r="BH1077" i="1"/>
  <c r="BI1076" i="1"/>
  <c r="BH1076" i="1"/>
  <c r="BI1075" i="1"/>
  <c r="BH1075" i="1"/>
  <c r="BI1074" i="1"/>
  <c r="BH1074" i="1"/>
  <c r="BI1073" i="1"/>
  <c r="BH1073" i="1"/>
  <c r="BI1072" i="1"/>
  <c r="BH1072" i="1"/>
  <c r="BI1071" i="1"/>
  <c r="BH1071" i="1"/>
  <c r="BI1070" i="1"/>
  <c r="BH1070" i="1"/>
  <c r="BI1069" i="1"/>
  <c r="BH1069" i="1"/>
  <c r="BI1068" i="1"/>
  <c r="BH1068" i="1"/>
  <c r="BI1067" i="1"/>
  <c r="BH1067" i="1"/>
  <c r="BI1066" i="1"/>
  <c r="BH1066" i="1"/>
  <c r="BI1065" i="1"/>
  <c r="BH1065" i="1"/>
  <c r="BI1263" i="1"/>
  <c r="BH1263" i="1"/>
  <c r="BI1262" i="1"/>
  <c r="BH1262" i="1"/>
  <c r="BI1261" i="1"/>
  <c r="BH1261" i="1"/>
  <c r="BI1260" i="1"/>
  <c r="BH1260" i="1"/>
  <c r="BI1259" i="1"/>
  <c r="BH1259" i="1"/>
  <c r="BI1258" i="1"/>
  <c r="BH1258" i="1"/>
  <c r="BI1257" i="1"/>
  <c r="BH1257" i="1"/>
  <c r="BI1256" i="1"/>
  <c r="BH1256" i="1"/>
  <c r="BI1255" i="1"/>
  <c r="BH1255" i="1"/>
  <c r="BI1254" i="1"/>
  <c r="BH1254" i="1"/>
  <c r="BI1253" i="1"/>
  <c r="BH1253" i="1"/>
  <c r="BI780" i="1"/>
  <c r="BH780" i="1"/>
  <c r="BI779" i="1"/>
  <c r="BH779" i="1"/>
  <c r="BI778" i="1"/>
  <c r="BH778" i="1"/>
  <c r="BI777" i="1"/>
  <c r="BH777" i="1"/>
  <c r="BI776" i="1"/>
  <c r="BH776" i="1"/>
  <c r="BI339" i="1"/>
  <c r="BH339" i="1"/>
  <c r="BI338" i="1"/>
  <c r="BH338" i="1"/>
  <c r="BI337" i="1"/>
  <c r="BH337" i="1"/>
  <c r="BI336" i="1"/>
  <c r="BH336" i="1"/>
  <c r="BI1040" i="1"/>
  <c r="BH1040" i="1"/>
  <c r="BI1039" i="1"/>
  <c r="BH1039" i="1"/>
  <c r="BI1038" i="1"/>
  <c r="BH1038" i="1"/>
  <c r="BI1037" i="1"/>
  <c r="BH1037" i="1"/>
  <c r="BI1036" i="1"/>
  <c r="BH1036" i="1"/>
  <c r="BI1035" i="1"/>
  <c r="BH1035" i="1"/>
  <c r="BI1034" i="1"/>
  <c r="BH1034" i="1"/>
  <c r="BI1033" i="1"/>
  <c r="BH1033" i="1"/>
  <c r="BI1032" i="1"/>
  <c r="BH1032" i="1"/>
  <c r="BI1031" i="1"/>
  <c r="BH1031" i="1"/>
  <c r="BI1030" i="1"/>
  <c r="BH1030" i="1"/>
  <c r="BI1029" i="1"/>
  <c r="BH1029" i="1"/>
  <c r="BI1028" i="1"/>
  <c r="BH1028" i="1"/>
  <c r="BI1027" i="1"/>
  <c r="BH1027" i="1"/>
  <c r="BI1026" i="1"/>
  <c r="BH1026" i="1"/>
  <c r="BI1025" i="1"/>
  <c r="BH1025" i="1"/>
  <c r="BI1024" i="1"/>
  <c r="BH1024" i="1"/>
  <c r="BI1023" i="1"/>
  <c r="BH1023" i="1"/>
  <c r="BI1022" i="1"/>
  <c r="BH1022" i="1"/>
  <c r="BI1021" i="1"/>
  <c r="BH1021" i="1"/>
  <c r="BI1020" i="1"/>
  <c r="BH1020" i="1"/>
  <c r="BI1019" i="1"/>
  <c r="BH1019" i="1"/>
  <c r="BI1018" i="1"/>
  <c r="BH1018" i="1"/>
  <c r="BI335" i="1"/>
  <c r="BH335" i="1"/>
  <c r="BI334" i="1"/>
  <c r="BH334" i="1"/>
  <c r="BI1252" i="1"/>
  <c r="BH1252" i="1"/>
  <c r="BI1251" i="1"/>
  <c r="BH1251" i="1"/>
  <c r="BI1250" i="1"/>
  <c r="BH1250" i="1"/>
  <c r="BI1249" i="1"/>
  <c r="BH1249" i="1"/>
  <c r="BI1248" i="1"/>
  <c r="BH1248" i="1"/>
  <c r="BI1247" i="1"/>
  <c r="BH1247" i="1"/>
  <c r="BI1246" i="1"/>
  <c r="BH1246" i="1"/>
  <c r="BI1245" i="1"/>
  <c r="BH1245" i="1"/>
  <c r="BI212" i="1"/>
  <c r="BH212" i="1"/>
  <c r="BI211" i="1"/>
  <c r="BH211" i="1"/>
  <c r="BI210" i="1"/>
  <c r="BH210" i="1"/>
  <c r="BI209" i="1"/>
  <c r="BH209" i="1"/>
  <c r="BI208" i="1"/>
  <c r="BH208" i="1"/>
  <c r="BI303" i="1"/>
  <c r="BH303" i="1"/>
  <c r="BI302" i="1"/>
  <c r="BH302" i="1"/>
  <c r="BI465" i="1"/>
  <c r="BH465" i="1"/>
  <c r="BI464" i="1"/>
  <c r="BH464" i="1"/>
  <c r="BI463" i="1"/>
  <c r="BH463" i="1"/>
  <c r="BI462" i="1"/>
  <c r="BH462" i="1"/>
  <c r="BI461" i="1"/>
  <c r="BH461" i="1"/>
  <c r="BI460" i="1"/>
  <c r="BH460" i="1"/>
  <c r="BI626" i="1"/>
  <c r="BH626" i="1"/>
  <c r="BI625" i="1"/>
  <c r="BH625" i="1"/>
  <c r="BI84" i="1"/>
  <c r="BH84" i="1"/>
  <c r="BI83" i="1"/>
  <c r="BH83" i="1"/>
  <c r="BI82" i="1"/>
  <c r="BH82" i="1"/>
  <c r="BH14" i="1"/>
  <c r="BI566" i="1"/>
  <c r="BH566" i="1"/>
  <c r="BI565" i="1"/>
  <c r="BI624" i="1"/>
  <c r="BH624" i="1"/>
  <c r="BI605" i="1"/>
  <c r="BH605" i="1"/>
  <c r="BI604" i="1"/>
  <c r="BH604" i="1"/>
  <c r="BI603" i="1"/>
  <c r="BH603" i="1"/>
  <c r="BI602" i="1"/>
  <c r="BH602" i="1"/>
  <c r="BI888" i="1"/>
  <c r="BH888" i="1"/>
  <c r="BI887" i="1"/>
  <c r="BH887" i="1"/>
  <c r="BI886" i="1"/>
  <c r="BH886" i="1"/>
  <c r="BI885" i="1"/>
  <c r="BH885" i="1"/>
  <c r="BI1163" i="1"/>
  <c r="BH1163" i="1"/>
  <c r="BI1162" i="1"/>
  <c r="BH1162" i="1"/>
  <c r="BI1161" i="1"/>
  <c r="BH1161" i="1"/>
  <c r="BI1160" i="1"/>
  <c r="BH1160" i="1"/>
  <c r="BI674" i="1"/>
  <c r="BH674" i="1"/>
  <c r="BI450" i="1"/>
  <c r="BH450" i="1"/>
  <c r="BI1220" i="1"/>
  <c r="BH1220" i="1"/>
  <c r="BI1219" i="1"/>
  <c r="BH1219" i="1"/>
  <c r="BI775" i="1"/>
  <c r="BH775" i="1"/>
  <c r="BI304" i="1"/>
  <c r="BH304" i="1"/>
  <c r="BI713" i="1"/>
  <c r="BH713" i="1"/>
  <c r="BI306" i="1"/>
  <c r="BH306" i="1"/>
  <c r="BI305" i="1"/>
  <c r="BH305" i="1"/>
  <c r="BI333" i="1"/>
  <c r="BH333" i="1"/>
  <c r="BI792" i="1"/>
  <c r="BH792" i="1"/>
  <c r="BI791" i="1"/>
  <c r="BH791" i="1"/>
  <c r="BI790" i="1"/>
  <c r="BH790" i="1"/>
  <c r="BI789" i="1"/>
  <c r="BH789" i="1"/>
  <c r="BI788" i="1"/>
  <c r="BH788" i="1"/>
  <c r="BI787" i="1"/>
  <c r="BH787" i="1"/>
  <c r="BI786" i="1"/>
  <c r="BH786" i="1"/>
  <c r="BI785" i="1"/>
  <c r="BH785" i="1"/>
  <c r="BI784" i="1"/>
  <c r="BH784" i="1"/>
  <c r="BI783" i="1"/>
  <c r="BH783" i="1"/>
  <c r="BI782" i="1"/>
  <c r="BH782" i="1"/>
  <c r="BI781" i="1"/>
  <c r="BH781" i="1"/>
  <c r="BI980" i="1"/>
  <c r="BH980" i="1"/>
  <c r="BI979" i="1"/>
  <c r="BH979" i="1"/>
  <c r="BI978" i="1"/>
  <c r="BH978" i="1"/>
  <c r="BI977" i="1"/>
  <c r="BH977" i="1"/>
  <c r="BI767" i="1"/>
  <c r="BH767" i="1"/>
  <c r="BI766" i="1"/>
  <c r="BH766" i="1"/>
  <c r="BI774" i="1"/>
  <c r="BH774" i="1"/>
  <c r="BI712" i="1"/>
  <c r="BH712" i="1"/>
  <c r="BI711" i="1"/>
  <c r="BH711" i="1"/>
  <c r="BI710" i="1"/>
  <c r="BH710" i="1"/>
  <c r="BI709" i="1"/>
  <c r="BH709" i="1"/>
  <c r="BI708" i="1"/>
  <c r="BH708" i="1"/>
  <c r="BI707" i="1"/>
  <c r="BH707" i="1"/>
  <c r="BI706" i="1"/>
  <c r="BH706" i="1"/>
  <c r="BI705" i="1"/>
  <c r="BH705" i="1"/>
  <c r="BI704" i="1"/>
  <c r="BH704" i="1"/>
  <c r="BI814" i="1"/>
  <c r="BH814" i="1"/>
  <c r="BI34" i="1"/>
  <c r="BH34" i="1"/>
  <c r="BI33" i="1"/>
  <c r="BH33" i="1"/>
  <c r="BI32" i="1"/>
  <c r="BH32" i="1"/>
  <c r="BI31" i="1"/>
  <c r="BH31" i="1"/>
  <c r="BI30" i="1"/>
  <c r="BH30" i="1"/>
  <c r="BI29" i="1"/>
  <c r="BH29" i="1"/>
  <c r="BI28" i="1"/>
  <c r="BH28" i="1"/>
  <c r="BI27" i="1"/>
  <c r="BH27" i="1"/>
  <c r="BI26" i="1"/>
  <c r="BH26" i="1"/>
  <c r="BI25" i="1"/>
  <c r="BH25" i="1"/>
  <c r="BI963" i="1"/>
  <c r="BH963" i="1"/>
  <c r="BI962" i="1"/>
  <c r="BH962" i="1"/>
  <c r="BI961" i="1"/>
  <c r="BH961" i="1"/>
  <c r="BI960" i="1"/>
  <c r="BH960" i="1"/>
  <c r="BI959" i="1"/>
  <c r="BH959" i="1"/>
  <c r="BI958" i="1"/>
  <c r="BH958" i="1"/>
  <c r="BI1244" i="1"/>
  <c r="BH1244" i="1"/>
  <c r="BI1243" i="1"/>
  <c r="BH1243" i="1"/>
  <c r="BI1225" i="1"/>
  <c r="BH1225" i="1"/>
  <c r="BI1224" i="1"/>
  <c r="BH1224" i="1"/>
  <c r="BI1223" i="1"/>
  <c r="BH1223" i="1"/>
  <c r="BI1222" i="1"/>
  <c r="BH1222" i="1"/>
  <c r="BI1221" i="1"/>
  <c r="BH1221" i="1"/>
  <c r="BI1218" i="1"/>
  <c r="BH1218" i="1"/>
  <c r="BI1217" i="1"/>
  <c r="BH1217" i="1"/>
  <c r="BI1216" i="1"/>
  <c r="BH1216" i="1"/>
  <c r="BI1215" i="1"/>
  <c r="BH1215" i="1"/>
  <c r="BI1214" i="1"/>
  <c r="BH1214" i="1"/>
  <c r="BI1213" i="1"/>
  <c r="BH1213" i="1"/>
  <c r="BI1212" i="1"/>
  <c r="BH1212" i="1"/>
  <c r="BI1202" i="1"/>
  <c r="BH1202" i="1"/>
  <c r="BI1201" i="1"/>
  <c r="BH1201" i="1"/>
  <c r="BI1200" i="1"/>
  <c r="BH1200" i="1"/>
  <c r="BI1199" i="1"/>
  <c r="BH1199" i="1"/>
  <c r="BI1198" i="1"/>
  <c r="BH1198" i="1"/>
  <c r="BI1197" i="1"/>
  <c r="BH1197" i="1"/>
  <c r="BI1196" i="1"/>
  <c r="BH1196" i="1"/>
  <c r="BI1195" i="1"/>
  <c r="BH1195" i="1"/>
  <c r="BI1194" i="1"/>
  <c r="BH1194" i="1"/>
  <c r="BI1193" i="1"/>
  <c r="BH1193" i="1"/>
  <c r="BI1192" i="1"/>
  <c r="BH1192" i="1"/>
  <c r="BI1166" i="1"/>
  <c r="BH1166" i="1"/>
  <c r="BI1165" i="1"/>
  <c r="BH1165" i="1"/>
  <c r="BI1164" i="1"/>
  <c r="BH1164" i="1"/>
  <c r="BI1150" i="1"/>
  <c r="BH1150" i="1"/>
  <c r="BI1149" i="1"/>
  <c r="BH1149" i="1"/>
  <c r="BI1148" i="1"/>
  <c r="BH1148" i="1"/>
  <c r="BI1147" i="1"/>
  <c r="BH1147" i="1"/>
  <c r="BI1146" i="1"/>
  <c r="BH1146" i="1"/>
  <c r="BI1145" i="1"/>
  <c r="BH1145" i="1"/>
  <c r="BI1144" i="1"/>
  <c r="BH1144" i="1"/>
  <c r="BI1143" i="1"/>
  <c r="BH1143" i="1"/>
  <c r="BI1142" i="1"/>
  <c r="BH1142" i="1"/>
  <c r="BI1141" i="1"/>
  <c r="BH1141" i="1"/>
  <c r="BI1140" i="1"/>
  <c r="BH1140" i="1"/>
  <c r="BI1139" i="1"/>
  <c r="BH1139" i="1"/>
  <c r="BI1138" i="1"/>
  <c r="BH1138" i="1"/>
  <c r="BI1137" i="1"/>
  <c r="BH1137" i="1"/>
  <c r="BI1136" i="1"/>
  <c r="BH1136" i="1"/>
  <c r="BI1135" i="1"/>
  <c r="BH1135" i="1"/>
  <c r="BI1134" i="1"/>
  <c r="BH1134" i="1"/>
  <c r="BI1133" i="1"/>
  <c r="BH1133" i="1"/>
  <c r="BI1132" i="1"/>
  <c r="BH1132" i="1"/>
  <c r="BI1131" i="1"/>
  <c r="BH1131" i="1"/>
  <c r="BI1130" i="1"/>
  <c r="BH1130" i="1"/>
  <c r="BI1129" i="1"/>
  <c r="BH1129" i="1"/>
  <c r="BI1128" i="1"/>
  <c r="BH1128" i="1"/>
  <c r="BI1127" i="1"/>
  <c r="BH1127" i="1"/>
  <c r="BI1126" i="1"/>
  <c r="BH1126" i="1"/>
  <c r="BI1125" i="1"/>
  <c r="BH1125" i="1"/>
  <c r="BI1124" i="1"/>
  <c r="BH1124" i="1"/>
  <c r="BI1123" i="1"/>
  <c r="BH1123" i="1"/>
  <c r="BI1122" i="1"/>
  <c r="BH1122" i="1"/>
  <c r="BI1121" i="1"/>
  <c r="BH1121" i="1"/>
  <c r="BI1120" i="1"/>
  <c r="BH1120" i="1"/>
  <c r="BI1119" i="1"/>
  <c r="BH1119" i="1"/>
  <c r="BI1118" i="1"/>
  <c r="BH1118" i="1"/>
  <c r="BI1117" i="1"/>
  <c r="BH1117" i="1"/>
  <c r="BI1116" i="1"/>
  <c r="BH1116" i="1"/>
  <c r="BI1115" i="1"/>
  <c r="BH1115" i="1"/>
  <c r="BI1114" i="1"/>
  <c r="BH1114" i="1"/>
  <c r="BI1113" i="1"/>
  <c r="BH1113" i="1"/>
  <c r="BI1112" i="1"/>
  <c r="BH1112" i="1"/>
  <c r="BI1111" i="1"/>
  <c r="BH1111" i="1"/>
  <c r="BI1110" i="1"/>
  <c r="BH1110" i="1"/>
  <c r="BI1109" i="1"/>
  <c r="BH1109" i="1"/>
  <c r="BI1108" i="1"/>
  <c r="BH1108" i="1"/>
  <c r="BI1107" i="1"/>
  <c r="BH1107" i="1"/>
  <c r="BI1106" i="1"/>
  <c r="BH1106" i="1"/>
  <c r="BI1105" i="1"/>
  <c r="BH1105" i="1"/>
  <c r="BI1104" i="1"/>
  <c r="BH1104" i="1"/>
  <c r="BI1103" i="1"/>
  <c r="BH1103" i="1"/>
  <c r="BI1102" i="1"/>
  <c r="BH1102" i="1"/>
  <c r="BI1101" i="1"/>
  <c r="BH1101" i="1"/>
  <c r="BI1100" i="1"/>
  <c r="BH1100" i="1"/>
  <c r="BI1059" i="1"/>
  <c r="BH1059" i="1"/>
  <c r="BI1058" i="1"/>
  <c r="BH1058" i="1"/>
  <c r="BI1057" i="1"/>
  <c r="BH1057" i="1"/>
  <c r="BI1056" i="1"/>
  <c r="BH1056" i="1"/>
  <c r="BI1055" i="1"/>
  <c r="BH1055" i="1"/>
  <c r="BI1054" i="1"/>
  <c r="BH1054" i="1"/>
  <c r="BI1053" i="1"/>
  <c r="BH1053" i="1"/>
  <c r="BI1052" i="1"/>
  <c r="BH1052" i="1"/>
  <c r="BI1051" i="1"/>
  <c r="BH1051" i="1"/>
  <c r="BI1050" i="1"/>
  <c r="BH1050" i="1"/>
  <c r="BI1049" i="1"/>
  <c r="BH1049" i="1"/>
  <c r="BI1048" i="1"/>
  <c r="BH1048" i="1"/>
  <c r="BI1047" i="1"/>
  <c r="BH1047" i="1"/>
  <c r="BI1046" i="1"/>
  <c r="BH1046" i="1"/>
  <c r="BI1045" i="1"/>
  <c r="BH1045" i="1"/>
  <c r="BI1044" i="1"/>
  <c r="BH1044" i="1"/>
  <c r="BI1043" i="1"/>
  <c r="BH1043" i="1"/>
  <c r="BI1042" i="1"/>
  <c r="BH1042" i="1"/>
  <c r="BI1041" i="1"/>
  <c r="BH1041" i="1"/>
  <c r="BI1017" i="1"/>
  <c r="BH1017" i="1"/>
  <c r="BI1016" i="1"/>
  <c r="BH1016" i="1"/>
  <c r="BI1015" i="1"/>
  <c r="BH1015" i="1"/>
  <c r="BI1014" i="1"/>
  <c r="BH1014" i="1"/>
  <c r="BI1013" i="1"/>
  <c r="BH1013" i="1"/>
  <c r="BI1012" i="1"/>
  <c r="BH1012" i="1"/>
  <c r="BI1011" i="1"/>
  <c r="BH1011" i="1"/>
  <c r="BI1010" i="1"/>
  <c r="BH1010" i="1"/>
  <c r="BI1009" i="1"/>
  <c r="BH1009" i="1"/>
  <c r="BI1008" i="1"/>
  <c r="BH1008" i="1"/>
  <c r="BI1007" i="1"/>
  <c r="BH1007" i="1"/>
  <c r="BI1006" i="1"/>
  <c r="BH1006" i="1"/>
  <c r="BI1005" i="1"/>
  <c r="BH1005" i="1"/>
  <c r="BI1004" i="1"/>
  <c r="BH1004" i="1"/>
  <c r="BI1003" i="1"/>
  <c r="BH1003" i="1"/>
  <c r="BI1002" i="1"/>
  <c r="BH1002" i="1"/>
  <c r="BI1001" i="1"/>
  <c r="BH1001" i="1"/>
  <c r="BI1000" i="1"/>
  <c r="BH1000" i="1"/>
  <c r="BI999" i="1"/>
  <c r="BH999" i="1"/>
  <c r="BI998" i="1"/>
  <c r="BH998" i="1"/>
  <c r="BI997" i="1"/>
  <c r="BH997" i="1"/>
  <c r="BI996" i="1"/>
  <c r="BH996" i="1"/>
  <c r="BI995" i="1"/>
  <c r="BH995" i="1"/>
  <c r="BI994" i="1"/>
  <c r="BH994" i="1"/>
  <c r="BI993" i="1"/>
  <c r="BH993" i="1"/>
  <c r="BI992" i="1"/>
  <c r="BH992" i="1"/>
  <c r="BI991" i="1"/>
  <c r="BH991" i="1"/>
  <c r="BI990" i="1"/>
  <c r="BH990" i="1"/>
  <c r="BI989" i="1"/>
  <c r="BH989" i="1"/>
  <c r="BI988" i="1"/>
  <c r="BH988" i="1"/>
  <c r="BI987" i="1"/>
  <c r="BH987" i="1"/>
  <c r="BI986" i="1"/>
  <c r="BH986" i="1"/>
  <c r="BI985" i="1"/>
  <c r="BH985" i="1"/>
  <c r="BI984" i="1"/>
  <c r="BH984" i="1"/>
  <c r="BI976" i="1"/>
  <c r="BH976" i="1"/>
  <c r="BI975" i="1"/>
  <c r="BH975" i="1"/>
  <c r="BI974" i="1"/>
  <c r="BH974" i="1"/>
  <c r="BI973" i="1"/>
  <c r="BH973" i="1"/>
  <c r="BI972" i="1"/>
  <c r="BH972" i="1"/>
  <c r="BI971" i="1"/>
  <c r="BH971" i="1"/>
  <c r="BI970" i="1"/>
  <c r="BH970" i="1"/>
  <c r="BI969" i="1"/>
  <c r="BH969" i="1"/>
  <c r="BI957" i="1"/>
  <c r="BH957" i="1"/>
  <c r="BI956" i="1"/>
  <c r="BH956" i="1"/>
  <c r="BI955" i="1"/>
  <c r="BH955" i="1"/>
  <c r="BI954" i="1"/>
  <c r="BH954" i="1"/>
  <c r="BI938" i="1"/>
  <c r="BI937" i="1"/>
  <c r="BH937" i="1"/>
  <c r="BI936" i="1"/>
  <c r="BH936" i="1"/>
  <c r="BI935" i="1"/>
  <c r="BH935" i="1"/>
  <c r="BI934" i="1"/>
  <c r="BH934" i="1"/>
  <c r="BI933" i="1"/>
  <c r="BH933" i="1"/>
  <c r="BI932" i="1"/>
  <c r="BH932" i="1"/>
  <c r="BI931" i="1"/>
  <c r="BH931" i="1"/>
  <c r="BI930" i="1"/>
  <c r="BH930" i="1"/>
  <c r="BI929" i="1"/>
  <c r="BH929" i="1"/>
  <c r="BI928" i="1"/>
  <c r="BH928" i="1"/>
  <c r="BI927" i="1"/>
  <c r="BH927" i="1"/>
  <c r="BI926" i="1"/>
  <c r="BH926" i="1"/>
  <c r="BI925" i="1"/>
  <c r="BH925" i="1"/>
  <c r="BI924" i="1"/>
  <c r="BH924" i="1"/>
  <c r="BI923" i="1"/>
  <c r="BH923" i="1"/>
  <c r="BI922" i="1"/>
  <c r="BH922" i="1"/>
  <c r="BI921" i="1"/>
  <c r="BH921" i="1"/>
  <c r="BI920" i="1"/>
  <c r="BH920" i="1"/>
  <c r="BI919" i="1"/>
  <c r="BH919" i="1"/>
  <c r="BI918" i="1"/>
  <c r="BH918" i="1"/>
  <c r="BI917" i="1"/>
  <c r="BH917" i="1"/>
  <c r="BI916" i="1"/>
  <c r="BH916" i="1"/>
  <c r="BI915" i="1"/>
  <c r="BH915" i="1"/>
  <c r="BI914" i="1"/>
  <c r="BH914" i="1"/>
  <c r="BI913" i="1"/>
  <c r="BH913" i="1"/>
  <c r="BI912" i="1"/>
  <c r="BH912" i="1"/>
  <c r="BI911" i="1"/>
  <c r="BH911" i="1"/>
  <c r="BI910" i="1"/>
  <c r="BH910" i="1"/>
  <c r="BI909" i="1"/>
  <c r="BH909" i="1"/>
  <c r="BI908" i="1"/>
  <c r="BH908" i="1"/>
  <c r="BI907" i="1"/>
  <c r="BH907" i="1"/>
  <c r="BI906" i="1"/>
  <c r="BH906" i="1"/>
  <c r="BI905" i="1"/>
  <c r="BH905" i="1"/>
  <c r="BI904" i="1"/>
  <c r="BH904" i="1"/>
  <c r="BI903" i="1"/>
  <c r="BH903" i="1"/>
  <c r="BI902" i="1"/>
  <c r="BH902" i="1"/>
  <c r="BI901" i="1"/>
  <c r="BH901" i="1"/>
  <c r="BI900" i="1"/>
  <c r="BH900" i="1"/>
  <c r="BI899" i="1"/>
  <c r="BH899" i="1"/>
  <c r="BI898" i="1"/>
  <c r="BH898" i="1"/>
  <c r="BI897" i="1"/>
  <c r="BH897" i="1"/>
  <c r="BI896" i="1"/>
  <c r="BH896" i="1"/>
  <c r="BI895" i="1"/>
  <c r="BH895" i="1"/>
  <c r="BI894" i="1"/>
  <c r="BH894" i="1"/>
  <c r="BI893" i="1"/>
  <c r="BH893" i="1"/>
  <c r="BI892" i="1"/>
  <c r="BH892" i="1"/>
  <c r="BI891" i="1"/>
  <c r="BH891" i="1"/>
  <c r="BI890" i="1"/>
  <c r="BH890" i="1"/>
  <c r="BI889" i="1"/>
  <c r="BH889" i="1"/>
  <c r="BI876" i="1"/>
  <c r="BH876" i="1"/>
  <c r="BI875" i="1"/>
  <c r="BH875" i="1"/>
  <c r="BI874" i="1"/>
  <c r="BH874" i="1"/>
  <c r="BI873" i="1"/>
  <c r="BH873" i="1"/>
  <c r="BI872" i="1"/>
  <c r="BH872" i="1"/>
  <c r="BI871" i="1"/>
  <c r="BH871" i="1"/>
  <c r="BI870" i="1"/>
  <c r="BH870" i="1"/>
  <c r="BI869" i="1"/>
  <c r="BH869" i="1"/>
  <c r="BI868" i="1"/>
  <c r="BH868" i="1"/>
  <c r="BI867" i="1"/>
  <c r="BH867" i="1"/>
  <c r="BI866" i="1"/>
  <c r="BH866" i="1"/>
  <c r="BI865" i="1"/>
  <c r="BH865" i="1"/>
  <c r="BI864" i="1"/>
  <c r="BH864" i="1"/>
  <c r="BI863" i="1"/>
  <c r="BH863" i="1"/>
  <c r="BI862" i="1"/>
  <c r="BH862" i="1"/>
  <c r="BI861" i="1"/>
  <c r="BH861" i="1"/>
  <c r="BI860" i="1"/>
  <c r="BH860" i="1"/>
  <c r="BI859" i="1"/>
  <c r="BH859" i="1"/>
  <c r="BI858" i="1"/>
  <c r="BH858" i="1"/>
  <c r="BI857" i="1"/>
  <c r="BH857" i="1"/>
  <c r="BI856" i="1"/>
  <c r="BH856" i="1"/>
  <c r="BI855" i="1"/>
  <c r="BH855" i="1"/>
  <c r="BI854" i="1"/>
  <c r="BH854" i="1"/>
  <c r="BI853" i="1"/>
  <c r="BH853" i="1"/>
  <c r="BI852" i="1"/>
  <c r="BH852" i="1"/>
  <c r="BI851" i="1"/>
  <c r="BH851" i="1"/>
  <c r="BI850" i="1"/>
  <c r="BH850" i="1"/>
  <c r="BI849" i="1"/>
  <c r="BH849" i="1"/>
  <c r="BI848" i="1"/>
  <c r="BH848" i="1"/>
  <c r="BI847" i="1"/>
  <c r="BH847" i="1"/>
  <c r="BI846" i="1"/>
  <c r="BH846" i="1"/>
  <c r="BI845" i="1"/>
  <c r="BH845" i="1"/>
  <c r="BI844" i="1"/>
  <c r="BH844" i="1"/>
  <c r="BI843" i="1"/>
  <c r="BH843" i="1"/>
  <c r="BI842" i="1"/>
  <c r="BH842" i="1"/>
  <c r="BI841" i="1"/>
  <c r="BH841" i="1"/>
  <c r="BI840" i="1"/>
  <c r="BH840" i="1"/>
  <c r="BI839" i="1"/>
  <c r="BH839" i="1"/>
  <c r="BI838" i="1"/>
  <c r="BH838" i="1"/>
  <c r="BI837" i="1"/>
  <c r="BH837" i="1"/>
  <c r="BI836" i="1"/>
  <c r="BH836" i="1"/>
  <c r="BI835" i="1"/>
  <c r="BH835" i="1"/>
  <c r="BI834" i="1"/>
  <c r="BH834" i="1"/>
  <c r="BI833" i="1"/>
  <c r="BH833" i="1"/>
  <c r="BI832" i="1"/>
  <c r="BH832" i="1"/>
  <c r="BI831" i="1"/>
  <c r="BH831" i="1"/>
  <c r="BI830" i="1"/>
  <c r="BH830" i="1"/>
  <c r="BI829" i="1"/>
  <c r="BH829" i="1"/>
  <c r="BI828" i="1"/>
  <c r="BH828" i="1"/>
  <c r="BI827" i="1"/>
  <c r="BH827" i="1"/>
  <c r="BI826" i="1"/>
  <c r="BH826" i="1"/>
  <c r="BI825" i="1"/>
  <c r="BH825" i="1"/>
  <c r="BI824" i="1"/>
  <c r="BH824" i="1"/>
  <c r="BI823" i="1"/>
  <c r="BH823" i="1"/>
  <c r="BI822" i="1"/>
  <c r="BH822" i="1"/>
  <c r="BI821" i="1"/>
  <c r="BH821" i="1"/>
  <c r="BI820" i="1"/>
  <c r="BH820" i="1"/>
  <c r="BI819" i="1"/>
  <c r="BH819" i="1"/>
  <c r="BI818" i="1"/>
  <c r="BH818" i="1"/>
  <c r="BI817" i="1"/>
  <c r="BH817" i="1"/>
  <c r="BI816" i="1"/>
  <c r="BH816" i="1"/>
  <c r="BI815" i="1"/>
  <c r="BH815" i="1"/>
  <c r="BI773" i="1"/>
  <c r="BH773" i="1"/>
  <c r="BI813" i="1"/>
  <c r="BH813" i="1"/>
  <c r="BI812" i="1"/>
  <c r="BH812" i="1"/>
  <c r="BI811" i="1"/>
  <c r="BH811" i="1"/>
  <c r="BI810" i="1"/>
  <c r="BH810" i="1"/>
  <c r="BI809" i="1"/>
  <c r="BH809" i="1"/>
  <c r="BI808" i="1"/>
  <c r="BH808" i="1"/>
  <c r="BI772" i="1"/>
  <c r="BH772" i="1"/>
  <c r="BI803" i="1"/>
  <c r="BH803" i="1"/>
  <c r="BI802" i="1"/>
  <c r="BH802" i="1"/>
  <c r="BI801" i="1"/>
  <c r="BH801" i="1"/>
  <c r="BI800" i="1"/>
  <c r="BH800" i="1"/>
  <c r="BI799" i="1"/>
  <c r="BH799" i="1"/>
  <c r="BI798" i="1"/>
  <c r="BH798" i="1"/>
  <c r="BI793" i="1"/>
  <c r="BH793" i="1"/>
  <c r="BI765" i="1"/>
  <c r="BH765" i="1"/>
  <c r="BI764" i="1"/>
  <c r="BH764" i="1"/>
  <c r="BI763" i="1"/>
  <c r="BH763" i="1"/>
  <c r="BI762" i="1"/>
  <c r="BH762" i="1"/>
  <c r="BI761" i="1"/>
  <c r="BH761" i="1"/>
  <c r="BI760" i="1"/>
  <c r="BH760" i="1"/>
  <c r="BI759" i="1"/>
  <c r="BH759" i="1"/>
  <c r="BI758" i="1"/>
  <c r="BH758" i="1"/>
  <c r="BI757" i="1"/>
  <c r="BH757" i="1"/>
  <c r="BI756" i="1"/>
  <c r="BH756" i="1"/>
  <c r="BI755" i="1"/>
  <c r="BH755" i="1"/>
  <c r="BI754" i="1"/>
  <c r="BH754" i="1"/>
  <c r="BI753" i="1"/>
  <c r="BH753" i="1"/>
  <c r="BI752" i="1"/>
  <c r="BH752" i="1"/>
  <c r="BI751" i="1"/>
  <c r="BH751" i="1"/>
  <c r="BI750" i="1"/>
  <c r="BH750" i="1"/>
  <c r="BI749" i="1"/>
  <c r="BH749" i="1"/>
  <c r="BI748" i="1"/>
  <c r="BH748" i="1"/>
  <c r="BI747" i="1"/>
  <c r="BH747" i="1"/>
  <c r="BI746" i="1"/>
  <c r="BH746" i="1"/>
  <c r="BI745" i="1"/>
  <c r="BH745" i="1"/>
  <c r="BI744" i="1"/>
  <c r="BH744" i="1"/>
  <c r="BI743" i="1"/>
  <c r="BH743" i="1"/>
  <c r="BI742" i="1"/>
  <c r="BH742" i="1"/>
  <c r="BI741" i="1"/>
  <c r="BH741" i="1"/>
  <c r="BI740" i="1"/>
  <c r="BH740" i="1"/>
  <c r="BI739" i="1"/>
  <c r="BH739" i="1"/>
  <c r="BI738" i="1"/>
  <c r="BH738" i="1"/>
  <c r="BI737" i="1"/>
  <c r="BH737" i="1"/>
  <c r="BI736" i="1"/>
  <c r="BH736" i="1"/>
  <c r="BI735" i="1"/>
  <c r="BH735" i="1"/>
  <c r="BI734" i="1"/>
  <c r="BH734" i="1"/>
  <c r="BI733" i="1"/>
  <c r="BH733" i="1"/>
  <c r="BI732" i="1"/>
  <c r="BH732" i="1"/>
  <c r="BI731" i="1"/>
  <c r="BH731" i="1"/>
  <c r="BI730" i="1"/>
  <c r="BH730" i="1"/>
  <c r="BI729" i="1"/>
  <c r="BH729" i="1"/>
  <c r="BI728" i="1"/>
  <c r="BH728" i="1"/>
  <c r="BI727" i="1"/>
  <c r="BH727" i="1"/>
  <c r="BI726" i="1"/>
  <c r="BH726" i="1"/>
  <c r="BI725" i="1"/>
  <c r="BH725" i="1"/>
  <c r="BI724" i="1"/>
  <c r="BH724" i="1"/>
  <c r="BI723" i="1"/>
  <c r="BH723" i="1"/>
  <c r="BI722" i="1"/>
  <c r="BH722" i="1"/>
  <c r="BI721" i="1"/>
  <c r="BH721" i="1"/>
  <c r="BI720" i="1"/>
  <c r="BH720" i="1"/>
  <c r="BI719" i="1"/>
  <c r="BH719" i="1"/>
  <c r="BI718" i="1"/>
  <c r="BH718" i="1"/>
  <c r="BI717" i="1"/>
  <c r="BH717" i="1"/>
  <c r="BI703" i="1"/>
  <c r="BH703" i="1"/>
  <c r="BI702" i="1"/>
  <c r="BH702" i="1"/>
  <c r="BI701" i="1"/>
  <c r="BH701" i="1"/>
  <c r="BI700" i="1"/>
  <c r="BH700" i="1"/>
  <c r="BI699" i="1"/>
  <c r="BH699" i="1"/>
  <c r="BI698" i="1"/>
  <c r="BH698" i="1"/>
  <c r="BI697" i="1"/>
  <c r="BH697" i="1"/>
  <c r="BI696" i="1"/>
  <c r="BH696" i="1"/>
  <c r="BI695" i="1"/>
  <c r="BH695" i="1"/>
  <c r="BI694" i="1"/>
  <c r="BH694" i="1"/>
  <c r="BI693" i="1"/>
  <c r="BH693" i="1"/>
  <c r="BI692" i="1"/>
  <c r="BH692" i="1"/>
  <c r="BI691" i="1"/>
  <c r="BH691" i="1"/>
  <c r="BI690" i="1"/>
  <c r="BH690" i="1"/>
  <c r="BI689" i="1"/>
  <c r="BH689" i="1"/>
  <c r="BI688" i="1"/>
  <c r="BH688" i="1"/>
  <c r="BI687" i="1"/>
  <c r="BH687" i="1"/>
  <c r="BI686" i="1"/>
  <c r="BH686" i="1"/>
  <c r="BI685" i="1"/>
  <c r="BH685" i="1"/>
  <c r="BI684" i="1"/>
  <c r="BH684" i="1"/>
  <c r="BI683" i="1"/>
  <c r="BH683" i="1"/>
  <c r="BI682" i="1"/>
  <c r="BH682" i="1"/>
  <c r="BI681" i="1"/>
  <c r="BH681" i="1"/>
  <c r="BI680" i="1"/>
  <c r="BH680" i="1"/>
  <c r="BI679" i="1"/>
  <c r="BH679" i="1"/>
  <c r="BI678" i="1"/>
  <c r="BH678" i="1"/>
  <c r="BI677" i="1"/>
  <c r="BH677" i="1"/>
  <c r="BI676" i="1"/>
  <c r="BH676" i="1"/>
  <c r="BI675" i="1"/>
  <c r="BH675" i="1"/>
  <c r="BI673" i="1"/>
  <c r="BH673" i="1"/>
  <c r="BI672" i="1"/>
  <c r="BH672" i="1"/>
  <c r="BI671" i="1"/>
  <c r="BH671" i="1"/>
  <c r="BI670" i="1"/>
  <c r="BH670" i="1"/>
  <c r="BI669" i="1"/>
  <c r="BH669" i="1"/>
  <c r="BI668" i="1"/>
  <c r="BH668" i="1"/>
  <c r="BI667" i="1"/>
  <c r="BH667" i="1"/>
  <c r="BI666" i="1"/>
  <c r="BH666" i="1"/>
  <c r="BI665" i="1"/>
  <c r="BH665" i="1"/>
  <c r="BI664" i="1"/>
  <c r="BH664" i="1"/>
  <c r="BI663" i="1"/>
  <c r="BH663" i="1"/>
  <c r="BI662" i="1"/>
  <c r="BH662" i="1"/>
  <c r="BI661" i="1"/>
  <c r="BH661" i="1"/>
  <c r="BI660" i="1"/>
  <c r="BH660" i="1"/>
  <c r="BI659" i="1"/>
  <c r="BH659" i="1"/>
  <c r="BI658" i="1"/>
  <c r="BH658" i="1"/>
  <c r="BI657" i="1"/>
  <c r="BH657" i="1"/>
  <c r="BI656" i="1"/>
  <c r="BH656" i="1"/>
  <c r="BI655" i="1"/>
  <c r="BH655" i="1"/>
  <c r="BI654" i="1"/>
  <c r="BH654" i="1"/>
  <c r="BI653" i="1"/>
  <c r="BH653" i="1"/>
  <c r="BI652" i="1"/>
  <c r="BH652" i="1"/>
  <c r="BI651" i="1"/>
  <c r="BH651" i="1"/>
  <c r="BI650" i="1"/>
  <c r="BH650" i="1"/>
  <c r="BI649" i="1"/>
  <c r="BH649" i="1"/>
  <c r="BI648" i="1"/>
  <c r="BH648" i="1"/>
  <c r="BI647" i="1"/>
  <c r="BH647" i="1"/>
  <c r="BI646" i="1"/>
  <c r="BH646" i="1"/>
  <c r="BI645" i="1"/>
  <c r="BH645" i="1"/>
  <c r="BI644" i="1"/>
  <c r="BH644" i="1"/>
  <c r="BI643" i="1"/>
  <c r="BH643" i="1"/>
  <c r="BI642" i="1"/>
  <c r="BH642" i="1"/>
  <c r="BI641" i="1"/>
  <c r="BH641" i="1"/>
  <c r="BI640" i="1"/>
  <c r="BH640" i="1"/>
  <c r="BI639" i="1"/>
  <c r="BH639" i="1"/>
  <c r="BI638" i="1"/>
  <c r="BH638" i="1"/>
  <c r="BI637" i="1"/>
  <c r="BH637" i="1"/>
  <c r="BI636" i="1"/>
  <c r="BH636" i="1"/>
  <c r="BI635" i="1"/>
  <c r="BH635" i="1"/>
  <c r="BI634" i="1"/>
  <c r="BH634" i="1"/>
  <c r="BI633" i="1"/>
  <c r="BH633" i="1"/>
  <c r="BI632" i="1"/>
  <c r="BH632" i="1"/>
  <c r="BI631" i="1"/>
  <c r="BH631" i="1"/>
  <c r="BI630" i="1"/>
  <c r="BH630" i="1"/>
  <c r="BI629" i="1"/>
  <c r="BH629" i="1"/>
  <c r="BI628" i="1"/>
  <c r="BH628" i="1"/>
  <c r="BI627" i="1"/>
  <c r="BH627" i="1"/>
  <c r="BI623" i="1"/>
  <c r="BH623" i="1"/>
  <c r="BI622" i="1"/>
  <c r="BH622" i="1"/>
  <c r="BI620" i="1"/>
  <c r="BH620" i="1"/>
  <c r="BI619" i="1"/>
  <c r="BH619" i="1"/>
  <c r="BI618" i="1"/>
  <c r="BH618" i="1"/>
  <c r="BI617" i="1"/>
  <c r="BH617" i="1"/>
  <c r="BI616" i="1"/>
  <c r="BH616" i="1"/>
  <c r="BI615" i="1"/>
  <c r="BH615" i="1"/>
  <c r="BI614" i="1"/>
  <c r="BH614" i="1"/>
  <c r="BI613" i="1"/>
  <c r="BH613" i="1"/>
  <c r="BI612" i="1"/>
  <c r="BH612" i="1"/>
  <c r="BI611" i="1"/>
  <c r="BH611" i="1"/>
  <c r="BI610" i="1"/>
  <c r="BH610" i="1"/>
  <c r="BI609" i="1"/>
  <c r="BH609" i="1"/>
  <c r="BI608" i="1"/>
  <c r="BH608" i="1"/>
  <c r="BI607" i="1"/>
  <c r="BH607" i="1"/>
  <c r="BI606" i="1"/>
  <c r="BH606" i="1"/>
  <c r="BI601" i="1"/>
  <c r="BH601" i="1"/>
  <c r="BI600" i="1"/>
  <c r="BH600" i="1"/>
  <c r="BI599" i="1"/>
  <c r="BH599" i="1"/>
  <c r="BI598" i="1"/>
  <c r="BH598" i="1"/>
  <c r="BI597" i="1"/>
  <c r="BH597" i="1"/>
  <c r="BI596" i="1"/>
  <c r="BH596" i="1"/>
  <c r="BI594" i="1"/>
  <c r="BH594" i="1"/>
  <c r="BI593" i="1"/>
  <c r="BH593" i="1"/>
  <c r="BI592" i="1"/>
  <c r="BH592" i="1"/>
  <c r="BI591" i="1"/>
  <c r="BH591" i="1"/>
  <c r="BI590" i="1"/>
  <c r="BH590" i="1"/>
  <c r="BI589" i="1"/>
  <c r="BH589" i="1"/>
  <c r="BI588" i="1"/>
  <c r="BH588" i="1"/>
  <c r="BI587" i="1"/>
  <c r="BH587" i="1"/>
  <c r="BI586" i="1"/>
  <c r="BH586" i="1"/>
  <c r="BI585" i="1"/>
  <c r="BH585" i="1"/>
  <c r="BI584" i="1"/>
  <c r="BH584" i="1"/>
  <c r="BI583" i="1"/>
  <c r="BH583" i="1"/>
  <c r="BI582" i="1"/>
  <c r="BH582" i="1"/>
  <c r="BI581" i="1"/>
  <c r="BH581" i="1"/>
  <c r="BI580" i="1"/>
  <c r="BH580" i="1"/>
  <c r="BI579" i="1"/>
  <c r="BH579" i="1"/>
  <c r="BI578" i="1"/>
  <c r="BH578" i="1"/>
  <c r="BI577" i="1"/>
  <c r="BH577" i="1"/>
  <c r="BI576" i="1"/>
  <c r="BH576" i="1"/>
  <c r="BI575" i="1"/>
  <c r="BH575" i="1"/>
  <c r="BI574" i="1"/>
  <c r="BH574" i="1"/>
  <c r="BI573" i="1"/>
  <c r="BH573" i="1"/>
  <c r="BI572" i="1"/>
  <c r="BH572" i="1"/>
  <c r="BI571" i="1"/>
  <c r="BH571" i="1"/>
  <c r="BI570" i="1"/>
  <c r="BH570" i="1"/>
  <c r="BI569" i="1"/>
  <c r="BH569" i="1"/>
  <c r="BI568" i="1"/>
  <c r="BH568" i="1"/>
  <c r="BI567" i="1"/>
  <c r="BH567" i="1"/>
  <c r="BI564" i="1"/>
  <c r="BH564" i="1"/>
  <c r="BI563" i="1"/>
  <c r="BH563" i="1"/>
  <c r="BI562" i="1"/>
  <c r="BH562" i="1"/>
  <c r="BI561" i="1"/>
  <c r="BH561" i="1"/>
  <c r="BI560" i="1"/>
  <c r="BH560" i="1"/>
  <c r="BI559" i="1"/>
  <c r="BH559" i="1"/>
  <c r="BI558" i="1"/>
  <c r="BH558" i="1"/>
  <c r="BI557" i="1"/>
  <c r="BH557" i="1"/>
  <c r="BI556" i="1"/>
  <c r="BH556" i="1"/>
  <c r="BI555" i="1"/>
  <c r="BH555" i="1"/>
  <c r="BI554" i="1"/>
  <c r="BH554" i="1"/>
  <c r="BI553" i="1"/>
  <c r="BH553" i="1"/>
  <c r="BI552" i="1"/>
  <c r="BH552" i="1"/>
  <c r="BI551" i="1"/>
  <c r="BH551" i="1"/>
  <c r="BI550" i="1"/>
  <c r="BH550" i="1"/>
  <c r="BI549" i="1"/>
  <c r="BH549" i="1"/>
  <c r="BI548" i="1"/>
  <c r="BH548" i="1"/>
  <c r="BI547" i="1"/>
  <c r="BH547" i="1"/>
  <c r="BI546" i="1"/>
  <c r="BH546" i="1"/>
  <c r="BI545" i="1"/>
  <c r="BH545" i="1"/>
  <c r="BI544" i="1"/>
  <c r="BH544" i="1"/>
  <c r="BI543" i="1"/>
  <c r="BH543" i="1"/>
  <c r="BI542" i="1"/>
  <c r="BH542" i="1"/>
  <c r="BI541" i="1"/>
  <c r="BH541" i="1"/>
  <c r="BI540" i="1"/>
  <c r="BH540" i="1"/>
  <c r="BI539" i="1"/>
  <c r="BH539" i="1"/>
  <c r="BI538" i="1"/>
  <c r="BH538" i="1"/>
  <c r="BI537" i="1"/>
  <c r="BH537" i="1"/>
  <c r="BI536" i="1"/>
  <c r="BH536" i="1"/>
  <c r="BI535" i="1"/>
  <c r="BH535" i="1"/>
  <c r="BI534" i="1"/>
  <c r="BH534" i="1"/>
  <c r="BI533" i="1"/>
  <c r="BH533" i="1"/>
  <c r="BI532" i="1"/>
  <c r="BH532" i="1"/>
  <c r="BI531" i="1"/>
  <c r="BH531" i="1"/>
  <c r="BI530" i="1"/>
  <c r="BH530" i="1"/>
  <c r="BI529" i="1"/>
  <c r="BH529" i="1"/>
  <c r="BI528" i="1"/>
  <c r="BH528" i="1"/>
  <c r="BI527" i="1"/>
  <c r="BH527" i="1"/>
  <c r="BI526" i="1"/>
  <c r="BH526" i="1"/>
  <c r="BI525" i="1"/>
  <c r="BH525" i="1"/>
  <c r="BI524" i="1"/>
  <c r="BH524" i="1"/>
  <c r="BI523" i="1"/>
  <c r="BH523" i="1"/>
  <c r="BI522" i="1"/>
  <c r="BH522" i="1"/>
  <c r="BI521" i="1"/>
  <c r="BH521" i="1"/>
  <c r="BI520" i="1"/>
  <c r="BH520" i="1"/>
  <c r="BI519" i="1"/>
  <c r="BH519" i="1"/>
  <c r="BI518" i="1"/>
  <c r="BH518" i="1"/>
  <c r="BI517" i="1"/>
  <c r="BH517" i="1"/>
  <c r="BI516" i="1"/>
  <c r="BH516" i="1"/>
  <c r="BI515" i="1"/>
  <c r="BH515" i="1"/>
  <c r="BI514" i="1"/>
  <c r="BH514" i="1"/>
  <c r="BI513" i="1"/>
  <c r="BH513" i="1"/>
  <c r="BI512" i="1"/>
  <c r="BH512" i="1"/>
  <c r="BI511" i="1"/>
  <c r="BH511" i="1"/>
  <c r="BI510" i="1"/>
  <c r="BH510" i="1"/>
  <c r="BI509" i="1"/>
  <c r="BH509" i="1"/>
  <c r="BI508" i="1"/>
  <c r="BH508" i="1"/>
  <c r="BI507" i="1"/>
  <c r="BH507" i="1"/>
  <c r="BI506" i="1"/>
  <c r="BH506" i="1"/>
  <c r="BI505" i="1"/>
  <c r="BH505" i="1"/>
  <c r="BI504" i="1"/>
  <c r="BH504" i="1"/>
  <c r="BI503" i="1"/>
  <c r="BH503" i="1"/>
  <c r="BI502" i="1"/>
  <c r="BH502" i="1"/>
  <c r="BI501" i="1"/>
  <c r="BH501" i="1"/>
  <c r="BI500" i="1"/>
  <c r="BH500" i="1"/>
  <c r="BI499" i="1"/>
  <c r="BH499" i="1"/>
  <c r="BI498" i="1"/>
  <c r="BH498" i="1"/>
  <c r="BI497" i="1"/>
  <c r="BH497" i="1"/>
  <c r="BI496" i="1"/>
  <c r="BH496" i="1"/>
  <c r="BI495" i="1"/>
  <c r="BH495" i="1"/>
  <c r="BI494" i="1"/>
  <c r="BH494" i="1"/>
  <c r="BI493" i="1"/>
  <c r="BH493" i="1"/>
  <c r="BI492" i="1"/>
  <c r="BH492" i="1"/>
  <c r="BI491" i="1"/>
  <c r="BH491" i="1"/>
  <c r="BI490" i="1"/>
  <c r="BH490" i="1"/>
  <c r="BI489" i="1"/>
  <c r="BH489" i="1"/>
  <c r="BI488" i="1"/>
  <c r="BH488" i="1"/>
  <c r="BI487" i="1"/>
  <c r="BH487" i="1"/>
  <c r="BI486" i="1"/>
  <c r="BH486" i="1"/>
  <c r="BI485" i="1"/>
  <c r="BH485" i="1"/>
  <c r="BI484" i="1"/>
  <c r="BH484" i="1"/>
  <c r="BI483" i="1"/>
  <c r="BH483" i="1"/>
  <c r="BI482" i="1"/>
  <c r="BH482" i="1"/>
  <c r="BI481" i="1"/>
  <c r="BH481" i="1"/>
  <c r="BI480" i="1"/>
  <c r="BH480" i="1"/>
  <c r="BI479" i="1"/>
  <c r="BH479" i="1"/>
  <c r="BI478" i="1"/>
  <c r="BH478" i="1"/>
  <c r="BI477" i="1"/>
  <c r="BH477" i="1"/>
  <c r="BI476" i="1"/>
  <c r="BH476" i="1"/>
  <c r="BI475" i="1"/>
  <c r="BH475" i="1"/>
  <c r="BI474" i="1"/>
  <c r="BH474" i="1"/>
  <c r="BI473" i="1"/>
  <c r="BH473" i="1"/>
  <c r="BI472" i="1"/>
  <c r="BH472" i="1"/>
  <c r="BI471" i="1"/>
  <c r="BH471" i="1"/>
  <c r="BI470" i="1"/>
  <c r="BH470" i="1"/>
  <c r="BI469" i="1"/>
  <c r="BH469" i="1"/>
  <c r="BI468" i="1"/>
  <c r="BH468" i="1"/>
  <c r="BI467" i="1"/>
  <c r="BH467" i="1"/>
  <c r="BI466" i="1"/>
  <c r="BH466" i="1"/>
  <c r="BI459" i="1"/>
  <c r="BH459" i="1"/>
  <c r="BI458" i="1"/>
  <c r="BH458" i="1"/>
  <c r="BI457" i="1"/>
  <c r="BH457" i="1"/>
  <c r="BI456" i="1"/>
  <c r="BH456" i="1"/>
  <c r="BI455" i="1"/>
  <c r="BH455" i="1"/>
  <c r="BI454" i="1"/>
  <c r="BH454" i="1"/>
  <c r="BI453" i="1"/>
  <c r="BH453" i="1"/>
  <c r="BI452" i="1"/>
  <c r="BH452" i="1"/>
  <c r="BI451" i="1"/>
  <c r="BH451" i="1"/>
  <c r="BI449" i="1"/>
  <c r="BH449" i="1"/>
  <c r="BI448" i="1"/>
  <c r="BH448" i="1"/>
  <c r="BI447" i="1"/>
  <c r="BH447" i="1"/>
  <c r="BI446" i="1"/>
  <c r="BH446" i="1"/>
  <c r="BI445" i="1"/>
  <c r="BH445" i="1"/>
  <c r="BI444" i="1"/>
  <c r="BH444" i="1"/>
  <c r="BI443" i="1"/>
  <c r="BH443" i="1"/>
  <c r="BI442" i="1"/>
  <c r="BH442" i="1"/>
  <c r="BI441" i="1"/>
  <c r="BH441" i="1"/>
  <c r="BI440" i="1"/>
  <c r="BH440" i="1"/>
  <c r="BI439" i="1"/>
  <c r="BH439" i="1"/>
  <c r="BI438" i="1"/>
  <c r="BH438" i="1"/>
  <c r="BI437" i="1"/>
  <c r="BH437" i="1"/>
  <c r="BI436" i="1"/>
  <c r="BH436" i="1"/>
  <c r="BI435" i="1"/>
  <c r="BH435" i="1"/>
  <c r="BI434" i="1"/>
  <c r="BH434" i="1"/>
  <c r="BI433" i="1"/>
  <c r="BH433" i="1"/>
  <c r="BI432" i="1"/>
  <c r="BH432" i="1"/>
  <c r="BI431" i="1"/>
  <c r="BH431" i="1"/>
  <c r="BI430" i="1"/>
  <c r="BH430" i="1"/>
  <c r="BI429" i="1"/>
  <c r="BH429" i="1"/>
  <c r="BI428" i="1"/>
  <c r="BH428" i="1"/>
  <c r="BI427" i="1"/>
  <c r="BH427" i="1"/>
  <c r="BI426" i="1"/>
  <c r="BH426" i="1"/>
  <c r="BI425" i="1"/>
  <c r="BH425" i="1"/>
  <c r="BI424" i="1"/>
  <c r="BH424" i="1"/>
  <c r="BI423" i="1"/>
  <c r="BH423" i="1"/>
  <c r="BI422" i="1"/>
  <c r="BH422" i="1"/>
  <c r="BI421" i="1"/>
  <c r="BH421" i="1"/>
  <c r="BI420" i="1"/>
  <c r="BH420" i="1"/>
  <c r="BI419" i="1"/>
  <c r="BH419" i="1"/>
  <c r="BI418" i="1"/>
  <c r="BH418" i="1"/>
  <c r="BI417" i="1"/>
  <c r="BH417" i="1"/>
  <c r="BI416" i="1"/>
  <c r="BH416" i="1"/>
  <c r="BI415" i="1"/>
  <c r="BH415" i="1"/>
  <c r="BI414" i="1"/>
  <c r="BH414" i="1"/>
  <c r="BI413" i="1"/>
  <c r="BH413" i="1"/>
  <c r="BI412" i="1"/>
  <c r="BH412" i="1"/>
  <c r="BI411" i="1"/>
  <c r="BH411" i="1"/>
  <c r="BI410" i="1"/>
  <c r="BH410" i="1"/>
  <c r="BI409" i="1"/>
  <c r="BH409" i="1"/>
  <c r="BI408" i="1"/>
  <c r="BH408" i="1"/>
  <c r="BI407" i="1"/>
  <c r="BH407" i="1"/>
  <c r="BI406" i="1"/>
  <c r="BH406" i="1"/>
  <c r="BI405" i="1"/>
  <c r="BH405" i="1"/>
  <c r="BI404" i="1"/>
  <c r="BH404" i="1"/>
  <c r="BI403" i="1"/>
  <c r="BH403" i="1"/>
  <c r="BI402" i="1"/>
  <c r="BH402" i="1"/>
  <c r="BI401" i="1"/>
  <c r="BH401" i="1"/>
  <c r="BI400" i="1"/>
  <c r="BH400" i="1"/>
  <c r="BI399" i="1"/>
  <c r="BH399" i="1"/>
  <c r="BI398" i="1"/>
  <c r="BH398" i="1"/>
  <c r="BI397" i="1"/>
  <c r="BH397" i="1"/>
  <c r="BI396" i="1"/>
  <c r="BH396" i="1"/>
  <c r="BI395" i="1"/>
  <c r="BH395" i="1"/>
  <c r="BI394" i="1"/>
  <c r="BH394" i="1"/>
  <c r="BI393" i="1"/>
  <c r="BH393" i="1"/>
  <c r="BI392" i="1"/>
  <c r="BH392" i="1"/>
  <c r="BI391" i="1"/>
  <c r="BH391" i="1"/>
  <c r="BI390" i="1"/>
  <c r="BI389" i="1"/>
  <c r="BI388" i="1"/>
  <c r="BI387" i="1"/>
  <c r="BI386" i="1"/>
  <c r="BH386" i="1"/>
  <c r="BI385" i="1"/>
  <c r="BH385" i="1"/>
  <c r="BI384" i="1"/>
  <c r="BH384" i="1"/>
  <c r="BI383" i="1"/>
  <c r="BH383" i="1"/>
  <c r="BI382" i="1"/>
  <c r="BH382" i="1"/>
  <c r="BI381" i="1"/>
  <c r="BH381" i="1"/>
  <c r="BI380" i="1"/>
  <c r="BH380" i="1"/>
  <c r="BI379" i="1"/>
  <c r="BH379" i="1"/>
  <c r="BI378" i="1"/>
  <c r="BH378" i="1"/>
  <c r="BI377" i="1"/>
  <c r="BH377" i="1"/>
  <c r="BI376" i="1"/>
  <c r="BH376" i="1"/>
  <c r="BI375" i="1"/>
  <c r="BH375" i="1"/>
  <c r="BI374" i="1"/>
  <c r="BH374" i="1"/>
  <c r="BI373" i="1"/>
  <c r="BH373" i="1"/>
  <c r="BI372" i="1"/>
  <c r="BH372" i="1"/>
  <c r="BI371" i="1"/>
  <c r="BH371" i="1"/>
  <c r="BI370" i="1"/>
  <c r="BH370" i="1"/>
  <c r="BI369" i="1"/>
  <c r="BH369" i="1"/>
  <c r="BI368" i="1"/>
  <c r="BH368" i="1"/>
  <c r="BI367" i="1"/>
  <c r="BH367" i="1"/>
  <c r="BI366" i="1"/>
  <c r="BH366" i="1"/>
  <c r="BI365" i="1"/>
  <c r="BH365" i="1"/>
  <c r="BI364" i="1"/>
  <c r="BH364" i="1"/>
  <c r="BI363" i="1"/>
  <c r="BH363" i="1"/>
  <c r="BI362" i="1"/>
  <c r="BH362" i="1"/>
  <c r="BI361" i="1"/>
  <c r="BH361" i="1"/>
  <c r="BI360" i="1"/>
  <c r="BH360" i="1"/>
  <c r="BI359" i="1"/>
  <c r="BH359" i="1"/>
  <c r="BI358" i="1"/>
  <c r="BH358" i="1"/>
  <c r="BI357" i="1"/>
  <c r="BH357" i="1"/>
  <c r="BI356" i="1"/>
  <c r="BH356" i="1"/>
  <c r="BI355" i="1"/>
  <c r="BH355" i="1"/>
  <c r="BI354" i="1"/>
  <c r="BH354" i="1"/>
  <c r="BI353" i="1"/>
  <c r="BH353" i="1"/>
  <c r="BI352" i="1"/>
  <c r="BH352" i="1"/>
  <c r="BI351" i="1"/>
  <c r="BH351" i="1"/>
  <c r="BI350" i="1"/>
  <c r="BH350" i="1"/>
  <c r="BI349" i="1"/>
  <c r="BH349" i="1"/>
  <c r="BI348" i="1"/>
  <c r="BH348" i="1"/>
  <c r="BI347" i="1"/>
  <c r="BH347" i="1"/>
  <c r="BI346" i="1"/>
  <c r="BH346" i="1"/>
  <c r="BI345" i="1"/>
  <c r="BH345" i="1"/>
  <c r="BI344" i="1"/>
  <c r="BH344" i="1"/>
  <c r="BI343" i="1"/>
  <c r="BH343" i="1"/>
  <c r="BI342" i="1"/>
  <c r="BH342" i="1"/>
  <c r="BI341" i="1"/>
  <c r="BH341" i="1"/>
  <c r="BI332" i="1"/>
  <c r="BH332" i="1"/>
  <c r="BI331" i="1"/>
  <c r="BH331" i="1"/>
  <c r="BI330" i="1"/>
  <c r="BH330" i="1"/>
  <c r="BI329" i="1"/>
  <c r="BH329" i="1"/>
  <c r="BI328" i="1"/>
  <c r="BH328" i="1"/>
  <c r="BI327" i="1"/>
  <c r="BH327" i="1"/>
  <c r="BI326" i="1"/>
  <c r="BH326" i="1"/>
  <c r="BI325" i="1"/>
  <c r="BH325" i="1"/>
  <c r="BI324" i="1"/>
  <c r="BH324" i="1"/>
  <c r="BI323" i="1"/>
  <c r="BH323" i="1"/>
  <c r="BI322" i="1"/>
  <c r="BH322" i="1"/>
  <c r="BI321" i="1"/>
  <c r="BH321" i="1"/>
  <c r="BI320" i="1"/>
  <c r="BH320" i="1"/>
  <c r="BI319" i="1"/>
  <c r="BH319" i="1"/>
  <c r="BI318" i="1"/>
  <c r="BH318" i="1"/>
  <c r="BI317" i="1"/>
  <c r="BH317" i="1"/>
  <c r="BI316" i="1"/>
  <c r="BH316" i="1"/>
  <c r="BI315" i="1"/>
  <c r="BH315" i="1"/>
  <c r="BI314" i="1"/>
  <c r="BH314" i="1"/>
  <c r="BI313" i="1"/>
  <c r="BH313" i="1"/>
  <c r="BI312" i="1"/>
  <c r="BH312" i="1"/>
  <c r="BI311" i="1"/>
  <c r="BH311" i="1"/>
  <c r="BI310" i="1"/>
  <c r="BH310" i="1"/>
  <c r="BI309" i="1"/>
  <c r="BH309" i="1"/>
  <c r="BI308" i="1"/>
  <c r="BH308" i="1"/>
  <c r="BI307" i="1"/>
  <c r="BH307" i="1"/>
  <c r="BI300" i="1"/>
  <c r="BH300" i="1"/>
  <c r="BI299" i="1"/>
  <c r="BH299" i="1"/>
  <c r="BI298" i="1"/>
  <c r="BH298" i="1"/>
  <c r="BI297" i="1"/>
  <c r="BH297" i="1"/>
  <c r="BI296" i="1"/>
  <c r="BH296" i="1"/>
  <c r="BI295" i="1"/>
  <c r="BH295" i="1"/>
  <c r="BI294" i="1"/>
  <c r="BH294" i="1"/>
  <c r="BI293" i="1"/>
  <c r="BH293" i="1"/>
  <c r="BI292" i="1"/>
  <c r="BH292" i="1"/>
  <c r="BI291" i="1"/>
  <c r="BH291" i="1"/>
  <c r="BI290" i="1"/>
  <c r="BH290" i="1"/>
  <c r="BI289" i="1"/>
  <c r="BH289" i="1"/>
  <c r="BI288" i="1"/>
  <c r="BH288" i="1"/>
  <c r="BI287" i="1"/>
  <c r="BH287" i="1"/>
  <c r="BI286" i="1"/>
  <c r="BH286" i="1"/>
  <c r="BI285" i="1"/>
  <c r="BH285" i="1"/>
  <c r="BI284" i="1"/>
  <c r="BH284" i="1"/>
  <c r="BI283" i="1"/>
  <c r="BH283" i="1"/>
  <c r="BI282" i="1"/>
  <c r="BH282" i="1"/>
  <c r="BI281" i="1"/>
  <c r="BH281" i="1"/>
  <c r="BI280" i="1"/>
  <c r="BH280" i="1"/>
  <c r="BI279" i="1"/>
  <c r="BH279" i="1"/>
  <c r="BI278" i="1"/>
  <c r="BH278" i="1"/>
  <c r="BI277" i="1"/>
  <c r="BH277" i="1"/>
  <c r="BI276" i="1"/>
  <c r="BH276" i="1"/>
  <c r="BI275" i="1"/>
  <c r="BH275" i="1"/>
  <c r="BI274" i="1"/>
  <c r="BH274" i="1"/>
  <c r="BI273" i="1"/>
  <c r="BH273" i="1"/>
  <c r="BI272" i="1"/>
  <c r="BH272" i="1"/>
  <c r="BI271" i="1"/>
  <c r="BH271" i="1"/>
  <c r="BI270" i="1"/>
  <c r="BH270" i="1"/>
  <c r="BI269" i="1"/>
  <c r="BH269" i="1"/>
  <c r="BI268" i="1"/>
  <c r="BH268" i="1"/>
  <c r="BI267" i="1"/>
  <c r="BH267" i="1"/>
  <c r="BI266" i="1"/>
  <c r="BH266" i="1"/>
  <c r="BI265" i="1"/>
  <c r="BH265" i="1"/>
  <c r="BI264" i="1"/>
  <c r="BH264" i="1"/>
  <c r="BI263" i="1"/>
  <c r="BH263" i="1"/>
  <c r="BI262" i="1"/>
  <c r="BH262" i="1"/>
  <c r="BI261" i="1"/>
  <c r="BH261" i="1"/>
  <c r="BI260" i="1"/>
  <c r="BH260" i="1"/>
  <c r="BI259" i="1"/>
  <c r="BH259" i="1"/>
  <c r="BI258" i="1"/>
  <c r="BH258" i="1"/>
  <c r="BI257" i="1"/>
  <c r="BH257" i="1"/>
  <c r="BI256" i="1"/>
  <c r="BH256" i="1"/>
  <c r="BI255" i="1"/>
  <c r="BH255" i="1"/>
  <c r="BI254" i="1"/>
  <c r="BH254" i="1"/>
  <c r="BI253" i="1"/>
  <c r="BH253" i="1"/>
  <c r="BI252" i="1"/>
  <c r="BH252" i="1"/>
  <c r="BI251" i="1"/>
  <c r="BH251" i="1"/>
  <c r="BI250" i="1"/>
  <c r="BH250" i="1"/>
  <c r="BI249" i="1"/>
  <c r="BH249" i="1"/>
  <c r="BI248" i="1"/>
  <c r="BH248" i="1"/>
  <c r="BI247" i="1"/>
  <c r="BH247" i="1"/>
  <c r="BI246" i="1"/>
  <c r="BH246" i="1"/>
  <c r="BI245" i="1"/>
  <c r="BH245" i="1"/>
  <c r="BI244" i="1"/>
  <c r="BH244" i="1"/>
  <c r="BI243" i="1"/>
  <c r="BH243" i="1"/>
  <c r="BI242" i="1"/>
  <c r="BH242" i="1"/>
  <c r="BI241" i="1"/>
  <c r="BH241" i="1"/>
  <c r="BI240" i="1"/>
  <c r="BH240" i="1"/>
  <c r="BI239" i="1"/>
  <c r="BH239" i="1"/>
  <c r="BI238" i="1"/>
  <c r="BH238" i="1"/>
  <c r="BI237" i="1"/>
  <c r="BH237" i="1"/>
  <c r="BI236" i="1"/>
  <c r="BH236" i="1"/>
  <c r="BI235" i="1"/>
  <c r="BH235" i="1"/>
  <c r="BI234" i="1"/>
  <c r="BH234" i="1"/>
  <c r="BI233" i="1"/>
  <c r="BH233" i="1"/>
  <c r="BI232" i="1"/>
  <c r="BH232" i="1"/>
  <c r="BI231" i="1"/>
  <c r="BH231" i="1"/>
  <c r="BI228" i="1"/>
  <c r="BH228" i="1"/>
  <c r="BI227" i="1"/>
  <c r="BH227" i="1"/>
  <c r="BI226" i="1"/>
  <c r="BH226" i="1"/>
  <c r="BI225" i="1"/>
  <c r="BH225" i="1"/>
  <c r="BI224" i="1"/>
  <c r="BH224" i="1"/>
  <c r="BI223" i="1"/>
  <c r="BH223" i="1"/>
  <c r="BI222" i="1"/>
  <c r="BH222" i="1"/>
  <c r="BI221" i="1"/>
  <c r="BH221" i="1"/>
  <c r="BI220" i="1"/>
  <c r="BH220" i="1"/>
  <c r="BI219" i="1"/>
  <c r="BH219" i="1"/>
  <c r="BI218" i="1"/>
  <c r="BH218" i="1"/>
  <c r="BI217" i="1"/>
  <c r="BH217" i="1"/>
  <c r="BI216" i="1"/>
  <c r="BH216" i="1"/>
  <c r="BI215" i="1"/>
  <c r="BH215" i="1"/>
  <c r="BI214" i="1"/>
  <c r="BH214" i="1"/>
  <c r="BI213" i="1"/>
  <c r="BH213" i="1"/>
  <c r="BI202" i="1"/>
  <c r="BH202" i="1"/>
  <c r="BI201" i="1"/>
  <c r="BH201" i="1"/>
  <c r="BI200" i="1"/>
  <c r="BH200" i="1"/>
  <c r="BI199" i="1"/>
  <c r="BH199" i="1"/>
  <c r="BI198" i="1"/>
  <c r="BH198" i="1"/>
  <c r="BI197" i="1"/>
  <c r="BH197" i="1"/>
  <c r="BI196" i="1"/>
  <c r="BH196" i="1"/>
  <c r="BI195" i="1"/>
  <c r="BH195" i="1"/>
  <c r="BI194" i="1"/>
  <c r="BH194" i="1"/>
  <c r="BI193" i="1"/>
  <c r="BH193" i="1"/>
  <c r="BI192" i="1"/>
  <c r="BH192" i="1"/>
  <c r="BI191" i="1"/>
  <c r="BH191" i="1"/>
  <c r="BI190" i="1"/>
  <c r="BH190" i="1"/>
  <c r="BI189" i="1"/>
  <c r="BH189" i="1"/>
  <c r="BI188" i="1"/>
  <c r="BH188" i="1"/>
  <c r="BI187" i="1"/>
  <c r="BH187" i="1"/>
  <c r="BI186" i="1"/>
  <c r="BH186" i="1"/>
  <c r="BI185" i="1"/>
  <c r="BH185" i="1"/>
  <c r="BI184" i="1"/>
  <c r="BH184" i="1"/>
  <c r="BI183" i="1"/>
  <c r="BH183" i="1"/>
  <c r="BI182" i="1"/>
  <c r="BH182" i="1"/>
  <c r="BI181" i="1"/>
  <c r="BH181" i="1"/>
  <c r="BI180" i="1"/>
  <c r="BH180" i="1"/>
  <c r="BI179" i="1"/>
  <c r="BH179" i="1"/>
  <c r="BI178" i="1"/>
  <c r="BH178" i="1"/>
  <c r="BI177" i="1"/>
  <c r="BH177" i="1"/>
  <c r="BI176" i="1"/>
  <c r="BH176" i="1"/>
  <c r="BI175" i="1"/>
  <c r="BH175" i="1"/>
  <c r="BI174" i="1"/>
  <c r="BH174" i="1"/>
  <c r="BI173" i="1"/>
  <c r="BH173" i="1"/>
  <c r="BI172" i="1"/>
  <c r="BH172" i="1"/>
  <c r="BI171" i="1"/>
  <c r="BH171" i="1"/>
  <c r="BI170" i="1"/>
  <c r="BH170" i="1"/>
  <c r="BI169" i="1"/>
  <c r="BH169" i="1"/>
  <c r="BI168" i="1"/>
  <c r="BH168" i="1"/>
  <c r="BI167" i="1"/>
  <c r="BH167" i="1"/>
  <c r="BI166" i="1"/>
  <c r="BH166" i="1"/>
  <c r="BI165" i="1"/>
  <c r="BH165" i="1"/>
  <c r="BI164" i="1"/>
  <c r="BH164" i="1"/>
  <c r="BI163" i="1"/>
  <c r="BH163" i="1"/>
  <c r="BI162" i="1"/>
  <c r="BH162" i="1"/>
  <c r="BI161" i="1"/>
  <c r="BH161" i="1"/>
  <c r="BI160" i="1"/>
  <c r="BH160" i="1"/>
  <c r="BI159" i="1"/>
  <c r="BH159" i="1"/>
  <c r="BI158" i="1"/>
  <c r="BH158" i="1"/>
  <c r="BI157" i="1"/>
  <c r="BH157" i="1"/>
  <c r="BI156" i="1"/>
  <c r="BH156" i="1"/>
  <c r="BI155" i="1"/>
  <c r="BH155" i="1"/>
  <c r="BI154" i="1"/>
  <c r="BH154" i="1"/>
  <c r="BI142" i="1"/>
  <c r="BH142" i="1"/>
  <c r="BI141" i="1"/>
  <c r="BH141" i="1"/>
  <c r="BI140" i="1"/>
  <c r="BH140" i="1"/>
  <c r="BI139" i="1"/>
  <c r="BH139" i="1"/>
  <c r="BI138" i="1"/>
  <c r="BH138" i="1"/>
  <c r="BI137" i="1"/>
  <c r="BH137" i="1"/>
  <c r="BI144" i="1"/>
  <c r="BH144" i="1"/>
  <c r="BI143" i="1"/>
  <c r="BH143" i="1"/>
  <c r="BI136" i="1"/>
  <c r="BH136" i="1"/>
  <c r="BI135" i="1"/>
  <c r="BH135" i="1"/>
  <c r="BI134" i="1"/>
  <c r="BH134" i="1"/>
  <c r="BI133" i="1"/>
  <c r="BH133" i="1"/>
  <c r="BI132" i="1"/>
  <c r="BH132" i="1"/>
  <c r="BI122" i="1"/>
  <c r="BH122" i="1"/>
  <c r="BI121" i="1"/>
  <c r="BH121" i="1"/>
  <c r="BI120" i="1"/>
  <c r="BH120" i="1"/>
  <c r="BI119" i="1"/>
  <c r="BH119" i="1"/>
  <c r="BI118" i="1"/>
  <c r="BH118" i="1"/>
  <c r="BI117" i="1"/>
  <c r="BH117" i="1"/>
  <c r="BI116" i="1"/>
  <c r="BH116" i="1"/>
  <c r="BI115" i="1"/>
  <c r="BH115" i="1"/>
  <c r="BI114" i="1"/>
  <c r="BH114" i="1"/>
  <c r="BI113" i="1"/>
  <c r="BH113" i="1"/>
  <c r="BI112" i="1"/>
  <c r="BH112" i="1"/>
  <c r="BI111" i="1"/>
  <c r="BH111" i="1"/>
  <c r="BI110" i="1"/>
  <c r="BH110" i="1"/>
  <c r="BI109" i="1"/>
  <c r="BH109" i="1"/>
  <c r="BI108" i="1"/>
  <c r="BH108" i="1"/>
  <c r="BI107" i="1"/>
  <c r="BH107" i="1"/>
  <c r="BI106" i="1"/>
  <c r="BH106" i="1"/>
  <c r="BI105" i="1"/>
  <c r="BH105" i="1"/>
  <c r="BI104" i="1"/>
  <c r="BH104" i="1"/>
  <c r="BI103" i="1"/>
  <c r="BH103" i="1"/>
  <c r="BI102" i="1"/>
  <c r="BH102" i="1"/>
  <c r="BI101" i="1"/>
  <c r="BH101" i="1"/>
  <c r="BI100" i="1"/>
  <c r="BH100" i="1"/>
  <c r="BI99" i="1"/>
  <c r="BH99" i="1"/>
  <c r="BI98" i="1"/>
  <c r="BH98" i="1"/>
  <c r="BI97" i="1"/>
  <c r="BH97" i="1"/>
  <c r="BI96" i="1"/>
  <c r="BH96" i="1"/>
  <c r="BI95" i="1"/>
  <c r="BH95" i="1"/>
  <c r="BI93" i="1"/>
  <c r="BH93" i="1"/>
  <c r="BI92" i="1"/>
  <c r="BH92" i="1"/>
  <c r="BI91" i="1"/>
  <c r="BH91" i="1"/>
  <c r="BI90" i="1"/>
  <c r="BH90" i="1"/>
  <c r="BI89" i="1"/>
  <c r="BH89" i="1"/>
  <c r="BI88" i="1"/>
  <c r="BH88" i="1"/>
  <c r="BI87" i="1"/>
  <c r="BH87" i="1"/>
  <c r="BI81" i="1"/>
  <c r="BH81" i="1"/>
  <c r="BI80" i="1"/>
  <c r="BH80" i="1"/>
  <c r="BI79" i="1"/>
  <c r="BH79" i="1"/>
  <c r="BI78" i="1"/>
  <c r="BH78" i="1"/>
  <c r="BI77" i="1"/>
  <c r="BH77" i="1"/>
  <c r="BI76" i="1"/>
  <c r="BH76" i="1"/>
  <c r="BI75" i="1"/>
  <c r="BH75" i="1"/>
  <c r="BI74" i="1"/>
  <c r="BH74" i="1"/>
  <c r="BI73" i="1"/>
  <c r="BH73" i="1"/>
  <c r="BI72" i="1"/>
  <c r="BH72" i="1"/>
  <c r="BI71" i="1"/>
  <c r="BH71" i="1"/>
  <c r="BI70" i="1"/>
  <c r="BH70" i="1"/>
  <c r="BI69" i="1"/>
  <c r="BH69" i="1"/>
  <c r="BI68" i="1"/>
  <c r="BH68" i="1"/>
  <c r="BI67" i="1"/>
  <c r="BH67" i="1"/>
  <c r="BI66" i="1"/>
  <c r="BH66" i="1"/>
  <c r="BI65" i="1"/>
  <c r="BH65" i="1"/>
  <c r="BI64" i="1"/>
  <c r="BH64" i="1"/>
  <c r="BI63" i="1"/>
  <c r="BH63" i="1"/>
  <c r="BI62" i="1"/>
  <c r="BH62" i="1"/>
  <c r="BI61" i="1"/>
  <c r="BH61" i="1"/>
  <c r="BI60" i="1"/>
  <c r="BH60" i="1"/>
  <c r="BI59" i="1"/>
  <c r="BH59" i="1"/>
  <c r="BI58" i="1"/>
  <c r="BH58" i="1"/>
  <c r="BI57" i="1"/>
  <c r="BH57" i="1"/>
  <c r="BI56" i="1"/>
  <c r="BH56" i="1"/>
  <c r="BI55" i="1"/>
  <c r="BH55" i="1"/>
  <c r="BI54" i="1"/>
  <c r="BH54" i="1"/>
  <c r="BI53" i="1"/>
  <c r="BH53" i="1"/>
  <c r="BI52" i="1"/>
  <c r="BH52" i="1"/>
  <c r="BI51" i="1"/>
  <c r="BH51" i="1"/>
  <c r="BI50" i="1"/>
  <c r="BH50" i="1"/>
  <c r="BI49" i="1"/>
  <c r="BH49" i="1"/>
  <c r="BI46" i="1"/>
  <c r="BH46" i="1"/>
  <c r="BI45" i="1"/>
  <c r="BH45" i="1"/>
  <c r="BI44" i="1"/>
  <c r="BI43" i="1"/>
  <c r="BI42" i="1"/>
  <c r="BI41" i="1"/>
  <c r="BH41" i="1"/>
  <c r="BI40" i="1"/>
  <c r="BH40" i="1"/>
  <c r="BI39" i="1"/>
  <c r="BH39" i="1"/>
  <c r="BI24" i="1"/>
  <c r="BH24" i="1"/>
  <c r="BI23" i="1"/>
  <c r="BH23" i="1"/>
  <c r="BI22" i="1"/>
  <c r="BH22" i="1"/>
  <c r="BI21" i="1"/>
  <c r="BH21" i="1"/>
  <c r="BI19" i="1"/>
  <c r="BH19" i="1"/>
  <c r="BI18" i="1"/>
  <c r="BH18" i="1"/>
  <c r="BI13" i="1"/>
  <c r="BH13" i="1"/>
  <c r="BI12" i="1"/>
  <c r="BH12" i="1"/>
  <c r="BI11" i="1"/>
  <c r="BH11" i="1"/>
  <c r="BI10" i="1"/>
  <c r="BH10" i="1"/>
  <c r="BI9" i="1"/>
  <c r="BH9" i="1"/>
  <c r="BI8" i="1"/>
  <c r="BH8" i="1"/>
  <c r="BI7" i="1"/>
  <c r="BH7" i="1"/>
  <c r="BI6" i="1"/>
  <c r="BH6" i="1"/>
  <c r="BI5" i="1"/>
  <c r="BH5" i="1"/>
  <c r="BI4" i="1"/>
  <c r="BH4" i="1"/>
  <c r="BI3" i="1"/>
  <c r="BH3" i="1"/>
  <c r="BI2" i="1"/>
  <c r="BH2" i="1"/>
  <c r="BG1268" i="1"/>
  <c r="BF1268" i="1"/>
  <c r="BE1268" i="1"/>
  <c r="BD1268" i="1"/>
  <c r="BC1268" i="1"/>
  <c r="BG1267" i="1"/>
  <c r="BF1267" i="1"/>
  <c r="BE1267" i="1"/>
  <c r="BD1267" i="1"/>
  <c r="BC1267" i="1"/>
  <c r="BG1266" i="1"/>
  <c r="BF1266" i="1"/>
  <c r="BE1266" i="1"/>
  <c r="BD1266" i="1"/>
  <c r="BC1266" i="1"/>
  <c r="BG1265" i="1"/>
  <c r="BF1265" i="1"/>
  <c r="BE1265" i="1"/>
  <c r="BD1265" i="1"/>
  <c r="BC1265" i="1"/>
  <c r="BG1099" i="1"/>
  <c r="BF1099" i="1"/>
  <c r="BE1099" i="1"/>
  <c r="BD1099" i="1"/>
  <c r="BC1099" i="1"/>
  <c r="BG1098" i="1"/>
  <c r="BF1098" i="1"/>
  <c r="BE1098" i="1"/>
  <c r="BD1098" i="1"/>
  <c r="BC1098" i="1"/>
  <c r="BG1097" i="1"/>
  <c r="BF1097" i="1"/>
  <c r="BE1097" i="1"/>
  <c r="BD1097" i="1"/>
  <c r="BC1097" i="1"/>
  <c r="BG1096" i="1"/>
  <c r="BF1096" i="1"/>
  <c r="BE1096" i="1"/>
  <c r="BD1096" i="1"/>
  <c r="BC1096" i="1"/>
  <c r="BG1095" i="1"/>
  <c r="BF1095" i="1"/>
  <c r="BE1095" i="1"/>
  <c r="BD1095" i="1"/>
  <c r="BC1095" i="1"/>
  <c r="BG1094" i="1"/>
  <c r="BF1094" i="1"/>
  <c r="BE1094" i="1"/>
  <c r="BD1094" i="1"/>
  <c r="BC1094" i="1"/>
  <c r="BG1093" i="1"/>
  <c r="BF1093" i="1"/>
  <c r="BE1093" i="1"/>
  <c r="BD1093" i="1"/>
  <c r="BC1093" i="1"/>
  <c r="BG1092" i="1"/>
  <c r="BF1092" i="1"/>
  <c r="BE1092" i="1"/>
  <c r="BD1092" i="1"/>
  <c r="BC1092" i="1"/>
  <c r="BG1091" i="1"/>
  <c r="BF1091" i="1"/>
  <c r="BE1091" i="1"/>
  <c r="BD1091" i="1"/>
  <c r="BC1091" i="1"/>
  <c r="BG1090" i="1"/>
  <c r="BF1090" i="1"/>
  <c r="BE1090" i="1"/>
  <c r="BD1090" i="1"/>
  <c r="BC1090" i="1"/>
  <c r="BG1089" i="1"/>
  <c r="BF1089" i="1"/>
  <c r="BE1089" i="1"/>
  <c r="BD1089" i="1"/>
  <c r="BC1089" i="1"/>
  <c r="BG1088" i="1"/>
  <c r="BF1088" i="1"/>
  <c r="BE1088" i="1"/>
  <c r="BD1088" i="1"/>
  <c r="BC1088" i="1"/>
  <c r="BG1087" i="1"/>
  <c r="BF1087" i="1"/>
  <c r="BE1087" i="1"/>
  <c r="BD1087" i="1"/>
  <c r="BC1087" i="1"/>
  <c r="BG1086" i="1"/>
  <c r="BF1086" i="1"/>
  <c r="BE1086" i="1"/>
  <c r="BD1086" i="1"/>
  <c r="BC1086" i="1"/>
  <c r="BG1085" i="1"/>
  <c r="BF1085" i="1"/>
  <c r="BE1085" i="1"/>
  <c r="BD1085" i="1"/>
  <c r="BC1085" i="1"/>
  <c r="BG1084" i="1"/>
  <c r="BF1084" i="1"/>
  <c r="BE1084" i="1"/>
  <c r="BD1084" i="1"/>
  <c r="BC1084" i="1"/>
  <c r="BG1083" i="1"/>
  <c r="BF1083" i="1"/>
  <c r="BE1083" i="1"/>
  <c r="BD1083" i="1"/>
  <c r="BC1083" i="1"/>
  <c r="BG1082" i="1"/>
  <c r="BF1082" i="1"/>
  <c r="BE1082" i="1"/>
  <c r="BD1082" i="1"/>
  <c r="BC1082" i="1"/>
  <c r="BG1081" i="1"/>
  <c r="BF1081" i="1"/>
  <c r="BE1081" i="1"/>
  <c r="BD1081" i="1"/>
  <c r="BC1081" i="1"/>
  <c r="BG1080" i="1"/>
  <c r="BF1080" i="1"/>
  <c r="BE1080" i="1"/>
  <c r="BD1080" i="1"/>
  <c r="BC1080" i="1"/>
  <c r="BG1079" i="1"/>
  <c r="BF1079" i="1"/>
  <c r="BE1079" i="1"/>
  <c r="BD1079" i="1"/>
  <c r="BC1079" i="1"/>
  <c r="BG1078" i="1"/>
  <c r="BF1078" i="1"/>
  <c r="BE1078" i="1"/>
  <c r="BD1078" i="1"/>
  <c r="BC1078" i="1"/>
  <c r="BG1077" i="1"/>
  <c r="BF1077" i="1"/>
  <c r="BE1077" i="1"/>
  <c r="BD1077" i="1"/>
  <c r="BC1077" i="1"/>
  <c r="BG1076" i="1"/>
  <c r="BF1076" i="1"/>
  <c r="BE1076" i="1"/>
  <c r="BD1076" i="1"/>
  <c r="BC1076" i="1"/>
  <c r="BG1075" i="1"/>
  <c r="BF1075" i="1"/>
  <c r="BE1075" i="1"/>
  <c r="BD1075" i="1"/>
  <c r="BC1075" i="1"/>
  <c r="BG1074" i="1"/>
  <c r="BF1074" i="1"/>
  <c r="BE1074" i="1"/>
  <c r="BD1074" i="1"/>
  <c r="BC1074" i="1"/>
  <c r="BG1073" i="1"/>
  <c r="BF1073" i="1"/>
  <c r="BE1073" i="1"/>
  <c r="BD1073" i="1"/>
  <c r="BC1073" i="1"/>
  <c r="BG1072" i="1"/>
  <c r="BF1072" i="1"/>
  <c r="BE1072" i="1"/>
  <c r="BD1072" i="1"/>
  <c r="BC1072" i="1"/>
  <c r="BG1071" i="1"/>
  <c r="BF1071" i="1"/>
  <c r="BE1071" i="1"/>
  <c r="BD1071" i="1"/>
  <c r="BC1071" i="1"/>
  <c r="BG1070" i="1"/>
  <c r="BF1070" i="1"/>
  <c r="BE1070" i="1"/>
  <c r="BD1070" i="1"/>
  <c r="BC1070" i="1"/>
  <c r="BG1069" i="1"/>
  <c r="BF1069" i="1"/>
  <c r="BE1069" i="1"/>
  <c r="BD1069" i="1"/>
  <c r="BC1069" i="1"/>
  <c r="BG1068" i="1"/>
  <c r="BF1068" i="1"/>
  <c r="BE1068" i="1"/>
  <c r="BD1068" i="1"/>
  <c r="BC1068" i="1"/>
  <c r="BG1067" i="1"/>
  <c r="BF1067" i="1"/>
  <c r="BE1067" i="1"/>
  <c r="BD1067" i="1"/>
  <c r="BC1067" i="1"/>
  <c r="BG1066" i="1"/>
  <c r="BF1066" i="1"/>
  <c r="BE1066" i="1"/>
  <c r="BD1066" i="1"/>
  <c r="BC1066" i="1"/>
  <c r="BG1065" i="1"/>
  <c r="BF1065" i="1"/>
  <c r="BE1065" i="1"/>
  <c r="BD1065" i="1"/>
  <c r="BC1065" i="1"/>
  <c r="BG1263" i="1"/>
  <c r="BF1263" i="1"/>
  <c r="BE1263" i="1"/>
  <c r="BD1263" i="1"/>
  <c r="BC1263" i="1"/>
  <c r="BG1262" i="1"/>
  <c r="BF1262" i="1"/>
  <c r="BE1262" i="1"/>
  <c r="BD1262" i="1"/>
  <c r="BC1262" i="1"/>
  <c r="BG1261" i="1"/>
  <c r="BF1261" i="1"/>
  <c r="BE1261" i="1"/>
  <c r="BD1261" i="1"/>
  <c r="BC1261" i="1"/>
  <c r="BG1260" i="1"/>
  <c r="BF1260" i="1"/>
  <c r="BE1260" i="1"/>
  <c r="BD1260" i="1"/>
  <c r="BC1260" i="1"/>
  <c r="BG1259" i="1"/>
  <c r="BF1259" i="1"/>
  <c r="BE1259" i="1"/>
  <c r="BD1259" i="1"/>
  <c r="BC1259" i="1"/>
  <c r="BG1258" i="1"/>
  <c r="BF1258" i="1"/>
  <c r="BE1258" i="1"/>
  <c r="BD1258" i="1"/>
  <c r="BC1258" i="1"/>
  <c r="BG1257" i="1"/>
  <c r="BF1257" i="1"/>
  <c r="BE1257" i="1"/>
  <c r="BD1257" i="1"/>
  <c r="BC1257" i="1"/>
  <c r="BG1256" i="1"/>
  <c r="BF1256" i="1"/>
  <c r="BE1256" i="1"/>
  <c r="BD1256" i="1"/>
  <c r="BC1256" i="1"/>
  <c r="BG1255" i="1"/>
  <c r="BF1255" i="1"/>
  <c r="BE1255" i="1"/>
  <c r="BD1255" i="1"/>
  <c r="BC1255" i="1"/>
  <c r="BG1254" i="1"/>
  <c r="BF1254" i="1"/>
  <c r="BE1254" i="1"/>
  <c r="BD1254" i="1"/>
  <c r="BC1254" i="1"/>
  <c r="BG1253" i="1"/>
  <c r="BF1253" i="1"/>
  <c r="BE1253" i="1"/>
  <c r="BD1253" i="1"/>
  <c r="BC1253" i="1"/>
  <c r="BG780" i="1"/>
  <c r="BF780" i="1"/>
  <c r="BE780" i="1"/>
  <c r="BD780" i="1"/>
  <c r="BC780" i="1"/>
  <c r="BG779" i="1"/>
  <c r="BF779" i="1"/>
  <c r="BE779" i="1"/>
  <c r="BD779" i="1"/>
  <c r="BC779" i="1"/>
  <c r="BG778" i="1"/>
  <c r="BF778" i="1"/>
  <c r="BE778" i="1"/>
  <c r="BD778" i="1"/>
  <c r="BC778" i="1"/>
  <c r="BG777" i="1"/>
  <c r="BF777" i="1"/>
  <c r="BE777" i="1"/>
  <c r="BD777" i="1"/>
  <c r="BC777" i="1"/>
  <c r="BG776" i="1"/>
  <c r="BF776" i="1"/>
  <c r="BE776" i="1"/>
  <c r="BD776" i="1"/>
  <c r="BC776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1040" i="1"/>
  <c r="BD1040" i="1"/>
  <c r="BC1040" i="1"/>
  <c r="BE1039" i="1"/>
  <c r="BD1039" i="1"/>
  <c r="BC1039" i="1"/>
  <c r="BE1038" i="1"/>
  <c r="BD1038" i="1"/>
  <c r="BC1038" i="1"/>
  <c r="BE1037" i="1"/>
  <c r="BD1037" i="1"/>
  <c r="BC1037" i="1"/>
  <c r="BE1036" i="1"/>
  <c r="BD1036" i="1"/>
  <c r="BC1036" i="1"/>
  <c r="BE1035" i="1"/>
  <c r="BD1035" i="1"/>
  <c r="BC1035" i="1"/>
  <c r="BE1034" i="1"/>
  <c r="BD1034" i="1"/>
  <c r="BC1034" i="1"/>
  <c r="BE1033" i="1"/>
  <c r="BD1033" i="1"/>
  <c r="BC1033" i="1"/>
  <c r="BE1032" i="1"/>
  <c r="BD1032" i="1"/>
  <c r="BC1032" i="1"/>
  <c r="BE1031" i="1"/>
  <c r="BD1031" i="1"/>
  <c r="BC1031" i="1"/>
  <c r="BE1030" i="1"/>
  <c r="BD1030" i="1"/>
  <c r="BC1030" i="1"/>
  <c r="BE1029" i="1"/>
  <c r="BD1029" i="1"/>
  <c r="BC1029" i="1"/>
  <c r="BE1028" i="1"/>
  <c r="BD1028" i="1"/>
  <c r="BC1028" i="1"/>
  <c r="BE1027" i="1"/>
  <c r="BD1027" i="1"/>
  <c r="BC1027" i="1"/>
  <c r="BE1026" i="1"/>
  <c r="BD1026" i="1"/>
  <c r="BC1026" i="1"/>
  <c r="BE1025" i="1"/>
  <c r="BD1025" i="1"/>
  <c r="BC1025" i="1"/>
  <c r="BE1024" i="1"/>
  <c r="BD1024" i="1"/>
  <c r="BC1024" i="1"/>
  <c r="BE1023" i="1"/>
  <c r="BD1023" i="1"/>
  <c r="BC1023" i="1"/>
  <c r="BE1022" i="1"/>
  <c r="BD1022" i="1"/>
  <c r="BC1022" i="1"/>
  <c r="BE1021" i="1"/>
  <c r="BD1021" i="1"/>
  <c r="BC1021" i="1"/>
  <c r="BE1020" i="1"/>
  <c r="BD1020" i="1"/>
  <c r="BC1020" i="1"/>
  <c r="BE1019" i="1"/>
  <c r="BD1019" i="1"/>
  <c r="BC1019" i="1"/>
  <c r="BE1018" i="1"/>
  <c r="BD1018" i="1"/>
  <c r="BC1018" i="1"/>
  <c r="BE335" i="1"/>
  <c r="BD335" i="1"/>
  <c r="BC335" i="1"/>
  <c r="BE334" i="1"/>
  <c r="BD334" i="1"/>
  <c r="BC334" i="1"/>
  <c r="BE1252" i="1"/>
  <c r="BD1252" i="1"/>
  <c r="BC1252" i="1"/>
  <c r="BE1251" i="1"/>
  <c r="BD1251" i="1"/>
  <c r="BC1251" i="1"/>
  <c r="BE1250" i="1"/>
  <c r="BD1250" i="1"/>
  <c r="BC1250" i="1"/>
  <c r="BE1249" i="1"/>
  <c r="BD1249" i="1"/>
  <c r="BC1249" i="1"/>
  <c r="BE1248" i="1"/>
  <c r="BD1248" i="1"/>
  <c r="BC1248" i="1"/>
  <c r="BE1247" i="1"/>
  <c r="BD1247" i="1"/>
  <c r="BC1247" i="1"/>
  <c r="BE1246" i="1"/>
  <c r="BD1246" i="1"/>
  <c r="BC1246" i="1"/>
  <c r="BE1245" i="1"/>
  <c r="BD1245" i="1"/>
  <c r="BC1245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303" i="1"/>
  <c r="BD303" i="1"/>
  <c r="BC303" i="1"/>
  <c r="BE302" i="1"/>
  <c r="BD302" i="1"/>
  <c r="BC302" i="1"/>
  <c r="BE465" i="1"/>
  <c r="BD465" i="1"/>
  <c r="BC465" i="1"/>
  <c r="BE464" i="1"/>
  <c r="BD464" i="1"/>
  <c r="BC464" i="1"/>
  <c r="BE463" i="1"/>
  <c r="BD463" i="1"/>
  <c r="BC463" i="1"/>
  <c r="BE462" i="1"/>
  <c r="BD462" i="1"/>
  <c r="BC462" i="1"/>
  <c r="BE461" i="1"/>
  <c r="BD461" i="1"/>
  <c r="BC461" i="1"/>
  <c r="BE460" i="1"/>
  <c r="BD460" i="1"/>
  <c r="BC460" i="1"/>
  <c r="BE626" i="1"/>
  <c r="BD626" i="1"/>
  <c r="BC626" i="1"/>
  <c r="BE625" i="1"/>
  <c r="BD625" i="1"/>
  <c r="BC625" i="1"/>
  <c r="BE84" i="1"/>
  <c r="BD84" i="1"/>
  <c r="BC84" i="1"/>
  <c r="BE83" i="1"/>
  <c r="BD83" i="1"/>
  <c r="BC83" i="1"/>
  <c r="BE82" i="1"/>
  <c r="BD82" i="1"/>
  <c r="BC82" i="1"/>
  <c r="BD14" i="1"/>
  <c r="BC14" i="1"/>
  <c r="BE566" i="1"/>
  <c r="BD566" i="1"/>
  <c r="BC566" i="1"/>
  <c r="BE565" i="1"/>
  <c r="BD565" i="1"/>
  <c r="BC565" i="1"/>
  <c r="BE624" i="1"/>
  <c r="BD624" i="1"/>
  <c r="BC624" i="1"/>
  <c r="BE605" i="1"/>
  <c r="BD605" i="1"/>
  <c r="BC605" i="1"/>
  <c r="BE604" i="1"/>
  <c r="BD604" i="1"/>
  <c r="BC604" i="1"/>
  <c r="BE603" i="1"/>
  <c r="BD603" i="1"/>
  <c r="BC603" i="1"/>
  <c r="BE602" i="1"/>
  <c r="BD602" i="1"/>
  <c r="BC602" i="1"/>
  <c r="BE888" i="1"/>
  <c r="BD888" i="1"/>
  <c r="BC888" i="1"/>
  <c r="BE887" i="1"/>
  <c r="BD887" i="1"/>
  <c r="BC887" i="1"/>
  <c r="BE886" i="1"/>
  <c r="BD886" i="1"/>
  <c r="BC886" i="1"/>
  <c r="BE885" i="1"/>
  <c r="BD885" i="1"/>
  <c r="BC885" i="1"/>
  <c r="BE1163" i="1"/>
  <c r="BD1163" i="1"/>
  <c r="BC1163" i="1"/>
  <c r="BE1162" i="1"/>
  <c r="BD1162" i="1"/>
  <c r="BC1162" i="1"/>
  <c r="BE1161" i="1"/>
  <c r="BD1161" i="1"/>
  <c r="BC1161" i="1"/>
  <c r="BE1160" i="1"/>
  <c r="BD1160" i="1"/>
  <c r="BC1160" i="1"/>
  <c r="BE674" i="1"/>
  <c r="BD674" i="1"/>
  <c r="BC674" i="1"/>
  <c r="BE450" i="1"/>
  <c r="BD450" i="1"/>
  <c r="BC450" i="1"/>
  <c r="BE1220" i="1"/>
  <c r="BD1220" i="1"/>
  <c r="BC1220" i="1"/>
  <c r="BE1219" i="1"/>
  <c r="BD1219" i="1"/>
  <c r="BC1219" i="1"/>
  <c r="BE775" i="1"/>
  <c r="BD775" i="1"/>
  <c r="BC775" i="1"/>
  <c r="BE304" i="1"/>
  <c r="BD304" i="1"/>
  <c r="BC304" i="1"/>
  <c r="BE713" i="1"/>
  <c r="BD713" i="1"/>
  <c r="BC713" i="1"/>
  <c r="BE306" i="1"/>
  <c r="BD306" i="1"/>
  <c r="BC306" i="1"/>
  <c r="BE305" i="1"/>
  <c r="BD305" i="1"/>
  <c r="BC305" i="1"/>
  <c r="BE333" i="1"/>
  <c r="BD333" i="1"/>
  <c r="BC333" i="1"/>
  <c r="BE792" i="1"/>
  <c r="BD792" i="1"/>
  <c r="BC792" i="1"/>
  <c r="BE791" i="1"/>
  <c r="BD791" i="1"/>
  <c r="BC791" i="1"/>
  <c r="BE790" i="1"/>
  <c r="BD790" i="1"/>
  <c r="BC790" i="1"/>
  <c r="BE789" i="1"/>
  <c r="BD789" i="1"/>
  <c r="BC789" i="1"/>
  <c r="BE788" i="1"/>
  <c r="BD788" i="1"/>
  <c r="BC788" i="1"/>
  <c r="BE787" i="1"/>
  <c r="BD787" i="1"/>
  <c r="BC787" i="1"/>
  <c r="BE786" i="1"/>
  <c r="BD786" i="1"/>
  <c r="BC786" i="1"/>
  <c r="BE785" i="1"/>
  <c r="BD785" i="1"/>
  <c r="BC785" i="1"/>
  <c r="BE784" i="1"/>
  <c r="BD784" i="1"/>
  <c r="BC784" i="1"/>
  <c r="BE783" i="1"/>
  <c r="BD783" i="1"/>
  <c r="BC783" i="1"/>
  <c r="BE782" i="1"/>
  <c r="BD782" i="1"/>
  <c r="BC782" i="1"/>
  <c r="BE781" i="1"/>
  <c r="BD781" i="1"/>
  <c r="BC781" i="1"/>
  <c r="BE980" i="1"/>
  <c r="BD980" i="1"/>
  <c r="BC980" i="1"/>
  <c r="BE979" i="1"/>
  <c r="BD979" i="1"/>
  <c r="BC979" i="1"/>
  <c r="BE978" i="1"/>
  <c r="BD978" i="1"/>
  <c r="BC978" i="1"/>
  <c r="BE977" i="1"/>
  <c r="BD977" i="1"/>
  <c r="BC977" i="1"/>
  <c r="BE767" i="1"/>
  <c r="BD767" i="1"/>
  <c r="BC767" i="1"/>
  <c r="BE766" i="1"/>
  <c r="BD766" i="1"/>
  <c r="BC766" i="1"/>
  <c r="BE774" i="1"/>
  <c r="BD774" i="1"/>
  <c r="BC774" i="1"/>
  <c r="BE712" i="1"/>
  <c r="BD712" i="1"/>
  <c r="BC712" i="1"/>
  <c r="BE711" i="1"/>
  <c r="BD711" i="1"/>
  <c r="BC711" i="1"/>
  <c r="BE710" i="1"/>
  <c r="BD710" i="1"/>
  <c r="BC710" i="1"/>
  <c r="BE709" i="1"/>
  <c r="BD709" i="1"/>
  <c r="BC709" i="1"/>
  <c r="BE708" i="1"/>
  <c r="BD708" i="1"/>
  <c r="BC708" i="1"/>
  <c r="BE707" i="1"/>
  <c r="BD707" i="1"/>
  <c r="BC707" i="1"/>
  <c r="BE706" i="1"/>
  <c r="BD706" i="1"/>
  <c r="BC706" i="1"/>
  <c r="BE705" i="1"/>
  <c r="BD705" i="1"/>
  <c r="BC705" i="1"/>
  <c r="BE704" i="1"/>
  <c r="BD704" i="1"/>
  <c r="BC704" i="1"/>
  <c r="BE814" i="1"/>
  <c r="BD814" i="1"/>
  <c r="BC814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963" i="1"/>
  <c r="BD963" i="1"/>
  <c r="BC963" i="1"/>
  <c r="BE962" i="1"/>
  <c r="BD962" i="1"/>
  <c r="BC962" i="1"/>
  <c r="BE961" i="1"/>
  <c r="BD961" i="1"/>
  <c r="BC961" i="1"/>
  <c r="BE960" i="1"/>
  <c r="BD960" i="1"/>
  <c r="BC960" i="1"/>
  <c r="BE959" i="1"/>
  <c r="BD959" i="1"/>
  <c r="BC959" i="1"/>
  <c r="BE958" i="1"/>
  <c r="BD958" i="1"/>
  <c r="BC958" i="1"/>
  <c r="BE1244" i="1"/>
  <c r="BD1244" i="1"/>
  <c r="BC1244" i="1"/>
  <c r="BE1243" i="1"/>
  <c r="BD1243" i="1"/>
  <c r="BC1243" i="1"/>
  <c r="BE1225" i="1"/>
  <c r="BD1225" i="1"/>
  <c r="BC1225" i="1"/>
  <c r="BE1224" i="1"/>
  <c r="BD1224" i="1"/>
  <c r="BC1224" i="1"/>
  <c r="BE1223" i="1"/>
  <c r="BD1223" i="1"/>
  <c r="BC1223" i="1"/>
  <c r="BE1222" i="1"/>
  <c r="BD1222" i="1"/>
  <c r="BC1222" i="1"/>
  <c r="BE1221" i="1"/>
  <c r="BD1221" i="1"/>
  <c r="BC1221" i="1"/>
  <c r="BE1218" i="1"/>
  <c r="BD1218" i="1"/>
  <c r="BC1218" i="1"/>
  <c r="BE1217" i="1"/>
  <c r="BD1217" i="1"/>
  <c r="BC1217" i="1"/>
  <c r="BE1216" i="1"/>
  <c r="BD1216" i="1"/>
  <c r="BC1216" i="1"/>
  <c r="BE1215" i="1"/>
  <c r="BD1215" i="1"/>
  <c r="BC1215" i="1"/>
  <c r="BE1214" i="1"/>
  <c r="BD1214" i="1"/>
  <c r="BC1214" i="1"/>
  <c r="BE1213" i="1"/>
  <c r="BD1213" i="1"/>
  <c r="BC1213" i="1"/>
  <c r="BE1212" i="1"/>
  <c r="BD1212" i="1"/>
  <c r="BC1212" i="1"/>
  <c r="BE1202" i="1"/>
  <c r="BD1202" i="1"/>
  <c r="BC1202" i="1"/>
  <c r="BE1201" i="1"/>
  <c r="BD1201" i="1"/>
  <c r="BC1201" i="1"/>
  <c r="BE1200" i="1"/>
  <c r="BD1200" i="1"/>
  <c r="BC1200" i="1"/>
  <c r="BE1199" i="1"/>
  <c r="BD1199" i="1"/>
  <c r="BC1199" i="1"/>
  <c r="BE1198" i="1"/>
  <c r="BD1198" i="1"/>
  <c r="BC1198" i="1"/>
  <c r="BE1197" i="1"/>
  <c r="BD1197" i="1"/>
  <c r="BC1197" i="1"/>
  <c r="BE1196" i="1"/>
  <c r="BD1196" i="1"/>
  <c r="BC1196" i="1"/>
  <c r="BE1195" i="1"/>
  <c r="BD1195" i="1"/>
  <c r="BC1195" i="1"/>
  <c r="BE1194" i="1"/>
  <c r="BD1194" i="1"/>
  <c r="BC1194" i="1"/>
  <c r="BE1193" i="1"/>
  <c r="BD1193" i="1"/>
  <c r="BC1193" i="1"/>
  <c r="BE1192" i="1"/>
  <c r="BD1192" i="1"/>
  <c r="BC1192" i="1"/>
  <c r="BE1166" i="1"/>
  <c r="BD1166" i="1"/>
  <c r="BC1166" i="1"/>
  <c r="BE1165" i="1"/>
  <c r="BD1165" i="1"/>
  <c r="BC1165" i="1"/>
  <c r="BE1164" i="1"/>
  <c r="BD1164" i="1"/>
  <c r="BC1164" i="1"/>
  <c r="BE1150" i="1"/>
  <c r="BD1150" i="1"/>
  <c r="BC1150" i="1"/>
  <c r="BE1149" i="1"/>
  <c r="BD1149" i="1"/>
  <c r="BC1149" i="1"/>
  <c r="BE1148" i="1"/>
  <c r="BD1148" i="1"/>
  <c r="BC1148" i="1"/>
  <c r="BE1147" i="1"/>
  <c r="BD1147" i="1"/>
  <c r="BC1147" i="1"/>
  <c r="BE1146" i="1"/>
  <c r="BD1146" i="1"/>
  <c r="BC1146" i="1"/>
  <c r="BE1145" i="1"/>
  <c r="BD1145" i="1"/>
  <c r="BC1145" i="1"/>
  <c r="BE1144" i="1"/>
  <c r="BD1144" i="1"/>
  <c r="BC1144" i="1"/>
  <c r="BE1143" i="1"/>
  <c r="BD1143" i="1"/>
  <c r="BC1143" i="1"/>
  <c r="BE1142" i="1"/>
  <c r="BD1142" i="1"/>
  <c r="BC1142" i="1"/>
  <c r="BE1141" i="1"/>
  <c r="BD1141" i="1"/>
  <c r="BC1141" i="1"/>
  <c r="BE1140" i="1"/>
  <c r="BD1140" i="1"/>
  <c r="BC1140" i="1"/>
  <c r="BE1139" i="1"/>
  <c r="BD1139" i="1"/>
  <c r="BC1139" i="1"/>
  <c r="BE1138" i="1"/>
  <c r="BD1138" i="1"/>
  <c r="BC1138" i="1"/>
  <c r="BE1137" i="1"/>
  <c r="BD1137" i="1"/>
  <c r="BC1137" i="1"/>
  <c r="BE1136" i="1"/>
  <c r="BD1136" i="1"/>
  <c r="BC1136" i="1"/>
  <c r="BE1135" i="1"/>
  <c r="BD1135" i="1"/>
  <c r="BC1135" i="1"/>
  <c r="BE1134" i="1"/>
  <c r="BD1134" i="1"/>
  <c r="BC1134" i="1"/>
  <c r="BE1133" i="1"/>
  <c r="BD1133" i="1"/>
  <c r="BC1133" i="1"/>
  <c r="BE1132" i="1"/>
  <c r="BD1132" i="1"/>
  <c r="BC1132" i="1"/>
  <c r="BE1131" i="1"/>
  <c r="BD1131" i="1"/>
  <c r="BC1131" i="1"/>
  <c r="BE1130" i="1"/>
  <c r="BD1130" i="1"/>
  <c r="BC1130" i="1"/>
  <c r="BE1129" i="1"/>
  <c r="BD1129" i="1"/>
  <c r="BC1129" i="1"/>
  <c r="BE1128" i="1"/>
  <c r="BD1128" i="1"/>
  <c r="BC1128" i="1"/>
  <c r="BE1127" i="1"/>
  <c r="BD1127" i="1"/>
  <c r="BC1127" i="1"/>
  <c r="BE1126" i="1"/>
  <c r="BD1126" i="1"/>
  <c r="BC1126" i="1"/>
  <c r="BE1125" i="1"/>
  <c r="BD1125" i="1"/>
  <c r="BC1125" i="1"/>
  <c r="BE1124" i="1"/>
  <c r="BD1124" i="1"/>
  <c r="BC1124" i="1"/>
  <c r="BE1123" i="1"/>
  <c r="BD1123" i="1"/>
  <c r="BC1123" i="1"/>
  <c r="BE1122" i="1"/>
  <c r="BD1122" i="1"/>
  <c r="BC1122" i="1"/>
  <c r="BE1121" i="1"/>
  <c r="BD1121" i="1"/>
  <c r="BC1121" i="1"/>
  <c r="BE1120" i="1"/>
  <c r="BD1120" i="1"/>
  <c r="BC1120" i="1"/>
  <c r="BE1119" i="1"/>
  <c r="BD1119" i="1"/>
  <c r="BC1119" i="1"/>
  <c r="BE1118" i="1"/>
  <c r="BD1118" i="1"/>
  <c r="BC1118" i="1"/>
  <c r="BE1117" i="1"/>
  <c r="BD1117" i="1"/>
  <c r="BC1117" i="1"/>
  <c r="BE1116" i="1"/>
  <c r="BD1116" i="1"/>
  <c r="BC1116" i="1"/>
  <c r="BE1115" i="1"/>
  <c r="BD1115" i="1"/>
  <c r="BC1115" i="1"/>
  <c r="BE1114" i="1"/>
  <c r="BD1114" i="1"/>
  <c r="BC1114" i="1"/>
  <c r="BE1113" i="1"/>
  <c r="BD1113" i="1"/>
  <c r="BC1113" i="1"/>
  <c r="BE1112" i="1"/>
  <c r="BD1112" i="1"/>
  <c r="BC1112" i="1"/>
  <c r="BE1111" i="1"/>
  <c r="BD1111" i="1"/>
  <c r="BC1111" i="1"/>
  <c r="BE1110" i="1"/>
  <c r="BD1110" i="1"/>
  <c r="BC1110" i="1"/>
  <c r="BE1109" i="1"/>
  <c r="BD1109" i="1"/>
  <c r="BC1109" i="1"/>
  <c r="BE1108" i="1"/>
  <c r="BD1108" i="1"/>
  <c r="BC1108" i="1"/>
  <c r="BE1107" i="1"/>
  <c r="BD1107" i="1"/>
  <c r="BC1107" i="1"/>
  <c r="BE1106" i="1"/>
  <c r="BD1106" i="1"/>
  <c r="BC1106" i="1"/>
  <c r="BE1105" i="1"/>
  <c r="BD1105" i="1"/>
  <c r="BC1105" i="1"/>
  <c r="BE1104" i="1"/>
  <c r="BD1104" i="1"/>
  <c r="BC1104" i="1"/>
  <c r="BE1103" i="1"/>
  <c r="BD1103" i="1"/>
  <c r="BC1103" i="1"/>
  <c r="BE1102" i="1"/>
  <c r="BD1102" i="1"/>
  <c r="BC1102" i="1"/>
  <c r="BE1101" i="1"/>
  <c r="BD1101" i="1"/>
  <c r="BC1101" i="1"/>
  <c r="BE1100" i="1"/>
  <c r="BD1100" i="1"/>
  <c r="BC1100" i="1"/>
  <c r="BE1059" i="1"/>
  <c r="BD1059" i="1"/>
  <c r="BC1059" i="1"/>
  <c r="BE1058" i="1"/>
  <c r="BD1058" i="1"/>
  <c r="BC1058" i="1"/>
  <c r="BE1057" i="1"/>
  <c r="BD1057" i="1"/>
  <c r="BC1057" i="1"/>
  <c r="BE1056" i="1"/>
  <c r="BD1056" i="1"/>
  <c r="BC1056" i="1"/>
  <c r="BE1055" i="1"/>
  <c r="BD1055" i="1"/>
  <c r="BC1055" i="1"/>
  <c r="BE1054" i="1"/>
  <c r="BD1054" i="1"/>
  <c r="BC1054" i="1"/>
  <c r="BE1053" i="1"/>
  <c r="BD1053" i="1"/>
  <c r="BC1053" i="1"/>
  <c r="BE1052" i="1"/>
  <c r="BD1052" i="1"/>
  <c r="BC1052" i="1"/>
  <c r="BE1051" i="1"/>
  <c r="BD1051" i="1"/>
  <c r="BC1051" i="1"/>
  <c r="BE1050" i="1"/>
  <c r="BD1050" i="1"/>
  <c r="BC1050" i="1"/>
  <c r="BE1049" i="1"/>
  <c r="BD1049" i="1"/>
  <c r="BC1049" i="1"/>
  <c r="BE1048" i="1"/>
  <c r="BD1048" i="1"/>
  <c r="BC1048" i="1"/>
  <c r="BE1047" i="1"/>
  <c r="BD1047" i="1"/>
  <c r="BC1047" i="1"/>
  <c r="BE1046" i="1"/>
  <c r="BD1046" i="1"/>
  <c r="BC1046" i="1"/>
  <c r="BE1045" i="1"/>
  <c r="BD1045" i="1"/>
  <c r="BC1045" i="1"/>
  <c r="BE1044" i="1"/>
  <c r="BD1044" i="1"/>
  <c r="BC1044" i="1"/>
  <c r="BE1043" i="1"/>
  <c r="BD1043" i="1"/>
  <c r="BC1043" i="1"/>
  <c r="BE1042" i="1"/>
  <c r="BD1042" i="1"/>
  <c r="BC1042" i="1"/>
  <c r="BE1041" i="1"/>
  <c r="BD1041" i="1"/>
  <c r="BC1041" i="1"/>
  <c r="BE1017" i="1"/>
  <c r="BD1017" i="1"/>
  <c r="BC1017" i="1"/>
  <c r="BE1016" i="1"/>
  <c r="BD1016" i="1"/>
  <c r="BC1016" i="1"/>
  <c r="BE1015" i="1"/>
  <c r="BD1015" i="1"/>
  <c r="BC1015" i="1"/>
  <c r="BE1014" i="1"/>
  <c r="BD1014" i="1"/>
  <c r="BC1014" i="1"/>
  <c r="BE1013" i="1"/>
  <c r="BD1013" i="1"/>
  <c r="BC1013" i="1"/>
  <c r="BE1012" i="1"/>
  <c r="BD1012" i="1"/>
  <c r="BC1012" i="1"/>
  <c r="BE1011" i="1"/>
  <c r="BD1011" i="1"/>
  <c r="BC1011" i="1"/>
  <c r="BE1010" i="1"/>
  <c r="BD1010" i="1"/>
  <c r="BC1010" i="1"/>
  <c r="BE1009" i="1"/>
  <c r="BD1009" i="1"/>
  <c r="BC1009" i="1"/>
  <c r="BE1008" i="1"/>
  <c r="BD1008" i="1"/>
  <c r="BC1008" i="1"/>
  <c r="BE1007" i="1"/>
  <c r="BD1007" i="1"/>
  <c r="BC1007" i="1"/>
  <c r="BE1006" i="1"/>
  <c r="BD1006" i="1"/>
  <c r="BC1006" i="1"/>
  <c r="BE1005" i="1"/>
  <c r="BD1005" i="1"/>
  <c r="BC1005" i="1"/>
  <c r="BE1004" i="1"/>
  <c r="BD1004" i="1"/>
  <c r="BC1004" i="1"/>
  <c r="BE1003" i="1"/>
  <c r="BD1003" i="1"/>
  <c r="BC1003" i="1"/>
  <c r="BE1002" i="1"/>
  <c r="BD1002" i="1"/>
  <c r="BC1002" i="1"/>
  <c r="BE1001" i="1"/>
  <c r="BD1001" i="1"/>
  <c r="BC1001" i="1"/>
  <c r="BE1000" i="1"/>
  <c r="BD1000" i="1"/>
  <c r="BC1000" i="1"/>
  <c r="BE999" i="1"/>
  <c r="BD999" i="1"/>
  <c r="BC999" i="1"/>
  <c r="BE998" i="1"/>
  <c r="BD998" i="1"/>
  <c r="BC998" i="1"/>
  <c r="BE997" i="1"/>
  <c r="BD997" i="1"/>
  <c r="BC997" i="1"/>
  <c r="BE996" i="1"/>
  <c r="BD996" i="1"/>
  <c r="BC996" i="1"/>
  <c r="BE995" i="1"/>
  <c r="BD995" i="1"/>
  <c r="BC995" i="1"/>
  <c r="BE994" i="1"/>
  <c r="BD994" i="1"/>
  <c r="BC994" i="1"/>
  <c r="BE993" i="1"/>
  <c r="BD993" i="1"/>
  <c r="BC993" i="1"/>
  <c r="BE992" i="1"/>
  <c r="BD992" i="1"/>
  <c r="BC992" i="1"/>
  <c r="BE991" i="1"/>
  <c r="BD991" i="1"/>
  <c r="BC991" i="1"/>
  <c r="BE990" i="1"/>
  <c r="BD990" i="1"/>
  <c r="BC990" i="1"/>
  <c r="BE989" i="1"/>
  <c r="BD989" i="1"/>
  <c r="BC989" i="1"/>
  <c r="BE988" i="1"/>
  <c r="BD988" i="1"/>
  <c r="BC988" i="1"/>
  <c r="BE987" i="1"/>
  <c r="BD987" i="1"/>
  <c r="BC987" i="1"/>
  <c r="BE986" i="1"/>
  <c r="BD986" i="1"/>
  <c r="BC986" i="1"/>
  <c r="BE985" i="1"/>
  <c r="BD985" i="1"/>
  <c r="BC985" i="1"/>
  <c r="BE984" i="1"/>
  <c r="BD984" i="1"/>
  <c r="BC984" i="1"/>
  <c r="BE976" i="1"/>
  <c r="BD976" i="1"/>
  <c r="BC976" i="1"/>
  <c r="BE975" i="1"/>
  <c r="BD975" i="1"/>
  <c r="BC975" i="1"/>
  <c r="BE974" i="1"/>
  <c r="BD974" i="1"/>
  <c r="BC974" i="1"/>
  <c r="BE973" i="1"/>
  <c r="BD973" i="1"/>
  <c r="BC973" i="1"/>
  <c r="BE972" i="1"/>
  <c r="BD972" i="1"/>
  <c r="BC972" i="1"/>
  <c r="BE971" i="1"/>
  <c r="BD971" i="1"/>
  <c r="BC971" i="1"/>
  <c r="BE970" i="1"/>
  <c r="BD970" i="1"/>
  <c r="BC970" i="1"/>
  <c r="BE969" i="1"/>
  <c r="BD969" i="1"/>
  <c r="BC969" i="1"/>
  <c r="BE957" i="1"/>
  <c r="BD957" i="1"/>
  <c r="BC957" i="1"/>
  <c r="BE956" i="1"/>
  <c r="BD956" i="1"/>
  <c r="BC956" i="1"/>
  <c r="BE955" i="1"/>
  <c r="BD955" i="1"/>
  <c r="BC955" i="1"/>
  <c r="BE954" i="1"/>
  <c r="BD954" i="1"/>
  <c r="BC954" i="1"/>
  <c r="BE938" i="1"/>
  <c r="BD938" i="1"/>
  <c r="BC938" i="1"/>
  <c r="BE937" i="1"/>
  <c r="BD937" i="1"/>
  <c r="BC937" i="1"/>
  <c r="BE936" i="1"/>
  <c r="BD936" i="1"/>
  <c r="BC936" i="1"/>
  <c r="BE935" i="1"/>
  <c r="BD935" i="1"/>
  <c r="BC935" i="1"/>
  <c r="BE934" i="1"/>
  <c r="BD934" i="1"/>
  <c r="BC934" i="1"/>
  <c r="BE933" i="1"/>
  <c r="BD933" i="1"/>
  <c r="BC933" i="1"/>
  <c r="BE932" i="1"/>
  <c r="BD932" i="1"/>
  <c r="BC932" i="1"/>
  <c r="BE931" i="1"/>
  <c r="BD931" i="1"/>
  <c r="BC931" i="1"/>
  <c r="BE930" i="1"/>
  <c r="BD930" i="1"/>
  <c r="BC930" i="1"/>
  <c r="BE929" i="1"/>
  <c r="BD929" i="1"/>
  <c r="BC929" i="1"/>
  <c r="BE928" i="1"/>
  <c r="BD928" i="1"/>
  <c r="BC928" i="1"/>
  <c r="BE927" i="1"/>
  <c r="BD927" i="1"/>
  <c r="BC927" i="1"/>
  <c r="BE926" i="1"/>
  <c r="BD926" i="1"/>
  <c r="BC926" i="1"/>
  <c r="BE925" i="1"/>
  <c r="BD925" i="1"/>
  <c r="BC925" i="1"/>
  <c r="BE924" i="1"/>
  <c r="BD924" i="1"/>
  <c r="BC924" i="1"/>
  <c r="BE923" i="1"/>
  <c r="BD923" i="1"/>
  <c r="BC923" i="1"/>
  <c r="BE922" i="1"/>
  <c r="BD922" i="1"/>
  <c r="BC922" i="1"/>
  <c r="BE921" i="1"/>
  <c r="BD921" i="1"/>
  <c r="BC921" i="1"/>
  <c r="BE920" i="1"/>
  <c r="BD920" i="1"/>
  <c r="BC920" i="1"/>
  <c r="BE919" i="1"/>
  <c r="BD919" i="1"/>
  <c r="BC919" i="1"/>
  <c r="BE918" i="1"/>
  <c r="BD918" i="1"/>
  <c r="BC918" i="1"/>
  <c r="BE917" i="1"/>
  <c r="BD917" i="1"/>
  <c r="BC917" i="1"/>
  <c r="BE916" i="1"/>
  <c r="BD916" i="1"/>
  <c r="BC916" i="1"/>
  <c r="BE915" i="1"/>
  <c r="BD915" i="1"/>
  <c r="BC915" i="1"/>
  <c r="BE914" i="1"/>
  <c r="BD914" i="1"/>
  <c r="BC914" i="1"/>
  <c r="BE913" i="1"/>
  <c r="BD913" i="1"/>
  <c r="BC913" i="1"/>
  <c r="BE912" i="1"/>
  <c r="BD912" i="1"/>
  <c r="BC912" i="1"/>
  <c r="BE911" i="1"/>
  <c r="BD911" i="1"/>
  <c r="BC911" i="1"/>
  <c r="BE910" i="1"/>
  <c r="BD910" i="1"/>
  <c r="BC910" i="1"/>
  <c r="BE909" i="1"/>
  <c r="BD909" i="1"/>
  <c r="BC909" i="1"/>
  <c r="BE908" i="1"/>
  <c r="BD908" i="1"/>
  <c r="BC908" i="1"/>
  <c r="BE907" i="1"/>
  <c r="BD907" i="1"/>
  <c r="BC907" i="1"/>
  <c r="BE906" i="1"/>
  <c r="BD906" i="1"/>
  <c r="BC906" i="1"/>
  <c r="BE905" i="1"/>
  <c r="BD905" i="1"/>
  <c r="BC905" i="1"/>
  <c r="BE904" i="1"/>
  <c r="BD904" i="1"/>
  <c r="BC904" i="1"/>
  <c r="BE903" i="1"/>
  <c r="BD903" i="1"/>
  <c r="BC903" i="1"/>
  <c r="BE902" i="1"/>
  <c r="BD902" i="1"/>
  <c r="BC902" i="1"/>
  <c r="BE901" i="1"/>
  <c r="BD901" i="1"/>
  <c r="BC901" i="1"/>
  <c r="BE900" i="1"/>
  <c r="BD900" i="1"/>
  <c r="BC900" i="1"/>
  <c r="BE899" i="1"/>
  <c r="BD899" i="1"/>
  <c r="BC899" i="1"/>
  <c r="BE898" i="1"/>
  <c r="BD898" i="1"/>
  <c r="BC898" i="1"/>
  <c r="BE897" i="1"/>
  <c r="BD897" i="1"/>
  <c r="BC897" i="1"/>
  <c r="BE896" i="1"/>
  <c r="BD896" i="1"/>
  <c r="BC896" i="1"/>
  <c r="BE895" i="1"/>
  <c r="BD895" i="1"/>
  <c r="BC895" i="1"/>
  <c r="BE894" i="1"/>
  <c r="BD894" i="1"/>
  <c r="BC894" i="1"/>
  <c r="BE893" i="1"/>
  <c r="BD893" i="1"/>
  <c r="BC893" i="1"/>
  <c r="BE892" i="1"/>
  <c r="BD892" i="1"/>
  <c r="BC892" i="1"/>
  <c r="BE891" i="1"/>
  <c r="BD891" i="1"/>
  <c r="BC891" i="1"/>
  <c r="BE890" i="1"/>
  <c r="BD890" i="1"/>
  <c r="BC890" i="1"/>
  <c r="BE889" i="1"/>
  <c r="BD889" i="1"/>
  <c r="BC889" i="1"/>
  <c r="BE876" i="1"/>
  <c r="BD876" i="1"/>
  <c r="BC876" i="1"/>
  <c r="BE875" i="1"/>
  <c r="BD875" i="1"/>
  <c r="BC875" i="1"/>
  <c r="BE874" i="1"/>
  <c r="BD874" i="1"/>
  <c r="BC874" i="1"/>
  <c r="BE873" i="1"/>
  <c r="BD873" i="1"/>
  <c r="BC873" i="1"/>
  <c r="BE872" i="1"/>
  <c r="BD872" i="1"/>
  <c r="BC872" i="1"/>
  <c r="BE871" i="1"/>
  <c r="BD871" i="1"/>
  <c r="BC871" i="1"/>
  <c r="BE870" i="1"/>
  <c r="BD870" i="1"/>
  <c r="BC870" i="1"/>
  <c r="BE869" i="1"/>
  <c r="BD869" i="1"/>
  <c r="BC869" i="1"/>
  <c r="BE868" i="1"/>
  <c r="BD868" i="1"/>
  <c r="BC868" i="1"/>
  <c r="BE867" i="1"/>
  <c r="BD867" i="1"/>
  <c r="BC867" i="1"/>
  <c r="BE866" i="1"/>
  <c r="BD866" i="1"/>
  <c r="BC866" i="1"/>
  <c r="BE865" i="1"/>
  <c r="BD865" i="1"/>
  <c r="BC865" i="1"/>
  <c r="BE864" i="1"/>
  <c r="BD864" i="1"/>
  <c r="BC864" i="1"/>
  <c r="BE863" i="1"/>
  <c r="BD863" i="1"/>
  <c r="BC863" i="1"/>
  <c r="BE862" i="1"/>
  <c r="BD862" i="1"/>
  <c r="BC862" i="1"/>
  <c r="BE861" i="1"/>
  <c r="BD861" i="1"/>
  <c r="BC861" i="1"/>
  <c r="BE860" i="1"/>
  <c r="BD860" i="1"/>
  <c r="BC860" i="1"/>
  <c r="BE859" i="1"/>
  <c r="BD859" i="1"/>
  <c r="BC859" i="1"/>
  <c r="BE858" i="1"/>
  <c r="BD858" i="1"/>
  <c r="BC858" i="1"/>
  <c r="BE857" i="1"/>
  <c r="BD857" i="1"/>
  <c r="BC857" i="1"/>
  <c r="BE856" i="1"/>
  <c r="BD856" i="1"/>
  <c r="BC856" i="1"/>
  <c r="BE855" i="1"/>
  <c r="BD855" i="1"/>
  <c r="BC855" i="1"/>
  <c r="BE854" i="1"/>
  <c r="BD854" i="1"/>
  <c r="BC854" i="1"/>
  <c r="BE853" i="1"/>
  <c r="BD853" i="1"/>
  <c r="BC853" i="1"/>
  <c r="BE852" i="1"/>
  <c r="BD852" i="1"/>
  <c r="BC852" i="1"/>
  <c r="BE851" i="1"/>
  <c r="BD851" i="1"/>
  <c r="BC851" i="1"/>
  <c r="BE850" i="1"/>
  <c r="BD850" i="1"/>
  <c r="BC850" i="1"/>
  <c r="BE849" i="1"/>
  <c r="BD849" i="1"/>
  <c r="BC849" i="1"/>
  <c r="BE848" i="1"/>
  <c r="BD848" i="1"/>
  <c r="BC848" i="1"/>
  <c r="BE847" i="1"/>
  <c r="BD847" i="1"/>
  <c r="BC847" i="1"/>
  <c r="BE846" i="1"/>
  <c r="BD846" i="1"/>
  <c r="BC846" i="1"/>
  <c r="BE845" i="1"/>
  <c r="BD845" i="1"/>
  <c r="BC845" i="1"/>
  <c r="BE844" i="1"/>
  <c r="BD844" i="1"/>
  <c r="BC844" i="1"/>
  <c r="BE843" i="1"/>
  <c r="BD843" i="1"/>
  <c r="BE842" i="1"/>
  <c r="BD842" i="1"/>
  <c r="BE841" i="1"/>
  <c r="BD841" i="1"/>
  <c r="BE840" i="1"/>
  <c r="BD840" i="1"/>
  <c r="BE839" i="1"/>
  <c r="BD839" i="1"/>
  <c r="BC839" i="1"/>
  <c r="BE838" i="1"/>
  <c r="BD838" i="1"/>
  <c r="BC838" i="1"/>
  <c r="BE837" i="1"/>
  <c r="BD837" i="1"/>
  <c r="BC837" i="1"/>
  <c r="BE836" i="1"/>
  <c r="BD836" i="1"/>
  <c r="BC836" i="1"/>
  <c r="BE835" i="1"/>
  <c r="BD835" i="1"/>
  <c r="BC835" i="1"/>
  <c r="BE834" i="1"/>
  <c r="BD834" i="1"/>
  <c r="BC834" i="1"/>
  <c r="BE833" i="1"/>
  <c r="BD833" i="1"/>
  <c r="BC833" i="1"/>
  <c r="BE832" i="1"/>
  <c r="BD832" i="1"/>
  <c r="BC832" i="1"/>
  <c r="BE831" i="1"/>
  <c r="BD831" i="1"/>
  <c r="BC831" i="1"/>
  <c r="BE830" i="1"/>
  <c r="BD830" i="1"/>
  <c r="BC830" i="1"/>
  <c r="BE829" i="1"/>
  <c r="BD829" i="1"/>
  <c r="BC829" i="1"/>
  <c r="BE828" i="1"/>
  <c r="BD828" i="1"/>
  <c r="BC828" i="1"/>
  <c r="BE827" i="1"/>
  <c r="BD827" i="1"/>
  <c r="BC827" i="1"/>
  <c r="BE826" i="1"/>
  <c r="BD826" i="1"/>
  <c r="BC826" i="1"/>
  <c r="BE825" i="1"/>
  <c r="BD825" i="1"/>
  <c r="BC825" i="1"/>
  <c r="BE824" i="1"/>
  <c r="BD824" i="1"/>
  <c r="BC824" i="1"/>
  <c r="BE823" i="1"/>
  <c r="BD823" i="1"/>
  <c r="BC823" i="1"/>
  <c r="BE822" i="1"/>
  <c r="BD822" i="1"/>
  <c r="BC822" i="1"/>
  <c r="BE821" i="1"/>
  <c r="BD821" i="1"/>
  <c r="BC821" i="1"/>
  <c r="BE820" i="1"/>
  <c r="BD820" i="1"/>
  <c r="BC820" i="1"/>
  <c r="BE819" i="1"/>
  <c r="BD819" i="1"/>
  <c r="BC819" i="1"/>
  <c r="BE818" i="1"/>
  <c r="BD818" i="1"/>
  <c r="BC818" i="1"/>
  <c r="BE817" i="1"/>
  <c r="BD817" i="1"/>
  <c r="BC817" i="1"/>
  <c r="BE816" i="1"/>
  <c r="BD816" i="1"/>
  <c r="BE815" i="1"/>
  <c r="BD815" i="1"/>
  <c r="BC815" i="1"/>
  <c r="BE773" i="1"/>
  <c r="BD773" i="1"/>
  <c r="BC773" i="1"/>
  <c r="BE813" i="1"/>
  <c r="BD813" i="1"/>
  <c r="BE812" i="1"/>
  <c r="BD812" i="1"/>
  <c r="BC812" i="1"/>
  <c r="BE811" i="1"/>
  <c r="BD811" i="1"/>
  <c r="BE810" i="1"/>
  <c r="BD810" i="1"/>
  <c r="BE809" i="1"/>
  <c r="BD809" i="1"/>
  <c r="BE808" i="1"/>
  <c r="BD808" i="1"/>
  <c r="BC808" i="1"/>
  <c r="BE772" i="1"/>
  <c r="BD772" i="1"/>
  <c r="BC772" i="1"/>
  <c r="BE803" i="1"/>
  <c r="BD803" i="1"/>
  <c r="BC803" i="1"/>
  <c r="BE802" i="1"/>
  <c r="BD802" i="1"/>
  <c r="BC802" i="1"/>
  <c r="BE801" i="1"/>
  <c r="BD801" i="1"/>
  <c r="BC801" i="1"/>
  <c r="BE800" i="1"/>
  <c r="BD800" i="1"/>
  <c r="BC800" i="1"/>
  <c r="BE799" i="1"/>
  <c r="BD799" i="1"/>
  <c r="BC799" i="1"/>
  <c r="BE798" i="1"/>
  <c r="BD798" i="1"/>
  <c r="BC798" i="1"/>
  <c r="BE793" i="1"/>
  <c r="BD793" i="1"/>
  <c r="BC793" i="1"/>
  <c r="BE765" i="1"/>
  <c r="BD765" i="1"/>
  <c r="BC765" i="1"/>
  <c r="BE764" i="1"/>
  <c r="BD764" i="1"/>
  <c r="BC764" i="1"/>
  <c r="BE763" i="1"/>
  <c r="BD763" i="1"/>
  <c r="BC763" i="1"/>
  <c r="BE762" i="1"/>
  <c r="BD762" i="1"/>
  <c r="BC762" i="1"/>
  <c r="BE761" i="1"/>
  <c r="BD761" i="1"/>
  <c r="BC761" i="1"/>
  <c r="BE760" i="1"/>
  <c r="BD760" i="1"/>
  <c r="BC760" i="1"/>
  <c r="BE759" i="1"/>
  <c r="BD759" i="1"/>
  <c r="BC759" i="1"/>
  <c r="BE758" i="1"/>
  <c r="BD758" i="1"/>
  <c r="BC758" i="1"/>
  <c r="BE757" i="1"/>
  <c r="BD757" i="1"/>
  <c r="BC757" i="1"/>
  <c r="BE756" i="1"/>
  <c r="BD756" i="1"/>
  <c r="BC756" i="1"/>
  <c r="BE755" i="1"/>
  <c r="BD755" i="1"/>
  <c r="BC755" i="1"/>
  <c r="BE754" i="1"/>
  <c r="BD754" i="1"/>
  <c r="BC754" i="1"/>
  <c r="BE753" i="1"/>
  <c r="BD753" i="1"/>
  <c r="BC753" i="1"/>
  <c r="BE752" i="1"/>
  <c r="BD752" i="1"/>
  <c r="BC752" i="1"/>
  <c r="BE751" i="1"/>
  <c r="BD751" i="1"/>
  <c r="BC751" i="1"/>
  <c r="BE750" i="1"/>
  <c r="BD750" i="1"/>
  <c r="BC750" i="1"/>
  <c r="BE749" i="1"/>
  <c r="BD749" i="1"/>
  <c r="BC749" i="1"/>
  <c r="BE748" i="1"/>
  <c r="BD748" i="1"/>
  <c r="BC748" i="1"/>
  <c r="BE747" i="1"/>
  <c r="BD747" i="1"/>
  <c r="BC747" i="1"/>
  <c r="BE746" i="1"/>
  <c r="BD746" i="1"/>
  <c r="BC746" i="1"/>
  <c r="BE745" i="1"/>
  <c r="BD745" i="1"/>
  <c r="BC745" i="1"/>
  <c r="BE744" i="1"/>
  <c r="BD744" i="1"/>
  <c r="BC744" i="1"/>
  <c r="BE743" i="1"/>
  <c r="BD743" i="1"/>
  <c r="BC743" i="1"/>
  <c r="BE742" i="1"/>
  <c r="BD742" i="1"/>
  <c r="BC742" i="1"/>
  <c r="BE741" i="1"/>
  <c r="BD741" i="1"/>
  <c r="BC741" i="1"/>
  <c r="BE740" i="1"/>
  <c r="BD740" i="1"/>
  <c r="BC740" i="1"/>
  <c r="BE739" i="1"/>
  <c r="BD739" i="1"/>
  <c r="BC739" i="1"/>
  <c r="BE738" i="1"/>
  <c r="BD738" i="1"/>
  <c r="BC738" i="1"/>
  <c r="BE737" i="1"/>
  <c r="BD737" i="1"/>
  <c r="BC737" i="1"/>
  <c r="BE736" i="1"/>
  <c r="BD736" i="1"/>
  <c r="BC736" i="1"/>
  <c r="BE735" i="1"/>
  <c r="BD735" i="1"/>
  <c r="BC735" i="1"/>
  <c r="BE734" i="1"/>
  <c r="BD734" i="1"/>
  <c r="BC734" i="1"/>
  <c r="BE733" i="1"/>
  <c r="BD733" i="1"/>
  <c r="BC733" i="1"/>
  <c r="BE732" i="1"/>
  <c r="BD732" i="1"/>
  <c r="BC732" i="1"/>
  <c r="BE731" i="1"/>
  <c r="BD731" i="1"/>
  <c r="BC731" i="1"/>
  <c r="BE730" i="1"/>
  <c r="BD730" i="1"/>
  <c r="BC730" i="1"/>
  <c r="BE729" i="1"/>
  <c r="BD729" i="1"/>
  <c r="BC729" i="1"/>
  <c r="BE728" i="1"/>
  <c r="BD728" i="1"/>
  <c r="BC728" i="1"/>
  <c r="BE727" i="1"/>
  <c r="BD727" i="1"/>
  <c r="BC727" i="1"/>
  <c r="BE726" i="1"/>
  <c r="BD726" i="1"/>
  <c r="BC726" i="1"/>
  <c r="BE725" i="1"/>
  <c r="BD725" i="1"/>
  <c r="BC725" i="1"/>
  <c r="BE724" i="1"/>
  <c r="BD724" i="1"/>
  <c r="BC724" i="1"/>
  <c r="BE723" i="1"/>
  <c r="BD723" i="1"/>
  <c r="BC723" i="1"/>
  <c r="BE722" i="1"/>
  <c r="BD722" i="1"/>
  <c r="BC722" i="1"/>
  <c r="BE721" i="1"/>
  <c r="BD721" i="1"/>
  <c r="BC721" i="1"/>
  <c r="BE720" i="1"/>
  <c r="BD720" i="1"/>
  <c r="BE719" i="1"/>
  <c r="BD719" i="1"/>
  <c r="BE718" i="1"/>
  <c r="BD718" i="1"/>
  <c r="BE717" i="1"/>
  <c r="BD717" i="1"/>
  <c r="BE703" i="1"/>
  <c r="BD703" i="1"/>
  <c r="BC703" i="1"/>
  <c r="BE702" i="1"/>
  <c r="BD702" i="1"/>
  <c r="BC702" i="1"/>
  <c r="BE701" i="1"/>
  <c r="BD701" i="1"/>
  <c r="BC701" i="1"/>
  <c r="BE700" i="1"/>
  <c r="BD700" i="1"/>
  <c r="BC700" i="1"/>
  <c r="BE699" i="1"/>
  <c r="BD699" i="1"/>
  <c r="BC699" i="1"/>
  <c r="BE698" i="1"/>
  <c r="BD698" i="1"/>
  <c r="BC698" i="1"/>
  <c r="BE697" i="1"/>
  <c r="BD697" i="1"/>
  <c r="BC697" i="1"/>
  <c r="BE696" i="1"/>
  <c r="BD696" i="1"/>
  <c r="BC696" i="1"/>
  <c r="BE695" i="1"/>
  <c r="BD695" i="1"/>
  <c r="BC695" i="1"/>
  <c r="BE694" i="1"/>
  <c r="BD694" i="1"/>
  <c r="BC694" i="1"/>
  <c r="BE693" i="1"/>
  <c r="BD693" i="1"/>
  <c r="BC693" i="1"/>
  <c r="BE692" i="1"/>
  <c r="BD692" i="1"/>
  <c r="BC692" i="1"/>
  <c r="BE691" i="1"/>
  <c r="BD691" i="1"/>
  <c r="BC691" i="1"/>
  <c r="BE690" i="1"/>
  <c r="BD690" i="1"/>
  <c r="BC690" i="1"/>
  <c r="BE689" i="1"/>
  <c r="BD689" i="1"/>
  <c r="BC689" i="1"/>
  <c r="BE688" i="1"/>
  <c r="BD688" i="1"/>
  <c r="BC688" i="1"/>
  <c r="BE687" i="1"/>
  <c r="BD687" i="1"/>
  <c r="BC687" i="1"/>
  <c r="BE686" i="1"/>
  <c r="BD686" i="1"/>
  <c r="BC686" i="1"/>
  <c r="BE685" i="1"/>
  <c r="BD685" i="1"/>
  <c r="BC685" i="1"/>
  <c r="BE684" i="1"/>
  <c r="BD684" i="1"/>
  <c r="BC684" i="1"/>
  <c r="BE683" i="1"/>
  <c r="BD683" i="1"/>
  <c r="BC683" i="1"/>
  <c r="BE682" i="1"/>
  <c r="BD682" i="1"/>
  <c r="BC682" i="1"/>
  <c r="BE681" i="1"/>
  <c r="BD681" i="1"/>
  <c r="BE680" i="1"/>
  <c r="BD680" i="1"/>
  <c r="BC680" i="1"/>
  <c r="BE679" i="1"/>
  <c r="BD679" i="1"/>
  <c r="BC679" i="1"/>
  <c r="BE678" i="1"/>
  <c r="BD678" i="1"/>
  <c r="BC678" i="1"/>
  <c r="BE677" i="1"/>
  <c r="BD677" i="1"/>
  <c r="BC677" i="1"/>
  <c r="BE676" i="1"/>
  <c r="BD676" i="1"/>
  <c r="BC676" i="1"/>
  <c r="BE675" i="1"/>
  <c r="BD675" i="1"/>
  <c r="BC675" i="1"/>
  <c r="BE673" i="1"/>
  <c r="BD673" i="1"/>
  <c r="BC673" i="1"/>
  <c r="BE672" i="1"/>
  <c r="BD672" i="1"/>
  <c r="BC672" i="1"/>
  <c r="BE671" i="1"/>
  <c r="BD671" i="1"/>
  <c r="BC671" i="1"/>
  <c r="BE670" i="1"/>
  <c r="BD670" i="1"/>
  <c r="BC670" i="1"/>
  <c r="BE669" i="1"/>
  <c r="BD669" i="1"/>
  <c r="BC669" i="1"/>
  <c r="BE668" i="1"/>
  <c r="BD668" i="1"/>
  <c r="BC668" i="1"/>
  <c r="BE667" i="1"/>
  <c r="BD667" i="1"/>
  <c r="BC667" i="1"/>
  <c r="BE666" i="1"/>
  <c r="BD666" i="1"/>
  <c r="BC666" i="1"/>
  <c r="BE665" i="1"/>
  <c r="BD665" i="1"/>
  <c r="BC665" i="1"/>
  <c r="BE664" i="1"/>
  <c r="BD664" i="1"/>
  <c r="BC664" i="1"/>
  <c r="BE663" i="1"/>
  <c r="BD663" i="1"/>
  <c r="BC663" i="1"/>
  <c r="BE662" i="1"/>
  <c r="BD662" i="1"/>
  <c r="BC662" i="1"/>
  <c r="BE661" i="1"/>
  <c r="BD661" i="1"/>
  <c r="BC661" i="1"/>
  <c r="BE660" i="1"/>
  <c r="BD660" i="1"/>
  <c r="BC660" i="1"/>
  <c r="BE659" i="1"/>
  <c r="BD659" i="1"/>
  <c r="BC659" i="1"/>
  <c r="BE658" i="1"/>
  <c r="BD658" i="1"/>
  <c r="BC658" i="1"/>
  <c r="BE657" i="1"/>
  <c r="BD657" i="1"/>
  <c r="BC657" i="1"/>
  <c r="BE656" i="1"/>
  <c r="BD656" i="1"/>
  <c r="BC656" i="1"/>
  <c r="BE655" i="1"/>
  <c r="BD655" i="1"/>
  <c r="BC655" i="1"/>
  <c r="BE654" i="1"/>
  <c r="BD654" i="1"/>
  <c r="BC654" i="1"/>
  <c r="BE653" i="1"/>
  <c r="BD653" i="1"/>
  <c r="BC653" i="1"/>
  <c r="BE652" i="1"/>
  <c r="BD652" i="1"/>
  <c r="BC652" i="1"/>
  <c r="BE651" i="1"/>
  <c r="BD651" i="1"/>
  <c r="BC651" i="1"/>
  <c r="BE650" i="1"/>
  <c r="BD650" i="1"/>
  <c r="BC650" i="1"/>
  <c r="BE649" i="1"/>
  <c r="BD649" i="1"/>
  <c r="BC649" i="1"/>
  <c r="BE648" i="1"/>
  <c r="BD648" i="1"/>
  <c r="BC648" i="1"/>
  <c r="BE647" i="1"/>
  <c r="BD647" i="1"/>
  <c r="BC647" i="1"/>
  <c r="BE646" i="1"/>
  <c r="BD646" i="1"/>
  <c r="BC646" i="1"/>
  <c r="BE645" i="1"/>
  <c r="BD645" i="1"/>
  <c r="BC645" i="1"/>
  <c r="BE644" i="1"/>
  <c r="BD644" i="1"/>
  <c r="BC644" i="1"/>
  <c r="BE643" i="1"/>
  <c r="BD643" i="1"/>
  <c r="BC643" i="1"/>
  <c r="BE642" i="1"/>
  <c r="BD642" i="1"/>
  <c r="BC642" i="1"/>
  <c r="BE641" i="1"/>
  <c r="BD641" i="1"/>
  <c r="BC641" i="1"/>
  <c r="BE640" i="1"/>
  <c r="BD640" i="1"/>
  <c r="BC640" i="1"/>
  <c r="BE639" i="1"/>
  <c r="BD639" i="1"/>
  <c r="BC639" i="1"/>
  <c r="BE638" i="1"/>
  <c r="BD638" i="1"/>
  <c r="BC638" i="1"/>
  <c r="BE637" i="1"/>
  <c r="BD637" i="1"/>
  <c r="BC637" i="1"/>
  <c r="BE636" i="1"/>
  <c r="BD636" i="1"/>
  <c r="BC636" i="1"/>
  <c r="BE635" i="1"/>
  <c r="BD635" i="1"/>
  <c r="BC635" i="1"/>
  <c r="BE634" i="1"/>
  <c r="BD634" i="1"/>
  <c r="BC634" i="1"/>
  <c r="BE633" i="1"/>
  <c r="BD633" i="1"/>
  <c r="BC633" i="1"/>
  <c r="BE632" i="1"/>
  <c r="BD632" i="1"/>
  <c r="BC632" i="1"/>
  <c r="BE631" i="1"/>
  <c r="BD631" i="1"/>
  <c r="BC631" i="1"/>
  <c r="BE630" i="1"/>
  <c r="BD630" i="1"/>
  <c r="BC630" i="1"/>
  <c r="BE629" i="1"/>
  <c r="BD629" i="1"/>
  <c r="BC629" i="1"/>
  <c r="BE628" i="1"/>
  <c r="BD628" i="1"/>
  <c r="BC628" i="1"/>
  <c r="BE627" i="1"/>
  <c r="BD627" i="1"/>
  <c r="BC627" i="1"/>
  <c r="BE623" i="1"/>
  <c r="BD623" i="1"/>
  <c r="BC623" i="1"/>
  <c r="BE622" i="1"/>
  <c r="BD622" i="1"/>
  <c r="BC622" i="1"/>
  <c r="BE620" i="1"/>
  <c r="BD620" i="1"/>
  <c r="BC620" i="1"/>
  <c r="BE619" i="1"/>
  <c r="BD619" i="1"/>
  <c r="BC619" i="1"/>
  <c r="BE618" i="1"/>
  <c r="BD618" i="1"/>
  <c r="BC618" i="1"/>
  <c r="BE617" i="1"/>
  <c r="BD617" i="1"/>
  <c r="BC617" i="1"/>
  <c r="BE616" i="1"/>
  <c r="BD616" i="1"/>
  <c r="BC616" i="1"/>
  <c r="BE615" i="1"/>
  <c r="BD615" i="1"/>
  <c r="BC615" i="1"/>
  <c r="BE614" i="1"/>
  <c r="BD614" i="1"/>
  <c r="BC614" i="1"/>
  <c r="BE613" i="1"/>
  <c r="BD613" i="1"/>
  <c r="BC613" i="1"/>
  <c r="BE612" i="1"/>
  <c r="BD612" i="1"/>
  <c r="BC612" i="1"/>
  <c r="BE611" i="1"/>
  <c r="BD611" i="1"/>
  <c r="BC611" i="1"/>
  <c r="BE610" i="1"/>
  <c r="BD610" i="1"/>
  <c r="BC610" i="1"/>
  <c r="BE609" i="1"/>
  <c r="BD609" i="1"/>
  <c r="BC609" i="1"/>
  <c r="BE608" i="1"/>
  <c r="BD608" i="1"/>
  <c r="BC608" i="1"/>
  <c r="BE607" i="1"/>
  <c r="BD607" i="1"/>
  <c r="BC607" i="1"/>
  <c r="BE606" i="1"/>
  <c r="BD606" i="1"/>
  <c r="BC606" i="1"/>
  <c r="BE601" i="1"/>
  <c r="BD601" i="1"/>
  <c r="BC601" i="1"/>
  <c r="BE600" i="1"/>
  <c r="BD600" i="1"/>
  <c r="BC600" i="1"/>
  <c r="BE599" i="1"/>
  <c r="BD599" i="1"/>
  <c r="BC599" i="1"/>
  <c r="BE598" i="1"/>
  <c r="BD598" i="1"/>
  <c r="BC598" i="1"/>
  <c r="BE597" i="1"/>
  <c r="BD597" i="1"/>
  <c r="BC597" i="1"/>
  <c r="BE596" i="1"/>
  <c r="BD596" i="1"/>
  <c r="BC596" i="1"/>
  <c r="BE594" i="1"/>
  <c r="BD594" i="1"/>
  <c r="BC594" i="1"/>
  <c r="BE593" i="1"/>
  <c r="BD593" i="1"/>
  <c r="BC593" i="1"/>
  <c r="BE592" i="1"/>
  <c r="BD592" i="1"/>
  <c r="BC592" i="1"/>
  <c r="BE591" i="1"/>
  <c r="BD591" i="1"/>
  <c r="BC591" i="1"/>
  <c r="BE590" i="1"/>
  <c r="BD590" i="1"/>
  <c r="BC590" i="1"/>
  <c r="BE589" i="1"/>
  <c r="BD589" i="1"/>
  <c r="BC589" i="1"/>
  <c r="BE588" i="1"/>
  <c r="BD588" i="1"/>
  <c r="BC588" i="1"/>
  <c r="BE587" i="1"/>
  <c r="BD587" i="1"/>
  <c r="BC587" i="1"/>
  <c r="BE586" i="1"/>
  <c r="BD586" i="1"/>
  <c r="BC586" i="1"/>
  <c r="BE585" i="1"/>
  <c r="BD585" i="1"/>
  <c r="BC585" i="1"/>
  <c r="BE584" i="1"/>
  <c r="BD584" i="1"/>
  <c r="BC584" i="1"/>
  <c r="BE583" i="1"/>
  <c r="BD583" i="1"/>
  <c r="BC583" i="1"/>
  <c r="BE582" i="1"/>
  <c r="BD582" i="1"/>
  <c r="BC582" i="1"/>
  <c r="BE581" i="1"/>
  <c r="BD581" i="1"/>
  <c r="BC581" i="1"/>
  <c r="BE580" i="1"/>
  <c r="BD580" i="1"/>
  <c r="BC580" i="1"/>
  <c r="BE579" i="1"/>
  <c r="BD579" i="1"/>
  <c r="BC579" i="1"/>
  <c r="BE578" i="1"/>
  <c r="BD578" i="1"/>
  <c r="BC578" i="1"/>
  <c r="BE577" i="1"/>
  <c r="BD577" i="1"/>
  <c r="BC577" i="1"/>
  <c r="BE576" i="1"/>
  <c r="BD576" i="1"/>
  <c r="BC576" i="1"/>
  <c r="BE575" i="1"/>
  <c r="BD575" i="1"/>
  <c r="BC575" i="1"/>
  <c r="BE574" i="1"/>
  <c r="BD574" i="1"/>
  <c r="BC574" i="1"/>
  <c r="BE573" i="1"/>
  <c r="BD573" i="1"/>
  <c r="BC573" i="1"/>
  <c r="BE572" i="1"/>
  <c r="BD572" i="1"/>
  <c r="BC572" i="1"/>
  <c r="BE571" i="1"/>
  <c r="BD571" i="1"/>
  <c r="BC571" i="1"/>
  <c r="BE570" i="1"/>
  <c r="BD570" i="1"/>
  <c r="BC570" i="1"/>
  <c r="BE569" i="1"/>
  <c r="BD569" i="1"/>
  <c r="BC569" i="1"/>
  <c r="BE568" i="1"/>
  <c r="BD568" i="1"/>
  <c r="BC568" i="1"/>
  <c r="BE567" i="1"/>
  <c r="BD567" i="1"/>
  <c r="BC567" i="1"/>
  <c r="BE564" i="1"/>
  <c r="BD564" i="1"/>
  <c r="BC564" i="1"/>
  <c r="BE563" i="1"/>
  <c r="BD563" i="1"/>
  <c r="BC563" i="1"/>
  <c r="BE562" i="1"/>
  <c r="BD562" i="1"/>
  <c r="BC562" i="1"/>
  <c r="BE561" i="1"/>
  <c r="BD561" i="1"/>
  <c r="BC561" i="1"/>
  <c r="BE560" i="1"/>
  <c r="BD560" i="1"/>
  <c r="BC560" i="1"/>
  <c r="BE559" i="1"/>
  <c r="BD559" i="1"/>
  <c r="BC559" i="1"/>
  <c r="BE558" i="1"/>
  <c r="BD558" i="1"/>
  <c r="BC558" i="1"/>
  <c r="BE557" i="1"/>
  <c r="BD557" i="1"/>
  <c r="BC557" i="1"/>
  <c r="BE556" i="1"/>
  <c r="BD556" i="1"/>
  <c r="BC556" i="1"/>
  <c r="BE555" i="1"/>
  <c r="BD555" i="1"/>
  <c r="BC555" i="1"/>
  <c r="BE554" i="1"/>
  <c r="BD554" i="1"/>
  <c r="BC554" i="1"/>
  <c r="BE553" i="1"/>
  <c r="BD553" i="1"/>
  <c r="BC553" i="1"/>
  <c r="BE552" i="1"/>
  <c r="BD552" i="1"/>
  <c r="BC552" i="1"/>
  <c r="BE551" i="1"/>
  <c r="BD551" i="1"/>
  <c r="BC551" i="1"/>
  <c r="BE550" i="1"/>
  <c r="BD550" i="1"/>
  <c r="BC550" i="1"/>
  <c r="BE549" i="1"/>
  <c r="BD549" i="1"/>
  <c r="BC549" i="1"/>
  <c r="BE548" i="1"/>
  <c r="BD548" i="1"/>
  <c r="BC548" i="1"/>
  <c r="BE547" i="1"/>
  <c r="BD547" i="1"/>
  <c r="BC547" i="1"/>
  <c r="BE546" i="1"/>
  <c r="BD546" i="1"/>
  <c r="BC546" i="1"/>
  <c r="BE545" i="1"/>
  <c r="BD545" i="1"/>
  <c r="BC545" i="1"/>
  <c r="BE544" i="1"/>
  <c r="BD544" i="1"/>
  <c r="BC544" i="1"/>
  <c r="BE543" i="1"/>
  <c r="BD543" i="1"/>
  <c r="BC543" i="1"/>
  <c r="BE542" i="1"/>
  <c r="BD542" i="1"/>
  <c r="BC542" i="1"/>
  <c r="BE541" i="1"/>
  <c r="BD541" i="1"/>
  <c r="BC541" i="1"/>
  <c r="BE540" i="1"/>
  <c r="BD540" i="1"/>
  <c r="BC540" i="1"/>
  <c r="BE539" i="1"/>
  <c r="BD539" i="1"/>
  <c r="BC539" i="1"/>
  <c r="BE538" i="1"/>
  <c r="BD538" i="1"/>
  <c r="BC538" i="1"/>
  <c r="BE537" i="1"/>
  <c r="BD537" i="1"/>
  <c r="BC537" i="1"/>
  <c r="BE536" i="1"/>
  <c r="BD536" i="1"/>
  <c r="BC536" i="1"/>
  <c r="BE535" i="1"/>
  <c r="BD535" i="1"/>
  <c r="BC535" i="1"/>
  <c r="BE534" i="1"/>
  <c r="BD534" i="1"/>
  <c r="BC534" i="1"/>
  <c r="BE533" i="1"/>
  <c r="BD533" i="1"/>
  <c r="BC533" i="1"/>
  <c r="BE532" i="1"/>
  <c r="BD532" i="1"/>
  <c r="BC532" i="1"/>
  <c r="BE531" i="1"/>
  <c r="BD531" i="1"/>
  <c r="BC531" i="1"/>
  <c r="BE530" i="1"/>
  <c r="BD530" i="1"/>
  <c r="BC530" i="1"/>
  <c r="BE529" i="1"/>
  <c r="BD529" i="1"/>
  <c r="BC529" i="1"/>
  <c r="BE528" i="1"/>
  <c r="BD528" i="1"/>
  <c r="BC528" i="1"/>
  <c r="BE527" i="1"/>
  <c r="BD527" i="1"/>
  <c r="BC527" i="1"/>
  <c r="BE526" i="1"/>
  <c r="BD526" i="1"/>
  <c r="BC526" i="1"/>
  <c r="BE525" i="1"/>
  <c r="BD525" i="1"/>
  <c r="BC525" i="1"/>
  <c r="BE524" i="1"/>
  <c r="BD524" i="1"/>
  <c r="BC524" i="1"/>
  <c r="BE523" i="1"/>
  <c r="BD523" i="1"/>
  <c r="BC523" i="1"/>
  <c r="BE522" i="1"/>
  <c r="BD522" i="1"/>
  <c r="BC522" i="1"/>
  <c r="BE521" i="1"/>
  <c r="BD521" i="1"/>
  <c r="BC521" i="1"/>
  <c r="BE520" i="1"/>
  <c r="BD520" i="1"/>
  <c r="BC520" i="1"/>
  <c r="BE519" i="1"/>
  <c r="BD519" i="1"/>
  <c r="BC519" i="1"/>
  <c r="BE518" i="1"/>
  <c r="BD518" i="1"/>
  <c r="BC518" i="1"/>
  <c r="BE517" i="1"/>
  <c r="BD517" i="1"/>
  <c r="BC517" i="1"/>
  <c r="BE516" i="1"/>
  <c r="BD516" i="1"/>
  <c r="BC516" i="1"/>
  <c r="BE515" i="1"/>
  <c r="BD515" i="1"/>
  <c r="BC515" i="1"/>
  <c r="BE514" i="1"/>
  <c r="BD514" i="1"/>
  <c r="BC514" i="1"/>
  <c r="BE513" i="1"/>
  <c r="BD513" i="1"/>
  <c r="BC513" i="1"/>
  <c r="BE512" i="1"/>
  <c r="BD512" i="1"/>
  <c r="BC512" i="1"/>
  <c r="BE511" i="1"/>
  <c r="BD511" i="1"/>
  <c r="BC511" i="1"/>
  <c r="BE510" i="1"/>
  <c r="BD510" i="1"/>
  <c r="BC510" i="1"/>
  <c r="BE509" i="1"/>
  <c r="BD509" i="1"/>
  <c r="BC509" i="1"/>
  <c r="BE508" i="1"/>
  <c r="BD508" i="1"/>
  <c r="BE507" i="1"/>
  <c r="BD507" i="1"/>
  <c r="BC507" i="1"/>
  <c r="BE506" i="1"/>
  <c r="BD506" i="1"/>
  <c r="BC506" i="1"/>
  <c r="BE505" i="1"/>
  <c r="BD505" i="1"/>
  <c r="BC505" i="1"/>
  <c r="BE504" i="1"/>
  <c r="BD504" i="1"/>
  <c r="BE503" i="1"/>
  <c r="BD503" i="1"/>
  <c r="BC503" i="1"/>
  <c r="BE502" i="1"/>
  <c r="BD502" i="1"/>
  <c r="BC502" i="1"/>
  <c r="BE501" i="1"/>
  <c r="BD501" i="1"/>
  <c r="BC501" i="1"/>
  <c r="BE500" i="1"/>
  <c r="BD500" i="1"/>
  <c r="BC500" i="1"/>
  <c r="BE499" i="1"/>
  <c r="BD499" i="1"/>
  <c r="BC499" i="1"/>
  <c r="BE498" i="1"/>
  <c r="BD498" i="1"/>
  <c r="BC498" i="1"/>
  <c r="BE497" i="1"/>
  <c r="BD497" i="1"/>
  <c r="BC497" i="1"/>
  <c r="BE496" i="1"/>
  <c r="BD496" i="1"/>
  <c r="BC496" i="1"/>
  <c r="BE495" i="1"/>
  <c r="BD495" i="1"/>
  <c r="BC495" i="1"/>
  <c r="BE494" i="1"/>
  <c r="BD494" i="1"/>
  <c r="BC494" i="1"/>
  <c r="BE493" i="1"/>
  <c r="BD493" i="1"/>
  <c r="BC493" i="1"/>
  <c r="BE492" i="1"/>
  <c r="BD492" i="1"/>
  <c r="BC492" i="1"/>
  <c r="BE491" i="1"/>
  <c r="BD491" i="1"/>
  <c r="BC491" i="1"/>
  <c r="BE490" i="1"/>
  <c r="BD490" i="1"/>
  <c r="BC490" i="1"/>
  <c r="BE489" i="1"/>
  <c r="BD489" i="1"/>
  <c r="BC489" i="1"/>
  <c r="BE488" i="1"/>
  <c r="BD488" i="1"/>
  <c r="BC488" i="1"/>
  <c r="BE487" i="1"/>
  <c r="BD487" i="1"/>
  <c r="BC487" i="1"/>
  <c r="BE486" i="1"/>
  <c r="BD486" i="1"/>
  <c r="BC486" i="1"/>
  <c r="BE485" i="1"/>
  <c r="BD485" i="1"/>
  <c r="BC485" i="1"/>
  <c r="BE484" i="1"/>
  <c r="BD484" i="1"/>
  <c r="BC484" i="1"/>
  <c r="BE483" i="1"/>
  <c r="BD483" i="1"/>
  <c r="BC483" i="1"/>
  <c r="BE482" i="1"/>
  <c r="BD482" i="1"/>
  <c r="BC482" i="1"/>
  <c r="BE481" i="1"/>
  <c r="BD481" i="1"/>
  <c r="BC481" i="1"/>
  <c r="BE480" i="1"/>
  <c r="BD480" i="1"/>
  <c r="BC480" i="1"/>
  <c r="BE479" i="1"/>
  <c r="BD479" i="1"/>
  <c r="BC479" i="1"/>
  <c r="BE478" i="1"/>
  <c r="BD478" i="1"/>
  <c r="BC478" i="1"/>
  <c r="BE477" i="1"/>
  <c r="BD477" i="1"/>
  <c r="BC477" i="1"/>
  <c r="BE476" i="1"/>
  <c r="BD476" i="1"/>
  <c r="BC476" i="1"/>
  <c r="BE475" i="1"/>
  <c r="BD475" i="1"/>
  <c r="BC475" i="1"/>
  <c r="BE474" i="1"/>
  <c r="BD474" i="1"/>
  <c r="BC474" i="1"/>
  <c r="BE473" i="1"/>
  <c r="BD473" i="1"/>
  <c r="BC473" i="1"/>
  <c r="BE472" i="1"/>
  <c r="BD472" i="1"/>
  <c r="BC472" i="1"/>
  <c r="BE471" i="1"/>
  <c r="BD471" i="1"/>
  <c r="BC471" i="1"/>
  <c r="BE470" i="1"/>
  <c r="BD470" i="1"/>
  <c r="BC470" i="1"/>
  <c r="BE469" i="1"/>
  <c r="BD469" i="1"/>
  <c r="BC469" i="1"/>
  <c r="BE468" i="1"/>
  <c r="BD468" i="1"/>
  <c r="BC468" i="1"/>
  <c r="BE467" i="1"/>
  <c r="BD467" i="1"/>
  <c r="BC467" i="1"/>
  <c r="BE466" i="1"/>
  <c r="BD466" i="1"/>
  <c r="BC466" i="1"/>
  <c r="BE459" i="1"/>
  <c r="BD459" i="1"/>
  <c r="BC459" i="1"/>
  <c r="BE458" i="1"/>
  <c r="BD458" i="1"/>
  <c r="BC458" i="1"/>
  <c r="BE457" i="1"/>
  <c r="BD457" i="1"/>
  <c r="BC457" i="1"/>
  <c r="BE456" i="1"/>
  <c r="BD456" i="1"/>
  <c r="BC456" i="1"/>
  <c r="BE455" i="1"/>
  <c r="BD455" i="1"/>
  <c r="BC455" i="1"/>
  <c r="BE454" i="1"/>
  <c r="BD454" i="1"/>
  <c r="BC454" i="1"/>
  <c r="BE453" i="1"/>
  <c r="BD453" i="1"/>
  <c r="BC453" i="1"/>
  <c r="BE452" i="1"/>
  <c r="BD452" i="1"/>
  <c r="BC452" i="1"/>
  <c r="BE451" i="1"/>
  <c r="BD451" i="1"/>
  <c r="BC451" i="1"/>
  <c r="BE449" i="1"/>
  <c r="BD449" i="1"/>
  <c r="BC449" i="1"/>
  <c r="BE448" i="1"/>
  <c r="BD448" i="1"/>
  <c r="BC448" i="1"/>
  <c r="BE447" i="1"/>
  <c r="BD447" i="1"/>
  <c r="BC447" i="1"/>
  <c r="BE446" i="1"/>
  <c r="BD446" i="1"/>
  <c r="BC446" i="1"/>
  <c r="BE445" i="1"/>
  <c r="BD445" i="1"/>
  <c r="BC445" i="1"/>
  <c r="BE444" i="1"/>
  <c r="BD444" i="1"/>
  <c r="BC444" i="1"/>
  <c r="BE443" i="1"/>
  <c r="BD443" i="1"/>
  <c r="BC443" i="1"/>
  <c r="BE442" i="1"/>
  <c r="BD442" i="1"/>
  <c r="BC442" i="1"/>
  <c r="BE441" i="1"/>
  <c r="BD441" i="1"/>
  <c r="BC441" i="1"/>
  <c r="BE440" i="1"/>
  <c r="BD440" i="1"/>
  <c r="BC440" i="1"/>
  <c r="BE439" i="1"/>
  <c r="BD439" i="1"/>
  <c r="BC439" i="1"/>
  <c r="BE438" i="1"/>
  <c r="BD438" i="1"/>
  <c r="BC438" i="1"/>
  <c r="BE437" i="1"/>
  <c r="BD437" i="1"/>
  <c r="BC437" i="1"/>
  <c r="BE436" i="1"/>
  <c r="BD436" i="1"/>
  <c r="BC436" i="1"/>
  <c r="BE435" i="1"/>
  <c r="BD435" i="1"/>
  <c r="BC435" i="1"/>
  <c r="BE434" i="1"/>
  <c r="BD434" i="1"/>
  <c r="BC434" i="1"/>
  <c r="BE433" i="1"/>
  <c r="BD433" i="1"/>
  <c r="BC433" i="1"/>
  <c r="BE432" i="1"/>
  <c r="BD432" i="1"/>
  <c r="BC432" i="1"/>
  <c r="BE431" i="1"/>
  <c r="BD431" i="1"/>
  <c r="BC431" i="1"/>
  <c r="BE430" i="1"/>
  <c r="BD430" i="1"/>
  <c r="BC430" i="1"/>
  <c r="BE429" i="1"/>
  <c r="BD429" i="1"/>
  <c r="BC429" i="1"/>
  <c r="BE428" i="1"/>
  <c r="BD428" i="1"/>
  <c r="BC428" i="1"/>
  <c r="BE427" i="1"/>
  <c r="BD427" i="1"/>
  <c r="BC427" i="1"/>
  <c r="BE426" i="1"/>
  <c r="BD426" i="1"/>
  <c r="BC426" i="1"/>
  <c r="BE425" i="1"/>
  <c r="BD425" i="1"/>
  <c r="BC425" i="1"/>
  <c r="BE424" i="1"/>
  <c r="BD424" i="1"/>
  <c r="BC424" i="1"/>
  <c r="BE423" i="1"/>
  <c r="BD423" i="1"/>
  <c r="BC423" i="1"/>
  <c r="BE422" i="1"/>
  <c r="BD422" i="1"/>
  <c r="BC422" i="1"/>
  <c r="BE421" i="1"/>
  <c r="BD421" i="1"/>
  <c r="BC421" i="1"/>
  <c r="BE420" i="1"/>
  <c r="BD420" i="1"/>
  <c r="BC420" i="1"/>
  <c r="BE419" i="1"/>
  <c r="BD419" i="1"/>
  <c r="BC419" i="1"/>
  <c r="BE418" i="1"/>
  <c r="BD418" i="1"/>
  <c r="BC418" i="1"/>
  <c r="BE417" i="1"/>
  <c r="BD417" i="1"/>
  <c r="BC417" i="1"/>
  <c r="BE416" i="1"/>
  <c r="BD416" i="1"/>
  <c r="BC416" i="1"/>
  <c r="BE415" i="1"/>
  <c r="BD415" i="1"/>
  <c r="BC415" i="1"/>
  <c r="BE414" i="1"/>
  <c r="BD414" i="1"/>
  <c r="BC414" i="1"/>
  <c r="BE413" i="1"/>
  <c r="BD413" i="1"/>
  <c r="BC413" i="1"/>
  <c r="BE412" i="1"/>
  <c r="BD412" i="1"/>
  <c r="BC412" i="1"/>
  <c r="BE411" i="1"/>
  <c r="BD411" i="1"/>
  <c r="BC411" i="1"/>
  <c r="BE410" i="1"/>
  <c r="BD410" i="1"/>
  <c r="BC410" i="1"/>
  <c r="BE409" i="1"/>
  <c r="BD409" i="1"/>
  <c r="BC409" i="1"/>
  <c r="BE408" i="1"/>
  <c r="BD408" i="1"/>
  <c r="BC408" i="1"/>
  <c r="BE407" i="1"/>
  <c r="BD407" i="1"/>
  <c r="BC407" i="1"/>
  <c r="BE406" i="1"/>
  <c r="BD406" i="1"/>
  <c r="BC406" i="1"/>
  <c r="BE405" i="1"/>
  <c r="BD405" i="1"/>
  <c r="BC405" i="1"/>
  <c r="BE404" i="1"/>
  <c r="BD404" i="1"/>
  <c r="BC404" i="1"/>
  <c r="BE403" i="1"/>
  <c r="BD403" i="1"/>
  <c r="BC403" i="1"/>
  <c r="BE402" i="1"/>
  <c r="BD402" i="1"/>
  <c r="BC402" i="1"/>
  <c r="BE401" i="1"/>
  <c r="BD401" i="1"/>
  <c r="BC401" i="1"/>
  <c r="BE400" i="1"/>
  <c r="BD400" i="1"/>
  <c r="BC400" i="1"/>
  <c r="BE399" i="1"/>
  <c r="BD399" i="1"/>
  <c r="BC399" i="1"/>
  <c r="BE398" i="1"/>
  <c r="BD398" i="1"/>
  <c r="BC398" i="1"/>
  <c r="BE397" i="1"/>
  <c r="BD397" i="1"/>
  <c r="BC397" i="1"/>
  <c r="BE396" i="1"/>
  <c r="BD396" i="1"/>
  <c r="BC396" i="1"/>
  <c r="BE395" i="1"/>
  <c r="BD395" i="1"/>
  <c r="BC395" i="1"/>
  <c r="BE394" i="1"/>
  <c r="BD394" i="1"/>
  <c r="BC394" i="1"/>
  <c r="BE393" i="1"/>
  <c r="BD393" i="1"/>
  <c r="BC393" i="1"/>
  <c r="BE392" i="1"/>
  <c r="BD392" i="1"/>
  <c r="BC392" i="1"/>
  <c r="BE391" i="1"/>
  <c r="BD391" i="1"/>
  <c r="BC391" i="1"/>
  <c r="BE390" i="1"/>
  <c r="BD390" i="1"/>
  <c r="BC390" i="1"/>
  <c r="BE389" i="1"/>
  <c r="BD389" i="1"/>
  <c r="BC389" i="1"/>
  <c r="BE388" i="1"/>
  <c r="BD388" i="1"/>
  <c r="BC388" i="1"/>
  <c r="BE387" i="1"/>
  <c r="BD387" i="1"/>
  <c r="BC387" i="1"/>
  <c r="BE386" i="1"/>
  <c r="BD386" i="1"/>
  <c r="BC386" i="1"/>
  <c r="BE385" i="1"/>
  <c r="BD385" i="1"/>
  <c r="BC385" i="1"/>
  <c r="BE384" i="1"/>
  <c r="BD384" i="1"/>
  <c r="BC384" i="1"/>
  <c r="BE383" i="1"/>
  <c r="BD383" i="1"/>
  <c r="BC383" i="1"/>
  <c r="BE382" i="1"/>
  <c r="BD382" i="1"/>
  <c r="BC382" i="1"/>
  <c r="BE381" i="1"/>
  <c r="BD381" i="1"/>
  <c r="BC381" i="1"/>
  <c r="BE380" i="1"/>
  <c r="BD380" i="1"/>
  <c r="BC380" i="1"/>
  <c r="BE379" i="1"/>
  <c r="BD379" i="1"/>
  <c r="BC379" i="1"/>
  <c r="BE378" i="1"/>
  <c r="BD378" i="1"/>
  <c r="BC378" i="1"/>
  <c r="BE377" i="1"/>
  <c r="BD377" i="1"/>
  <c r="BC377" i="1"/>
  <c r="BE376" i="1"/>
  <c r="BD376" i="1"/>
  <c r="BC376" i="1"/>
  <c r="BE375" i="1"/>
  <c r="BD375" i="1"/>
  <c r="BC375" i="1"/>
  <c r="BE374" i="1"/>
  <c r="BD374" i="1"/>
  <c r="BC374" i="1"/>
  <c r="BE373" i="1"/>
  <c r="BD373" i="1"/>
  <c r="BC373" i="1"/>
  <c r="BE372" i="1"/>
  <c r="BD372" i="1"/>
  <c r="BC372" i="1"/>
  <c r="BE371" i="1"/>
  <c r="BD371" i="1"/>
  <c r="BC371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E291" i="1"/>
  <c r="BD291" i="1"/>
  <c r="BE290" i="1"/>
  <c r="BD290" i="1"/>
  <c r="BE289" i="1"/>
  <c r="BD289" i="1"/>
  <c r="BE288" i="1"/>
  <c r="BD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44" i="1"/>
  <c r="BD144" i="1"/>
  <c r="BC144" i="1"/>
  <c r="BE143" i="1"/>
  <c r="BD143" i="1"/>
  <c r="BC143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2" i="1"/>
  <c r="BD62" i="1"/>
  <c r="BC62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19" i="1"/>
  <c r="BD19" i="1"/>
  <c r="BC19" i="1"/>
  <c r="BE18" i="1"/>
  <c r="BD18" i="1"/>
  <c r="BC18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E5" i="1"/>
  <c r="BD5" i="1"/>
  <c r="BC5" i="1"/>
  <c r="BE4" i="1"/>
  <c r="BD4" i="1"/>
  <c r="BC4" i="1"/>
  <c r="BE3" i="1"/>
  <c r="BD3" i="1"/>
  <c r="BC3" i="1"/>
  <c r="BB1268" i="1"/>
  <c r="BA1268" i="1"/>
  <c r="AZ1268" i="1"/>
  <c r="AY1268" i="1"/>
  <c r="AX1268" i="1"/>
  <c r="AW1268" i="1"/>
  <c r="AV1268" i="1"/>
  <c r="AU1268" i="1"/>
  <c r="BB1267" i="1"/>
  <c r="BA1267" i="1"/>
  <c r="AZ1267" i="1"/>
  <c r="AY1267" i="1"/>
  <c r="AX1267" i="1"/>
  <c r="AW1267" i="1"/>
  <c r="AV1267" i="1"/>
  <c r="AU1267" i="1"/>
  <c r="BB1266" i="1"/>
  <c r="BA1266" i="1"/>
  <c r="AZ1266" i="1"/>
  <c r="AY1266" i="1"/>
  <c r="AX1266" i="1"/>
  <c r="AW1266" i="1"/>
  <c r="AV1266" i="1"/>
  <c r="AU1266" i="1"/>
  <c r="BB1265" i="1"/>
  <c r="BA1265" i="1"/>
  <c r="AZ1265" i="1"/>
  <c r="AY1265" i="1"/>
  <c r="AX1265" i="1"/>
  <c r="AW1265" i="1"/>
  <c r="AV1265" i="1"/>
  <c r="AU1265" i="1"/>
  <c r="BB1099" i="1"/>
  <c r="BA1099" i="1"/>
  <c r="AZ1099" i="1"/>
  <c r="AY1099" i="1"/>
  <c r="AX1099" i="1"/>
  <c r="AW1099" i="1"/>
  <c r="AV1099" i="1"/>
  <c r="AU1099" i="1"/>
  <c r="BB1098" i="1"/>
  <c r="BA1098" i="1"/>
  <c r="AZ1098" i="1"/>
  <c r="AY1098" i="1"/>
  <c r="AX1098" i="1"/>
  <c r="AW1098" i="1"/>
  <c r="AV1098" i="1"/>
  <c r="AU1098" i="1"/>
  <c r="BB1097" i="1"/>
  <c r="BA1097" i="1"/>
  <c r="AZ1097" i="1"/>
  <c r="AY1097" i="1"/>
  <c r="AX1097" i="1"/>
  <c r="AW1097" i="1"/>
  <c r="AV1097" i="1"/>
  <c r="AU1097" i="1"/>
  <c r="BB1096" i="1"/>
  <c r="BA1096" i="1"/>
  <c r="AZ1096" i="1"/>
  <c r="AY1096" i="1"/>
  <c r="AX1096" i="1"/>
  <c r="AW1096" i="1"/>
  <c r="AV1096" i="1"/>
  <c r="AU1096" i="1"/>
  <c r="BB1095" i="1"/>
  <c r="BA1095" i="1"/>
  <c r="AZ1095" i="1"/>
  <c r="AY1095" i="1"/>
  <c r="AX1095" i="1"/>
  <c r="AW1095" i="1"/>
  <c r="AV1095" i="1"/>
  <c r="AU1095" i="1"/>
  <c r="BB1094" i="1"/>
  <c r="BA1094" i="1"/>
  <c r="AZ1094" i="1"/>
  <c r="AY1094" i="1"/>
  <c r="AX1094" i="1"/>
  <c r="AW1094" i="1"/>
  <c r="AV1094" i="1"/>
  <c r="AU1094" i="1"/>
  <c r="BB1093" i="1"/>
  <c r="BA1093" i="1"/>
  <c r="AZ1093" i="1"/>
  <c r="AY1093" i="1"/>
  <c r="AX1093" i="1"/>
  <c r="AW1093" i="1"/>
  <c r="AV1093" i="1"/>
  <c r="AU1093" i="1"/>
  <c r="BB1092" i="1"/>
  <c r="BA1092" i="1"/>
  <c r="AZ1092" i="1"/>
  <c r="AY1092" i="1"/>
  <c r="AX1092" i="1"/>
  <c r="AW1092" i="1"/>
  <c r="AV1092" i="1"/>
  <c r="AU1092" i="1"/>
  <c r="BB1091" i="1"/>
  <c r="BA1091" i="1"/>
  <c r="AZ1091" i="1"/>
  <c r="AY1091" i="1"/>
  <c r="AX1091" i="1"/>
  <c r="AW1091" i="1"/>
  <c r="AV1091" i="1"/>
  <c r="AU1091" i="1"/>
  <c r="BB1090" i="1"/>
  <c r="BA1090" i="1"/>
  <c r="AZ1090" i="1"/>
  <c r="AY1090" i="1"/>
  <c r="AX1090" i="1"/>
  <c r="AW1090" i="1"/>
  <c r="AV1090" i="1"/>
  <c r="AU1090" i="1"/>
  <c r="BB1089" i="1"/>
  <c r="BA1089" i="1"/>
  <c r="AZ1089" i="1"/>
  <c r="AY1089" i="1"/>
  <c r="AX1089" i="1"/>
  <c r="AW1089" i="1"/>
  <c r="AV1089" i="1"/>
  <c r="AU1089" i="1"/>
  <c r="BB1088" i="1"/>
  <c r="BA1088" i="1"/>
  <c r="AZ1088" i="1"/>
  <c r="AY1088" i="1"/>
  <c r="AX1088" i="1"/>
  <c r="AW1088" i="1"/>
  <c r="AV1088" i="1"/>
  <c r="AU1088" i="1"/>
  <c r="BB1087" i="1"/>
  <c r="BA1087" i="1"/>
  <c r="AZ1087" i="1"/>
  <c r="AY1087" i="1"/>
  <c r="AX1087" i="1"/>
  <c r="AW1087" i="1"/>
  <c r="AV1087" i="1"/>
  <c r="AU1087" i="1"/>
  <c r="BB1086" i="1"/>
  <c r="BA1086" i="1"/>
  <c r="AZ1086" i="1"/>
  <c r="AY1086" i="1"/>
  <c r="AX1086" i="1"/>
  <c r="AW1086" i="1"/>
  <c r="AV1086" i="1"/>
  <c r="AU1086" i="1"/>
  <c r="BB1085" i="1"/>
  <c r="BA1085" i="1"/>
  <c r="AZ1085" i="1"/>
  <c r="AY1085" i="1"/>
  <c r="AX1085" i="1"/>
  <c r="AW1085" i="1"/>
  <c r="AV1085" i="1"/>
  <c r="AU1085" i="1"/>
  <c r="BB1084" i="1"/>
  <c r="BA1084" i="1"/>
  <c r="AZ1084" i="1"/>
  <c r="AY1084" i="1"/>
  <c r="AX1084" i="1"/>
  <c r="AW1084" i="1"/>
  <c r="AV1084" i="1"/>
  <c r="AU1084" i="1"/>
  <c r="BB1083" i="1"/>
  <c r="BA1083" i="1"/>
  <c r="AZ1083" i="1"/>
  <c r="AY1083" i="1"/>
  <c r="AX1083" i="1"/>
  <c r="AW1083" i="1"/>
  <c r="AV1083" i="1"/>
  <c r="AU1083" i="1"/>
  <c r="BB1082" i="1"/>
  <c r="BA1082" i="1"/>
  <c r="AZ1082" i="1"/>
  <c r="AY1082" i="1"/>
  <c r="AX1082" i="1"/>
  <c r="AW1082" i="1"/>
  <c r="AV1082" i="1"/>
  <c r="AU1082" i="1"/>
  <c r="BB1081" i="1"/>
  <c r="BA1081" i="1"/>
  <c r="AZ1081" i="1"/>
  <c r="AY1081" i="1"/>
  <c r="AX1081" i="1"/>
  <c r="AW1081" i="1"/>
  <c r="AV1081" i="1"/>
  <c r="AU1081" i="1"/>
  <c r="BB1080" i="1"/>
  <c r="BA1080" i="1"/>
  <c r="AZ1080" i="1"/>
  <c r="AY1080" i="1"/>
  <c r="AX1080" i="1"/>
  <c r="AW1080" i="1"/>
  <c r="AV1080" i="1"/>
  <c r="AU1080" i="1"/>
  <c r="BB1079" i="1"/>
  <c r="BA1079" i="1"/>
  <c r="AZ1079" i="1"/>
  <c r="AY1079" i="1"/>
  <c r="AX1079" i="1"/>
  <c r="AW1079" i="1"/>
  <c r="AV1079" i="1"/>
  <c r="AU1079" i="1"/>
  <c r="BB1078" i="1"/>
  <c r="BA1078" i="1"/>
  <c r="AZ1078" i="1"/>
  <c r="AY1078" i="1"/>
  <c r="AX1078" i="1"/>
  <c r="AW1078" i="1"/>
  <c r="AV1078" i="1"/>
  <c r="AU1078" i="1"/>
  <c r="BB1077" i="1"/>
  <c r="BA1077" i="1"/>
  <c r="AZ1077" i="1"/>
  <c r="AY1077" i="1"/>
  <c r="AX1077" i="1"/>
  <c r="AW1077" i="1"/>
  <c r="AV1077" i="1"/>
  <c r="AU1077" i="1"/>
  <c r="BB1076" i="1"/>
  <c r="BA1076" i="1"/>
  <c r="AZ1076" i="1"/>
  <c r="AY1076" i="1"/>
  <c r="AX1076" i="1"/>
  <c r="AW1076" i="1"/>
  <c r="AV1076" i="1"/>
  <c r="AU1076" i="1"/>
  <c r="BB1075" i="1"/>
  <c r="BA1075" i="1"/>
  <c r="AZ1075" i="1"/>
  <c r="AY1075" i="1"/>
  <c r="AX1075" i="1"/>
  <c r="AW1075" i="1"/>
  <c r="AV1075" i="1"/>
  <c r="AU1075" i="1"/>
  <c r="BB1074" i="1"/>
  <c r="BA1074" i="1"/>
  <c r="AZ1074" i="1"/>
  <c r="AY1074" i="1"/>
  <c r="AX1074" i="1"/>
  <c r="AW1074" i="1"/>
  <c r="AV1074" i="1"/>
  <c r="AU1074" i="1"/>
  <c r="BB1073" i="1"/>
  <c r="BA1073" i="1"/>
  <c r="AZ1073" i="1"/>
  <c r="AY1073" i="1"/>
  <c r="AX1073" i="1"/>
  <c r="AW1073" i="1"/>
  <c r="AV1073" i="1"/>
  <c r="AU1073" i="1"/>
  <c r="BB1072" i="1"/>
  <c r="BA1072" i="1"/>
  <c r="AZ1072" i="1"/>
  <c r="AY1072" i="1"/>
  <c r="AX1072" i="1"/>
  <c r="AW1072" i="1"/>
  <c r="AV1072" i="1"/>
  <c r="AU1072" i="1"/>
  <c r="BB1071" i="1"/>
  <c r="BA1071" i="1"/>
  <c r="AZ1071" i="1"/>
  <c r="AY1071" i="1"/>
  <c r="AX1071" i="1"/>
  <c r="AW1071" i="1"/>
  <c r="AV1071" i="1"/>
  <c r="AU1071" i="1"/>
  <c r="BB1070" i="1"/>
  <c r="BA1070" i="1"/>
  <c r="AZ1070" i="1"/>
  <c r="AY1070" i="1"/>
  <c r="AX1070" i="1"/>
  <c r="AW1070" i="1"/>
  <c r="AV1070" i="1"/>
  <c r="AU1070" i="1"/>
  <c r="BB1069" i="1"/>
  <c r="BA1069" i="1"/>
  <c r="AZ1069" i="1"/>
  <c r="AY1069" i="1"/>
  <c r="AX1069" i="1"/>
  <c r="AW1069" i="1"/>
  <c r="AV1069" i="1"/>
  <c r="AU1069" i="1"/>
  <c r="BB1068" i="1"/>
  <c r="BA1068" i="1"/>
  <c r="AZ1068" i="1"/>
  <c r="AY1068" i="1"/>
  <c r="AX1068" i="1"/>
  <c r="AW1068" i="1"/>
  <c r="AV1068" i="1"/>
  <c r="AU1068" i="1"/>
  <c r="BB1067" i="1"/>
  <c r="BA1067" i="1"/>
  <c r="AZ1067" i="1"/>
  <c r="AY1067" i="1"/>
  <c r="AX1067" i="1"/>
  <c r="AW1067" i="1"/>
  <c r="AV1067" i="1"/>
  <c r="AU1067" i="1"/>
  <c r="BB1066" i="1"/>
  <c r="BA1066" i="1"/>
  <c r="AZ1066" i="1"/>
  <c r="AY1066" i="1"/>
  <c r="AX1066" i="1"/>
  <c r="AW1066" i="1"/>
  <c r="AV1066" i="1"/>
  <c r="AU1066" i="1"/>
  <c r="BB1065" i="1"/>
  <c r="BA1065" i="1"/>
  <c r="AZ1065" i="1"/>
  <c r="AY1065" i="1"/>
  <c r="AX1065" i="1"/>
  <c r="AW1065" i="1"/>
  <c r="AV1065" i="1"/>
  <c r="AU1065" i="1"/>
  <c r="BB1064" i="1"/>
  <c r="BA1064" i="1"/>
  <c r="AZ1064" i="1"/>
  <c r="AY1064" i="1"/>
  <c r="AX1064" i="1"/>
  <c r="AW1064" i="1"/>
  <c r="AV1064" i="1"/>
  <c r="AU1064" i="1"/>
  <c r="BB1263" i="1"/>
  <c r="BA1263" i="1"/>
  <c r="AZ1263" i="1"/>
  <c r="AY1263" i="1"/>
  <c r="AX1263" i="1"/>
  <c r="AW1263" i="1"/>
  <c r="AV1263" i="1"/>
  <c r="AU1263" i="1"/>
  <c r="BB1262" i="1"/>
  <c r="BA1262" i="1"/>
  <c r="AZ1262" i="1"/>
  <c r="AY1262" i="1"/>
  <c r="AX1262" i="1"/>
  <c r="AW1262" i="1"/>
  <c r="AV1262" i="1"/>
  <c r="AU1262" i="1"/>
  <c r="BB1261" i="1"/>
  <c r="BA1261" i="1"/>
  <c r="AZ1261" i="1"/>
  <c r="AY1261" i="1"/>
  <c r="AX1261" i="1"/>
  <c r="AW1261" i="1"/>
  <c r="AV1261" i="1"/>
  <c r="AU1261" i="1"/>
  <c r="BB1260" i="1"/>
  <c r="BA1260" i="1"/>
  <c r="AZ1260" i="1"/>
  <c r="AY1260" i="1"/>
  <c r="AX1260" i="1"/>
  <c r="AW1260" i="1"/>
  <c r="AV1260" i="1"/>
  <c r="AU1260" i="1"/>
  <c r="BB1259" i="1"/>
  <c r="BA1259" i="1"/>
  <c r="AZ1259" i="1"/>
  <c r="AY1259" i="1"/>
  <c r="AX1259" i="1"/>
  <c r="AW1259" i="1"/>
  <c r="AV1259" i="1"/>
  <c r="AU1259" i="1"/>
  <c r="BB1258" i="1"/>
  <c r="BA1258" i="1"/>
  <c r="AZ1258" i="1"/>
  <c r="AY1258" i="1"/>
  <c r="AX1258" i="1"/>
  <c r="AW1258" i="1"/>
  <c r="AV1258" i="1"/>
  <c r="AU1258" i="1"/>
  <c r="BB1257" i="1"/>
  <c r="BA1257" i="1"/>
  <c r="AZ1257" i="1"/>
  <c r="AY1257" i="1"/>
  <c r="AX1257" i="1"/>
  <c r="AW1257" i="1"/>
  <c r="AV1257" i="1"/>
  <c r="AU1257" i="1"/>
  <c r="BB1256" i="1"/>
  <c r="BA1256" i="1"/>
  <c r="AZ1256" i="1"/>
  <c r="AY1256" i="1"/>
  <c r="AX1256" i="1"/>
  <c r="AW1256" i="1"/>
  <c r="AV1256" i="1"/>
  <c r="AU1256" i="1"/>
  <c r="BB1255" i="1"/>
  <c r="BA1255" i="1"/>
  <c r="AZ1255" i="1"/>
  <c r="AY1255" i="1"/>
  <c r="AX1255" i="1"/>
  <c r="AW1255" i="1"/>
  <c r="AV1255" i="1"/>
  <c r="AU1255" i="1"/>
  <c r="BB1254" i="1"/>
  <c r="BA1254" i="1"/>
  <c r="AZ1254" i="1"/>
  <c r="AY1254" i="1"/>
  <c r="AX1254" i="1"/>
  <c r="AW1254" i="1"/>
  <c r="AV1254" i="1"/>
  <c r="AU1254" i="1"/>
  <c r="BB1253" i="1"/>
  <c r="BA1253" i="1"/>
  <c r="AZ1253" i="1"/>
  <c r="AY1253" i="1"/>
  <c r="AX1253" i="1"/>
  <c r="AW1253" i="1"/>
  <c r="AV1253" i="1"/>
  <c r="AU1253" i="1"/>
  <c r="BB780" i="1"/>
  <c r="BA780" i="1"/>
  <c r="AZ780" i="1"/>
  <c r="AY780" i="1"/>
  <c r="AX780" i="1"/>
  <c r="AW780" i="1"/>
  <c r="AV780" i="1"/>
  <c r="AU780" i="1"/>
  <c r="BB779" i="1"/>
  <c r="BA779" i="1"/>
  <c r="AZ779" i="1"/>
  <c r="AY779" i="1"/>
  <c r="AX779" i="1"/>
  <c r="AW779" i="1"/>
  <c r="AV779" i="1"/>
  <c r="AU779" i="1"/>
  <c r="BB778" i="1"/>
  <c r="BA778" i="1"/>
  <c r="AZ778" i="1"/>
  <c r="AY778" i="1"/>
  <c r="AX778" i="1"/>
  <c r="AW778" i="1"/>
  <c r="AV778" i="1"/>
  <c r="AU778" i="1"/>
  <c r="BB777" i="1"/>
  <c r="BA777" i="1"/>
  <c r="AZ777" i="1"/>
  <c r="AY777" i="1"/>
  <c r="AX777" i="1"/>
  <c r="AW777" i="1"/>
  <c r="AV777" i="1"/>
  <c r="AU777" i="1"/>
  <c r="BB776" i="1"/>
  <c r="BA776" i="1"/>
  <c r="AZ776" i="1"/>
  <c r="AY776" i="1"/>
  <c r="AX776" i="1"/>
  <c r="AW776" i="1"/>
  <c r="AV776" i="1"/>
  <c r="AU776" i="1"/>
  <c r="BB339" i="1"/>
  <c r="BA339" i="1"/>
  <c r="AZ339" i="1"/>
  <c r="AY339" i="1"/>
  <c r="AX339" i="1"/>
  <c r="AW339" i="1"/>
  <c r="AV339" i="1"/>
  <c r="AU339" i="1"/>
  <c r="BB338" i="1"/>
  <c r="BA338" i="1"/>
  <c r="AZ338" i="1"/>
  <c r="AY338" i="1"/>
  <c r="AX338" i="1"/>
  <c r="AW338" i="1"/>
  <c r="AV338" i="1"/>
  <c r="AU338" i="1"/>
  <c r="BB337" i="1"/>
  <c r="BA337" i="1"/>
  <c r="AZ337" i="1"/>
  <c r="AY337" i="1"/>
  <c r="AX337" i="1"/>
  <c r="AW337" i="1"/>
  <c r="AV337" i="1"/>
  <c r="AU337" i="1"/>
  <c r="BB336" i="1"/>
  <c r="BA336" i="1"/>
  <c r="AZ336" i="1"/>
  <c r="AY336" i="1"/>
  <c r="AX336" i="1"/>
  <c r="AW336" i="1"/>
  <c r="AV336" i="1"/>
  <c r="AU336" i="1"/>
  <c r="BA1040" i="1"/>
  <c r="AZ1040" i="1"/>
  <c r="AY1040" i="1"/>
  <c r="AX1040" i="1"/>
  <c r="AW1040" i="1"/>
  <c r="AV1040" i="1"/>
  <c r="AU1040" i="1"/>
  <c r="BA1039" i="1"/>
  <c r="AZ1039" i="1"/>
  <c r="AY1039" i="1"/>
  <c r="AX1039" i="1"/>
  <c r="AW1039" i="1"/>
  <c r="AV1039" i="1"/>
  <c r="AU1039" i="1"/>
  <c r="BA1038" i="1"/>
  <c r="AZ1038" i="1"/>
  <c r="AY1038" i="1"/>
  <c r="AX1038" i="1"/>
  <c r="AW1038" i="1"/>
  <c r="AV1038" i="1"/>
  <c r="AU1038" i="1"/>
  <c r="BA1037" i="1"/>
  <c r="AZ1037" i="1"/>
  <c r="AY1037" i="1"/>
  <c r="AX1037" i="1"/>
  <c r="AW1037" i="1"/>
  <c r="AV1037" i="1"/>
  <c r="AU1037" i="1"/>
  <c r="BA1036" i="1"/>
  <c r="AZ1036" i="1"/>
  <c r="AY1036" i="1"/>
  <c r="AX1036" i="1"/>
  <c r="AW1036" i="1"/>
  <c r="AV1036" i="1"/>
  <c r="AU1036" i="1"/>
  <c r="BA1035" i="1"/>
  <c r="AZ1035" i="1"/>
  <c r="AY1035" i="1"/>
  <c r="AX1035" i="1"/>
  <c r="AW1035" i="1"/>
  <c r="AV1035" i="1"/>
  <c r="AU1035" i="1"/>
  <c r="BA1034" i="1"/>
  <c r="AZ1034" i="1"/>
  <c r="AY1034" i="1"/>
  <c r="AX1034" i="1"/>
  <c r="AW1034" i="1"/>
  <c r="AV1034" i="1"/>
  <c r="AU1034" i="1"/>
  <c r="BA1033" i="1"/>
  <c r="AZ1033" i="1"/>
  <c r="AY1033" i="1"/>
  <c r="AX1033" i="1"/>
  <c r="AW1033" i="1"/>
  <c r="AV1033" i="1"/>
  <c r="AU1033" i="1"/>
  <c r="BA1032" i="1"/>
  <c r="AZ1032" i="1"/>
  <c r="AY1032" i="1"/>
  <c r="AX1032" i="1"/>
  <c r="AW1032" i="1"/>
  <c r="AV1032" i="1"/>
  <c r="AU1032" i="1"/>
  <c r="BA1031" i="1"/>
  <c r="AZ1031" i="1"/>
  <c r="AY1031" i="1"/>
  <c r="AX1031" i="1"/>
  <c r="AW1031" i="1"/>
  <c r="AV1031" i="1"/>
  <c r="AU1031" i="1"/>
  <c r="BA1030" i="1"/>
  <c r="AZ1030" i="1"/>
  <c r="AY1030" i="1"/>
  <c r="AX1030" i="1"/>
  <c r="AW1030" i="1"/>
  <c r="AV1030" i="1"/>
  <c r="AU1030" i="1"/>
  <c r="BA1029" i="1"/>
  <c r="AZ1029" i="1"/>
  <c r="AY1029" i="1"/>
  <c r="AX1029" i="1"/>
  <c r="AW1029" i="1"/>
  <c r="AV1029" i="1"/>
  <c r="AU1029" i="1"/>
  <c r="BA1028" i="1"/>
  <c r="AZ1028" i="1"/>
  <c r="AY1028" i="1"/>
  <c r="AX1028" i="1"/>
  <c r="AW1028" i="1"/>
  <c r="AV1028" i="1"/>
  <c r="AU1028" i="1"/>
  <c r="BA1027" i="1"/>
  <c r="AZ1027" i="1"/>
  <c r="AY1027" i="1"/>
  <c r="AX1027" i="1"/>
  <c r="AW1027" i="1"/>
  <c r="AV1027" i="1"/>
  <c r="AU1027" i="1"/>
  <c r="BA1026" i="1"/>
  <c r="AZ1026" i="1"/>
  <c r="AY1026" i="1"/>
  <c r="AX1026" i="1"/>
  <c r="AW1026" i="1"/>
  <c r="AV1026" i="1"/>
  <c r="AU1026" i="1"/>
  <c r="BA1025" i="1"/>
  <c r="AZ1025" i="1"/>
  <c r="AY1025" i="1"/>
  <c r="AX1025" i="1"/>
  <c r="AW1025" i="1"/>
  <c r="AV1025" i="1"/>
  <c r="AU1025" i="1"/>
  <c r="BA1024" i="1"/>
  <c r="AZ1024" i="1"/>
  <c r="AY1024" i="1"/>
  <c r="AX1024" i="1"/>
  <c r="AW1024" i="1"/>
  <c r="AV1024" i="1"/>
  <c r="AU1024" i="1"/>
  <c r="BA1023" i="1"/>
  <c r="AZ1023" i="1"/>
  <c r="AY1023" i="1"/>
  <c r="AX1023" i="1"/>
  <c r="AW1023" i="1"/>
  <c r="AV1023" i="1"/>
  <c r="AU1023" i="1"/>
  <c r="BA1022" i="1"/>
  <c r="AZ1022" i="1"/>
  <c r="AY1022" i="1"/>
  <c r="AX1022" i="1"/>
  <c r="AW1022" i="1"/>
  <c r="AV1022" i="1"/>
  <c r="AU1022" i="1"/>
  <c r="BA1021" i="1"/>
  <c r="AZ1021" i="1"/>
  <c r="AY1021" i="1"/>
  <c r="AX1021" i="1"/>
  <c r="AW1021" i="1"/>
  <c r="AV1021" i="1"/>
  <c r="AU1021" i="1"/>
  <c r="BA1020" i="1"/>
  <c r="AZ1020" i="1"/>
  <c r="AY1020" i="1"/>
  <c r="AX1020" i="1"/>
  <c r="AW1020" i="1"/>
  <c r="AV1020" i="1"/>
  <c r="AU1020" i="1"/>
  <c r="BA1019" i="1"/>
  <c r="AZ1019" i="1"/>
  <c r="AY1019" i="1"/>
  <c r="AX1019" i="1"/>
  <c r="AW1019" i="1"/>
  <c r="AV1019" i="1"/>
  <c r="AU1019" i="1"/>
  <c r="BA1018" i="1"/>
  <c r="AZ1018" i="1"/>
  <c r="AY1018" i="1"/>
  <c r="AX1018" i="1"/>
  <c r="AW1018" i="1"/>
  <c r="AV1018" i="1"/>
  <c r="AU1018" i="1"/>
  <c r="BA335" i="1"/>
  <c r="AZ335" i="1"/>
  <c r="AY335" i="1"/>
  <c r="AX335" i="1"/>
  <c r="AW335" i="1"/>
  <c r="AV335" i="1"/>
  <c r="AU335" i="1"/>
  <c r="BA334" i="1"/>
  <c r="AZ334" i="1"/>
  <c r="AY334" i="1"/>
  <c r="AX334" i="1"/>
  <c r="AW334" i="1"/>
  <c r="AV334" i="1"/>
  <c r="AU334" i="1"/>
  <c r="BA1252" i="1"/>
  <c r="AZ1252" i="1"/>
  <c r="AY1252" i="1"/>
  <c r="AX1252" i="1"/>
  <c r="AW1252" i="1"/>
  <c r="AV1252" i="1"/>
  <c r="AU1252" i="1"/>
  <c r="BA1251" i="1"/>
  <c r="AZ1251" i="1"/>
  <c r="AY1251" i="1"/>
  <c r="AX1251" i="1"/>
  <c r="AW1251" i="1"/>
  <c r="AV1251" i="1"/>
  <c r="AU1251" i="1"/>
  <c r="BA1250" i="1"/>
  <c r="AZ1250" i="1"/>
  <c r="AY1250" i="1"/>
  <c r="AX1250" i="1"/>
  <c r="AW1250" i="1"/>
  <c r="AV1250" i="1"/>
  <c r="AU1250" i="1"/>
  <c r="BA1249" i="1"/>
  <c r="AZ1249" i="1"/>
  <c r="AY1249" i="1"/>
  <c r="AX1249" i="1"/>
  <c r="AW1249" i="1"/>
  <c r="AV1249" i="1"/>
  <c r="AU1249" i="1"/>
  <c r="BA1248" i="1"/>
  <c r="AZ1248" i="1"/>
  <c r="AY1248" i="1"/>
  <c r="AX1248" i="1"/>
  <c r="AW1248" i="1"/>
  <c r="AV1248" i="1"/>
  <c r="AU1248" i="1"/>
  <c r="BA1247" i="1"/>
  <c r="AZ1247" i="1"/>
  <c r="AY1247" i="1"/>
  <c r="AX1247" i="1"/>
  <c r="AW1247" i="1"/>
  <c r="AV1247" i="1"/>
  <c r="AU1247" i="1"/>
  <c r="BA1246" i="1"/>
  <c r="AZ1246" i="1"/>
  <c r="AY1246" i="1"/>
  <c r="AX1246" i="1"/>
  <c r="AW1246" i="1"/>
  <c r="AV1246" i="1"/>
  <c r="AU1246" i="1"/>
  <c r="BA1245" i="1"/>
  <c r="AZ1245" i="1"/>
  <c r="AY1245" i="1"/>
  <c r="AX1245" i="1"/>
  <c r="AW1245" i="1"/>
  <c r="AV1245" i="1"/>
  <c r="AU1245" i="1"/>
  <c r="BA212" i="1"/>
  <c r="AZ212" i="1"/>
  <c r="AY212" i="1"/>
  <c r="AX212" i="1"/>
  <c r="AW212" i="1"/>
  <c r="AV212" i="1"/>
  <c r="BA211" i="1"/>
  <c r="AZ211" i="1"/>
  <c r="AY211" i="1"/>
  <c r="AX211" i="1"/>
  <c r="AW211" i="1"/>
  <c r="AV211" i="1"/>
  <c r="BA210" i="1"/>
  <c r="AZ210" i="1"/>
  <c r="AY210" i="1"/>
  <c r="AX210" i="1"/>
  <c r="AW210" i="1"/>
  <c r="AV210" i="1"/>
  <c r="BA209" i="1"/>
  <c r="AZ209" i="1"/>
  <c r="AY209" i="1"/>
  <c r="AX209" i="1"/>
  <c r="AW209" i="1"/>
  <c r="AV209" i="1"/>
  <c r="BA208" i="1"/>
  <c r="AZ208" i="1"/>
  <c r="AY208" i="1"/>
  <c r="AX208" i="1"/>
  <c r="AW208" i="1"/>
  <c r="AV208" i="1"/>
  <c r="BA303" i="1"/>
  <c r="AZ303" i="1"/>
  <c r="AY303" i="1"/>
  <c r="AX303" i="1"/>
  <c r="AW303" i="1"/>
  <c r="AV303" i="1"/>
  <c r="AU303" i="1"/>
  <c r="BA302" i="1"/>
  <c r="AZ302" i="1"/>
  <c r="AY302" i="1"/>
  <c r="AX302" i="1"/>
  <c r="AW302" i="1"/>
  <c r="AV302" i="1"/>
  <c r="AU302" i="1"/>
  <c r="BA465" i="1"/>
  <c r="AZ465" i="1"/>
  <c r="AY465" i="1"/>
  <c r="AX465" i="1"/>
  <c r="AW465" i="1"/>
  <c r="AV465" i="1"/>
  <c r="AU465" i="1"/>
  <c r="BA464" i="1"/>
  <c r="AZ464" i="1"/>
  <c r="AY464" i="1"/>
  <c r="AX464" i="1"/>
  <c r="AW464" i="1"/>
  <c r="AV464" i="1"/>
  <c r="AU464" i="1"/>
  <c r="BA463" i="1"/>
  <c r="AZ463" i="1"/>
  <c r="AY463" i="1"/>
  <c r="AX463" i="1"/>
  <c r="AW463" i="1"/>
  <c r="AV463" i="1"/>
  <c r="AU463" i="1"/>
  <c r="BA462" i="1"/>
  <c r="AZ462" i="1"/>
  <c r="AY462" i="1"/>
  <c r="AX462" i="1"/>
  <c r="AW462" i="1"/>
  <c r="AV462" i="1"/>
  <c r="AU462" i="1"/>
  <c r="BA461" i="1"/>
  <c r="AZ461" i="1"/>
  <c r="AY461" i="1"/>
  <c r="AX461" i="1"/>
  <c r="AW461" i="1"/>
  <c r="AV461" i="1"/>
  <c r="AU461" i="1"/>
  <c r="BA460" i="1"/>
  <c r="AZ460" i="1"/>
  <c r="AY460" i="1"/>
  <c r="AX460" i="1"/>
  <c r="AW460" i="1"/>
  <c r="AV460" i="1"/>
  <c r="AU460" i="1"/>
  <c r="BA626" i="1"/>
  <c r="AZ626" i="1"/>
  <c r="AY626" i="1"/>
  <c r="AX626" i="1"/>
  <c r="AW626" i="1"/>
  <c r="AU626" i="1"/>
  <c r="BA625" i="1"/>
  <c r="AZ625" i="1"/>
  <c r="AY625" i="1"/>
  <c r="AX625" i="1"/>
  <c r="AW625" i="1"/>
  <c r="AU625" i="1"/>
  <c r="BA84" i="1"/>
  <c r="AZ84" i="1"/>
  <c r="AY84" i="1"/>
  <c r="AX84" i="1"/>
  <c r="AW84" i="1"/>
  <c r="AV84" i="1"/>
  <c r="BA83" i="1"/>
  <c r="AZ83" i="1"/>
  <c r="AY83" i="1"/>
  <c r="AX83" i="1"/>
  <c r="AW83" i="1"/>
  <c r="AV83" i="1"/>
  <c r="BA82" i="1"/>
  <c r="AZ82" i="1"/>
  <c r="AY82" i="1"/>
  <c r="AX82" i="1"/>
  <c r="AW82" i="1"/>
  <c r="AV82" i="1"/>
  <c r="AU82" i="1"/>
  <c r="BA14" i="1"/>
  <c r="AZ14" i="1"/>
  <c r="AY14" i="1"/>
  <c r="AX14" i="1"/>
  <c r="AW14" i="1"/>
  <c r="AV14" i="1"/>
  <c r="AU14" i="1"/>
  <c r="BA566" i="1"/>
  <c r="AZ566" i="1"/>
  <c r="AY566" i="1"/>
  <c r="AX566" i="1"/>
  <c r="AW566" i="1"/>
  <c r="AV566" i="1"/>
  <c r="BA565" i="1"/>
  <c r="AZ565" i="1"/>
  <c r="AY565" i="1"/>
  <c r="AX565" i="1"/>
  <c r="AW565" i="1"/>
  <c r="AV565" i="1"/>
  <c r="BA624" i="1"/>
  <c r="AZ624" i="1"/>
  <c r="AY624" i="1"/>
  <c r="AX624" i="1"/>
  <c r="AW624" i="1"/>
  <c r="AU624" i="1"/>
  <c r="BA605" i="1"/>
  <c r="AZ605" i="1"/>
  <c r="AY605" i="1"/>
  <c r="AX605" i="1"/>
  <c r="AW605" i="1"/>
  <c r="AU605" i="1"/>
  <c r="BA604" i="1"/>
  <c r="AZ604" i="1"/>
  <c r="AY604" i="1"/>
  <c r="AX604" i="1"/>
  <c r="AW604" i="1"/>
  <c r="AU604" i="1"/>
  <c r="BA603" i="1"/>
  <c r="AZ603" i="1"/>
  <c r="AY603" i="1"/>
  <c r="AX603" i="1"/>
  <c r="AW603" i="1"/>
  <c r="AU603" i="1"/>
  <c r="BA602" i="1"/>
  <c r="AZ602" i="1"/>
  <c r="AY602" i="1"/>
  <c r="AX602" i="1"/>
  <c r="AW602" i="1"/>
  <c r="AU602" i="1"/>
  <c r="BA888" i="1"/>
  <c r="AZ888" i="1"/>
  <c r="AY888" i="1"/>
  <c r="AX888" i="1"/>
  <c r="AV888" i="1"/>
  <c r="AU888" i="1"/>
  <c r="BA887" i="1"/>
  <c r="AZ887" i="1"/>
  <c r="AY887" i="1"/>
  <c r="AX887" i="1"/>
  <c r="AV887" i="1"/>
  <c r="AU887" i="1"/>
  <c r="BA886" i="1"/>
  <c r="AZ886" i="1"/>
  <c r="AY886" i="1"/>
  <c r="AX886" i="1"/>
  <c r="AV886" i="1"/>
  <c r="AU886" i="1"/>
  <c r="BA885" i="1"/>
  <c r="AZ885" i="1"/>
  <c r="AY885" i="1"/>
  <c r="AX885" i="1"/>
  <c r="AV885" i="1"/>
  <c r="AU885" i="1"/>
  <c r="BA1163" i="1"/>
  <c r="AZ1163" i="1"/>
  <c r="AY1163" i="1"/>
  <c r="AX1163" i="1"/>
  <c r="AW1163" i="1"/>
  <c r="AV1163" i="1"/>
  <c r="AU1163" i="1"/>
  <c r="BA1162" i="1"/>
  <c r="AZ1162" i="1"/>
  <c r="AY1162" i="1"/>
  <c r="AX1162" i="1"/>
  <c r="AW1162" i="1"/>
  <c r="AV1162" i="1"/>
  <c r="AU1162" i="1"/>
  <c r="BA1161" i="1"/>
  <c r="AZ1161" i="1"/>
  <c r="AY1161" i="1"/>
  <c r="AX1161" i="1"/>
  <c r="AW1161" i="1"/>
  <c r="AV1161" i="1"/>
  <c r="AU1161" i="1"/>
  <c r="BA1160" i="1"/>
  <c r="AZ1160" i="1"/>
  <c r="AY1160" i="1"/>
  <c r="AX1160" i="1"/>
  <c r="AW1160" i="1"/>
  <c r="AV1160" i="1"/>
  <c r="AU1160" i="1"/>
  <c r="BA674" i="1"/>
  <c r="AZ674" i="1"/>
  <c r="AY674" i="1"/>
  <c r="AX674" i="1"/>
  <c r="AW674" i="1"/>
  <c r="AV674" i="1"/>
  <c r="AU674" i="1"/>
  <c r="BA450" i="1"/>
  <c r="AZ450" i="1"/>
  <c r="AY450" i="1"/>
  <c r="AX450" i="1"/>
  <c r="AW450" i="1"/>
  <c r="AV450" i="1"/>
  <c r="AZ1220" i="1"/>
  <c r="AY1220" i="1"/>
  <c r="AX1220" i="1"/>
  <c r="AW1220" i="1"/>
  <c r="AV1220" i="1"/>
  <c r="AU1220" i="1"/>
  <c r="AZ1219" i="1"/>
  <c r="AY1219" i="1"/>
  <c r="AX1219" i="1"/>
  <c r="AW1219" i="1"/>
  <c r="AV1219" i="1"/>
  <c r="BB775" i="1"/>
  <c r="BA775" i="1"/>
  <c r="AZ775" i="1"/>
  <c r="AY775" i="1"/>
  <c r="AX775" i="1"/>
  <c r="AW775" i="1"/>
  <c r="AV775" i="1"/>
  <c r="AU775" i="1"/>
  <c r="BB304" i="1"/>
  <c r="BA304" i="1"/>
  <c r="AZ304" i="1"/>
  <c r="AY304" i="1"/>
  <c r="AX304" i="1"/>
  <c r="AW304" i="1"/>
  <c r="AV304" i="1"/>
  <c r="AU304" i="1"/>
  <c r="BB713" i="1"/>
  <c r="BA713" i="1"/>
  <c r="AZ713" i="1"/>
  <c r="AY713" i="1"/>
  <c r="AX713" i="1"/>
  <c r="AW713" i="1"/>
  <c r="AV713" i="1"/>
  <c r="AU713" i="1"/>
  <c r="BB306" i="1"/>
  <c r="BA306" i="1"/>
  <c r="AZ306" i="1"/>
  <c r="AY306" i="1"/>
  <c r="AX306" i="1"/>
  <c r="AW306" i="1"/>
  <c r="AV306" i="1"/>
  <c r="AU306" i="1"/>
  <c r="BB305" i="1"/>
  <c r="BA305" i="1"/>
  <c r="AZ305" i="1"/>
  <c r="AY305" i="1"/>
  <c r="AX305" i="1"/>
  <c r="AW305" i="1"/>
  <c r="AV305" i="1"/>
  <c r="AU305" i="1"/>
  <c r="BB333" i="1"/>
  <c r="BA333" i="1"/>
  <c r="AZ333" i="1"/>
  <c r="AY333" i="1"/>
  <c r="AX333" i="1"/>
  <c r="AV333" i="1"/>
  <c r="AU333" i="1"/>
  <c r="BB792" i="1"/>
  <c r="BA792" i="1"/>
  <c r="AZ792" i="1"/>
  <c r="AX792" i="1"/>
  <c r="AV792" i="1"/>
  <c r="AU792" i="1"/>
  <c r="BB791" i="1"/>
  <c r="BA791" i="1"/>
  <c r="AZ791" i="1"/>
  <c r="AX791" i="1"/>
  <c r="AV791" i="1"/>
  <c r="AU791" i="1"/>
  <c r="BB790" i="1"/>
  <c r="BA790" i="1"/>
  <c r="AZ790" i="1"/>
  <c r="AX790" i="1"/>
  <c r="AV790" i="1"/>
  <c r="AU790" i="1"/>
  <c r="BB789" i="1"/>
  <c r="BA789" i="1"/>
  <c r="AZ789" i="1"/>
  <c r="AX789" i="1"/>
  <c r="AV789" i="1"/>
  <c r="AU789" i="1"/>
  <c r="BB788" i="1"/>
  <c r="BA788" i="1"/>
  <c r="AZ788" i="1"/>
  <c r="AX788" i="1"/>
  <c r="AV788" i="1"/>
  <c r="AU788" i="1"/>
  <c r="BB787" i="1"/>
  <c r="BA787" i="1"/>
  <c r="AZ787" i="1"/>
  <c r="AX787" i="1"/>
  <c r="AV787" i="1"/>
  <c r="AU787" i="1"/>
  <c r="BB786" i="1"/>
  <c r="BA786" i="1"/>
  <c r="AZ786" i="1"/>
  <c r="AX786" i="1"/>
  <c r="AV786" i="1"/>
  <c r="AU786" i="1"/>
  <c r="BB785" i="1"/>
  <c r="BA785" i="1"/>
  <c r="AZ785" i="1"/>
  <c r="AX785" i="1"/>
  <c r="AV785" i="1"/>
  <c r="AU785" i="1"/>
  <c r="BB784" i="1"/>
  <c r="BA784" i="1"/>
  <c r="AZ784" i="1"/>
  <c r="AX784" i="1"/>
  <c r="AV784" i="1"/>
  <c r="AU784" i="1"/>
  <c r="BB783" i="1"/>
  <c r="BA783" i="1"/>
  <c r="AZ783" i="1"/>
  <c r="AX783" i="1"/>
  <c r="AV783" i="1"/>
  <c r="AU783" i="1"/>
  <c r="BB782" i="1"/>
  <c r="BA782" i="1"/>
  <c r="AZ782" i="1"/>
  <c r="AX782" i="1"/>
  <c r="AV782" i="1"/>
  <c r="AU782" i="1"/>
  <c r="BB781" i="1"/>
  <c r="BA781" i="1"/>
  <c r="AZ781" i="1"/>
  <c r="AX781" i="1"/>
  <c r="AV781" i="1"/>
  <c r="AU781" i="1"/>
  <c r="BB980" i="1"/>
  <c r="BA980" i="1"/>
  <c r="AZ980" i="1"/>
  <c r="AY980" i="1"/>
  <c r="AX980" i="1"/>
  <c r="AW980" i="1"/>
  <c r="AV980" i="1"/>
  <c r="AU980" i="1"/>
  <c r="BB979" i="1"/>
  <c r="BA979" i="1"/>
  <c r="AZ979" i="1"/>
  <c r="AY979" i="1"/>
  <c r="AX979" i="1"/>
  <c r="AW979" i="1"/>
  <c r="AV979" i="1"/>
  <c r="AU979" i="1"/>
  <c r="BB978" i="1"/>
  <c r="BA978" i="1"/>
  <c r="AZ978" i="1"/>
  <c r="AY978" i="1"/>
  <c r="AX978" i="1"/>
  <c r="AW978" i="1"/>
  <c r="AV978" i="1"/>
  <c r="AU978" i="1"/>
  <c r="BB977" i="1"/>
  <c r="BA977" i="1"/>
  <c r="AZ977" i="1"/>
  <c r="AY977" i="1"/>
  <c r="AX977" i="1"/>
  <c r="AW977" i="1"/>
  <c r="AV977" i="1"/>
  <c r="AU977" i="1"/>
  <c r="BB767" i="1"/>
  <c r="BA767" i="1"/>
  <c r="AZ767" i="1"/>
  <c r="AY767" i="1"/>
  <c r="AX767" i="1"/>
  <c r="AW767" i="1"/>
  <c r="AV767" i="1"/>
  <c r="AU767" i="1"/>
  <c r="BB766" i="1"/>
  <c r="BA766" i="1"/>
  <c r="AZ766" i="1"/>
  <c r="AY766" i="1"/>
  <c r="AX766" i="1"/>
  <c r="AW766" i="1"/>
  <c r="AV766" i="1"/>
  <c r="AU766" i="1"/>
  <c r="BB774" i="1"/>
  <c r="BA774" i="1"/>
  <c r="AZ774" i="1"/>
  <c r="AY774" i="1"/>
  <c r="AX774" i="1"/>
  <c r="AW774" i="1"/>
  <c r="AV774" i="1"/>
  <c r="AU774" i="1"/>
  <c r="BA712" i="1"/>
  <c r="AZ712" i="1"/>
  <c r="AX712" i="1"/>
  <c r="AV712" i="1"/>
  <c r="AU712" i="1"/>
  <c r="BA711" i="1"/>
  <c r="AZ711" i="1"/>
  <c r="AX711" i="1"/>
  <c r="AV711" i="1"/>
  <c r="AU711" i="1"/>
  <c r="BA710" i="1"/>
  <c r="AZ710" i="1"/>
  <c r="AX710" i="1"/>
  <c r="AV710" i="1"/>
  <c r="AU710" i="1"/>
  <c r="BA709" i="1"/>
  <c r="AZ709" i="1"/>
  <c r="AX709" i="1"/>
  <c r="AV709" i="1"/>
  <c r="AU709" i="1"/>
  <c r="BA708" i="1"/>
  <c r="AZ708" i="1"/>
  <c r="AX708" i="1"/>
  <c r="AV708" i="1"/>
  <c r="AU708" i="1"/>
  <c r="BA707" i="1"/>
  <c r="AZ707" i="1"/>
  <c r="AY707" i="1"/>
  <c r="AX707" i="1"/>
  <c r="AW707" i="1"/>
  <c r="AV707" i="1"/>
  <c r="AU707" i="1"/>
  <c r="BA706" i="1"/>
  <c r="AZ706" i="1"/>
  <c r="AY706" i="1"/>
  <c r="AX706" i="1"/>
  <c r="AW706" i="1"/>
  <c r="AV706" i="1"/>
  <c r="BA705" i="1"/>
  <c r="AZ705" i="1"/>
  <c r="AY705" i="1"/>
  <c r="AX705" i="1"/>
  <c r="AW705" i="1"/>
  <c r="AV705" i="1"/>
  <c r="AU705" i="1"/>
  <c r="BA704" i="1"/>
  <c r="AZ704" i="1"/>
  <c r="AY704" i="1"/>
  <c r="AX704" i="1"/>
  <c r="AW704" i="1"/>
  <c r="AV704" i="1"/>
  <c r="BB814" i="1"/>
  <c r="BA814" i="1"/>
  <c r="AZ814" i="1"/>
  <c r="AY814" i="1"/>
  <c r="AX814" i="1"/>
  <c r="AW814" i="1"/>
  <c r="AV814" i="1"/>
  <c r="AU814" i="1"/>
  <c r="BA34" i="1"/>
  <c r="AZ34" i="1"/>
  <c r="AY34" i="1"/>
  <c r="AX34" i="1"/>
  <c r="AW34" i="1"/>
  <c r="AV34" i="1"/>
  <c r="AU34" i="1"/>
  <c r="BA33" i="1"/>
  <c r="AZ33" i="1"/>
  <c r="AY33" i="1"/>
  <c r="AX33" i="1"/>
  <c r="AW33" i="1"/>
  <c r="AV33" i="1"/>
  <c r="AU33" i="1"/>
  <c r="BA32" i="1"/>
  <c r="AZ32" i="1"/>
  <c r="AY32" i="1"/>
  <c r="AX32" i="1"/>
  <c r="AW32" i="1"/>
  <c r="AV32" i="1"/>
  <c r="AU32" i="1"/>
  <c r="BA31" i="1"/>
  <c r="AZ31" i="1"/>
  <c r="AY31" i="1"/>
  <c r="AX31" i="1"/>
  <c r="AW31" i="1"/>
  <c r="AV31" i="1"/>
  <c r="AU31" i="1"/>
  <c r="BA30" i="1"/>
  <c r="AZ30" i="1"/>
  <c r="AY30" i="1"/>
  <c r="AX30" i="1"/>
  <c r="AW30" i="1"/>
  <c r="AV30" i="1"/>
  <c r="AU30" i="1"/>
  <c r="BA29" i="1"/>
  <c r="AZ29" i="1"/>
  <c r="AY29" i="1"/>
  <c r="AX29" i="1"/>
  <c r="AW29" i="1"/>
  <c r="AV29" i="1"/>
  <c r="AU29" i="1"/>
  <c r="BA28" i="1"/>
  <c r="AZ28" i="1"/>
  <c r="AY28" i="1"/>
  <c r="AX28" i="1"/>
  <c r="AW28" i="1"/>
  <c r="AV28" i="1"/>
  <c r="AU28" i="1"/>
  <c r="BA27" i="1"/>
  <c r="AZ27" i="1"/>
  <c r="AY27" i="1"/>
  <c r="AX27" i="1"/>
  <c r="AW27" i="1"/>
  <c r="AV27" i="1"/>
  <c r="AU27" i="1"/>
  <c r="BA26" i="1"/>
  <c r="AZ26" i="1"/>
  <c r="AY26" i="1"/>
  <c r="AX26" i="1"/>
  <c r="AW26" i="1"/>
  <c r="AV26" i="1"/>
  <c r="AU26" i="1"/>
  <c r="BA25" i="1"/>
  <c r="AZ25" i="1"/>
  <c r="AY25" i="1"/>
  <c r="AX25" i="1"/>
  <c r="AW25" i="1"/>
  <c r="AV25" i="1"/>
  <c r="AU25" i="1"/>
  <c r="BA963" i="1"/>
  <c r="AZ963" i="1"/>
  <c r="AY963" i="1"/>
  <c r="AX963" i="1"/>
  <c r="AW963" i="1"/>
  <c r="AV963" i="1"/>
  <c r="AU963" i="1"/>
  <c r="BB962" i="1"/>
  <c r="BA962" i="1"/>
  <c r="AZ962" i="1"/>
  <c r="AY962" i="1"/>
  <c r="AX962" i="1"/>
  <c r="AW962" i="1"/>
  <c r="AV962" i="1"/>
  <c r="AU962" i="1"/>
  <c r="BB961" i="1"/>
  <c r="BA961" i="1"/>
  <c r="AZ961" i="1"/>
  <c r="AY961" i="1"/>
  <c r="AX961" i="1"/>
  <c r="AW961" i="1"/>
  <c r="AV961" i="1"/>
  <c r="AU961" i="1"/>
  <c r="BB960" i="1"/>
  <c r="BA960" i="1"/>
  <c r="AZ960" i="1"/>
  <c r="AY960" i="1"/>
  <c r="AX960" i="1"/>
  <c r="AW960" i="1"/>
  <c r="AV960" i="1"/>
  <c r="AU960" i="1"/>
  <c r="BB959" i="1"/>
  <c r="BA959" i="1"/>
  <c r="AZ959" i="1"/>
  <c r="AY959" i="1"/>
  <c r="AX959" i="1"/>
  <c r="AW959" i="1"/>
  <c r="AV959" i="1"/>
  <c r="AU959" i="1"/>
  <c r="BA958" i="1"/>
  <c r="AZ958" i="1"/>
  <c r="AY958" i="1"/>
  <c r="AX958" i="1"/>
  <c r="AW958" i="1"/>
  <c r="AV958" i="1"/>
  <c r="AU958" i="1"/>
  <c r="BB1244" i="1"/>
  <c r="BA1244" i="1"/>
  <c r="AZ1244" i="1"/>
  <c r="AY1244" i="1"/>
  <c r="AX1244" i="1"/>
  <c r="AW1244" i="1"/>
  <c r="AV1244" i="1"/>
  <c r="AU1244" i="1"/>
  <c r="BA1243" i="1"/>
  <c r="AZ1243" i="1"/>
  <c r="AY1243" i="1"/>
  <c r="AX1243" i="1"/>
  <c r="AW1243" i="1"/>
  <c r="AV1243" i="1"/>
  <c r="AU1243" i="1"/>
  <c r="BA1225" i="1"/>
  <c r="AZ1225" i="1"/>
  <c r="AY1225" i="1"/>
  <c r="AX1225" i="1"/>
  <c r="AW1225" i="1"/>
  <c r="AV1225" i="1"/>
  <c r="AU1225" i="1"/>
  <c r="BA1224" i="1"/>
  <c r="AZ1224" i="1"/>
  <c r="AY1224" i="1"/>
  <c r="AX1224" i="1"/>
  <c r="AW1224" i="1"/>
  <c r="AV1224" i="1"/>
  <c r="AU1224" i="1"/>
  <c r="BA1223" i="1"/>
  <c r="AZ1223" i="1"/>
  <c r="AY1223" i="1"/>
  <c r="AX1223" i="1"/>
  <c r="AW1223" i="1"/>
  <c r="AV1223" i="1"/>
  <c r="AU1223" i="1"/>
  <c r="BB1222" i="1"/>
  <c r="BA1222" i="1"/>
  <c r="AZ1222" i="1"/>
  <c r="AX1222" i="1"/>
  <c r="AV1222" i="1"/>
  <c r="AU1222" i="1"/>
  <c r="BB1221" i="1"/>
  <c r="BA1221" i="1"/>
  <c r="AZ1221" i="1"/>
  <c r="AX1221" i="1"/>
  <c r="AV1221" i="1"/>
  <c r="AU1221" i="1"/>
  <c r="BB1218" i="1"/>
  <c r="BA1218" i="1"/>
  <c r="AZ1218" i="1"/>
  <c r="AY1218" i="1"/>
  <c r="AX1218" i="1"/>
  <c r="AW1218" i="1"/>
  <c r="AV1218" i="1"/>
  <c r="AU1218" i="1"/>
  <c r="BA1217" i="1"/>
  <c r="AZ1217" i="1"/>
  <c r="AY1217" i="1"/>
  <c r="AX1217" i="1"/>
  <c r="AW1217" i="1"/>
  <c r="AV1217" i="1"/>
  <c r="AU1217" i="1"/>
  <c r="BA1216" i="1"/>
  <c r="AZ1216" i="1"/>
  <c r="AY1216" i="1"/>
  <c r="AX1216" i="1"/>
  <c r="AW1216" i="1"/>
  <c r="AV1216" i="1"/>
  <c r="AU1216" i="1"/>
  <c r="BA1215" i="1"/>
  <c r="AZ1215" i="1"/>
  <c r="AY1215" i="1"/>
  <c r="AX1215" i="1"/>
  <c r="AW1215" i="1"/>
  <c r="AV1215" i="1"/>
  <c r="AU1215" i="1"/>
  <c r="BA1214" i="1"/>
  <c r="AZ1214" i="1"/>
  <c r="AY1214" i="1"/>
  <c r="AX1214" i="1"/>
  <c r="AW1214" i="1"/>
  <c r="AV1214" i="1"/>
  <c r="AU1214" i="1"/>
  <c r="BA1213" i="1"/>
  <c r="AZ1213" i="1"/>
  <c r="AY1213" i="1"/>
  <c r="AX1213" i="1"/>
  <c r="AW1213" i="1"/>
  <c r="AV1213" i="1"/>
  <c r="AU1213" i="1"/>
  <c r="BA1212" i="1"/>
  <c r="AZ1212" i="1"/>
  <c r="AY1212" i="1"/>
  <c r="AX1212" i="1"/>
  <c r="AW1212" i="1"/>
  <c r="AV1212" i="1"/>
  <c r="AU1212" i="1"/>
  <c r="BA1202" i="1"/>
  <c r="AZ1202" i="1"/>
  <c r="AY1202" i="1"/>
  <c r="AX1202" i="1"/>
  <c r="AW1202" i="1"/>
  <c r="AU1202" i="1"/>
  <c r="BA1201" i="1"/>
  <c r="AZ1201" i="1"/>
  <c r="AY1201" i="1"/>
  <c r="AX1201" i="1"/>
  <c r="AW1201" i="1"/>
  <c r="AV1201" i="1"/>
  <c r="AU1201" i="1"/>
  <c r="BA1200" i="1"/>
  <c r="AZ1200" i="1"/>
  <c r="AY1200" i="1"/>
  <c r="AX1200" i="1"/>
  <c r="AW1200" i="1"/>
  <c r="AV1200" i="1"/>
  <c r="AU1200" i="1"/>
  <c r="BA1199" i="1"/>
  <c r="AZ1199" i="1"/>
  <c r="AY1199" i="1"/>
  <c r="AX1199" i="1"/>
  <c r="AW1199" i="1"/>
  <c r="AV1199" i="1"/>
  <c r="AU1199" i="1"/>
  <c r="BA1198" i="1"/>
  <c r="AZ1198" i="1"/>
  <c r="AY1198" i="1"/>
  <c r="AX1198" i="1"/>
  <c r="AW1198" i="1"/>
  <c r="AV1198" i="1"/>
  <c r="AU1198" i="1"/>
  <c r="BA1197" i="1"/>
  <c r="AZ1197" i="1"/>
  <c r="AY1197" i="1"/>
  <c r="AX1197" i="1"/>
  <c r="AW1197" i="1"/>
  <c r="AV1197" i="1"/>
  <c r="AU1197" i="1"/>
  <c r="BA1196" i="1"/>
  <c r="AZ1196" i="1"/>
  <c r="AY1196" i="1"/>
  <c r="AX1196" i="1"/>
  <c r="AW1196" i="1"/>
  <c r="AV1196" i="1"/>
  <c r="AU1196" i="1"/>
  <c r="BA1195" i="1"/>
  <c r="AZ1195" i="1"/>
  <c r="AY1195" i="1"/>
  <c r="AX1195" i="1"/>
  <c r="AW1195" i="1"/>
  <c r="AV1195" i="1"/>
  <c r="AU1195" i="1"/>
  <c r="BA1194" i="1"/>
  <c r="AZ1194" i="1"/>
  <c r="AY1194" i="1"/>
  <c r="AX1194" i="1"/>
  <c r="AW1194" i="1"/>
  <c r="AV1194" i="1"/>
  <c r="AU1194" i="1"/>
  <c r="BA1193" i="1"/>
  <c r="AZ1193" i="1"/>
  <c r="AY1193" i="1"/>
  <c r="AX1193" i="1"/>
  <c r="AW1193" i="1"/>
  <c r="AV1193" i="1"/>
  <c r="AU1193" i="1"/>
  <c r="BA1192" i="1"/>
  <c r="AZ1192" i="1"/>
  <c r="AY1192" i="1"/>
  <c r="AX1192" i="1"/>
  <c r="AW1192" i="1"/>
  <c r="AV1192" i="1"/>
  <c r="AU1192" i="1"/>
  <c r="BB1166" i="1"/>
  <c r="BA1166" i="1"/>
  <c r="AZ1166" i="1"/>
  <c r="AY1166" i="1"/>
  <c r="AX1166" i="1"/>
  <c r="AW1166" i="1"/>
  <c r="AV1166" i="1"/>
  <c r="AU1166" i="1"/>
  <c r="BB1165" i="1"/>
  <c r="BA1165" i="1"/>
  <c r="AZ1165" i="1"/>
  <c r="AY1165" i="1"/>
  <c r="AX1165" i="1"/>
  <c r="AW1165" i="1"/>
  <c r="AV1165" i="1"/>
  <c r="AU1165" i="1"/>
  <c r="BB1164" i="1"/>
  <c r="BA1164" i="1"/>
  <c r="AZ1164" i="1"/>
  <c r="AY1164" i="1"/>
  <c r="AX1164" i="1"/>
  <c r="AW1164" i="1"/>
  <c r="AV1164" i="1"/>
  <c r="AU1164" i="1"/>
  <c r="BA1150" i="1"/>
  <c r="AZ1150" i="1"/>
  <c r="AY1150" i="1"/>
  <c r="AX1150" i="1"/>
  <c r="AW1150" i="1"/>
  <c r="AV1150" i="1"/>
  <c r="AU1150" i="1"/>
  <c r="BA1149" i="1"/>
  <c r="AZ1149" i="1"/>
  <c r="AY1149" i="1"/>
  <c r="AX1149" i="1"/>
  <c r="AW1149" i="1"/>
  <c r="AV1149" i="1"/>
  <c r="AU1149" i="1"/>
  <c r="BA1148" i="1"/>
  <c r="AZ1148" i="1"/>
  <c r="AY1148" i="1"/>
  <c r="AX1148" i="1"/>
  <c r="AW1148" i="1"/>
  <c r="AV1148" i="1"/>
  <c r="AU1148" i="1"/>
  <c r="BA1147" i="1"/>
  <c r="AZ1147" i="1"/>
  <c r="AY1147" i="1"/>
  <c r="AX1147" i="1"/>
  <c r="AW1147" i="1"/>
  <c r="AV1147" i="1"/>
  <c r="AU1147" i="1"/>
  <c r="BA1146" i="1"/>
  <c r="AZ1146" i="1"/>
  <c r="AY1146" i="1"/>
  <c r="AX1146" i="1"/>
  <c r="AW1146" i="1"/>
  <c r="AV1146" i="1"/>
  <c r="AU1146" i="1"/>
  <c r="BA1145" i="1"/>
  <c r="AZ1145" i="1"/>
  <c r="AY1145" i="1"/>
  <c r="AX1145" i="1"/>
  <c r="AW1145" i="1"/>
  <c r="AV1145" i="1"/>
  <c r="AU1145" i="1"/>
  <c r="BA1144" i="1"/>
  <c r="AZ1144" i="1"/>
  <c r="AY1144" i="1"/>
  <c r="AX1144" i="1"/>
  <c r="AW1144" i="1"/>
  <c r="AV1144" i="1"/>
  <c r="AU1144" i="1"/>
  <c r="AZ1143" i="1"/>
  <c r="AY1143" i="1"/>
  <c r="AX1143" i="1"/>
  <c r="AV1143" i="1"/>
  <c r="AU1143" i="1"/>
  <c r="AZ1142" i="1"/>
  <c r="AY1142" i="1"/>
  <c r="AX1142" i="1"/>
  <c r="AV1142" i="1"/>
  <c r="AU1142" i="1"/>
  <c r="AZ1141" i="1"/>
  <c r="AY1141" i="1"/>
  <c r="AX1141" i="1"/>
  <c r="AV1141" i="1"/>
  <c r="AU1141" i="1"/>
  <c r="BA1140" i="1"/>
  <c r="AZ1140" i="1"/>
  <c r="AX1140" i="1"/>
  <c r="AW1140" i="1"/>
  <c r="AV1140" i="1"/>
  <c r="AU1140" i="1"/>
  <c r="BA1139" i="1"/>
  <c r="AZ1139" i="1"/>
  <c r="AX1139" i="1"/>
  <c r="AW1139" i="1"/>
  <c r="AV1139" i="1"/>
  <c r="AU1139" i="1"/>
  <c r="BA1138" i="1"/>
  <c r="AZ1138" i="1"/>
  <c r="AX1138" i="1"/>
  <c r="AW1138" i="1"/>
  <c r="AV1138" i="1"/>
  <c r="AU1138" i="1"/>
  <c r="BA1137" i="1"/>
  <c r="AZ1137" i="1"/>
  <c r="AX1137" i="1"/>
  <c r="AW1137" i="1"/>
  <c r="AV1137" i="1"/>
  <c r="AU1137" i="1"/>
  <c r="BA1136" i="1"/>
  <c r="AZ1136" i="1"/>
  <c r="AX1136" i="1"/>
  <c r="AW1136" i="1"/>
  <c r="AV1136" i="1"/>
  <c r="AU1136" i="1"/>
  <c r="BA1135" i="1"/>
  <c r="AZ1135" i="1"/>
  <c r="AX1135" i="1"/>
  <c r="AW1135" i="1"/>
  <c r="AV1135" i="1"/>
  <c r="AU1135" i="1"/>
  <c r="BA1134" i="1"/>
  <c r="AZ1134" i="1"/>
  <c r="AX1134" i="1"/>
  <c r="AW1134" i="1"/>
  <c r="AV1134" i="1"/>
  <c r="AU1134" i="1"/>
  <c r="BA1133" i="1"/>
  <c r="AZ1133" i="1"/>
  <c r="AX1133" i="1"/>
  <c r="AW1133" i="1"/>
  <c r="AV1133" i="1"/>
  <c r="AU1133" i="1"/>
  <c r="BA1132" i="1"/>
  <c r="AZ1132" i="1"/>
  <c r="AX1132" i="1"/>
  <c r="AW1132" i="1"/>
  <c r="AV1132" i="1"/>
  <c r="AU1132" i="1"/>
  <c r="BA1131" i="1"/>
  <c r="AZ1131" i="1"/>
  <c r="AX1131" i="1"/>
  <c r="AW1131" i="1"/>
  <c r="AV1131" i="1"/>
  <c r="AU1131" i="1"/>
  <c r="BA1130" i="1"/>
  <c r="AZ1130" i="1"/>
  <c r="AX1130" i="1"/>
  <c r="AW1130" i="1"/>
  <c r="AV1130" i="1"/>
  <c r="AU1130" i="1"/>
  <c r="BA1129" i="1"/>
  <c r="AZ1129" i="1"/>
  <c r="AX1129" i="1"/>
  <c r="AW1129" i="1"/>
  <c r="AV1129" i="1"/>
  <c r="AU1129" i="1"/>
  <c r="BA1128" i="1"/>
  <c r="AZ1128" i="1"/>
  <c r="AX1128" i="1"/>
  <c r="AW1128" i="1"/>
  <c r="AV1128" i="1"/>
  <c r="AU1128" i="1"/>
  <c r="BA1127" i="1"/>
  <c r="AZ1127" i="1"/>
  <c r="AX1127" i="1"/>
  <c r="AW1127" i="1"/>
  <c r="AV1127" i="1"/>
  <c r="AU1127" i="1"/>
  <c r="BA1126" i="1"/>
  <c r="AZ1126" i="1"/>
  <c r="AX1126" i="1"/>
  <c r="AW1126" i="1"/>
  <c r="AV1126" i="1"/>
  <c r="AU1126" i="1"/>
  <c r="BA1125" i="1"/>
  <c r="AZ1125" i="1"/>
  <c r="AX1125" i="1"/>
  <c r="AW1125" i="1"/>
  <c r="AV1125" i="1"/>
  <c r="AU1125" i="1"/>
  <c r="BA1124" i="1"/>
  <c r="AZ1124" i="1"/>
  <c r="AY1124" i="1"/>
  <c r="AX1124" i="1"/>
  <c r="AW1124" i="1"/>
  <c r="AV1124" i="1"/>
  <c r="AU1124" i="1"/>
  <c r="BA1123" i="1"/>
  <c r="AZ1123" i="1"/>
  <c r="AY1123" i="1"/>
  <c r="AX1123" i="1"/>
  <c r="AW1123" i="1"/>
  <c r="AV1123" i="1"/>
  <c r="AU1123" i="1"/>
  <c r="BA1122" i="1"/>
  <c r="AZ1122" i="1"/>
  <c r="AY1122" i="1"/>
  <c r="AX1122" i="1"/>
  <c r="AW1122" i="1"/>
  <c r="AV1122" i="1"/>
  <c r="AU1122" i="1"/>
  <c r="BA1121" i="1"/>
  <c r="AZ1121" i="1"/>
  <c r="AY1121" i="1"/>
  <c r="AX1121" i="1"/>
  <c r="AW1121" i="1"/>
  <c r="AV1121" i="1"/>
  <c r="AU1121" i="1"/>
  <c r="BA1120" i="1"/>
  <c r="AZ1120" i="1"/>
  <c r="AY1120" i="1"/>
  <c r="AX1120" i="1"/>
  <c r="AW1120" i="1"/>
  <c r="AV1120" i="1"/>
  <c r="AU1120" i="1"/>
  <c r="BA1119" i="1"/>
  <c r="AZ1119" i="1"/>
  <c r="AY1119" i="1"/>
  <c r="AX1119" i="1"/>
  <c r="AW1119" i="1"/>
  <c r="AV1119" i="1"/>
  <c r="AU1119" i="1"/>
  <c r="BA1118" i="1"/>
  <c r="AZ1118" i="1"/>
  <c r="AY1118" i="1"/>
  <c r="AX1118" i="1"/>
  <c r="AW1118" i="1"/>
  <c r="AV1118" i="1"/>
  <c r="AU1118" i="1"/>
  <c r="BA1117" i="1"/>
  <c r="AZ1117" i="1"/>
  <c r="AY1117" i="1"/>
  <c r="AX1117" i="1"/>
  <c r="AW1117" i="1"/>
  <c r="AV1117" i="1"/>
  <c r="AU1117" i="1"/>
  <c r="BA1116" i="1"/>
  <c r="AZ1116" i="1"/>
  <c r="AY1116" i="1"/>
  <c r="AX1116" i="1"/>
  <c r="AW1116" i="1"/>
  <c r="AV1116" i="1"/>
  <c r="AU1116" i="1"/>
  <c r="BA1115" i="1"/>
  <c r="AZ1115" i="1"/>
  <c r="AY1115" i="1"/>
  <c r="AX1115" i="1"/>
  <c r="AW1115" i="1"/>
  <c r="AV1115" i="1"/>
  <c r="AU1115" i="1"/>
  <c r="BA1114" i="1"/>
  <c r="AZ1114" i="1"/>
  <c r="AY1114" i="1"/>
  <c r="AX1114" i="1"/>
  <c r="AW1114" i="1"/>
  <c r="AV1114" i="1"/>
  <c r="AU1114" i="1"/>
  <c r="BA1113" i="1"/>
  <c r="AZ1113" i="1"/>
  <c r="AY1113" i="1"/>
  <c r="AX1113" i="1"/>
  <c r="AW1113" i="1"/>
  <c r="AV1113" i="1"/>
  <c r="AU1113" i="1"/>
  <c r="BA1112" i="1"/>
  <c r="AZ1112" i="1"/>
  <c r="AY1112" i="1"/>
  <c r="AX1112" i="1"/>
  <c r="AW1112" i="1"/>
  <c r="AV1112" i="1"/>
  <c r="AU1112" i="1"/>
  <c r="BA1111" i="1"/>
  <c r="AZ1111" i="1"/>
  <c r="AY1111" i="1"/>
  <c r="AX1111" i="1"/>
  <c r="AW1111" i="1"/>
  <c r="AV1111" i="1"/>
  <c r="AU1111" i="1"/>
  <c r="BA1110" i="1"/>
  <c r="AZ1110" i="1"/>
  <c r="AY1110" i="1"/>
  <c r="AX1110" i="1"/>
  <c r="AW1110" i="1"/>
  <c r="AV1110" i="1"/>
  <c r="AU1110" i="1"/>
  <c r="BA1109" i="1"/>
  <c r="AZ1109" i="1"/>
  <c r="AY1109" i="1"/>
  <c r="AX1109" i="1"/>
  <c r="AW1109" i="1"/>
  <c r="AV1109" i="1"/>
  <c r="AU1109" i="1"/>
  <c r="BA1108" i="1"/>
  <c r="AZ1108" i="1"/>
  <c r="AY1108" i="1"/>
  <c r="AX1108" i="1"/>
  <c r="AW1108" i="1"/>
  <c r="AV1108" i="1"/>
  <c r="AU1108" i="1"/>
  <c r="BA1107" i="1"/>
  <c r="AZ1107" i="1"/>
  <c r="AY1107" i="1"/>
  <c r="AX1107" i="1"/>
  <c r="AW1107" i="1"/>
  <c r="AV1107" i="1"/>
  <c r="AU1107" i="1"/>
  <c r="BA1106" i="1"/>
  <c r="AZ1106" i="1"/>
  <c r="AY1106" i="1"/>
  <c r="AX1106" i="1"/>
  <c r="AW1106" i="1"/>
  <c r="AV1106" i="1"/>
  <c r="AU1106" i="1"/>
  <c r="BA1105" i="1"/>
  <c r="AZ1105" i="1"/>
  <c r="AY1105" i="1"/>
  <c r="AX1105" i="1"/>
  <c r="AW1105" i="1"/>
  <c r="AV1105" i="1"/>
  <c r="AU1105" i="1"/>
  <c r="BA1104" i="1"/>
  <c r="AZ1104" i="1"/>
  <c r="AY1104" i="1"/>
  <c r="AX1104" i="1"/>
  <c r="AW1104" i="1"/>
  <c r="AV1104" i="1"/>
  <c r="AU1104" i="1"/>
  <c r="BA1103" i="1"/>
  <c r="AZ1103" i="1"/>
  <c r="AY1103" i="1"/>
  <c r="AX1103" i="1"/>
  <c r="AW1103" i="1"/>
  <c r="AV1103" i="1"/>
  <c r="AU1103" i="1"/>
  <c r="BB1102" i="1"/>
  <c r="BA1102" i="1"/>
  <c r="AZ1102" i="1"/>
  <c r="AY1102" i="1"/>
  <c r="AX1102" i="1"/>
  <c r="AW1102" i="1"/>
  <c r="AV1102" i="1"/>
  <c r="AU1102" i="1"/>
  <c r="BB1101" i="1"/>
  <c r="BA1101" i="1"/>
  <c r="AZ1101" i="1"/>
  <c r="AY1101" i="1"/>
  <c r="AX1101" i="1"/>
  <c r="AW1101" i="1"/>
  <c r="AV1101" i="1"/>
  <c r="AU1101" i="1"/>
  <c r="BB1100" i="1"/>
  <c r="BA1100" i="1"/>
  <c r="AZ1100" i="1"/>
  <c r="AY1100" i="1"/>
  <c r="AX1100" i="1"/>
  <c r="AW1100" i="1"/>
  <c r="AV1100" i="1"/>
  <c r="AU1100" i="1"/>
  <c r="BA1059" i="1"/>
  <c r="AZ1059" i="1"/>
  <c r="AY1059" i="1"/>
  <c r="AX1059" i="1"/>
  <c r="AV1059" i="1"/>
  <c r="AU1059" i="1"/>
  <c r="BA1058" i="1"/>
  <c r="AZ1058" i="1"/>
  <c r="AY1058" i="1"/>
  <c r="AX1058" i="1"/>
  <c r="AV1058" i="1"/>
  <c r="AU1058" i="1"/>
  <c r="BA1057" i="1"/>
  <c r="AZ1057" i="1"/>
  <c r="AY1057" i="1"/>
  <c r="AX1057" i="1"/>
  <c r="AV1057" i="1"/>
  <c r="AU1057" i="1"/>
  <c r="BA1056" i="1"/>
  <c r="AZ1056" i="1"/>
  <c r="AY1056" i="1"/>
  <c r="AX1056" i="1"/>
  <c r="AV1056" i="1"/>
  <c r="AU1056" i="1"/>
  <c r="BA1055" i="1"/>
  <c r="AZ1055" i="1"/>
  <c r="AY1055" i="1"/>
  <c r="AX1055" i="1"/>
  <c r="AV1055" i="1"/>
  <c r="AU1055" i="1"/>
  <c r="BB1054" i="1"/>
  <c r="BA1054" i="1"/>
  <c r="AZ1054" i="1"/>
  <c r="AY1054" i="1"/>
  <c r="AX1054" i="1"/>
  <c r="AW1054" i="1"/>
  <c r="AV1054" i="1"/>
  <c r="AU1054" i="1"/>
  <c r="BB1053" i="1"/>
  <c r="BA1053" i="1"/>
  <c r="AZ1053" i="1"/>
  <c r="AY1053" i="1"/>
  <c r="AX1053" i="1"/>
  <c r="AW1053" i="1"/>
  <c r="AV1053" i="1"/>
  <c r="AU1053" i="1"/>
  <c r="BA1052" i="1"/>
  <c r="AZ1052" i="1"/>
  <c r="AY1052" i="1"/>
  <c r="AX1052" i="1"/>
  <c r="AW1052" i="1"/>
  <c r="AV1052" i="1"/>
  <c r="AU1052" i="1"/>
  <c r="BA1051" i="1"/>
  <c r="AZ1051" i="1"/>
  <c r="AY1051" i="1"/>
  <c r="AX1051" i="1"/>
  <c r="AW1051" i="1"/>
  <c r="AV1051" i="1"/>
  <c r="AU1051" i="1"/>
  <c r="BA1050" i="1"/>
  <c r="AZ1050" i="1"/>
  <c r="AY1050" i="1"/>
  <c r="AX1050" i="1"/>
  <c r="AW1050" i="1"/>
  <c r="AV1050" i="1"/>
  <c r="AU1050" i="1"/>
  <c r="BA1049" i="1"/>
  <c r="AZ1049" i="1"/>
  <c r="AY1049" i="1"/>
  <c r="AX1049" i="1"/>
  <c r="AW1049" i="1"/>
  <c r="AV1049" i="1"/>
  <c r="AU1049" i="1"/>
  <c r="BA1048" i="1"/>
  <c r="AZ1048" i="1"/>
  <c r="AY1048" i="1"/>
  <c r="AX1048" i="1"/>
  <c r="AW1048" i="1"/>
  <c r="AV1048" i="1"/>
  <c r="AU1048" i="1"/>
  <c r="BA1047" i="1"/>
  <c r="AZ1047" i="1"/>
  <c r="AY1047" i="1"/>
  <c r="AX1047" i="1"/>
  <c r="AW1047" i="1"/>
  <c r="AV1047" i="1"/>
  <c r="AU1047" i="1"/>
  <c r="BA1046" i="1"/>
  <c r="AZ1046" i="1"/>
  <c r="AY1046" i="1"/>
  <c r="AX1046" i="1"/>
  <c r="AW1046" i="1"/>
  <c r="AV1046" i="1"/>
  <c r="AU1046" i="1"/>
  <c r="BA1045" i="1"/>
  <c r="AZ1045" i="1"/>
  <c r="AY1045" i="1"/>
  <c r="AX1045" i="1"/>
  <c r="AW1045" i="1"/>
  <c r="AV1045" i="1"/>
  <c r="AU1045" i="1"/>
  <c r="BA1044" i="1"/>
  <c r="AZ1044" i="1"/>
  <c r="AY1044" i="1"/>
  <c r="AX1044" i="1"/>
  <c r="AW1044" i="1"/>
  <c r="AV1044" i="1"/>
  <c r="AU1044" i="1"/>
  <c r="BA1043" i="1"/>
  <c r="AZ1043" i="1"/>
  <c r="AY1043" i="1"/>
  <c r="AX1043" i="1"/>
  <c r="AW1043" i="1"/>
  <c r="AV1043" i="1"/>
  <c r="AU1043" i="1"/>
  <c r="BB1042" i="1"/>
  <c r="BA1042" i="1"/>
  <c r="AZ1042" i="1"/>
  <c r="AX1042" i="1"/>
  <c r="AW1042" i="1"/>
  <c r="AV1042" i="1"/>
  <c r="AU1042" i="1"/>
  <c r="BB1041" i="1"/>
  <c r="BA1041" i="1"/>
  <c r="AZ1041" i="1"/>
  <c r="AX1041" i="1"/>
  <c r="AW1041" i="1"/>
  <c r="AV1041" i="1"/>
  <c r="AU1041" i="1"/>
  <c r="BA1017" i="1"/>
  <c r="AZ1017" i="1"/>
  <c r="AY1017" i="1"/>
  <c r="AX1017" i="1"/>
  <c r="AW1017" i="1"/>
  <c r="AV1017" i="1"/>
  <c r="AU1017" i="1"/>
  <c r="BA1016" i="1"/>
  <c r="AZ1016" i="1"/>
  <c r="AY1016" i="1"/>
  <c r="AX1016" i="1"/>
  <c r="AW1016" i="1"/>
  <c r="AV1016" i="1"/>
  <c r="AU1016" i="1"/>
  <c r="BB1015" i="1"/>
  <c r="BA1015" i="1"/>
  <c r="AZ1015" i="1"/>
  <c r="AY1015" i="1"/>
  <c r="AW1015" i="1"/>
  <c r="AV1015" i="1"/>
  <c r="AU1015" i="1"/>
  <c r="BB1014" i="1"/>
  <c r="BA1014" i="1"/>
  <c r="AZ1014" i="1"/>
  <c r="AY1014" i="1"/>
  <c r="AW1014" i="1"/>
  <c r="AV1014" i="1"/>
  <c r="AU1014" i="1"/>
  <c r="BB1013" i="1"/>
  <c r="BA1013" i="1"/>
  <c r="AZ1013" i="1"/>
  <c r="AY1013" i="1"/>
  <c r="AW1013" i="1"/>
  <c r="AV1013" i="1"/>
  <c r="AU1013" i="1"/>
  <c r="BB1012" i="1"/>
  <c r="BA1012" i="1"/>
  <c r="AZ1012" i="1"/>
  <c r="AY1012" i="1"/>
  <c r="AW1012" i="1"/>
  <c r="AV1012" i="1"/>
  <c r="AU1012" i="1"/>
  <c r="BB1011" i="1"/>
  <c r="BA1011" i="1"/>
  <c r="AZ1011" i="1"/>
  <c r="AY1011" i="1"/>
  <c r="AW1011" i="1"/>
  <c r="AV1011" i="1"/>
  <c r="AU1011" i="1"/>
  <c r="BB1010" i="1"/>
  <c r="BA1010" i="1"/>
  <c r="AZ1010" i="1"/>
  <c r="AY1010" i="1"/>
  <c r="AW1010" i="1"/>
  <c r="AV1010" i="1"/>
  <c r="AU1010" i="1"/>
  <c r="BB1009" i="1"/>
  <c r="BA1009" i="1"/>
  <c r="AZ1009" i="1"/>
  <c r="AY1009" i="1"/>
  <c r="AW1009" i="1"/>
  <c r="AV1009" i="1"/>
  <c r="AU1009" i="1"/>
  <c r="BB1008" i="1"/>
  <c r="BA1008" i="1"/>
  <c r="AZ1008" i="1"/>
  <c r="AY1008" i="1"/>
  <c r="AW1008" i="1"/>
  <c r="AV1008" i="1"/>
  <c r="AU1008" i="1"/>
  <c r="BB1007" i="1"/>
  <c r="BA1007" i="1"/>
  <c r="AY1007" i="1"/>
  <c r="AW1007" i="1"/>
  <c r="AV1007" i="1"/>
  <c r="BB1006" i="1"/>
  <c r="BA1006" i="1"/>
  <c r="AZ1006" i="1"/>
  <c r="AY1006" i="1"/>
  <c r="AX1006" i="1"/>
  <c r="AW1006" i="1"/>
  <c r="AV1006" i="1"/>
  <c r="AU1006" i="1"/>
  <c r="BB1005" i="1"/>
  <c r="BA1005" i="1"/>
  <c r="AZ1005" i="1"/>
  <c r="AY1005" i="1"/>
  <c r="AW1005" i="1"/>
  <c r="AV1005" i="1"/>
  <c r="BB1004" i="1"/>
  <c r="BA1004" i="1"/>
  <c r="AY1004" i="1"/>
  <c r="AW1004" i="1"/>
  <c r="AV1004" i="1"/>
  <c r="BB1003" i="1"/>
  <c r="BA1003" i="1"/>
  <c r="AZ1003" i="1"/>
  <c r="AY1003" i="1"/>
  <c r="AX1003" i="1"/>
  <c r="AW1003" i="1"/>
  <c r="AV1003" i="1"/>
  <c r="AU1003" i="1"/>
  <c r="BB1002" i="1"/>
  <c r="BA1002" i="1"/>
  <c r="AZ1002" i="1"/>
  <c r="AY1002" i="1"/>
  <c r="AW1002" i="1"/>
  <c r="AV1002" i="1"/>
  <c r="BB1001" i="1"/>
  <c r="BA1001" i="1"/>
  <c r="AZ1001" i="1"/>
  <c r="AY1001" i="1"/>
  <c r="AX1001" i="1"/>
  <c r="AW1001" i="1"/>
  <c r="AV1001" i="1"/>
  <c r="AU1001" i="1"/>
  <c r="BB1000" i="1"/>
  <c r="BA1000" i="1"/>
  <c r="AZ1000" i="1"/>
  <c r="AY1000" i="1"/>
  <c r="AX1000" i="1"/>
  <c r="AW1000" i="1"/>
  <c r="AV1000" i="1"/>
  <c r="AU1000" i="1"/>
  <c r="BA999" i="1"/>
  <c r="AZ999" i="1"/>
  <c r="AY999" i="1"/>
  <c r="AX999" i="1"/>
  <c r="AW999" i="1"/>
  <c r="AV999" i="1"/>
  <c r="AU999" i="1"/>
  <c r="BA998" i="1"/>
  <c r="AZ998" i="1"/>
  <c r="AY998" i="1"/>
  <c r="AX998" i="1"/>
  <c r="AW998" i="1"/>
  <c r="AV998" i="1"/>
  <c r="AU998" i="1"/>
  <c r="BA997" i="1"/>
  <c r="AZ997" i="1"/>
  <c r="AY997" i="1"/>
  <c r="AX997" i="1"/>
  <c r="AW997" i="1"/>
  <c r="AV997" i="1"/>
  <c r="AU997" i="1"/>
  <c r="BA996" i="1"/>
  <c r="AZ996" i="1"/>
  <c r="AY996" i="1"/>
  <c r="AX996" i="1"/>
  <c r="AW996" i="1"/>
  <c r="AV996" i="1"/>
  <c r="AU996" i="1"/>
  <c r="BA995" i="1"/>
  <c r="AZ995" i="1"/>
  <c r="AY995" i="1"/>
  <c r="AX995" i="1"/>
  <c r="AW995" i="1"/>
  <c r="AV995" i="1"/>
  <c r="AU995" i="1"/>
  <c r="BA994" i="1"/>
  <c r="AZ994" i="1"/>
  <c r="AY994" i="1"/>
  <c r="AX994" i="1"/>
  <c r="AW994" i="1"/>
  <c r="AV994" i="1"/>
  <c r="AU994" i="1"/>
  <c r="BB993" i="1"/>
  <c r="BA993" i="1"/>
  <c r="AZ993" i="1"/>
  <c r="AY993" i="1"/>
  <c r="AX993" i="1"/>
  <c r="AW993" i="1"/>
  <c r="AV993" i="1"/>
  <c r="AU993" i="1"/>
  <c r="BB992" i="1"/>
  <c r="BA992" i="1"/>
  <c r="AZ992" i="1"/>
  <c r="AY992" i="1"/>
  <c r="AX992" i="1"/>
  <c r="AW992" i="1"/>
  <c r="AV992" i="1"/>
  <c r="AU992" i="1"/>
  <c r="BB991" i="1"/>
  <c r="BA991" i="1"/>
  <c r="AZ991" i="1"/>
  <c r="AY991" i="1"/>
  <c r="AX991" i="1"/>
  <c r="AW991" i="1"/>
  <c r="AV991" i="1"/>
  <c r="AU991" i="1"/>
  <c r="BB990" i="1"/>
  <c r="BA990" i="1"/>
  <c r="AZ990" i="1"/>
  <c r="AY990" i="1"/>
  <c r="AX990" i="1"/>
  <c r="AW990" i="1"/>
  <c r="AV990" i="1"/>
  <c r="AU990" i="1"/>
  <c r="BA989" i="1"/>
  <c r="AZ989" i="1"/>
  <c r="AY989" i="1"/>
  <c r="AX989" i="1"/>
  <c r="AW989" i="1"/>
  <c r="AV989" i="1"/>
  <c r="AU989" i="1"/>
  <c r="BB988" i="1"/>
  <c r="BA988" i="1"/>
  <c r="AZ988" i="1"/>
  <c r="AY988" i="1"/>
  <c r="AX988" i="1"/>
  <c r="AW988" i="1"/>
  <c r="AV988" i="1"/>
  <c r="AU988" i="1"/>
  <c r="BB987" i="1"/>
  <c r="BA987" i="1"/>
  <c r="AZ987" i="1"/>
  <c r="AY987" i="1"/>
  <c r="AX987" i="1"/>
  <c r="AW987" i="1"/>
  <c r="AV987" i="1"/>
  <c r="AU987" i="1"/>
  <c r="BB986" i="1"/>
  <c r="BA986" i="1"/>
  <c r="AZ986" i="1"/>
  <c r="AY986" i="1"/>
  <c r="AX986" i="1"/>
  <c r="AW986" i="1"/>
  <c r="AV986" i="1"/>
  <c r="AU986" i="1"/>
  <c r="BB985" i="1"/>
  <c r="BA985" i="1"/>
  <c r="AZ985" i="1"/>
  <c r="AY985" i="1"/>
  <c r="AX985" i="1"/>
  <c r="AW985" i="1"/>
  <c r="AV985" i="1"/>
  <c r="AU985" i="1"/>
  <c r="BB984" i="1"/>
  <c r="BA984" i="1"/>
  <c r="AZ984" i="1"/>
  <c r="AX984" i="1"/>
  <c r="AV984" i="1"/>
  <c r="AU984" i="1"/>
  <c r="BB976" i="1"/>
  <c r="BA976" i="1"/>
  <c r="AZ976" i="1"/>
  <c r="AY976" i="1"/>
  <c r="AX976" i="1"/>
  <c r="AV976" i="1"/>
  <c r="AU976" i="1"/>
  <c r="BB975" i="1"/>
  <c r="BA975" i="1"/>
  <c r="AZ975" i="1"/>
  <c r="AY975" i="1"/>
  <c r="AX975" i="1"/>
  <c r="AV975" i="1"/>
  <c r="AU975" i="1"/>
  <c r="BB974" i="1"/>
  <c r="BA974" i="1"/>
  <c r="AZ974" i="1"/>
  <c r="AX974" i="1"/>
  <c r="AV974" i="1"/>
  <c r="AU974" i="1"/>
  <c r="BB973" i="1"/>
  <c r="BA973" i="1"/>
  <c r="AZ973" i="1"/>
  <c r="AX973" i="1"/>
  <c r="AV973" i="1"/>
  <c r="AU973" i="1"/>
  <c r="BB972" i="1"/>
  <c r="BA972" i="1"/>
  <c r="AZ972" i="1"/>
  <c r="AX972" i="1"/>
  <c r="AV972" i="1"/>
  <c r="AU972" i="1"/>
  <c r="BB971" i="1"/>
  <c r="BA971" i="1"/>
  <c r="AZ971" i="1"/>
  <c r="AY971" i="1"/>
  <c r="AX971" i="1"/>
  <c r="AV971" i="1"/>
  <c r="AU971" i="1"/>
  <c r="BB970" i="1"/>
  <c r="BA970" i="1"/>
  <c r="AZ970" i="1"/>
  <c r="AY970" i="1"/>
  <c r="AX970" i="1"/>
  <c r="AV970" i="1"/>
  <c r="AU970" i="1"/>
  <c r="BB969" i="1"/>
  <c r="BA969" i="1"/>
  <c r="AZ969" i="1"/>
  <c r="AY969" i="1"/>
  <c r="AX969" i="1"/>
  <c r="AV969" i="1"/>
  <c r="AU969" i="1"/>
  <c r="BA957" i="1"/>
  <c r="AZ957" i="1"/>
  <c r="AY957" i="1"/>
  <c r="AX957" i="1"/>
  <c r="AW957" i="1"/>
  <c r="AV957" i="1"/>
  <c r="AU957" i="1"/>
  <c r="BA956" i="1"/>
  <c r="AZ956" i="1"/>
  <c r="AY956" i="1"/>
  <c r="AX956" i="1"/>
  <c r="AW956" i="1"/>
  <c r="AV956" i="1"/>
  <c r="AU956" i="1"/>
  <c r="BA955" i="1"/>
  <c r="AZ955" i="1"/>
  <c r="AY955" i="1"/>
  <c r="AX955" i="1"/>
  <c r="AW955" i="1"/>
  <c r="AV955" i="1"/>
  <c r="AU955" i="1"/>
  <c r="BA954" i="1"/>
  <c r="AZ954" i="1"/>
  <c r="AY954" i="1"/>
  <c r="AX954" i="1"/>
  <c r="AW954" i="1"/>
  <c r="AV954" i="1"/>
  <c r="AU954" i="1"/>
  <c r="BA938" i="1"/>
  <c r="AZ938" i="1"/>
  <c r="AY938" i="1"/>
  <c r="AX938" i="1"/>
  <c r="AW938" i="1"/>
  <c r="AV938" i="1"/>
  <c r="AU938" i="1"/>
  <c r="BA937" i="1"/>
  <c r="AZ937" i="1"/>
  <c r="AY937" i="1"/>
  <c r="AX937" i="1"/>
  <c r="AW937" i="1"/>
  <c r="AV937" i="1"/>
  <c r="AU937" i="1"/>
  <c r="BA936" i="1"/>
  <c r="AZ936" i="1"/>
  <c r="AY936" i="1"/>
  <c r="AX936" i="1"/>
  <c r="AW936" i="1"/>
  <c r="AV936" i="1"/>
  <c r="AU936" i="1"/>
  <c r="BA935" i="1"/>
  <c r="AZ935" i="1"/>
  <c r="AY935" i="1"/>
  <c r="AX935" i="1"/>
  <c r="AW935" i="1"/>
  <c r="AV935" i="1"/>
  <c r="AU935" i="1"/>
  <c r="BB934" i="1"/>
  <c r="BA934" i="1"/>
  <c r="AZ934" i="1"/>
  <c r="AY934" i="1"/>
  <c r="AX934" i="1"/>
  <c r="AW934" i="1"/>
  <c r="AV934" i="1"/>
  <c r="AU934" i="1"/>
  <c r="BB933" i="1"/>
  <c r="BA933" i="1"/>
  <c r="AZ933" i="1"/>
  <c r="AY933" i="1"/>
  <c r="AX933" i="1"/>
  <c r="AW933" i="1"/>
  <c r="AV933" i="1"/>
  <c r="AU933" i="1"/>
  <c r="BB932" i="1"/>
  <c r="BA932" i="1"/>
  <c r="AZ932" i="1"/>
  <c r="AY932" i="1"/>
  <c r="AX932" i="1"/>
  <c r="AW932" i="1"/>
  <c r="AV932" i="1"/>
  <c r="AU932" i="1"/>
  <c r="BB931" i="1"/>
  <c r="BA931" i="1"/>
  <c r="AZ931" i="1"/>
  <c r="AY931" i="1"/>
  <c r="AX931" i="1"/>
  <c r="AW931" i="1"/>
  <c r="AV931" i="1"/>
  <c r="AU931" i="1"/>
  <c r="BB930" i="1"/>
  <c r="BA930" i="1"/>
  <c r="AZ930" i="1"/>
  <c r="AY930" i="1"/>
  <c r="AX930" i="1"/>
  <c r="AW930" i="1"/>
  <c r="AV930" i="1"/>
  <c r="AU930" i="1"/>
  <c r="BB929" i="1"/>
  <c r="BA929" i="1"/>
  <c r="AZ929" i="1"/>
  <c r="AY929" i="1"/>
  <c r="AX929" i="1"/>
  <c r="AW929" i="1"/>
  <c r="AV929" i="1"/>
  <c r="AU929" i="1"/>
  <c r="BB928" i="1"/>
  <c r="BA928" i="1"/>
  <c r="AZ928" i="1"/>
  <c r="AY928" i="1"/>
  <c r="AX928" i="1"/>
  <c r="AW928" i="1"/>
  <c r="AV928" i="1"/>
  <c r="AU928" i="1"/>
  <c r="BB927" i="1"/>
  <c r="BA927" i="1"/>
  <c r="AZ927" i="1"/>
  <c r="AY927" i="1"/>
  <c r="AX927" i="1"/>
  <c r="AW927" i="1"/>
  <c r="AV927" i="1"/>
  <c r="AU927" i="1"/>
  <c r="BB926" i="1"/>
  <c r="BA926" i="1"/>
  <c r="AZ926" i="1"/>
  <c r="AY926" i="1"/>
  <c r="AX926" i="1"/>
  <c r="AW926" i="1"/>
  <c r="AV926" i="1"/>
  <c r="AU926" i="1"/>
  <c r="BB925" i="1"/>
  <c r="BA925" i="1"/>
  <c r="AZ925" i="1"/>
  <c r="AY925" i="1"/>
  <c r="AX925" i="1"/>
  <c r="AW925" i="1"/>
  <c r="AV925" i="1"/>
  <c r="AU925" i="1"/>
  <c r="BB924" i="1"/>
  <c r="BA924" i="1"/>
  <c r="AZ924" i="1"/>
  <c r="AY924" i="1"/>
  <c r="AX924" i="1"/>
  <c r="AW924" i="1"/>
  <c r="AV924" i="1"/>
  <c r="AU924" i="1"/>
  <c r="BB923" i="1"/>
  <c r="BA923" i="1"/>
  <c r="AZ923" i="1"/>
  <c r="AY923" i="1"/>
  <c r="AX923" i="1"/>
  <c r="AW923" i="1"/>
  <c r="AV923" i="1"/>
  <c r="AU923" i="1"/>
  <c r="BB922" i="1"/>
  <c r="BA922" i="1"/>
  <c r="AZ922" i="1"/>
  <c r="AY922" i="1"/>
  <c r="AX922" i="1"/>
  <c r="AW922" i="1"/>
  <c r="AV922" i="1"/>
  <c r="AU922" i="1"/>
  <c r="BB921" i="1"/>
  <c r="BA921" i="1"/>
  <c r="AZ921" i="1"/>
  <c r="AY921" i="1"/>
  <c r="AX921" i="1"/>
  <c r="AW921" i="1"/>
  <c r="AV921" i="1"/>
  <c r="AU921" i="1"/>
  <c r="BB920" i="1"/>
  <c r="BA920" i="1"/>
  <c r="AZ920" i="1"/>
  <c r="AY920" i="1"/>
  <c r="AX920" i="1"/>
  <c r="AV920" i="1"/>
  <c r="AU920" i="1"/>
  <c r="BB919" i="1"/>
  <c r="BA919" i="1"/>
  <c r="AZ919" i="1"/>
  <c r="AY919" i="1"/>
  <c r="AX919" i="1"/>
  <c r="AW919" i="1"/>
  <c r="AV919" i="1"/>
  <c r="AU919" i="1"/>
  <c r="BB918" i="1"/>
  <c r="BA918" i="1"/>
  <c r="AZ918" i="1"/>
  <c r="AY918" i="1"/>
  <c r="AX918" i="1"/>
  <c r="AW918" i="1"/>
  <c r="AV918" i="1"/>
  <c r="AU918" i="1"/>
  <c r="BB917" i="1"/>
  <c r="BA917" i="1"/>
  <c r="AZ917" i="1"/>
  <c r="AY917" i="1"/>
  <c r="AX917" i="1"/>
  <c r="AW917" i="1"/>
  <c r="AV917" i="1"/>
  <c r="AU917" i="1"/>
  <c r="BB916" i="1"/>
  <c r="BA916" i="1"/>
  <c r="AZ916" i="1"/>
  <c r="AY916" i="1"/>
  <c r="AX916" i="1"/>
  <c r="AW916" i="1"/>
  <c r="AV916" i="1"/>
  <c r="AU916" i="1"/>
  <c r="BB915" i="1"/>
  <c r="BA915" i="1"/>
  <c r="AZ915" i="1"/>
  <c r="AY915" i="1"/>
  <c r="AX915" i="1"/>
  <c r="AW915" i="1"/>
  <c r="AV915" i="1"/>
  <c r="AU915" i="1"/>
  <c r="BB914" i="1"/>
  <c r="BA914" i="1"/>
  <c r="AZ914" i="1"/>
  <c r="AY914" i="1"/>
  <c r="AX914" i="1"/>
  <c r="AW914" i="1"/>
  <c r="AV914" i="1"/>
  <c r="AU914" i="1"/>
  <c r="BA913" i="1"/>
  <c r="AZ913" i="1"/>
  <c r="AY913" i="1"/>
  <c r="AX913" i="1"/>
  <c r="AV913" i="1"/>
  <c r="AU913" i="1"/>
  <c r="AZ912" i="1"/>
  <c r="AY912" i="1"/>
  <c r="AX912" i="1"/>
  <c r="AW912" i="1"/>
  <c r="AV912" i="1"/>
  <c r="AU912" i="1"/>
  <c r="AZ911" i="1"/>
  <c r="AY911" i="1"/>
  <c r="AX911" i="1"/>
  <c r="AW911" i="1"/>
  <c r="AV911" i="1"/>
  <c r="AU911" i="1"/>
  <c r="AZ910" i="1"/>
  <c r="AY910" i="1"/>
  <c r="AX910" i="1"/>
  <c r="AW910" i="1"/>
  <c r="AV910" i="1"/>
  <c r="AU910" i="1"/>
  <c r="AZ909" i="1"/>
  <c r="AY909" i="1"/>
  <c r="AX909" i="1"/>
  <c r="AW909" i="1"/>
  <c r="AV909" i="1"/>
  <c r="AU909" i="1"/>
  <c r="AZ908" i="1"/>
  <c r="AY908" i="1"/>
  <c r="AX908" i="1"/>
  <c r="AW908" i="1"/>
  <c r="AV908" i="1"/>
  <c r="AU908" i="1"/>
  <c r="BA907" i="1"/>
  <c r="AZ907" i="1"/>
  <c r="AY907" i="1"/>
  <c r="AX907" i="1"/>
  <c r="AW907" i="1"/>
  <c r="AV907" i="1"/>
  <c r="AU907" i="1"/>
  <c r="BA906" i="1"/>
  <c r="AZ906" i="1"/>
  <c r="AY906" i="1"/>
  <c r="AX906" i="1"/>
  <c r="AW906" i="1"/>
  <c r="AV906" i="1"/>
  <c r="AU906" i="1"/>
  <c r="BA905" i="1"/>
  <c r="AZ905" i="1"/>
  <c r="AY905" i="1"/>
  <c r="AX905" i="1"/>
  <c r="AW905" i="1"/>
  <c r="AV905" i="1"/>
  <c r="AU905" i="1"/>
  <c r="BA904" i="1"/>
  <c r="AZ904" i="1"/>
  <c r="AY904" i="1"/>
  <c r="AX904" i="1"/>
  <c r="AW904" i="1"/>
  <c r="AV904" i="1"/>
  <c r="AU904" i="1"/>
  <c r="BA903" i="1"/>
  <c r="AZ903" i="1"/>
  <c r="AY903" i="1"/>
  <c r="AX903" i="1"/>
  <c r="AW903" i="1"/>
  <c r="AV903" i="1"/>
  <c r="AU903" i="1"/>
  <c r="BA902" i="1"/>
  <c r="AZ902" i="1"/>
  <c r="AY902" i="1"/>
  <c r="AX902" i="1"/>
  <c r="AW902" i="1"/>
  <c r="AV902" i="1"/>
  <c r="AU902" i="1"/>
  <c r="BB901" i="1"/>
  <c r="BA901" i="1"/>
  <c r="AZ901" i="1"/>
  <c r="AY901" i="1"/>
  <c r="AX901" i="1"/>
  <c r="AW901" i="1"/>
  <c r="AV901" i="1"/>
  <c r="AU901" i="1"/>
  <c r="BB900" i="1"/>
  <c r="BA900" i="1"/>
  <c r="AZ900" i="1"/>
  <c r="AY900" i="1"/>
  <c r="AX900" i="1"/>
  <c r="AW900" i="1"/>
  <c r="AV900" i="1"/>
  <c r="AU900" i="1"/>
  <c r="BA899" i="1"/>
  <c r="AZ899" i="1"/>
  <c r="AY899" i="1"/>
  <c r="AX899" i="1"/>
  <c r="AW899" i="1"/>
  <c r="AV899" i="1"/>
  <c r="BA898" i="1"/>
  <c r="AZ898" i="1"/>
  <c r="AY898" i="1"/>
  <c r="AX898" i="1"/>
  <c r="AW898" i="1"/>
  <c r="AV898" i="1"/>
  <c r="AZ897" i="1"/>
  <c r="AX897" i="1"/>
  <c r="AW897" i="1"/>
  <c r="AV897" i="1"/>
  <c r="AU897" i="1"/>
  <c r="AZ896" i="1"/>
  <c r="AX896" i="1"/>
  <c r="AW896" i="1"/>
  <c r="AV896" i="1"/>
  <c r="AU896" i="1"/>
  <c r="AZ895" i="1"/>
  <c r="AX895" i="1"/>
  <c r="AW895" i="1"/>
  <c r="AV895" i="1"/>
  <c r="AU895" i="1"/>
  <c r="AZ894" i="1"/>
  <c r="AX894" i="1"/>
  <c r="AW894" i="1"/>
  <c r="AV894" i="1"/>
  <c r="AU894" i="1"/>
  <c r="BA893" i="1"/>
  <c r="AZ893" i="1"/>
  <c r="AX893" i="1"/>
  <c r="AW893" i="1"/>
  <c r="AV893" i="1"/>
  <c r="AU893" i="1"/>
  <c r="BA892" i="1"/>
  <c r="AZ892" i="1"/>
  <c r="AX892" i="1"/>
  <c r="AW892" i="1"/>
  <c r="AV892" i="1"/>
  <c r="AU892" i="1"/>
  <c r="BA891" i="1"/>
  <c r="AZ891" i="1"/>
  <c r="AX891" i="1"/>
  <c r="AW891" i="1"/>
  <c r="AV891" i="1"/>
  <c r="AU891" i="1"/>
  <c r="BA890" i="1"/>
  <c r="AZ890" i="1"/>
  <c r="AY890" i="1"/>
  <c r="AX890" i="1"/>
  <c r="AW890" i="1"/>
  <c r="AV890" i="1"/>
  <c r="AU890" i="1"/>
  <c r="BA889" i="1"/>
  <c r="AZ889" i="1"/>
  <c r="AY889" i="1"/>
  <c r="AX889" i="1"/>
  <c r="AW889" i="1"/>
  <c r="AV889" i="1"/>
  <c r="AU889" i="1"/>
  <c r="BA876" i="1"/>
  <c r="AZ876" i="1"/>
  <c r="AY876" i="1"/>
  <c r="AX876" i="1"/>
  <c r="AW876" i="1"/>
  <c r="AV876" i="1"/>
  <c r="AU876" i="1"/>
  <c r="BA875" i="1"/>
  <c r="AZ875" i="1"/>
  <c r="AY875" i="1"/>
  <c r="AX875" i="1"/>
  <c r="AW875" i="1"/>
  <c r="AV875" i="1"/>
  <c r="AU875" i="1"/>
  <c r="BA874" i="1"/>
  <c r="AZ874" i="1"/>
  <c r="AY874" i="1"/>
  <c r="AX874" i="1"/>
  <c r="AW874" i="1"/>
  <c r="AV874" i="1"/>
  <c r="AU874" i="1"/>
  <c r="BA873" i="1"/>
  <c r="AZ873" i="1"/>
  <c r="AY873" i="1"/>
  <c r="AX873" i="1"/>
  <c r="AW873" i="1"/>
  <c r="AV873" i="1"/>
  <c r="AU873" i="1"/>
  <c r="BA872" i="1"/>
  <c r="AZ872" i="1"/>
  <c r="AY872" i="1"/>
  <c r="AX872" i="1"/>
  <c r="AW872" i="1"/>
  <c r="AV872" i="1"/>
  <c r="AU872" i="1"/>
  <c r="BA871" i="1"/>
  <c r="AZ871" i="1"/>
  <c r="AY871" i="1"/>
  <c r="AX871" i="1"/>
  <c r="AW871" i="1"/>
  <c r="AV871" i="1"/>
  <c r="AU871" i="1"/>
  <c r="BB870" i="1"/>
  <c r="BA870" i="1"/>
  <c r="AZ870" i="1"/>
  <c r="AY870" i="1"/>
  <c r="AX870" i="1"/>
  <c r="AV870" i="1"/>
  <c r="AU870" i="1"/>
  <c r="BB869" i="1"/>
  <c r="BA869" i="1"/>
  <c r="AZ869" i="1"/>
  <c r="AY869" i="1"/>
  <c r="AX869" i="1"/>
  <c r="AV869" i="1"/>
  <c r="AU869" i="1"/>
  <c r="BB868" i="1"/>
  <c r="BA868" i="1"/>
  <c r="AZ868" i="1"/>
  <c r="AY868" i="1"/>
  <c r="AX868" i="1"/>
  <c r="AV868" i="1"/>
  <c r="AU868" i="1"/>
  <c r="BB867" i="1"/>
  <c r="BA867" i="1"/>
  <c r="AZ867" i="1"/>
  <c r="AY867" i="1"/>
  <c r="AX867" i="1"/>
  <c r="AV867" i="1"/>
  <c r="AU867" i="1"/>
  <c r="BB866" i="1"/>
  <c r="BA866" i="1"/>
  <c r="AZ866" i="1"/>
  <c r="AY866" i="1"/>
  <c r="AX866" i="1"/>
  <c r="AV866" i="1"/>
  <c r="AU866" i="1"/>
  <c r="BB865" i="1"/>
  <c r="BA865" i="1"/>
  <c r="AZ865" i="1"/>
  <c r="AY865" i="1"/>
  <c r="AX865" i="1"/>
  <c r="AV865" i="1"/>
  <c r="AU865" i="1"/>
  <c r="BB864" i="1"/>
  <c r="BA864" i="1"/>
  <c r="AZ864" i="1"/>
  <c r="AY864" i="1"/>
  <c r="AX864" i="1"/>
  <c r="AW864" i="1"/>
  <c r="AV864" i="1"/>
  <c r="AU864" i="1"/>
  <c r="BB863" i="1"/>
  <c r="BA863" i="1"/>
  <c r="AZ863" i="1"/>
  <c r="AY863" i="1"/>
  <c r="AX863" i="1"/>
  <c r="AW863" i="1"/>
  <c r="AV863" i="1"/>
  <c r="AU863" i="1"/>
  <c r="BA862" i="1"/>
  <c r="AZ862" i="1"/>
  <c r="AY862" i="1"/>
  <c r="AX862" i="1"/>
  <c r="AW862" i="1"/>
  <c r="AV862" i="1"/>
  <c r="BA861" i="1"/>
  <c r="AZ861" i="1"/>
  <c r="AX861" i="1"/>
  <c r="AV861" i="1"/>
  <c r="AU861" i="1"/>
  <c r="BA860" i="1"/>
  <c r="AZ860" i="1"/>
  <c r="AY860" i="1"/>
  <c r="AX860" i="1"/>
  <c r="AW860" i="1"/>
  <c r="AV860" i="1"/>
  <c r="AU860" i="1"/>
  <c r="BA859" i="1"/>
  <c r="AZ859" i="1"/>
  <c r="AX859" i="1"/>
  <c r="AV859" i="1"/>
  <c r="AU859" i="1"/>
  <c r="BB858" i="1"/>
  <c r="BA858" i="1"/>
  <c r="AZ858" i="1"/>
  <c r="AY858" i="1"/>
  <c r="AX858" i="1"/>
  <c r="AW858" i="1"/>
  <c r="AV858" i="1"/>
  <c r="AU858" i="1"/>
  <c r="BB857" i="1"/>
  <c r="BA857" i="1"/>
  <c r="AZ857" i="1"/>
  <c r="AY857" i="1"/>
  <c r="AX857" i="1"/>
  <c r="AW857" i="1"/>
  <c r="AV857" i="1"/>
  <c r="AU857" i="1"/>
  <c r="BB856" i="1"/>
  <c r="BA856" i="1"/>
  <c r="AZ856" i="1"/>
  <c r="AY856" i="1"/>
  <c r="AX856" i="1"/>
  <c r="AW856" i="1"/>
  <c r="AV856" i="1"/>
  <c r="AU856" i="1"/>
  <c r="BB855" i="1"/>
  <c r="BA855" i="1"/>
  <c r="AZ855" i="1"/>
  <c r="AY855" i="1"/>
  <c r="AX855" i="1"/>
  <c r="AW855" i="1"/>
  <c r="AV855" i="1"/>
  <c r="AU855" i="1"/>
  <c r="BB854" i="1"/>
  <c r="BA854" i="1"/>
  <c r="AZ854" i="1"/>
  <c r="AY854" i="1"/>
  <c r="AX854" i="1"/>
  <c r="AW854" i="1"/>
  <c r="AV854" i="1"/>
  <c r="AU854" i="1"/>
  <c r="BB853" i="1"/>
  <c r="BA853" i="1"/>
  <c r="AZ853" i="1"/>
  <c r="AY853" i="1"/>
  <c r="AX853" i="1"/>
  <c r="AW853" i="1"/>
  <c r="AV853" i="1"/>
  <c r="AU853" i="1"/>
  <c r="BB852" i="1"/>
  <c r="BA852" i="1"/>
  <c r="AZ852" i="1"/>
  <c r="AY852" i="1"/>
  <c r="AX852" i="1"/>
  <c r="AW852" i="1"/>
  <c r="AV852" i="1"/>
  <c r="AU852" i="1"/>
  <c r="BB851" i="1"/>
  <c r="BA851" i="1"/>
  <c r="AZ851" i="1"/>
  <c r="AY851" i="1"/>
  <c r="AX851" i="1"/>
  <c r="AW851" i="1"/>
  <c r="AV851" i="1"/>
  <c r="AU851" i="1"/>
  <c r="BB850" i="1"/>
  <c r="BA850" i="1"/>
  <c r="AZ850" i="1"/>
  <c r="AY850" i="1"/>
  <c r="AX850" i="1"/>
  <c r="AW850" i="1"/>
  <c r="AV850" i="1"/>
  <c r="AU850" i="1"/>
  <c r="BB849" i="1"/>
  <c r="BA849" i="1"/>
  <c r="AZ849" i="1"/>
  <c r="AY849" i="1"/>
  <c r="AX849" i="1"/>
  <c r="AW849" i="1"/>
  <c r="AV849" i="1"/>
  <c r="AU849" i="1"/>
  <c r="BA848" i="1"/>
  <c r="AZ848" i="1"/>
  <c r="AY848" i="1"/>
  <c r="AX848" i="1"/>
  <c r="AW848" i="1"/>
  <c r="AV848" i="1"/>
  <c r="AU848" i="1"/>
  <c r="BA847" i="1"/>
  <c r="AZ847" i="1"/>
  <c r="AY847" i="1"/>
  <c r="AX847" i="1"/>
  <c r="AW847" i="1"/>
  <c r="AV847" i="1"/>
  <c r="AU847" i="1"/>
  <c r="BA846" i="1"/>
  <c r="AZ846" i="1"/>
  <c r="AY846" i="1"/>
  <c r="AX846" i="1"/>
  <c r="AV846" i="1"/>
  <c r="AU846" i="1"/>
  <c r="BA845" i="1"/>
  <c r="AZ845" i="1"/>
  <c r="AY845" i="1"/>
  <c r="AX845" i="1"/>
  <c r="AV845" i="1"/>
  <c r="AU845" i="1"/>
  <c r="BA844" i="1"/>
  <c r="AZ844" i="1"/>
  <c r="AY844" i="1"/>
  <c r="AX844" i="1"/>
  <c r="AV844" i="1"/>
  <c r="AU844" i="1"/>
  <c r="BA843" i="1"/>
  <c r="AZ843" i="1"/>
  <c r="AY843" i="1"/>
  <c r="AX843" i="1"/>
  <c r="AW843" i="1"/>
  <c r="AV843" i="1"/>
  <c r="AU843" i="1"/>
  <c r="BA842" i="1"/>
  <c r="AZ842" i="1"/>
  <c r="AY842" i="1"/>
  <c r="AX842" i="1"/>
  <c r="AW842" i="1"/>
  <c r="AV842" i="1"/>
  <c r="AU842" i="1"/>
  <c r="BA841" i="1"/>
  <c r="AZ841" i="1"/>
  <c r="AY841" i="1"/>
  <c r="AX841" i="1"/>
  <c r="AW841" i="1"/>
  <c r="AV841" i="1"/>
  <c r="AU841" i="1"/>
  <c r="BA840" i="1"/>
  <c r="AZ840" i="1"/>
  <c r="AY840" i="1"/>
  <c r="AX840" i="1"/>
  <c r="AW840" i="1"/>
  <c r="AV840" i="1"/>
  <c r="AU840" i="1"/>
  <c r="AY839" i="1"/>
  <c r="AW839" i="1"/>
  <c r="AU839" i="1"/>
  <c r="AZ838" i="1"/>
  <c r="AY838" i="1"/>
  <c r="AX838" i="1"/>
  <c r="AV838" i="1"/>
  <c r="AU838" i="1"/>
  <c r="AZ837" i="1"/>
  <c r="AY837" i="1"/>
  <c r="AX837" i="1"/>
  <c r="AV837" i="1"/>
  <c r="AU837" i="1"/>
  <c r="BB836" i="1"/>
  <c r="BA836" i="1"/>
  <c r="AZ836" i="1"/>
  <c r="AY836" i="1"/>
  <c r="AX836" i="1"/>
  <c r="AW836" i="1"/>
  <c r="AV836" i="1"/>
  <c r="AU836" i="1"/>
  <c r="BB835" i="1"/>
  <c r="BA835" i="1"/>
  <c r="AZ835" i="1"/>
  <c r="AY835" i="1"/>
  <c r="AX835" i="1"/>
  <c r="AW835" i="1"/>
  <c r="AV835" i="1"/>
  <c r="AU835" i="1"/>
  <c r="BB834" i="1"/>
  <c r="BA834" i="1"/>
  <c r="AZ834" i="1"/>
  <c r="AY834" i="1"/>
  <c r="AX834" i="1"/>
  <c r="AW834" i="1"/>
  <c r="AV834" i="1"/>
  <c r="AU834" i="1"/>
  <c r="BB833" i="1"/>
  <c r="BA833" i="1"/>
  <c r="AZ833" i="1"/>
  <c r="AY833" i="1"/>
  <c r="AX833" i="1"/>
  <c r="AW833" i="1"/>
  <c r="AV833" i="1"/>
  <c r="AU833" i="1"/>
  <c r="BB832" i="1"/>
  <c r="BA832" i="1"/>
  <c r="AZ832" i="1"/>
  <c r="AY832" i="1"/>
  <c r="AX832" i="1"/>
  <c r="AW832" i="1"/>
  <c r="AV832" i="1"/>
  <c r="AU832" i="1"/>
  <c r="BB831" i="1"/>
  <c r="BA831" i="1"/>
  <c r="AZ831" i="1"/>
  <c r="AY831" i="1"/>
  <c r="AX831" i="1"/>
  <c r="AW831" i="1"/>
  <c r="AV831" i="1"/>
  <c r="AU831" i="1"/>
  <c r="BB830" i="1"/>
  <c r="BA830" i="1"/>
  <c r="AZ830" i="1"/>
  <c r="AY830" i="1"/>
  <c r="AX830" i="1"/>
  <c r="AW830" i="1"/>
  <c r="AV830" i="1"/>
  <c r="AU830" i="1"/>
  <c r="BB829" i="1"/>
  <c r="BA829" i="1"/>
  <c r="AZ829" i="1"/>
  <c r="AY829" i="1"/>
  <c r="AX829" i="1"/>
  <c r="AW829" i="1"/>
  <c r="AV829" i="1"/>
  <c r="AU829" i="1"/>
  <c r="BB828" i="1"/>
  <c r="BA828" i="1"/>
  <c r="AZ828" i="1"/>
  <c r="AY828" i="1"/>
  <c r="AX828" i="1"/>
  <c r="AW828" i="1"/>
  <c r="AV828" i="1"/>
  <c r="AU828" i="1"/>
  <c r="BB827" i="1"/>
  <c r="BA827" i="1"/>
  <c r="AZ827" i="1"/>
  <c r="AY827" i="1"/>
  <c r="AX827" i="1"/>
  <c r="AW827" i="1"/>
  <c r="AV827" i="1"/>
  <c r="AU827" i="1"/>
  <c r="BB826" i="1"/>
  <c r="BA826" i="1"/>
  <c r="AZ826" i="1"/>
  <c r="AY826" i="1"/>
  <c r="AX826" i="1"/>
  <c r="AW826" i="1"/>
  <c r="AV826" i="1"/>
  <c r="AU826" i="1"/>
  <c r="BA825" i="1"/>
  <c r="AZ825" i="1"/>
  <c r="AY825" i="1"/>
  <c r="AX825" i="1"/>
  <c r="AW825" i="1"/>
  <c r="AV825" i="1"/>
  <c r="AU825" i="1"/>
  <c r="BA824" i="1"/>
  <c r="AZ824" i="1"/>
  <c r="AY824" i="1"/>
  <c r="AX824" i="1"/>
  <c r="AW824" i="1"/>
  <c r="AV824" i="1"/>
  <c r="AU824" i="1"/>
  <c r="BA823" i="1"/>
  <c r="AZ823" i="1"/>
  <c r="AY823" i="1"/>
  <c r="AX823" i="1"/>
  <c r="AW823" i="1"/>
  <c r="AV823" i="1"/>
  <c r="AU823" i="1"/>
  <c r="BA822" i="1"/>
  <c r="AZ822" i="1"/>
  <c r="AY822" i="1"/>
  <c r="AX822" i="1"/>
  <c r="AW822" i="1"/>
  <c r="AV822" i="1"/>
  <c r="AU822" i="1"/>
  <c r="BA821" i="1"/>
  <c r="AZ821" i="1"/>
  <c r="AY821" i="1"/>
  <c r="AX821" i="1"/>
  <c r="AW821" i="1"/>
  <c r="AV821" i="1"/>
  <c r="AU821" i="1"/>
  <c r="BA820" i="1"/>
  <c r="AZ820" i="1"/>
  <c r="AY820" i="1"/>
  <c r="AX820" i="1"/>
  <c r="AW820" i="1"/>
  <c r="AV820" i="1"/>
  <c r="AU820" i="1"/>
  <c r="BA819" i="1"/>
  <c r="AZ819" i="1"/>
  <c r="AY819" i="1"/>
  <c r="AX819" i="1"/>
  <c r="AW819" i="1"/>
  <c r="AV819" i="1"/>
  <c r="AU819" i="1"/>
  <c r="BA818" i="1"/>
  <c r="AZ818" i="1"/>
  <c r="AY818" i="1"/>
  <c r="AX818" i="1"/>
  <c r="AW818" i="1"/>
  <c r="AV818" i="1"/>
  <c r="AU818" i="1"/>
  <c r="BA817" i="1"/>
  <c r="AZ817" i="1"/>
  <c r="AY817" i="1"/>
  <c r="AX817" i="1"/>
  <c r="AW817" i="1"/>
  <c r="AV817" i="1"/>
  <c r="AU817" i="1"/>
  <c r="BA816" i="1"/>
  <c r="AZ816" i="1"/>
  <c r="AY816" i="1"/>
  <c r="AX816" i="1"/>
  <c r="AW816" i="1"/>
  <c r="AV816" i="1"/>
  <c r="AU816" i="1"/>
  <c r="BA815" i="1"/>
  <c r="AZ815" i="1"/>
  <c r="AY815" i="1"/>
  <c r="AX815" i="1"/>
  <c r="AW815" i="1"/>
  <c r="AV815" i="1"/>
  <c r="AU815" i="1"/>
  <c r="BB773" i="1"/>
  <c r="BA773" i="1"/>
  <c r="AZ773" i="1"/>
  <c r="AY773" i="1"/>
  <c r="AX773" i="1"/>
  <c r="AW773" i="1"/>
  <c r="AV773" i="1"/>
  <c r="AU773" i="1"/>
  <c r="BA813" i="1"/>
  <c r="AZ813" i="1"/>
  <c r="AY813" i="1"/>
  <c r="AX813" i="1"/>
  <c r="AW813" i="1"/>
  <c r="AV813" i="1"/>
  <c r="AU813" i="1"/>
  <c r="BA812" i="1"/>
  <c r="AZ812" i="1"/>
  <c r="AY812" i="1"/>
  <c r="AX812" i="1"/>
  <c r="AW812" i="1"/>
  <c r="AV812" i="1"/>
  <c r="AU812" i="1"/>
  <c r="AZ811" i="1"/>
  <c r="AY811" i="1"/>
  <c r="AX811" i="1"/>
  <c r="AW811" i="1"/>
  <c r="AV811" i="1"/>
  <c r="AU811" i="1"/>
  <c r="AZ810" i="1"/>
  <c r="AY810" i="1"/>
  <c r="AX810" i="1"/>
  <c r="AW810" i="1"/>
  <c r="AV810" i="1"/>
  <c r="AU810" i="1"/>
  <c r="BA809" i="1"/>
  <c r="AZ809" i="1"/>
  <c r="AY809" i="1"/>
  <c r="AX809" i="1"/>
  <c r="AW809" i="1"/>
  <c r="AV809" i="1"/>
  <c r="AU809" i="1"/>
  <c r="BA808" i="1"/>
  <c r="AZ808" i="1"/>
  <c r="AY808" i="1"/>
  <c r="AX808" i="1"/>
  <c r="AW808" i="1"/>
  <c r="AV808" i="1"/>
  <c r="AU808" i="1"/>
  <c r="BB772" i="1"/>
  <c r="BA772" i="1"/>
  <c r="AZ772" i="1"/>
  <c r="AY772" i="1"/>
  <c r="AX772" i="1"/>
  <c r="AW772" i="1"/>
  <c r="AV772" i="1"/>
  <c r="AU772" i="1"/>
  <c r="BB802" i="1"/>
  <c r="BA802" i="1"/>
  <c r="AZ802" i="1"/>
  <c r="AY802" i="1"/>
  <c r="AX802" i="1"/>
  <c r="AW802" i="1"/>
  <c r="AV802" i="1"/>
  <c r="AU802" i="1"/>
  <c r="BB801" i="1"/>
  <c r="BA801" i="1"/>
  <c r="AZ801" i="1"/>
  <c r="AY801" i="1"/>
  <c r="AX801" i="1"/>
  <c r="AW801" i="1"/>
  <c r="AV801" i="1"/>
  <c r="AU801" i="1"/>
  <c r="BB800" i="1"/>
  <c r="BA800" i="1"/>
  <c r="AZ800" i="1"/>
  <c r="AY800" i="1"/>
  <c r="AX800" i="1"/>
  <c r="AW800" i="1"/>
  <c r="AV800" i="1"/>
  <c r="AU800" i="1"/>
  <c r="BB799" i="1"/>
  <c r="BA799" i="1"/>
  <c r="AZ799" i="1"/>
  <c r="AY799" i="1"/>
  <c r="AX799" i="1"/>
  <c r="AW799" i="1"/>
  <c r="AV799" i="1"/>
  <c r="AU799" i="1"/>
  <c r="BA798" i="1"/>
  <c r="AZ798" i="1"/>
  <c r="AY798" i="1"/>
  <c r="AX798" i="1"/>
  <c r="AV798" i="1"/>
  <c r="AU798" i="1"/>
  <c r="BB793" i="1"/>
  <c r="BA793" i="1"/>
  <c r="AZ793" i="1"/>
  <c r="AY793" i="1"/>
  <c r="AX793" i="1"/>
  <c r="AV793" i="1"/>
  <c r="AU793" i="1"/>
  <c r="BB765" i="1"/>
  <c r="BA765" i="1"/>
  <c r="AZ765" i="1"/>
  <c r="AY765" i="1"/>
  <c r="AX765" i="1"/>
  <c r="AV765" i="1"/>
  <c r="AU765" i="1"/>
  <c r="BB764" i="1"/>
  <c r="BA764" i="1"/>
  <c r="AZ764" i="1"/>
  <c r="AY764" i="1"/>
  <c r="AX764" i="1"/>
  <c r="AV764" i="1"/>
  <c r="AU764" i="1"/>
  <c r="BB763" i="1"/>
  <c r="BA763" i="1"/>
  <c r="AZ763" i="1"/>
  <c r="AY763" i="1"/>
  <c r="AX763" i="1"/>
  <c r="AV763" i="1"/>
  <c r="AU763" i="1"/>
  <c r="BA762" i="1"/>
  <c r="AZ762" i="1"/>
  <c r="AY762" i="1"/>
  <c r="AX762" i="1"/>
  <c r="AW762" i="1"/>
  <c r="AV762" i="1"/>
  <c r="AU762" i="1"/>
  <c r="BB761" i="1"/>
  <c r="BA761" i="1"/>
  <c r="AZ761" i="1"/>
  <c r="AY761" i="1"/>
  <c r="AX761" i="1"/>
  <c r="AW761" i="1"/>
  <c r="AV761" i="1"/>
  <c r="AU761" i="1"/>
  <c r="BB760" i="1"/>
  <c r="BA760" i="1"/>
  <c r="AZ760" i="1"/>
  <c r="AY760" i="1"/>
  <c r="AX760" i="1"/>
  <c r="AW760" i="1"/>
  <c r="AV760" i="1"/>
  <c r="AU760" i="1"/>
  <c r="BB759" i="1"/>
  <c r="BA759" i="1"/>
  <c r="AZ759" i="1"/>
  <c r="AY759" i="1"/>
  <c r="AX759" i="1"/>
  <c r="AW759" i="1"/>
  <c r="AV759" i="1"/>
  <c r="AU759" i="1"/>
  <c r="BB758" i="1"/>
  <c r="BA758" i="1"/>
  <c r="AZ758" i="1"/>
  <c r="AY758" i="1"/>
  <c r="AX758" i="1"/>
  <c r="AW758" i="1"/>
  <c r="AV758" i="1"/>
  <c r="AU758" i="1"/>
  <c r="BA757" i="1"/>
  <c r="AZ757" i="1"/>
  <c r="AY757" i="1"/>
  <c r="AX757" i="1"/>
  <c r="AW757" i="1"/>
  <c r="AV757" i="1"/>
  <c r="AU757" i="1"/>
  <c r="BA756" i="1"/>
  <c r="AZ756" i="1"/>
  <c r="AY756" i="1"/>
  <c r="AX756" i="1"/>
  <c r="AW756" i="1"/>
  <c r="AV756" i="1"/>
  <c r="AU756" i="1"/>
  <c r="BA755" i="1"/>
  <c r="AZ755" i="1"/>
  <c r="AY755" i="1"/>
  <c r="AX755" i="1"/>
  <c r="AW755" i="1"/>
  <c r="AV755" i="1"/>
  <c r="AU755" i="1"/>
  <c r="BA754" i="1"/>
  <c r="AZ754" i="1"/>
  <c r="AY754" i="1"/>
  <c r="AX754" i="1"/>
  <c r="AW754" i="1"/>
  <c r="AV754" i="1"/>
  <c r="AU754" i="1"/>
  <c r="BA753" i="1"/>
  <c r="AZ753" i="1"/>
  <c r="AY753" i="1"/>
  <c r="AX753" i="1"/>
  <c r="AW753" i="1"/>
  <c r="AV753" i="1"/>
  <c r="AU753" i="1"/>
  <c r="BA752" i="1"/>
  <c r="AZ752" i="1"/>
  <c r="AY752" i="1"/>
  <c r="AX752" i="1"/>
  <c r="AW752" i="1"/>
  <c r="AV752" i="1"/>
  <c r="AU752" i="1"/>
  <c r="BA751" i="1"/>
  <c r="AZ751" i="1"/>
  <c r="AY751" i="1"/>
  <c r="AX751" i="1"/>
  <c r="AW751" i="1"/>
  <c r="AV751" i="1"/>
  <c r="AU751" i="1"/>
  <c r="BA750" i="1"/>
  <c r="AZ750" i="1"/>
  <c r="AY750" i="1"/>
  <c r="AX750" i="1"/>
  <c r="AW750" i="1"/>
  <c r="AV750" i="1"/>
  <c r="AU750" i="1"/>
  <c r="BA749" i="1"/>
  <c r="AZ749" i="1"/>
  <c r="AY749" i="1"/>
  <c r="AX749" i="1"/>
  <c r="AW749" i="1"/>
  <c r="AV749" i="1"/>
  <c r="AU749" i="1"/>
  <c r="BA748" i="1"/>
  <c r="AZ748" i="1"/>
  <c r="AY748" i="1"/>
  <c r="AX748" i="1"/>
  <c r="AW748" i="1"/>
  <c r="AV748" i="1"/>
  <c r="AU748" i="1"/>
  <c r="BA747" i="1"/>
  <c r="AZ747" i="1"/>
  <c r="AY747" i="1"/>
  <c r="AX747" i="1"/>
  <c r="AW747" i="1"/>
  <c r="AV747" i="1"/>
  <c r="AU747" i="1"/>
  <c r="BA746" i="1"/>
  <c r="AZ746" i="1"/>
  <c r="AY746" i="1"/>
  <c r="AX746" i="1"/>
  <c r="AW746" i="1"/>
  <c r="AV746" i="1"/>
  <c r="AU746" i="1"/>
  <c r="BA745" i="1"/>
  <c r="AZ745" i="1"/>
  <c r="AY745" i="1"/>
  <c r="AX745" i="1"/>
  <c r="AW745" i="1"/>
  <c r="AV745" i="1"/>
  <c r="AU745" i="1"/>
  <c r="BA744" i="1"/>
  <c r="AZ744" i="1"/>
  <c r="AY744" i="1"/>
  <c r="AX744" i="1"/>
  <c r="AW744" i="1"/>
  <c r="AV744" i="1"/>
  <c r="AU744" i="1"/>
  <c r="BA743" i="1"/>
  <c r="AZ743" i="1"/>
  <c r="AY743" i="1"/>
  <c r="AX743" i="1"/>
  <c r="AW743" i="1"/>
  <c r="AV743" i="1"/>
  <c r="AU743" i="1"/>
  <c r="BA742" i="1"/>
  <c r="AZ742" i="1"/>
  <c r="AY742" i="1"/>
  <c r="AX742" i="1"/>
  <c r="AW742" i="1"/>
  <c r="AV742" i="1"/>
  <c r="AU742" i="1"/>
  <c r="BA741" i="1"/>
  <c r="AZ741" i="1"/>
  <c r="AY741" i="1"/>
  <c r="AX741" i="1"/>
  <c r="AW741" i="1"/>
  <c r="AV741" i="1"/>
  <c r="AU741" i="1"/>
  <c r="BA740" i="1"/>
  <c r="AZ740" i="1"/>
  <c r="AY740" i="1"/>
  <c r="AX740" i="1"/>
  <c r="AW740" i="1"/>
  <c r="AV740" i="1"/>
  <c r="AU740" i="1"/>
  <c r="BA739" i="1"/>
  <c r="AZ739" i="1"/>
  <c r="AY739" i="1"/>
  <c r="AX739" i="1"/>
  <c r="AW739" i="1"/>
  <c r="AV739" i="1"/>
  <c r="AU739" i="1"/>
  <c r="BA738" i="1"/>
  <c r="AZ738" i="1"/>
  <c r="AY738" i="1"/>
  <c r="AX738" i="1"/>
  <c r="AW738" i="1"/>
  <c r="AV738" i="1"/>
  <c r="AU738" i="1"/>
  <c r="BA737" i="1"/>
  <c r="AZ737" i="1"/>
  <c r="AY737" i="1"/>
  <c r="AX737" i="1"/>
  <c r="AW737" i="1"/>
  <c r="AV737" i="1"/>
  <c r="AU737" i="1"/>
  <c r="BA736" i="1"/>
  <c r="AZ736" i="1"/>
  <c r="AY736" i="1"/>
  <c r="AX736" i="1"/>
  <c r="AW736" i="1"/>
  <c r="AV736" i="1"/>
  <c r="AU736" i="1"/>
  <c r="BA735" i="1"/>
  <c r="AZ735" i="1"/>
  <c r="AY735" i="1"/>
  <c r="AX735" i="1"/>
  <c r="AW735" i="1"/>
  <c r="AV735" i="1"/>
  <c r="AU735" i="1"/>
  <c r="BA734" i="1"/>
  <c r="AZ734" i="1"/>
  <c r="AY734" i="1"/>
  <c r="AX734" i="1"/>
  <c r="AW734" i="1"/>
  <c r="AV734" i="1"/>
  <c r="AU734" i="1"/>
  <c r="BA733" i="1"/>
  <c r="AZ733" i="1"/>
  <c r="AY733" i="1"/>
  <c r="AX733" i="1"/>
  <c r="AW733" i="1"/>
  <c r="AV733" i="1"/>
  <c r="AU733" i="1"/>
  <c r="BA732" i="1"/>
  <c r="AZ732" i="1"/>
  <c r="AY732" i="1"/>
  <c r="AX732" i="1"/>
  <c r="AW732" i="1"/>
  <c r="AV732" i="1"/>
  <c r="AU732" i="1"/>
  <c r="BA731" i="1"/>
  <c r="AZ731" i="1"/>
  <c r="AY731" i="1"/>
  <c r="AX731" i="1"/>
  <c r="AW731" i="1"/>
  <c r="AV731" i="1"/>
  <c r="AU731" i="1"/>
  <c r="BA730" i="1"/>
  <c r="AZ730" i="1"/>
  <c r="AY730" i="1"/>
  <c r="AX730" i="1"/>
  <c r="AW730" i="1"/>
  <c r="AV730" i="1"/>
  <c r="AU730" i="1"/>
  <c r="BA729" i="1"/>
  <c r="AZ729" i="1"/>
  <c r="AY729" i="1"/>
  <c r="AX729" i="1"/>
  <c r="AW729" i="1"/>
  <c r="AV729" i="1"/>
  <c r="AU729" i="1"/>
  <c r="BA728" i="1"/>
  <c r="AZ728" i="1"/>
  <c r="AY728" i="1"/>
  <c r="AX728" i="1"/>
  <c r="AW728" i="1"/>
  <c r="AV728" i="1"/>
  <c r="AU728" i="1"/>
  <c r="BA727" i="1"/>
  <c r="AZ727" i="1"/>
  <c r="AY727" i="1"/>
  <c r="AX727" i="1"/>
  <c r="AW727" i="1"/>
  <c r="BA726" i="1"/>
  <c r="AZ726" i="1"/>
  <c r="AY726" i="1"/>
  <c r="AX726" i="1"/>
  <c r="AW726" i="1"/>
  <c r="BA725" i="1"/>
  <c r="AZ725" i="1"/>
  <c r="AY725" i="1"/>
  <c r="AX725" i="1"/>
  <c r="AW725" i="1"/>
  <c r="AV725" i="1"/>
  <c r="AU725" i="1"/>
  <c r="BA724" i="1"/>
  <c r="AZ724" i="1"/>
  <c r="AX724" i="1"/>
  <c r="AW724" i="1"/>
  <c r="AV724" i="1"/>
  <c r="AU724" i="1"/>
  <c r="BB723" i="1"/>
  <c r="BA723" i="1"/>
  <c r="AZ723" i="1"/>
  <c r="AX723" i="1"/>
  <c r="AW723" i="1"/>
  <c r="AV723" i="1"/>
  <c r="AU723" i="1"/>
  <c r="BB722" i="1"/>
  <c r="BA722" i="1"/>
  <c r="AZ722" i="1"/>
  <c r="AX722" i="1"/>
  <c r="AW722" i="1"/>
  <c r="AV722" i="1"/>
  <c r="AU722" i="1"/>
  <c r="BB721" i="1"/>
  <c r="BA721" i="1"/>
  <c r="AZ721" i="1"/>
  <c r="AX721" i="1"/>
  <c r="AW721" i="1"/>
  <c r="AV721" i="1"/>
  <c r="AU721" i="1"/>
  <c r="BA720" i="1"/>
  <c r="AZ720" i="1"/>
  <c r="AY720" i="1"/>
  <c r="AX720" i="1"/>
  <c r="AW720" i="1"/>
  <c r="AV720" i="1"/>
  <c r="BA719" i="1"/>
  <c r="AZ719" i="1"/>
  <c r="AY719" i="1"/>
  <c r="AX719" i="1"/>
  <c r="AW719" i="1"/>
  <c r="AV719" i="1"/>
  <c r="BA718" i="1"/>
  <c r="AZ718" i="1"/>
  <c r="AY718" i="1"/>
  <c r="AX718" i="1"/>
  <c r="AW718" i="1"/>
  <c r="AV718" i="1"/>
  <c r="AU718" i="1"/>
  <c r="BA717" i="1"/>
  <c r="AZ717" i="1"/>
  <c r="AY717" i="1"/>
  <c r="AX717" i="1"/>
  <c r="AW717" i="1"/>
  <c r="AV717" i="1"/>
  <c r="AU717" i="1"/>
  <c r="BA703" i="1"/>
  <c r="AZ703" i="1"/>
  <c r="AY703" i="1"/>
  <c r="AX703" i="1"/>
  <c r="AW703" i="1"/>
  <c r="AV703" i="1"/>
  <c r="AU703" i="1"/>
  <c r="BA702" i="1"/>
  <c r="AZ702" i="1"/>
  <c r="AY702" i="1"/>
  <c r="AX702" i="1"/>
  <c r="AW702" i="1"/>
  <c r="AV702" i="1"/>
  <c r="AU702" i="1"/>
  <c r="BA701" i="1"/>
  <c r="AZ701" i="1"/>
  <c r="AY701" i="1"/>
  <c r="AX701" i="1"/>
  <c r="AW701" i="1"/>
  <c r="AV701" i="1"/>
  <c r="AU701" i="1"/>
  <c r="BA700" i="1"/>
  <c r="AZ700" i="1"/>
  <c r="AY700" i="1"/>
  <c r="AX700" i="1"/>
  <c r="AW700" i="1"/>
  <c r="AV700" i="1"/>
  <c r="AU700" i="1"/>
  <c r="BA699" i="1"/>
  <c r="AZ699" i="1"/>
  <c r="AY699" i="1"/>
  <c r="AX699" i="1"/>
  <c r="AW699" i="1"/>
  <c r="AV699" i="1"/>
  <c r="AU699" i="1"/>
  <c r="BA698" i="1"/>
  <c r="AZ698" i="1"/>
  <c r="AY698" i="1"/>
  <c r="AX698" i="1"/>
  <c r="AW698" i="1"/>
  <c r="AV698" i="1"/>
  <c r="AU698" i="1"/>
  <c r="BA697" i="1"/>
  <c r="AZ697" i="1"/>
  <c r="AY697" i="1"/>
  <c r="AX697" i="1"/>
  <c r="AW697" i="1"/>
  <c r="AV697" i="1"/>
  <c r="AU697" i="1"/>
  <c r="BA696" i="1"/>
  <c r="AZ696" i="1"/>
  <c r="AY696" i="1"/>
  <c r="AX696" i="1"/>
  <c r="AW696" i="1"/>
  <c r="AV696" i="1"/>
  <c r="AU696" i="1"/>
  <c r="BA695" i="1"/>
  <c r="AZ695" i="1"/>
  <c r="AY695" i="1"/>
  <c r="AX695" i="1"/>
  <c r="AW695" i="1"/>
  <c r="AV695" i="1"/>
  <c r="AU695" i="1"/>
  <c r="BA694" i="1"/>
  <c r="AZ694" i="1"/>
  <c r="AY694" i="1"/>
  <c r="AX694" i="1"/>
  <c r="AW694" i="1"/>
  <c r="AV694" i="1"/>
  <c r="AU694" i="1"/>
  <c r="BA693" i="1"/>
  <c r="AZ693" i="1"/>
  <c r="AY693" i="1"/>
  <c r="AX693" i="1"/>
  <c r="AW693" i="1"/>
  <c r="AV693" i="1"/>
  <c r="AU693" i="1"/>
  <c r="BA692" i="1"/>
  <c r="AZ692" i="1"/>
  <c r="AY692" i="1"/>
  <c r="AX692" i="1"/>
  <c r="AW692" i="1"/>
  <c r="AV692" i="1"/>
  <c r="AU692" i="1"/>
  <c r="BA691" i="1"/>
  <c r="AZ691" i="1"/>
  <c r="AY691" i="1"/>
  <c r="AX691" i="1"/>
  <c r="AW691" i="1"/>
  <c r="AV691" i="1"/>
  <c r="AU691" i="1"/>
  <c r="BA690" i="1"/>
  <c r="AZ690" i="1"/>
  <c r="AY690" i="1"/>
  <c r="AX690" i="1"/>
  <c r="AW690" i="1"/>
  <c r="AV690" i="1"/>
  <c r="AU690" i="1"/>
  <c r="BB689" i="1"/>
  <c r="BA689" i="1"/>
  <c r="AZ689" i="1"/>
  <c r="AY689" i="1"/>
  <c r="AX689" i="1"/>
  <c r="AW689" i="1"/>
  <c r="AV689" i="1"/>
  <c r="AU689" i="1"/>
  <c r="BB688" i="1"/>
  <c r="BA688" i="1"/>
  <c r="AZ688" i="1"/>
  <c r="AY688" i="1"/>
  <c r="AX688" i="1"/>
  <c r="AW688" i="1"/>
  <c r="AV688" i="1"/>
  <c r="AU688" i="1"/>
  <c r="BB687" i="1"/>
  <c r="BA687" i="1"/>
  <c r="AZ687" i="1"/>
  <c r="AY687" i="1"/>
  <c r="AX687" i="1"/>
  <c r="AW687" i="1"/>
  <c r="AV687" i="1"/>
  <c r="AU687" i="1"/>
  <c r="BB686" i="1"/>
  <c r="BA686" i="1"/>
  <c r="AZ686" i="1"/>
  <c r="AY686" i="1"/>
  <c r="AX686" i="1"/>
  <c r="AW686" i="1"/>
  <c r="AV686" i="1"/>
  <c r="AU686" i="1"/>
  <c r="BA685" i="1"/>
  <c r="AZ685" i="1"/>
  <c r="AX685" i="1"/>
  <c r="AV685" i="1"/>
  <c r="AU685" i="1"/>
  <c r="BA684" i="1"/>
  <c r="AZ684" i="1"/>
  <c r="AX684" i="1"/>
  <c r="AV684" i="1"/>
  <c r="AU684" i="1"/>
  <c r="BA683" i="1"/>
  <c r="AZ683" i="1"/>
  <c r="AY683" i="1"/>
  <c r="AX683" i="1"/>
  <c r="AW683" i="1"/>
  <c r="AV683" i="1"/>
  <c r="AU683" i="1"/>
  <c r="BA682" i="1"/>
  <c r="AZ682" i="1"/>
  <c r="AY682" i="1"/>
  <c r="AX682" i="1"/>
  <c r="AW682" i="1"/>
  <c r="AV682" i="1"/>
  <c r="AU682" i="1"/>
  <c r="BA681" i="1"/>
  <c r="AZ681" i="1"/>
  <c r="AY681" i="1"/>
  <c r="AX681" i="1"/>
  <c r="AV681" i="1"/>
  <c r="AU681" i="1"/>
  <c r="BB680" i="1"/>
  <c r="BA680" i="1"/>
  <c r="AZ680" i="1"/>
  <c r="AY680" i="1"/>
  <c r="AX680" i="1"/>
  <c r="AW680" i="1"/>
  <c r="AV680" i="1"/>
  <c r="AU680" i="1"/>
  <c r="BB679" i="1"/>
  <c r="BA679" i="1"/>
  <c r="AZ679" i="1"/>
  <c r="AY679" i="1"/>
  <c r="AX679" i="1"/>
  <c r="AW679" i="1"/>
  <c r="AV679" i="1"/>
  <c r="AU679" i="1"/>
  <c r="BB678" i="1"/>
  <c r="BA678" i="1"/>
  <c r="AZ678" i="1"/>
  <c r="AY678" i="1"/>
  <c r="AX678" i="1"/>
  <c r="AW678" i="1"/>
  <c r="AV678" i="1"/>
  <c r="AU678" i="1"/>
  <c r="BB677" i="1"/>
  <c r="BA677" i="1"/>
  <c r="AZ677" i="1"/>
  <c r="AY677" i="1"/>
  <c r="AX677" i="1"/>
  <c r="AW677" i="1"/>
  <c r="AV677" i="1"/>
  <c r="AU677" i="1"/>
  <c r="BB676" i="1"/>
  <c r="BA676" i="1"/>
  <c r="AZ676" i="1"/>
  <c r="AY676" i="1"/>
  <c r="AX676" i="1"/>
  <c r="AW676" i="1"/>
  <c r="AV676" i="1"/>
  <c r="AU676" i="1"/>
  <c r="BB675" i="1"/>
  <c r="BA675" i="1"/>
  <c r="AZ675" i="1"/>
  <c r="AY675" i="1"/>
  <c r="AX675" i="1"/>
  <c r="AW675" i="1"/>
  <c r="AV675" i="1"/>
  <c r="AU675" i="1"/>
  <c r="BA673" i="1"/>
  <c r="AZ673" i="1"/>
  <c r="AY673" i="1"/>
  <c r="AX673" i="1"/>
  <c r="AW673" i="1"/>
  <c r="AV673" i="1"/>
  <c r="AU673" i="1"/>
  <c r="BA672" i="1"/>
  <c r="AZ672" i="1"/>
  <c r="AY672" i="1"/>
  <c r="AX672" i="1"/>
  <c r="AW672" i="1"/>
  <c r="AV672" i="1"/>
  <c r="AU672" i="1"/>
  <c r="BA671" i="1"/>
  <c r="AZ671" i="1"/>
  <c r="AY671" i="1"/>
  <c r="AX671" i="1"/>
  <c r="AW671" i="1"/>
  <c r="AV671" i="1"/>
  <c r="AU671" i="1"/>
  <c r="AZ670" i="1"/>
  <c r="AY670" i="1"/>
  <c r="AX670" i="1"/>
  <c r="AW670" i="1"/>
  <c r="AV670" i="1"/>
  <c r="AU670" i="1"/>
  <c r="AZ669" i="1"/>
  <c r="AY669" i="1"/>
  <c r="AX669" i="1"/>
  <c r="AW669" i="1"/>
  <c r="AV669" i="1"/>
  <c r="AU669" i="1"/>
  <c r="BA668" i="1"/>
  <c r="AZ668" i="1"/>
  <c r="AY668" i="1"/>
  <c r="AX668" i="1"/>
  <c r="AW668" i="1"/>
  <c r="AV668" i="1"/>
  <c r="AU668" i="1"/>
  <c r="BA667" i="1"/>
  <c r="AZ667" i="1"/>
  <c r="AY667" i="1"/>
  <c r="AX667" i="1"/>
  <c r="AW667" i="1"/>
  <c r="AV667" i="1"/>
  <c r="AU667" i="1"/>
  <c r="BB666" i="1"/>
  <c r="BA666" i="1"/>
  <c r="AZ666" i="1"/>
  <c r="AY666" i="1"/>
  <c r="AX666" i="1"/>
  <c r="AV666" i="1"/>
  <c r="AU666" i="1"/>
  <c r="BB665" i="1"/>
  <c r="BA665" i="1"/>
  <c r="AZ665" i="1"/>
  <c r="AY665" i="1"/>
  <c r="AX665" i="1"/>
  <c r="AV665" i="1"/>
  <c r="AU665" i="1"/>
  <c r="BB664" i="1"/>
  <c r="BA664" i="1"/>
  <c r="AZ664" i="1"/>
  <c r="AY664" i="1"/>
  <c r="AX664" i="1"/>
  <c r="AV664" i="1"/>
  <c r="AU664" i="1"/>
  <c r="BB663" i="1"/>
  <c r="BA663" i="1"/>
  <c r="AZ663" i="1"/>
  <c r="AY663" i="1"/>
  <c r="AX663" i="1"/>
  <c r="AV663" i="1"/>
  <c r="AU663" i="1"/>
  <c r="BB662" i="1"/>
  <c r="BA662" i="1"/>
  <c r="AZ662" i="1"/>
  <c r="AY662" i="1"/>
  <c r="AX662" i="1"/>
  <c r="AV662" i="1"/>
  <c r="AU662" i="1"/>
  <c r="BB661" i="1"/>
  <c r="BA661" i="1"/>
  <c r="AZ661" i="1"/>
  <c r="AY661" i="1"/>
  <c r="AX661" i="1"/>
  <c r="AV661" i="1"/>
  <c r="AU661" i="1"/>
  <c r="BB660" i="1"/>
  <c r="BA660" i="1"/>
  <c r="AZ660" i="1"/>
  <c r="AY660" i="1"/>
  <c r="AX660" i="1"/>
  <c r="AW660" i="1"/>
  <c r="AV660" i="1"/>
  <c r="AU660" i="1"/>
  <c r="BB659" i="1"/>
  <c r="BA659" i="1"/>
  <c r="AZ659" i="1"/>
  <c r="AY659" i="1"/>
  <c r="AX659" i="1"/>
  <c r="AW659" i="1"/>
  <c r="AV659" i="1"/>
  <c r="AU659" i="1"/>
  <c r="BB658" i="1"/>
  <c r="BA658" i="1"/>
  <c r="AZ658" i="1"/>
  <c r="AY658" i="1"/>
  <c r="AX658" i="1"/>
  <c r="AW658" i="1"/>
  <c r="AV658" i="1"/>
  <c r="AU658" i="1"/>
  <c r="BB657" i="1"/>
  <c r="BA657" i="1"/>
  <c r="AZ657" i="1"/>
  <c r="AY657" i="1"/>
  <c r="AX657" i="1"/>
  <c r="AW657" i="1"/>
  <c r="AV657" i="1"/>
  <c r="AU657" i="1"/>
  <c r="BB656" i="1"/>
  <c r="BA656" i="1"/>
  <c r="AZ656" i="1"/>
  <c r="AY656" i="1"/>
  <c r="AX656" i="1"/>
  <c r="AW656" i="1"/>
  <c r="AV656" i="1"/>
  <c r="AU656" i="1"/>
  <c r="BB655" i="1"/>
  <c r="BA655" i="1"/>
  <c r="AZ655" i="1"/>
  <c r="AY655" i="1"/>
  <c r="AX655" i="1"/>
  <c r="AW655" i="1"/>
  <c r="AV655" i="1"/>
  <c r="AU655" i="1"/>
  <c r="BB654" i="1"/>
  <c r="BA654" i="1"/>
  <c r="AZ654" i="1"/>
  <c r="AY654" i="1"/>
  <c r="AX654" i="1"/>
  <c r="AW654" i="1"/>
  <c r="AV654" i="1"/>
  <c r="AU654" i="1"/>
  <c r="BA653" i="1"/>
  <c r="AZ653" i="1"/>
  <c r="AY653" i="1"/>
  <c r="AX653" i="1"/>
  <c r="AW653" i="1"/>
  <c r="AV653" i="1"/>
  <c r="BA652" i="1"/>
  <c r="AZ652" i="1"/>
  <c r="AY652" i="1"/>
  <c r="AX652" i="1"/>
  <c r="AW652" i="1"/>
  <c r="AV652" i="1"/>
  <c r="BA651" i="1"/>
  <c r="AZ651" i="1"/>
  <c r="AY651" i="1"/>
  <c r="AX651" i="1"/>
  <c r="AW651" i="1"/>
  <c r="AV651" i="1"/>
  <c r="AU651" i="1"/>
  <c r="BA650" i="1"/>
  <c r="AZ650" i="1"/>
  <c r="AY650" i="1"/>
  <c r="AX650" i="1"/>
  <c r="AW650" i="1"/>
  <c r="AV650" i="1"/>
  <c r="BA649" i="1"/>
  <c r="AZ649" i="1"/>
  <c r="AY649" i="1"/>
  <c r="AX649" i="1"/>
  <c r="AW649" i="1"/>
  <c r="AV649" i="1"/>
  <c r="AU649" i="1"/>
  <c r="BA648" i="1"/>
  <c r="AZ648" i="1"/>
  <c r="AY648" i="1"/>
  <c r="AX648" i="1"/>
  <c r="AW648" i="1"/>
  <c r="AV648" i="1"/>
  <c r="BA647" i="1"/>
  <c r="AZ647" i="1"/>
  <c r="AY647" i="1"/>
  <c r="AX647" i="1"/>
  <c r="AW647" i="1"/>
  <c r="AV647" i="1"/>
  <c r="BA646" i="1"/>
  <c r="AZ646" i="1"/>
  <c r="AY646" i="1"/>
  <c r="AX646" i="1"/>
  <c r="AV646" i="1"/>
  <c r="AU646" i="1"/>
  <c r="BB645" i="1"/>
  <c r="BA645" i="1"/>
  <c r="AZ645" i="1"/>
  <c r="AX645" i="1"/>
  <c r="AW645" i="1"/>
  <c r="AV645" i="1"/>
  <c r="AU645" i="1"/>
  <c r="BB644" i="1"/>
  <c r="BA644" i="1"/>
  <c r="AZ644" i="1"/>
  <c r="AX644" i="1"/>
  <c r="AW644" i="1"/>
  <c r="AV644" i="1"/>
  <c r="AU644" i="1"/>
  <c r="BB643" i="1"/>
  <c r="BA643" i="1"/>
  <c r="AZ643" i="1"/>
  <c r="AX643" i="1"/>
  <c r="AW643" i="1"/>
  <c r="AV643" i="1"/>
  <c r="AU643" i="1"/>
  <c r="BB642" i="1"/>
  <c r="BA642" i="1"/>
  <c r="AZ642" i="1"/>
  <c r="AX642" i="1"/>
  <c r="AW642" i="1"/>
  <c r="AV642" i="1"/>
  <c r="AU642" i="1"/>
  <c r="BA641" i="1"/>
  <c r="AZ641" i="1"/>
  <c r="AY641" i="1"/>
  <c r="AX641" i="1"/>
  <c r="AW641" i="1"/>
  <c r="AV641" i="1"/>
  <c r="BA640" i="1"/>
  <c r="AZ640" i="1"/>
  <c r="AY640" i="1"/>
  <c r="AX640" i="1"/>
  <c r="AW640" i="1"/>
  <c r="AV640" i="1"/>
  <c r="BA639" i="1"/>
  <c r="AZ639" i="1"/>
  <c r="AY639" i="1"/>
  <c r="AX639" i="1"/>
  <c r="AV639" i="1"/>
  <c r="BA638" i="1"/>
  <c r="AZ638" i="1"/>
  <c r="AY638" i="1"/>
  <c r="AX638" i="1"/>
  <c r="AV638" i="1"/>
  <c r="BA637" i="1"/>
  <c r="AZ637" i="1"/>
  <c r="AY637" i="1"/>
  <c r="AX637" i="1"/>
  <c r="AV637" i="1"/>
  <c r="AU637" i="1"/>
  <c r="BA636" i="1"/>
  <c r="AZ636" i="1"/>
  <c r="AY636" i="1"/>
  <c r="AX636" i="1"/>
  <c r="AW636" i="1"/>
  <c r="AV636" i="1"/>
  <c r="AU636" i="1"/>
  <c r="BA635" i="1"/>
  <c r="AZ635" i="1"/>
  <c r="AY635" i="1"/>
  <c r="AX635" i="1"/>
  <c r="AW635" i="1"/>
  <c r="AV635" i="1"/>
  <c r="AU635" i="1"/>
  <c r="BA634" i="1"/>
  <c r="AZ634" i="1"/>
  <c r="AY634" i="1"/>
  <c r="AX634" i="1"/>
  <c r="AW634" i="1"/>
  <c r="AV634" i="1"/>
  <c r="AU634" i="1"/>
  <c r="BA633" i="1"/>
  <c r="AZ633" i="1"/>
  <c r="AY633" i="1"/>
  <c r="AX633" i="1"/>
  <c r="AW633" i="1"/>
  <c r="AV633" i="1"/>
  <c r="AU633" i="1"/>
  <c r="BA632" i="1"/>
  <c r="AZ632" i="1"/>
  <c r="AY632" i="1"/>
  <c r="AX632" i="1"/>
  <c r="AW632" i="1"/>
  <c r="AV632" i="1"/>
  <c r="AU632" i="1"/>
  <c r="BA631" i="1"/>
  <c r="AZ631" i="1"/>
  <c r="AY631" i="1"/>
  <c r="AX631" i="1"/>
  <c r="AW631" i="1"/>
  <c r="AV631" i="1"/>
  <c r="AU631" i="1"/>
  <c r="BA630" i="1"/>
  <c r="AZ630" i="1"/>
  <c r="AY630" i="1"/>
  <c r="AX630" i="1"/>
  <c r="AW630" i="1"/>
  <c r="AV630" i="1"/>
  <c r="AU630" i="1"/>
  <c r="BB629" i="1"/>
  <c r="BA629" i="1"/>
  <c r="AZ629" i="1"/>
  <c r="AY629" i="1"/>
  <c r="AX629" i="1"/>
  <c r="AV629" i="1"/>
  <c r="AU629" i="1"/>
  <c r="BB628" i="1"/>
  <c r="BA628" i="1"/>
  <c r="AZ628" i="1"/>
  <c r="AY628" i="1"/>
  <c r="AX628" i="1"/>
  <c r="AV628" i="1"/>
  <c r="AU628" i="1"/>
  <c r="BB627" i="1"/>
  <c r="BA627" i="1"/>
  <c r="AZ627" i="1"/>
  <c r="AY627" i="1"/>
  <c r="AX627" i="1"/>
  <c r="AV627" i="1"/>
  <c r="AU627" i="1"/>
  <c r="BB623" i="1"/>
  <c r="BA623" i="1"/>
  <c r="AZ623" i="1"/>
  <c r="AY623" i="1"/>
  <c r="AX623" i="1"/>
  <c r="AW623" i="1"/>
  <c r="AV623" i="1"/>
  <c r="AU623" i="1"/>
  <c r="BB622" i="1"/>
  <c r="BA622" i="1"/>
  <c r="AZ622" i="1"/>
  <c r="AY622" i="1"/>
  <c r="AX622" i="1"/>
  <c r="AW622" i="1"/>
  <c r="AV622" i="1"/>
  <c r="AU622" i="1"/>
  <c r="BA620" i="1"/>
  <c r="AZ620" i="1"/>
  <c r="AY620" i="1"/>
  <c r="AX620" i="1"/>
  <c r="AW620" i="1"/>
  <c r="AV620" i="1"/>
  <c r="AU620" i="1"/>
  <c r="BA619" i="1"/>
  <c r="AZ619" i="1"/>
  <c r="AY619" i="1"/>
  <c r="AX619" i="1"/>
  <c r="AV619" i="1"/>
  <c r="AU619" i="1"/>
  <c r="BA618" i="1"/>
  <c r="AZ618" i="1"/>
  <c r="AY618" i="1"/>
  <c r="AX618" i="1"/>
  <c r="AV618" i="1"/>
  <c r="AU618" i="1"/>
  <c r="AZ617" i="1"/>
  <c r="AX617" i="1"/>
  <c r="AV617" i="1"/>
  <c r="AU617" i="1"/>
  <c r="AZ616" i="1"/>
  <c r="AX616" i="1"/>
  <c r="AV616" i="1"/>
  <c r="AU616" i="1"/>
  <c r="AZ615" i="1"/>
  <c r="AX615" i="1"/>
  <c r="AV615" i="1"/>
  <c r="AU615" i="1"/>
  <c r="AZ614" i="1"/>
  <c r="AX614" i="1"/>
  <c r="AV614" i="1"/>
  <c r="AU614" i="1"/>
  <c r="AZ613" i="1"/>
  <c r="AX613" i="1"/>
  <c r="AV613" i="1"/>
  <c r="AU613" i="1"/>
  <c r="AZ612" i="1"/>
  <c r="AX612" i="1"/>
  <c r="AV612" i="1"/>
  <c r="AU612" i="1"/>
  <c r="AZ611" i="1"/>
  <c r="AX611" i="1"/>
  <c r="AV611" i="1"/>
  <c r="AU611" i="1"/>
  <c r="AZ610" i="1"/>
  <c r="AX610" i="1"/>
  <c r="AV610" i="1"/>
  <c r="AU610" i="1"/>
  <c r="AZ609" i="1"/>
  <c r="AX609" i="1"/>
  <c r="AV609" i="1"/>
  <c r="AU609" i="1"/>
  <c r="AZ608" i="1"/>
  <c r="AX608" i="1"/>
  <c r="AV608" i="1"/>
  <c r="AU608" i="1"/>
  <c r="AZ607" i="1"/>
  <c r="AX607" i="1"/>
  <c r="AV607" i="1"/>
  <c r="AU607" i="1"/>
  <c r="AZ606" i="1"/>
  <c r="AX606" i="1"/>
  <c r="AV606" i="1"/>
  <c r="AU606" i="1"/>
  <c r="BB601" i="1"/>
  <c r="BA601" i="1"/>
  <c r="AZ601" i="1"/>
  <c r="AY601" i="1"/>
  <c r="AX601" i="1"/>
  <c r="AW601" i="1"/>
  <c r="AV601" i="1"/>
  <c r="AU601" i="1"/>
  <c r="BB600" i="1"/>
  <c r="BA600" i="1"/>
  <c r="AZ600" i="1"/>
  <c r="AY600" i="1"/>
  <c r="AX600" i="1"/>
  <c r="AW600" i="1"/>
  <c r="AV600" i="1"/>
  <c r="AU600" i="1"/>
  <c r="BB599" i="1"/>
  <c r="BA599" i="1"/>
  <c r="AZ599" i="1"/>
  <c r="AY599" i="1"/>
  <c r="AX599" i="1"/>
  <c r="AW599" i="1"/>
  <c r="AV599" i="1"/>
  <c r="AU599" i="1"/>
  <c r="BB598" i="1"/>
  <c r="BA598" i="1"/>
  <c r="AZ598" i="1"/>
  <c r="AY598" i="1"/>
  <c r="AX598" i="1"/>
  <c r="AW598" i="1"/>
  <c r="AV598" i="1"/>
  <c r="AU598" i="1"/>
  <c r="BB597" i="1"/>
  <c r="BA597" i="1"/>
  <c r="AZ597" i="1"/>
  <c r="AY597" i="1"/>
  <c r="AX597" i="1"/>
  <c r="AW597" i="1"/>
  <c r="AV597" i="1"/>
  <c r="AU597" i="1"/>
  <c r="BB596" i="1"/>
  <c r="BA596" i="1"/>
  <c r="AZ596" i="1"/>
  <c r="AY596" i="1"/>
  <c r="AX596" i="1"/>
  <c r="AW596" i="1"/>
  <c r="AV596" i="1"/>
  <c r="AU596" i="1"/>
  <c r="BA594" i="1"/>
  <c r="AZ594" i="1"/>
  <c r="AY594" i="1"/>
  <c r="AX594" i="1"/>
  <c r="AW594" i="1"/>
  <c r="AV594" i="1"/>
  <c r="AU594" i="1"/>
  <c r="BA593" i="1"/>
  <c r="AZ593" i="1"/>
  <c r="AY593" i="1"/>
  <c r="AX593" i="1"/>
  <c r="AW593" i="1"/>
  <c r="AV593" i="1"/>
  <c r="AU593" i="1"/>
  <c r="BA592" i="1"/>
  <c r="AZ592" i="1"/>
  <c r="AY592" i="1"/>
  <c r="AX592" i="1"/>
  <c r="AW592" i="1"/>
  <c r="AV592" i="1"/>
  <c r="AU592" i="1"/>
  <c r="BA591" i="1"/>
  <c r="AZ591" i="1"/>
  <c r="AY591" i="1"/>
  <c r="AX591" i="1"/>
  <c r="AW591" i="1"/>
  <c r="AV591" i="1"/>
  <c r="AU591" i="1"/>
  <c r="BA590" i="1"/>
  <c r="AZ590" i="1"/>
  <c r="AY590" i="1"/>
  <c r="AX590" i="1"/>
  <c r="AW590" i="1"/>
  <c r="AV590" i="1"/>
  <c r="AU590" i="1"/>
  <c r="BA589" i="1"/>
  <c r="AZ589" i="1"/>
  <c r="AY589" i="1"/>
  <c r="AX589" i="1"/>
  <c r="AW589" i="1"/>
  <c r="AV589" i="1"/>
  <c r="AU589" i="1"/>
  <c r="BA588" i="1"/>
  <c r="AZ588" i="1"/>
  <c r="AY588" i="1"/>
  <c r="AX588" i="1"/>
  <c r="AW588" i="1"/>
  <c r="AV588" i="1"/>
  <c r="AU588" i="1"/>
  <c r="BA587" i="1"/>
  <c r="AZ587" i="1"/>
  <c r="AY587" i="1"/>
  <c r="AX587" i="1"/>
  <c r="AW587" i="1"/>
  <c r="AV587" i="1"/>
  <c r="AU587" i="1"/>
  <c r="BA586" i="1"/>
  <c r="AZ586" i="1"/>
  <c r="AY586" i="1"/>
  <c r="AX586" i="1"/>
  <c r="AW586" i="1"/>
  <c r="AV586" i="1"/>
  <c r="AU586" i="1"/>
  <c r="BA585" i="1"/>
  <c r="AZ585" i="1"/>
  <c r="AY585" i="1"/>
  <c r="AX585" i="1"/>
  <c r="AW585" i="1"/>
  <c r="AV585" i="1"/>
  <c r="AU585" i="1"/>
  <c r="BA584" i="1"/>
  <c r="AZ584" i="1"/>
  <c r="AY584" i="1"/>
  <c r="AX584" i="1"/>
  <c r="AW584" i="1"/>
  <c r="AV584" i="1"/>
  <c r="AU584" i="1"/>
  <c r="BA583" i="1"/>
  <c r="AZ583" i="1"/>
  <c r="AY583" i="1"/>
  <c r="AX583" i="1"/>
  <c r="AW583" i="1"/>
  <c r="AV583" i="1"/>
  <c r="AU583" i="1"/>
  <c r="BA582" i="1"/>
  <c r="AZ582" i="1"/>
  <c r="AY582" i="1"/>
  <c r="AX582" i="1"/>
  <c r="AW582" i="1"/>
  <c r="AV582" i="1"/>
  <c r="AU582" i="1"/>
  <c r="BA581" i="1"/>
  <c r="AZ581" i="1"/>
  <c r="AY581" i="1"/>
  <c r="AX581" i="1"/>
  <c r="AW581" i="1"/>
  <c r="AV581" i="1"/>
  <c r="AU581" i="1"/>
  <c r="BA580" i="1"/>
  <c r="AZ580" i="1"/>
  <c r="AY580" i="1"/>
  <c r="AX580" i="1"/>
  <c r="AW580" i="1"/>
  <c r="AV580" i="1"/>
  <c r="AU580" i="1"/>
  <c r="BA579" i="1"/>
  <c r="AZ579" i="1"/>
  <c r="AY579" i="1"/>
  <c r="AX579" i="1"/>
  <c r="AW579" i="1"/>
  <c r="AV579" i="1"/>
  <c r="AU579" i="1"/>
  <c r="BA578" i="1"/>
  <c r="AZ578" i="1"/>
  <c r="AY578" i="1"/>
  <c r="AX578" i="1"/>
  <c r="AW578" i="1"/>
  <c r="AV578" i="1"/>
  <c r="AU578" i="1"/>
  <c r="BA577" i="1"/>
  <c r="AZ577" i="1"/>
  <c r="AY577" i="1"/>
  <c r="AX577" i="1"/>
  <c r="AW577" i="1"/>
  <c r="AV577" i="1"/>
  <c r="AU577" i="1"/>
  <c r="BA576" i="1"/>
  <c r="AZ576" i="1"/>
  <c r="AY576" i="1"/>
  <c r="AX576" i="1"/>
  <c r="AW576" i="1"/>
  <c r="AV576" i="1"/>
  <c r="AU576" i="1"/>
  <c r="BA575" i="1"/>
  <c r="AZ575" i="1"/>
  <c r="AY575" i="1"/>
  <c r="AX575" i="1"/>
  <c r="AW575" i="1"/>
  <c r="AV575" i="1"/>
  <c r="AU575" i="1"/>
  <c r="BA574" i="1"/>
  <c r="AZ574" i="1"/>
  <c r="AY574" i="1"/>
  <c r="AX574" i="1"/>
  <c r="AW574" i="1"/>
  <c r="AV574" i="1"/>
  <c r="AU574" i="1"/>
  <c r="BA573" i="1"/>
  <c r="AZ573" i="1"/>
  <c r="AY573" i="1"/>
  <c r="AX573" i="1"/>
  <c r="AW573" i="1"/>
  <c r="AV573" i="1"/>
  <c r="AU573" i="1"/>
  <c r="BA572" i="1"/>
  <c r="AZ572" i="1"/>
  <c r="AY572" i="1"/>
  <c r="AX572" i="1"/>
  <c r="AW572" i="1"/>
  <c r="AV572" i="1"/>
  <c r="AU572" i="1"/>
  <c r="BA571" i="1"/>
  <c r="AZ571" i="1"/>
  <c r="AY571" i="1"/>
  <c r="AX571" i="1"/>
  <c r="AW571" i="1"/>
  <c r="AV571" i="1"/>
  <c r="AU571" i="1"/>
  <c r="BA570" i="1"/>
  <c r="AZ570" i="1"/>
  <c r="AY570" i="1"/>
  <c r="AX570" i="1"/>
  <c r="AW570" i="1"/>
  <c r="AV570" i="1"/>
  <c r="AU570" i="1"/>
  <c r="BA569" i="1"/>
  <c r="AZ569" i="1"/>
  <c r="AY569" i="1"/>
  <c r="AX569" i="1"/>
  <c r="AW569" i="1"/>
  <c r="AV569" i="1"/>
  <c r="AU569" i="1"/>
  <c r="BA568" i="1"/>
  <c r="AZ568" i="1"/>
  <c r="AY568" i="1"/>
  <c r="AX568" i="1"/>
  <c r="AW568" i="1"/>
  <c r="AV568" i="1"/>
  <c r="AU568" i="1"/>
  <c r="BA567" i="1"/>
  <c r="AZ567" i="1"/>
  <c r="AY567" i="1"/>
  <c r="AX567" i="1"/>
  <c r="AW567" i="1"/>
  <c r="AV567" i="1"/>
  <c r="AU567" i="1"/>
  <c r="BA564" i="1"/>
  <c r="AZ564" i="1"/>
  <c r="AY564" i="1"/>
  <c r="AX564" i="1"/>
  <c r="AV564" i="1"/>
  <c r="AU564" i="1"/>
  <c r="BA563" i="1"/>
  <c r="AZ563" i="1"/>
  <c r="AY563" i="1"/>
  <c r="AX563" i="1"/>
  <c r="AV563" i="1"/>
  <c r="AU563" i="1"/>
  <c r="BA562" i="1"/>
  <c r="AZ562" i="1"/>
  <c r="AY562" i="1"/>
  <c r="AX562" i="1"/>
  <c r="AV562" i="1"/>
  <c r="AU562" i="1"/>
  <c r="BA561" i="1"/>
  <c r="AZ561" i="1"/>
  <c r="AY561" i="1"/>
  <c r="AX561" i="1"/>
  <c r="AV561" i="1"/>
  <c r="AU561" i="1"/>
  <c r="BA560" i="1"/>
  <c r="AZ560" i="1"/>
  <c r="AY560" i="1"/>
  <c r="AX560" i="1"/>
  <c r="AV560" i="1"/>
  <c r="AU560" i="1"/>
  <c r="BA559" i="1"/>
  <c r="AZ559" i="1"/>
  <c r="AY559" i="1"/>
  <c r="AX559" i="1"/>
  <c r="AV559" i="1"/>
  <c r="AU559" i="1"/>
  <c r="BA558" i="1"/>
  <c r="AZ558" i="1"/>
  <c r="AY558" i="1"/>
  <c r="AX558" i="1"/>
  <c r="AV558" i="1"/>
  <c r="AU558" i="1"/>
  <c r="BA557" i="1"/>
  <c r="AZ557" i="1"/>
  <c r="AY557" i="1"/>
  <c r="AX557" i="1"/>
  <c r="AV557" i="1"/>
  <c r="AU557" i="1"/>
  <c r="BA556" i="1"/>
  <c r="AZ556" i="1"/>
  <c r="AY556" i="1"/>
  <c r="AX556" i="1"/>
  <c r="AV556" i="1"/>
  <c r="AU556" i="1"/>
  <c r="BA555" i="1"/>
  <c r="AZ555" i="1"/>
  <c r="AY555" i="1"/>
  <c r="AX555" i="1"/>
  <c r="AV555" i="1"/>
  <c r="AU555" i="1"/>
  <c r="BA554" i="1"/>
  <c r="AZ554" i="1"/>
  <c r="AY554" i="1"/>
  <c r="AX554" i="1"/>
  <c r="AV554" i="1"/>
  <c r="AU554" i="1"/>
  <c r="BA553" i="1"/>
  <c r="AZ553" i="1"/>
  <c r="AY553" i="1"/>
  <c r="AX553" i="1"/>
  <c r="AV553" i="1"/>
  <c r="AU553" i="1"/>
  <c r="BA552" i="1"/>
  <c r="AZ552" i="1"/>
  <c r="AY552" i="1"/>
  <c r="AX552" i="1"/>
  <c r="AV552" i="1"/>
  <c r="BA551" i="1"/>
  <c r="AZ551" i="1"/>
  <c r="AY551" i="1"/>
  <c r="AX551" i="1"/>
  <c r="AW551" i="1"/>
  <c r="AV551" i="1"/>
  <c r="AU551" i="1"/>
  <c r="BA550" i="1"/>
  <c r="AZ550" i="1"/>
  <c r="AY550" i="1"/>
  <c r="AX550" i="1"/>
  <c r="AW550" i="1"/>
  <c r="AV550" i="1"/>
  <c r="BA549" i="1"/>
  <c r="AZ549" i="1"/>
  <c r="AY549" i="1"/>
  <c r="AX549" i="1"/>
  <c r="AW549" i="1"/>
  <c r="AV549" i="1"/>
  <c r="AU549" i="1"/>
  <c r="BA548" i="1"/>
  <c r="AZ548" i="1"/>
  <c r="AY548" i="1"/>
  <c r="AX548" i="1"/>
  <c r="AV548" i="1"/>
  <c r="AU548" i="1"/>
  <c r="BA547" i="1"/>
  <c r="AZ547" i="1"/>
  <c r="AY547" i="1"/>
  <c r="AX547" i="1"/>
  <c r="AV547" i="1"/>
  <c r="AU547" i="1"/>
  <c r="BA546" i="1"/>
  <c r="AZ546" i="1"/>
  <c r="AY546" i="1"/>
  <c r="AX546" i="1"/>
  <c r="AV546" i="1"/>
  <c r="AU546" i="1"/>
  <c r="BA545" i="1"/>
  <c r="AZ545" i="1"/>
  <c r="AY545" i="1"/>
  <c r="AX545" i="1"/>
  <c r="AV545" i="1"/>
  <c r="AU545" i="1"/>
  <c r="BA544" i="1"/>
  <c r="AZ544" i="1"/>
  <c r="AY544" i="1"/>
  <c r="AX544" i="1"/>
  <c r="AV544" i="1"/>
  <c r="AU544" i="1"/>
  <c r="BA543" i="1"/>
  <c r="AZ543" i="1"/>
  <c r="AY543" i="1"/>
  <c r="AX543" i="1"/>
  <c r="AV543" i="1"/>
  <c r="AU543" i="1"/>
  <c r="BA542" i="1"/>
  <c r="AZ542" i="1"/>
  <c r="AY542" i="1"/>
  <c r="AX542" i="1"/>
  <c r="AV542" i="1"/>
  <c r="AU542" i="1"/>
  <c r="BA541" i="1"/>
  <c r="AZ541" i="1"/>
  <c r="AY541" i="1"/>
  <c r="AX541" i="1"/>
  <c r="AV541" i="1"/>
  <c r="AU541" i="1"/>
  <c r="BA540" i="1"/>
  <c r="AZ540" i="1"/>
  <c r="AY540" i="1"/>
  <c r="AX540" i="1"/>
  <c r="AW540" i="1"/>
  <c r="AV540" i="1"/>
  <c r="AU540" i="1"/>
  <c r="BA539" i="1"/>
  <c r="AZ539" i="1"/>
  <c r="AY539" i="1"/>
  <c r="AX539" i="1"/>
  <c r="AW539" i="1"/>
  <c r="AV539" i="1"/>
  <c r="AU539" i="1"/>
  <c r="BA538" i="1"/>
  <c r="AZ538" i="1"/>
  <c r="AY538" i="1"/>
  <c r="AX538" i="1"/>
  <c r="AW538" i="1"/>
  <c r="AV538" i="1"/>
  <c r="AU538" i="1"/>
  <c r="BA537" i="1"/>
  <c r="AZ537" i="1"/>
  <c r="AY537" i="1"/>
  <c r="AX537" i="1"/>
  <c r="AW537" i="1"/>
  <c r="AV537" i="1"/>
  <c r="AU537" i="1"/>
  <c r="BA536" i="1"/>
  <c r="AZ536" i="1"/>
  <c r="AY536" i="1"/>
  <c r="AX536" i="1"/>
  <c r="AW536" i="1"/>
  <c r="AV536" i="1"/>
  <c r="AU536" i="1"/>
  <c r="BA535" i="1"/>
  <c r="AZ535" i="1"/>
  <c r="AY535" i="1"/>
  <c r="AX535" i="1"/>
  <c r="AW535" i="1"/>
  <c r="AV535" i="1"/>
  <c r="AU535" i="1"/>
  <c r="BA534" i="1"/>
  <c r="AZ534" i="1"/>
  <c r="AY534" i="1"/>
  <c r="AX534" i="1"/>
  <c r="AW534" i="1"/>
  <c r="AV534" i="1"/>
  <c r="AU534" i="1"/>
  <c r="BA533" i="1"/>
  <c r="AZ533" i="1"/>
  <c r="AY533" i="1"/>
  <c r="AX533" i="1"/>
  <c r="AW533" i="1"/>
  <c r="AV533" i="1"/>
  <c r="AU533" i="1"/>
  <c r="BA532" i="1"/>
  <c r="AZ532" i="1"/>
  <c r="AY532" i="1"/>
  <c r="AX532" i="1"/>
  <c r="AW532" i="1"/>
  <c r="AV532" i="1"/>
  <c r="AU532" i="1"/>
  <c r="BA531" i="1"/>
  <c r="AZ531" i="1"/>
  <c r="AY531" i="1"/>
  <c r="AX531" i="1"/>
  <c r="AW531" i="1"/>
  <c r="AV531" i="1"/>
  <c r="AU531" i="1"/>
  <c r="BA530" i="1"/>
  <c r="AZ530" i="1"/>
  <c r="AY530" i="1"/>
  <c r="AX530" i="1"/>
  <c r="AW530" i="1"/>
  <c r="AV530" i="1"/>
  <c r="AU530" i="1"/>
  <c r="BA529" i="1"/>
  <c r="AZ529" i="1"/>
  <c r="AY529" i="1"/>
  <c r="AX529" i="1"/>
  <c r="AW529" i="1"/>
  <c r="AV529" i="1"/>
  <c r="AU529" i="1"/>
  <c r="BA528" i="1"/>
  <c r="AZ528" i="1"/>
  <c r="AY528" i="1"/>
  <c r="AX528" i="1"/>
  <c r="AW528" i="1"/>
  <c r="AV528" i="1"/>
  <c r="AU528" i="1"/>
  <c r="BA527" i="1"/>
  <c r="AZ527" i="1"/>
  <c r="AY527" i="1"/>
  <c r="AX527" i="1"/>
  <c r="AW527" i="1"/>
  <c r="AV527" i="1"/>
  <c r="AU527" i="1"/>
  <c r="BA526" i="1"/>
  <c r="AZ526" i="1"/>
  <c r="AX526" i="1"/>
  <c r="AW526" i="1"/>
  <c r="AV526" i="1"/>
  <c r="AU526" i="1"/>
  <c r="BA525" i="1"/>
  <c r="AZ525" i="1"/>
  <c r="AX525" i="1"/>
  <c r="AW525" i="1"/>
  <c r="AV525" i="1"/>
  <c r="AU525" i="1"/>
  <c r="BA524" i="1"/>
  <c r="AZ524" i="1"/>
  <c r="AX524" i="1"/>
  <c r="AW524" i="1"/>
  <c r="AV524" i="1"/>
  <c r="AU524" i="1"/>
  <c r="BB523" i="1"/>
  <c r="BA523" i="1"/>
  <c r="AZ523" i="1"/>
  <c r="AY523" i="1"/>
  <c r="AX523" i="1"/>
  <c r="AW523" i="1"/>
  <c r="AV523" i="1"/>
  <c r="AU523" i="1"/>
  <c r="BB522" i="1"/>
  <c r="BA522" i="1"/>
  <c r="AZ522" i="1"/>
  <c r="AY522" i="1"/>
  <c r="AX522" i="1"/>
  <c r="AW522" i="1"/>
  <c r="AV522" i="1"/>
  <c r="AU522" i="1"/>
  <c r="BB521" i="1"/>
  <c r="BA521" i="1"/>
  <c r="AZ521" i="1"/>
  <c r="AY521" i="1"/>
  <c r="AX521" i="1"/>
  <c r="AW521" i="1"/>
  <c r="AV521" i="1"/>
  <c r="AU521" i="1"/>
  <c r="BB520" i="1"/>
  <c r="BA520" i="1"/>
  <c r="AZ520" i="1"/>
  <c r="AY520" i="1"/>
  <c r="AX520" i="1"/>
  <c r="AW520" i="1"/>
  <c r="AV520" i="1"/>
  <c r="AU520" i="1"/>
  <c r="BB519" i="1"/>
  <c r="BA519" i="1"/>
  <c r="AZ519" i="1"/>
  <c r="AY519" i="1"/>
  <c r="AX519" i="1"/>
  <c r="AW519" i="1"/>
  <c r="AV519" i="1"/>
  <c r="AU519" i="1"/>
  <c r="BB518" i="1"/>
  <c r="BA518" i="1"/>
  <c r="AZ518" i="1"/>
  <c r="AY518" i="1"/>
  <c r="AX518" i="1"/>
  <c r="AW518" i="1"/>
  <c r="AV518" i="1"/>
  <c r="AU518" i="1"/>
  <c r="BB517" i="1"/>
  <c r="BA517" i="1"/>
  <c r="AZ517" i="1"/>
  <c r="AY517" i="1"/>
  <c r="AX517" i="1"/>
  <c r="AW517" i="1"/>
  <c r="AV517" i="1"/>
  <c r="AU517" i="1"/>
  <c r="BB516" i="1"/>
  <c r="BA516" i="1"/>
  <c r="AZ516" i="1"/>
  <c r="AY516" i="1"/>
  <c r="AX516" i="1"/>
  <c r="AW516" i="1"/>
  <c r="AV516" i="1"/>
  <c r="AU516" i="1"/>
  <c r="BB515" i="1"/>
  <c r="BA515" i="1"/>
  <c r="AZ515" i="1"/>
  <c r="AY515" i="1"/>
  <c r="AX515" i="1"/>
  <c r="AW515" i="1"/>
  <c r="AV515" i="1"/>
  <c r="AU515" i="1"/>
  <c r="BB514" i="1"/>
  <c r="BA514" i="1"/>
  <c r="AZ514" i="1"/>
  <c r="AY514" i="1"/>
  <c r="AX514" i="1"/>
  <c r="AW514" i="1"/>
  <c r="AV514" i="1"/>
  <c r="AU514" i="1"/>
  <c r="BB513" i="1"/>
  <c r="BA513" i="1"/>
  <c r="AZ513" i="1"/>
  <c r="AY513" i="1"/>
  <c r="AX513" i="1"/>
  <c r="AW513" i="1"/>
  <c r="AV513" i="1"/>
  <c r="AU513" i="1"/>
  <c r="BB512" i="1"/>
  <c r="BA512" i="1"/>
  <c r="AZ512" i="1"/>
  <c r="AY512" i="1"/>
  <c r="AX512" i="1"/>
  <c r="AW512" i="1"/>
  <c r="AV512" i="1"/>
  <c r="AU512" i="1"/>
  <c r="BB511" i="1"/>
  <c r="BA511" i="1"/>
  <c r="AZ511" i="1"/>
  <c r="AY511" i="1"/>
  <c r="AX511" i="1"/>
  <c r="AW511" i="1"/>
  <c r="AV511" i="1"/>
  <c r="AU511" i="1"/>
  <c r="BB510" i="1"/>
  <c r="BA510" i="1"/>
  <c r="AZ510" i="1"/>
  <c r="AY510" i="1"/>
  <c r="AX510" i="1"/>
  <c r="AW510" i="1"/>
  <c r="AV510" i="1"/>
  <c r="AU510" i="1"/>
  <c r="BA509" i="1"/>
  <c r="AZ509" i="1"/>
  <c r="AY509" i="1"/>
  <c r="AX509" i="1"/>
  <c r="AW509" i="1"/>
  <c r="AV509" i="1"/>
  <c r="BA508" i="1"/>
  <c r="AZ508" i="1"/>
  <c r="AY508" i="1"/>
  <c r="AX508" i="1"/>
  <c r="AW508" i="1"/>
  <c r="AV508" i="1"/>
  <c r="AU508" i="1"/>
  <c r="BA507" i="1"/>
  <c r="AZ507" i="1"/>
  <c r="AY507" i="1"/>
  <c r="AX507" i="1"/>
  <c r="AW507" i="1"/>
  <c r="AV507" i="1"/>
  <c r="AU507" i="1"/>
  <c r="BA506" i="1"/>
  <c r="AZ506" i="1"/>
  <c r="AY506" i="1"/>
  <c r="AX506" i="1"/>
  <c r="AW506" i="1"/>
  <c r="AV506" i="1"/>
  <c r="AU506" i="1"/>
  <c r="BA505" i="1"/>
  <c r="AZ505" i="1"/>
  <c r="AY505" i="1"/>
  <c r="AX505" i="1"/>
  <c r="AW505" i="1"/>
  <c r="AV505" i="1"/>
  <c r="AU505" i="1"/>
  <c r="BA504" i="1"/>
  <c r="AZ504" i="1"/>
  <c r="AY504" i="1"/>
  <c r="AX504" i="1"/>
  <c r="AW504" i="1"/>
  <c r="AV504" i="1"/>
  <c r="AU504" i="1"/>
  <c r="BA503" i="1"/>
  <c r="AZ503" i="1"/>
  <c r="AY503" i="1"/>
  <c r="AX503" i="1"/>
  <c r="AW503" i="1"/>
  <c r="AV503" i="1"/>
  <c r="AU503" i="1"/>
  <c r="BA502" i="1"/>
  <c r="AZ502" i="1"/>
  <c r="AY502" i="1"/>
  <c r="AX502" i="1"/>
  <c r="AW502" i="1"/>
  <c r="AV502" i="1"/>
  <c r="AU502" i="1"/>
  <c r="BA501" i="1"/>
  <c r="AZ501" i="1"/>
  <c r="AY501" i="1"/>
  <c r="AX501" i="1"/>
  <c r="AW501" i="1"/>
  <c r="AV501" i="1"/>
  <c r="AU501" i="1"/>
  <c r="BA500" i="1"/>
  <c r="AZ500" i="1"/>
  <c r="AY500" i="1"/>
  <c r="AX500" i="1"/>
  <c r="AW500" i="1"/>
  <c r="AV500" i="1"/>
  <c r="AU500" i="1"/>
  <c r="BA499" i="1"/>
  <c r="AZ499" i="1"/>
  <c r="AX499" i="1"/>
  <c r="AV499" i="1"/>
  <c r="AU499" i="1"/>
  <c r="BA498" i="1"/>
  <c r="AZ498" i="1"/>
  <c r="AY498" i="1"/>
  <c r="AX498" i="1"/>
  <c r="AW498" i="1"/>
  <c r="AV498" i="1"/>
  <c r="AU498" i="1"/>
  <c r="BA497" i="1"/>
  <c r="AZ497" i="1"/>
  <c r="AY497" i="1"/>
  <c r="AX497" i="1"/>
  <c r="AW497" i="1"/>
  <c r="AV497" i="1"/>
  <c r="AU497" i="1"/>
  <c r="BA496" i="1"/>
  <c r="AZ496" i="1"/>
  <c r="AY496" i="1"/>
  <c r="AX496" i="1"/>
  <c r="AV496" i="1"/>
  <c r="AU496" i="1"/>
  <c r="BB495" i="1"/>
  <c r="BA495" i="1"/>
  <c r="AZ495" i="1"/>
  <c r="AY495" i="1"/>
  <c r="AX495" i="1"/>
  <c r="AW495" i="1"/>
  <c r="AV495" i="1"/>
  <c r="AU495" i="1"/>
  <c r="BA494" i="1"/>
  <c r="AZ494" i="1"/>
  <c r="AY494" i="1"/>
  <c r="AX494" i="1"/>
  <c r="AW494" i="1"/>
  <c r="AV494" i="1"/>
  <c r="AU494" i="1"/>
  <c r="BA493" i="1"/>
  <c r="AZ493" i="1"/>
  <c r="AY493" i="1"/>
  <c r="AX493" i="1"/>
  <c r="AW493" i="1"/>
  <c r="AV493" i="1"/>
  <c r="AU493" i="1"/>
  <c r="BA492" i="1"/>
  <c r="AZ492" i="1"/>
  <c r="AY492" i="1"/>
  <c r="AX492" i="1"/>
  <c r="AW492" i="1"/>
  <c r="AV492" i="1"/>
  <c r="AU492" i="1"/>
  <c r="BA491" i="1"/>
  <c r="AZ491" i="1"/>
  <c r="AY491" i="1"/>
  <c r="AX491" i="1"/>
  <c r="AW491" i="1"/>
  <c r="AV491" i="1"/>
  <c r="AU491" i="1"/>
  <c r="BB490" i="1"/>
  <c r="BA490" i="1"/>
  <c r="AZ490" i="1"/>
  <c r="AY490" i="1"/>
  <c r="AX490" i="1"/>
  <c r="AW490" i="1"/>
  <c r="AV490" i="1"/>
  <c r="AU490" i="1"/>
  <c r="BB489" i="1"/>
  <c r="BA489" i="1"/>
  <c r="AZ489" i="1"/>
  <c r="AY489" i="1"/>
  <c r="AX489" i="1"/>
  <c r="AW489" i="1"/>
  <c r="AV489" i="1"/>
  <c r="AU489" i="1"/>
  <c r="BB488" i="1"/>
  <c r="BA488" i="1"/>
  <c r="AZ488" i="1"/>
  <c r="AY488" i="1"/>
  <c r="AX488" i="1"/>
  <c r="AW488" i="1"/>
  <c r="AV488" i="1"/>
  <c r="AU488" i="1"/>
  <c r="BB487" i="1"/>
  <c r="BA487" i="1"/>
  <c r="AZ487" i="1"/>
  <c r="AY487" i="1"/>
  <c r="AX487" i="1"/>
  <c r="AW487" i="1"/>
  <c r="AV487" i="1"/>
  <c r="AU487" i="1"/>
  <c r="BB486" i="1"/>
  <c r="BA486" i="1"/>
  <c r="AZ486" i="1"/>
  <c r="AY486" i="1"/>
  <c r="AX486" i="1"/>
  <c r="AW486" i="1"/>
  <c r="AV486" i="1"/>
  <c r="AU486" i="1"/>
  <c r="BB485" i="1"/>
  <c r="BA485" i="1"/>
  <c r="AZ485" i="1"/>
  <c r="AY485" i="1"/>
  <c r="AX485" i="1"/>
  <c r="AW485" i="1"/>
  <c r="AV485" i="1"/>
  <c r="AU485" i="1"/>
  <c r="BB484" i="1"/>
  <c r="BA484" i="1"/>
  <c r="AZ484" i="1"/>
  <c r="AY484" i="1"/>
  <c r="AX484" i="1"/>
  <c r="AW484" i="1"/>
  <c r="AV484" i="1"/>
  <c r="AU484" i="1"/>
  <c r="BB483" i="1"/>
  <c r="BA483" i="1"/>
  <c r="AZ483" i="1"/>
  <c r="AY483" i="1"/>
  <c r="AX483" i="1"/>
  <c r="AW483" i="1"/>
  <c r="AV483" i="1"/>
  <c r="AU483" i="1"/>
  <c r="BB482" i="1"/>
  <c r="BA482" i="1"/>
  <c r="AZ482" i="1"/>
  <c r="AY482" i="1"/>
  <c r="AX482" i="1"/>
  <c r="AW482" i="1"/>
  <c r="AV482" i="1"/>
  <c r="AU482" i="1"/>
  <c r="BA481" i="1"/>
  <c r="AZ481" i="1"/>
  <c r="AY481" i="1"/>
  <c r="AX481" i="1"/>
  <c r="AW481" i="1"/>
  <c r="AV481" i="1"/>
  <c r="AU481" i="1"/>
  <c r="BA480" i="1"/>
  <c r="AZ480" i="1"/>
  <c r="AY480" i="1"/>
  <c r="AX480" i="1"/>
  <c r="AV480" i="1"/>
  <c r="AU480" i="1"/>
  <c r="BA479" i="1"/>
  <c r="AZ479" i="1"/>
  <c r="AY479" i="1"/>
  <c r="AX479" i="1"/>
  <c r="AW479" i="1"/>
  <c r="AV479" i="1"/>
  <c r="AU479" i="1"/>
  <c r="BA478" i="1"/>
  <c r="AZ478" i="1"/>
  <c r="AY478" i="1"/>
  <c r="AX478" i="1"/>
  <c r="AW478" i="1"/>
  <c r="AV478" i="1"/>
  <c r="AU478" i="1"/>
  <c r="BA477" i="1"/>
  <c r="AZ477" i="1"/>
  <c r="AY477" i="1"/>
  <c r="AX477" i="1"/>
  <c r="AW477" i="1"/>
  <c r="AV477" i="1"/>
  <c r="AU477" i="1"/>
  <c r="BA476" i="1"/>
  <c r="AZ476" i="1"/>
  <c r="AY476" i="1"/>
  <c r="AX476" i="1"/>
  <c r="AW476" i="1"/>
  <c r="AV476" i="1"/>
  <c r="AU476" i="1"/>
  <c r="BA475" i="1"/>
  <c r="AZ475" i="1"/>
  <c r="AY475" i="1"/>
  <c r="AX475" i="1"/>
  <c r="AW475" i="1"/>
  <c r="AV475" i="1"/>
  <c r="AU475" i="1"/>
  <c r="BA474" i="1"/>
  <c r="AZ474" i="1"/>
  <c r="AY474" i="1"/>
  <c r="AX474" i="1"/>
  <c r="AW474" i="1"/>
  <c r="AV474" i="1"/>
  <c r="AU474" i="1"/>
  <c r="BA473" i="1"/>
  <c r="AZ473" i="1"/>
  <c r="AY473" i="1"/>
  <c r="AX473" i="1"/>
  <c r="AW473" i="1"/>
  <c r="AV473" i="1"/>
  <c r="AU473" i="1"/>
  <c r="BA472" i="1"/>
  <c r="AZ472" i="1"/>
  <c r="AY472" i="1"/>
  <c r="AX472" i="1"/>
  <c r="AW472" i="1"/>
  <c r="AV472" i="1"/>
  <c r="AU472" i="1"/>
  <c r="BA471" i="1"/>
  <c r="AZ471" i="1"/>
  <c r="AY471" i="1"/>
  <c r="AX471" i="1"/>
  <c r="AW471" i="1"/>
  <c r="AV471" i="1"/>
  <c r="AU471" i="1"/>
  <c r="BA470" i="1"/>
  <c r="AZ470" i="1"/>
  <c r="AY470" i="1"/>
  <c r="AX470" i="1"/>
  <c r="AV470" i="1"/>
  <c r="AU470" i="1"/>
  <c r="BA469" i="1"/>
  <c r="AZ469" i="1"/>
  <c r="AY469" i="1"/>
  <c r="AX469" i="1"/>
  <c r="AW469" i="1"/>
  <c r="AV469" i="1"/>
  <c r="AU469" i="1"/>
  <c r="BA468" i="1"/>
  <c r="AZ468" i="1"/>
  <c r="AY468" i="1"/>
  <c r="AX468" i="1"/>
  <c r="AW468" i="1"/>
  <c r="AU468" i="1"/>
  <c r="BA467" i="1"/>
  <c r="AZ467" i="1"/>
  <c r="AY467" i="1"/>
  <c r="AX467" i="1"/>
  <c r="AW467" i="1"/>
  <c r="AU467" i="1"/>
  <c r="BA466" i="1"/>
  <c r="AZ466" i="1"/>
  <c r="AY466" i="1"/>
  <c r="AX466" i="1"/>
  <c r="AW466" i="1"/>
  <c r="AV466" i="1"/>
  <c r="AU466" i="1"/>
  <c r="BB459" i="1"/>
  <c r="BA459" i="1"/>
  <c r="AZ459" i="1"/>
  <c r="AX459" i="1"/>
  <c r="AW459" i="1"/>
  <c r="AV459" i="1"/>
  <c r="AU459" i="1"/>
  <c r="BB458" i="1"/>
  <c r="BA458" i="1"/>
  <c r="AZ458" i="1"/>
  <c r="AX458" i="1"/>
  <c r="AW458" i="1"/>
  <c r="AV458" i="1"/>
  <c r="AU458" i="1"/>
  <c r="BB457" i="1"/>
  <c r="BA457" i="1"/>
  <c r="AZ457" i="1"/>
  <c r="AX457" i="1"/>
  <c r="AW457" i="1"/>
  <c r="AV457" i="1"/>
  <c r="AU457" i="1"/>
  <c r="BB456" i="1"/>
  <c r="BA456" i="1"/>
  <c r="AZ456" i="1"/>
  <c r="AX456" i="1"/>
  <c r="AW456" i="1"/>
  <c r="AV456" i="1"/>
  <c r="AU456" i="1"/>
  <c r="BB455" i="1"/>
  <c r="BA455" i="1"/>
  <c r="AZ455" i="1"/>
  <c r="AX455" i="1"/>
  <c r="AW455" i="1"/>
  <c r="AV455" i="1"/>
  <c r="AU455" i="1"/>
  <c r="BB454" i="1"/>
  <c r="BA454" i="1"/>
  <c r="AZ454" i="1"/>
  <c r="AX454" i="1"/>
  <c r="AW454" i="1"/>
  <c r="AV454" i="1"/>
  <c r="AU454" i="1"/>
  <c r="BB453" i="1"/>
  <c r="BA453" i="1"/>
  <c r="AZ453" i="1"/>
  <c r="AX453" i="1"/>
  <c r="AW453" i="1"/>
  <c r="AV453" i="1"/>
  <c r="AU453" i="1"/>
  <c r="BB452" i="1"/>
  <c r="BA452" i="1"/>
  <c r="AZ452" i="1"/>
  <c r="AX452" i="1"/>
  <c r="AW452" i="1"/>
  <c r="AV452" i="1"/>
  <c r="AU452" i="1"/>
  <c r="BB451" i="1"/>
  <c r="BA451" i="1"/>
  <c r="AZ451" i="1"/>
  <c r="AX451" i="1"/>
  <c r="AW451" i="1"/>
  <c r="AV451" i="1"/>
  <c r="AU451" i="1"/>
  <c r="BA449" i="1"/>
  <c r="AZ449" i="1"/>
  <c r="AY449" i="1"/>
  <c r="AX449" i="1"/>
  <c r="AW449" i="1"/>
  <c r="AV449" i="1"/>
  <c r="AU449" i="1"/>
  <c r="BA448" i="1"/>
  <c r="AZ448" i="1"/>
  <c r="AY448" i="1"/>
  <c r="AX448" i="1"/>
  <c r="AW448" i="1"/>
  <c r="AV448" i="1"/>
  <c r="AU448" i="1"/>
  <c r="BA447" i="1"/>
  <c r="AZ447" i="1"/>
  <c r="AY447" i="1"/>
  <c r="AX447" i="1"/>
  <c r="AV447" i="1"/>
  <c r="BA446" i="1"/>
  <c r="AZ446" i="1"/>
  <c r="AY446" i="1"/>
  <c r="AX446" i="1"/>
  <c r="AV446" i="1"/>
  <c r="AU446" i="1"/>
  <c r="BA445" i="1"/>
  <c r="AZ445" i="1"/>
  <c r="AY445" i="1"/>
  <c r="AX445" i="1"/>
  <c r="AV445" i="1"/>
  <c r="BA444" i="1"/>
  <c r="AZ444" i="1"/>
  <c r="AY444" i="1"/>
  <c r="AX444" i="1"/>
  <c r="AV444" i="1"/>
  <c r="AU444" i="1"/>
  <c r="BA443" i="1"/>
  <c r="AZ443" i="1"/>
  <c r="AY443" i="1"/>
  <c r="AX443" i="1"/>
  <c r="AV443" i="1"/>
  <c r="AU443" i="1"/>
  <c r="BA442" i="1"/>
  <c r="AZ442" i="1"/>
  <c r="AY442" i="1"/>
  <c r="AX442" i="1"/>
  <c r="AV442" i="1"/>
  <c r="AU442" i="1"/>
  <c r="BB441" i="1"/>
  <c r="BA441" i="1"/>
  <c r="AZ441" i="1"/>
  <c r="AY441" i="1"/>
  <c r="AX441" i="1"/>
  <c r="AW441" i="1"/>
  <c r="AV441" i="1"/>
  <c r="AU441" i="1"/>
  <c r="BB440" i="1"/>
  <c r="BA440" i="1"/>
  <c r="AZ440" i="1"/>
  <c r="AY440" i="1"/>
  <c r="AX440" i="1"/>
  <c r="AW440" i="1"/>
  <c r="AV440" i="1"/>
  <c r="AU440" i="1"/>
  <c r="BB439" i="1"/>
  <c r="BA439" i="1"/>
  <c r="AZ439" i="1"/>
  <c r="AY439" i="1"/>
  <c r="AX439" i="1"/>
  <c r="AW439" i="1"/>
  <c r="AV439" i="1"/>
  <c r="AU439" i="1"/>
  <c r="BB438" i="1"/>
  <c r="BA438" i="1"/>
  <c r="AZ438" i="1"/>
  <c r="AY438" i="1"/>
  <c r="AX438" i="1"/>
  <c r="AW438" i="1"/>
  <c r="AV438" i="1"/>
  <c r="AU438" i="1"/>
  <c r="BB437" i="1"/>
  <c r="BA437" i="1"/>
  <c r="AZ437" i="1"/>
  <c r="AY437" i="1"/>
  <c r="AX437" i="1"/>
  <c r="AW437" i="1"/>
  <c r="AV437" i="1"/>
  <c r="AU437" i="1"/>
  <c r="BB436" i="1"/>
  <c r="BA436" i="1"/>
  <c r="AZ436" i="1"/>
  <c r="AY436" i="1"/>
  <c r="AX436" i="1"/>
  <c r="AW436" i="1"/>
  <c r="AV436" i="1"/>
  <c r="AU436" i="1"/>
  <c r="BB435" i="1"/>
  <c r="BA435" i="1"/>
  <c r="AZ435" i="1"/>
  <c r="AY435" i="1"/>
  <c r="AX435" i="1"/>
  <c r="AW435" i="1"/>
  <c r="AV435" i="1"/>
  <c r="AU435" i="1"/>
  <c r="BB434" i="1"/>
  <c r="BA434" i="1"/>
  <c r="AZ434" i="1"/>
  <c r="AY434" i="1"/>
  <c r="AX434" i="1"/>
  <c r="AW434" i="1"/>
  <c r="AV434" i="1"/>
  <c r="AU434" i="1"/>
  <c r="BB433" i="1"/>
  <c r="BA433" i="1"/>
  <c r="AZ433" i="1"/>
  <c r="AY433" i="1"/>
  <c r="AX433" i="1"/>
  <c r="AW433" i="1"/>
  <c r="AV433" i="1"/>
  <c r="AU433" i="1"/>
  <c r="BB432" i="1"/>
  <c r="BA432" i="1"/>
  <c r="AZ432" i="1"/>
  <c r="AY432" i="1"/>
  <c r="AX432" i="1"/>
  <c r="AW432" i="1"/>
  <c r="AV432" i="1"/>
  <c r="AU432" i="1"/>
  <c r="BA431" i="1"/>
  <c r="AZ431" i="1"/>
  <c r="AX431" i="1"/>
  <c r="AV431" i="1"/>
  <c r="AU431" i="1"/>
  <c r="BA430" i="1"/>
  <c r="AZ430" i="1"/>
  <c r="AY430" i="1"/>
  <c r="AX430" i="1"/>
  <c r="AV430" i="1"/>
  <c r="BB429" i="1"/>
  <c r="BA429" i="1"/>
  <c r="AZ429" i="1"/>
  <c r="AY429" i="1"/>
  <c r="AX429" i="1"/>
  <c r="AW429" i="1"/>
  <c r="AV429" i="1"/>
  <c r="AU429" i="1"/>
  <c r="BB428" i="1"/>
  <c r="BA428" i="1"/>
  <c r="AZ428" i="1"/>
  <c r="AY428" i="1"/>
  <c r="AX428" i="1"/>
  <c r="AW428" i="1"/>
  <c r="AV428" i="1"/>
  <c r="AU428" i="1"/>
  <c r="BB427" i="1"/>
  <c r="BA427" i="1"/>
  <c r="AZ427" i="1"/>
  <c r="AY427" i="1"/>
  <c r="AX427" i="1"/>
  <c r="AW427" i="1"/>
  <c r="AV427" i="1"/>
  <c r="AU427" i="1"/>
  <c r="BB426" i="1"/>
  <c r="BA426" i="1"/>
  <c r="AZ426" i="1"/>
  <c r="AY426" i="1"/>
  <c r="AX426" i="1"/>
  <c r="AW426" i="1"/>
  <c r="AV426" i="1"/>
  <c r="AU426" i="1"/>
  <c r="BB425" i="1"/>
  <c r="BA425" i="1"/>
  <c r="AZ425" i="1"/>
  <c r="AY425" i="1"/>
  <c r="AX425" i="1"/>
  <c r="AW425" i="1"/>
  <c r="AV425" i="1"/>
  <c r="AU425" i="1"/>
  <c r="BB424" i="1"/>
  <c r="BA424" i="1"/>
  <c r="AZ424" i="1"/>
  <c r="AY424" i="1"/>
  <c r="AX424" i="1"/>
  <c r="AW424" i="1"/>
  <c r="AV424" i="1"/>
  <c r="AU424" i="1"/>
  <c r="BB423" i="1"/>
  <c r="BA423" i="1"/>
  <c r="AZ423" i="1"/>
  <c r="AY423" i="1"/>
  <c r="AX423" i="1"/>
  <c r="AW423" i="1"/>
  <c r="AV423" i="1"/>
  <c r="AU423" i="1"/>
  <c r="BB422" i="1"/>
  <c r="BA422" i="1"/>
  <c r="AZ422" i="1"/>
  <c r="AY422" i="1"/>
  <c r="AX422" i="1"/>
  <c r="AW422" i="1"/>
  <c r="AV422" i="1"/>
  <c r="AU422" i="1"/>
  <c r="BA421" i="1"/>
  <c r="AZ421" i="1"/>
  <c r="AY421" i="1"/>
  <c r="AX421" i="1"/>
  <c r="AW421" i="1"/>
  <c r="AV421" i="1"/>
  <c r="AU421" i="1"/>
  <c r="BA420" i="1"/>
  <c r="AZ420" i="1"/>
  <c r="AY420" i="1"/>
  <c r="AX420" i="1"/>
  <c r="AW420" i="1"/>
  <c r="AV420" i="1"/>
  <c r="AU420" i="1"/>
  <c r="BA419" i="1"/>
  <c r="AZ419" i="1"/>
  <c r="AY419" i="1"/>
  <c r="AX419" i="1"/>
  <c r="AW419" i="1"/>
  <c r="AV419" i="1"/>
  <c r="AU419" i="1"/>
  <c r="BA418" i="1"/>
  <c r="AZ418" i="1"/>
  <c r="AY418" i="1"/>
  <c r="AX418" i="1"/>
  <c r="AW418" i="1"/>
  <c r="AV418" i="1"/>
  <c r="AU418" i="1"/>
  <c r="BA417" i="1"/>
  <c r="AZ417" i="1"/>
  <c r="AY417" i="1"/>
  <c r="AX417" i="1"/>
  <c r="AW417" i="1"/>
  <c r="AV417" i="1"/>
  <c r="AU417" i="1"/>
  <c r="BA416" i="1"/>
  <c r="AZ416" i="1"/>
  <c r="AY416" i="1"/>
  <c r="AX416" i="1"/>
  <c r="AW416" i="1"/>
  <c r="AV416" i="1"/>
  <c r="AU416" i="1"/>
  <c r="BA415" i="1"/>
  <c r="AZ415" i="1"/>
  <c r="AY415" i="1"/>
  <c r="AX415" i="1"/>
  <c r="AW415" i="1"/>
  <c r="AV415" i="1"/>
  <c r="AU415" i="1"/>
  <c r="BA414" i="1"/>
  <c r="AZ414" i="1"/>
  <c r="AY414" i="1"/>
  <c r="AX414" i="1"/>
  <c r="AW414" i="1"/>
  <c r="AV414" i="1"/>
  <c r="AU414" i="1"/>
  <c r="BA413" i="1"/>
  <c r="AZ413" i="1"/>
  <c r="AY413" i="1"/>
  <c r="AX413" i="1"/>
  <c r="AW413" i="1"/>
  <c r="AV413" i="1"/>
  <c r="AU413" i="1"/>
  <c r="BA412" i="1"/>
  <c r="AZ412" i="1"/>
  <c r="AY412" i="1"/>
  <c r="AX412" i="1"/>
  <c r="AW412" i="1"/>
  <c r="AV412" i="1"/>
  <c r="AU412" i="1"/>
  <c r="BA411" i="1"/>
  <c r="AZ411" i="1"/>
  <c r="AY411" i="1"/>
  <c r="AX411" i="1"/>
  <c r="AW411" i="1"/>
  <c r="AV411" i="1"/>
  <c r="AU411" i="1"/>
  <c r="BB410" i="1"/>
  <c r="BA410" i="1"/>
  <c r="AZ410" i="1"/>
  <c r="AY410" i="1"/>
  <c r="AX410" i="1"/>
  <c r="AW410" i="1"/>
  <c r="AV410" i="1"/>
  <c r="AU410" i="1"/>
  <c r="BB409" i="1"/>
  <c r="BA409" i="1"/>
  <c r="AZ409" i="1"/>
  <c r="AY409" i="1"/>
  <c r="AX409" i="1"/>
  <c r="AW409" i="1"/>
  <c r="AV409" i="1"/>
  <c r="AU409" i="1"/>
  <c r="BB408" i="1"/>
  <c r="BA408" i="1"/>
  <c r="AZ408" i="1"/>
  <c r="AY408" i="1"/>
  <c r="AX408" i="1"/>
  <c r="AW408" i="1"/>
  <c r="AV408" i="1"/>
  <c r="AU408" i="1"/>
  <c r="BB407" i="1"/>
  <c r="BA407" i="1"/>
  <c r="AZ407" i="1"/>
  <c r="AY407" i="1"/>
  <c r="AX407" i="1"/>
  <c r="AW407" i="1"/>
  <c r="AV407" i="1"/>
  <c r="AU407" i="1"/>
  <c r="BA406" i="1"/>
  <c r="AZ406" i="1"/>
  <c r="AY406" i="1"/>
  <c r="AX406" i="1"/>
  <c r="AV406" i="1"/>
  <c r="AU406" i="1"/>
  <c r="BA405" i="1"/>
  <c r="AZ405" i="1"/>
  <c r="AY405" i="1"/>
  <c r="AX405" i="1"/>
  <c r="AV405" i="1"/>
  <c r="AU405" i="1"/>
  <c r="BB404" i="1"/>
  <c r="BA404" i="1"/>
  <c r="AZ404" i="1"/>
  <c r="AY404" i="1"/>
  <c r="AX404" i="1"/>
  <c r="AV404" i="1"/>
  <c r="AU404" i="1"/>
  <c r="BB403" i="1"/>
  <c r="BA403" i="1"/>
  <c r="AZ403" i="1"/>
  <c r="AY403" i="1"/>
  <c r="AX403" i="1"/>
  <c r="AW403" i="1"/>
  <c r="AV403" i="1"/>
  <c r="AU403" i="1"/>
  <c r="BB402" i="1"/>
  <c r="BA402" i="1"/>
  <c r="AZ402" i="1"/>
  <c r="AY402" i="1"/>
  <c r="AX402" i="1"/>
  <c r="AV402" i="1"/>
  <c r="AU402" i="1"/>
  <c r="BB401" i="1"/>
  <c r="BA401" i="1"/>
  <c r="AZ401" i="1"/>
  <c r="AY401" i="1"/>
  <c r="AX401" i="1"/>
  <c r="AV401" i="1"/>
  <c r="AU401" i="1"/>
  <c r="BA400" i="1"/>
  <c r="AZ400" i="1"/>
  <c r="AY400" i="1"/>
  <c r="AX400" i="1"/>
  <c r="AV400" i="1"/>
  <c r="AU400" i="1"/>
  <c r="BB399" i="1"/>
  <c r="BA399" i="1"/>
  <c r="AZ399" i="1"/>
  <c r="AY399" i="1"/>
  <c r="AX399" i="1"/>
  <c r="AW399" i="1"/>
  <c r="AV399" i="1"/>
  <c r="AU399" i="1"/>
  <c r="BB398" i="1"/>
  <c r="BA398" i="1"/>
  <c r="AZ398" i="1"/>
  <c r="AY398" i="1"/>
  <c r="AX398" i="1"/>
  <c r="AV398" i="1"/>
  <c r="AU398" i="1"/>
  <c r="BB397" i="1"/>
  <c r="BA397" i="1"/>
  <c r="AZ397" i="1"/>
  <c r="AY397" i="1"/>
  <c r="AX397" i="1"/>
  <c r="AV397" i="1"/>
  <c r="AU397" i="1"/>
  <c r="BB396" i="1"/>
  <c r="BA396" i="1"/>
  <c r="AZ396" i="1"/>
  <c r="AY396" i="1"/>
  <c r="AX396" i="1"/>
  <c r="AV396" i="1"/>
  <c r="AU396" i="1"/>
  <c r="BB395" i="1"/>
  <c r="BA395" i="1"/>
  <c r="AZ395" i="1"/>
  <c r="AY395" i="1"/>
  <c r="AX395" i="1"/>
  <c r="AV395" i="1"/>
  <c r="AU395" i="1"/>
  <c r="BB394" i="1"/>
  <c r="BA394" i="1"/>
  <c r="AZ394" i="1"/>
  <c r="AY394" i="1"/>
  <c r="AX394" i="1"/>
  <c r="AV394" i="1"/>
  <c r="AU394" i="1"/>
  <c r="BB393" i="1"/>
  <c r="BA393" i="1"/>
  <c r="AZ393" i="1"/>
  <c r="AY393" i="1"/>
  <c r="AX393" i="1"/>
  <c r="AW393" i="1"/>
  <c r="AV393" i="1"/>
  <c r="AU393" i="1"/>
  <c r="BA392" i="1"/>
  <c r="AZ392" i="1"/>
  <c r="AY392" i="1"/>
  <c r="AX392" i="1"/>
  <c r="AV392" i="1"/>
  <c r="AU392" i="1"/>
  <c r="BB391" i="1"/>
  <c r="BA391" i="1"/>
  <c r="AZ391" i="1"/>
  <c r="AY391" i="1"/>
  <c r="AX391" i="1"/>
  <c r="AW391" i="1"/>
  <c r="AV391" i="1"/>
  <c r="AU391" i="1"/>
  <c r="BA390" i="1"/>
  <c r="AZ390" i="1"/>
  <c r="AY390" i="1"/>
  <c r="AX390" i="1"/>
  <c r="AW390" i="1"/>
  <c r="AV390" i="1"/>
  <c r="BA389" i="1"/>
  <c r="AZ389" i="1"/>
  <c r="AY389" i="1"/>
  <c r="AX389" i="1"/>
  <c r="AW389" i="1"/>
  <c r="AV389" i="1"/>
  <c r="BA388" i="1"/>
  <c r="AZ388" i="1"/>
  <c r="AY388" i="1"/>
  <c r="AX388" i="1"/>
  <c r="AW388" i="1"/>
  <c r="AV388" i="1"/>
  <c r="BA387" i="1"/>
  <c r="AZ387" i="1"/>
  <c r="AY387" i="1"/>
  <c r="AX387" i="1"/>
  <c r="AW387" i="1"/>
  <c r="AV387" i="1"/>
  <c r="BB386" i="1"/>
  <c r="BA386" i="1"/>
  <c r="AZ386" i="1"/>
  <c r="AY386" i="1"/>
  <c r="AX386" i="1"/>
  <c r="AW386" i="1"/>
  <c r="AV386" i="1"/>
  <c r="BB385" i="1"/>
  <c r="BA385" i="1"/>
  <c r="AZ385" i="1"/>
  <c r="AY385" i="1"/>
  <c r="AX385" i="1"/>
  <c r="AW385" i="1"/>
  <c r="AV385" i="1"/>
  <c r="BB384" i="1"/>
  <c r="BA384" i="1"/>
  <c r="AZ384" i="1"/>
  <c r="AY384" i="1"/>
  <c r="AX384" i="1"/>
  <c r="AW384" i="1"/>
  <c r="AV384" i="1"/>
  <c r="AU384" i="1"/>
  <c r="BA383" i="1"/>
  <c r="AZ383" i="1"/>
  <c r="AY383" i="1"/>
  <c r="AX383" i="1"/>
  <c r="AW383" i="1"/>
  <c r="AV383" i="1"/>
  <c r="AU383" i="1"/>
  <c r="BA382" i="1"/>
  <c r="AZ382" i="1"/>
  <c r="AY382" i="1"/>
  <c r="AX382" i="1"/>
  <c r="AW382" i="1"/>
  <c r="AV382" i="1"/>
  <c r="AU382" i="1"/>
  <c r="BA381" i="1"/>
  <c r="AZ381" i="1"/>
  <c r="AY381" i="1"/>
  <c r="AX381" i="1"/>
  <c r="AW381" i="1"/>
  <c r="AV381" i="1"/>
  <c r="AU381" i="1"/>
  <c r="BA380" i="1"/>
  <c r="AZ380" i="1"/>
  <c r="AY380" i="1"/>
  <c r="AX380" i="1"/>
  <c r="AW380" i="1"/>
  <c r="AV380" i="1"/>
  <c r="AU380" i="1"/>
  <c r="BA379" i="1"/>
  <c r="AZ379" i="1"/>
  <c r="AY379" i="1"/>
  <c r="AX379" i="1"/>
  <c r="AW379" i="1"/>
  <c r="AV379" i="1"/>
  <c r="AU379" i="1"/>
  <c r="BA378" i="1"/>
  <c r="AZ378" i="1"/>
  <c r="AY378" i="1"/>
  <c r="AX378" i="1"/>
  <c r="AW378" i="1"/>
  <c r="AV378" i="1"/>
  <c r="AU378" i="1"/>
  <c r="BA377" i="1"/>
  <c r="AZ377" i="1"/>
  <c r="AY377" i="1"/>
  <c r="AX377" i="1"/>
  <c r="AW377" i="1"/>
  <c r="AV377" i="1"/>
  <c r="AU377" i="1"/>
  <c r="BA376" i="1"/>
  <c r="AZ376" i="1"/>
  <c r="AY376" i="1"/>
  <c r="AX376" i="1"/>
  <c r="AW376" i="1"/>
  <c r="AV376" i="1"/>
  <c r="AU376" i="1"/>
  <c r="BA375" i="1"/>
  <c r="AZ375" i="1"/>
  <c r="AY375" i="1"/>
  <c r="AX375" i="1"/>
  <c r="AW375" i="1"/>
  <c r="AV375" i="1"/>
  <c r="AU375" i="1"/>
  <c r="BA374" i="1"/>
  <c r="AZ374" i="1"/>
  <c r="AY374" i="1"/>
  <c r="AX374" i="1"/>
  <c r="AW374" i="1"/>
  <c r="AV374" i="1"/>
  <c r="AU374" i="1"/>
  <c r="BA373" i="1"/>
  <c r="AZ373" i="1"/>
  <c r="AY373" i="1"/>
  <c r="AX373" i="1"/>
  <c r="AW373" i="1"/>
  <c r="AV373" i="1"/>
  <c r="AU373" i="1"/>
  <c r="BA372" i="1"/>
  <c r="AZ372" i="1"/>
  <c r="AY372" i="1"/>
  <c r="AX372" i="1"/>
  <c r="AW372" i="1"/>
  <c r="AV372" i="1"/>
  <c r="AU372" i="1"/>
  <c r="BA371" i="1"/>
  <c r="AZ371" i="1"/>
  <c r="AY371" i="1"/>
  <c r="AX371" i="1"/>
  <c r="AW371" i="1"/>
  <c r="AV371" i="1"/>
  <c r="AU371" i="1"/>
  <c r="BA370" i="1"/>
  <c r="AZ370" i="1"/>
  <c r="AY370" i="1"/>
  <c r="AX370" i="1"/>
  <c r="AW370" i="1"/>
  <c r="AV370" i="1"/>
  <c r="AU370" i="1"/>
  <c r="BA369" i="1"/>
  <c r="AZ369" i="1"/>
  <c r="AY369" i="1"/>
  <c r="AX369" i="1"/>
  <c r="AW369" i="1"/>
  <c r="AV369" i="1"/>
  <c r="AU369" i="1"/>
  <c r="BA368" i="1"/>
  <c r="AZ368" i="1"/>
  <c r="AY368" i="1"/>
  <c r="AX368" i="1"/>
  <c r="AW368" i="1"/>
  <c r="AV368" i="1"/>
  <c r="AU368" i="1"/>
  <c r="BA367" i="1"/>
  <c r="AZ367" i="1"/>
  <c r="AY367" i="1"/>
  <c r="AX367" i="1"/>
  <c r="AW367" i="1"/>
  <c r="AV367" i="1"/>
  <c r="AU367" i="1"/>
  <c r="BA366" i="1"/>
  <c r="AZ366" i="1"/>
  <c r="AY366" i="1"/>
  <c r="AX366" i="1"/>
  <c r="AW366" i="1"/>
  <c r="AV366" i="1"/>
  <c r="AU366" i="1"/>
  <c r="BA365" i="1"/>
  <c r="AZ365" i="1"/>
  <c r="AY365" i="1"/>
  <c r="AX365" i="1"/>
  <c r="AW365" i="1"/>
  <c r="AV365" i="1"/>
  <c r="AU365" i="1"/>
  <c r="BA364" i="1"/>
  <c r="AZ364" i="1"/>
  <c r="AY364" i="1"/>
  <c r="AX364" i="1"/>
  <c r="AW364" i="1"/>
  <c r="AV364" i="1"/>
  <c r="AU364" i="1"/>
  <c r="BA363" i="1"/>
  <c r="AZ363" i="1"/>
  <c r="AY363" i="1"/>
  <c r="AX363" i="1"/>
  <c r="AW363" i="1"/>
  <c r="AV363" i="1"/>
  <c r="AU363" i="1"/>
  <c r="BA362" i="1"/>
  <c r="AZ362" i="1"/>
  <c r="AY362" i="1"/>
  <c r="AX362" i="1"/>
  <c r="AW362" i="1"/>
  <c r="AV362" i="1"/>
  <c r="AU362" i="1"/>
  <c r="BA361" i="1"/>
  <c r="AZ361" i="1"/>
  <c r="AY361" i="1"/>
  <c r="AX361" i="1"/>
  <c r="AW361" i="1"/>
  <c r="AV361" i="1"/>
  <c r="AU361" i="1"/>
  <c r="BA360" i="1"/>
  <c r="AZ360" i="1"/>
  <c r="AY360" i="1"/>
  <c r="AX360" i="1"/>
  <c r="AW360" i="1"/>
  <c r="AV360" i="1"/>
  <c r="AU360" i="1"/>
  <c r="BA359" i="1"/>
  <c r="AZ359" i="1"/>
  <c r="AY359" i="1"/>
  <c r="AX359" i="1"/>
  <c r="AW359" i="1"/>
  <c r="AV359" i="1"/>
  <c r="AU359" i="1"/>
  <c r="BA358" i="1"/>
  <c r="AZ358" i="1"/>
  <c r="AY358" i="1"/>
  <c r="AX358" i="1"/>
  <c r="AW358" i="1"/>
  <c r="AV358" i="1"/>
  <c r="BA357" i="1"/>
  <c r="AZ357" i="1"/>
  <c r="AY357" i="1"/>
  <c r="AX357" i="1"/>
  <c r="AW357" i="1"/>
  <c r="AV357" i="1"/>
  <c r="BA356" i="1"/>
  <c r="AZ356" i="1"/>
  <c r="AY356" i="1"/>
  <c r="AX356" i="1"/>
  <c r="AW356" i="1"/>
  <c r="AV356" i="1"/>
  <c r="BA355" i="1"/>
  <c r="AZ355" i="1"/>
  <c r="AY355" i="1"/>
  <c r="AX355" i="1"/>
  <c r="AW355" i="1"/>
  <c r="AV355" i="1"/>
  <c r="BA354" i="1"/>
  <c r="AZ354" i="1"/>
  <c r="AY354" i="1"/>
  <c r="AX354" i="1"/>
  <c r="AW354" i="1"/>
  <c r="AV354" i="1"/>
  <c r="BA353" i="1"/>
  <c r="AZ353" i="1"/>
  <c r="AY353" i="1"/>
  <c r="AX353" i="1"/>
  <c r="AW353" i="1"/>
  <c r="AV353" i="1"/>
  <c r="AU353" i="1"/>
  <c r="BA352" i="1"/>
  <c r="AZ352" i="1"/>
  <c r="AY352" i="1"/>
  <c r="AX352" i="1"/>
  <c r="AW352" i="1"/>
  <c r="AV352" i="1"/>
  <c r="AU352" i="1"/>
  <c r="BA351" i="1"/>
  <c r="AZ351" i="1"/>
  <c r="AY351" i="1"/>
  <c r="AX351" i="1"/>
  <c r="AW351" i="1"/>
  <c r="AV351" i="1"/>
  <c r="BA350" i="1"/>
  <c r="AZ350" i="1"/>
  <c r="AX350" i="1"/>
  <c r="AW350" i="1"/>
  <c r="AV350" i="1"/>
  <c r="AU350" i="1"/>
  <c r="BA349" i="1"/>
  <c r="AZ349" i="1"/>
  <c r="AX349" i="1"/>
  <c r="AW349" i="1"/>
  <c r="AV349" i="1"/>
  <c r="AU349" i="1"/>
  <c r="BA348" i="1"/>
  <c r="AZ348" i="1"/>
  <c r="AX348" i="1"/>
  <c r="AW348" i="1"/>
  <c r="AV348" i="1"/>
  <c r="AU348" i="1"/>
  <c r="BA347" i="1"/>
  <c r="AZ347" i="1"/>
  <c r="AX347" i="1"/>
  <c r="AW347" i="1"/>
  <c r="AV347" i="1"/>
  <c r="AU347" i="1"/>
  <c r="BA346" i="1"/>
  <c r="AZ346" i="1"/>
  <c r="AX346" i="1"/>
  <c r="AW346" i="1"/>
  <c r="AV346" i="1"/>
  <c r="AU346" i="1"/>
  <c r="BA345" i="1"/>
  <c r="AZ345" i="1"/>
  <c r="AX345" i="1"/>
  <c r="AW345" i="1"/>
  <c r="AV345" i="1"/>
  <c r="AU345" i="1"/>
  <c r="BB344" i="1"/>
  <c r="BA344" i="1"/>
  <c r="AZ344" i="1"/>
  <c r="AY344" i="1"/>
  <c r="AX344" i="1"/>
  <c r="AW344" i="1"/>
  <c r="AV344" i="1"/>
  <c r="AU344" i="1"/>
  <c r="BB343" i="1"/>
  <c r="BA343" i="1"/>
  <c r="AZ343" i="1"/>
  <c r="AY343" i="1"/>
  <c r="AX343" i="1"/>
  <c r="AW343" i="1"/>
  <c r="AV343" i="1"/>
  <c r="AU343" i="1"/>
  <c r="BA342" i="1"/>
  <c r="AZ342" i="1"/>
  <c r="AY342" i="1"/>
  <c r="AX342" i="1"/>
  <c r="AW342" i="1"/>
  <c r="AV342" i="1"/>
  <c r="AU342" i="1"/>
  <c r="BA341" i="1"/>
  <c r="AZ341" i="1"/>
  <c r="AY341" i="1"/>
  <c r="AX341" i="1"/>
  <c r="AW341" i="1"/>
  <c r="AV341" i="1"/>
  <c r="AU341" i="1"/>
  <c r="BB332" i="1"/>
  <c r="BA332" i="1"/>
  <c r="AZ332" i="1"/>
  <c r="AY332" i="1"/>
  <c r="AX332" i="1"/>
  <c r="AW332" i="1"/>
  <c r="AV332" i="1"/>
  <c r="AU332" i="1"/>
  <c r="BB331" i="1"/>
  <c r="BA331" i="1"/>
  <c r="AZ331" i="1"/>
  <c r="AY331" i="1"/>
  <c r="AX331" i="1"/>
  <c r="AW331" i="1"/>
  <c r="AV331" i="1"/>
  <c r="AU331" i="1"/>
  <c r="BB330" i="1"/>
  <c r="BA330" i="1"/>
  <c r="AZ330" i="1"/>
  <c r="AY330" i="1"/>
  <c r="AX330" i="1"/>
  <c r="AW330" i="1"/>
  <c r="AV330" i="1"/>
  <c r="AU330" i="1"/>
  <c r="BB329" i="1"/>
  <c r="BA329" i="1"/>
  <c r="AZ329" i="1"/>
  <c r="AY329" i="1"/>
  <c r="AX329" i="1"/>
  <c r="AW329" i="1"/>
  <c r="AV329" i="1"/>
  <c r="AU329" i="1"/>
  <c r="BB328" i="1"/>
  <c r="BA328" i="1"/>
  <c r="AZ328" i="1"/>
  <c r="AY328" i="1"/>
  <c r="AX328" i="1"/>
  <c r="AW328" i="1"/>
  <c r="AV328" i="1"/>
  <c r="AU328" i="1"/>
  <c r="BB327" i="1"/>
  <c r="BA327" i="1"/>
  <c r="AZ327" i="1"/>
  <c r="AY327" i="1"/>
  <c r="AX327" i="1"/>
  <c r="AW327" i="1"/>
  <c r="AV327" i="1"/>
  <c r="AU327" i="1"/>
  <c r="BB326" i="1"/>
  <c r="BA326" i="1"/>
  <c r="AZ326" i="1"/>
  <c r="AY326" i="1"/>
  <c r="AX326" i="1"/>
  <c r="AW326" i="1"/>
  <c r="AV326" i="1"/>
  <c r="AU326" i="1"/>
  <c r="BB325" i="1"/>
  <c r="BA325" i="1"/>
  <c r="AZ325" i="1"/>
  <c r="AY325" i="1"/>
  <c r="AX325" i="1"/>
  <c r="AW325" i="1"/>
  <c r="AV325" i="1"/>
  <c r="AU325" i="1"/>
  <c r="BB324" i="1"/>
  <c r="BA324" i="1"/>
  <c r="AZ324" i="1"/>
  <c r="AY324" i="1"/>
  <c r="AX324" i="1"/>
  <c r="AW324" i="1"/>
  <c r="AV324" i="1"/>
  <c r="AU324" i="1"/>
  <c r="BB323" i="1"/>
  <c r="BA323" i="1"/>
  <c r="AZ323" i="1"/>
  <c r="AY323" i="1"/>
  <c r="AX323" i="1"/>
  <c r="AW323" i="1"/>
  <c r="AV323" i="1"/>
  <c r="AU323" i="1"/>
  <c r="BB322" i="1"/>
  <c r="BA322" i="1"/>
  <c r="AZ322" i="1"/>
  <c r="AY322" i="1"/>
  <c r="AX322" i="1"/>
  <c r="AW322" i="1"/>
  <c r="AV322" i="1"/>
  <c r="AU322" i="1"/>
  <c r="BB321" i="1"/>
  <c r="BA321" i="1"/>
  <c r="AZ321" i="1"/>
  <c r="AY321" i="1"/>
  <c r="AX321" i="1"/>
  <c r="AW321" i="1"/>
  <c r="AV321" i="1"/>
  <c r="AU321" i="1"/>
  <c r="BB320" i="1"/>
  <c r="BA320" i="1"/>
  <c r="AZ320" i="1"/>
  <c r="AY320" i="1"/>
  <c r="AX320" i="1"/>
  <c r="AW320" i="1"/>
  <c r="AV320" i="1"/>
  <c r="AU320" i="1"/>
  <c r="BB319" i="1"/>
  <c r="BA319" i="1"/>
  <c r="AZ319" i="1"/>
  <c r="AY319" i="1"/>
  <c r="AX319" i="1"/>
  <c r="AV319" i="1"/>
  <c r="AU319" i="1"/>
  <c r="BA318" i="1"/>
  <c r="AZ318" i="1"/>
  <c r="AY318" i="1"/>
  <c r="AX318" i="1"/>
  <c r="AW318" i="1"/>
  <c r="AV318" i="1"/>
  <c r="AU318" i="1"/>
  <c r="BA317" i="1"/>
  <c r="AZ317" i="1"/>
  <c r="AY317" i="1"/>
  <c r="AX317" i="1"/>
  <c r="AW317" i="1"/>
  <c r="AV317" i="1"/>
  <c r="AU317" i="1"/>
  <c r="BA316" i="1"/>
  <c r="AZ316" i="1"/>
  <c r="AY316" i="1"/>
  <c r="AX316" i="1"/>
  <c r="AW316" i="1"/>
  <c r="AV316" i="1"/>
  <c r="AU316" i="1"/>
  <c r="BA315" i="1"/>
  <c r="AZ315" i="1"/>
  <c r="AY315" i="1"/>
  <c r="AX315" i="1"/>
  <c r="AW315" i="1"/>
  <c r="AV315" i="1"/>
  <c r="AU315" i="1"/>
  <c r="BA314" i="1"/>
  <c r="AZ314" i="1"/>
  <c r="AY314" i="1"/>
  <c r="AX314" i="1"/>
  <c r="AW314" i="1"/>
  <c r="AV314" i="1"/>
  <c r="AU314" i="1"/>
  <c r="BA313" i="1"/>
  <c r="AZ313" i="1"/>
  <c r="AY313" i="1"/>
  <c r="AX313" i="1"/>
  <c r="AW313" i="1"/>
  <c r="AV313" i="1"/>
  <c r="AU313" i="1"/>
  <c r="BA312" i="1"/>
  <c r="AZ312" i="1"/>
  <c r="AY312" i="1"/>
  <c r="AX312" i="1"/>
  <c r="AW312" i="1"/>
  <c r="AV312" i="1"/>
  <c r="AU312" i="1"/>
  <c r="BA311" i="1"/>
  <c r="AZ311" i="1"/>
  <c r="AY311" i="1"/>
  <c r="AX311" i="1"/>
  <c r="AW311" i="1"/>
  <c r="AV311" i="1"/>
  <c r="BA310" i="1"/>
  <c r="AZ310" i="1"/>
  <c r="AY310" i="1"/>
  <c r="AX310" i="1"/>
  <c r="AW310" i="1"/>
  <c r="AV310" i="1"/>
  <c r="AU310" i="1"/>
  <c r="BA309" i="1"/>
  <c r="AZ309" i="1"/>
  <c r="AY309" i="1"/>
  <c r="AX309" i="1"/>
  <c r="AW309" i="1"/>
  <c r="AV309" i="1"/>
  <c r="BB308" i="1"/>
  <c r="BA308" i="1"/>
  <c r="AZ308" i="1"/>
  <c r="AY308" i="1"/>
  <c r="AX308" i="1"/>
  <c r="AV308" i="1"/>
  <c r="AU308" i="1"/>
  <c r="BA307" i="1"/>
  <c r="AZ307" i="1"/>
  <c r="AY307" i="1"/>
  <c r="AX307" i="1"/>
  <c r="AV307" i="1"/>
  <c r="AU307" i="1"/>
  <c r="BA300" i="1"/>
  <c r="AZ300" i="1"/>
  <c r="AY300" i="1"/>
  <c r="AX300" i="1"/>
  <c r="AW300" i="1"/>
  <c r="AV300" i="1"/>
  <c r="AU300" i="1"/>
  <c r="BA299" i="1"/>
  <c r="AZ299" i="1"/>
  <c r="AY299" i="1"/>
  <c r="AX299" i="1"/>
  <c r="AW299" i="1"/>
  <c r="AV299" i="1"/>
  <c r="AU299" i="1"/>
  <c r="BA298" i="1"/>
  <c r="AZ298" i="1"/>
  <c r="AY298" i="1"/>
  <c r="AX298" i="1"/>
  <c r="AW298" i="1"/>
  <c r="AV298" i="1"/>
  <c r="AU298" i="1"/>
  <c r="BA297" i="1"/>
  <c r="AZ297" i="1"/>
  <c r="AY297" i="1"/>
  <c r="AX297" i="1"/>
  <c r="AW297" i="1"/>
  <c r="AV297" i="1"/>
  <c r="AU297" i="1"/>
  <c r="BB296" i="1"/>
  <c r="BA296" i="1"/>
  <c r="AZ296" i="1"/>
  <c r="AY296" i="1"/>
  <c r="AX296" i="1"/>
  <c r="AW296" i="1"/>
  <c r="AV296" i="1"/>
  <c r="AU296" i="1"/>
  <c r="BB295" i="1"/>
  <c r="BA295" i="1"/>
  <c r="AZ295" i="1"/>
  <c r="AY295" i="1"/>
  <c r="AX295" i="1"/>
  <c r="AW295" i="1"/>
  <c r="AV295" i="1"/>
  <c r="AU295" i="1"/>
  <c r="BB294" i="1"/>
  <c r="BA294" i="1"/>
  <c r="AZ294" i="1"/>
  <c r="AY294" i="1"/>
  <c r="AX294" i="1"/>
  <c r="AW294" i="1"/>
  <c r="AV294" i="1"/>
  <c r="AU294" i="1"/>
  <c r="BB293" i="1"/>
  <c r="BA293" i="1"/>
  <c r="AZ293" i="1"/>
  <c r="AY293" i="1"/>
  <c r="AX293" i="1"/>
  <c r="AW293" i="1"/>
  <c r="AV293" i="1"/>
  <c r="AU293" i="1"/>
  <c r="BB292" i="1"/>
  <c r="BA292" i="1"/>
  <c r="AZ292" i="1"/>
  <c r="AY292" i="1"/>
  <c r="AX292" i="1"/>
  <c r="AW292" i="1"/>
  <c r="AV292" i="1"/>
  <c r="AU292" i="1"/>
  <c r="BB291" i="1"/>
  <c r="BA291" i="1"/>
  <c r="AZ291" i="1"/>
  <c r="AY291" i="1"/>
  <c r="AX291" i="1"/>
  <c r="AW291" i="1"/>
  <c r="AV291" i="1"/>
  <c r="AU291" i="1"/>
  <c r="BB290" i="1"/>
  <c r="BA290" i="1"/>
  <c r="AZ290" i="1"/>
  <c r="AY290" i="1"/>
  <c r="AX290" i="1"/>
  <c r="AW290" i="1"/>
  <c r="AV290" i="1"/>
  <c r="AU290" i="1"/>
  <c r="BB289" i="1"/>
  <c r="BA289" i="1"/>
  <c r="AZ289" i="1"/>
  <c r="AY289" i="1"/>
  <c r="AX289" i="1"/>
  <c r="AW289" i="1"/>
  <c r="AV289" i="1"/>
  <c r="AU289" i="1"/>
  <c r="BB288" i="1"/>
  <c r="BA288" i="1"/>
  <c r="AZ288" i="1"/>
  <c r="AY288" i="1"/>
  <c r="AX288" i="1"/>
  <c r="AW288" i="1"/>
  <c r="AV288" i="1"/>
  <c r="AU288" i="1"/>
  <c r="BB287" i="1"/>
  <c r="BA287" i="1"/>
  <c r="AZ287" i="1"/>
  <c r="AY287" i="1"/>
  <c r="AX287" i="1"/>
  <c r="AV287" i="1"/>
  <c r="AU287" i="1"/>
  <c r="BA286" i="1"/>
  <c r="AZ286" i="1"/>
  <c r="AY286" i="1"/>
  <c r="AX286" i="1"/>
  <c r="AW286" i="1"/>
  <c r="AV286" i="1"/>
  <c r="AU286" i="1"/>
  <c r="BB285" i="1"/>
  <c r="BA285" i="1"/>
  <c r="AZ285" i="1"/>
  <c r="AY285" i="1"/>
  <c r="AX285" i="1"/>
  <c r="AW285" i="1"/>
  <c r="AV285" i="1"/>
  <c r="AU285" i="1"/>
  <c r="BB284" i="1"/>
  <c r="BA284" i="1"/>
  <c r="AZ284" i="1"/>
  <c r="AY284" i="1"/>
  <c r="AX284" i="1"/>
  <c r="AW284" i="1"/>
  <c r="AV284" i="1"/>
  <c r="BA283" i="1"/>
  <c r="AZ283" i="1"/>
  <c r="AY283" i="1"/>
  <c r="AX283" i="1"/>
  <c r="AW283" i="1"/>
  <c r="AV283" i="1"/>
  <c r="BA282" i="1"/>
  <c r="AZ282" i="1"/>
  <c r="AY282" i="1"/>
  <c r="AX282" i="1"/>
  <c r="AW282" i="1"/>
  <c r="AV282" i="1"/>
  <c r="BB281" i="1"/>
  <c r="BA281" i="1"/>
  <c r="AZ281" i="1"/>
  <c r="AY281" i="1"/>
  <c r="AX281" i="1"/>
  <c r="AW281" i="1"/>
  <c r="AV281" i="1"/>
  <c r="BA280" i="1"/>
  <c r="AZ280" i="1"/>
  <c r="AY280" i="1"/>
  <c r="AX280" i="1"/>
  <c r="AW280" i="1"/>
  <c r="AV280" i="1"/>
  <c r="BA279" i="1"/>
  <c r="AZ279" i="1"/>
  <c r="AY279" i="1"/>
  <c r="AX279" i="1"/>
  <c r="AW279" i="1"/>
  <c r="AV279" i="1"/>
  <c r="BB278" i="1"/>
  <c r="BA278" i="1"/>
  <c r="AZ278" i="1"/>
  <c r="AY278" i="1"/>
  <c r="AX278" i="1"/>
  <c r="AW278" i="1"/>
  <c r="AV278" i="1"/>
  <c r="AU278" i="1"/>
  <c r="BB277" i="1"/>
  <c r="BA277" i="1"/>
  <c r="AZ277" i="1"/>
  <c r="AY277" i="1"/>
  <c r="AX277" i="1"/>
  <c r="AW277" i="1"/>
  <c r="AV277" i="1"/>
  <c r="AU277" i="1"/>
  <c r="BB276" i="1"/>
  <c r="BA276" i="1"/>
  <c r="AZ276" i="1"/>
  <c r="AY276" i="1"/>
  <c r="AX276" i="1"/>
  <c r="AW276" i="1"/>
  <c r="AV276" i="1"/>
  <c r="AU276" i="1"/>
  <c r="BA275" i="1"/>
  <c r="AZ275" i="1"/>
  <c r="AY275" i="1"/>
  <c r="AX275" i="1"/>
  <c r="AV275" i="1"/>
  <c r="AU275" i="1"/>
  <c r="BA274" i="1"/>
  <c r="AZ274" i="1"/>
  <c r="AY274" i="1"/>
  <c r="AX274" i="1"/>
  <c r="AV274" i="1"/>
  <c r="AU274" i="1"/>
  <c r="BB273" i="1"/>
  <c r="BA273" i="1"/>
  <c r="AZ273" i="1"/>
  <c r="AY273" i="1"/>
  <c r="AX273" i="1"/>
  <c r="AW273" i="1"/>
  <c r="AV273" i="1"/>
  <c r="AU273" i="1"/>
  <c r="BB272" i="1"/>
  <c r="BA272" i="1"/>
  <c r="AZ272" i="1"/>
  <c r="AY272" i="1"/>
  <c r="AX272" i="1"/>
  <c r="AW272" i="1"/>
  <c r="AV272" i="1"/>
  <c r="AU272" i="1"/>
  <c r="BB271" i="1"/>
  <c r="BA271" i="1"/>
  <c r="AZ271" i="1"/>
  <c r="AY271" i="1"/>
  <c r="AX271" i="1"/>
  <c r="AW271" i="1"/>
  <c r="AV271" i="1"/>
  <c r="AU271" i="1"/>
  <c r="BA270" i="1"/>
  <c r="AZ270" i="1"/>
  <c r="AY270" i="1"/>
  <c r="AX270" i="1"/>
  <c r="AW270" i="1"/>
  <c r="AV270" i="1"/>
  <c r="AU270" i="1"/>
  <c r="BA269" i="1"/>
  <c r="AZ269" i="1"/>
  <c r="AY269" i="1"/>
  <c r="AX269" i="1"/>
  <c r="AW269" i="1"/>
  <c r="AV269" i="1"/>
  <c r="AU269" i="1"/>
  <c r="BB268" i="1"/>
  <c r="BA268" i="1"/>
  <c r="AZ268" i="1"/>
  <c r="AY268" i="1"/>
  <c r="AX268" i="1"/>
  <c r="AW268" i="1"/>
  <c r="AV268" i="1"/>
  <c r="AU268" i="1"/>
  <c r="BB267" i="1"/>
  <c r="BA267" i="1"/>
  <c r="AZ267" i="1"/>
  <c r="AY267" i="1"/>
  <c r="AX267" i="1"/>
  <c r="AW267" i="1"/>
  <c r="AV267" i="1"/>
  <c r="AU267" i="1"/>
  <c r="BB266" i="1"/>
  <c r="BA266" i="1"/>
  <c r="AZ266" i="1"/>
  <c r="AY266" i="1"/>
  <c r="AX266" i="1"/>
  <c r="AW266" i="1"/>
  <c r="AV266" i="1"/>
  <c r="AU266" i="1"/>
  <c r="BB265" i="1"/>
  <c r="BA265" i="1"/>
  <c r="AZ265" i="1"/>
  <c r="AY265" i="1"/>
  <c r="AX265" i="1"/>
  <c r="AW265" i="1"/>
  <c r="AV265" i="1"/>
  <c r="AU265" i="1"/>
  <c r="BB264" i="1"/>
  <c r="BA264" i="1"/>
  <c r="AZ264" i="1"/>
  <c r="AY264" i="1"/>
  <c r="AX264" i="1"/>
  <c r="AW264" i="1"/>
  <c r="AV264" i="1"/>
  <c r="AU264" i="1"/>
  <c r="BB263" i="1"/>
  <c r="BA263" i="1"/>
  <c r="AZ263" i="1"/>
  <c r="AY263" i="1"/>
  <c r="AX263" i="1"/>
  <c r="AW263" i="1"/>
  <c r="AV263" i="1"/>
  <c r="AU263" i="1"/>
  <c r="BB262" i="1"/>
  <c r="BA262" i="1"/>
  <c r="AZ262" i="1"/>
  <c r="AY262" i="1"/>
  <c r="AX262" i="1"/>
  <c r="AW262" i="1"/>
  <c r="AV262" i="1"/>
  <c r="AU262" i="1"/>
  <c r="BB261" i="1"/>
  <c r="BA261" i="1"/>
  <c r="AZ261" i="1"/>
  <c r="AY261" i="1"/>
  <c r="AX261" i="1"/>
  <c r="AW261" i="1"/>
  <c r="AV261" i="1"/>
  <c r="AU261" i="1"/>
  <c r="BB260" i="1"/>
  <c r="BA260" i="1"/>
  <c r="AZ260" i="1"/>
  <c r="AY260" i="1"/>
  <c r="AX260" i="1"/>
  <c r="AW260" i="1"/>
  <c r="AV260" i="1"/>
  <c r="AU260" i="1"/>
  <c r="BB259" i="1"/>
  <c r="BA259" i="1"/>
  <c r="AZ259" i="1"/>
  <c r="AY259" i="1"/>
  <c r="AX259" i="1"/>
  <c r="AW259" i="1"/>
  <c r="AV259" i="1"/>
  <c r="AU259" i="1"/>
  <c r="BA258" i="1"/>
  <c r="AZ258" i="1"/>
  <c r="AY258" i="1"/>
  <c r="AX258" i="1"/>
  <c r="AV258" i="1"/>
  <c r="AU258" i="1"/>
  <c r="BA257" i="1"/>
  <c r="AZ257" i="1"/>
  <c r="AY257" i="1"/>
  <c r="AX257" i="1"/>
  <c r="AW257" i="1"/>
  <c r="AV257" i="1"/>
  <c r="AU257" i="1"/>
  <c r="BA256" i="1"/>
  <c r="AZ256" i="1"/>
  <c r="AY256" i="1"/>
  <c r="AX256" i="1"/>
  <c r="AW256" i="1"/>
  <c r="AV256" i="1"/>
  <c r="AU256" i="1"/>
  <c r="BA255" i="1"/>
  <c r="AZ255" i="1"/>
  <c r="AY255" i="1"/>
  <c r="AX255" i="1"/>
  <c r="AW255" i="1"/>
  <c r="AV255" i="1"/>
  <c r="AU255" i="1"/>
  <c r="BA254" i="1"/>
  <c r="AZ254" i="1"/>
  <c r="AY254" i="1"/>
  <c r="AX254" i="1"/>
  <c r="AW254" i="1"/>
  <c r="AV254" i="1"/>
  <c r="AU254" i="1"/>
  <c r="BA253" i="1"/>
  <c r="AZ253" i="1"/>
  <c r="AY253" i="1"/>
  <c r="AX253" i="1"/>
  <c r="AW253" i="1"/>
  <c r="AV253" i="1"/>
  <c r="AU253" i="1"/>
  <c r="BA252" i="1"/>
  <c r="AZ252" i="1"/>
  <c r="AY252" i="1"/>
  <c r="AX252" i="1"/>
  <c r="AW252" i="1"/>
  <c r="AV252" i="1"/>
  <c r="AU252" i="1"/>
  <c r="BA251" i="1"/>
  <c r="AZ251" i="1"/>
  <c r="AY251" i="1"/>
  <c r="AX251" i="1"/>
  <c r="AW251" i="1"/>
  <c r="AV251" i="1"/>
  <c r="AU251" i="1"/>
  <c r="BB250" i="1"/>
  <c r="BA250" i="1"/>
  <c r="AZ250" i="1"/>
  <c r="AY250" i="1"/>
  <c r="AX250" i="1"/>
  <c r="AW250" i="1"/>
  <c r="AV250" i="1"/>
  <c r="AU250" i="1"/>
  <c r="BB249" i="1"/>
  <c r="BA249" i="1"/>
  <c r="AZ249" i="1"/>
  <c r="AY249" i="1"/>
  <c r="AX249" i="1"/>
  <c r="AW249" i="1"/>
  <c r="AV249" i="1"/>
  <c r="AU249" i="1"/>
  <c r="BB248" i="1"/>
  <c r="BA248" i="1"/>
  <c r="AZ248" i="1"/>
  <c r="AY248" i="1"/>
  <c r="AX248" i="1"/>
  <c r="AW248" i="1"/>
  <c r="AV248" i="1"/>
  <c r="BA247" i="1"/>
  <c r="AZ247" i="1"/>
  <c r="AX247" i="1"/>
  <c r="AV247" i="1"/>
  <c r="AU247" i="1"/>
  <c r="BA246" i="1"/>
  <c r="AZ246" i="1"/>
  <c r="AY246" i="1"/>
  <c r="AX246" i="1"/>
  <c r="AV246" i="1"/>
  <c r="AU246" i="1"/>
  <c r="BA245" i="1"/>
  <c r="AZ245" i="1"/>
  <c r="AY245" i="1"/>
  <c r="AX245" i="1"/>
  <c r="AV245" i="1"/>
  <c r="BA244" i="1"/>
  <c r="AZ244" i="1"/>
  <c r="AY244" i="1"/>
  <c r="AX244" i="1"/>
  <c r="AV244" i="1"/>
  <c r="AU244" i="1"/>
  <c r="BB243" i="1"/>
  <c r="BA243" i="1"/>
  <c r="AZ243" i="1"/>
  <c r="AY243" i="1"/>
  <c r="AX243" i="1"/>
  <c r="AW243" i="1"/>
  <c r="AV243" i="1"/>
  <c r="AU243" i="1"/>
  <c r="BA242" i="1"/>
  <c r="AZ242" i="1"/>
  <c r="AY242" i="1"/>
  <c r="AX242" i="1"/>
  <c r="AV242" i="1"/>
  <c r="AU242" i="1"/>
  <c r="BA241" i="1"/>
  <c r="AZ241" i="1"/>
  <c r="AY241" i="1"/>
  <c r="AX241" i="1"/>
  <c r="AV241" i="1"/>
  <c r="AU241" i="1"/>
  <c r="BA240" i="1"/>
  <c r="AZ240" i="1"/>
  <c r="AY240" i="1"/>
  <c r="AX240" i="1"/>
  <c r="AV240" i="1"/>
  <c r="AU240" i="1"/>
  <c r="BB239" i="1"/>
  <c r="BA239" i="1"/>
  <c r="AZ239" i="1"/>
  <c r="AY239" i="1"/>
  <c r="AX239" i="1"/>
  <c r="AV239" i="1"/>
  <c r="AU239" i="1"/>
  <c r="BB238" i="1"/>
  <c r="BA238" i="1"/>
  <c r="AZ238" i="1"/>
  <c r="AY238" i="1"/>
  <c r="AX238" i="1"/>
  <c r="AV238" i="1"/>
  <c r="AU238" i="1"/>
  <c r="BB237" i="1"/>
  <c r="BA237" i="1"/>
  <c r="AZ237" i="1"/>
  <c r="AY237" i="1"/>
  <c r="AX237" i="1"/>
  <c r="AW237" i="1"/>
  <c r="AV237" i="1"/>
  <c r="AU237" i="1"/>
  <c r="BB236" i="1"/>
  <c r="BA236" i="1"/>
  <c r="AZ236" i="1"/>
  <c r="AY236" i="1"/>
  <c r="AX236" i="1"/>
  <c r="AW236" i="1"/>
  <c r="AV236" i="1"/>
  <c r="AU236" i="1"/>
  <c r="BB235" i="1"/>
  <c r="BA235" i="1"/>
  <c r="AZ235" i="1"/>
  <c r="AY235" i="1"/>
  <c r="AX235" i="1"/>
  <c r="AW235" i="1"/>
  <c r="AV235" i="1"/>
  <c r="AU235" i="1"/>
  <c r="BB234" i="1"/>
  <c r="BA234" i="1"/>
  <c r="AZ234" i="1"/>
  <c r="AY234" i="1"/>
  <c r="AX234" i="1"/>
  <c r="AV234" i="1"/>
  <c r="AU234" i="1"/>
  <c r="BB233" i="1"/>
  <c r="BA233" i="1"/>
  <c r="AZ233" i="1"/>
  <c r="AY233" i="1"/>
  <c r="AX233" i="1"/>
  <c r="AV233" i="1"/>
  <c r="AU233" i="1"/>
  <c r="BA232" i="1"/>
  <c r="AZ232" i="1"/>
  <c r="AY232" i="1"/>
  <c r="AX232" i="1"/>
  <c r="AW232" i="1"/>
  <c r="AV232" i="1"/>
  <c r="BA231" i="1"/>
  <c r="AZ231" i="1"/>
  <c r="AY231" i="1"/>
  <c r="AX231" i="1"/>
  <c r="AW231" i="1"/>
  <c r="AV231" i="1"/>
  <c r="BB228" i="1"/>
  <c r="BA228" i="1"/>
  <c r="AZ228" i="1"/>
  <c r="AY228" i="1"/>
  <c r="AX228" i="1"/>
  <c r="AV228" i="1"/>
  <c r="AU228" i="1"/>
  <c r="BB227" i="1"/>
  <c r="BA227" i="1"/>
  <c r="AZ227" i="1"/>
  <c r="AY227" i="1"/>
  <c r="AX227" i="1"/>
  <c r="AV227" i="1"/>
  <c r="AU227" i="1"/>
  <c r="BA226" i="1"/>
  <c r="AZ226" i="1"/>
  <c r="AX226" i="1"/>
  <c r="AW226" i="1"/>
  <c r="AV226" i="1"/>
  <c r="AU226" i="1"/>
  <c r="BA225" i="1"/>
  <c r="AZ225" i="1"/>
  <c r="AX225" i="1"/>
  <c r="AW225" i="1"/>
  <c r="AV225" i="1"/>
  <c r="AU225" i="1"/>
  <c r="BA224" i="1"/>
  <c r="AZ224" i="1"/>
  <c r="AX224" i="1"/>
  <c r="AW224" i="1"/>
  <c r="AV224" i="1"/>
  <c r="AU224" i="1"/>
  <c r="BA223" i="1"/>
  <c r="AZ223" i="1"/>
  <c r="AX223" i="1"/>
  <c r="AW223" i="1"/>
  <c r="AV223" i="1"/>
  <c r="AU223" i="1"/>
  <c r="BA222" i="1"/>
  <c r="AZ222" i="1"/>
  <c r="AX222" i="1"/>
  <c r="AW222" i="1"/>
  <c r="AV222" i="1"/>
  <c r="AU222" i="1"/>
  <c r="BA221" i="1"/>
  <c r="AZ221" i="1"/>
  <c r="AX221" i="1"/>
  <c r="AW221" i="1"/>
  <c r="AV221" i="1"/>
  <c r="AU221" i="1"/>
  <c r="BA220" i="1"/>
  <c r="AZ220" i="1"/>
  <c r="AX220" i="1"/>
  <c r="AW220" i="1"/>
  <c r="AV220" i="1"/>
  <c r="AU220" i="1"/>
  <c r="BA219" i="1"/>
  <c r="AZ219" i="1"/>
  <c r="AY219" i="1"/>
  <c r="AX219" i="1"/>
  <c r="AW219" i="1"/>
  <c r="AV219" i="1"/>
  <c r="AU219" i="1"/>
  <c r="BA218" i="1"/>
  <c r="AZ218" i="1"/>
  <c r="AY218" i="1"/>
  <c r="AX218" i="1"/>
  <c r="AW218" i="1"/>
  <c r="AV218" i="1"/>
  <c r="AU218" i="1"/>
  <c r="BA217" i="1"/>
  <c r="AZ217" i="1"/>
  <c r="AY217" i="1"/>
  <c r="AX217" i="1"/>
  <c r="AW217" i="1"/>
  <c r="AV217" i="1"/>
  <c r="AU217" i="1"/>
  <c r="BA216" i="1"/>
  <c r="AZ216" i="1"/>
  <c r="AY216" i="1"/>
  <c r="AX216" i="1"/>
  <c r="AW216" i="1"/>
  <c r="AV216" i="1"/>
  <c r="AU216" i="1"/>
  <c r="BB215" i="1"/>
  <c r="BA215" i="1"/>
  <c r="AZ215" i="1"/>
  <c r="AY215" i="1"/>
  <c r="AX215" i="1"/>
  <c r="AW215" i="1"/>
  <c r="AV215" i="1"/>
  <c r="AU215" i="1"/>
  <c r="BB214" i="1"/>
  <c r="BA214" i="1"/>
  <c r="AZ214" i="1"/>
  <c r="AY214" i="1"/>
  <c r="AX214" i="1"/>
  <c r="AV214" i="1"/>
  <c r="AU214" i="1"/>
  <c r="BB213" i="1"/>
  <c r="BA213" i="1"/>
  <c r="AZ213" i="1"/>
  <c r="AY213" i="1"/>
  <c r="AX213" i="1"/>
  <c r="AW213" i="1"/>
  <c r="AV213" i="1"/>
  <c r="AU213" i="1"/>
  <c r="BB202" i="1"/>
  <c r="BA202" i="1"/>
  <c r="AZ202" i="1"/>
  <c r="AY202" i="1"/>
  <c r="AX202" i="1"/>
  <c r="AV202" i="1"/>
  <c r="AU202" i="1"/>
  <c r="BB201" i="1"/>
  <c r="BA201" i="1"/>
  <c r="AZ201" i="1"/>
  <c r="AY201" i="1"/>
  <c r="AX201" i="1"/>
  <c r="AV201" i="1"/>
  <c r="AU201" i="1"/>
  <c r="BB200" i="1"/>
  <c r="BA200" i="1"/>
  <c r="AZ200" i="1"/>
  <c r="AY200" i="1"/>
  <c r="AX200" i="1"/>
  <c r="AV200" i="1"/>
  <c r="AU200" i="1"/>
  <c r="BB199" i="1"/>
  <c r="BA199" i="1"/>
  <c r="AZ199" i="1"/>
  <c r="AY199" i="1"/>
  <c r="AX199" i="1"/>
  <c r="AV199" i="1"/>
  <c r="AU199" i="1"/>
  <c r="BB198" i="1"/>
  <c r="BA198" i="1"/>
  <c r="AZ198" i="1"/>
  <c r="AY198" i="1"/>
  <c r="AX198" i="1"/>
  <c r="AW198" i="1"/>
  <c r="AV198" i="1"/>
  <c r="AU198" i="1"/>
  <c r="BB197" i="1"/>
  <c r="BA197" i="1"/>
  <c r="AZ197" i="1"/>
  <c r="AY197" i="1"/>
  <c r="AX197" i="1"/>
  <c r="AV197" i="1"/>
  <c r="AU197" i="1"/>
  <c r="BB196" i="1"/>
  <c r="BA196" i="1"/>
  <c r="AZ196" i="1"/>
  <c r="AY196" i="1"/>
  <c r="AX196" i="1"/>
  <c r="AV196" i="1"/>
  <c r="AU196" i="1"/>
  <c r="BB195" i="1"/>
  <c r="BA195" i="1"/>
  <c r="AZ195" i="1"/>
  <c r="AY195" i="1"/>
  <c r="AX195" i="1"/>
  <c r="AV195" i="1"/>
  <c r="AU195" i="1"/>
  <c r="BB194" i="1"/>
  <c r="BA194" i="1"/>
  <c r="AZ194" i="1"/>
  <c r="AY194" i="1"/>
  <c r="AX194" i="1"/>
  <c r="AV194" i="1"/>
  <c r="AU194" i="1"/>
  <c r="BB193" i="1"/>
  <c r="BA193" i="1"/>
  <c r="AZ193" i="1"/>
  <c r="AY193" i="1"/>
  <c r="AX193" i="1"/>
  <c r="AV193" i="1"/>
  <c r="AU193" i="1"/>
  <c r="BB192" i="1"/>
  <c r="BA192" i="1"/>
  <c r="AZ192" i="1"/>
  <c r="AY192" i="1"/>
  <c r="AX192" i="1"/>
  <c r="AV192" i="1"/>
  <c r="AU192" i="1"/>
  <c r="BA191" i="1"/>
  <c r="AZ191" i="1"/>
  <c r="AY191" i="1"/>
  <c r="AX191" i="1"/>
  <c r="AV191" i="1"/>
  <c r="AU191" i="1"/>
  <c r="BA190" i="1"/>
  <c r="AZ190" i="1"/>
  <c r="AY190" i="1"/>
  <c r="AX190" i="1"/>
  <c r="AV190" i="1"/>
  <c r="AU190" i="1"/>
  <c r="BB189" i="1"/>
  <c r="BA189" i="1"/>
  <c r="AZ189" i="1"/>
  <c r="AY189" i="1"/>
  <c r="AX189" i="1"/>
  <c r="AW189" i="1"/>
  <c r="AV189" i="1"/>
  <c r="AU189" i="1"/>
  <c r="BA188" i="1"/>
  <c r="AZ188" i="1"/>
  <c r="AY188" i="1"/>
  <c r="AX188" i="1"/>
  <c r="AW188" i="1"/>
  <c r="AV188" i="1"/>
  <c r="BA187" i="1"/>
  <c r="AZ187" i="1"/>
  <c r="AY187" i="1"/>
  <c r="AX187" i="1"/>
  <c r="AW187" i="1"/>
  <c r="AV187" i="1"/>
  <c r="BA186" i="1"/>
  <c r="AZ186" i="1"/>
  <c r="AY186" i="1"/>
  <c r="AX186" i="1"/>
  <c r="AW186" i="1"/>
  <c r="AV186" i="1"/>
  <c r="AU186" i="1"/>
  <c r="BA185" i="1"/>
  <c r="AZ185" i="1"/>
  <c r="AY185" i="1"/>
  <c r="AX185" i="1"/>
  <c r="AW185" i="1"/>
  <c r="AV185" i="1"/>
  <c r="AU185" i="1"/>
  <c r="BA184" i="1"/>
  <c r="AZ184" i="1"/>
  <c r="AY184" i="1"/>
  <c r="AX184" i="1"/>
  <c r="AW184" i="1"/>
  <c r="AV184" i="1"/>
  <c r="AU184" i="1"/>
  <c r="BA183" i="1"/>
  <c r="AZ183" i="1"/>
  <c r="AY183" i="1"/>
  <c r="AX183" i="1"/>
  <c r="AW183" i="1"/>
  <c r="AV183" i="1"/>
  <c r="AU183" i="1"/>
  <c r="BA182" i="1"/>
  <c r="AZ182" i="1"/>
  <c r="AY182" i="1"/>
  <c r="AX182" i="1"/>
  <c r="AW182" i="1"/>
  <c r="AV182" i="1"/>
  <c r="AU182" i="1"/>
  <c r="BA181" i="1"/>
  <c r="AZ181" i="1"/>
  <c r="AY181" i="1"/>
  <c r="AX181" i="1"/>
  <c r="AW181" i="1"/>
  <c r="AV181" i="1"/>
  <c r="AU181" i="1"/>
  <c r="BA180" i="1"/>
  <c r="AZ180" i="1"/>
  <c r="AY180" i="1"/>
  <c r="AX180" i="1"/>
  <c r="AW180" i="1"/>
  <c r="AV180" i="1"/>
  <c r="AU180" i="1"/>
  <c r="BA179" i="1"/>
  <c r="AZ179" i="1"/>
  <c r="AY179" i="1"/>
  <c r="AX179" i="1"/>
  <c r="AW179" i="1"/>
  <c r="AV179" i="1"/>
  <c r="AU179" i="1"/>
  <c r="BA178" i="1"/>
  <c r="AZ178" i="1"/>
  <c r="AY178" i="1"/>
  <c r="AX178" i="1"/>
  <c r="AW178" i="1"/>
  <c r="AV178" i="1"/>
  <c r="AU178" i="1"/>
  <c r="BA177" i="1"/>
  <c r="AZ177" i="1"/>
  <c r="AY177" i="1"/>
  <c r="AX177" i="1"/>
  <c r="AW177" i="1"/>
  <c r="AV177" i="1"/>
  <c r="AU177" i="1"/>
  <c r="BA176" i="1"/>
  <c r="AZ176" i="1"/>
  <c r="AY176" i="1"/>
  <c r="AX176" i="1"/>
  <c r="AW176" i="1"/>
  <c r="AV176" i="1"/>
  <c r="AU176" i="1"/>
  <c r="BA175" i="1"/>
  <c r="AZ175" i="1"/>
  <c r="AY175" i="1"/>
  <c r="AX175" i="1"/>
  <c r="AW175" i="1"/>
  <c r="AV175" i="1"/>
  <c r="AU175" i="1"/>
  <c r="BB174" i="1"/>
  <c r="BA174" i="1"/>
  <c r="AZ174" i="1"/>
  <c r="AY174" i="1"/>
  <c r="AX174" i="1"/>
  <c r="AW174" i="1"/>
  <c r="AV174" i="1"/>
  <c r="AU174" i="1"/>
  <c r="BB173" i="1"/>
  <c r="BA173" i="1"/>
  <c r="AZ173" i="1"/>
  <c r="AY173" i="1"/>
  <c r="AX173" i="1"/>
  <c r="AW173" i="1"/>
  <c r="AV173" i="1"/>
  <c r="AU173" i="1"/>
  <c r="BA172" i="1"/>
  <c r="AZ172" i="1"/>
  <c r="AY172" i="1"/>
  <c r="AX172" i="1"/>
  <c r="AW172" i="1"/>
  <c r="AV172" i="1"/>
  <c r="AU172" i="1"/>
  <c r="BA171" i="1"/>
  <c r="AZ171" i="1"/>
  <c r="AY171" i="1"/>
  <c r="AX171" i="1"/>
  <c r="AW171" i="1"/>
  <c r="AV171" i="1"/>
  <c r="AU171" i="1"/>
  <c r="BA170" i="1"/>
  <c r="AZ170" i="1"/>
  <c r="AY170" i="1"/>
  <c r="AX170" i="1"/>
  <c r="AW170" i="1"/>
  <c r="AV170" i="1"/>
  <c r="AU170" i="1"/>
  <c r="BA169" i="1"/>
  <c r="AZ169" i="1"/>
  <c r="AY169" i="1"/>
  <c r="AX169" i="1"/>
  <c r="AW169" i="1"/>
  <c r="AV169" i="1"/>
  <c r="AU169" i="1"/>
  <c r="BA168" i="1"/>
  <c r="AZ168" i="1"/>
  <c r="AY168" i="1"/>
  <c r="AX168" i="1"/>
  <c r="AW168" i="1"/>
  <c r="AV168" i="1"/>
  <c r="AU168" i="1"/>
  <c r="BA167" i="1"/>
  <c r="AZ167" i="1"/>
  <c r="AY167" i="1"/>
  <c r="AX167" i="1"/>
  <c r="AW167" i="1"/>
  <c r="AV167" i="1"/>
  <c r="AU167" i="1"/>
  <c r="BA166" i="1"/>
  <c r="AZ166" i="1"/>
  <c r="AY166" i="1"/>
  <c r="AX166" i="1"/>
  <c r="AW166" i="1"/>
  <c r="AV166" i="1"/>
  <c r="AU166" i="1"/>
  <c r="BA165" i="1"/>
  <c r="AZ165" i="1"/>
  <c r="AY165" i="1"/>
  <c r="AX165" i="1"/>
  <c r="AW165" i="1"/>
  <c r="AV165" i="1"/>
  <c r="AU165" i="1"/>
  <c r="BB164" i="1"/>
  <c r="BA164" i="1"/>
  <c r="AZ164" i="1"/>
  <c r="AY164" i="1"/>
  <c r="AX164" i="1"/>
  <c r="AW164" i="1"/>
  <c r="AV164" i="1"/>
  <c r="AU164" i="1"/>
  <c r="BB163" i="1"/>
  <c r="BA163" i="1"/>
  <c r="AZ163" i="1"/>
  <c r="AY163" i="1"/>
  <c r="AX163" i="1"/>
  <c r="AW163" i="1"/>
  <c r="AV163" i="1"/>
  <c r="AU163" i="1"/>
  <c r="BB162" i="1"/>
  <c r="BA162" i="1"/>
  <c r="AZ162" i="1"/>
  <c r="AY162" i="1"/>
  <c r="AX162" i="1"/>
  <c r="AW162" i="1"/>
  <c r="AV162" i="1"/>
  <c r="AU162" i="1"/>
  <c r="BB161" i="1"/>
  <c r="BA161" i="1"/>
  <c r="AZ161" i="1"/>
  <c r="AY161" i="1"/>
  <c r="AX161" i="1"/>
  <c r="AW161" i="1"/>
  <c r="AV161" i="1"/>
  <c r="AU161" i="1"/>
  <c r="BB160" i="1"/>
  <c r="BA160" i="1"/>
  <c r="AZ160" i="1"/>
  <c r="AY160" i="1"/>
  <c r="AX160" i="1"/>
  <c r="AW160" i="1"/>
  <c r="AV160" i="1"/>
  <c r="AU160" i="1"/>
  <c r="BB159" i="1"/>
  <c r="BA159" i="1"/>
  <c r="AZ159" i="1"/>
  <c r="AY159" i="1"/>
  <c r="AX159" i="1"/>
  <c r="AW159" i="1"/>
  <c r="AV159" i="1"/>
  <c r="AU159" i="1"/>
  <c r="BB158" i="1"/>
  <c r="BA158" i="1"/>
  <c r="AZ158" i="1"/>
  <c r="AY158" i="1"/>
  <c r="AX158" i="1"/>
  <c r="AW158" i="1"/>
  <c r="AV158" i="1"/>
  <c r="AU158" i="1"/>
  <c r="BB157" i="1"/>
  <c r="BA157" i="1"/>
  <c r="AZ157" i="1"/>
  <c r="AY157" i="1"/>
  <c r="AX157" i="1"/>
  <c r="AW157" i="1"/>
  <c r="AV157" i="1"/>
  <c r="AU157" i="1"/>
  <c r="BB156" i="1"/>
  <c r="BA156" i="1"/>
  <c r="AZ156" i="1"/>
  <c r="AY156" i="1"/>
  <c r="AX156" i="1"/>
  <c r="AW156" i="1"/>
  <c r="AV156" i="1"/>
  <c r="AU156" i="1"/>
  <c r="BB155" i="1"/>
  <c r="BA155" i="1"/>
  <c r="AZ155" i="1"/>
  <c r="AY155" i="1"/>
  <c r="AX155" i="1"/>
  <c r="AW155" i="1"/>
  <c r="AV155" i="1"/>
  <c r="AU155" i="1"/>
  <c r="BB154" i="1"/>
  <c r="BA154" i="1"/>
  <c r="AZ154" i="1"/>
  <c r="AY154" i="1"/>
  <c r="AX154" i="1"/>
  <c r="AW154" i="1"/>
  <c r="AV154" i="1"/>
  <c r="AU154" i="1"/>
  <c r="BA142" i="1"/>
  <c r="AZ142" i="1"/>
  <c r="AY142" i="1"/>
  <c r="AX142" i="1"/>
  <c r="AW142" i="1"/>
  <c r="AV142" i="1"/>
  <c r="AU142" i="1"/>
  <c r="BA141" i="1"/>
  <c r="AZ141" i="1"/>
  <c r="AY141" i="1"/>
  <c r="AX141" i="1"/>
  <c r="AW141" i="1"/>
  <c r="AV141" i="1"/>
  <c r="AU141" i="1"/>
  <c r="BA140" i="1"/>
  <c r="AZ140" i="1"/>
  <c r="AY140" i="1"/>
  <c r="AX140" i="1"/>
  <c r="AW140" i="1"/>
  <c r="AV140" i="1"/>
  <c r="AU140" i="1"/>
  <c r="BA139" i="1"/>
  <c r="AZ139" i="1"/>
  <c r="AY139" i="1"/>
  <c r="AX139" i="1"/>
  <c r="AW139" i="1"/>
  <c r="AV139" i="1"/>
  <c r="AU139" i="1"/>
  <c r="BA138" i="1"/>
  <c r="AZ138" i="1"/>
  <c r="AY138" i="1"/>
  <c r="AX138" i="1"/>
  <c r="AW138" i="1"/>
  <c r="AV138" i="1"/>
  <c r="AU138" i="1"/>
  <c r="BA137" i="1"/>
  <c r="AZ137" i="1"/>
  <c r="AY137" i="1"/>
  <c r="AX137" i="1"/>
  <c r="AW137" i="1"/>
  <c r="AV137" i="1"/>
  <c r="AU137" i="1"/>
  <c r="BA144" i="1"/>
  <c r="AZ144" i="1"/>
  <c r="AY144" i="1"/>
  <c r="AX144" i="1"/>
  <c r="AW144" i="1"/>
  <c r="AV144" i="1"/>
  <c r="BA143" i="1"/>
  <c r="AZ143" i="1"/>
  <c r="AY143" i="1"/>
  <c r="AX143" i="1"/>
  <c r="AW143" i="1"/>
  <c r="AV143" i="1"/>
  <c r="AU143" i="1"/>
  <c r="BA136" i="1"/>
  <c r="AZ136" i="1"/>
  <c r="AY136" i="1"/>
  <c r="AX136" i="1"/>
  <c r="AW136" i="1"/>
  <c r="AV136" i="1"/>
  <c r="AU136" i="1"/>
  <c r="BA135" i="1"/>
  <c r="AZ135" i="1"/>
  <c r="AY135" i="1"/>
  <c r="AX135" i="1"/>
  <c r="AW135" i="1"/>
  <c r="AV135" i="1"/>
  <c r="AU135" i="1"/>
  <c r="BA134" i="1"/>
  <c r="AZ134" i="1"/>
  <c r="AY134" i="1"/>
  <c r="AX134" i="1"/>
  <c r="AW134" i="1"/>
  <c r="AV134" i="1"/>
  <c r="AU134" i="1"/>
  <c r="BA133" i="1"/>
  <c r="AZ133" i="1"/>
  <c r="AY133" i="1"/>
  <c r="AX133" i="1"/>
  <c r="AW133" i="1"/>
  <c r="AV133" i="1"/>
  <c r="AU133" i="1"/>
  <c r="BA132" i="1"/>
  <c r="AZ132" i="1"/>
  <c r="AY132" i="1"/>
  <c r="AX132" i="1"/>
  <c r="AW132" i="1"/>
  <c r="AV132" i="1"/>
  <c r="AU132" i="1"/>
  <c r="BB122" i="1"/>
  <c r="BA122" i="1"/>
  <c r="AZ122" i="1"/>
  <c r="AY122" i="1"/>
  <c r="AX122" i="1"/>
  <c r="AW122" i="1"/>
  <c r="AV122" i="1"/>
  <c r="AU122" i="1"/>
  <c r="BB121" i="1"/>
  <c r="BA121" i="1"/>
  <c r="AZ121" i="1"/>
  <c r="AY121" i="1"/>
  <c r="AX121" i="1"/>
  <c r="AW121" i="1"/>
  <c r="AV121" i="1"/>
  <c r="AU121" i="1"/>
  <c r="BB120" i="1"/>
  <c r="BA120" i="1"/>
  <c r="AZ120" i="1"/>
  <c r="AY120" i="1"/>
  <c r="AX120" i="1"/>
  <c r="AW120" i="1"/>
  <c r="AV120" i="1"/>
  <c r="AU120" i="1"/>
  <c r="BA119" i="1"/>
  <c r="AZ119" i="1"/>
  <c r="AY119" i="1"/>
  <c r="AX119" i="1"/>
  <c r="AW119" i="1"/>
  <c r="AV119" i="1"/>
  <c r="AU119" i="1"/>
  <c r="BA118" i="1"/>
  <c r="AZ118" i="1"/>
  <c r="AY118" i="1"/>
  <c r="AX118" i="1"/>
  <c r="AV118" i="1"/>
  <c r="AU118" i="1"/>
  <c r="BB117" i="1"/>
  <c r="BA117" i="1"/>
  <c r="AZ117" i="1"/>
  <c r="AY117" i="1"/>
  <c r="AX117" i="1"/>
  <c r="AV117" i="1"/>
  <c r="AU117" i="1"/>
  <c r="BB116" i="1"/>
  <c r="BA116" i="1"/>
  <c r="AZ116" i="1"/>
  <c r="AY116" i="1"/>
  <c r="AX116" i="1"/>
  <c r="AW116" i="1"/>
  <c r="AV116" i="1"/>
  <c r="AU116" i="1"/>
  <c r="BB115" i="1"/>
  <c r="BA115" i="1"/>
  <c r="AZ115" i="1"/>
  <c r="AY115" i="1"/>
  <c r="AX115" i="1"/>
  <c r="AW115" i="1"/>
  <c r="AV115" i="1"/>
  <c r="AU115" i="1"/>
  <c r="BB114" i="1"/>
  <c r="BA114" i="1"/>
  <c r="AZ114" i="1"/>
  <c r="AY114" i="1"/>
  <c r="AX114" i="1"/>
  <c r="AW114" i="1"/>
  <c r="AV114" i="1"/>
  <c r="AU114" i="1"/>
  <c r="BB113" i="1"/>
  <c r="BA113" i="1"/>
  <c r="AZ113" i="1"/>
  <c r="AY113" i="1"/>
  <c r="AX113" i="1"/>
  <c r="AW113" i="1"/>
  <c r="AV113" i="1"/>
  <c r="AU113" i="1"/>
  <c r="BB112" i="1"/>
  <c r="BA112" i="1"/>
  <c r="AZ112" i="1"/>
  <c r="AY112" i="1"/>
  <c r="AX112" i="1"/>
  <c r="AW112" i="1"/>
  <c r="AV112" i="1"/>
  <c r="AU112" i="1"/>
  <c r="BB111" i="1"/>
  <c r="BA111" i="1"/>
  <c r="AZ111" i="1"/>
  <c r="AY111" i="1"/>
  <c r="AX111" i="1"/>
  <c r="AW111" i="1"/>
  <c r="AV111" i="1"/>
  <c r="AU111" i="1"/>
  <c r="BB110" i="1"/>
  <c r="BA110" i="1"/>
  <c r="AZ110" i="1"/>
  <c r="AY110" i="1"/>
  <c r="AX110" i="1"/>
  <c r="AW110" i="1"/>
  <c r="AV110" i="1"/>
  <c r="AU110" i="1"/>
  <c r="BB109" i="1"/>
  <c r="BA109" i="1"/>
  <c r="AZ109" i="1"/>
  <c r="AY109" i="1"/>
  <c r="AX109" i="1"/>
  <c r="AW109" i="1"/>
  <c r="AV109" i="1"/>
  <c r="AU109" i="1"/>
  <c r="BB108" i="1"/>
  <c r="BA108" i="1"/>
  <c r="AZ108" i="1"/>
  <c r="AY108" i="1"/>
  <c r="AX108" i="1"/>
  <c r="AW108" i="1"/>
  <c r="AV108" i="1"/>
  <c r="AU108" i="1"/>
  <c r="BB107" i="1"/>
  <c r="BA107" i="1"/>
  <c r="AZ107" i="1"/>
  <c r="AY107" i="1"/>
  <c r="AX107" i="1"/>
  <c r="AW107" i="1"/>
  <c r="AV107" i="1"/>
  <c r="AU107" i="1"/>
  <c r="BB106" i="1"/>
  <c r="BA106" i="1"/>
  <c r="AZ106" i="1"/>
  <c r="AY106" i="1"/>
  <c r="AX106" i="1"/>
  <c r="AW106" i="1"/>
  <c r="AV106" i="1"/>
  <c r="AU106" i="1"/>
  <c r="BB105" i="1"/>
  <c r="BA105" i="1"/>
  <c r="AZ105" i="1"/>
  <c r="AY105" i="1"/>
  <c r="AX105" i="1"/>
  <c r="AW105" i="1"/>
  <c r="AV105" i="1"/>
  <c r="AU105" i="1"/>
  <c r="BB104" i="1"/>
  <c r="BA104" i="1"/>
  <c r="AZ104" i="1"/>
  <c r="AY104" i="1"/>
  <c r="AX104" i="1"/>
  <c r="AW104" i="1"/>
  <c r="AV104" i="1"/>
  <c r="AU104" i="1"/>
  <c r="BB103" i="1"/>
  <c r="BA103" i="1"/>
  <c r="AZ103" i="1"/>
  <c r="AY103" i="1"/>
  <c r="AX103" i="1"/>
  <c r="AW103" i="1"/>
  <c r="AV103" i="1"/>
  <c r="AU103" i="1"/>
  <c r="BB102" i="1"/>
  <c r="BA102" i="1"/>
  <c r="AZ102" i="1"/>
  <c r="AY102" i="1"/>
  <c r="AX102" i="1"/>
  <c r="AW102" i="1"/>
  <c r="AV102" i="1"/>
  <c r="AU102" i="1"/>
  <c r="BB101" i="1"/>
  <c r="BA101" i="1"/>
  <c r="AZ101" i="1"/>
  <c r="AY101" i="1"/>
  <c r="AX101" i="1"/>
  <c r="AW101" i="1"/>
  <c r="AV101" i="1"/>
  <c r="AU101" i="1"/>
  <c r="BB100" i="1"/>
  <c r="BA100" i="1"/>
  <c r="AZ100" i="1"/>
  <c r="AY100" i="1"/>
  <c r="AX100" i="1"/>
  <c r="AW100" i="1"/>
  <c r="AV100" i="1"/>
  <c r="AU100" i="1"/>
  <c r="BB99" i="1"/>
  <c r="BA99" i="1"/>
  <c r="AZ99" i="1"/>
  <c r="AY99" i="1"/>
  <c r="AX99" i="1"/>
  <c r="AW99" i="1"/>
  <c r="AV99" i="1"/>
  <c r="AU99" i="1"/>
  <c r="BB98" i="1"/>
  <c r="BA98" i="1"/>
  <c r="AZ98" i="1"/>
  <c r="AY98" i="1"/>
  <c r="AX98" i="1"/>
  <c r="AW98" i="1"/>
  <c r="AV98" i="1"/>
  <c r="AU98" i="1"/>
  <c r="BB97" i="1"/>
  <c r="BA97" i="1"/>
  <c r="AZ97" i="1"/>
  <c r="AY97" i="1"/>
  <c r="AX97" i="1"/>
  <c r="AW97" i="1"/>
  <c r="AV97" i="1"/>
  <c r="AU97" i="1"/>
  <c r="BB96" i="1"/>
  <c r="BA96" i="1"/>
  <c r="AZ96" i="1"/>
  <c r="AY96" i="1"/>
  <c r="AX96" i="1"/>
  <c r="AW96" i="1"/>
  <c r="AV96" i="1"/>
  <c r="AU96" i="1"/>
  <c r="BB95" i="1"/>
  <c r="BA95" i="1"/>
  <c r="AZ95" i="1"/>
  <c r="AY95" i="1"/>
  <c r="AX95" i="1"/>
  <c r="AW95" i="1"/>
  <c r="AV95" i="1"/>
  <c r="AU95" i="1"/>
  <c r="BA93" i="1"/>
  <c r="AZ93" i="1"/>
  <c r="AY93" i="1"/>
  <c r="AX93" i="1"/>
  <c r="AV93" i="1"/>
  <c r="AU93" i="1"/>
  <c r="BA92" i="1"/>
  <c r="AZ92" i="1"/>
  <c r="AY92" i="1"/>
  <c r="AX92" i="1"/>
  <c r="AW92" i="1"/>
  <c r="AV92" i="1"/>
  <c r="AU92" i="1"/>
  <c r="BA91" i="1"/>
  <c r="AZ91" i="1"/>
  <c r="AY91" i="1"/>
  <c r="AX91" i="1"/>
  <c r="AV91" i="1"/>
  <c r="BA90" i="1"/>
  <c r="AZ90" i="1"/>
  <c r="AY90" i="1"/>
  <c r="AX90" i="1"/>
  <c r="AW90" i="1"/>
  <c r="AV90" i="1"/>
  <c r="AU90" i="1"/>
  <c r="BA89" i="1"/>
  <c r="AZ89" i="1"/>
  <c r="AY89" i="1"/>
  <c r="AX89" i="1"/>
  <c r="AW89" i="1"/>
  <c r="AV89" i="1"/>
  <c r="AU89" i="1"/>
  <c r="BA88" i="1"/>
  <c r="AZ88" i="1"/>
  <c r="AY88" i="1"/>
  <c r="AX88" i="1"/>
  <c r="AW88" i="1"/>
  <c r="AV88" i="1"/>
  <c r="AU88" i="1"/>
  <c r="BA87" i="1"/>
  <c r="AZ87" i="1"/>
  <c r="AY87" i="1"/>
  <c r="AX87" i="1"/>
  <c r="AW87" i="1"/>
  <c r="AV87" i="1"/>
  <c r="AU87" i="1"/>
  <c r="BB81" i="1"/>
  <c r="BA81" i="1"/>
  <c r="AZ81" i="1"/>
  <c r="AY81" i="1"/>
  <c r="AX81" i="1"/>
  <c r="AW81" i="1"/>
  <c r="AV81" i="1"/>
  <c r="AU81" i="1"/>
  <c r="BB80" i="1"/>
  <c r="BA80" i="1"/>
  <c r="AZ80" i="1"/>
  <c r="AY80" i="1"/>
  <c r="AX80" i="1"/>
  <c r="AW80" i="1"/>
  <c r="AV80" i="1"/>
  <c r="AU80" i="1"/>
  <c r="BB79" i="1"/>
  <c r="BA79" i="1"/>
  <c r="AZ79" i="1"/>
  <c r="AY79" i="1"/>
  <c r="AX79" i="1"/>
  <c r="AW79" i="1"/>
  <c r="AV79" i="1"/>
  <c r="AU79" i="1"/>
  <c r="BB78" i="1"/>
  <c r="BA78" i="1"/>
  <c r="AZ78" i="1"/>
  <c r="AY78" i="1"/>
  <c r="AX78" i="1"/>
  <c r="AW78" i="1"/>
  <c r="AV78" i="1"/>
  <c r="AU78" i="1"/>
  <c r="BB77" i="1"/>
  <c r="BA77" i="1"/>
  <c r="AZ77" i="1"/>
  <c r="AY77" i="1"/>
  <c r="AX77" i="1"/>
  <c r="AW77" i="1"/>
  <c r="AV77" i="1"/>
  <c r="AU77" i="1"/>
  <c r="BB76" i="1"/>
  <c r="BA76" i="1"/>
  <c r="AZ76" i="1"/>
  <c r="AY76" i="1"/>
  <c r="AX76" i="1"/>
  <c r="AW76" i="1"/>
  <c r="AV76" i="1"/>
  <c r="AU76" i="1"/>
  <c r="BB75" i="1"/>
  <c r="BA75" i="1"/>
  <c r="AZ75" i="1"/>
  <c r="AY75" i="1"/>
  <c r="AX75" i="1"/>
  <c r="AW75" i="1"/>
  <c r="AV75" i="1"/>
  <c r="AU75" i="1"/>
  <c r="BA74" i="1"/>
  <c r="AZ74" i="1"/>
  <c r="AY74" i="1"/>
  <c r="AX74" i="1"/>
  <c r="AW74" i="1"/>
  <c r="AV74" i="1"/>
  <c r="BA73" i="1"/>
  <c r="AZ73" i="1"/>
  <c r="AY73" i="1"/>
  <c r="AX73" i="1"/>
  <c r="AW73" i="1"/>
  <c r="AV73" i="1"/>
  <c r="BA72" i="1"/>
  <c r="AZ72" i="1"/>
  <c r="AY72" i="1"/>
  <c r="AX72" i="1"/>
  <c r="AW72" i="1"/>
  <c r="AV72" i="1"/>
  <c r="BA71" i="1"/>
  <c r="AZ71" i="1"/>
  <c r="AY71" i="1"/>
  <c r="AX71" i="1"/>
  <c r="AW71" i="1"/>
  <c r="AV71" i="1"/>
  <c r="BA70" i="1"/>
  <c r="AZ70" i="1"/>
  <c r="AY70" i="1"/>
  <c r="AX70" i="1"/>
  <c r="AW70" i="1"/>
  <c r="AV70" i="1"/>
  <c r="BA69" i="1"/>
  <c r="AZ69" i="1"/>
  <c r="AY69" i="1"/>
  <c r="AX69" i="1"/>
  <c r="AW69" i="1"/>
  <c r="AV69" i="1"/>
  <c r="BA68" i="1"/>
  <c r="AZ68" i="1"/>
  <c r="AY68" i="1"/>
  <c r="AX68" i="1"/>
  <c r="AW68" i="1"/>
  <c r="AV68" i="1"/>
  <c r="BA67" i="1"/>
  <c r="AZ67" i="1"/>
  <c r="AY67" i="1"/>
  <c r="AX67" i="1"/>
  <c r="AW67" i="1"/>
  <c r="AV67" i="1"/>
  <c r="BA66" i="1"/>
  <c r="AZ66" i="1"/>
  <c r="AY66" i="1"/>
  <c r="AX66" i="1"/>
  <c r="AW66" i="1"/>
  <c r="AV66" i="1"/>
  <c r="BA65" i="1"/>
  <c r="AZ65" i="1"/>
  <c r="AY65" i="1"/>
  <c r="AX65" i="1"/>
  <c r="AW65" i="1"/>
  <c r="AV65" i="1"/>
  <c r="AU65" i="1"/>
  <c r="BA64" i="1"/>
  <c r="AZ64" i="1"/>
  <c r="AY64" i="1"/>
  <c r="AX64" i="1"/>
  <c r="AW64" i="1"/>
  <c r="AV64" i="1"/>
  <c r="AU64" i="1"/>
  <c r="BA63" i="1"/>
  <c r="AZ63" i="1"/>
  <c r="AY63" i="1"/>
  <c r="AX63" i="1"/>
  <c r="AW63" i="1"/>
  <c r="AV63" i="1"/>
  <c r="AU63" i="1"/>
  <c r="BA62" i="1"/>
  <c r="AZ62" i="1"/>
  <c r="AY62" i="1"/>
  <c r="AX62" i="1"/>
  <c r="AW62" i="1"/>
  <c r="AV62" i="1"/>
  <c r="AU62" i="1"/>
  <c r="BA61" i="1"/>
  <c r="AZ61" i="1"/>
  <c r="AY61" i="1"/>
  <c r="AX61" i="1"/>
  <c r="AW61" i="1"/>
  <c r="AV61" i="1"/>
  <c r="AU61" i="1"/>
  <c r="BA60" i="1"/>
  <c r="AZ60" i="1"/>
  <c r="AX60" i="1"/>
  <c r="AV60" i="1"/>
  <c r="BA59" i="1"/>
  <c r="AZ59" i="1"/>
  <c r="AX59" i="1"/>
  <c r="AV59" i="1"/>
  <c r="BA58" i="1"/>
  <c r="AZ58" i="1"/>
  <c r="AX58" i="1"/>
  <c r="AV58" i="1"/>
  <c r="BA57" i="1"/>
  <c r="AZ57" i="1"/>
  <c r="AX57" i="1"/>
  <c r="AV57" i="1"/>
  <c r="BA56" i="1"/>
  <c r="AZ56" i="1"/>
  <c r="AX56" i="1"/>
  <c r="AV56" i="1"/>
  <c r="BB55" i="1"/>
  <c r="BA55" i="1"/>
  <c r="AZ55" i="1"/>
  <c r="AY55" i="1"/>
  <c r="AX55" i="1"/>
  <c r="AW55" i="1"/>
  <c r="AV55" i="1"/>
  <c r="AU55" i="1"/>
  <c r="BB54" i="1"/>
  <c r="BA54" i="1"/>
  <c r="AZ54" i="1"/>
  <c r="AY54" i="1"/>
  <c r="AX54" i="1"/>
  <c r="AW54" i="1"/>
  <c r="AV54" i="1"/>
  <c r="AU54" i="1"/>
  <c r="BB53" i="1"/>
  <c r="BA53" i="1"/>
  <c r="AZ53" i="1"/>
  <c r="AY53" i="1"/>
  <c r="AX53" i="1"/>
  <c r="AW53" i="1"/>
  <c r="AV53" i="1"/>
  <c r="AU53" i="1"/>
  <c r="BA52" i="1"/>
  <c r="AZ52" i="1"/>
  <c r="AY52" i="1"/>
  <c r="AX52" i="1"/>
  <c r="AV52" i="1"/>
  <c r="BA51" i="1"/>
  <c r="AZ51" i="1"/>
  <c r="AY51" i="1"/>
  <c r="AX51" i="1"/>
  <c r="AW51" i="1"/>
  <c r="AV51" i="1"/>
  <c r="AU51" i="1"/>
  <c r="BA50" i="1"/>
  <c r="AZ50" i="1"/>
  <c r="AY50" i="1"/>
  <c r="AX50" i="1"/>
  <c r="AW50" i="1"/>
  <c r="AV50" i="1"/>
  <c r="AU50" i="1"/>
  <c r="BA49" i="1"/>
  <c r="AZ49" i="1"/>
  <c r="AY49" i="1"/>
  <c r="AX49" i="1"/>
  <c r="AW49" i="1"/>
  <c r="AU49" i="1"/>
  <c r="BB46" i="1"/>
  <c r="BA46" i="1"/>
  <c r="AZ46" i="1"/>
  <c r="AY46" i="1"/>
  <c r="AX46" i="1"/>
  <c r="AW46" i="1"/>
  <c r="AV46" i="1"/>
  <c r="BB45" i="1"/>
  <c r="BA45" i="1"/>
  <c r="AZ45" i="1"/>
  <c r="AY45" i="1"/>
  <c r="AX45" i="1"/>
  <c r="AW45" i="1"/>
  <c r="AV45" i="1"/>
  <c r="BB44" i="1"/>
  <c r="BA44" i="1"/>
  <c r="AZ44" i="1"/>
  <c r="AY44" i="1"/>
  <c r="AX44" i="1"/>
  <c r="AW44" i="1"/>
  <c r="AV44" i="1"/>
  <c r="BB43" i="1"/>
  <c r="BA43" i="1"/>
  <c r="AZ43" i="1"/>
  <c r="AY43" i="1"/>
  <c r="AX43" i="1"/>
  <c r="AW43" i="1"/>
  <c r="AV43" i="1"/>
  <c r="BA42" i="1"/>
  <c r="AZ42" i="1"/>
  <c r="AY42" i="1"/>
  <c r="AX42" i="1"/>
  <c r="AW42" i="1"/>
  <c r="AV42" i="1"/>
  <c r="BB41" i="1"/>
  <c r="BA41" i="1"/>
  <c r="AZ41" i="1"/>
  <c r="AY41" i="1"/>
  <c r="AX41" i="1"/>
  <c r="AW41" i="1"/>
  <c r="AV41" i="1"/>
  <c r="AU41" i="1"/>
  <c r="BB40" i="1"/>
  <c r="BA40" i="1"/>
  <c r="AZ40" i="1"/>
  <c r="AY40" i="1"/>
  <c r="AX40" i="1"/>
  <c r="AW40" i="1"/>
  <c r="AV40" i="1"/>
  <c r="AU40" i="1"/>
  <c r="BB39" i="1"/>
  <c r="BA39" i="1"/>
  <c r="AZ39" i="1"/>
  <c r="AY39" i="1"/>
  <c r="AX39" i="1"/>
  <c r="AW39" i="1"/>
  <c r="AV39" i="1"/>
  <c r="AU39" i="1"/>
  <c r="BB24" i="1"/>
  <c r="BA24" i="1"/>
  <c r="AZ24" i="1"/>
  <c r="AY24" i="1"/>
  <c r="AX24" i="1"/>
  <c r="AW24" i="1"/>
  <c r="AV24" i="1"/>
  <c r="AU24" i="1"/>
  <c r="BB23" i="1"/>
  <c r="BA23" i="1"/>
  <c r="AZ23" i="1"/>
  <c r="AY23" i="1"/>
  <c r="AX23" i="1"/>
  <c r="AW23" i="1"/>
  <c r="AV23" i="1"/>
  <c r="AU23" i="1"/>
  <c r="BA22" i="1"/>
  <c r="AZ22" i="1"/>
  <c r="AY22" i="1"/>
  <c r="AX22" i="1"/>
  <c r="AU22" i="1"/>
  <c r="BA21" i="1"/>
  <c r="AZ21" i="1"/>
  <c r="AY21" i="1"/>
  <c r="AX21" i="1"/>
  <c r="AW21" i="1"/>
  <c r="AV21" i="1"/>
  <c r="BA19" i="1"/>
  <c r="AZ19" i="1"/>
  <c r="AY19" i="1"/>
  <c r="AX19" i="1"/>
  <c r="AW19" i="1"/>
  <c r="AV19" i="1"/>
  <c r="AU19" i="1"/>
  <c r="BA18" i="1"/>
  <c r="AZ18" i="1"/>
  <c r="AY18" i="1"/>
  <c r="AX18" i="1"/>
  <c r="AW18" i="1"/>
  <c r="AV18" i="1"/>
  <c r="AU18" i="1"/>
  <c r="BB13" i="1"/>
  <c r="BA13" i="1"/>
  <c r="AZ13" i="1"/>
  <c r="AY13" i="1"/>
  <c r="AX13" i="1"/>
  <c r="AW13" i="1"/>
  <c r="AV13" i="1"/>
  <c r="AU13" i="1"/>
  <c r="BB12" i="1"/>
  <c r="BA12" i="1"/>
  <c r="AZ12" i="1"/>
  <c r="AY12" i="1"/>
  <c r="AX12" i="1"/>
  <c r="AW12" i="1"/>
  <c r="AV12" i="1"/>
  <c r="AU12" i="1"/>
  <c r="BB11" i="1"/>
  <c r="BA11" i="1"/>
  <c r="AZ11" i="1"/>
  <c r="AY11" i="1"/>
  <c r="AX11" i="1"/>
  <c r="AW11" i="1"/>
  <c r="AV11" i="1"/>
  <c r="AU11" i="1"/>
  <c r="BB10" i="1"/>
  <c r="BA10" i="1"/>
  <c r="AZ10" i="1"/>
  <c r="AY10" i="1"/>
  <c r="AX10" i="1"/>
  <c r="AW10" i="1"/>
  <c r="AV10" i="1"/>
  <c r="AU10" i="1"/>
  <c r="BB9" i="1"/>
  <c r="BA9" i="1"/>
  <c r="AZ9" i="1"/>
  <c r="AY9" i="1"/>
  <c r="AX9" i="1"/>
  <c r="AW9" i="1"/>
  <c r="AV9" i="1"/>
  <c r="AU9" i="1"/>
  <c r="BB8" i="1"/>
  <c r="BA8" i="1"/>
  <c r="AZ8" i="1"/>
  <c r="AY8" i="1"/>
  <c r="AX8" i="1"/>
  <c r="AW8" i="1"/>
  <c r="AV8" i="1"/>
  <c r="AU8" i="1"/>
  <c r="BB7" i="1"/>
  <c r="BA7" i="1"/>
  <c r="AZ7" i="1"/>
  <c r="AY7" i="1"/>
  <c r="AX7" i="1"/>
  <c r="AW7" i="1"/>
  <c r="AV7" i="1"/>
  <c r="AU7" i="1"/>
  <c r="BB6" i="1"/>
  <c r="BA6" i="1"/>
  <c r="AZ6" i="1"/>
  <c r="AY6" i="1"/>
  <c r="AX6" i="1"/>
  <c r="AW6" i="1"/>
  <c r="AV6" i="1"/>
  <c r="AU6" i="1"/>
  <c r="BB5" i="1"/>
  <c r="BA5" i="1"/>
  <c r="AZ5" i="1"/>
  <c r="AY5" i="1"/>
  <c r="AX5" i="1"/>
  <c r="AW5" i="1"/>
  <c r="AV5" i="1"/>
  <c r="AU5" i="1"/>
  <c r="BB4" i="1"/>
  <c r="BA4" i="1"/>
  <c r="AZ4" i="1"/>
  <c r="AY4" i="1"/>
  <c r="AX4" i="1"/>
  <c r="AW4" i="1"/>
  <c r="AV4" i="1"/>
  <c r="AU4" i="1"/>
  <c r="BB3" i="1"/>
  <c r="BA3" i="1"/>
  <c r="AZ3" i="1"/>
  <c r="AY3" i="1"/>
  <c r="AX3" i="1"/>
  <c r="AW3" i="1"/>
  <c r="AV3" i="1"/>
  <c r="AU3" i="1"/>
  <c r="AN339" i="1"/>
  <c r="BG339" i="1" s="1"/>
  <c r="AM339" i="1"/>
  <c r="BF339" i="1" s="1"/>
  <c r="AN338" i="1"/>
  <c r="BG338" i="1" s="1"/>
  <c r="AM338" i="1"/>
  <c r="BF338" i="1" s="1"/>
  <c r="AN337" i="1"/>
  <c r="BG337" i="1" s="1"/>
  <c r="AM337" i="1"/>
  <c r="BF337" i="1" s="1"/>
  <c r="AN336" i="1"/>
  <c r="BG336" i="1" s="1"/>
  <c r="AM336" i="1"/>
  <c r="BF336" i="1" s="1"/>
  <c r="AN1040" i="1"/>
  <c r="BG1040" i="1" s="1"/>
  <c r="AM1040" i="1"/>
  <c r="BF1040" i="1" s="1"/>
  <c r="AN1039" i="1"/>
  <c r="BG1039" i="1" s="1"/>
  <c r="AM1039" i="1"/>
  <c r="BF1039" i="1" s="1"/>
  <c r="AN1038" i="1"/>
  <c r="BG1038" i="1" s="1"/>
  <c r="AM1038" i="1"/>
  <c r="BF1038" i="1" s="1"/>
  <c r="AN1037" i="1"/>
  <c r="BG1037" i="1" s="1"/>
  <c r="AM1037" i="1"/>
  <c r="BF1037" i="1" s="1"/>
  <c r="AN1036" i="1"/>
  <c r="BG1036" i="1" s="1"/>
  <c r="AM1036" i="1"/>
  <c r="BF1036" i="1" s="1"/>
  <c r="AN1035" i="1"/>
  <c r="BG1035" i="1" s="1"/>
  <c r="AM1035" i="1"/>
  <c r="BF1035" i="1" s="1"/>
  <c r="AN1034" i="1"/>
  <c r="BG1034" i="1" s="1"/>
  <c r="AM1034" i="1"/>
  <c r="BF1034" i="1" s="1"/>
  <c r="AN1033" i="1"/>
  <c r="BG1033" i="1" s="1"/>
  <c r="AM1033" i="1"/>
  <c r="BF1033" i="1" s="1"/>
  <c r="AN1032" i="1"/>
  <c r="BG1032" i="1" s="1"/>
  <c r="AM1032" i="1"/>
  <c r="BF1032" i="1" s="1"/>
  <c r="AN1031" i="1"/>
  <c r="BG1031" i="1" s="1"/>
  <c r="AM1031" i="1"/>
  <c r="BF1031" i="1" s="1"/>
  <c r="AN1030" i="1"/>
  <c r="BG1030" i="1" s="1"/>
  <c r="AM1030" i="1"/>
  <c r="BF1030" i="1" s="1"/>
  <c r="AN1029" i="1"/>
  <c r="BG1029" i="1" s="1"/>
  <c r="AM1029" i="1"/>
  <c r="BF1029" i="1" s="1"/>
  <c r="AN1028" i="1"/>
  <c r="BG1028" i="1" s="1"/>
  <c r="AM1028" i="1"/>
  <c r="BF1028" i="1" s="1"/>
  <c r="AN1027" i="1"/>
  <c r="BG1027" i="1" s="1"/>
  <c r="AM1027" i="1"/>
  <c r="BF1027" i="1" s="1"/>
  <c r="AN1026" i="1"/>
  <c r="BG1026" i="1" s="1"/>
  <c r="AM1026" i="1"/>
  <c r="BF1026" i="1" s="1"/>
  <c r="AN1025" i="1"/>
  <c r="BG1025" i="1" s="1"/>
  <c r="AM1025" i="1"/>
  <c r="BF1025" i="1" s="1"/>
  <c r="AN1024" i="1"/>
  <c r="BG1024" i="1" s="1"/>
  <c r="AM1024" i="1"/>
  <c r="BF1024" i="1" s="1"/>
  <c r="AN1023" i="1"/>
  <c r="BG1023" i="1" s="1"/>
  <c r="AM1023" i="1"/>
  <c r="BF1023" i="1" s="1"/>
  <c r="AN1022" i="1"/>
  <c r="BG1022" i="1" s="1"/>
  <c r="AM1022" i="1"/>
  <c r="BF1022" i="1" s="1"/>
  <c r="AN1021" i="1"/>
  <c r="BG1021" i="1" s="1"/>
  <c r="AM1021" i="1"/>
  <c r="BF1021" i="1" s="1"/>
  <c r="AN1020" i="1"/>
  <c r="BG1020" i="1" s="1"/>
  <c r="AM1020" i="1"/>
  <c r="BF1020" i="1" s="1"/>
  <c r="AN1019" i="1"/>
  <c r="BG1019" i="1" s="1"/>
  <c r="AM1019" i="1"/>
  <c r="BF1019" i="1" s="1"/>
  <c r="AN1018" i="1"/>
  <c r="BG1018" i="1" s="1"/>
  <c r="AM1018" i="1"/>
  <c r="BF1018" i="1" s="1"/>
  <c r="AN335" i="1"/>
  <c r="BG335" i="1" s="1"/>
  <c r="AM335" i="1"/>
  <c r="BF335" i="1" s="1"/>
  <c r="AN334" i="1"/>
  <c r="BG334" i="1" s="1"/>
  <c r="AM334" i="1"/>
  <c r="BF334" i="1" s="1"/>
  <c r="AN1252" i="1"/>
  <c r="BG1252" i="1" s="1"/>
  <c r="AM1252" i="1"/>
  <c r="BF1252" i="1" s="1"/>
  <c r="AN1251" i="1"/>
  <c r="BG1251" i="1" s="1"/>
  <c r="AM1251" i="1"/>
  <c r="BF1251" i="1" s="1"/>
  <c r="AN1250" i="1"/>
  <c r="BG1250" i="1" s="1"/>
  <c r="AM1250" i="1"/>
  <c r="BF1250" i="1" s="1"/>
  <c r="AN1249" i="1"/>
  <c r="BG1249" i="1" s="1"/>
  <c r="AM1249" i="1"/>
  <c r="BF1249" i="1" s="1"/>
  <c r="AN1248" i="1"/>
  <c r="BG1248" i="1" s="1"/>
  <c r="AM1248" i="1"/>
  <c r="BF1248" i="1" s="1"/>
  <c r="AN1247" i="1"/>
  <c r="BG1247" i="1" s="1"/>
  <c r="AM1247" i="1"/>
  <c r="BF1247" i="1" s="1"/>
  <c r="AN1246" i="1"/>
  <c r="BG1246" i="1" s="1"/>
  <c r="AM1246" i="1"/>
  <c r="BF1246" i="1" s="1"/>
  <c r="AN1245" i="1"/>
  <c r="BG1245" i="1" s="1"/>
  <c r="AM1245" i="1"/>
  <c r="BF1245" i="1" s="1"/>
  <c r="AN212" i="1"/>
  <c r="BG212" i="1" s="1"/>
  <c r="AM212" i="1"/>
  <c r="BF212" i="1" s="1"/>
  <c r="AN211" i="1"/>
  <c r="BG211" i="1" s="1"/>
  <c r="AM211" i="1"/>
  <c r="BF211" i="1" s="1"/>
  <c r="AN210" i="1"/>
  <c r="BG210" i="1" s="1"/>
  <c r="AM210" i="1"/>
  <c r="BF210" i="1" s="1"/>
  <c r="AN209" i="1"/>
  <c r="BG209" i="1" s="1"/>
  <c r="AM209" i="1"/>
  <c r="BF209" i="1" s="1"/>
  <c r="AN208" i="1"/>
  <c r="BG208" i="1" s="1"/>
  <c r="AM208" i="1"/>
  <c r="BF208" i="1" s="1"/>
  <c r="AN303" i="1"/>
  <c r="BG303" i="1" s="1"/>
  <c r="AM303" i="1"/>
  <c r="BF303" i="1" s="1"/>
  <c r="AN302" i="1"/>
  <c r="BG302" i="1" s="1"/>
  <c r="AM302" i="1"/>
  <c r="BF302" i="1" s="1"/>
  <c r="AN465" i="1"/>
  <c r="BG465" i="1" s="1"/>
  <c r="AM465" i="1"/>
  <c r="BF465" i="1" s="1"/>
  <c r="AN464" i="1"/>
  <c r="BG464" i="1" s="1"/>
  <c r="AM464" i="1"/>
  <c r="BF464" i="1" s="1"/>
  <c r="AN463" i="1"/>
  <c r="BG463" i="1" s="1"/>
  <c r="AM463" i="1"/>
  <c r="BF463" i="1" s="1"/>
  <c r="AN462" i="1"/>
  <c r="BG462" i="1" s="1"/>
  <c r="AM462" i="1"/>
  <c r="BF462" i="1" s="1"/>
  <c r="AN461" i="1"/>
  <c r="BG461" i="1" s="1"/>
  <c r="AM461" i="1"/>
  <c r="BF461" i="1" s="1"/>
  <c r="AN460" i="1"/>
  <c r="BG460" i="1" s="1"/>
  <c r="AM460" i="1"/>
  <c r="BF460" i="1" s="1"/>
  <c r="AN626" i="1"/>
  <c r="BG626" i="1" s="1"/>
  <c r="AM626" i="1"/>
  <c r="BF626" i="1" s="1"/>
  <c r="AN625" i="1"/>
  <c r="BG625" i="1" s="1"/>
  <c r="AM625" i="1"/>
  <c r="BF625" i="1" s="1"/>
  <c r="AN84" i="1"/>
  <c r="BG84" i="1" s="1"/>
  <c r="AM84" i="1"/>
  <c r="BF84" i="1" s="1"/>
  <c r="AN83" i="1"/>
  <c r="BG83" i="1" s="1"/>
  <c r="AM83" i="1"/>
  <c r="BF83" i="1" s="1"/>
  <c r="AN82" i="1"/>
  <c r="BG82" i="1" s="1"/>
  <c r="AM82" i="1"/>
  <c r="BF82" i="1" s="1"/>
  <c r="AN14" i="1"/>
  <c r="BG14" i="1" s="1"/>
  <c r="AM14" i="1"/>
  <c r="BF14" i="1" s="1"/>
  <c r="AN624" i="1"/>
  <c r="BG624" i="1" s="1"/>
  <c r="AM624" i="1"/>
  <c r="BF624" i="1" s="1"/>
  <c r="AN605" i="1"/>
  <c r="BG605" i="1" s="1"/>
  <c r="AM605" i="1"/>
  <c r="BF605" i="1" s="1"/>
  <c r="AN604" i="1"/>
  <c r="BG604" i="1" s="1"/>
  <c r="AM604" i="1"/>
  <c r="BF604" i="1" s="1"/>
  <c r="AN603" i="1"/>
  <c r="BG603" i="1" s="1"/>
  <c r="AM603" i="1"/>
  <c r="BF603" i="1" s="1"/>
  <c r="AN602" i="1"/>
  <c r="BG602" i="1" s="1"/>
  <c r="AM602" i="1"/>
  <c r="BF602" i="1" s="1"/>
  <c r="AN888" i="1"/>
  <c r="BG888" i="1" s="1"/>
  <c r="AM888" i="1"/>
  <c r="BF888" i="1" s="1"/>
  <c r="AN887" i="1"/>
  <c r="BG887" i="1" s="1"/>
  <c r="AM887" i="1"/>
  <c r="BF887" i="1" s="1"/>
  <c r="AN886" i="1"/>
  <c r="BG886" i="1" s="1"/>
  <c r="AM886" i="1"/>
  <c r="BF886" i="1" s="1"/>
  <c r="AN885" i="1"/>
  <c r="BG885" i="1" s="1"/>
  <c r="AM885" i="1"/>
  <c r="BF885" i="1" s="1"/>
  <c r="AN674" i="1"/>
  <c r="BG674" i="1" s="1"/>
  <c r="AM674" i="1"/>
  <c r="BF674" i="1" s="1"/>
  <c r="AN450" i="1"/>
  <c r="BG450" i="1" s="1"/>
  <c r="AM450" i="1"/>
  <c r="BF450" i="1" s="1"/>
  <c r="AN1220" i="1"/>
  <c r="BG1220" i="1" s="1"/>
  <c r="AM1220" i="1"/>
  <c r="BF1220" i="1" s="1"/>
  <c r="AN1219" i="1"/>
  <c r="BG1219" i="1" s="1"/>
  <c r="AM1219" i="1"/>
  <c r="BF1219" i="1" s="1"/>
  <c r="BG775" i="1"/>
  <c r="AM775" i="1"/>
  <c r="BF775" i="1" s="1"/>
  <c r="AN304" i="1"/>
  <c r="BG304" i="1" s="1"/>
  <c r="AM304" i="1"/>
  <c r="BF304" i="1" s="1"/>
  <c r="AN713" i="1"/>
  <c r="BG713" i="1" s="1"/>
  <c r="AM713" i="1"/>
  <c r="BF713" i="1" s="1"/>
  <c r="AN306" i="1"/>
  <c r="BG306" i="1" s="1"/>
  <c r="AM306" i="1"/>
  <c r="BF306" i="1" s="1"/>
  <c r="AN305" i="1"/>
  <c r="BG305" i="1" s="1"/>
  <c r="AM305" i="1"/>
  <c r="BF305" i="1" s="1"/>
  <c r="AN333" i="1"/>
  <c r="BG333" i="1" s="1"/>
  <c r="AM333" i="1"/>
  <c r="BF333" i="1" s="1"/>
  <c r="AN792" i="1"/>
  <c r="BG792" i="1" s="1"/>
  <c r="AM792" i="1"/>
  <c r="BF792" i="1" s="1"/>
  <c r="AN791" i="1"/>
  <c r="BG791" i="1" s="1"/>
  <c r="AM791" i="1"/>
  <c r="BF791" i="1" s="1"/>
  <c r="AN790" i="1"/>
  <c r="BG790" i="1" s="1"/>
  <c r="AM790" i="1"/>
  <c r="BF790" i="1" s="1"/>
  <c r="AN789" i="1"/>
  <c r="BG789" i="1" s="1"/>
  <c r="AM789" i="1"/>
  <c r="BF789" i="1" s="1"/>
  <c r="AN788" i="1"/>
  <c r="BG788" i="1" s="1"/>
  <c r="AM788" i="1"/>
  <c r="BF788" i="1" s="1"/>
  <c r="AN787" i="1"/>
  <c r="BG787" i="1" s="1"/>
  <c r="AM787" i="1"/>
  <c r="BF787" i="1" s="1"/>
  <c r="AN786" i="1"/>
  <c r="BG786" i="1" s="1"/>
  <c r="AM786" i="1"/>
  <c r="BF786" i="1" s="1"/>
  <c r="AN785" i="1"/>
  <c r="BG785" i="1" s="1"/>
  <c r="AM785" i="1"/>
  <c r="BF785" i="1" s="1"/>
  <c r="AN784" i="1"/>
  <c r="BG784" i="1" s="1"/>
  <c r="AM784" i="1"/>
  <c r="BF784" i="1" s="1"/>
  <c r="AN783" i="1"/>
  <c r="BG783" i="1" s="1"/>
  <c r="AM783" i="1"/>
  <c r="BF783" i="1" s="1"/>
  <c r="AN782" i="1"/>
  <c r="BG782" i="1" s="1"/>
  <c r="AM782" i="1"/>
  <c r="BF782" i="1" s="1"/>
  <c r="AN781" i="1"/>
  <c r="BG781" i="1" s="1"/>
  <c r="AM781" i="1"/>
  <c r="BF781" i="1" s="1"/>
  <c r="AN980" i="1"/>
  <c r="BG980" i="1" s="1"/>
  <c r="AM980" i="1"/>
  <c r="BF980" i="1" s="1"/>
  <c r="AN979" i="1"/>
  <c r="BG979" i="1" s="1"/>
  <c r="AM979" i="1"/>
  <c r="BF979" i="1" s="1"/>
  <c r="AN978" i="1"/>
  <c r="BG978" i="1" s="1"/>
  <c r="AM978" i="1"/>
  <c r="BF978" i="1" s="1"/>
  <c r="AN977" i="1"/>
  <c r="BG977" i="1" s="1"/>
  <c r="AM977" i="1"/>
  <c r="BF977" i="1" s="1"/>
  <c r="AN767" i="1"/>
  <c r="BG767" i="1" s="1"/>
  <c r="AM767" i="1"/>
  <c r="BF767" i="1" s="1"/>
  <c r="AN766" i="1"/>
  <c r="BG766" i="1" s="1"/>
  <c r="AM766" i="1"/>
  <c r="BF766" i="1" s="1"/>
  <c r="BG774" i="1"/>
  <c r="AM774" i="1"/>
  <c r="BF774" i="1" s="1"/>
  <c r="AN712" i="1"/>
  <c r="BG712" i="1" s="1"/>
  <c r="AM712" i="1"/>
  <c r="BF712" i="1" s="1"/>
  <c r="AN711" i="1"/>
  <c r="BG711" i="1" s="1"/>
  <c r="AM711" i="1"/>
  <c r="BF711" i="1" s="1"/>
  <c r="AN710" i="1"/>
  <c r="BG710" i="1" s="1"/>
  <c r="AM710" i="1"/>
  <c r="BF710" i="1" s="1"/>
  <c r="AN709" i="1"/>
  <c r="BG709" i="1" s="1"/>
  <c r="AM709" i="1"/>
  <c r="BF709" i="1" s="1"/>
  <c r="AN708" i="1"/>
  <c r="BG708" i="1" s="1"/>
  <c r="AM708" i="1"/>
  <c r="BF708" i="1" s="1"/>
  <c r="AN707" i="1"/>
  <c r="BG707" i="1" s="1"/>
  <c r="AM707" i="1"/>
  <c r="BF707" i="1" s="1"/>
  <c r="AN706" i="1"/>
  <c r="BG706" i="1" s="1"/>
  <c r="AM706" i="1"/>
  <c r="BF706" i="1" s="1"/>
  <c r="AN705" i="1"/>
  <c r="BG705" i="1" s="1"/>
  <c r="AM705" i="1"/>
  <c r="BF705" i="1" s="1"/>
  <c r="AN704" i="1"/>
  <c r="BG704" i="1" s="1"/>
  <c r="AM704" i="1"/>
  <c r="BF704" i="1" s="1"/>
  <c r="AN814" i="1"/>
  <c r="BG814" i="1" s="1"/>
  <c r="AM814" i="1"/>
  <c r="BF814" i="1" s="1"/>
  <c r="AN34" i="1"/>
  <c r="BG34" i="1" s="1"/>
  <c r="AM34" i="1"/>
  <c r="BF34" i="1" s="1"/>
  <c r="AN33" i="1"/>
  <c r="BG33" i="1" s="1"/>
  <c r="AM33" i="1"/>
  <c r="BF33" i="1" s="1"/>
  <c r="AN32" i="1"/>
  <c r="BG32" i="1" s="1"/>
  <c r="AM32" i="1"/>
  <c r="BF32" i="1" s="1"/>
  <c r="AN31" i="1"/>
  <c r="BG31" i="1" s="1"/>
  <c r="AM31" i="1"/>
  <c r="BF31" i="1" s="1"/>
  <c r="AN30" i="1"/>
  <c r="BG30" i="1" s="1"/>
  <c r="AM30" i="1"/>
  <c r="BF30" i="1" s="1"/>
  <c r="AN29" i="1"/>
  <c r="BG29" i="1" s="1"/>
  <c r="AM29" i="1"/>
  <c r="BF29" i="1" s="1"/>
  <c r="AN28" i="1"/>
  <c r="BG28" i="1" s="1"/>
  <c r="AM28" i="1"/>
  <c r="BF28" i="1" s="1"/>
  <c r="AN27" i="1"/>
  <c r="BG27" i="1" s="1"/>
  <c r="AM27" i="1"/>
  <c r="BF27" i="1" s="1"/>
  <c r="AN26" i="1"/>
  <c r="BG26" i="1" s="1"/>
  <c r="AM26" i="1"/>
  <c r="BF26" i="1" s="1"/>
  <c r="AN25" i="1"/>
  <c r="BG25" i="1" s="1"/>
  <c r="AM25" i="1"/>
  <c r="BF25" i="1" s="1"/>
  <c r="AN1301" i="1"/>
  <c r="BG1301" i="1" s="1"/>
  <c r="AM1301" i="1"/>
  <c r="BF1301" i="1" s="1"/>
  <c r="AN1300" i="1"/>
  <c r="BG1300" i="1" s="1"/>
  <c r="AM1300" i="1"/>
  <c r="BF1300" i="1" s="1"/>
  <c r="AN1299" i="1"/>
  <c r="BG1299" i="1" s="1"/>
  <c r="AM1299" i="1"/>
  <c r="BF1299" i="1" s="1"/>
  <c r="AN1298" i="1"/>
  <c r="BG1298" i="1" s="1"/>
  <c r="AM1298" i="1"/>
  <c r="BF1298" i="1" s="1"/>
  <c r="AN1297" i="1"/>
  <c r="BG1297" i="1" s="1"/>
  <c r="AM1297" i="1"/>
  <c r="BF1297" i="1" s="1"/>
  <c r="AN1296" i="1"/>
  <c r="BG1296" i="1" s="1"/>
  <c r="AM1296" i="1"/>
  <c r="BF1296" i="1" s="1"/>
  <c r="AN1295" i="1"/>
  <c r="BG1295" i="1" s="1"/>
  <c r="AM1295" i="1"/>
  <c r="BF1295" i="1" s="1"/>
  <c r="AN1294" i="1"/>
  <c r="BG1294" i="1" s="1"/>
  <c r="AM1294" i="1"/>
  <c r="BF1294" i="1" s="1"/>
  <c r="AN1293" i="1"/>
  <c r="BG1293" i="1" s="1"/>
  <c r="AM1293" i="1"/>
  <c r="BF1293" i="1" s="1"/>
  <c r="AN963" i="1"/>
  <c r="BG963" i="1" s="1"/>
  <c r="AM963" i="1"/>
  <c r="BF963" i="1" s="1"/>
  <c r="AN962" i="1"/>
  <c r="BG962" i="1" s="1"/>
  <c r="AM962" i="1"/>
  <c r="BF962" i="1" s="1"/>
  <c r="AN961" i="1"/>
  <c r="BG961" i="1" s="1"/>
  <c r="AM961" i="1"/>
  <c r="BF961" i="1" s="1"/>
  <c r="AN960" i="1"/>
  <c r="BG960" i="1" s="1"/>
  <c r="AM960" i="1"/>
  <c r="BF960" i="1" s="1"/>
  <c r="AN959" i="1"/>
  <c r="BG959" i="1" s="1"/>
  <c r="AM959" i="1"/>
  <c r="BF959" i="1" s="1"/>
  <c r="AN958" i="1"/>
  <c r="BG958" i="1" s="1"/>
  <c r="AM958" i="1"/>
  <c r="BF958" i="1" s="1"/>
  <c r="AN1244" i="1"/>
  <c r="BG1244" i="1" s="1"/>
  <c r="AM1244" i="1"/>
  <c r="BF1244" i="1" s="1"/>
  <c r="AN1243" i="1"/>
  <c r="BG1243" i="1" s="1"/>
  <c r="AM1243" i="1"/>
  <c r="BF1243" i="1" s="1"/>
  <c r="AN1225" i="1"/>
  <c r="BG1225" i="1" s="1"/>
  <c r="AM1225" i="1"/>
  <c r="BF1225" i="1" s="1"/>
  <c r="AN1224" i="1"/>
  <c r="BG1224" i="1" s="1"/>
  <c r="AM1224" i="1"/>
  <c r="BF1224" i="1" s="1"/>
  <c r="AN1223" i="1"/>
  <c r="BG1223" i="1" s="1"/>
  <c r="AM1223" i="1"/>
  <c r="BF1223" i="1" s="1"/>
  <c r="AN1222" i="1"/>
  <c r="BG1222" i="1" s="1"/>
  <c r="AM1222" i="1"/>
  <c r="BF1222" i="1" s="1"/>
  <c r="AN1221" i="1"/>
  <c r="BG1221" i="1" s="1"/>
  <c r="AM1221" i="1"/>
  <c r="BF1221" i="1" s="1"/>
  <c r="AN1218" i="1"/>
  <c r="BG1218" i="1" s="1"/>
  <c r="AM1218" i="1"/>
  <c r="BF1218" i="1" s="1"/>
  <c r="AN1217" i="1"/>
  <c r="BG1217" i="1" s="1"/>
  <c r="AM1217" i="1"/>
  <c r="BF1217" i="1" s="1"/>
  <c r="AN1216" i="1"/>
  <c r="BG1216" i="1" s="1"/>
  <c r="AM1216" i="1"/>
  <c r="BF1216" i="1" s="1"/>
  <c r="AN1215" i="1"/>
  <c r="BG1215" i="1" s="1"/>
  <c r="AM1215" i="1"/>
  <c r="BF1215" i="1" s="1"/>
  <c r="AN1214" i="1"/>
  <c r="BG1214" i="1" s="1"/>
  <c r="AM1214" i="1"/>
  <c r="BF1214" i="1" s="1"/>
  <c r="AN1213" i="1"/>
  <c r="BG1213" i="1" s="1"/>
  <c r="AM1213" i="1"/>
  <c r="BF1213" i="1" s="1"/>
  <c r="AN1212" i="1"/>
  <c r="BG1212" i="1" s="1"/>
  <c r="AM1212" i="1"/>
  <c r="BF1212" i="1" s="1"/>
  <c r="AN1202" i="1"/>
  <c r="BG1202" i="1" s="1"/>
  <c r="AM1202" i="1"/>
  <c r="BF1202" i="1" s="1"/>
  <c r="AN1201" i="1"/>
  <c r="BG1201" i="1" s="1"/>
  <c r="AM1201" i="1"/>
  <c r="BF1201" i="1" s="1"/>
  <c r="AN1200" i="1"/>
  <c r="BG1200" i="1" s="1"/>
  <c r="AM1200" i="1"/>
  <c r="BF1200" i="1" s="1"/>
  <c r="AN1199" i="1"/>
  <c r="BG1199" i="1" s="1"/>
  <c r="AM1199" i="1"/>
  <c r="BF1199" i="1" s="1"/>
  <c r="AN1198" i="1"/>
  <c r="BG1198" i="1" s="1"/>
  <c r="AM1198" i="1"/>
  <c r="BF1198" i="1" s="1"/>
  <c r="AN1197" i="1"/>
  <c r="BG1197" i="1" s="1"/>
  <c r="AM1197" i="1"/>
  <c r="BF1197" i="1" s="1"/>
  <c r="AN1196" i="1"/>
  <c r="BG1196" i="1" s="1"/>
  <c r="AM1196" i="1"/>
  <c r="BF1196" i="1" s="1"/>
  <c r="AN1195" i="1"/>
  <c r="BG1195" i="1" s="1"/>
  <c r="AM1195" i="1"/>
  <c r="BF1195" i="1" s="1"/>
  <c r="AN1194" i="1"/>
  <c r="BG1194" i="1" s="1"/>
  <c r="AM1194" i="1"/>
  <c r="BF1194" i="1" s="1"/>
  <c r="AN1193" i="1"/>
  <c r="BG1193" i="1" s="1"/>
  <c r="AM1193" i="1"/>
  <c r="BF1193" i="1" s="1"/>
  <c r="AN1192" i="1"/>
  <c r="BG1192" i="1" s="1"/>
  <c r="AM1192" i="1"/>
  <c r="BF1192" i="1" s="1"/>
  <c r="AN1166" i="1"/>
  <c r="BG1166" i="1" s="1"/>
  <c r="AM1166" i="1"/>
  <c r="BF1166" i="1" s="1"/>
  <c r="AN1165" i="1"/>
  <c r="BG1165" i="1" s="1"/>
  <c r="AM1165" i="1"/>
  <c r="BF1165" i="1" s="1"/>
  <c r="AN1164" i="1"/>
  <c r="BG1164" i="1" s="1"/>
  <c r="AM1164" i="1"/>
  <c r="BF1164" i="1" s="1"/>
  <c r="AN1150" i="1"/>
  <c r="BG1150" i="1" s="1"/>
  <c r="AM1150" i="1"/>
  <c r="BF1150" i="1" s="1"/>
  <c r="AN1149" i="1"/>
  <c r="BG1149" i="1" s="1"/>
  <c r="AM1149" i="1"/>
  <c r="BF1149" i="1" s="1"/>
  <c r="AN1148" i="1"/>
  <c r="BG1148" i="1" s="1"/>
  <c r="AM1148" i="1"/>
  <c r="BF1148" i="1" s="1"/>
  <c r="AN1147" i="1"/>
  <c r="BG1147" i="1" s="1"/>
  <c r="AM1147" i="1"/>
  <c r="BF1147" i="1" s="1"/>
  <c r="AN1146" i="1"/>
  <c r="BG1146" i="1" s="1"/>
  <c r="AM1146" i="1"/>
  <c r="BF1146" i="1" s="1"/>
  <c r="AN1145" i="1"/>
  <c r="BG1145" i="1" s="1"/>
  <c r="AM1145" i="1"/>
  <c r="BF1145" i="1" s="1"/>
  <c r="AN1144" i="1"/>
  <c r="BG1144" i="1" s="1"/>
  <c r="AM1144" i="1"/>
  <c r="BF1144" i="1" s="1"/>
  <c r="AN1143" i="1"/>
  <c r="BG1143" i="1" s="1"/>
  <c r="AM1143" i="1"/>
  <c r="BF1143" i="1" s="1"/>
  <c r="AN1142" i="1"/>
  <c r="BG1142" i="1" s="1"/>
  <c r="AM1142" i="1"/>
  <c r="BF1142" i="1" s="1"/>
  <c r="AN1141" i="1"/>
  <c r="BG1141" i="1" s="1"/>
  <c r="AM1141" i="1"/>
  <c r="BF1141" i="1" s="1"/>
  <c r="AN1140" i="1"/>
  <c r="BG1140" i="1" s="1"/>
  <c r="AM1140" i="1"/>
  <c r="BF1140" i="1" s="1"/>
  <c r="AN1139" i="1"/>
  <c r="BG1139" i="1" s="1"/>
  <c r="AM1139" i="1"/>
  <c r="BF1139" i="1" s="1"/>
  <c r="AN1138" i="1"/>
  <c r="BG1138" i="1" s="1"/>
  <c r="AM1138" i="1"/>
  <c r="BF1138" i="1" s="1"/>
  <c r="AN1137" i="1"/>
  <c r="BG1137" i="1" s="1"/>
  <c r="AM1137" i="1"/>
  <c r="BF1137" i="1" s="1"/>
  <c r="AN1136" i="1"/>
  <c r="BG1136" i="1" s="1"/>
  <c r="AM1136" i="1"/>
  <c r="BF1136" i="1" s="1"/>
  <c r="AN1135" i="1"/>
  <c r="BG1135" i="1" s="1"/>
  <c r="AM1135" i="1"/>
  <c r="BF1135" i="1" s="1"/>
  <c r="AN1134" i="1"/>
  <c r="BG1134" i="1" s="1"/>
  <c r="AM1134" i="1"/>
  <c r="BF1134" i="1" s="1"/>
  <c r="AN1133" i="1"/>
  <c r="BG1133" i="1" s="1"/>
  <c r="AM1133" i="1"/>
  <c r="BF1133" i="1" s="1"/>
  <c r="AN1132" i="1"/>
  <c r="BG1132" i="1" s="1"/>
  <c r="AM1132" i="1"/>
  <c r="BF1132" i="1" s="1"/>
  <c r="AN1131" i="1"/>
  <c r="BG1131" i="1" s="1"/>
  <c r="AM1131" i="1"/>
  <c r="BF1131" i="1" s="1"/>
  <c r="AN1130" i="1"/>
  <c r="BG1130" i="1" s="1"/>
  <c r="AM1130" i="1"/>
  <c r="BF1130" i="1" s="1"/>
  <c r="AN1129" i="1"/>
  <c r="BG1129" i="1" s="1"/>
  <c r="AM1129" i="1"/>
  <c r="BF1129" i="1" s="1"/>
  <c r="AN1128" i="1"/>
  <c r="BG1128" i="1" s="1"/>
  <c r="AM1128" i="1"/>
  <c r="BF1128" i="1" s="1"/>
  <c r="AN1127" i="1"/>
  <c r="BG1127" i="1" s="1"/>
  <c r="AM1127" i="1"/>
  <c r="BF1127" i="1" s="1"/>
  <c r="AN1126" i="1"/>
  <c r="BG1126" i="1" s="1"/>
  <c r="AM1126" i="1"/>
  <c r="BF1126" i="1" s="1"/>
  <c r="AN1125" i="1"/>
  <c r="BG1125" i="1" s="1"/>
  <c r="AM1125" i="1"/>
  <c r="BF1125" i="1" s="1"/>
  <c r="AN1124" i="1"/>
  <c r="BG1124" i="1" s="1"/>
  <c r="AM1124" i="1"/>
  <c r="BF1124" i="1" s="1"/>
  <c r="AN1123" i="1"/>
  <c r="BG1123" i="1" s="1"/>
  <c r="AM1123" i="1"/>
  <c r="BF1123" i="1" s="1"/>
  <c r="AN1122" i="1"/>
  <c r="BG1122" i="1" s="1"/>
  <c r="AM1122" i="1"/>
  <c r="BF1122" i="1" s="1"/>
  <c r="AN1121" i="1"/>
  <c r="BG1121" i="1" s="1"/>
  <c r="AM1121" i="1"/>
  <c r="BF1121" i="1" s="1"/>
  <c r="AN1120" i="1"/>
  <c r="BG1120" i="1" s="1"/>
  <c r="AM1120" i="1"/>
  <c r="BF1120" i="1" s="1"/>
  <c r="AN1119" i="1"/>
  <c r="BG1119" i="1" s="1"/>
  <c r="AM1119" i="1"/>
  <c r="BF1119" i="1" s="1"/>
  <c r="AN1118" i="1"/>
  <c r="BG1118" i="1" s="1"/>
  <c r="AM1118" i="1"/>
  <c r="BF1118" i="1" s="1"/>
  <c r="AN1117" i="1"/>
  <c r="BG1117" i="1" s="1"/>
  <c r="AM1117" i="1"/>
  <c r="BF1117" i="1" s="1"/>
  <c r="AN1116" i="1"/>
  <c r="BG1116" i="1" s="1"/>
  <c r="AM1116" i="1"/>
  <c r="BF1116" i="1" s="1"/>
  <c r="AN1115" i="1"/>
  <c r="BG1115" i="1" s="1"/>
  <c r="AM1115" i="1"/>
  <c r="BF1115" i="1" s="1"/>
  <c r="AN1114" i="1"/>
  <c r="BG1114" i="1" s="1"/>
  <c r="AM1114" i="1"/>
  <c r="BF1114" i="1" s="1"/>
  <c r="AN1113" i="1"/>
  <c r="BG1113" i="1" s="1"/>
  <c r="AM1113" i="1"/>
  <c r="BF1113" i="1" s="1"/>
  <c r="AN1112" i="1"/>
  <c r="BG1112" i="1" s="1"/>
  <c r="AM1112" i="1"/>
  <c r="BF1112" i="1" s="1"/>
  <c r="AN1111" i="1"/>
  <c r="BG1111" i="1" s="1"/>
  <c r="AM1111" i="1"/>
  <c r="BF1111" i="1" s="1"/>
  <c r="AN1110" i="1"/>
  <c r="BG1110" i="1" s="1"/>
  <c r="AM1110" i="1"/>
  <c r="BF1110" i="1" s="1"/>
  <c r="AN1109" i="1"/>
  <c r="BG1109" i="1" s="1"/>
  <c r="AM1109" i="1"/>
  <c r="BF1109" i="1" s="1"/>
  <c r="AN1108" i="1"/>
  <c r="BG1108" i="1" s="1"/>
  <c r="AM1108" i="1"/>
  <c r="BF1108" i="1" s="1"/>
  <c r="AN1107" i="1"/>
  <c r="BG1107" i="1" s="1"/>
  <c r="AM1107" i="1"/>
  <c r="BF1107" i="1" s="1"/>
  <c r="AN1106" i="1"/>
  <c r="BG1106" i="1" s="1"/>
  <c r="AM1106" i="1"/>
  <c r="BF1106" i="1" s="1"/>
  <c r="AN1105" i="1"/>
  <c r="BG1105" i="1" s="1"/>
  <c r="AM1105" i="1"/>
  <c r="BF1105" i="1" s="1"/>
  <c r="AN1104" i="1"/>
  <c r="BG1104" i="1" s="1"/>
  <c r="AM1104" i="1"/>
  <c r="BF1104" i="1" s="1"/>
  <c r="AN1103" i="1"/>
  <c r="BG1103" i="1" s="1"/>
  <c r="AM1103" i="1"/>
  <c r="BF1103" i="1" s="1"/>
  <c r="AN1102" i="1"/>
  <c r="BG1102" i="1" s="1"/>
  <c r="AM1102" i="1"/>
  <c r="BF1102" i="1" s="1"/>
  <c r="AN1101" i="1"/>
  <c r="BG1101" i="1" s="1"/>
  <c r="AM1101" i="1"/>
  <c r="BF1101" i="1" s="1"/>
  <c r="AN1100" i="1"/>
  <c r="BG1100" i="1" s="1"/>
  <c r="AM1100" i="1"/>
  <c r="BF1100" i="1" s="1"/>
  <c r="AN1059" i="1"/>
  <c r="BG1059" i="1" s="1"/>
  <c r="AM1059" i="1"/>
  <c r="BF1059" i="1" s="1"/>
  <c r="AN1058" i="1"/>
  <c r="BG1058" i="1" s="1"/>
  <c r="AM1058" i="1"/>
  <c r="BF1058" i="1" s="1"/>
  <c r="AN1057" i="1"/>
  <c r="BG1057" i="1" s="1"/>
  <c r="AM1057" i="1"/>
  <c r="BF1057" i="1" s="1"/>
  <c r="AN1056" i="1"/>
  <c r="BG1056" i="1" s="1"/>
  <c r="AM1056" i="1"/>
  <c r="BF1056" i="1" s="1"/>
  <c r="AN1055" i="1"/>
  <c r="BG1055" i="1" s="1"/>
  <c r="AM1055" i="1"/>
  <c r="BF1055" i="1" s="1"/>
  <c r="AN1054" i="1"/>
  <c r="BG1054" i="1" s="1"/>
  <c r="AM1054" i="1"/>
  <c r="BF1054" i="1" s="1"/>
  <c r="AN1053" i="1"/>
  <c r="BG1053" i="1" s="1"/>
  <c r="AM1053" i="1"/>
  <c r="BF1053" i="1" s="1"/>
  <c r="AN1052" i="1"/>
  <c r="BG1052" i="1" s="1"/>
  <c r="AM1052" i="1"/>
  <c r="BF1052" i="1" s="1"/>
  <c r="AN1051" i="1"/>
  <c r="BG1051" i="1" s="1"/>
  <c r="AM1051" i="1"/>
  <c r="BF1051" i="1" s="1"/>
  <c r="AN1050" i="1"/>
  <c r="BG1050" i="1" s="1"/>
  <c r="AM1050" i="1"/>
  <c r="BF1050" i="1" s="1"/>
  <c r="AN1049" i="1"/>
  <c r="BG1049" i="1" s="1"/>
  <c r="AM1049" i="1"/>
  <c r="BF1049" i="1" s="1"/>
  <c r="AN1048" i="1"/>
  <c r="BG1048" i="1" s="1"/>
  <c r="AM1048" i="1"/>
  <c r="BF1048" i="1" s="1"/>
  <c r="AN1047" i="1"/>
  <c r="BG1047" i="1" s="1"/>
  <c r="AM1047" i="1"/>
  <c r="BF1047" i="1" s="1"/>
  <c r="AN1046" i="1"/>
  <c r="BG1046" i="1" s="1"/>
  <c r="AM1046" i="1"/>
  <c r="BF1046" i="1" s="1"/>
  <c r="AN1045" i="1"/>
  <c r="BG1045" i="1" s="1"/>
  <c r="AM1045" i="1"/>
  <c r="BF1045" i="1" s="1"/>
  <c r="AN1044" i="1"/>
  <c r="BG1044" i="1" s="1"/>
  <c r="AM1044" i="1"/>
  <c r="BF1044" i="1" s="1"/>
  <c r="AN1043" i="1"/>
  <c r="BG1043" i="1" s="1"/>
  <c r="AM1043" i="1"/>
  <c r="BF1043" i="1" s="1"/>
  <c r="AN1042" i="1"/>
  <c r="BG1042" i="1" s="1"/>
  <c r="AM1042" i="1"/>
  <c r="BF1042" i="1" s="1"/>
  <c r="AN1041" i="1"/>
  <c r="BG1041" i="1" s="1"/>
  <c r="AM1041" i="1"/>
  <c r="BF1041" i="1" s="1"/>
  <c r="AN1017" i="1"/>
  <c r="BG1017" i="1" s="1"/>
  <c r="AM1017" i="1"/>
  <c r="BF1017" i="1" s="1"/>
  <c r="AN1016" i="1"/>
  <c r="BG1016" i="1" s="1"/>
  <c r="AM1016" i="1"/>
  <c r="BF1016" i="1" s="1"/>
  <c r="AN1015" i="1"/>
  <c r="BG1015" i="1" s="1"/>
  <c r="AM1015" i="1"/>
  <c r="BF1015" i="1" s="1"/>
  <c r="AN1014" i="1"/>
  <c r="BG1014" i="1" s="1"/>
  <c r="AM1014" i="1"/>
  <c r="BF1014" i="1" s="1"/>
  <c r="AN1013" i="1"/>
  <c r="BG1013" i="1" s="1"/>
  <c r="AM1013" i="1"/>
  <c r="BF1013" i="1" s="1"/>
  <c r="AN1012" i="1"/>
  <c r="BG1012" i="1" s="1"/>
  <c r="AM1012" i="1"/>
  <c r="BF1012" i="1" s="1"/>
  <c r="AN1011" i="1"/>
  <c r="BG1011" i="1" s="1"/>
  <c r="AM1011" i="1"/>
  <c r="BF1011" i="1" s="1"/>
  <c r="AN1010" i="1"/>
  <c r="BG1010" i="1" s="1"/>
  <c r="AM1010" i="1"/>
  <c r="BF1010" i="1" s="1"/>
  <c r="AN1009" i="1"/>
  <c r="BG1009" i="1" s="1"/>
  <c r="AM1009" i="1"/>
  <c r="BF1009" i="1" s="1"/>
  <c r="AN1008" i="1"/>
  <c r="BG1008" i="1" s="1"/>
  <c r="AM1008" i="1"/>
  <c r="BF1008" i="1" s="1"/>
  <c r="AN1007" i="1"/>
  <c r="BG1007" i="1" s="1"/>
  <c r="AM1007" i="1"/>
  <c r="BF1007" i="1" s="1"/>
  <c r="AN1006" i="1"/>
  <c r="BG1006" i="1" s="1"/>
  <c r="AM1006" i="1"/>
  <c r="BF1006" i="1" s="1"/>
  <c r="AN1005" i="1"/>
  <c r="BG1005" i="1" s="1"/>
  <c r="AM1005" i="1"/>
  <c r="BF1005" i="1" s="1"/>
  <c r="AN1004" i="1"/>
  <c r="BG1004" i="1" s="1"/>
  <c r="AM1004" i="1"/>
  <c r="BF1004" i="1" s="1"/>
  <c r="AN1003" i="1"/>
  <c r="BG1003" i="1" s="1"/>
  <c r="AM1003" i="1"/>
  <c r="BF1003" i="1" s="1"/>
  <c r="AN1002" i="1"/>
  <c r="BG1002" i="1" s="1"/>
  <c r="AM1002" i="1"/>
  <c r="BF1002" i="1" s="1"/>
  <c r="AN1001" i="1"/>
  <c r="BG1001" i="1" s="1"/>
  <c r="AM1001" i="1"/>
  <c r="BF1001" i="1" s="1"/>
  <c r="AN1000" i="1"/>
  <c r="BG1000" i="1" s="1"/>
  <c r="AM1000" i="1"/>
  <c r="BF1000" i="1" s="1"/>
  <c r="AN999" i="1"/>
  <c r="BG999" i="1" s="1"/>
  <c r="AM999" i="1"/>
  <c r="BF999" i="1" s="1"/>
  <c r="AN998" i="1"/>
  <c r="BG998" i="1" s="1"/>
  <c r="AM998" i="1"/>
  <c r="BF998" i="1" s="1"/>
  <c r="AN997" i="1"/>
  <c r="BG997" i="1" s="1"/>
  <c r="AM997" i="1"/>
  <c r="BF997" i="1" s="1"/>
  <c r="AN996" i="1"/>
  <c r="BG996" i="1" s="1"/>
  <c r="AM996" i="1"/>
  <c r="BF996" i="1" s="1"/>
  <c r="AN995" i="1"/>
  <c r="BG995" i="1" s="1"/>
  <c r="AM995" i="1"/>
  <c r="BF995" i="1" s="1"/>
  <c r="AN994" i="1"/>
  <c r="BG994" i="1" s="1"/>
  <c r="AM994" i="1"/>
  <c r="BF994" i="1" s="1"/>
  <c r="AN993" i="1"/>
  <c r="BG993" i="1" s="1"/>
  <c r="AM993" i="1"/>
  <c r="BF993" i="1" s="1"/>
  <c r="AN992" i="1"/>
  <c r="BG992" i="1" s="1"/>
  <c r="AM992" i="1"/>
  <c r="BF992" i="1" s="1"/>
  <c r="AN991" i="1"/>
  <c r="BG991" i="1" s="1"/>
  <c r="AM991" i="1"/>
  <c r="BF991" i="1" s="1"/>
  <c r="AN990" i="1"/>
  <c r="BG990" i="1" s="1"/>
  <c r="AM990" i="1"/>
  <c r="BF990" i="1" s="1"/>
  <c r="AN989" i="1"/>
  <c r="BG989" i="1" s="1"/>
  <c r="AM989" i="1"/>
  <c r="BF989" i="1" s="1"/>
  <c r="AN988" i="1"/>
  <c r="BG988" i="1" s="1"/>
  <c r="AM988" i="1"/>
  <c r="BF988" i="1" s="1"/>
  <c r="AN987" i="1"/>
  <c r="BG987" i="1" s="1"/>
  <c r="AM987" i="1"/>
  <c r="BF987" i="1" s="1"/>
  <c r="AN986" i="1"/>
  <c r="BG986" i="1" s="1"/>
  <c r="AM986" i="1"/>
  <c r="BF986" i="1" s="1"/>
  <c r="AN985" i="1"/>
  <c r="BG985" i="1" s="1"/>
  <c r="AM985" i="1"/>
  <c r="BF985" i="1" s="1"/>
  <c r="AN984" i="1"/>
  <c r="BG984" i="1" s="1"/>
  <c r="AM984" i="1"/>
  <c r="BF984" i="1" s="1"/>
  <c r="AN976" i="1"/>
  <c r="BG976" i="1" s="1"/>
  <c r="AM976" i="1"/>
  <c r="BF976" i="1" s="1"/>
  <c r="AN975" i="1"/>
  <c r="BG975" i="1" s="1"/>
  <c r="AM975" i="1"/>
  <c r="BF975" i="1" s="1"/>
  <c r="AN974" i="1"/>
  <c r="BG974" i="1" s="1"/>
  <c r="AM974" i="1"/>
  <c r="BF974" i="1" s="1"/>
  <c r="AN973" i="1"/>
  <c r="BG973" i="1" s="1"/>
  <c r="AM973" i="1"/>
  <c r="BF973" i="1" s="1"/>
  <c r="AN972" i="1"/>
  <c r="BG972" i="1" s="1"/>
  <c r="AM972" i="1"/>
  <c r="BF972" i="1" s="1"/>
  <c r="AN971" i="1"/>
  <c r="BG971" i="1" s="1"/>
  <c r="AM971" i="1"/>
  <c r="BF971" i="1" s="1"/>
  <c r="AN970" i="1"/>
  <c r="BG970" i="1" s="1"/>
  <c r="AM970" i="1"/>
  <c r="BF970" i="1" s="1"/>
  <c r="AN969" i="1"/>
  <c r="BG969" i="1" s="1"/>
  <c r="AM969" i="1"/>
  <c r="BF969" i="1" s="1"/>
  <c r="AN957" i="1"/>
  <c r="BG957" i="1" s="1"/>
  <c r="AM957" i="1"/>
  <c r="BF957" i="1" s="1"/>
  <c r="AN956" i="1"/>
  <c r="BG956" i="1" s="1"/>
  <c r="AM956" i="1"/>
  <c r="BF956" i="1" s="1"/>
  <c r="AN955" i="1"/>
  <c r="BG955" i="1" s="1"/>
  <c r="AM955" i="1"/>
  <c r="BF955" i="1" s="1"/>
  <c r="AN954" i="1"/>
  <c r="BG954" i="1" s="1"/>
  <c r="AM954" i="1"/>
  <c r="BF954" i="1" s="1"/>
  <c r="AN938" i="1"/>
  <c r="BG938" i="1" s="1"/>
  <c r="AM938" i="1"/>
  <c r="BF938" i="1" s="1"/>
  <c r="AN937" i="1"/>
  <c r="BG937" i="1" s="1"/>
  <c r="AM937" i="1"/>
  <c r="BF937" i="1" s="1"/>
  <c r="AN936" i="1"/>
  <c r="BG936" i="1" s="1"/>
  <c r="AM936" i="1"/>
  <c r="BF936" i="1" s="1"/>
  <c r="AN935" i="1"/>
  <c r="BG935" i="1" s="1"/>
  <c r="AM935" i="1"/>
  <c r="BF935" i="1" s="1"/>
  <c r="AN934" i="1"/>
  <c r="BG934" i="1" s="1"/>
  <c r="AM934" i="1"/>
  <c r="BF934" i="1" s="1"/>
  <c r="AN933" i="1"/>
  <c r="BG933" i="1" s="1"/>
  <c r="AM933" i="1"/>
  <c r="BF933" i="1" s="1"/>
  <c r="AN932" i="1"/>
  <c r="BG932" i="1" s="1"/>
  <c r="AM932" i="1"/>
  <c r="BF932" i="1" s="1"/>
  <c r="AN931" i="1"/>
  <c r="BG931" i="1" s="1"/>
  <c r="AM931" i="1"/>
  <c r="BF931" i="1" s="1"/>
  <c r="AN930" i="1"/>
  <c r="BG930" i="1" s="1"/>
  <c r="AM930" i="1"/>
  <c r="BF930" i="1" s="1"/>
  <c r="AN929" i="1"/>
  <c r="BG929" i="1" s="1"/>
  <c r="AM929" i="1"/>
  <c r="BF929" i="1" s="1"/>
  <c r="AN928" i="1"/>
  <c r="BG928" i="1" s="1"/>
  <c r="AM928" i="1"/>
  <c r="BF928" i="1" s="1"/>
  <c r="AN927" i="1"/>
  <c r="BG927" i="1" s="1"/>
  <c r="AM927" i="1"/>
  <c r="BF927" i="1" s="1"/>
  <c r="AN926" i="1"/>
  <c r="BG926" i="1" s="1"/>
  <c r="AM926" i="1"/>
  <c r="BF926" i="1" s="1"/>
  <c r="AN925" i="1"/>
  <c r="BG925" i="1" s="1"/>
  <c r="AM925" i="1"/>
  <c r="BF925" i="1" s="1"/>
  <c r="AN924" i="1"/>
  <c r="BG924" i="1" s="1"/>
  <c r="AM924" i="1"/>
  <c r="BF924" i="1" s="1"/>
  <c r="AN923" i="1"/>
  <c r="BG923" i="1" s="1"/>
  <c r="AM923" i="1"/>
  <c r="BF923" i="1" s="1"/>
  <c r="AN922" i="1"/>
  <c r="BG922" i="1" s="1"/>
  <c r="AM922" i="1"/>
  <c r="BF922" i="1" s="1"/>
  <c r="AN921" i="1"/>
  <c r="BG921" i="1" s="1"/>
  <c r="AM921" i="1"/>
  <c r="BF921" i="1" s="1"/>
  <c r="AN920" i="1"/>
  <c r="BG920" i="1" s="1"/>
  <c r="AM920" i="1"/>
  <c r="BF920" i="1" s="1"/>
  <c r="AN919" i="1"/>
  <c r="BG919" i="1" s="1"/>
  <c r="AM919" i="1"/>
  <c r="BF919" i="1" s="1"/>
  <c r="AN918" i="1"/>
  <c r="BG918" i="1" s="1"/>
  <c r="AM918" i="1"/>
  <c r="BF918" i="1" s="1"/>
  <c r="AN917" i="1"/>
  <c r="BG917" i="1" s="1"/>
  <c r="AM917" i="1"/>
  <c r="BF917" i="1" s="1"/>
  <c r="AN916" i="1"/>
  <c r="BG916" i="1" s="1"/>
  <c r="AM916" i="1"/>
  <c r="BF916" i="1" s="1"/>
  <c r="AN915" i="1"/>
  <c r="BG915" i="1" s="1"/>
  <c r="AM915" i="1"/>
  <c r="BF915" i="1" s="1"/>
  <c r="AN914" i="1"/>
  <c r="BG914" i="1" s="1"/>
  <c r="AM914" i="1"/>
  <c r="BF914" i="1" s="1"/>
  <c r="AN913" i="1"/>
  <c r="BG913" i="1" s="1"/>
  <c r="AM913" i="1"/>
  <c r="BF913" i="1" s="1"/>
  <c r="AN912" i="1"/>
  <c r="BG912" i="1" s="1"/>
  <c r="AM912" i="1"/>
  <c r="BF912" i="1" s="1"/>
  <c r="AN911" i="1"/>
  <c r="BG911" i="1" s="1"/>
  <c r="AM911" i="1"/>
  <c r="BF911" i="1" s="1"/>
  <c r="AN910" i="1"/>
  <c r="BG910" i="1" s="1"/>
  <c r="AM910" i="1"/>
  <c r="BF910" i="1" s="1"/>
  <c r="AN909" i="1"/>
  <c r="BG909" i="1" s="1"/>
  <c r="AM909" i="1"/>
  <c r="BF909" i="1" s="1"/>
  <c r="AN908" i="1"/>
  <c r="BG908" i="1" s="1"/>
  <c r="AM908" i="1"/>
  <c r="BF908" i="1" s="1"/>
  <c r="AN907" i="1"/>
  <c r="BG907" i="1" s="1"/>
  <c r="AM907" i="1"/>
  <c r="BF907" i="1" s="1"/>
  <c r="AN906" i="1"/>
  <c r="BG906" i="1" s="1"/>
  <c r="AM906" i="1"/>
  <c r="BF906" i="1" s="1"/>
  <c r="AN905" i="1"/>
  <c r="BG905" i="1" s="1"/>
  <c r="AM905" i="1"/>
  <c r="BF905" i="1" s="1"/>
  <c r="AN904" i="1"/>
  <c r="BG904" i="1" s="1"/>
  <c r="AM904" i="1"/>
  <c r="BF904" i="1" s="1"/>
  <c r="AN903" i="1"/>
  <c r="BG903" i="1" s="1"/>
  <c r="AM903" i="1"/>
  <c r="BF903" i="1" s="1"/>
  <c r="AN902" i="1"/>
  <c r="BG902" i="1" s="1"/>
  <c r="AM902" i="1"/>
  <c r="BF902" i="1" s="1"/>
  <c r="AN901" i="1"/>
  <c r="BG901" i="1" s="1"/>
  <c r="AM901" i="1"/>
  <c r="BF901" i="1" s="1"/>
  <c r="AN900" i="1"/>
  <c r="BG900" i="1" s="1"/>
  <c r="AM900" i="1"/>
  <c r="BF900" i="1" s="1"/>
  <c r="AN899" i="1"/>
  <c r="BG899" i="1" s="1"/>
  <c r="AM899" i="1"/>
  <c r="BF899" i="1" s="1"/>
  <c r="AN898" i="1"/>
  <c r="BG898" i="1" s="1"/>
  <c r="AM898" i="1"/>
  <c r="BF898" i="1" s="1"/>
  <c r="AN897" i="1"/>
  <c r="BG897" i="1" s="1"/>
  <c r="AM897" i="1"/>
  <c r="BF897" i="1" s="1"/>
  <c r="AN896" i="1"/>
  <c r="BG896" i="1" s="1"/>
  <c r="AM896" i="1"/>
  <c r="BF896" i="1" s="1"/>
  <c r="AN895" i="1"/>
  <c r="BG895" i="1" s="1"/>
  <c r="AM895" i="1"/>
  <c r="BF895" i="1" s="1"/>
  <c r="AN894" i="1"/>
  <c r="BG894" i="1" s="1"/>
  <c r="AM894" i="1"/>
  <c r="BF894" i="1" s="1"/>
  <c r="AN893" i="1"/>
  <c r="BG893" i="1" s="1"/>
  <c r="AM893" i="1"/>
  <c r="BF893" i="1" s="1"/>
  <c r="AN892" i="1"/>
  <c r="BG892" i="1" s="1"/>
  <c r="AM892" i="1"/>
  <c r="BF892" i="1" s="1"/>
  <c r="AN891" i="1"/>
  <c r="BG891" i="1" s="1"/>
  <c r="AM891" i="1"/>
  <c r="BF891" i="1" s="1"/>
  <c r="AN890" i="1"/>
  <c r="BG890" i="1" s="1"/>
  <c r="AM890" i="1"/>
  <c r="BF890" i="1" s="1"/>
  <c r="AN889" i="1"/>
  <c r="BG889" i="1" s="1"/>
  <c r="AM889" i="1"/>
  <c r="BF889" i="1" s="1"/>
  <c r="AN876" i="1"/>
  <c r="BG876" i="1" s="1"/>
  <c r="AM876" i="1"/>
  <c r="BF876" i="1" s="1"/>
  <c r="AN875" i="1"/>
  <c r="BG875" i="1" s="1"/>
  <c r="AM875" i="1"/>
  <c r="BF875" i="1" s="1"/>
  <c r="AN874" i="1"/>
  <c r="BG874" i="1" s="1"/>
  <c r="AM874" i="1"/>
  <c r="BF874" i="1" s="1"/>
  <c r="AN873" i="1"/>
  <c r="BG873" i="1" s="1"/>
  <c r="AM873" i="1"/>
  <c r="BF873" i="1" s="1"/>
  <c r="AN872" i="1"/>
  <c r="BG872" i="1" s="1"/>
  <c r="AM872" i="1"/>
  <c r="BF872" i="1" s="1"/>
  <c r="AN871" i="1"/>
  <c r="BG871" i="1" s="1"/>
  <c r="AM871" i="1"/>
  <c r="BF871" i="1" s="1"/>
  <c r="AN870" i="1"/>
  <c r="BG870" i="1" s="1"/>
  <c r="AM870" i="1"/>
  <c r="BF870" i="1" s="1"/>
  <c r="AN869" i="1"/>
  <c r="BG869" i="1" s="1"/>
  <c r="AM869" i="1"/>
  <c r="BF869" i="1" s="1"/>
  <c r="AN868" i="1"/>
  <c r="BG868" i="1" s="1"/>
  <c r="AM868" i="1"/>
  <c r="BF868" i="1" s="1"/>
  <c r="AN867" i="1"/>
  <c r="BG867" i="1" s="1"/>
  <c r="AM867" i="1"/>
  <c r="BF867" i="1" s="1"/>
  <c r="AN866" i="1"/>
  <c r="BG866" i="1" s="1"/>
  <c r="AM866" i="1"/>
  <c r="BF866" i="1" s="1"/>
  <c r="AN865" i="1"/>
  <c r="BG865" i="1" s="1"/>
  <c r="AM865" i="1"/>
  <c r="BF865" i="1" s="1"/>
  <c r="AN864" i="1"/>
  <c r="BG864" i="1" s="1"/>
  <c r="AM864" i="1"/>
  <c r="BF864" i="1" s="1"/>
  <c r="AN863" i="1"/>
  <c r="BG863" i="1" s="1"/>
  <c r="AM863" i="1"/>
  <c r="BF863" i="1" s="1"/>
  <c r="AN858" i="1"/>
  <c r="BG858" i="1" s="1"/>
  <c r="AM858" i="1"/>
  <c r="BF858" i="1" s="1"/>
  <c r="AN857" i="1"/>
  <c r="BG857" i="1" s="1"/>
  <c r="AM857" i="1"/>
  <c r="BF857" i="1" s="1"/>
  <c r="AN856" i="1"/>
  <c r="BG856" i="1" s="1"/>
  <c r="AM856" i="1"/>
  <c r="BF856" i="1" s="1"/>
  <c r="AN855" i="1"/>
  <c r="BG855" i="1" s="1"/>
  <c r="AM855" i="1"/>
  <c r="BF855" i="1" s="1"/>
  <c r="AN854" i="1"/>
  <c r="BG854" i="1" s="1"/>
  <c r="AM854" i="1"/>
  <c r="BF854" i="1" s="1"/>
  <c r="AN853" i="1"/>
  <c r="BG853" i="1" s="1"/>
  <c r="AM853" i="1"/>
  <c r="BF853" i="1" s="1"/>
  <c r="AN852" i="1"/>
  <c r="BG852" i="1" s="1"/>
  <c r="AM852" i="1"/>
  <c r="BF852" i="1" s="1"/>
  <c r="AN851" i="1"/>
  <c r="BG851" i="1" s="1"/>
  <c r="AM851" i="1"/>
  <c r="BF851" i="1" s="1"/>
  <c r="AN850" i="1"/>
  <c r="BG850" i="1" s="1"/>
  <c r="AM850" i="1"/>
  <c r="BF850" i="1" s="1"/>
  <c r="AN849" i="1"/>
  <c r="BG849" i="1" s="1"/>
  <c r="AM849" i="1"/>
  <c r="BF849" i="1" s="1"/>
  <c r="AN848" i="1"/>
  <c r="BG848" i="1" s="1"/>
  <c r="AM848" i="1"/>
  <c r="BF848" i="1" s="1"/>
  <c r="AN847" i="1"/>
  <c r="BG847" i="1" s="1"/>
  <c r="AM847" i="1"/>
  <c r="BF847" i="1" s="1"/>
  <c r="AN846" i="1"/>
  <c r="BG846" i="1" s="1"/>
  <c r="AM846" i="1"/>
  <c r="BF846" i="1" s="1"/>
  <c r="AN845" i="1"/>
  <c r="BG845" i="1" s="1"/>
  <c r="AM845" i="1"/>
  <c r="BF845" i="1" s="1"/>
  <c r="AN844" i="1"/>
  <c r="BG844" i="1" s="1"/>
  <c r="AM844" i="1"/>
  <c r="BF844" i="1" s="1"/>
  <c r="AN843" i="1"/>
  <c r="BG843" i="1" s="1"/>
  <c r="AM843" i="1"/>
  <c r="BF843" i="1" s="1"/>
  <c r="AN842" i="1"/>
  <c r="BG842" i="1" s="1"/>
  <c r="AM842" i="1"/>
  <c r="BF842" i="1" s="1"/>
  <c r="AN841" i="1"/>
  <c r="BG841" i="1" s="1"/>
  <c r="AM841" i="1"/>
  <c r="BF841" i="1" s="1"/>
  <c r="AN840" i="1"/>
  <c r="BG840" i="1" s="1"/>
  <c r="AM840" i="1"/>
  <c r="BF840" i="1" s="1"/>
  <c r="AN839" i="1"/>
  <c r="BG839" i="1" s="1"/>
  <c r="AM839" i="1"/>
  <c r="BF839" i="1" s="1"/>
  <c r="AN838" i="1"/>
  <c r="BG838" i="1" s="1"/>
  <c r="AM838" i="1"/>
  <c r="BF838" i="1" s="1"/>
  <c r="AN837" i="1"/>
  <c r="BG837" i="1" s="1"/>
  <c r="AM837" i="1"/>
  <c r="BF837" i="1" s="1"/>
  <c r="AN836" i="1"/>
  <c r="BG836" i="1" s="1"/>
  <c r="AM836" i="1"/>
  <c r="BF836" i="1" s="1"/>
  <c r="AN835" i="1"/>
  <c r="BG835" i="1" s="1"/>
  <c r="AM835" i="1"/>
  <c r="BF835" i="1" s="1"/>
  <c r="AN834" i="1"/>
  <c r="BG834" i="1" s="1"/>
  <c r="AM834" i="1"/>
  <c r="BF834" i="1" s="1"/>
  <c r="AN833" i="1"/>
  <c r="BG833" i="1" s="1"/>
  <c r="AM833" i="1"/>
  <c r="BF833" i="1" s="1"/>
  <c r="AN832" i="1"/>
  <c r="BG832" i="1" s="1"/>
  <c r="AM832" i="1"/>
  <c r="BF832" i="1" s="1"/>
  <c r="AN831" i="1"/>
  <c r="BG831" i="1" s="1"/>
  <c r="AM831" i="1"/>
  <c r="BF831" i="1" s="1"/>
  <c r="AN830" i="1"/>
  <c r="BG830" i="1" s="1"/>
  <c r="AM830" i="1"/>
  <c r="BF830" i="1" s="1"/>
  <c r="AN829" i="1"/>
  <c r="BG829" i="1" s="1"/>
  <c r="AM829" i="1"/>
  <c r="BF829" i="1" s="1"/>
  <c r="AN828" i="1"/>
  <c r="BG828" i="1" s="1"/>
  <c r="AM828" i="1"/>
  <c r="BF828" i="1" s="1"/>
  <c r="AN827" i="1"/>
  <c r="BG827" i="1" s="1"/>
  <c r="AM827" i="1"/>
  <c r="BF827" i="1" s="1"/>
  <c r="AN826" i="1"/>
  <c r="BG826" i="1" s="1"/>
  <c r="AM826" i="1"/>
  <c r="BF826" i="1" s="1"/>
  <c r="AN825" i="1"/>
  <c r="BG825" i="1" s="1"/>
  <c r="AM825" i="1"/>
  <c r="BF825" i="1" s="1"/>
  <c r="AN824" i="1"/>
  <c r="BG824" i="1" s="1"/>
  <c r="AM824" i="1"/>
  <c r="BF824" i="1" s="1"/>
  <c r="AN823" i="1"/>
  <c r="BG823" i="1" s="1"/>
  <c r="AM823" i="1"/>
  <c r="BF823" i="1" s="1"/>
  <c r="AN822" i="1"/>
  <c r="BG822" i="1" s="1"/>
  <c r="AM822" i="1"/>
  <c r="BF822" i="1" s="1"/>
  <c r="AN821" i="1"/>
  <c r="BG821" i="1" s="1"/>
  <c r="AM821" i="1"/>
  <c r="BF821" i="1" s="1"/>
  <c r="AN820" i="1"/>
  <c r="BG820" i="1" s="1"/>
  <c r="AM820" i="1"/>
  <c r="BF820" i="1" s="1"/>
  <c r="AN819" i="1"/>
  <c r="BG819" i="1" s="1"/>
  <c r="AM819" i="1"/>
  <c r="BF819" i="1" s="1"/>
  <c r="AN818" i="1"/>
  <c r="BG818" i="1" s="1"/>
  <c r="AM818" i="1"/>
  <c r="BF818" i="1" s="1"/>
  <c r="AN817" i="1"/>
  <c r="BG817" i="1" s="1"/>
  <c r="AM817" i="1"/>
  <c r="BF817" i="1" s="1"/>
  <c r="AN816" i="1"/>
  <c r="BG816" i="1" s="1"/>
  <c r="AM816" i="1"/>
  <c r="BF816" i="1" s="1"/>
  <c r="AN815" i="1"/>
  <c r="BG815" i="1" s="1"/>
  <c r="AM815" i="1"/>
  <c r="BF815" i="1" s="1"/>
  <c r="AN773" i="1"/>
  <c r="BG773" i="1" s="1"/>
  <c r="AM773" i="1"/>
  <c r="BF773" i="1" s="1"/>
  <c r="AN813" i="1"/>
  <c r="BG813" i="1" s="1"/>
  <c r="AM813" i="1"/>
  <c r="BF813" i="1" s="1"/>
  <c r="AN812" i="1"/>
  <c r="BG812" i="1" s="1"/>
  <c r="AM812" i="1"/>
  <c r="BF812" i="1" s="1"/>
  <c r="AN811" i="1"/>
  <c r="BG811" i="1" s="1"/>
  <c r="AM811" i="1"/>
  <c r="BF811" i="1" s="1"/>
  <c r="AN810" i="1"/>
  <c r="BG810" i="1" s="1"/>
  <c r="AM810" i="1"/>
  <c r="BF810" i="1" s="1"/>
  <c r="AN809" i="1"/>
  <c r="BG809" i="1" s="1"/>
  <c r="AM809" i="1"/>
  <c r="BF809" i="1" s="1"/>
  <c r="AN808" i="1"/>
  <c r="BG808" i="1" s="1"/>
  <c r="AM808" i="1"/>
  <c r="BF808" i="1" s="1"/>
  <c r="AN772" i="1"/>
  <c r="BG772" i="1" s="1"/>
  <c r="AM772" i="1"/>
  <c r="BF772" i="1" s="1"/>
  <c r="AN803" i="1"/>
  <c r="BG803" i="1" s="1"/>
  <c r="AM803" i="1"/>
  <c r="BF803" i="1" s="1"/>
  <c r="AN802" i="1"/>
  <c r="BG802" i="1" s="1"/>
  <c r="AM802" i="1"/>
  <c r="BF802" i="1" s="1"/>
  <c r="AN801" i="1"/>
  <c r="BG801" i="1" s="1"/>
  <c r="AM801" i="1"/>
  <c r="BF801" i="1" s="1"/>
  <c r="AN800" i="1"/>
  <c r="BG800" i="1" s="1"/>
  <c r="AM800" i="1"/>
  <c r="BF800" i="1" s="1"/>
  <c r="AN799" i="1"/>
  <c r="BG799" i="1" s="1"/>
  <c r="AM799" i="1"/>
  <c r="BF799" i="1" s="1"/>
  <c r="AN798" i="1"/>
  <c r="BG798" i="1" s="1"/>
  <c r="AM798" i="1"/>
  <c r="BF798" i="1" s="1"/>
  <c r="AN793" i="1"/>
  <c r="BG793" i="1" s="1"/>
  <c r="AM793" i="1"/>
  <c r="BF793" i="1" s="1"/>
  <c r="AN765" i="1"/>
  <c r="BG765" i="1" s="1"/>
  <c r="AM765" i="1"/>
  <c r="BF765" i="1" s="1"/>
  <c r="AN764" i="1"/>
  <c r="BG764" i="1" s="1"/>
  <c r="AM764" i="1"/>
  <c r="BF764" i="1" s="1"/>
  <c r="AN763" i="1"/>
  <c r="BG763" i="1" s="1"/>
  <c r="AM763" i="1"/>
  <c r="BF763" i="1" s="1"/>
  <c r="AN762" i="1"/>
  <c r="BG762" i="1" s="1"/>
  <c r="AM762" i="1"/>
  <c r="BF762" i="1" s="1"/>
  <c r="AN761" i="1"/>
  <c r="BG761" i="1" s="1"/>
  <c r="AM761" i="1"/>
  <c r="BF761" i="1" s="1"/>
  <c r="AN760" i="1"/>
  <c r="BG760" i="1" s="1"/>
  <c r="AM760" i="1"/>
  <c r="BF760" i="1" s="1"/>
  <c r="AN759" i="1"/>
  <c r="BG759" i="1" s="1"/>
  <c r="AM759" i="1"/>
  <c r="BF759" i="1" s="1"/>
  <c r="AN758" i="1"/>
  <c r="BG758" i="1" s="1"/>
  <c r="AM758" i="1"/>
  <c r="BF758" i="1" s="1"/>
  <c r="AN757" i="1"/>
  <c r="BG757" i="1" s="1"/>
  <c r="AM757" i="1"/>
  <c r="BF757" i="1" s="1"/>
  <c r="AN756" i="1"/>
  <c r="BG756" i="1" s="1"/>
  <c r="AM756" i="1"/>
  <c r="BF756" i="1" s="1"/>
  <c r="AN755" i="1"/>
  <c r="BG755" i="1" s="1"/>
  <c r="AM755" i="1"/>
  <c r="BF755" i="1" s="1"/>
  <c r="AN754" i="1"/>
  <c r="BG754" i="1" s="1"/>
  <c r="AM754" i="1"/>
  <c r="BF754" i="1" s="1"/>
  <c r="AN753" i="1"/>
  <c r="BG753" i="1" s="1"/>
  <c r="AM753" i="1"/>
  <c r="BF753" i="1" s="1"/>
  <c r="AN752" i="1"/>
  <c r="BG752" i="1" s="1"/>
  <c r="AM752" i="1"/>
  <c r="BF752" i="1" s="1"/>
  <c r="AN751" i="1"/>
  <c r="BG751" i="1" s="1"/>
  <c r="AM751" i="1"/>
  <c r="BF751" i="1" s="1"/>
  <c r="AN750" i="1"/>
  <c r="BG750" i="1" s="1"/>
  <c r="AM750" i="1"/>
  <c r="BF750" i="1" s="1"/>
  <c r="AN749" i="1"/>
  <c r="BG749" i="1" s="1"/>
  <c r="AM749" i="1"/>
  <c r="BF749" i="1" s="1"/>
  <c r="AN748" i="1"/>
  <c r="BG748" i="1" s="1"/>
  <c r="AM748" i="1"/>
  <c r="BF748" i="1" s="1"/>
  <c r="AN747" i="1"/>
  <c r="BG747" i="1" s="1"/>
  <c r="AM747" i="1"/>
  <c r="BF747" i="1" s="1"/>
  <c r="AN746" i="1"/>
  <c r="BG746" i="1" s="1"/>
  <c r="AM746" i="1"/>
  <c r="BF746" i="1" s="1"/>
  <c r="AN745" i="1"/>
  <c r="BG745" i="1" s="1"/>
  <c r="AM745" i="1"/>
  <c r="BF745" i="1" s="1"/>
  <c r="AN744" i="1"/>
  <c r="BG744" i="1" s="1"/>
  <c r="AM744" i="1"/>
  <c r="BF744" i="1" s="1"/>
  <c r="AN743" i="1"/>
  <c r="BG743" i="1" s="1"/>
  <c r="AM743" i="1"/>
  <c r="BF743" i="1" s="1"/>
  <c r="AN742" i="1"/>
  <c r="BG742" i="1" s="1"/>
  <c r="AM742" i="1"/>
  <c r="BF742" i="1" s="1"/>
  <c r="AN741" i="1"/>
  <c r="BG741" i="1" s="1"/>
  <c r="AM741" i="1"/>
  <c r="BF741" i="1" s="1"/>
  <c r="AN740" i="1"/>
  <c r="BG740" i="1" s="1"/>
  <c r="AM740" i="1"/>
  <c r="BF740" i="1" s="1"/>
  <c r="AN739" i="1"/>
  <c r="BG739" i="1" s="1"/>
  <c r="AM739" i="1"/>
  <c r="BF739" i="1" s="1"/>
  <c r="AN738" i="1"/>
  <c r="BG738" i="1" s="1"/>
  <c r="AM738" i="1"/>
  <c r="BF738" i="1" s="1"/>
  <c r="AN737" i="1"/>
  <c r="BG737" i="1" s="1"/>
  <c r="AM737" i="1"/>
  <c r="BF737" i="1" s="1"/>
  <c r="AN736" i="1"/>
  <c r="BG736" i="1" s="1"/>
  <c r="AM736" i="1"/>
  <c r="BF736" i="1" s="1"/>
  <c r="AN735" i="1"/>
  <c r="BG735" i="1" s="1"/>
  <c r="AM735" i="1"/>
  <c r="BF735" i="1" s="1"/>
  <c r="AN734" i="1"/>
  <c r="BG734" i="1" s="1"/>
  <c r="AM734" i="1"/>
  <c r="BF734" i="1" s="1"/>
  <c r="AN733" i="1"/>
  <c r="BG733" i="1" s="1"/>
  <c r="AM733" i="1"/>
  <c r="BF733" i="1" s="1"/>
  <c r="AN732" i="1"/>
  <c r="BG732" i="1" s="1"/>
  <c r="AM732" i="1"/>
  <c r="BF732" i="1" s="1"/>
  <c r="AN731" i="1"/>
  <c r="BG731" i="1" s="1"/>
  <c r="AM731" i="1"/>
  <c r="BF731" i="1" s="1"/>
  <c r="AN730" i="1"/>
  <c r="BG730" i="1" s="1"/>
  <c r="AM730" i="1"/>
  <c r="BF730" i="1" s="1"/>
  <c r="AN729" i="1"/>
  <c r="BG729" i="1" s="1"/>
  <c r="AM729" i="1"/>
  <c r="BF729" i="1" s="1"/>
  <c r="AN728" i="1"/>
  <c r="BG728" i="1" s="1"/>
  <c r="AM728" i="1"/>
  <c r="BF728" i="1" s="1"/>
  <c r="AN727" i="1"/>
  <c r="BG727" i="1" s="1"/>
  <c r="AM727" i="1"/>
  <c r="BF727" i="1" s="1"/>
  <c r="AN726" i="1"/>
  <c r="BG726" i="1" s="1"/>
  <c r="AM726" i="1"/>
  <c r="BF726" i="1" s="1"/>
  <c r="AN725" i="1"/>
  <c r="BG725" i="1" s="1"/>
  <c r="AM725" i="1"/>
  <c r="BF725" i="1" s="1"/>
  <c r="AN724" i="1"/>
  <c r="BG724" i="1" s="1"/>
  <c r="AM724" i="1"/>
  <c r="BF724" i="1" s="1"/>
  <c r="AN723" i="1"/>
  <c r="BG723" i="1" s="1"/>
  <c r="AM723" i="1"/>
  <c r="BF723" i="1" s="1"/>
  <c r="AN722" i="1"/>
  <c r="BG722" i="1" s="1"/>
  <c r="AM722" i="1"/>
  <c r="BF722" i="1" s="1"/>
  <c r="AN721" i="1"/>
  <c r="BG721" i="1" s="1"/>
  <c r="AM721" i="1"/>
  <c r="BF721" i="1" s="1"/>
  <c r="AN720" i="1"/>
  <c r="BG720" i="1" s="1"/>
  <c r="AM720" i="1"/>
  <c r="BF720" i="1" s="1"/>
  <c r="AN719" i="1"/>
  <c r="BG719" i="1" s="1"/>
  <c r="AM719" i="1"/>
  <c r="BF719" i="1" s="1"/>
  <c r="AN718" i="1"/>
  <c r="BG718" i="1" s="1"/>
  <c r="AM718" i="1"/>
  <c r="BF718" i="1" s="1"/>
  <c r="AN717" i="1"/>
  <c r="BG717" i="1" s="1"/>
  <c r="AM717" i="1"/>
  <c r="BF717" i="1" s="1"/>
  <c r="AN703" i="1"/>
  <c r="BG703" i="1" s="1"/>
  <c r="AM703" i="1"/>
  <c r="BF703" i="1" s="1"/>
  <c r="AN702" i="1"/>
  <c r="BG702" i="1" s="1"/>
  <c r="AM702" i="1"/>
  <c r="BF702" i="1" s="1"/>
  <c r="AN701" i="1"/>
  <c r="BG701" i="1" s="1"/>
  <c r="AM701" i="1"/>
  <c r="BF701" i="1" s="1"/>
  <c r="AN700" i="1"/>
  <c r="BG700" i="1" s="1"/>
  <c r="AM700" i="1"/>
  <c r="BF700" i="1" s="1"/>
  <c r="AN699" i="1"/>
  <c r="BG699" i="1" s="1"/>
  <c r="AM699" i="1"/>
  <c r="BF699" i="1" s="1"/>
  <c r="AN698" i="1"/>
  <c r="BG698" i="1" s="1"/>
  <c r="AM698" i="1"/>
  <c r="BF698" i="1" s="1"/>
  <c r="AN697" i="1"/>
  <c r="BG697" i="1" s="1"/>
  <c r="AM697" i="1"/>
  <c r="BF697" i="1" s="1"/>
  <c r="AN696" i="1"/>
  <c r="BG696" i="1" s="1"/>
  <c r="AM696" i="1"/>
  <c r="BF696" i="1" s="1"/>
  <c r="AN695" i="1"/>
  <c r="BG695" i="1" s="1"/>
  <c r="AM695" i="1"/>
  <c r="BF695" i="1" s="1"/>
  <c r="AN694" i="1"/>
  <c r="BG694" i="1" s="1"/>
  <c r="AM694" i="1"/>
  <c r="BF694" i="1" s="1"/>
  <c r="AN693" i="1"/>
  <c r="BG693" i="1" s="1"/>
  <c r="AM693" i="1"/>
  <c r="BF693" i="1" s="1"/>
  <c r="AN692" i="1"/>
  <c r="BG692" i="1" s="1"/>
  <c r="AM692" i="1"/>
  <c r="BF692" i="1" s="1"/>
  <c r="AN691" i="1"/>
  <c r="BG691" i="1" s="1"/>
  <c r="AM691" i="1"/>
  <c r="BF691" i="1" s="1"/>
  <c r="AN690" i="1"/>
  <c r="BG690" i="1" s="1"/>
  <c r="AM690" i="1"/>
  <c r="BF690" i="1" s="1"/>
  <c r="AN689" i="1"/>
  <c r="BG689" i="1" s="1"/>
  <c r="AM689" i="1"/>
  <c r="BF689" i="1" s="1"/>
  <c r="AN688" i="1"/>
  <c r="BG688" i="1" s="1"/>
  <c r="AM688" i="1"/>
  <c r="BF688" i="1" s="1"/>
  <c r="AN687" i="1"/>
  <c r="BG687" i="1" s="1"/>
  <c r="AM687" i="1"/>
  <c r="BF687" i="1" s="1"/>
  <c r="AN686" i="1"/>
  <c r="BG686" i="1" s="1"/>
  <c r="AM686" i="1"/>
  <c r="BF686" i="1" s="1"/>
  <c r="AN685" i="1"/>
  <c r="BG685" i="1" s="1"/>
  <c r="AM685" i="1"/>
  <c r="BF685" i="1" s="1"/>
  <c r="AN684" i="1"/>
  <c r="BG684" i="1" s="1"/>
  <c r="AM684" i="1"/>
  <c r="BF684" i="1" s="1"/>
  <c r="AN683" i="1"/>
  <c r="BG683" i="1" s="1"/>
  <c r="AM683" i="1"/>
  <c r="BF683" i="1" s="1"/>
  <c r="AN682" i="1"/>
  <c r="BG682" i="1" s="1"/>
  <c r="AM682" i="1"/>
  <c r="BF682" i="1" s="1"/>
  <c r="AN681" i="1"/>
  <c r="BG681" i="1" s="1"/>
  <c r="AM681" i="1"/>
  <c r="BF681" i="1" s="1"/>
  <c r="AN680" i="1"/>
  <c r="BG680" i="1" s="1"/>
  <c r="AM680" i="1"/>
  <c r="BF680" i="1" s="1"/>
  <c r="AN679" i="1"/>
  <c r="BG679" i="1" s="1"/>
  <c r="AM679" i="1"/>
  <c r="BF679" i="1" s="1"/>
  <c r="AN678" i="1"/>
  <c r="BG678" i="1" s="1"/>
  <c r="AM678" i="1"/>
  <c r="BF678" i="1" s="1"/>
  <c r="AN677" i="1"/>
  <c r="BG677" i="1" s="1"/>
  <c r="AM677" i="1"/>
  <c r="BF677" i="1" s="1"/>
  <c r="AN676" i="1"/>
  <c r="BG676" i="1" s="1"/>
  <c r="AM676" i="1"/>
  <c r="BF676" i="1" s="1"/>
  <c r="AN675" i="1"/>
  <c r="BG675" i="1" s="1"/>
  <c r="AM675" i="1"/>
  <c r="BF675" i="1" s="1"/>
  <c r="AN673" i="1"/>
  <c r="BG673" i="1" s="1"/>
  <c r="AM673" i="1"/>
  <c r="BF673" i="1" s="1"/>
  <c r="AN672" i="1"/>
  <c r="BG672" i="1" s="1"/>
  <c r="AM672" i="1"/>
  <c r="BF672" i="1" s="1"/>
  <c r="AN671" i="1"/>
  <c r="BG671" i="1" s="1"/>
  <c r="AM671" i="1"/>
  <c r="BF671" i="1" s="1"/>
  <c r="AN670" i="1"/>
  <c r="BG670" i="1" s="1"/>
  <c r="AM670" i="1"/>
  <c r="BF670" i="1" s="1"/>
  <c r="AN669" i="1"/>
  <c r="BG669" i="1" s="1"/>
  <c r="AM669" i="1"/>
  <c r="BF669" i="1" s="1"/>
  <c r="AN668" i="1"/>
  <c r="BG668" i="1" s="1"/>
  <c r="AM668" i="1"/>
  <c r="BF668" i="1" s="1"/>
  <c r="AN667" i="1"/>
  <c r="BG667" i="1" s="1"/>
  <c r="AM667" i="1"/>
  <c r="BF667" i="1" s="1"/>
  <c r="AN666" i="1"/>
  <c r="BG666" i="1" s="1"/>
  <c r="AM666" i="1"/>
  <c r="BF666" i="1" s="1"/>
  <c r="AN665" i="1"/>
  <c r="BG665" i="1" s="1"/>
  <c r="AM665" i="1"/>
  <c r="BF665" i="1" s="1"/>
  <c r="AN664" i="1"/>
  <c r="BG664" i="1" s="1"/>
  <c r="AM664" i="1"/>
  <c r="BF664" i="1" s="1"/>
  <c r="AN663" i="1"/>
  <c r="BG663" i="1" s="1"/>
  <c r="AM663" i="1"/>
  <c r="BF663" i="1" s="1"/>
  <c r="AN662" i="1"/>
  <c r="BG662" i="1" s="1"/>
  <c r="AM662" i="1"/>
  <c r="BF662" i="1" s="1"/>
  <c r="AN661" i="1"/>
  <c r="BG661" i="1" s="1"/>
  <c r="AM661" i="1"/>
  <c r="BF661" i="1" s="1"/>
  <c r="AN660" i="1"/>
  <c r="BG660" i="1" s="1"/>
  <c r="AM660" i="1"/>
  <c r="BF660" i="1" s="1"/>
  <c r="AN659" i="1"/>
  <c r="BG659" i="1" s="1"/>
  <c r="AM659" i="1"/>
  <c r="BF659" i="1" s="1"/>
  <c r="AN658" i="1"/>
  <c r="BG658" i="1" s="1"/>
  <c r="AM658" i="1"/>
  <c r="BF658" i="1" s="1"/>
  <c r="AN657" i="1"/>
  <c r="BG657" i="1" s="1"/>
  <c r="AM657" i="1"/>
  <c r="BF657" i="1" s="1"/>
  <c r="AN656" i="1"/>
  <c r="BG656" i="1" s="1"/>
  <c r="AM656" i="1"/>
  <c r="BF656" i="1" s="1"/>
  <c r="AN655" i="1"/>
  <c r="BG655" i="1" s="1"/>
  <c r="AM655" i="1"/>
  <c r="BF655" i="1" s="1"/>
  <c r="AN654" i="1"/>
  <c r="BG654" i="1" s="1"/>
  <c r="AM654" i="1"/>
  <c r="BF654" i="1" s="1"/>
  <c r="AN653" i="1"/>
  <c r="BG653" i="1" s="1"/>
  <c r="AM653" i="1"/>
  <c r="BF653" i="1" s="1"/>
  <c r="AN652" i="1"/>
  <c r="BG652" i="1" s="1"/>
  <c r="AM652" i="1"/>
  <c r="BF652" i="1" s="1"/>
  <c r="AN651" i="1"/>
  <c r="BG651" i="1" s="1"/>
  <c r="AM651" i="1"/>
  <c r="BF651" i="1" s="1"/>
  <c r="AN650" i="1"/>
  <c r="BG650" i="1" s="1"/>
  <c r="AM650" i="1"/>
  <c r="BF650" i="1" s="1"/>
  <c r="AN649" i="1"/>
  <c r="BG649" i="1" s="1"/>
  <c r="AM649" i="1"/>
  <c r="BF649" i="1" s="1"/>
  <c r="AN648" i="1"/>
  <c r="BG648" i="1" s="1"/>
  <c r="AM648" i="1"/>
  <c r="BF648" i="1" s="1"/>
  <c r="AN647" i="1"/>
  <c r="BG647" i="1" s="1"/>
  <c r="AM647" i="1"/>
  <c r="BF647" i="1" s="1"/>
  <c r="AN646" i="1"/>
  <c r="BG646" i="1" s="1"/>
  <c r="AM646" i="1"/>
  <c r="BF646" i="1" s="1"/>
  <c r="AN645" i="1"/>
  <c r="BG645" i="1" s="1"/>
  <c r="AM645" i="1"/>
  <c r="BF645" i="1" s="1"/>
  <c r="AN644" i="1"/>
  <c r="BG644" i="1" s="1"/>
  <c r="AM644" i="1"/>
  <c r="BF644" i="1" s="1"/>
  <c r="AN643" i="1"/>
  <c r="BG643" i="1" s="1"/>
  <c r="AM643" i="1"/>
  <c r="BF643" i="1" s="1"/>
  <c r="AN642" i="1"/>
  <c r="BG642" i="1" s="1"/>
  <c r="AM642" i="1"/>
  <c r="BF642" i="1" s="1"/>
  <c r="AN641" i="1"/>
  <c r="BG641" i="1" s="1"/>
  <c r="AM641" i="1"/>
  <c r="BF641" i="1" s="1"/>
  <c r="AN640" i="1"/>
  <c r="BG640" i="1" s="1"/>
  <c r="AM640" i="1"/>
  <c r="BF640" i="1" s="1"/>
  <c r="AN639" i="1"/>
  <c r="BG639" i="1" s="1"/>
  <c r="AM639" i="1"/>
  <c r="BF639" i="1" s="1"/>
  <c r="AN638" i="1"/>
  <c r="BG638" i="1" s="1"/>
  <c r="AM638" i="1"/>
  <c r="BF638" i="1" s="1"/>
  <c r="AN637" i="1"/>
  <c r="BG637" i="1" s="1"/>
  <c r="AM637" i="1"/>
  <c r="BF637" i="1" s="1"/>
  <c r="AN636" i="1"/>
  <c r="BG636" i="1" s="1"/>
  <c r="AM636" i="1"/>
  <c r="BF636" i="1" s="1"/>
  <c r="AN635" i="1"/>
  <c r="BG635" i="1" s="1"/>
  <c r="AM635" i="1"/>
  <c r="BF635" i="1" s="1"/>
  <c r="AN634" i="1"/>
  <c r="BG634" i="1" s="1"/>
  <c r="AM634" i="1"/>
  <c r="BF634" i="1" s="1"/>
  <c r="AN633" i="1"/>
  <c r="BG633" i="1" s="1"/>
  <c r="AM633" i="1"/>
  <c r="BF633" i="1" s="1"/>
  <c r="AN632" i="1"/>
  <c r="BG632" i="1" s="1"/>
  <c r="AM632" i="1"/>
  <c r="BF632" i="1" s="1"/>
  <c r="AN631" i="1"/>
  <c r="BG631" i="1" s="1"/>
  <c r="AM631" i="1"/>
  <c r="BF631" i="1" s="1"/>
  <c r="AN630" i="1"/>
  <c r="BG630" i="1" s="1"/>
  <c r="AM630" i="1"/>
  <c r="BF630" i="1" s="1"/>
  <c r="AN629" i="1"/>
  <c r="BG629" i="1" s="1"/>
  <c r="AM629" i="1"/>
  <c r="BF629" i="1" s="1"/>
  <c r="AN628" i="1"/>
  <c r="BG628" i="1" s="1"/>
  <c r="AM628" i="1"/>
  <c r="BF628" i="1" s="1"/>
  <c r="AN627" i="1"/>
  <c r="BG627" i="1" s="1"/>
  <c r="AM627" i="1"/>
  <c r="BF627" i="1" s="1"/>
  <c r="AN623" i="1"/>
  <c r="BG623" i="1" s="1"/>
  <c r="AM623" i="1"/>
  <c r="BF623" i="1" s="1"/>
  <c r="AN622" i="1"/>
  <c r="BG622" i="1" s="1"/>
  <c r="AM622" i="1"/>
  <c r="BF622" i="1" s="1"/>
  <c r="AN620" i="1"/>
  <c r="BG620" i="1" s="1"/>
  <c r="AM620" i="1"/>
  <c r="BF620" i="1" s="1"/>
  <c r="AN619" i="1"/>
  <c r="BG619" i="1" s="1"/>
  <c r="AM619" i="1"/>
  <c r="BF619" i="1" s="1"/>
  <c r="AN618" i="1"/>
  <c r="BG618" i="1" s="1"/>
  <c r="AM618" i="1"/>
  <c r="BF618" i="1" s="1"/>
  <c r="AN617" i="1"/>
  <c r="BG617" i="1" s="1"/>
  <c r="AM617" i="1"/>
  <c r="BF617" i="1" s="1"/>
  <c r="AN616" i="1"/>
  <c r="BG616" i="1" s="1"/>
  <c r="AM616" i="1"/>
  <c r="BF616" i="1" s="1"/>
  <c r="AN615" i="1"/>
  <c r="BG615" i="1" s="1"/>
  <c r="AM615" i="1"/>
  <c r="BF615" i="1" s="1"/>
  <c r="AN614" i="1"/>
  <c r="BG614" i="1" s="1"/>
  <c r="AM614" i="1"/>
  <c r="BF614" i="1" s="1"/>
  <c r="AN613" i="1"/>
  <c r="BG613" i="1" s="1"/>
  <c r="AM613" i="1"/>
  <c r="BF613" i="1" s="1"/>
  <c r="AN612" i="1"/>
  <c r="BG612" i="1" s="1"/>
  <c r="AM612" i="1"/>
  <c r="BF612" i="1" s="1"/>
  <c r="AN611" i="1"/>
  <c r="BG611" i="1" s="1"/>
  <c r="AM611" i="1"/>
  <c r="BF611" i="1" s="1"/>
  <c r="AN610" i="1"/>
  <c r="BG610" i="1" s="1"/>
  <c r="AM610" i="1"/>
  <c r="BF610" i="1" s="1"/>
  <c r="AN609" i="1"/>
  <c r="BG609" i="1" s="1"/>
  <c r="AM609" i="1"/>
  <c r="BF609" i="1" s="1"/>
  <c r="AN608" i="1"/>
  <c r="BG608" i="1" s="1"/>
  <c r="AM608" i="1"/>
  <c r="BF608" i="1" s="1"/>
  <c r="AN607" i="1"/>
  <c r="BG607" i="1" s="1"/>
  <c r="AM607" i="1"/>
  <c r="BF607" i="1" s="1"/>
  <c r="AN606" i="1"/>
  <c r="BG606" i="1" s="1"/>
  <c r="AM606" i="1"/>
  <c r="BF606" i="1" s="1"/>
  <c r="AN601" i="1"/>
  <c r="BG601" i="1" s="1"/>
  <c r="AM601" i="1"/>
  <c r="BF601" i="1" s="1"/>
  <c r="AN600" i="1"/>
  <c r="BG600" i="1" s="1"/>
  <c r="AM600" i="1"/>
  <c r="BF600" i="1" s="1"/>
  <c r="AN599" i="1"/>
  <c r="BG599" i="1" s="1"/>
  <c r="AM599" i="1"/>
  <c r="BF599" i="1" s="1"/>
  <c r="AN598" i="1"/>
  <c r="BG598" i="1" s="1"/>
  <c r="AM598" i="1"/>
  <c r="BF598" i="1" s="1"/>
  <c r="AN597" i="1"/>
  <c r="BG597" i="1" s="1"/>
  <c r="AM597" i="1"/>
  <c r="BF597" i="1" s="1"/>
  <c r="AN596" i="1"/>
  <c r="BG596" i="1" s="1"/>
  <c r="AM596" i="1"/>
  <c r="BF596" i="1" s="1"/>
  <c r="AN594" i="1"/>
  <c r="BG594" i="1" s="1"/>
  <c r="AM594" i="1"/>
  <c r="BF594" i="1" s="1"/>
  <c r="AN593" i="1"/>
  <c r="BG593" i="1" s="1"/>
  <c r="AM593" i="1"/>
  <c r="BF593" i="1" s="1"/>
  <c r="AN592" i="1"/>
  <c r="BG592" i="1" s="1"/>
  <c r="AM592" i="1"/>
  <c r="BF592" i="1" s="1"/>
  <c r="AN591" i="1"/>
  <c r="BG591" i="1" s="1"/>
  <c r="AM591" i="1"/>
  <c r="BF591" i="1" s="1"/>
  <c r="AN590" i="1"/>
  <c r="BG590" i="1" s="1"/>
  <c r="AM590" i="1"/>
  <c r="BF590" i="1" s="1"/>
  <c r="AN589" i="1"/>
  <c r="BG589" i="1" s="1"/>
  <c r="AM589" i="1"/>
  <c r="BF589" i="1" s="1"/>
  <c r="AN588" i="1"/>
  <c r="BG588" i="1" s="1"/>
  <c r="AM588" i="1"/>
  <c r="BF588" i="1" s="1"/>
  <c r="AN587" i="1"/>
  <c r="BG587" i="1" s="1"/>
  <c r="AM587" i="1"/>
  <c r="BF587" i="1" s="1"/>
  <c r="AN586" i="1"/>
  <c r="BG586" i="1" s="1"/>
  <c r="AM586" i="1"/>
  <c r="BF586" i="1" s="1"/>
  <c r="AN585" i="1"/>
  <c r="BG585" i="1" s="1"/>
  <c r="AM585" i="1"/>
  <c r="BF585" i="1" s="1"/>
  <c r="AN584" i="1"/>
  <c r="BG584" i="1" s="1"/>
  <c r="AM584" i="1"/>
  <c r="BF584" i="1" s="1"/>
  <c r="AN583" i="1"/>
  <c r="BG583" i="1" s="1"/>
  <c r="AM583" i="1"/>
  <c r="BF583" i="1" s="1"/>
  <c r="AN582" i="1"/>
  <c r="BG582" i="1" s="1"/>
  <c r="AM582" i="1"/>
  <c r="BF582" i="1" s="1"/>
  <c r="AN581" i="1"/>
  <c r="BG581" i="1" s="1"/>
  <c r="AM581" i="1"/>
  <c r="BF581" i="1" s="1"/>
  <c r="AN580" i="1"/>
  <c r="BG580" i="1" s="1"/>
  <c r="AM580" i="1"/>
  <c r="BF580" i="1" s="1"/>
  <c r="AN579" i="1"/>
  <c r="BG579" i="1" s="1"/>
  <c r="AM579" i="1"/>
  <c r="BF579" i="1" s="1"/>
  <c r="AN578" i="1"/>
  <c r="BG578" i="1" s="1"/>
  <c r="AM578" i="1"/>
  <c r="BF578" i="1" s="1"/>
  <c r="AN577" i="1"/>
  <c r="BG577" i="1" s="1"/>
  <c r="AM577" i="1"/>
  <c r="BF577" i="1" s="1"/>
  <c r="AN576" i="1"/>
  <c r="BG576" i="1" s="1"/>
  <c r="AM576" i="1"/>
  <c r="BF576" i="1" s="1"/>
  <c r="AN575" i="1"/>
  <c r="BG575" i="1" s="1"/>
  <c r="AM575" i="1"/>
  <c r="BF575" i="1" s="1"/>
  <c r="AN574" i="1"/>
  <c r="BG574" i="1" s="1"/>
  <c r="AM574" i="1"/>
  <c r="BF574" i="1" s="1"/>
  <c r="AN573" i="1"/>
  <c r="BG573" i="1" s="1"/>
  <c r="AM573" i="1"/>
  <c r="BF573" i="1" s="1"/>
  <c r="AN572" i="1"/>
  <c r="BG572" i="1" s="1"/>
  <c r="AM572" i="1"/>
  <c r="BF572" i="1" s="1"/>
  <c r="AN571" i="1"/>
  <c r="BG571" i="1" s="1"/>
  <c r="AM571" i="1"/>
  <c r="BF571" i="1" s="1"/>
  <c r="AN570" i="1"/>
  <c r="BG570" i="1" s="1"/>
  <c r="AM570" i="1"/>
  <c r="BF570" i="1" s="1"/>
  <c r="AN569" i="1"/>
  <c r="BG569" i="1" s="1"/>
  <c r="AM569" i="1"/>
  <c r="BF569" i="1" s="1"/>
  <c r="AN568" i="1"/>
  <c r="BG568" i="1" s="1"/>
  <c r="AM568" i="1"/>
  <c r="BF568" i="1" s="1"/>
  <c r="AN567" i="1"/>
  <c r="BG567" i="1" s="1"/>
  <c r="AM567" i="1"/>
  <c r="BF567" i="1" s="1"/>
  <c r="AN564" i="1"/>
  <c r="BG564" i="1" s="1"/>
  <c r="AM564" i="1"/>
  <c r="BF564" i="1" s="1"/>
  <c r="AN563" i="1"/>
  <c r="BG563" i="1" s="1"/>
  <c r="AM563" i="1"/>
  <c r="BF563" i="1" s="1"/>
  <c r="AN562" i="1"/>
  <c r="BG562" i="1" s="1"/>
  <c r="AM562" i="1"/>
  <c r="BF562" i="1" s="1"/>
  <c r="AN561" i="1"/>
  <c r="BG561" i="1" s="1"/>
  <c r="AM561" i="1"/>
  <c r="BF561" i="1" s="1"/>
  <c r="AN560" i="1"/>
  <c r="BG560" i="1" s="1"/>
  <c r="AM560" i="1"/>
  <c r="BF560" i="1" s="1"/>
  <c r="AN559" i="1"/>
  <c r="BG559" i="1" s="1"/>
  <c r="AM559" i="1"/>
  <c r="BF559" i="1" s="1"/>
  <c r="AN558" i="1"/>
  <c r="BG558" i="1" s="1"/>
  <c r="AM558" i="1"/>
  <c r="BF558" i="1" s="1"/>
  <c r="AN557" i="1"/>
  <c r="BG557" i="1" s="1"/>
  <c r="AM557" i="1"/>
  <c r="BF557" i="1" s="1"/>
  <c r="AN556" i="1"/>
  <c r="BG556" i="1" s="1"/>
  <c r="AM556" i="1"/>
  <c r="BF556" i="1" s="1"/>
  <c r="AN555" i="1"/>
  <c r="BG555" i="1" s="1"/>
  <c r="AM555" i="1"/>
  <c r="BF555" i="1" s="1"/>
  <c r="AN554" i="1"/>
  <c r="BG554" i="1" s="1"/>
  <c r="AM554" i="1"/>
  <c r="BF554" i="1" s="1"/>
  <c r="AN553" i="1"/>
  <c r="BG553" i="1" s="1"/>
  <c r="AM553" i="1"/>
  <c r="BF553" i="1" s="1"/>
  <c r="AN552" i="1"/>
  <c r="BG552" i="1" s="1"/>
  <c r="AM552" i="1"/>
  <c r="BF552" i="1" s="1"/>
  <c r="AN551" i="1"/>
  <c r="BG551" i="1" s="1"/>
  <c r="AM551" i="1"/>
  <c r="BF551" i="1" s="1"/>
  <c r="AN550" i="1"/>
  <c r="BG550" i="1" s="1"/>
  <c r="AM550" i="1"/>
  <c r="BF550" i="1" s="1"/>
  <c r="AN549" i="1"/>
  <c r="BG549" i="1" s="1"/>
  <c r="AM549" i="1"/>
  <c r="BF549" i="1" s="1"/>
  <c r="AN548" i="1"/>
  <c r="BG548" i="1" s="1"/>
  <c r="AM548" i="1"/>
  <c r="BF548" i="1" s="1"/>
  <c r="AN547" i="1"/>
  <c r="BG547" i="1" s="1"/>
  <c r="AM547" i="1"/>
  <c r="BF547" i="1" s="1"/>
  <c r="AN546" i="1"/>
  <c r="BG546" i="1" s="1"/>
  <c r="AM546" i="1"/>
  <c r="BF546" i="1" s="1"/>
  <c r="AN545" i="1"/>
  <c r="BG545" i="1" s="1"/>
  <c r="AM545" i="1"/>
  <c r="BF545" i="1" s="1"/>
  <c r="AN544" i="1"/>
  <c r="BG544" i="1" s="1"/>
  <c r="AM544" i="1"/>
  <c r="BF544" i="1" s="1"/>
  <c r="AN543" i="1"/>
  <c r="BG543" i="1" s="1"/>
  <c r="AM543" i="1"/>
  <c r="BF543" i="1" s="1"/>
  <c r="AN542" i="1"/>
  <c r="BG542" i="1" s="1"/>
  <c r="AM542" i="1"/>
  <c r="BF542" i="1" s="1"/>
  <c r="AN541" i="1"/>
  <c r="BG541" i="1" s="1"/>
  <c r="AM541" i="1"/>
  <c r="BF541" i="1" s="1"/>
  <c r="AN540" i="1"/>
  <c r="BG540" i="1" s="1"/>
  <c r="AM540" i="1"/>
  <c r="BF540" i="1" s="1"/>
  <c r="AN539" i="1"/>
  <c r="BG539" i="1" s="1"/>
  <c r="AM539" i="1"/>
  <c r="BF539" i="1" s="1"/>
  <c r="AN538" i="1"/>
  <c r="BG538" i="1" s="1"/>
  <c r="AM538" i="1"/>
  <c r="BF538" i="1" s="1"/>
  <c r="AN537" i="1"/>
  <c r="BG537" i="1" s="1"/>
  <c r="AM537" i="1"/>
  <c r="BF537" i="1" s="1"/>
  <c r="AN536" i="1"/>
  <c r="BG536" i="1" s="1"/>
  <c r="AM536" i="1"/>
  <c r="BF536" i="1" s="1"/>
  <c r="AN535" i="1"/>
  <c r="BG535" i="1" s="1"/>
  <c r="AM535" i="1"/>
  <c r="BF535" i="1" s="1"/>
  <c r="AN534" i="1"/>
  <c r="BG534" i="1" s="1"/>
  <c r="AM534" i="1"/>
  <c r="BF534" i="1" s="1"/>
  <c r="AN533" i="1"/>
  <c r="BG533" i="1" s="1"/>
  <c r="AM533" i="1"/>
  <c r="BF533" i="1" s="1"/>
  <c r="AN532" i="1"/>
  <c r="BG532" i="1" s="1"/>
  <c r="AM532" i="1"/>
  <c r="BF532" i="1" s="1"/>
  <c r="AN531" i="1"/>
  <c r="BG531" i="1" s="1"/>
  <c r="AM531" i="1"/>
  <c r="BF531" i="1" s="1"/>
  <c r="AN530" i="1"/>
  <c r="BG530" i="1" s="1"/>
  <c r="AM530" i="1"/>
  <c r="BF530" i="1" s="1"/>
  <c r="AN529" i="1"/>
  <c r="BG529" i="1" s="1"/>
  <c r="AM529" i="1"/>
  <c r="BF529" i="1" s="1"/>
  <c r="AN528" i="1"/>
  <c r="BG528" i="1" s="1"/>
  <c r="AM528" i="1"/>
  <c r="BF528" i="1" s="1"/>
  <c r="AN527" i="1"/>
  <c r="BG527" i="1" s="1"/>
  <c r="AM527" i="1"/>
  <c r="BF527" i="1" s="1"/>
  <c r="AN526" i="1"/>
  <c r="BG526" i="1" s="1"/>
  <c r="AM526" i="1"/>
  <c r="BF526" i="1" s="1"/>
  <c r="AN525" i="1"/>
  <c r="BG525" i="1" s="1"/>
  <c r="AM525" i="1"/>
  <c r="BF525" i="1" s="1"/>
  <c r="AN524" i="1"/>
  <c r="BG524" i="1" s="1"/>
  <c r="AM524" i="1"/>
  <c r="BF524" i="1" s="1"/>
  <c r="AN523" i="1"/>
  <c r="BG523" i="1" s="1"/>
  <c r="AM523" i="1"/>
  <c r="BF523" i="1" s="1"/>
  <c r="AN522" i="1"/>
  <c r="BG522" i="1" s="1"/>
  <c r="AM522" i="1"/>
  <c r="BF522" i="1" s="1"/>
  <c r="AN521" i="1"/>
  <c r="BG521" i="1" s="1"/>
  <c r="AM521" i="1"/>
  <c r="BF521" i="1" s="1"/>
  <c r="AN520" i="1"/>
  <c r="BG520" i="1" s="1"/>
  <c r="AM520" i="1"/>
  <c r="BF520" i="1" s="1"/>
  <c r="AN519" i="1"/>
  <c r="BG519" i="1" s="1"/>
  <c r="AM519" i="1"/>
  <c r="BF519" i="1" s="1"/>
  <c r="AN518" i="1"/>
  <c r="BG518" i="1" s="1"/>
  <c r="AM518" i="1"/>
  <c r="BF518" i="1" s="1"/>
  <c r="AN517" i="1"/>
  <c r="BG517" i="1" s="1"/>
  <c r="AM517" i="1"/>
  <c r="BF517" i="1" s="1"/>
  <c r="AN516" i="1"/>
  <c r="BG516" i="1" s="1"/>
  <c r="AM516" i="1"/>
  <c r="BF516" i="1" s="1"/>
  <c r="AN515" i="1"/>
  <c r="BG515" i="1" s="1"/>
  <c r="AM515" i="1"/>
  <c r="BF515" i="1" s="1"/>
  <c r="AN514" i="1"/>
  <c r="BG514" i="1" s="1"/>
  <c r="AM514" i="1"/>
  <c r="BF514" i="1" s="1"/>
  <c r="AN513" i="1"/>
  <c r="BG513" i="1" s="1"/>
  <c r="AM513" i="1"/>
  <c r="BF513" i="1" s="1"/>
  <c r="AN512" i="1"/>
  <c r="BG512" i="1" s="1"/>
  <c r="AM512" i="1"/>
  <c r="BF512" i="1" s="1"/>
  <c r="AN511" i="1"/>
  <c r="BG511" i="1" s="1"/>
  <c r="AM511" i="1"/>
  <c r="BF511" i="1" s="1"/>
  <c r="AN510" i="1"/>
  <c r="BG510" i="1" s="1"/>
  <c r="AM510" i="1"/>
  <c r="BF510" i="1" s="1"/>
  <c r="AN509" i="1"/>
  <c r="BG509" i="1" s="1"/>
  <c r="AM509" i="1"/>
  <c r="BF509" i="1" s="1"/>
  <c r="AN508" i="1"/>
  <c r="BG508" i="1" s="1"/>
  <c r="AM508" i="1"/>
  <c r="BF508" i="1" s="1"/>
  <c r="AN507" i="1"/>
  <c r="BG507" i="1" s="1"/>
  <c r="AM507" i="1"/>
  <c r="BF507" i="1" s="1"/>
  <c r="AN506" i="1"/>
  <c r="BG506" i="1" s="1"/>
  <c r="AM506" i="1"/>
  <c r="BF506" i="1" s="1"/>
  <c r="AN505" i="1"/>
  <c r="BG505" i="1" s="1"/>
  <c r="AM505" i="1"/>
  <c r="BF505" i="1" s="1"/>
  <c r="AN504" i="1"/>
  <c r="BG504" i="1" s="1"/>
  <c r="AM504" i="1"/>
  <c r="BF504" i="1" s="1"/>
  <c r="AN503" i="1"/>
  <c r="BG503" i="1" s="1"/>
  <c r="AM503" i="1"/>
  <c r="BF503" i="1" s="1"/>
  <c r="AN502" i="1"/>
  <c r="BG502" i="1" s="1"/>
  <c r="AM502" i="1"/>
  <c r="BF502" i="1" s="1"/>
  <c r="AN501" i="1"/>
  <c r="BG501" i="1" s="1"/>
  <c r="AM501" i="1"/>
  <c r="BF501" i="1" s="1"/>
  <c r="AN500" i="1"/>
  <c r="BG500" i="1" s="1"/>
  <c r="AM500" i="1"/>
  <c r="BF500" i="1" s="1"/>
  <c r="AN499" i="1"/>
  <c r="BG499" i="1" s="1"/>
  <c r="AM499" i="1"/>
  <c r="BF499" i="1" s="1"/>
  <c r="AN498" i="1"/>
  <c r="BG498" i="1" s="1"/>
  <c r="AM498" i="1"/>
  <c r="BF498" i="1" s="1"/>
  <c r="AN497" i="1"/>
  <c r="BG497" i="1" s="1"/>
  <c r="AM497" i="1"/>
  <c r="BF497" i="1" s="1"/>
  <c r="AN496" i="1"/>
  <c r="BG496" i="1" s="1"/>
  <c r="AM496" i="1"/>
  <c r="BF496" i="1" s="1"/>
  <c r="AN495" i="1"/>
  <c r="BG495" i="1" s="1"/>
  <c r="AM495" i="1"/>
  <c r="BF495" i="1" s="1"/>
  <c r="AN494" i="1"/>
  <c r="BG494" i="1" s="1"/>
  <c r="AM494" i="1"/>
  <c r="BF494" i="1" s="1"/>
  <c r="AN493" i="1"/>
  <c r="BG493" i="1" s="1"/>
  <c r="AM493" i="1"/>
  <c r="BF493" i="1" s="1"/>
  <c r="AN492" i="1"/>
  <c r="BG492" i="1" s="1"/>
  <c r="AM492" i="1"/>
  <c r="BF492" i="1" s="1"/>
  <c r="AN491" i="1"/>
  <c r="BG491" i="1" s="1"/>
  <c r="AM491" i="1"/>
  <c r="BF491" i="1" s="1"/>
  <c r="AN490" i="1"/>
  <c r="BG490" i="1" s="1"/>
  <c r="AM490" i="1"/>
  <c r="BF490" i="1" s="1"/>
  <c r="AN489" i="1"/>
  <c r="BG489" i="1" s="1"/>
  <c r="AM489" i="1"/>
  <c r="BF489" i="1" s="1"/>
  <c r="AN488" i="1"/>
  <c r="BG488" i="1" s="1"/>
  <c r="AM488" i="1"/>
  <c r="BF488" i="1" s="1"/>
  <c r="AN487" i="1"/>
  <c r="BG487" i="1" s="1"/>
  <c r="AM487" i="1"/>
  <c r="BF487" i="1" s="1"/>
  <c r="AN486" i="1"/>
  <c r="BG486" i="1" s="1"/>
  <c r="AM486" i="1"/>
  <c r="BF486" i="1" s="1"/>
  <c r="AN485" i="1"/>
  <c r="BG485" i="1" s="1"/>
  <c r="AM485" i="1"/>
  <c r="BF485" i="1" s="1"/>
  <c r="AN484" i="1"/>
  <c r="BG484" i="1" s="1"/>
  <c r="AM484" i="1"/>
  <c r="BF484" i="1" s="1"/>
  <c r="AN483" i="1"/>
  <c r="BG483" i="1" s="1"/>
  <c r="AM483" i="1"/>
  <c r="BF483" i="1" s="1"/>
  <c r="AN482" i="1"/>
  <c r="BG482" i="1" s="1"/>
  <c r="AM482" i="1"/>
  <c r="BF482" i="1" s="1"/>
  <c r="AN481" i="1"/>
  <c r="BG481" i="1" s="1"/>
  <c r="AM481" i="1"/>
  <c r="BF481" i="1" s="1"/>
  <c r="AN480" i="1"/>
  <c r="BG480" i="1" s="1"/>
  <c r="AM480" i="1"/>
  <c r="BF480" i="1" s="1"/>
  <c r="AN479" i="1"/>
  <c r="BG479" i="1" s="1"/>
  <c r="AM479" i="1"/>
  <c r="BF479" i="1" s="1"/>
  <c r="AN478" i="1"/>
  <c r="BG478" i="1" s="1"/>
  <c r="AM478" i="1"/>
  <c r="BF478" i="1" s="1"/>
  <c r="AN477" i="1"/>
  <c r="BG477" i="1" s="1"/>
  <c r="AM477" i="1"/>
  <c r="BF477" i="1" s="1"/>
  <c r="AN476" i="1"/>
  <c r="BG476" i="1" s="1"/>
  <c r="AM476" i="1"/>
  <c r="BF476" i="1" s="1"/>
  <c r="AN475" i="1"/>
  <c r="BG475" i="1" s="1"/>
  <c r="AM475" i="1"/>
  <c r="BF475" i="1" s="1"/>
  <c r="AN474" i="1"/>
  <c r="BG474" i="1" s="1"/>
  <c r="AM474" i="1"/>
  <c r="BF474" i="1" s="1"/>
  <c r="AN473" i="1"/>
  <c r="BG473" i="1" s="1"/>
  <c r="AM473" i="1"/>
  <c r="BF473" i="1" s="1"/>
  <c r="AN472" i="1"/>
  <c r="BG472" i="1" s="1"/>
  <c r="AM472" i="1"/>
  <c r="BF472" i="1" s="1"/>
  <c r="AN471" i="1"/>
  <c r="BG471" i="1" s="1"/>
  <c r="AM471" i="1"/>
  <c r="BF471" i="1" s="1"/>
  <c r="AN470" i="1"/>
  <c r="BG470" i="1" s="1"/>
  <c r="AM470" i="1"/>
  <c r="BF470" i="1" s="1"/>
  <c r="AN469" i="1"/>
  <c r="BG469" i="1" s="1"/>
  <c r="AM469" i="1"/>
  <c r="BF469" i="1" s="1"/>
  <c r="AN468" i="1"/>
  <c r="BG468" i="1" s="1"/>
  <c r="AM468" i="1"/>
  <c r="BF468" i="1" s="1"/>
  <c r="AN467" i="1"/>
  <c r="BG467" i="1" s="1"/>
  <c r="AM467" i="1"/>
  <c r="BF467" i="1" s="1"/>
  <c r="AN466" i="1"/>
  <c r="BG466" i="1" s="1"/>
  <c r="AM466" i="1"/>
  <c r="BF466" i="1" s="1"/>
  <c r="AN459" i="1"/>
  <c r="BG459" i="1" s="1"/>
  <c r="AM459" i="1"/>
  <c r="BF459" i="1" s="1"/>
  <c r="AN458" i="1"/>
  <c r="BG458" i="1" s="1"/>
  <c r="AM458" i="1"/>
  <c r="BF458" i="1" s="1"/>
  <c r="AN457" i="1"/>
  <c r="BG457" i="1" s="1"/>
  <c r="AM457" i="1"/>
  <c r="BF457" i="1" s="1"/>
  <c r="AN456" i="1"/>
  <c r="BG456" i="1" s="1"/>
  <c r="AM456" i="1"/>
  <c r="BF456" i="1" s="1"/>
  <c r="AN455" i="1"/>
  <c r="BG455" i="1" s="1"/>
  <c r="AM455" i="1"/>
  <c r="BF455" i="1" s="1"/>
  <c r="AN454" i="1"/>
  <c r="BG454" i="1" s="1"/>
  <c r="AM454" i="1"/>
  <c r="BF454" i="1" s="1"/>
  <c r="AN453" i="1"/>
  <c r="BG453" i="1" s="1"/>
  <c r="AM453" i="1"/>
  <c r="BF453" i="1" s="1"/>
  <c r="AN452" i="1"/>
  <c r="BG452" i="1" s="1"/>
  <c r="AM452" i="1"/>
  <c r="BF452" i="1" s="1"/>
  <c r="AN451" i="1"/>
  <c r="BG451" i="1" s="1"/>
  <c r="AM451" i="1"/>
  <c r="BF451" i="1" s="1"/>
  <c r="AN449" i="1"/>
  <c r="BG449" i="1" s="1"/>
  <c r="AM449" i="1"/>
  <c r="BF449" i="1" s="1"/>
  <c r="AN448" i="1"/>
  <c r="BG448" i="1" s="1"/>
  <c r="AM448" i="1"/>
  <c r="BF448" i="1" s="1"/>
  <c r="AN447" i="1"/>
  <c r="BG447" i="1" s="1"/>
  <c r="AM447" i="1"/>
  <c r="BF447" i="1" s="1"/>
  <c r="AN446" i="1"/>
  <c r="BG446" i="1" s="1"/>
  <c r="AM446" i="1"/>
  <c r="BF446" i="1" s="1"/>
  <c r="AN445" i="1"/>
  <c r="BG445" i="1" s="1"/>
  <c r="AM445" i="1"/>
  <c r="BF445" i="1" s="1"/>
  <c r="AN444" i="1"/>
  <c r="BG444" i="1" s="1"/>
  <c r="AM444" i="1"/>
  <c r="BF444" i="1" s="1"/>
  <c r="AN443" i="1"/>
  <c r="BG443" i="1" s="1"/>
  <c r="AM443" i="1"/>
  <c r="BF443" i="1" s="1"/>
  <c r="AN442" i="1"/>
  <c r="BG442" i="1" s="1"/>
  <c r="AM442" i="1"/>
  <c r="BF442" i="1" s="1"/>
  <c r="AN441" i="1"/>
  <c r="BG441" i="1" s="1"/>
  <c r="AM441" i="1"/>
  <c r="BF441" i="1" s="1"/>
  <c r="AN440" i="1"/>
  <c r="BG440" i="1" s="1"/>
  <c r="AM440" i="1"/>
  <c r="BF440" i="1" s="1"/>
  <c r="AN439" i="1"/>
  <c r="BG439" i="1" s="1"/>
  <c r="AM439" i="1"/>
  <c r="BF439" i="1" s="1"/>
  <c r="AN438" i="1"/>
  <c r="BG438" i="1" s="1"/>
  <c r="AM438" i="1"/>
  <c r="BF438" i="1" s="1"/>
  <c r="AN437" i="1"/>
  <c r="BG437" i="1" s="1"/>
  <c r="AM437" i="1"/>
  <c r="BF437" i="1" s="1"/>
  <c r="AN436" i="1"/>
  <c r="BG436" i="1" s="1"/>
  <c r="AM436" i="1"/>
  <c r="BF436" i="1" s="1"/>
  <c r="AN435" i="1"/>
  <c r="BG435" i="1" s="1"/>
  <c r="AM435" i="1"/>
  <c r="BF435" i="1" s="1"/>
  <c r="AN434" i="1"/>
  <c r="BG434" i="1" s="1"/>
  <c r="AM434" i="1"/>
  <c r="BF434" i="1" s="1"/>
  <c r="AN433" i="1"/>
  <c r="BG433" i="1" s="1"/>
  <c r="AM433" i="1"/>
  <c r="BF433" i="1" s="1"/>
  <c r="AN432" i="1"/>
  <c r="BG432" i="1" s="1"/>
  <c r="AM432" i="1"/>
  <c r="BF432" i="1" s="1"/>
  <c r="AN431" i="1"/>
  <c r="BG431" i="1" s="1"/>
  <c r="AM431" i="1"/>
  <c r="BF431" i="1" s="1"/>
  <c r="AN430" i="1"/>
  <c r="BG430" i="1" s="1"/>
  <c r="AM430" i="1"/>
  <c r="BF430" i="1" s="1"/>
  <c r="AN429" i="1"/>
  <c r="BG429" i="1" s="1"/>
  <c r="AM429" i="1"/>
  <c r="BF429" i="1" s="1"/>
  <c r="AN428" i="1"/>
  <c r="BG428" i="1" s="1"/>
  <c r="AM428" i="1"/>
  <c r="BF428" i="1" s="1"/>
  <c r="AN427" i="1"/>
  <c r="BG427" i="1" s="1"/>
  <c r="AM427" i="1"/>
  <c r="BF427" i="1" s="1"/>
  <c r="AN426" i="1"/>
  <c r="BG426" i="1" s="1"/>
  <c r="AM426" i="1"/>
  <c r="BF426" i="1" s="1"/>
  <c r="AN425" i="1"/>
  <c r="BG425" i="1" s="1"/>
  <c r="AM425" i="1"/>
  <c r="BF425" i="1" s="1"/>
  <c r="AN424" i="1"/>
  <c r="BG424" i="1" s="1"/>
  <c r="AM424" i="1"/>
  <c r="BF424" i="1" s="1"/>
  <c r="AN423" i="1"/>
  <c r="BG423" i="1" s="1"/>
  <c r="AM423" i="1"/>
  <c r="BF423" i="1" s="1"/>
  <c r="AN422" i="1"/>
  <c r="BG422" i="1" s="1"/>
  <c r="AM422" i="1"/>
  <c r="BF422" i="1" s="1"/>
  <c r="AN421" i="1"/>
  <c r="BG421" i="1" s="1"/>
  <c r="AM421" i="1"/>
  <c r="BF421" i="1" s="1"/>
  <c r="AN420" i="1"/>
  <c r="BG420" i="1" s="1"/>
  <c r="AM420" i="1"/>
  <c r="BF420" i="1" s="1"/>
  <c r="AN419" i="1"/>
  <c r="BG419" i="1" s="1"/>
  <c r="AM419" i="1"/>
  <c r="BF419" i="1" s="1"/>
  <c r="AN418" i="1"/>
  <c r="BG418" i="1" s="1"/>
  <c r="AM418" i="1"/>
  <c r="BF418" i="1" s="1"/>
  <c r="AN417" i="1"/>
  <c r="BG417" i="1" s="1"/>
  <c r="AM417" i="1"/>
  <c r="BF417" i="1" s="1"/>
  <c r="AN416" i="1"/>
  <c r="BG416" i="1" s="1"/>
  <c r="AM416" i="1"/>
  <c r="BF416" i="1" s="1"/>
  <c r="AN415" i="1"/>
  <c r="BG415" i="1" s="1"/>
  <c r="AM415" i="1"/>
  <c r="BF415" i="1" s="1"/>
  <c r="AN414" i="1"/>
  <c r="BG414" i="1" s="1"/>
  <c r="AM414" i="1"/>
  <c r="BF414" i="1" s="1"/>
  <c r="AN413" i="1"/>
  <c r="BG413" i="1" s="1"/>
  <c r="AM413" i="1"/>
  <c r="BF413" i="1" s="1"/>
  <c r="AN412" i="1"/>
  <c r="BG412" i="1" s="1"/>
  <c r="AM412" i="1"/>
  <c r="BF412" i="1" s="1"/>
  <c r="AN411" i="1"/>
  <c r="BG411" i="1" s="1"/>
  <c r="AM411" i="1"/>
  <c r="BF411" i="1" s="1"/>
  <c r="AN410" i="1"/>
  <c r="BG410" i="1" s="1"/>
  <c r="AM410" i="1"/>
  <c r="BF410" i="1" s="1"/>
  <c r="AN409" i="1"/>
  <c r="BG409" i="1" s="1"/>
  <c r="AM409" i="1"/>
  <c r="BF409" i="1" s="1"/>
  <c r="AN408" i="1"/>
  <c r="BG408" i="1" s="1"/>
  <c r="AM408" i="1"/>
  <c r="BF408" i="1" s="1"/>
  <c r="AN407" i="1"/>
  <c r="BG407" i="1" s="1"/>
  <c r="AM407" i="1"/>
  <c r="BF407" i="1" s="1"/>
  <c r="AN406" i="1"/>
  <c r="BG406" i="1" s="1"/>
  <c r="AM406" i="1"/>
  <c r="BF406" i="1" s="1"/>
  <c r="AN405" i="1"/>
  <c r="BG405" i="1" s="1"/>
  <c r="AM405" i="1"/>
  <c r="BF405" i="1" s="1"/>
  <c r="AN404" i="1"/>
  <c r="BG404" i="1" s="1"/>
  <c r="AM404" i="1"/>
  <c r="BF404" i="1" s="1"/>
  <c r="AN403" i="1"/>
  <c r="BG403" i="1" s="1"/>
  <c r="AM403" i="1"/>
  <c r="BF403" i="1" s="1"/>
  <c r="AN402" i="1"/>
  <c r="BG402" i="1" s="1"/>
  <c r="AM402" i="1"/>
  <c r="BF402" i="1" s="1"/>
  <c r="AN401" i="1"/>
  <c r="BG401" i="1" s="1"/>
  <c r="AM401" i="1"/>
  <c r="BF401" i="1" s="1"/>
  <c r="AN400" i="1"/>
  <c r="BG400" i="1" s="1"/>
  <c r="AM400" i="1"/>
  <c r="BF400" i="1" s="1"/>
  <c r="AN399" i="1"/>
  <c r="BG399" i="1" s="1"/>
  <c r="AM399" i="1"/>
  <c r="BF399" i="1" s="1"/>
  <c r="AN398" i="1"/>
  <c r="BG398" i="1" s="1"/>
  <c r="AM398" i="1"/>
  <c r="BF398" i="1" s="1"/>
  <c r="AN397" i="1"/>
  <c r="BG397" i="1" s="1"/>
  <c r="AM397" i="1"/>
  <c r="BF397" i="1" s="1"/>
  <c r="AN396" i="1"/>
  <c r="BG396" i="1" s="1"/>
  <c r="AM396" i="1"/>
  <c r="BF396" i="1" s="1"/>
  <c r="AN395" i="1"/>
  <c r="BG395" i="1" s="1"/>
  <c r="AM395" i="1"/>
  <c r="BF395" i="1" s="1"/>
  <c r="AN394" i="1"/>
  <c r="BG394" i="1" s="1"/>
  <c r="AM394" i="1"/>
  <c r="BF394" i="1" s="1"/>
  <c r="AN393" i="1"/>
  <c r="BG393" i="1" s="1"/>
  <c r="AM393" i="1"/>
  <c r="BF393" i="1" s="1"/>
  <c r="AN392" i="1"/>
  <c r="BG392" i="1" s="1"/>
  <c r="AM392" i="1"/>
  <c r="BF392" i="1" s="1"/>
  <c r="AN391" i="1"/>
  <c r="BG391" i="1" s="1"/>
  <c r="AM391" i="1"/>
  <c r="BF391" i="1" s="1"/>
  <c r="AN390" i="1"/>
  <c r="BG390" i="1" s="1"/>
  <c r="AM390" i="1"/>
  <c r="BF390" i="1" s="1"/>
  <c r="AN389" i="1"/>
  <c r="BG389" i="1" s="1"/>
  <c r="AM389" i="1"/>
  <c r="BF389" i="1" s="1"/>
  <c r="AN388" i="1"/>
  <c r="BG388" i="1" s="1"/>
  <c r="AM388" i="1"/>
  <c r="BF388" i="1" s="1"/>
  <c r="AN387" i="1"/>
  <c r="BG387" i="1" s="1"/>
  <c r="AM387" i="1"/>
  <c r="BF387" i="1" s="1"/>
  <c r="AN386" i="1"/>
  <c r="BG386" i="1" s="1"/>
  <c r="AM386" i="1"/>
  <c r="BF386" i="1" s="1"/>
  <c r="AN385" i="1"/>
  <c r="BG385" i="1" s="1"/>
  <c r="AM385" i="1"/>
  <c r="BF385" i="1" s="1"/>
  <c r="AN384" i="1"/>
  <c r="BG384" i="1" s="1"/>
  <c r="AM384" i="1"/>
  <c r="BF384" i="1" s="1"/>
  <c r="AN383" i="1"/>
  <c r="BG383" i="1" s="1"/>
  <c r="AM383" i="1"/>
  <c r="BF383" i="1" s="1"/>
  <c r="AN382" i="1"/>
  <c r="BG382" i="1" s="1"/>
  <c r="AM382" i="1"/>
  <c r="BF382" i="1" s="1"/>
  <c r="AN381" i="1"/>
  <c r="BG381" i="1" s="1"/>
  <c r="AM381" i="1"/>
  <c r="BF381" i="1" s="1"/>
  <c r="AN380" i="1"/>
  <c r="BG380" i="1" s="1"/>
  <c r="AM380" i="1"/>
  <c r="BF380" i="1" s="1"/>
  <c r="AN379" i="1"/>
  <c r="BG379" i="1" s="1"/>
  <c r="AM379" i="1"/>
  <c r="BF379" i="1" s="1"/>
  <c r="AN378" i="1"/>
  <c r="BG378" i="1" s="1"/>
  <c r="AM378" i="1"/>
  <c r="BF378" i="1" s="1"/>
  <c r="AN377" i="1"/>
  <c r="BG377" i="1" s="1"/>
  <c r="AM377" i="1"/>
  <c r="BF377" i="1" s="1"/>
  <c r="AN376" i="1"/>
  <c r="BG376" i="1" s="1"/>
  <c r="AM376" i="1"/>
  <c r="BF376" i="1" s="1"/>
  <c r="AN375" i="1"/>
  <c r="BG375" i="1" s="1"/>
  <c r="AM375" i="1"/>
  <c r="BF375" i="1" s="1"/>
  <c r="AN374" i="1"/>
  <c r="BG374" i="1" s="1"/>
  <c r="AM374" i="1"/>
  <c r="BF374" i="1" s="1"/>
  <c r="AN373" i="1"/>
  <c r="BG373" i="1" s="1"/>
  <c r="AM373" i="1"/>
  <c r="BF373" i="1" s="1"/>
  <c r="AN372" i="1"/>
  <c r="BG372" i="1" s="1"/>
  <c r="AM372" i="1"/>
  <c r="BF372" i="1" s="1"/>
  <c r="AN371" i="1"/>
  <c r="BG371" i="1" s="1"/>
  <c r="AM371" i="1"/>
  <c r="BF371" i="1" s="1"/>
  <c r="AN370" i="1"/>
  <c r="BG370" i="1" s="1"/>
  <c r="AM370" i="1"/>
  <c r="BF370" i="1" s="1"/>
  <c r="AN369" i="1"/>
  <c r="BG369" i="1" s="1"/>
  <c r="AM369" i="1"/>
  <c r="BF369" i="1" s="1"/>
  <c r="AN368" i="1"/>
  <c r="BG368" i="1" s="1"/>
  <c r="AM368" i="1"/>
  <c r="BF368" i="1" s="1"/>
  <c r="AN367" i="1"/>
  <c r="BG367" i="1" s="1"/>
  <c r="AM367" i="1"/>
  <c r="BF367" i="1" s="1"/>
  <c r="AN366" i="1"/>
  <c r="BG366" i="1" s="1"/>
  <c r="AM366" i="1"/>
  <c r="BF366" i="1" s="1"/>
  <c r="AN365" i="1"/>
  <c r="BG365" i="1" s="1"/>
  <c r="AM365" i="1"/>
  <c r="BF365" i="1" s="1"/>
  <c r="AN364" i="1"/>
  <c r="BG364" i="1" s="1"/>
  <c r="AM364" i="1"/>
  <c r="BF364" i="1" s="1"/>
  <c r="AN363" i="1"/>
  <c r="BG363" i="1" s="1"/>
  <c r="AM363" i="1"/>
  <c r="BF363" i="1" s="1"/>
  <c r="AN362" i="1"/>
  <c r="BG362" i="1" s="1"/>
  <c r="AM362" i="1"/>
  <c r="BF362" i="1" s="1"/>
  <c r="AN361" i="1"/>
  <c r="BG361" i="1" s="1"/>
  <c r="AM361" i="1"/>
  <c r="BF361" i="1" s="1"/>
  <c r="AN360" i="1"/>
  <c r="BG360" i="1" s="1"/>
  <c r="AM360" i="1"/>
  <c r="BF360" i="1" s="1"/>
  <c r="AN359" i="1"/>
  <c r="BG359" i="1" s="1"/>
  <c r="AM359" i="1"/>
  <c r="BF359" i="1" s="1"/>
  <c r="AN358" i="1"/>
  <c r="BG358" i="1" s="1"/>
  <c r="AM358" i="1"/>
  <c r="BF358" i="1" s="1"/>
  <c r="AN357" i="1"/>
  <c r="BG357" i="1" s="1"/>
  <c r="AM357" i="1"/>
  <c r="BF357" i="1" s="1"/>
  <c r="AN356" i="1"/>
  <c r="BG356" i="1" s="1"/>
  <c r="AM356" i="1"/>
  <c r="BF356" i="1" s="1"/>
  <c r="AN355" i="1"/>
  <c r="BG355" i="1" s="1"/>
  <c r="AM355" i="1"/>
  <c r="BF355" i="1" s="1"/>
  <c r="AN354" i="1"/>
  <c r="BG354" i="1" s="1"/>
  <c r="AM354" i="1"/>
  <c r="BF354" i="1" s="1"/>
  <c r="AN353" i="1"/>
  <c r="BG353" i="1" s="1"/>
  <c r="AM353" i="1"/>
  <c r="BF353" i="1" s="1"/>
  <c r="AN352" i="1"/>
  <c r="BG352" i="1" s="1"/>
  <c r="AM352" i="1"/>
  <c r="BF352" i="1" s="1"/>
  <c r="AN351" i="1"/>
  <c r="BG351" i="1" s="1"/>
  <c r="AM351" i="1"/>
  <c r="BF351" i="1" s="1"/>
  <c r="AN350" i="1"/>
  <c r="BG350" i="1" s="1"/>
  <c r="AM350" i="1"/>
  <c r="BF350" i="1" s="1"/>
  <c r="AN349" i="1"/>
  <c r="BG349" i="1" s="1"/>
  <c r="AM349" i="1"/>
  <c r="BF349" i="1" s="1"/>
  <c r="AN348" i="1"/>
  <c r="BG348" i="1" s="1"/>
  <c r="AM348" i="1"/>
  <c r="BF348" i="1" s="1"/>
  <c r="AN347" i="1"/>
  <c r="BG347" i="1" s="1"/>
  <c r="AM347" i="1"/>
  <c r="BF347" i="1" s="1"/>
  <c r="AN346" i="1"/>
  <c r="BG346" i="1" s="1"/>
  <c r="AM346" i="1"/>
  <c r="BF346" i="1" s="1"/>
  <c r="AN345" i="1"/>
  <c r="BG345" i="1" s="1"/>
  <c r="AM345" i="1"/>
  <c r="BF345" i="1" s="1"/>
  <c r="AN344" i="1"/>
  <c r="BG344" i="1" s="1"/>
  <c r="AM344" i="1"/>
  <c r="BF344" i="1" s="1"/>
  <c r="AN343" i="1"/>
  <c r="BG343" i="1" s="1"/>
  <c r="AM343" i="1"/>
  <c r="BF343" i="1" s="1"/>
  <c r="AN342" i="1"/>
  <c r="BG342" i="1" s="1"/>
  <c r="AM342" i="1"/>
  <c r="BF342" i="1" s="1"/>
  <c r="AN341" i="1"/>
  <c r="BG341" i="1" s="1"/>
  <c r="AM341" i="1"/>
  <c r="BF341" i="1" s="1"/>
  <c r="AN332" i="1"/>
  <c r="BG332" i="1" s="1"/>
  <c r="AM332" i="1"/>
  <c r="BF332" i="1" s="1"/>
  <c r="AN331" i="1"/>
  <c r="BG331" i="1" s="1"/>
  <c r="AM331" i="1"/>
  <c r="BF331" i="1" s="1"/>
  <c r="AN330" i="1"/>
  <c r="BG330" i="1" s="1"/>
  <c r="AM330" i="1"/>
  <c r="BF330" i="1" s="1"/>
  <c r="AN329" i="1"/>
  <c r="BG329" i="1" s="1"/>
  <c r="AM329" i="1"/>
  <c r="BF329" i="1" s="1"/>
  <c r="AN328" i="1"/>
  <c r="BG328" i="1" s="1"/>
  <c r="AM328" i="1"/>
  <c r="BF328" i="1" s="1"/>
  <c r="AN327" i="1"/>
  <c r="BG327" i="1" s="1"/>
  <c r="AM327" i="1"/>
  <c r="BF327" i="1" s="1"/>
  <c r="AN326" i="1"/>
  <c r="BG326" i="1" s="1"/>
  <c r="AM326" i="1"/>
  <c r="BF326" i="1" s="1"/>
  <c r="AN325" i="1"/>
  <c r="BG325" i="1" s="1"/>
  <c r="AM325" i="1"/>
  <c r="BF325" i="1" s="1"/>
  <c r="AN324" i="1"/>
  <c r="BG324" i="1" s="1"/>
  <c r="AM324" i="1"/>
  <c r="BF324" i="1" s="1"/>
  <c r="AN323" i="1"/>
  <c r="BG323" i="1" s="1"/>
  <c r="AM323" i="1"/>
  <c r="BF323" i="1" s="1"/>
  <c r="AN322" i="1"/>
  <c r="BG322" i="1" s="1"/>
  <c r="AM322" i="1"/>
  <c r="BF322" i="1" s="1"/>
  <c r="AN321" i="1"/>
  <c r="BG321" i="1" s="1"/>
  <c r="AM321" i="1"/>
  <c r="BF321" i="1" s="1"/>
  <c r="AN320" i="1"/>
  <c r="BG320" i="1" s="1"/>
  <c r="AM320" i="1"/>
  <c r="BF320" i="1" s="1"/>
  <c r="AN319" i="1"/>
  <c r="BG319" i="1" s="1"/>
  <c r="AM319" i="1"/>
  <c r="BF319" i="1" s="1"/>
  <c r="AN318" i="1"/>
  <c r="BG318" i="1" s="1"/>
  <c r="AM318" i="1"/>
  <c r="BF318" i="1" s="1"/>
  <c r="AN317" i="1"/>
  <c r="BG317" i="1" s="1"/>
  <c r="AM317" i="1"/>
  <c r="BF317" i="1" s="1"/>
  <c r="AN316" i="1"/>
  <c r="BG316" i="1" s="1"/>
  <c r="AM316" i="1"/>
  <c r="BF316" i="1" s="1"/>
  <c r="AN315" i="1"/>
  <c r="BG315" i="1" s="1"/>
  <c r="AM315" i="1"/>
  <c r="BF315" i="1" s="1"/>
  <c r="AN314" i="1"/>
  <c r="BG314" i="1" s="1"/>
  <c r="AM314" i="1"/>
  <c r="BF314" i="1" s="1"/>
  <c r="AN313" i="1"/>
  <c r="BG313" i="1" s="1"/>
  <c r="AM313" i="1"/>
  <c r="BF313" i="1" s="1"/>
  <c r="AN312" i="1"/>
  <c r="BG312" i="1" s="1"/>
  <c r="AM312" i="1"/>
  <c r="BF312" i="1" s="1"/>
  <c r="AN311" i="1"/>
  <c r="BG311" i="1" s="1"/>
  <c r="AM311" i="1"/>
  <c r="BF311" i="1" s="1"/>
  <c r="AN310" i="1"/>
  <c r="BG310" i="1" s="1"/>
  <c r="AM310" i="1"/>
  <c r="BF310" i="1" s="1"/>
  <c r="AN309" i="1"/>
  <c r="BG309" i="1" s="1"/>
  <c r="AM309" i="1"/>
  <c r="BF309" i="1" s="1"/>
  <c r="AN308" i="1"/>
  <c r="BG308" i="1" s="1"/>
  <c r="AM308" i="1"/>
  <c r="BF308" i="1" s="1"/>
  <c r="AN307" i="1"/>
  <c r="BG307" i="1" s="1"/>
  <c r="AM307" i="1"/>
  <c r="BF307" i="1" s="1"/>
  <c r="AN300" i="1"/>
  <c r="BG300" i="1" s="1"/>
  <c r="AM300" i="1"/>
  <c r="BF300" i="1" s="1"/>
  <c r="AN299" i="1"/>
  <c r="BG299" i="1" s="1"/>
  <c r="AM299" i="1"/>
  <c r="BF299" i="1" s="1"/>
  <c r="AN298" i="1"/>
  <c r="BG298" i="1" s="1"/>
  <c r="AM298" i="1"/>
  <c r="BF298" i="1" s="1"/>
  <c r="AN297" i="1"/>
  <c r="BG297" i="1" s="1"/>
  <c r="AM297" i="1"/>
  <c r="BF297" i="1" s="1"/>
  <c r="AN296" i="1"/>
  <c r="BG296" i="1" s="1"/>
  <c r="AM296" i="1"/>
  <c r="BF296" i="1" s="1"/>
  <c r="AN295" i="1"/>
  <c r="BG295" i="1" s="1"/>
  <c r="AM295" i="1"/>
  <c r="BF295" i="1" s="1"/>
  <c r="AN294" i="1"/>
  <c r="BG294" i="1" s="1"/>
  <c r="AM294" i="1"/>
  <c r="BF294" i="1" s="1"/>
  <c r="AN293" i="1"/>
  <c r="BG293" i="1" s="1"/>
  <c r="AM293" i="1"/>
  <c r="BF293" i="1" s="1"/>
  <c r="AN292" i="1"/>
  <c r="BG292" i="1" s="1"/>
  <c r="AM292" i="1"/>
  <c r="BF292" i="1" s="1"/>
  <c r="AN291" i="1"/>
  <c r="BG291" i="1" s="1"/>
  <c r="AM291" i="1"/>
  <c r="BF291" i="1" s="1"/>
  <c r="AN290" i="1"/>
  <c r="BG290" i="1" s="1"/>
  <c r="AM290" i="1"/>
  <c r="BF290" i="1" s="1"/>
  <c r="AN289" i="1"/>
  <c r="BG289" i="1" s="1"/>
  <c r="AM289" i="1"/>
  <c r="BF289" i="1" s="1"/>
  <c r="AN288" i="1"/>
  <c r="BG288" i="1" s="1"/>
  <c r="AM288" i="1"/>
  <c r="BF288" i="1" s="1"/>
  <c r="AN287" i="1"/>
  <c r="BG287" i="1" s="1"/>
  <c r="AM287" i="1"/>
  <c r="BF287" i="1" s="1"/>
  <c r="AN286" i="1"/>
  <c r="BG286" i="1" s="1"/>
  <c r="AM286" i="1"/>
  <c r="BF286" i="1" s="1"/>
  <c r="AN285" i="1"/>
  <c r="BG285" i="1" s="1"/>
  <c r="AM285" i="1"/>
  <c r="BF285" i="1" s="1"/>
  <c r="AN284" i="1"/>
  <c r="BG284" i="1" s="1"/>
  <c r="AM284" i="1"/>
  <c r="BF284" i="1" s="1"/>
  <c r="AN283" i="1"/>
  <c r="BG283" i="1" s="1"/>
  <c r="AM283" i="1"/>
  <c r="BF283" i="1" s="1"/>
  <c r="AN282" i="1"/>
  <c r="BG282" i="1" s="1"/>
  <c r="AM282" i="1"/>
  <c r="BF282" i="1" s="1"/>
  <c r="AN281" i="1"/>
  <c r="BG281" i="1" s="1"/>
  <c r="AM281" i="1"/>
  <c r="BF281" i="1" s="1"/>
  <c r="AN280" i="1"/>
  <c r="BG280" i="1" s="1"/>
  <c r="AM280" i="1"/>
  <c r="BF280" i="1" s="1"/>
  <c r="AN279" i="1"/>
  <c r="BG279" i="1" s="1"/>
  <c r="AM279" i="1"/>
  <c r="BF279" i="1" s="1"/>
  <c r="AN278" i="1"/>
  <c r="BG278" i="1" s="1"/>
  <c r="AM278" i="1"/>
  <c r="BF278" i="1" s="1"/>
  <c r="AN277" i="1"/>
  <c r="BG277" i="1" s="1"/>
  <c r="AM277" i="1"/>
  <c r="BF277" i="1" s="1"/>
  <c r="AN276" i="1"/>
  <c r="BG276" i="1" s="1"/>
  <c r="AM276" i="1"/>
  <c r="BF276" i="1" s="1"/>
  <c r="AN275" i="1"/>
  <c r="BG275" i="1" s="1"/>
  <c r="AM275" i="1"/>
  <c r="BF275" i="1" s="1"/>
  <c r="AN274" i="1"/>
  <c r="BG274" i="1" s="1"/>
  <c r="AM274" i="1"/>
  <c r="BF274" i="1" s="1"/>
  <c r="AN273" i="1"/>
  <c r="BG273" i="1" s="1"/>
  <c r="AM273" i="1"/>
  <c r="BF273" i="1" s="1"/>
  <c r="AN272" i="1"/>
  <c r="BG272" i="1" s="1"/>
  <c r="AM272" i="1"/>
  <c r="BF272" i="1" s="1"/>
  <c r="AN271" i="1"/>
  <c r="BG271" i="1" s="1"/>
  <c r="AM271" i="1"/>
  <c r="BF271" i="1" s="1"/>
  <c r="AN270" i="1"/>
  <c r="BG270" i="1" s="1"/>
  <c r="AM270" i="1"/>
  <c r="BF270" i="1" s="1"/>
  <c r="AN269" i="1"/>
  <c r="BG269" i="1" s="1"/>
  <c r="AM269" i="1"/>
  <c r="BF269" i="1" s="1"/>
  <c r="AN268" i="1"/>
  <c r="BG268" i="1" s="1"/>
  <c r="AM268" i="1"/>
  <c r="BF268" i="1" s="1"/>
  <c r="AN267" i="1"/>
  <c r="BG267" i="1" s="1"/>
  <c r="AM267" i="1"/>
  <c r="BF267" i="1" s="1"/>
  <c r="AN266" i="1"/>
  <c r="BG266" i="1" s="1"/>
  <c r="AM266" i="1"/>
  <c r="BF266" i="1" s="1"/>
  <c r="AN265" i="1"/>
  <c r="BG265" i="1" s="1"/>
  <c r="AM265" i="1"/>
  <c r="BF265" i="1" s="1"/>
  <c r="AN264" i="1"/>
  <c r="BG264" i="1" s="1"/>
  <c r="AM264" i="1"/>
  <c r="BF264" i="1" s="1"/>
  <c r="AN263" i="1"/>
  <c r="BG263" i="1" s="1"/>
  <c r="AM263" i="1"/>
  <c r="BF263" i="1" s="1"/>
  <c r="AN262" i="1"/>
  <c r="BG262" i="1" s="1"/>
  <c r="AM262" i="1"/>
  <c r="BF262" i="1" s="1"/>
  <c r="AN261" i="1"/>
  <c r="BG261" i="1" s="1"/>
  <c r="AM261" i="1"/>
  <c r="BF261" i="1" s="1"/>
  <c r="AN260" i="1"/>
  <c r="BG260" i="1" s="1"/>
  <c r="AM260" i="1"/>
  <c r="BF260" i="1" s="1"/>
  <c r="AN259" i="1"/>
  <c r="BG259" i="1" s="1"/>
  <c r="AM259" i="1"/>
  <c r="BF259" i="1" s="1"/>
  <c r="AN258" i="1"/>
  <c r="BG258" i="1" s="1"/>
  <c r="AM258" i="1"/>
  <c r="BF258" i="1" s="1"/>
  <c r="AN257" i="1"/>
  <c r="BG257" i="1" s="1"/>
  <c r="AM257" i="1"/>
  <c r="BF257" i="1" s="1"/>
  <c r="AN256" i="1"/>
  <c r="BG256" i="1" s="1"/>
  <c r="AM256" i="1"/>
  <c r="BF256" i="1" s="1"/>
  <c r="AN255" i="1"/>
  <c r="BG255" i="1" s="1"/>
  <c r="AM255" i="1"/>
  <c r="BF255" i="1" s="1"/>
  <c r="AN254" i="1"/>
  <c r="BG254" i="1" s="1"/>
  <c r="AM254" i="1"/>
  <c r="BF254" i="1" s="1"/>
  <c r="AN253" i="1"/>
  <c r="BG253" i="1" s="1"/>
  <c r="AM253" i="1"/>
  <c r="BF253" i="1" s="1"/>
  <c r="AN252" i="1"/>
  <c r="BG252" i="1" s="1"/>
  <c r="AM252" i="1"/>
  <c r="BF252" i="1" s="1"/>
  <c r="AN251" i="1"/>
  <c r="BG251" i="1" s="1"/>
  <c r="AM251" i="1"/>
  <c r="BF251" i="1" s="1"/>
  <c r="AN250" i="1"/>
  <c r="BG250" i="1" s="1"/>
  <c r="AM250" i="1"/>
  <c r="BF250" i="1" s="1"/>
  <c r="AN249" i="1"/>
  <c r="BG249" i="1" s="1"/>
  <c r="AM249" i="1"/>
  <c r="BF249" i="1" s="1"/>
  <c r="AN248" i="1"/>
  <c r="BG248" i="1" s="1"/>
  <c r="AM248" i="1"/>
  <c r="BF248" i="1" s="1"/>
  <c r="AN247" i="1"/>
  <c r="BG247" i="1" s="1"/>
  <c r="AM247" i="1"/>
  <c r="BF247" i="1" s="1"/>
  <c r="AN246" i="1"/>
  <c r="BG246" i="1" s="1"/>
  <c r="AM246" i="1"/>
  <c r="BF246" i="1" s="1"/>
  <c r="AN245" i="1"/>
  <c r="BG245" i="1" s="1"/>
  <c r="AM245" i="1"/>
  <c r="BF245" i="1" s="1"/>
  <c r="AN244" i="1"/>
  <c r="BG244" i="1" s="1"/>
  <c r="AM244" i="1"/>
  <c r="BF244" i="1" s="1"/>
  <c r="AN243" i="1"/>
  <c r="BG243" i="1" s="1"/>
  <c r="AM243" i="1"/>
  <c r="BF243" i="1" s="1"/>
  <c r="AN242" i="1"/>
  <c r="BG242" i="1" s="1"/>
  <c r="AM242" i="1"/>
  <c r="BF242" i="1" s="1"/>
  <c r="AN241" i="1"/>
  <c r="BG241" i="1" s="1"/>
  <c r="AM241" i="1"/>
  <c r="BF241" i="1" s="1"/>
  <c r="AN240" i="1"/>
  <c r="BG240" i="1" s="1"/>
  <c r="AM240" i="1"/>
  <c r="BF240" i="1" s="1"/>
  <c r="AN239" i="1"/>
  <c r="BG239" i="1" s="1"/>
  <c r="AM239" i="1"/>
  <c r="BF239" i="1" s="1"/>
  <c r="AN238" i="1"/>
  <c r="BG238" i="1" s="1"/>
  <c r="AM238" i="1"/>
  <c r="BF238" i="1" s="1"/>
  <c r="AN237" i="1"/>
  <c r="BG237" i="1" s="1"/>
  <c r="AM237" i="1"/>
  <c r="BF237" i="1" s="1"/>
  <c r="AN236" i="1"/>
  <c r="BG236" i="1" s="1"/>
  <c r="AM236" i="1"/>
  <c r="BF236" i="1" s="1"/>
  <c r="AN235" i="1"/>
  <c r="BG235" i="1" s="1"/>
  <c r="AM235" i="1"/>
  <c r="BF235" i="1" s="1"/>
  <c r="AN234" i="1"/>
  <c r="BG234" i="1" s="1"/>
  <c r="AM234" i="1"/>
  <c r="BF234" i="1" s="1"/>
  <c r="AN233" i="1"/>
  <c r="BG233" i="1" s="1"/>
  <c r="AM233" i="1"/>
  <c r="BF233" i="1" s="1"/>
  <c r="AN231" i="1"/>
  <c r="BG231" i="1" s="1"/>
  <c r="AM231" i="1"/>
  <c r="BF231" i="1" s="1"/>
  <c r="AN228" i="1"/>
  <c r="BG228" i="1" s="1"/>
  <c r="AM228" i="1"/>
  <c r="BF228" i="1" s="1"/>
  <c r="AN227" i="1"/>
  <c r="BG227" i="1" s="1"/>
  <c r="AM227" i="1"/>
  <c r="BF227" i="1" s="1"/>
  <c r="AN226" i="1"/>
  <c r="BG226" i="1" s="1"/>
  <c r="AM226" i="1"/>
  <c r="BF226" i="1" s="1"/>
  <c r="AN225" i="1"/>
  <c r="BG225" i="1" s="1"/>
  <c r="AM225" i="1"/>
  <c r="BF225" i="1" s="1"/>
  <c r="AN224" i="1"/>
  <c r="BG224" i="1" s="1"/>
  <c r="AM224" i="1"/>
  <c r="BF224" i="1" s="1"/>
  <c r="AN223" i="1"/>
  <c r="BG223" i="1" s="1"/>
  <c r="AM223" i="1"/>
  <c r="BF223" i="1" s="1"/>
  <c r="AN222" i="1"/>
  <c r="BG222" i="1" s="1"/>
  <c r="AM222" i="1"/>
  <c r="BF222" i="1" s="1"/>
  <c r="AN221" i="1"/>
  <c r="BG221" i="1" s="1"/>
  <c r="AM221" i="1"/>
  <c r="BF221" i="1" s="1"/>
  <c r="AN220" i="1"/>
  <c r="BG220" i="1" s="1"/>
  <c r="AM220" i="1"/>
  <c r="BF220" i="1" s="1"/>
  <c r="AN219" i="1"/>
  <c r="BG219" i="1" s="1"/>
  <c r="AM219" i="1"/>
  <c r="BF219" i="1" s="1"/>
  <c r="AN218" i="1"/>
  <c r="BG218" i="1" s="1"/>
  <c r="AM218" i="1"/>
  <c r="BF218" i="1" s="1"/>
  <c r="AN217" i="1"/>
  <c r="BG217" i="1" s="1"/>
  <c r="AM217" i="1"/>
  <c r="BF217" i="1" s="1"/>
  <c r="AN216" i="1"/>
  <c r="BG216" i="1" s="1"/>
  <c r="AM216" i="1"/>
  <c r="BF216" i="1" s="1"/>
  <c r="AN215" i="1"/>
  <c r="BG215" i="1" s="1"/>
  <c r="AM215" i="1"/>
  <c r="BF215" i="1" s="1"/>
  <c r="AN214" i="1"/>
  <c r="BG214" i="1" s="1"/>
  <c r="AM214" i="1"/>
  <c r="BF214" i="1" s="1"/>
  <c r="AN213" i="1"/>
  <c r="BG213" i="1" s="1"/>
  <c r="AM213" i="1"/>
  <c r="BF213" i="1" s="1"/>
  <c r="AN202" i="1"/>
  <c r="BG202" i="1" s="1"/>
  <c r="AM202" i="1"/>
  <c r="BF202" i="1" s="1"/>
  <c r="AN201" i="1"/>
  <c r="BG201" i="1" s="1"/>
  <c r="AM201" i="1"/>
  <c r="BF201" i="1" s="1"/>
  <c r="AN200" i="1"/>
  <c r="BG200" i="1" s="1"/>
  <c r="AM200" i="1"/>
  <c r="BF200" i="1" s="1"/>
  <c r="AN199" i="1"/>
  <c r="BG199" i="1" s="1"/>
  <c r="AM199" i="1"/>
  <c r="BF199" i="1" s="1"/>
  <c r="AN198" i="1"/>
  <c r="BG198" i="1" s="1"/>
  <c r="AM198" i="1"/>
  <c r="BF198" i="1" s="1"/>
  <c r="AN197" i="1"/>
  <c r="BG197" i="1" s="1"/>
  <c r="AM197" i="1"/>
  <c r="BF197" i="1" s="1"/>
  <c r="AN196" i="1"/>
  <c r="BG196" i="1" s="1"/>
  <c r="AM196" i="1"/>
  <c r="BF196" i="1" s="1"/>
  <c r="AN195" i="1"/>
  <c r="BG195" i="1" s="1"/>
  <c r="AM195" i="1"/>
  <c r="BF195" i="1" s="1"/>
  <c r="AN194" i="1"/>
  <c r="BG194" i="1" s="1"/>
  <c r="AM194" i="1"/>
  <c r="BF194" i="1" s="1"/>
  <c r="AN193" i="1"/>
  <c r="BG193" i="1" s="1"/>
  <c r="AM193" i="1"/>
  <c r="BF193" i="1" s="1"/>
  <c r="AN192" i="1"/>
  <c r="BG192" i="1" s="1"/>
  <c r="AM192" i="1"/>
  <c r="BF192" i="1" s="1"/>
  <c r="AN191" i="1"/>
  <c r="BG191" i="1" s="1"/>
  <c r="AM191" i="1"/>
  <c r="BF191" i="1" s="1"/>
  <c r="AN190" i="1"/>
  <c r="BG190" i="1" s="1"/>
  <c r="AM190" i="1"/>
  <c r="BF190" i="1" s="1"/>
  <c r="AN189" i="1"/>
  <c r="BG189" i="1" s="1"/>
  <c r="AM189" i="1"/>
  <c r="BF189" i="1" s="1"/>
  <c r="AN188" i="1"/>
  <c r="BG188" i="1" s="1"/>
  <c r="AM188" i="1"/>
  <c r="BF188" i="1" s="1"/>
  <c r="AN187" i="1"/>
  <c r="BG187" i="1" s="1"/>
  <c r="AM187" i="1"/>
  <c r="BF187" i="1" s="1"/>
  <c r="AN186" i="1"/>
  <c r="BG186" i="1" s="1"/>
  <c r="AM186" i="1"/>
  <c r="BF186" i="1" s="1"/>
  <c r="AN185" i="1"/>
  <c r="BG185" i="1" s="1"/>
  <c r="AM185" i="1"/>
  <c r="BF185" i="1" s="1"/>
  <c r="AN184" i="1"/>
  <c r="BG184" i="1" s="1"/>
  <c r="AM184" i="1"/>
  <c r="BF184" i="1" s="1"/>
  <c r="AN183" i="1"/>
  <c r="BG183" i="1" s="1"/>
  <c r="AM183" i="1"/>
  <c r="BF183" i="1" s="1"/>
  <c r="AN182" i="1"/>
  <c r="BG182" i="1" s="1"/>
  <c r="AM182" i="1"/>
  <c r="BF182" i="1" s="1"/>
  <c r="AN181" i="1"/>
  <c r="BG181" i="1" s="1"/>
  <c r="AM181" i="1"/>
  <c r="BF181" i="1" s="1"/>
  <c r="AN180" i="1"/>
  <c r="BG180" i="1" s="1"/>
  <c r="AM180" i="1"/>
  <c r="BF180" i="1" s="1"/>
  <c r="AN179" i="1"/>
  <c r="BG179" i="1" s="1"/>
  <c r="AM179" i="1"/>
  <c r="BF179" i="1" s="1"/>
  <c r="AN178" i="1"/>
  <c r="BG178" i="1" s="1"/>
  <c r="AM178" i="1"/>
  <c r="BF178" i="1" s="1"/>
  <c r="AN177" i="1"/>
  <c r="BG177" i="1" s="1"/>
  <c r="AM177" i="1"/>
  <c r="BF177" i="1" s="1"/>
  <c r="AN176" i="1"/>
  <c r="BG176" i="1" s="1"/>
  <c r="AM176" i="1"/>
  <c r="BF176" i="1" s="1"/>
  <c r="AN175" i="1"/>
  <c r="BG175" i="1" s="1"/>
  <c r="AM175" i="1"/>
  <c r="BF175" i="1" s="1"/>
  <c r="AN174" i="1"/>
  <c r="BG174" i="1" s="1"/>
  <c r="AM174" i="1"/>
  <c r="BF174" i="1" s="1"/>
  <c r="AN173" i="1"/>
  <c r="BG173" i="1" s="1"/>
  <c r="AM173" i="1"/>
  <c r="BF173" i="1" s="1"/>
  <c r="AN172" i="1"/>
  <c r="BG172" i="1" s="1"/>
  <c r="AM172" i="1"/>
  <c r="BF172" i="1" s="1"/>
  <c r="AN171" i="1"/>
  <c r="BG171" i="1" s="1"/>
  <c r="AM171" i="1"/>
  <c r="BF171" i="1" s="1"/>
  <c r="AN170" i="1"/>
  <c r="BG170" i="1" s="1"/>
  <c r="AM170" i="1"/>
  <c r="BF170" i="1" s="1"/>
  <c r="AN169" i="1"/>
  <c r="BG169" i="1" s="1"/>
  <c r="AM169" i="1"/>
  <c r="BF169" i="1" s="1"/>
  <c r="AN168" i="1"/>
  <c r="BG168" i="1" s="1"/>
  <c r="AM168" i="1"/>
  <c r="BF168" i="1" s="1"/>
  <c r="AN167" i="1"/>
  <c r="BG167" i="1" s="1"/>
  <c r="AM167" i="1"/>
  <c r="BF167" i="1" s="1"/>
  <c r="AN166" i="1"/>
  <c r="BG166" i="1" s="1"/>
  <c r="AM166" i="1"/>
  <c r="BF166" i="1" s="1"/>
  <c r="AN165" i="1"/>
  <c r="BG165" i="1" s="1"/>
  <c r="AM165" i="1"/>
  <c r="BF165" i="1" s="1"/>
  <c r="AN164" i="1"/>
  <c r="BG164" i="1" s="1"/>
  <c r="AM164" i="1"/>
  <c r="BF164" i="1" s="1"/>
  <c r="AN163" i="1"/>
  <c r="BG163" i="1" s="1"/>
  <c r="AM163" i="1"/>
  <c r="BF163" i="1" s="1"/>
  <c r="AN162" i="1"/>
  <c r="BG162" i="1" s="1"/>
  <c r="AM162" i="1"/>
  <c r="BF162" i="1" s="1"/>
  <c r="AN161" i="1"/>
  <c r="BG161" i="1" s="1"/>
  <c r="AM161" i="1"/>
  <c r="BF161" i="1" s="1"/>
  <c r="AN160" i="1"/>
  <c r="BG160" i="1" s="1"/>
  <c r="AM160" i="1"/>
  <c r="BF160" i="1" s="1"/>
  <c r="AN159" i="1"/>
  <c r="BG159" i="1" s="1"/>
  <c r="AM159" i="1"/>
  <c r="BF159" i="1" s="1"/>
  <c r="AN158" i="1"/>
  <c r="BG158" i="1" s="1"/>
  <c r="AM158" i="1"/>
  <c r="BF158" i="1" s="1"/>
  <c r="AN157" i="1"/>
  <c r="BG157" i="1" s="1"/>
  <c r="AM157" i="1"/>
  <c r="BF157" i="1" s="1"/>
  <c r="AN156" i="1"/>
  <c r="BG156" i="1" s="1"/>
  <c r="AM156" i="1"/>
  <c r="BF156" i="1" s="1"/>
  <c r="AN155" i="1"/>
  <c r="BG155" i="1" s="1"/>
  <c r="AM155" i="1"/>
  <c r="BF155" i="1" s="1"/>
  <c r="AN154" i="1"/>
  <c r="BG154" i="1" s="1"/>
  <c r="AM154" i="1"/>
  <c r="BF154" i="1" s="1"/>
  <c r="AN142" i="1"/>
  <c r="BG142" i="1" s="1"/>
  <c r="AM142" i="1"/>
  <c r="BF142" i="1" s="1"/>
  <c r="AN141" i="1"/>
  <c r="BG141" i="1" s="1"/>
  <c r="AM141" i="1"/>
  <c r="BF141" i="1" s="1"/>
  <c r="AN140" i="1"/>
  <c r="BG140" i="1" s="1"/>
  <c r="AM140" i="1"/>
  <c r="BF140" i="1" s="1"/>
  <c r="AN139" i="1"/>
  <c r="BG139" i="1" s="1"/>
  <c r="AM139" i="1"/>
  <c r="BF139" i="1" s="1"/>
  <c r="AN138" i="1"/>
  <c r="BG138" i="1" s="1"/>
  <c r="AM138" i="1"/>
  <c r="BF138" i="1" s="1"/>
  <c r="AN137" i="1"/>
  <c r="BG137" i="1" s="1"/>
  <c r="AM137" i="1"/>
  <c r="BF137" i="1" s="1"/>
  <c r="AN144" i="1"/>
  <c r="BG144" i="1" s="1"/>
  <c r="AM144" i="1"/>
  <c r="BF144" i="1" s="1"/>
  <c r="AN143" i="1"/>
  <c r="BG143" i="1" s="1"/>
  <c r="AM143" i="1"/>
  <c r="BF143" i="1" s="1"/>
  <c r="AN136" i="1"/>
  <c r="BG136" i="1" s="1"/>
  <c r="AM136" i="1"/>
  <c r="BF136" i="1" s="1"/>
  <c r="AN135" i="1"/>
  <c r="BG135" i="1" s="1"/>
  <c r="AM135" i="1"/>
  <c r="BF135" i="1" s="1"/>
  <c r="AN134" i="1"/>
  <c r="BG134" i="1" s="1"/>
  <c r="AM134" i="1"/>
  <c r="BF134" i="1" s="1"/>
  <c r="AN133" i="1"/>
  <c r="BG133" i="1" s="1"/>
  <c r="AM133" i="1"/>
  <c r="BF133" i="1" s="1"/>
  <c r="AN132" i="1"/>
  <c r="BG132" i="1" s="1"/>
  <c r="AM132" i="1"/>
  <c r="BF132" i="1" s="1"/>
  <c r="AN122" i="1"/>
  <c r="BG122" i="1" s="1"/>
  <c r="AM122" i="1"/>
  <c r="BF122" i="1" s="1"/>
  <c r="AN121" i="1"/>
  <c r="BG121" i="1" s="1"/>
  <c r="AM121" i="1"/>
  <c r="BF121" i="1" s="1"/>
  <c r="AN120" i="1"/>
  <c r="BG120" i="1" s="1"/>
  <c r="AM120" i="1"/>
  <c r="BF120" i="1" s="1"/>
  <c r="AN119" i="1"/>
  <c r="BG119" i="1" s="1"/>
  <c r="AM119" i="1"/>
  <c r="BF119" i="1" s="1"/>
  <c r="AN118" i="1"/>
  <c r="BG118" i="1" s="1"/>
  <c r="AM118" i="1"/>
  <c r="BF118" i="1" s="1"/>
  <c r="AN117" i="1"/>
  <c r="BG117" i="1" s="1"/>
  <c r="AM117" i="1"/>
  <c r="BF117" i="1" s="1"/>
  <c r="AN116" i="1"/>
  <c r="BG116" i="1" s="1"/>
  <c r="AM116" i="1"/>
  <c r="BF116" i="1" s="1"/>
  <c r="AN115" i="1"/>
  <c r="BG115" i="1" s="1"/>
  <c r="AM115" i="1"/>
  <c r="BF115" i="1" s="1"/>
  <c r="AN114" i="1"/>
  <c r="BG114" i="1" s="1"/>
  <c r="AM114" i="1"/>
  <c r="BF114" i="1" s="1"/>
  <c r="AN113" i="1"/>
  <c r="BG113" i="1" s="1"/>
  <c r="AM113" i="1"/>
  <c r="BF113" i="1" s="1"/>
  <c r="AN112" i="1"/>
  <c r="BG112" i="1" s="1"/>
  <c r="AM112" i="1"/>
  <c r="BF112" i="1" s="1"/>
  <c r="AN111" i="1"/>
  <c r="BG111" i="1" s="1"/>
  <c r="AM111" i="1"/>
  <c r="BF111" i="1" s="1"/>
  <c r="AN110" i="1"/>
  <c r="BG110" i="1" s="1"/>
  <c r="AM110" i="1"/>
  <c r="BF110" i="1" s="1"/>
  <c r="AN109" i="1"/>
  <c r="BG109" i="1" s="1"/>
  <c r="AM109" i="1"/>
  <c r="BF109" i="1" s="1"/>
  <c r="AN108" i="1"/>
  <c r="BG108" i="1" s="1"/>
  <c r="AM108" i="1"/>
  <c r="BF108" i="1" s="1"/>
  <c r="AN107" i="1"/>
  <c r="BG107" i="1" s="1"/>
  <c r="AM107" i="1"/>
  <c r="BF107" i="1" s="1"/>
  <c r="AN106" i="1"/>
  <c r="BG106" i="1" s="1"/>
  <c r="AM106" i="1"/>
  <c r="BF106" i="1" s="1"/>
  <c r="AN105" i="1"/>
  <c r="BG105" i="1" s="1"/>
  <c r="AM105" i="1"/>
  <c r="BF105" i="1" s="1"/>
  <c r="AN104" i="1"/>
  <c r="BG104" i="1" s="1"/>
  <c r="AM104" i="1"/>
  <c r="BF104" i="1" s="1"/>
  <c r="AN103" i="1"/>
  <c r="BG103" i="1" s="1"/>
  <c r="AM103" i="1"/>
  <c r="BF103" i="1" s="1"/>
  <c r="AN102" i="1"/>
  <c r="BG102" i="1" s="1"/>
  <c r="AM102" i="1"/>
  <c r="BF102" i="1" s="1"/>
  <c r="AN101" i="1"/>
  <c r="BG101" i="1" s="1"/>
  <c r="AM101" i="1"/>
  <c r="BF101" i="1" s="1"/>
  <c r="AN100" i="1"/>
  <c r="BG100" i="1" s="1"/>
  <c r="AM100" i="1"/>
  <c r="BF100" i="1" s="1"/>
  <c r="AN99" i="1"/>
  <c r="BG99" i="1" s="1"/>
  <c r="AM99" i="1"/>
  <c r="BF99" i="1" s="1"/>
  <c r="AN98" i="1"/>
  <c r="BG98" i="1" s="1"/>
  <c r="AM98" i="1"/>
  <c r="BF98" i="1" s="1"/>
  <c r="AN97" i="1"/>
  <c r="BG97" i="1" s="1"/>
  <c r="AM97" i="1"/>
  <c r="BF97" i="1" s="1"/>
  <c r="AN96" i="1"/>
  <c r="BG96" i="1" s="1"/>
  <c r="AM96" i="1"/>
  <c r="BF96" i="1" s="1"/>
  <c r="AN95" i="1"/>
  <c r="BG95" i="1" s="1"/>
  <c r="AM95" i="1"/>
  <c r="BF95" i="1" s="1"/>
  <c r="AN93" i="1"/>
  <c r="BG93" i="1" s="1"/>
  <c r="AM93" i="1"/>
  <c r="BF93" i="1" s="1"/>
  <c r="AN92" i="1"/>
  <c r="BG92" i="1" s="1"/>
  <c r="AM92" i="1"/>
  <c r="BF92" i="1" s="1"/>
  <c r="AN91" i="1"/>
  <c r="BG91" i="1" s="1"/>
  <c r="AM91" i="1"/>
  <c r="BF91" i="1" s="1"/>
  <c r="AN90" i="1"/>
  <c r="BG90" i="1" s="1"/>
  <c r="AM90" i="1"/>
  <c r="BF90" i="1" s="1"/>
  <c r="AN89" i="1"/>
  <c r="BG89" i="1" s="1"/>
  <c r="AM89" i="1"/>
  <c r="BF89" i="1" s="1"/>
  <c r="AN88" i="1"/>
  <c r="BG88" i="1" s="1"/>
  <c r="AM88" i="1"/>
  <c r="BF88" i="1" s="1"/>
  <c r="AN87" i="1"/>
  <c r="BG87" i="1" s="1"/>
  <c r="AM87" i="1"/>
  <c r="BF87" i="1" s="1"/>
  <c r="AN81" i="1"/>
  <c r="BG81" i="1" s="1"/>
  <c r="AM81" i="1"/>
  <c r="BF81" i="1" s="1"/>
  <c r="AN80" i="1"/>
  <c r="BG80" i="1" s="1"/>
  <c r="AM80" i="1"/>
  <c r="BF80" i="1" s="1"/>
  <c r="AN79" i="1"/>
  <c r="BG79" i="1" s="1"/>
  <c r="AM79" i="1"/>
  <c r="BF79" i="1" s="1"/>
  <c r="AN78" i="1"/>
  <c r="BG78" i="1" s="1"/>
  <c r="AM78" i="1"/>
  <c r="BF78" i="1" s="1"/>
  <c r="AN77" i="1"/>
  <c r="BG77" i="1" s="1"/>
  <c r="AM77" i="1"/>
  <c r="BF77" i="1" s="1"/>
  <c r="AN76" i="1"/>
  <c r="BG76" i="1" s="1"/>
  <c r="AM76" i="1"/>
  <c r="BF76" i="1" s="1"/>
  <c r="AN75" i="1"/>
  <c r="BG75" i="1" s="1"/>
  <c r="AM75" i="1"/>
  <c r="BF75" i="1" s="1"/>
  <c r="AN74" i="1"/>
  <c r="BG74" i="1" s="1"/>
  <c r="AM74" i="1"/>
  <c r="BF74" i="1" s="1"/>
  <c r="AN73" i="1"/>
  <c r="BG73" i="1" s="1"/>
  <c r="AM73" i="1"/>
  <c r="BF73" i="1" s="1"/>
  <c r="AN72" i="1"/>
  <c r="BG72" i="1" s="1"/>
  <c r="AM72" i="1"/>
  <c r="BF72" i="1" s="1"/>
  <c r="AN71" i="1"/>
  <c r="BG71" i="1" s="1"/>
  <c r="AM71" i="1"/>
  <c r="BF71" i="1" s="1"/>
  <c r="AN70" i="1"/>
  <c r="BG70" i="1" s="1"/>
  <c r="AM70" i="1"/>
  <c r="BF70" i="1" s="1"/>
  <c r="AN69" i="1"/>
  <c r="BG69" i="1" s="1"/>
  <c r="AM69" i="1"/>
  <c r="BF69" i="1" s="1"/>
  <c r="AN68" i="1"/>
  <c r="BG68" i="1" s="1"/>
  <c r="AM68" i="1"/>
  <c r="BF68" i="1" s="1"/>
  <c r="AN67" i="1"/>
  <c r="BG67" i="1" s="1"/>
  <c r="AM67" i="1"/>
  <c r="BF67" i="1" s="1"/>
  <c r="AN66" i="1"/>
  <c r="BG66" i="1" s="1"/>
  <c r="AM66" i="1"/>
  <c r="BF66" i="1" s="1"/>
  <c r="AN65" i="1"/>
  <c r="BG65" i="1" s="1"/>
  <c r="AM65" i="1"/>
  <c r="BF65" i="1" s="1"/>
  <c r="AN64" i="1"/>
  <c r="BG64" i="1" s="1"/>
  <c r="AM64" i="1"/>
  <c r="BF64" i="1" s="1"/>
  <c r="AN63" i="1"/>
  <c r="BG63" i="1" s="1"/>
  <c r="AM63" i="1"/>
  <c r="BF63" i="1" s="1"/>
  <c r="AN62" i="1"/>
  <c r="BG62" i="1" s="1"/>
  <c r="AM62" i="1"/>
  <c r="BF62" i="1" s="1"/>
  <c r="AN61" i="1"/>
  <c r="BG61" i="1" s="1"/>
  <c r="AM61" i="1"/>
  <c r="BF61" i="1" s="1"/>
  <c r="AN60" i="1"/>
  <c r="BG60" i="1" s="1"/>
  <c r="AM60" i="1"/>
  <c r="BF60" i="1" s="1"/>
  <c r="AN59" i="1"/>
  <c r="BG59" i="1" s="1"/>
  <c r="AM59" i="1"/>
  <c r="BF59" i="1" s="1"/>
  <c r="AN58" i="1"/>
  <c r="BG58" i="1" s="1"/>
  <c r="AM58" i="1"/>
  <c r="BF58" i="1" s="1"/>
  <c r="AN57" i="1"/>
  <c r="BG57" i="1" s="1"/>
  <c r="AM57" i="1"/>
  <c r="BF57" i="1" s="1"/>
  <c r="AN56" i="1"/>
  <c r="BG56" i="1" s="1"/>
  <c r="AM56" i="1"/>
  <c r="BF56" i="1" s="1"/>
  <c r="AN55" i="1"/>
  <c r="BG55" i="1" s="1"/>
  <c r="AM55" i="1"/>
  <c r="BF55" i="1" s="1"/>
  <c r="AN54" i="1"/>
  <c r="BG54" i="1" s="1"/>
  <c r="AM54" i="1"/>
  <c r="BF54" i="1" s="1"/>
  <c r="AN53" i="1"/>
  <c r="BG53" i="1" s="1"/>
  <c r="AM53" i="1"/>
  <c r="BF53" i="1" s="1"/>
  <c r="AN52" i="1"/>
  <c r="BG52" i="1" s="1"/>
  <c r="AM52" i="1"/>
  <c r="BF52" i="1" s="1"/>
  <c r="AN51" i="1"/>
  <c r="BG51" i="1" s="1"/>
  <c r="AM51" i="1"/>
  <c r="BF51" i="1" s="1"/>
  <c r="AN50" i="1"/>
  <c r="BG50" i="1" s="1"/>
  <c r="AM50" i="1"/>
  <c r="BF50" i="1" s="1"/>
  <c r="AN49" i="1"/>
  <c r="BG49" i="1" s="1"/>
  <c r="AM49" i="1"/>
  <c r="BF49" i="1" s="1"/>
  <c r="AN46" i="1"/>
  <c r="BG46" i="1" s="1"/>
  <c r="AM46" i="1"/>
  <c r="BF46" i="1" s="1"/>
  <c r="AN45" i="1"/>
  <c r="BG45" i="1" s="1"/>
  <c r="AM45" i="1"/>
  <c r="BF45" i="1" s="1"/>
  <c r="AN44" i="1"/>
  <c r="BG44" i="1" s="1"/>
  <c r="AM44" i="1"/>
  <c r="BF44" i="1" s="1"/>
  <c r="AN43" i="1"/>
  <c r="BG43" i="1" s="1"/>
  <c r="AM43" i="1"/>
  <c r="BF43" i="1" s="1"/>
  <c r="AN42" i="1"/>
  <c r="BG42" i="1" s="1"/>
  <c r="AM42" i="1"/>
  <c r="BF42" i="1" s="1"/>
  <c r="AN41" i="1"/>
  <c r="BG41" i="1" s="1"/>
  <c r="AM41" i="1"/>
  <c r="BF41" i="1" s="1"/>
  <c r="AN40" i="1"/>
  <c r="BG40" i="1" s="1"/>
  <c r="AM40" i="1"/>
  <c r="BF40" i="1" s="1"/>
  <c r="AN39" i="1"/>
  <c r="BG39" i="1" s="1"/>
  <c r="AM39" i="1"/>
  <c r="BF39" i="1" s="1"/>
  <c r="AN24" i="1"/>
  <c r="BG24" i="1" s="1"/>
  <c r="AM24" i="1"/>
  <c r="BF24" i="1" s="1"/>
  <c r="AN23" i="1"/>
  <c r="BG23" i="1" s="1"/>
  <c r="AM23" i="1"/>
  <c r="BF23" i="1" s="1"/>
  <c r="AN22" i="1"/>
  <c r="BG22" i="1" s="1"/>
  <c r="AM22" i="1"/>
  <c r="BF22" i="1" s="1"/>
  <c r="AN21" i="1"/>
  <c r="BG21" i="1" s="1"/>
  <c r="AM21" i="1"/>
  <c r="BF21" i="1" s="1"/>
  <c r="AN19" i="1"/>
  <c r="BG19" i="1" s="1"/>
  <c r="AM19" i="1"/>
  <c r="BF19" i="1" s="1"/>
  <c r="AN18" i="1"/>
  <c r="BG18" i="1" s="1"/>
  <c r="AM18" i="1"/>
  <c r="BF18" i="1" s="1"/>
  <c r="AN13" i="1"/>
  <c r="BG13" i="1" s="1"/>
  <c r="AM13" i="1"/>
  <c r="BF13" i="1" s="1"/>
  <c r="AN12" i="1"/>
  <c r="BG12" i="1" s="1"/>
  <c r="AM12" i="1"/>
  <c r="BF12" i="1" s="1"/>
  <c r="AN11" i="1"/>
  <c r="BG11" i="1" s="1"/>
  <c r="AM11" i="1"/>
  <c r="BF11" i="1" s="1"/>
  <c r="AN10" i="1"/>
  <c r="BG10" i="1" s="1"/>
  <c r="AM10" i="1"/>
  <c r="BF10" i="1" s="1"/>
  <c r="AN9" i="1"/>
  <c r="BG9" i="1" s="1"/>
  <c r="AM9" i="1"/>
  <c r="BF9" i="1" s="1"/>
  <c r="AN8" i="1"/>
  <c r="BG8" i="1" s="1"/>
  <c r="AM8" i="1"/>
  <c r="BF8" i="1" s="1"/>
  <c r="AN7" i="1"/>
  <c r="BG7" i="1" s="1"/>
  <c r="AM7" i="1"/>
  <c r="BF7" i="1" s="1"/>
  <c r="AN6" i="1"/>
  <c r="BG6" i="1" s="1"/>
  <c r="AM6" i="1"/>
  <c r="BF6" i="1" s="1"/>
  <c r="AN5" i="1"/>
  <c r="BG5" i="1" s="1"/>
  <c r="AM5" i="1"/>
  <c r="BF5" i="1" s="1"/>
  <c r="AN4" i="1"/>
  <c r="BG4" i="1" s="1"/>
  <c r="AM4" i="1"/>
  <c r="BF4" i="1" s="1"/>
  <c r="AN3" i="1"/>
  <c r="BG3" i="1" s="1"/>
  <c r="AM3" i="1"/>
  <c r="BF3" i="1" s="1"/>
  <c r="B284" i="1"/>
  <c r="AU284" i="1" s="1"/>
  <c r="B281" i="1"/>
  <c r="AU281" i="1" s="1"/>
  <c r="L1040" i="1"/>
  <c r="BB1040" i="1" s="1"/>
  <c r="L1039" i="1"/>
  <c r="BB1039" i="1" s="1"/>
  <c r="L1038" i="1"/>
  <c r="BB1038" i="1" s="1"/>
  <c r="L1037" i="1"/>
  <c r="BB1037" i="1" s="1"/>
  <c r="L1036" i="1"/>
  <c r="BB1036" i="1" s="1"/>
  <c r="L1035" i="1"/>
  <c r="BB1035" i="1" s="1"/>
  <c r="L1034" i="1"/>
  <c r="BB1034" i="1" s="1"/>
  <c r="L1033" i="1"/>
  <c r="BB1033" i="1" s="1"/>
  <c r="L1032" i="1"/>
  <c r="BB1032" i="1" s="1"/>
  <c r="L1031" i="1"/>
  <c r="BB1031" i="1" s="1"/>
  <c r="L1030" i="1"/>
  <c r="BB1030" i="1" s="1"/>
  <c r="L1029" i="1"/>
  <c r="BB1029" i="1" s="1"/>
  <c r="L1028" i="1"/>
  <c r="BB1028" i="1" s="1"/>
  <c r="L1027" i="1"/>
  <c r="BB1027" i="1" s="1"/>
  <c r="L1026" i="1"/>
  <c r="BB1026" i="1" s="1"/>
  <c r="L1025" i="1"/>
  <c r="BB1025" i="1" s="1"/>
  <c r="L1024" i="1"/>
  <c r="BB1024" i="1" s="1"/>
  <c r="L1023" i="1"/>
  <c r="BB1023" i="1" s="1"/>
  <c r="L1022" i="1"/>
  <c r="BB1022" i="1" s="1"/>
  <c r="L1021" i="1"/>
  <c r="BB1021" i="1" s="1"/>
  <c r="L1020" i="1"/>
  <c r="BB1020" i="1" s="1"/>
  <c r="L1019" i="1"/>
  <c r="BB1019" i="1" s="1"/>
  <c r="L1018" i="1"/>
  <c r="BB1018" i="1" s="1"/>
  <c r="S1028" i="1"/>
  <c r="S1027" i="1"/>
  <c r="S1026" i="1"/>
  <c r="S1025" i="1"/>
  <c r="S1024" i="1"/>
  <c r="S1023" i="1"/>
  <c r="S1022" i="1"/>
  <c r="S1021" i="1"/>
  <c r="S1020" i="1"/>
  <c r="S1019" i="1"/>
  <c r="S1018" i="1"/>
  <c r="L335" i="1"/>
  <c r="BB335" i="1" s="1"/>
  <c r="L334" i="1"/>
  <c r="BB334" i="1" s="1"/>
  <c r="F334" i="1"/>
  <c r="F335" i="1"/>
  <c r="L1252" i="1"/>
  <c r="BB1252" i="1" s="1"/>
  <c r="L1251" i="1"/>
  <c r="BB1251" i="1" s="1"/>
  <c r="L1250" i="1"/>
  <c r="BB1250" i="1" s="1"/>
  <c r="L1249" i="1"/>
  <c r="BB1249" i="1" s="1"/>
  <c r="L1248" i="1"/>
  <c r="BB1248" i="1" s="1"/>
  <c r="L1247" i="1"/>
  <c r="BB1247" i="1" s="1"/>
  <c r="L1246" i="1"/>
  <c r="BB1246" i="1" s="1"/>
  <c r="L1245" i="1"/>
  <c r="BB1245" i="1" s="1"/>
  <c r="L212" i="1"/>
  <c r="BB212" i="1" s="1"/>
  <c r="L211" i="1"/>
  <c r="BB211" i="1" s="1"/>
  <c r="L210" i="1"/>
  <c r="BB210" i="1" s="1"/>
  <c r="L209" i="1"/>
  <c r="BB209" i="1" s="1"/>
  <c r="L208" i="1"/>
  <c r="BB208" i="1" s="1"/>
  <c r="L303" i="1"/>
  <c r="BB303" i="1" s="1"/>
  <c r="L302" i="1"/>
  <c r="BB302" i="1" s="1"/>
  <c r="L465" i="1"/>
  <c r="BB465" i="1" s="1"/>
  <c r="L464" i="1"/>
  <c r="BB464" i="1" s="1"/>
  <c r="L463" i="1"/>
  <c r="BB463" i="1" s="1"/>
  <c r="L462" i="1"/>
  <c r="BB462" i="1" s="1"/>
  <c r="L461" i="1"/>
  <c r="BB461" i="1" s="1"/>
  <c r="L460" i="1"/>
  <c r="BB460" i="1" s="1"/>
  <c r="L626" i="1"/>
  <c r="BB626" i="1" s="1"/>
  <c r="L625" i="1"/>
  <c r="BB625" i="1" s="1"/>
  <c r="L84" i="1"/>
  <c r="BB84" i="1" s="1"/>
  <c r="L83" i="1"/>
  <c r="BB83" i="1" s="1"/>
  <c r="L82" i="1"/>
  <c r="BB82" i="1" s="1"/>
  <c r="L14" i="1"/>
  <c r="BB14" i="1" s="1"/>
  <c r="L566" i="1"/>
  <c r="BB566" i="1" s="1"/>
  <c r="L565" i="1"/>
  <c r="BB565" i="1" s="1"/>
  <c r="L624" i="1"/>
  <c r="BB624" i="1" s="1"/>
  <c r="L605" i="1"/>
  <c r="BB605" i="1" s="1"/>
  <c r="L604" i="1"/>
  <c r="BB604" i="1" s="1"/>
  <c r="L603" i="1"/>
  <c r="BB603" i="1" s="1"/>
  <c r="L602" i="1"/>
  <c r="BB602" i="1" s="1"/>
  <c r="L888" i="1"/>
  <c r="BB888" i="1" s="1"/>
  <c r="L887" i="1"/>
  <c r="BB887" i="1" s="1"/>
  <c r="L886" i="1"/>
  <c r="BB886" i="1" s="1"/>
  <c r="L885" i="1"/>
  <c r="BB885" i="1" s="1"/>
  <c r="L1163" i="1"/>
  <c r="BB1163" i="1" s="1"/>
  <c r="L1162" i="1"/>
  <c r="BB1162" i="1" s="1"/>
  <c r="L1161" i="1"/>
  <c r="BB1161" i="1" s="1"/>
  <c r="L1160" i="1"/>
  <c r="BB1160" i="1" s="1"/>
  <c r="L674" i="1"/>
  <c r="BB674" i="1" s="1"/>
  <c r="L450" i="1"/>
  <c r="BB450" i="1" s="1"/>
  <c r="B212" i="1"/>
  <c r="AU212" i="1" s="1"/>
  <c r="B209" i="1"/>
  <c r="AU209" i="1" s="1"/>
  <c r="B211" i="1"/>
  <c r="AU211" i="1" s="1"/>
  <c r="B210" i="1"/>
  <c r="AU210" i="1" s="1"/>
  <c r="B208" i="1"/>
  <c r="AU208" i="1" s="1"/>
  <c r="E18" i="1"/>
  <c r="B44" i="1"/>
  <c r="AU44" i="1" s="1"/>
  <c r="B46" i="1"/>
  <c r="AU46" i="1" s="1"/>
  <c r="B45" i="1"/>
  <c r="AU45" i="1" s="1"/>
  <c r="AB42" i="1"/>
  <c r="BH42" i="1" s="1"/>
  <c r="AB43" i="1"/>
  <c r="BH43" i="1" s="1"/>
  <c r="AB44" i="1"/>
  <c r="BH44" i="1" s="1"/>
  <c r="B43" i="1" l="1"/>
  <c r="AU43" i="1" s="1"/>
  <c r="C626" i="1" l="1"/>
  <c r="AV626" i="1" s="1"/>
  <c r="C625" i="1"/>
  <c r="AV625" i="1" s="1"/>
  <c r="B84" i="1"/>
  <c r="AU84" i="1" s="1"/>
  <c r="B83" i="1"/>
  <c r="AU83" i="1" s="1"/>
  <c r="AF14" i="1"/>
  <c r="AB565" i="1"/>
  <c r="BH565" i="1" s="1"/>
  <c r="E566" i="1"/>
  <c r="B566" i="1"/>
  <c r="AU566" i="1" s="1"/>
  <c r="AH566" i="1"/>
  <c r="AI566" i="1"/>
  <c r="AJ566" i="1"/>
  <c r="AK566" i="1"/>
  <c r="AL566" i="1"/>
  <c r="E565" i="1"/>
  <c r="B565" i="1"/>
  <c r="AU565" i="1" s="1"/>
  <c r="AL565" i="1"/>
  <c r="AK565" i="1"/>
  <c r="AJ565" i="1"/>
  <c r="AI565" i="1"/>
  <c r="AH565" i="1"/>
  <c r="C624" i="1"/>
  <c r="AV624" i="1" s="1"/>
  <c r="C605" i="1"/>
  <c r="AV605" i="1" s="1"/>
  <c r="C604" i="1"/>
  <c r="AV604" i="1" s="1"/>
  <c r="C603" i="1"/>
  <c r="AV603" i="1" s="1"/>
  <c r="C602" i="1"/>
  <c r="AV602" i="1" s="1"/>
  <c r="R888" i="1"/>
  <c r="R887" i="1"/>
  <c r="R886" i="1"/>
  <c r="R885" i="1"/>
  <c r="D888" i="1"/>
  <c r="D887" i="1"/>
  <c r="D886" i="1"/>
  <c r="D885" i="1"/>
  <c r="BE14" i="1" l="1"/>
  <c r="BI14" i="1"/>
  <c r="S886" i="1"/>
  <c r="AW886" i="1"/>
  <c r="S887" i="1"/>
  <c r="AW887" i="1"/>
  <c r="AN565" i="1"/>
  <c r="BG565" i="1" s="1"/>
  <c r="AM565" i="1"/>
  <c r="BF565" i="1" s="1"/>
  <c r="S888" i="1"/>
  <c r="AW888" i="1"/>
  <c r="AM566" i="1"/>
  <c r="BF566" i="1" s="1"/>
  <c r="AN566" i="1"/>
  <c r="BG566" i="1" s="1"/>
  <c r="S885" i="1"/>
  <c r="AW885" i="1"/>
  <c r="AL1163" i="1"/>
  <c r="AJ1163" i="1"/>
  <c r="AL1162" i="1"/>
  <c r="AJ1162" i="1"/>
  <c r="AL1161" i="1"/>
  <c r="AJ1161" i="1"/>
  <c r="AJ1160" i="1"/>
  <c r="AL1160" i="1"/>
  <c r="AN1161" i="1" l="1"/>
  <c r="BG1161" i="1" s="1"/>
  <c r="AM1161" i="1"/>
  <c r="BF1161" i="1" s="1"/>
  <c r="AN1163" i="1"/>
  <c r="BG1163" i="1" s="1"/>
  <c r="AM1163" i="1"/>
  <c r="BF1163" i="1" s="1"/>
  <c r="AN1160" i="1"/>
  <c r="BG1160" i="1" s="1"/>
  <c r="AM1160" i="1"/>
  <c r="BF1160" i="1" s="1"/>
  <c r="AM1162" i="1"/>
  <c r="BF1162" i="1" s="1"/>
  <c r="AN1162" i="1"/>
  <c r="BG1162" i="1" s="1"/>
  <c r="R1220" i="1"/>
  <c r="B450" i="1"/>
  <c r="J1219" i="1"/>
  <c r="J1220" i="1"/>
  <c r="BA1220" i="1" s="1"/>
  <c r="B1219" i="1"/>
  <c r="AU1219" i="1" s="1"/>
  <c r="L1219" i="1" l="1"/>
  <c r="BB1219" i="1" s="1"/>
  <c r="BA1219" i="1"/>
  <c r="R450" i="1"/>
  <c r="AU450" i="1"/>
  <c r="L1220" i="1"/>
  <c r="BB1220" i="1" s="1"/>
  <c r="R1219" i="1"/>
  <c r="D333" i="1"/>
  <c r="AW333" i="1" s="1"/>
  <c r="R792" i="1"/>
  <c r="R791" i="1"/>
  <c r="R790" i="1"/>
  <c r="R789" i="1"/>
  <c r="R788" i="1"/>
  <c r="R787" i="1"/>
  <c r="R786" i="1"/>
  <c r="R785" i="1"/>
  <c r="R784" i="1"/>
  <c r="R783" i="1"/>
  <c r="R782" i="1"/>
  <c r="R781" i="1"/>
  <c r="O792" i="1"/>
  <c r="AY792" i="1" s="1"/>
  <c r="O791" i="1"/>
  <c r="AY791" i="1" s="1"/>
  <c r="O790" i="1"/>
  <c r="AY790" i="1" s="1"/>
  <c r="O789" i="1"/>
  <c r="AY789" i="1" s="1"/>
  <c r="O788" i="1"/>
  <c r="AY788" i="1" s="1"/>
  <c r="O787" i="1"/>
  <c r="AY787" i="1" s="1"/>
  <c r="O786" i="1"/>
  <c r="AY786" i="1" s="1"/>
  <c r="O785" i="1"/>
  <c r="AY785" i="1" s="1"/>
  <c r="O784" i="1"/>
  <c r="AY784" i="1" s="1"/>
  <c r="O783" i="1"/>
  <c r="AY783" i="1" s="1"/>
  <c r="O782" i="1"/>
  <c r="AY782" i="1" s="1"/>
  <c r="O781" i="1"/>
  <c r="AY781" i="1" s="1"/>
  <c r="D792" i="1"/>
  <c r="AW792" i="1" s="1"/>
  <c r="D791" i="1"/>
  <c r="AW791" i="1" s="1"/>
  <c r="D790" i="1"/>
  <c r="AW790" i="1" s="1"/>
  <c r="D789" i="1"/>
  <c r="AW789" i="1" s="1"/>
  <c r="D788" i="1"/>
  <c r="AW788" i="1" s="1"/>
  <c r="D787" i="1"/>
  <c r="AW787" i="1" s="1"/>
  <c r="D786" i="1"/>
  <c r="AW786" i="1" s="1"/>
  <c r="D785" i="1"/>
  <c r="AW785" i="1" s="1"/>
  <c r="D784" i="1"/>
  <c r="AW784" i="1" s="1"/>
  <c r="D783" i="1"/>
  <c r="AW783" i="1" s="1"/>
  <c r="D782" i="1"/>
  <c r="AW782" i="1" s="1"/>
  <c r="D781" i="1"/>
  <c r="AW781" i="1" s="1"/>
  <c r="S782" i="1" l="1"/>
  <c r="S785" i="1"/>
  <c r="S786" i="1"/>
  <c r="S787" i="1"/>
  <c r="S790" i="1"/>
  <c r="S788" i="1"/>
  <c r="S781" i="1"/>
  <c r="S789" i="1"/>
  <c r="S783" i="1"/>
  <c r="S784" i="1"/>
  <c r="S792" i="1"/>
  <c r="S791" i="1"/>
  <c r="L813" i="1"/>
  <c r="BB813" i="1" s="1"/>
  <c r="L812" i="1"/>
  <c r="BB812" i="1" s="1"/>
  <c r="U813" i="1"/>
  <c r="BC813" i="1" s="1"/>
  <c r="CE192" i="1" l="1"/>
  <c r="CE193" i="1"/>
  <c r="CE194" i="1"/>
  <c r="CE195" i="1"/>
  <c r="CE196" i="1"/>
  <c r="CE197" i="1"/>
  <c r="CI870" i="1" l="1"/>
  <c r="CJ648" i="1" l="1"/>
  <c r="CJ651" i="1"/>
  <c r="CJ653" i="1"/>
  <c r="CJ649" i="1"/>
  <c r="CJ213" i="1"/>
  <c r="CJ22" i="1"/>
  <c r="CJ50" i="1"/>
  <c r="CJ66" i="1"/>
  <c r="CJ74" i="1"/>
  <c r="CJ87" i="1"/>
  <c r="CG117" i="1"/>
  <c r="CI117" i="1" s="1"/>
  <c r="CJ117" i="1" s="1"/>
  <c r="CJ179" i="1"/>
  <c r="CJ178" i="1"/>
  <c r="CJ177" i="1"/>
  <c r="CJ175" i="1"/>
  <c r="CJ181" i="1"/>
  <c r="CJ182" i="1"/>
  <c r="CJ184" i="1"/>
  <c r="CJ180" i="1"/>
  <c r="CJ183" i="1"/>
  <c r="CJ176" i="1"/>
  <c r="CJ119" i="1"/>
  <c r="CJ132" i="1"/>
  <c r="CJ133" i="1"/>
  <c r="CJ134" i="1"/>
  <c r="CJ135" i="1"/>
  <c r="CJ136" i="1"/>
  <c r="CJ143" i="1"/>
  <c r="CJ144" i="1"/>
  <c r="CJ137" i="1"/>
  <c r="CJ138" i="1"/>
  <c r="CJ139" i="1"/>
  <c r="CJ140" i="1"/>
  <c r="CJ142" i="1"/>
  <c r="CJ189" i="1"/>
  <c r="CI231" i="1"/>
  <c r="CJ231" i="1" s="1"/>
  <c r="CI232" i="1"/>
  <c r="CJ232" i="1" s="1"/>
  <c r="CJ657" i="1"/>
  <c r="CI728" i="1"/>
  <c r="CJ728" i="1" s="1"/>
  <c r="CJ417" i="1"/>
  <c r="CI188" i="1"/>
  <c r="CJ188" i="1" s="1"/>
  <c r="CG189" i="1"/>
  <c r="CH189" i="1" s="1"/>
  <c r="CF189" i="1"/>
  <c r="CJ18" i="1"/>
  <c r="CJ19" i="1"/>
  <c r="CI21" i="1"/>
  <c r="CJ21" i="1" s="1"/>
  <c r="CI23" i="1"/>
  <c r="CJ23" i="1" s="1"/>
  <c r="CI24" i="1"/>
  <c r="CJ24" i="1" s="1"/>
  <c r="CI40" i="1"/>
  <c r="CJ40" i="1" s="1"/>
  <c r="CI41" i="1"/>
  <c r="CJ41" i="1" s="1"/>
  <c r="CJ42" i="1"/>
  <c r="CJ49" i="1"/>
  <c r="CJ51" i="1"/>
  <c r="CI52" i="1"/>
  <c r="CJ52" i="1" s="1"/>
  <c r="CI53" i="1"/>
  <c r="CJ53" i="1" s="1"/>
  <c r="CI54" i="1"/>
  <c r="CJ54" i="1" s="1"/>
  <c r="CI55" i="1"/>
  <c r="CJ55" i="1" s="1"/>
  <c r="CI56" i="1"/>
  <c r="CJ56" i="1" s="1"/>
  <c r="CI57" i="1"/>
  <c r="CJ57" i="1" s="1"/>
  <c r="CI58" i="1"/>
  <c r="CJ58" i="1" s="1"/>
  <c r="CI59" i="1"/>
  <c r="CJ59" i="1" s="1"/>
  <c r="CI60" i="1"/>
  <c r="CJ60" i="1" s="1"/>
  <c r="CI61" i="1"/>
  <c r="CJ61" i="1" s="1"/>
  <c r="CI62" i="1"/>
  <c r="CJ62" i="1" s="1"/>
  <c r="CI63" i="1"/>
  <c r="CJ63" i="1" s="1"/>
  <c r="CI64" i="1"/>
  <c r="CJ64" i="1" s="1"/>
  <c r="CI65" i="1"/>
  <c r="CJ65" i="1" s="1"/>
  <c r="CJ67" i="1"/>
  <c r="CJ68" i="1"/>
  <c r="CJ69" i="1"/>
  <c r="CJ70" i="1"/>
  <c r="CJ71" i="1"/>
  <c r="CJ72" i="1"/>
  <c r="CJ73" i="1"/>
  <c r="CI75" i="1"/>
  <c r="CJ75" i="1" s="1"/>
  <c r="CI77" i="1"/>
  <c r="CJ77" i="1" s="1"/>
  <c r="CI78" i="1"/>
  <c r="CJ78" i="1" s="1"/>
  <c r="CI79" i="1"/>
  <c r="CJ79" i="1" s="1"/>
  <c r="CI81" i="1"/>
  <c r="CJ81" i="1" s="1"/>
  <c r="CJ88" i="1"/>
  <c r="CJ89" i="1"/>
  <c r="CJ90" i="1"/>
  <c r="CJ91" i="1"/>
  <c r="CJ92" i="1"/>
  <c r="CJ93" i="1"/>
  <c r="CI95" i="1"/>
  <c r="CJ95" i="1" s="1"/>
  <c r="CI96" i="1"/>
  <c r="CJ96" i="1" s="1"/>
  <c r="CI97" i="1"/>
  <c r="CJ97" i="1" s="1"/>
  <c r="CI98" i="1"/>
  <c r="CJ98" i="1" s="1"/>
  <c r="CI99" i="1"/>
  <c r="CJ99" i="1" s="1"/>
  <c r="CI100" i="1"/>
  <c r="CJ100" i="1" s="1"/>
  <c r="CI101" i="1"/>
  <c r="CJ101" i="1" s="1"/>
  <c r="CI102" i="1"/>
  <c r="CJ102" i="1" s="1"/>
  <c r="CI118" i="1"/>
  <c r="CJ118" i="1" s="1"/>
  <c r="CI120" i="1"/>
  <c r="CJ120" i="1" s="1"/>
  <c r="CI121" i="1"/>
  <c r="CJ121" i="1" s="1"/>
  <c r="CI122" i="1"/>
  <c r="CJ122" i="1" s="1"/>
  <c r="CI155" i="1"/>
  <c r="CJ155" i="1" s="1"/>
  <c r="CI156" i="1"/>
  <c r="CJ156" i="1" s="1"/>
  <c r="CI157" i="1"/>
  <c r="CJ157" i="1" s="1"/>
  <c r="CI158" i="1"/>
  <c r="CJ158" i="1" s="1"/>
  <c r="CI159" i="1"/>
  <c r="CJ159" i="1" s="1"/>
  <c r="CI160" i="1"/>
  <c r="CJ160" i="1" s="1"/>
  <c r="CI161" i="1"/>
  <c r="CJ161" i="1" s="1"/>
  <c r="CI162" i="1"/>
  <c r="CJ162" i="1" s="1"/>
  <c r="CI163" i="1"/>
  <c r="CJ163" i="1" s="1"/>
  <c r="CI164" i="1"/>
  <c r="CJ164" i="1" s="1"/>
  <c r="CI165" i="1"/>
  <c r="CJ165" i="1" s="1"/>
  <c r="CI166" i="1"/>
  <c r="CJ166" i="1" s="1"/>
  <c r="CI167" i="1"/>
  <c r="CJ167" i="1" s="1"/>
  <c r="CI168" i="1"/>
  <c r="CJ168" i="1" s="1"/>
  <c r="CI169" i="1"/>
  <c r="CJ169" i="1" s="1"/>
  <c r="CI170" i="1"/>
  <c r="CJ170" i="1" s="1"/>
  <c r="CI171" i="1"/>
  <c r="CJ171" i="1" s="1"/>
  <c r="CI172" i="1"/>
  <c r="CJ172" i="1" s="1"/>
  <c r="CI173" i="1"/>
  <c r="CJ173" i="1" s="1"/>
  <c r="CI174" i="1"/>
  <c r="CJ174" i="1" s="1"/>
  <c r="CI185" i="1"/>
  <c r="CJ185" i="1" s="1"/>
  <c r="CI186" i="1"/>
  <c r="CJ186" i="1" s="1"/>
  <c r="CI187" i="1"/>
  <c r="CJ187" i="1" s="1"/>
  <c r="CI190" i="1"/>
  <c r="CJ190" i="1" s="1"/>
  <c r="CI191" i="1"/>
  <c r="CJ191" i="1" s="1"/>
  <c r="CE198" i="1"/>
  <c r="CE199" i="1"/>
  <c r="CE200" i="1"/>
  <c r="CE201" i="1"/>
  <c r="CE202" i="1"/>
  <c r="CE214" i="1"/>
  <c r="CE215" i="1"/>
  <c r="CE228" i="1"/>
  <c r="CE233" i="1"/>
  <c r="CE234" i="1"/>
  <c r="CE238" i="1"/>
  <c r="CE239" i="1"/>
  <c r="CE287" i="1"/>
  <c r="CE288" i="1"/>
  <c r="CE289" i="1"/>
  <c r="CE290" i="1"/>
  <c r="CE291" i="1"/>
  <c r="CE292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91" i="1"/>
  <c r="CE394" i="1"/>
  <c r="CE395" i="1"/>
  <c r="CE396" i="1"/>
  <c r="CE397" i="1"/>
  <c r="CE398" i="1"/>
  <c r="CE496" i="1"/>
  <c r="CE596" i="1"/>
  <c r="CE597" i="1"/>
  <c r="CE598" i="1"/>
  <c r="CE599" i="1"/>
  <c r="CE600" i="1"/>
  <c r="CE601" i="1"/>
  <c r="CE622" i="1"/>
  <c r="CE623" i="1"/>
  <c r="CE627" i="1"/>
  <c r="CE628" i="1"/>
  <c r="CE629" i="1"/>
  <c r="CE638" i="1"/>
  <c r="CE639" i="1"/>
  <c r="CE693" i="1"/>
  <c r="CE763" i="1"/>
  <c r="CE764" i="1"/>
  <c r="CE765" i="1"/>
  <c r="CE793" i="1"/>
  <c r="CE863" i="1"/>
  <c r="CE864" i="1"/>
  <c r="CE865" i="1"/>
  <c r="CE866" i="1"/>
  <c r="CE867" i="1"/>
  <c r="CE868" i="1"/>
  <c r="CE869" i="1"/>
  <c r="CE870" i="1"/>
  <c r="CE969" i="1"/>
  <c r="CE970" i="1"/>
  <c r="CE971" i="1"/>
  <c r="CE972" i="1"/>
  <c r="CE973" i="1"/>
  <c r="CE974" i="1"/>
  <c r="CE975" i="1"/>
  <c r="CE976" i="1"/>
  <c r="CE1164" i="1"/>
  <c r="CE1165" i="1"/>
  <c r="CE1166" i="1"/>
  <c r="CE493" i="1"/>
  <c r="CE420" i="1"/>
  <c r="CE671" i="1"/>
  <c r="CE672" i="1"/>
  <c r="CE673" i="1"/>
  <c r="CE417" i="1"/>
  <c r="CE418" i="1"/>
  <c r="CE419" i="1"/>
  <c r="CE3" i="1"/>
  <c r="CF3" i="1"/>
  <c r="CG3" i="1"/>
  <c r="CH3" i="1" s="1"/>
  <c r="CE4" i="1"/>
  <c r="CF4" i="1"/>
  <c r="CG4" i="1"/>
  <c r="CH4" i="1" s="1"/>
  <c r="CE5" i="1"/>
  <c r="CF5" i="1"/>
  <c r="CG5" i="1"/>
  <c r="CH5" i="1" s="1"/>
  <c r="CE6" i="1"/>
  <c r="CF6" i="1"/>
  <c r="CG6" i="1"/>
  <c r="CH6" i="1" s="1"/>
  <c r="CE7" i="1"/>
  <c r="CF7" i="1"/>
  <c r="CG7" i="1"/>
  <c r="CI7" i="1" s="1"/>
  <c r="CJ7" i="1" s="1"/>
  <c r="CE8" i="1"/>
  <c r="CF8" i="1"/>
  <c r="CG8" i="1"/>
  <c r="CI8" i="1" s="1"/>
  <c r="CJ8" i="1" s="1"/>
  <c r="CE9" i="1"/>
  <c r="CF9" i="1"/>
  <c r="CG9" i="1"/>
  <c r="CI9" i="1" s="1"/>
  <c r="CJ9" i="1" s="1"/>
  <c r="CE10" i="1"/>
  <c r="CF10" i="1"/>
  <c r="CG10" i="1"/>
  <c r="CH10" i="1" s="1"/>
  <c r="CE11" i="1"/>
  <c r="CF11" i="1"/>
  <c r="CG11" i="1"/>
  <c r="CI11" i="1" s="1"/>
  <c r="CJ11" i="1" s="1"/>
  <c r="CE12" i="1"/>
  <c r="CF12" i="1"/>
  <c r="CG12" i="1"/>
  <c r="CH12" i="1" s="1"/>
  <c r="CE13" i="1"/>
  <c r="CF13" i="1"/>
  <c r="CG13" i="1"/>
  <c r="CH13" i="1" s="1"/>
  <c r="CG39" i="1"/>
  <c r="CH39" i="1" s="1"/>
  <c r="CG76" i="1"/>
  <c r="CG80" i="1"/>
  <c r="CH80" i="1" s="1"/>
  <c r="CG103" i="1"/>
  <c r="CI103" i="1" s="1"/>
  <c r="CJ103" i="1" s="1"/>
  <c r="CG104" i="1"/>
  <c r="CI104" i="1" s="1"/>
  <c r="CJ104" i="1" s="1"/>
  <c r="CG105" i="1"/>
  <c r="CH105" i="1" s="1"/>
  <c r="CG106" i="1"/>
  <c r="CH106" i="1" s="1"/>
  <c r="CG107" i="1"/>
  <c r="CH107" i="1" s="1"/>
  <c r="CG108" i="1"/>
  <c r="CH108" i="1" s="1"/>
  <c r="CG109" i="1"/>
  <c r="CI109" i="1" s="1"/>
  <c r="CJ109" i="1" s="1"/>
  <c r="CG110" i="1"/>
  <c r="CI110" i="1" s="1"/>
  <c r="CJ110" i="1" s="1"/>
  <c r="CG111" i="1"/>
  <c r="CI111" i="1" s="1"/>
  <c r="CJ111" i="1" s="1"/>
  <c r="CG112" i="1"/>
  <c r="CH112" i="1" s="1"/>
  <c r="CG113" i="1"/>
  <c r="CH113" i="1" s="1"/>
  <c r="CG114" i="1"/>
  <c r="CH114" i="1" s="1"/>
  <c r="CG115" i="1"/>
  <c r="CH115" i="1" s="1"/>
  <c r="CG116" i="1"/>
  <c r="CI116" i="1" s="1"/>
  <c r="CJ116" i="1" s="1"/>
  <c r="CE189" i="1"/>
  <c r="CF192" i="1"/>
  <c r="CG192" i="1"/>
  <c r="CH192" i="1" s="1"/>
  <c r="CF193" i="1"/>
  <c r="CG193" i="1"/>
  <c r="CI193" i="1" s="1"/>
  <c r="CJ193" i="1" s="1"/>
  <c r="CF194" i="1"/>
  <c r="CG194" i="1"/>
  <c r="CF195" i="1"/>
  <c r="CG195" i="1"/>
  <c r="CF196" i="1"/>
  <c r="CG196" i="1"/>
  <c r="CF197" i="1"/>
  <c r="CG197" i="1"/>
  <c r="CF198" i="1"/>
  <c r="CG198" i="1"/>
  <c r="CF199" i="1"/>
  <c r="CG199" i="1"/>
  <c r="CI199" i="1" s="1"/>
  <c r="CJ199" i="1" s="1"/>
  <c r="CF200" i="1"/>
  <c r="CG200" i="1"/>
  <c r="CI200" i="1" s="1"/>
  <c r="CJ200" i="1" s="1"/>
  <c r="CF201" i="1"/>
  <c r="CG201" i="1"/>
  <c r="CF202" i="1"/>
  <c r="CG202" i="1"/>
  <c r="CH202" i="1" s="1"/>
  <c r="CF214" i="1"/>
  <c r="CG214" i="1"/>
  <c r="CF215" i="1"/>
  <c r="CG215" i="1"/>
  <c r="CG216" i="1"/>
  <c r="CI216" i="1" s="1"/>
  <c r="CJ216" i="1" s="1"/>
  <c r="CG217" i="1"/>
  <c r="CI217" i="1" s="1"/>
  <c r="CJ217" i="1" s="1"/>
  <c r="CG218" i="1"/>
  <c r="CG219" i="1"/>
  <c r="CI219" i="1" s="1"/>
  <c r="CJ219" i="1" s="1"/>
  <c r="CG220" i="1"/>
  <c r="CG221" i="1"/>
  <c r="CG222" i="1"/>
  <c r="CG223" i="1"/>
  <c r="CG224" i="1"/>
  <c r="CH224" i="1" s="1"/>
  <c r="CG225" i="1"/>
  <c r="CI225" i="1" s="1"/>
  <c r="CJ225" i="1" s="1"/>
  <c r="CG226" i="1"/>
  <c r="CI226" i="1" s="1"/>
  <c r="CJ226" i="1" s="1"/>
  <c r="CG227" i="1"/>
  <c r="CI227" i="1" s="1"/>
  <c r="CJ227" i="1" s="1"/>
  <c r="CF228" i="1"/>
  <c r="CG228" i="1"/>
  <c r="CH231" i="1"/>
  <c r="CH232" i="1"/>
  <c r="CF233" i="1"/>
  <c r="CG233" i="1"/>
  <c r="CF234" i="1"/>
  <c r="CG234" i="1"/>
  <c r="CH234" i="1" s="1"/>
  <c r="CG235" i="1"/>
  <c r="CI235" i="1" s="1"/>
  <c r="CJ235" i="1" s="1"/>
  <c r="CG236" i="1"/>
  <c r="CI236" i="1" s="1"/>
  <c r="CJ236" i="1" s="1"/>
  <c r="CG237" i="1"/>
  <c r="CI237" i="1" s="1"/>
  <c r="CJ237" i="1" s="1"/>
  <c r="CF238" i="1"/>
  <c r="CG238" i="1"/>
  <c r="CF239" i="1"/>
  <c r="CG239" i="1"/>
  <c r="CG240" i="1"/>
  <c r="CG241" i="1"/>
  <c r="CG242" i="1"/>
  <c r="CH242" i="1" s="1"/>
  <c r="CG243" i="1"/>
  <c r="CI243" i="1" s="1"/>
  <c r="CJ243" i="1" s="1"/>
  <c r="CG244" i="1"/>
  <c r="CI244" i="1" s="1"/>
  <c r="CJ244" i="1" s="1"/>
  <c r="CG245" i="1"/>
  <c r="CI245" i="1" s="1"/>
  <c r="CJ245" i="1" s="1"/>
  <c r="CG246" i="1"/>
  <c r="CG247" i="1"/>
  <c r="CG248" i="1"/>
  <c r="CG249" i="1"/>
  <c r="CG250" i="1"/>
  <c r="CI250" i="1" s="1"/>
  <c r="CJ250" i="1" s="1"/>
  <c r="CG251" i="1"/>
  <c r="CG252" i="1"/>
  <c r="CI252" i="1" s="1"/>
  <c r="CJ252" i="1" s="1"/>
  <c r="CG253" i="1"/>
  <c r="CI253" i="1" s="1"/>
  <c r="CJ253" i="1" s="1"/>
  <c r="CG254" i="1"/>
  <c r="CG255" i="1"/>
  <c r="CG256" i="1"/>
  <c r="CG257" i="1"/>
  <c r="CG258" i="1"/>
  <c r="CH258" i="1" s="1"/>
  <c r="CG259" i="1"/>
  <c r="CI259" i="1" s="1"/>
  <c r="CJ259" i="1" s="1"/>
  <c r="CG260" i="1"/>
  <c r="CI260" i="1" s="1"/>
  <c r="CJ260" i="1" s="1"/>
  <c r="CG261" i="1"/>
  <c r="CI261" i="1" s="1"/>
  <c r="CJ261" i="1" s="1"/>
  <c r="CG262" i="1"/>
  <c r="CG263" i="1"/>
  <c r="CG264" i="1"/>
  <c r="CG265" i="1"/>
  <c r="CG266" i="1"/>
  <c r="CI266" i="1" s="1"/>
  <c r="CJ266" i="1" s="1"/>
  <c r="CG267" i="1"/>
  <c r="CI267" i="1" s="1"/>
  <c r="CJ267" i="1" s="1"/>
  <c r="CG268" i="1"/>
  <c r="CI268" i="1" s="1"/>
  <c r="CJ268" i="1" s="1"/>
  <c r="CG269" i="1"/>
  <c r="CI269" i="1" s="1"/>
  <c r="CJ269" i="1" s="1"/>
  <c r="CG270" i="1"/>
  <c r="CG271" i="1"/>
  <c r="CG272" i="1"/>
  <c r="CG273" i="1"/>
  <c r="CG274" i="1"/>
  <c r="CH274" i="1" s="1"/>
  <c r="CG275" i="1"/>
  <c r="CI275" i="1" s="1"/>
  <c r="CJ275" i="1" s="1"/>
  <c r="CG276" i="1"/>
  <c r="CG277" i="1"/>
  <c r="CI277" i="1" s="1"/>
  <c r="CJ277" i="1" s="1"/>
  <c r="CG278" i="1"/>
  <c r="CG279" i="1"/>
  <c r="CG280" i="1"/>
  <c r="CG282" i="1"/>
  <c r="CG283" i="1"/>
  <c r="CI283" i="1" s="1"/>
  <c r="CJ283" i="1" s="1"/>
  <c r="CG285" i="1"/>
  <c r="CI285" i="1" s="1"/>
  <c r="CJ285" i="1" s="1"/>
  <c r="CG286" i="1"/>
  <c r="CI286" i="1" s="1"/>
  <c r="CJ286" i="1" s="1"/>
  <c r="CF287" i="1"/>
  <c r="CG287" i="1"/>
  <c r="CI287" i="1" s="1"/>
  <c r="CJ287" i="1" s="1"/>
  <c r="CF288" i="1"/>
  <c r="CG288" i="1"/>
  <c r="CF289" i="1"/>
  <c r="CG289" i="1"/>
  <c r="CF290" i="1"/>
  <c r="CG290" i="1"/>
  <c r="CF291" i="1"/>
  <c r="CG291" i="1"/>
  <c r="CF292" i="1"/>
  <c r="CG292" i="1"/>
  <c r="CH292" i="1" s="1"/>
  <c r="CG293" i="1"/>
  <c r="CI293" i="1" s="1"/>
  <c r="CJ293" i="1" s="1"/>
  <c r="CG294" i="1"/>
  <c r="CI294" i="1" s="1"/>
  <c r="CJ294" i="1" s="1"/>
  <c r="CG295" i="1"/>
  <c r="CI295" i="1" s="1"/>
  <c r="CJ295" i="1" s="1"/>
  <c r="CG296" i="1"/>
  <c r="CG297" i="1"/>
  <c r="CG298" i="1"/>
  <c r="CG299" i="1"/>
  <c r="CG300" i="1"/>
  <c r="CI300" i="1" s="1"/>
  <c r="CJ300" i="1" s="1"/>
  <c r="CG307" i="1"/>
  <c r="CG308" i="1"/>
  <c r="CI308" i="1" s="1"/>
  <c r="CJ308" i="1" s="1"/>
  <c r="CG309" i="1"/>
  <c r="CI309" i="1" s="1"/>
  <c r="CJ309" i="1" s="1"/>
  <c r="CG310" i="1"/>
  <c r="CG311" i="1"/>
  <c r="CG312" i="1"/>
  <c r="CG313" i="1"/>
  <c r="CG314" i="1"/>
  <c r="CH314" i="1" s="1"/>
  <c r="CG315" i="1"/>
  <c r="CI315" i="1" s="1"/>
  <c r="CJ315" i="1" s="1"/>
  <c r="CG316" i="1"/>
  <c r="CI316" i="1" s="1"/>
  <c r="CJ316" i="1" s="1"/>
  <c r="CG317" i="1"/>
  <c r="CI317" i="1" s="1"/>
  <c r="CJ317" i="1" s="1"/>
  <c r="CG318" i="1"/>
  <c r="CG319" i="1"/>
  <c r="CG320" i="1"/>
  <c r="CF321" i="1"/>
  <c r="CG321" i="1"/>
  <c r="CF322" i="1"/>
  <c r="CG322" i="1"/>
  <c r="CI322" i="1" s="1"/>
  <c r="CJ322" i="1" s="1"/>
  <c r="CF323" i="1"/>
  <c r="CG323" i="1"/>
  <c r="CI323" i="1" s="1"/>
  <c r="CJ323" i="1" s="1"/>
  <c r="CF324" i="1"/>
  <c r="CG324" i="1"/>
  <c r="CI324" i="1" s="1"/>
  <c r="CJ324" i="1" s="1"/>
  <c r="CF325" i="1"/>
  <c r="CG325" i="1"/>
  <c r="CI325" i="1" s="1"/>
  <c r="CJ325" i="1" s="1"/>
  <c r="CF326" i="1"/>
  <c r="CG326" i="1"/>
  <c r="CF327" i="1"/>
  <c r="CG327" i="1"/>
  <c r="CF328" i="1"/>
  <c r="CG328" i="1"/>
  <c r="CF329" i="1"/>
  <c r="CG329" i="1"/>
  <c r="CF330" i="1"/>
  <c r="CG330" i="1"/>
  <c r="CH330" i="1" s="1"/>
  <c r="CF331" i="1"/>
  <c r="CG331" i="1"/>
  <c r="CI331" i="1" s="1"/>
  <c r="CJ331" i="1" s="1"/>
  <c r="CF332" i="1"/>
  <c r="CG332" i="1"/>
  <c r="CI332" i="1" s="1"/>
  <c r="CJ332" i="1" s="1"/>
  <c r="CG341" i="1"/>
  <c r="CI341" i="1" s="1"/>
  <c r="CJ341" i="1" s="1"/>
  <c r="CG342" i="1"/>
  <c r="CG343" i="1"/>
  <c r="CG344" i="1"/>
  <c r="CG345" i="1"/>
  <c r="CG346" i="1"/>
  <c r="CG347" i="1"/>
  <c r="CI347" i="1" s="1"/>
  <c r="CJ347" i="1" s="1"/>
  <c r="CG348" i="1"/>
  <c r="CI348" i="1" s="1"/>
  <c r="CJ348" i="1" s="1"/>
  <c r="CG349" i="1"/>
  <c r="CI349" i="1" s="1"/>
  <c r="CJ349" i="1" s="1"/>
  <c r="CG350" i="1"/>
  <c r="CG351" i="1"/>
  <c r="CG352" i="1"/>
  <c r="CG353" i="1"/>
  <c r="CG354" i="1"/>
  <c r="CH354" i="1" s="1"/>
  <c r="CG355" i="1"/>
  <c r="CI355" i="1" s="1"/>
  <c r="CJ355" i="1" s="1"/>
  <c r="CG356" i="1"/>
  <c r="CI356" i="1" s="1"/>
  <c r="CJ356" i="1" s="1"/>
  <c r="CG357" i="1"/>
  <c r="CI357" i="1" s="1"/>
  <c r="CJ357" i="1" s="1"/>
  <c r="CG358" i="1"/>
  <c r="CG359" i="1"/>
  <c r="CG360" i="1"/>
  <c r="CG361" i="1"/>
  <c r="CG362" i="1"/>
  <c r="CI362" i="1" s="1"/>
  <c r="CJ362" i="1" s="1"/>
  <c r="CG363" i="1"/>
  <c r="CI363" i="1" s="1"/>
  <c r="CJ363" i="1" s="1"/>
  <c r="CG364" i="1"/>
  <c r="CI364" i="1" s="1"/>
  <c r="CJ364" i="1" s="1"/>
  <c r="CG365" i="1"/>
  <c r="CI365" i="1" s="1"/>
  <c r="CJ365" i="1" s="1"/>
  <c r="CG366" i="1"/>
  <c r="CG367" i="1"/>
  <c r="CG368" i="1"/>
  <c r="CG369" i="1"/>
  <c r="CG370" i="1"/>
  <c r="CH370" i="1" s="1"/>
  <c r="CG371" i="1"/>
  <c r="CI371" i="1" s="1"/>
  <c r="CJ371" i="1" s="1"/>
  <c r="CG372" i="1"/>
  <c r="CI372" i="1" s="1"/>
  <c r="CJ372" i="1" s="1"/>
  <c r="CG373" i="1"/>
  <c r="CI373" i="1" s="1"/>
  <c r="CJ373" i="1" s="1"/>
  <c r="CG374" i="1"/>
  <c r="CG375" i="1"/>
  <c r="CG376" i="1"/>
  <c r="CG377" i="1"/>
  <c r="CG378" i="1"/>
  <c r="CI378" i="1" s="1"/>
  <c r="CJ378" i="1" s="1"/>
  <c r="CG379" i="1"/>
  <c r="CI379" i="1" s="1"/>
  <c r="CJ379" i="1" s="1"/>
  <c r="CG380" i="1"/>
  <c r="CI380" i="1" s="1"/>
  <c r="CJ380" i="1" s="1"/>
  <c r="CG381" i="1"/>
  <c r="CI381" i="1" s="1"/>
  <c r="CJ381" i="1" s="1"/>
  <c r="CG382" i="1"/>
  <c r="CG383" i="1"/>
  <c r="CG384" i="1"/>
  <c r="CG385" i="1"/>
  <c r="CG386" i="1"/>
  <c r="CH386" i="1" s="1"/>
  <c r="CG387" i="1"/>
  <c r="CI387" i="1" s="1"/>
  <c r="CJ387" i="1" s="1"/>
  <c r="CG388" i="1"/>
  <c r="CI388" i="1" s="1"/>
  <c r="CJ388" i="1" s="1"/>
  <c r="CG389" i="1"/>
  <c r="CI389" i="1" s="1"/>
  <c r="CJ389" i="1" s="1"/>
  <c r="CG390" i="1"/>
  <c r="CF391" i="1"/>
  <c r="CG391" i="1"/>
  <c r="CG392" i="1"/>
  <c r="CG393" i="1"/>
  <c r="CF394" i="1"/>
  <c r="CG394" i="1"/>
  <c r="CJ394" i="1" s="1"/>
  <c r="CF395" i="1"/>
  <c r="CG395" i="1"/>
  <c r="CH395" i="1" s="1"/>
  <c r="CJ395" i="1"/>
  <c r="CF396" i="1"/>
  <c r="CG396" i="1"/>
  <c r="CJ396" i="1" s="1"/>
  <c r="CF397" i="1"/>
  <c r="CG397" i="1"/>
  <c r="CH397" i="1" s="1"/>
  <c r="CJ397" i="1"/>
  <c r="CF398" i="1"/>
  <c r="CG398" i="1"/>
  <c r="CG399" i="1"/>
  <c r="CG400" i="1"/>
  <c r="CG401" i="1"/>
  <c r="CG402" i="1"/>
  <c r="CH402" i="1" s="1"/>
  <c r="CG403" i="1"/>
  <c r="CI403" i="1" s="1"/>
  <c r="CJ403" i="1" s="1"/>
  <c r="CG404" i="1"/>
  <c r="CI404" i="1" s="1"/>
  <c r="CJ404" i="1" s="1"/>
  <c r="CG405" i="1"/>
  <c r="CG406" i="1"/>
  <c r="CG407" i="1"/>
  <c r="CG408" i="1"/>
  <c r="CG409" i="1"/>
  <c r="CG410" i="1"/>
  <c r="CI410" i="1" s="1"/>
  <c r="CJ410" i="1" s="1"/>
  <c r="CG411" i="1"/>
  <c r="CG412" i="1"/>
  <c r="CG413" i="1"/>
  <c r="CI413" i="1" s="1"/>
  <c r="CJ413" i="1" s="1"/>
  <c r="CG414" i="1"/>
  <c r="CG415" i="1"/>
  <c r="CG416" i="1"/>
  <c r="CG421" i="1"/>
  <c r="CG422" i="1"/>
  <c r="CG423" i="1"/>
  <c r="CI423" i="1" s="1"/>
  <c r="CJ423" i="1" s="1"/>
  <c r="CG424" i="1"/>
  <c r="CG425" i="1"/>
  <c r="CI425" i="1" s="1"/>
  <c r="CJ425" i="1" s="1"/>
  <c r="CG426" i="1"/>
  <c r="CG427" i="1"/>
  <c r="CG428" i="1"/>
  <c r="CG429" i="1"/>
  <c r="CG430" i="1"/>
  <c r="CI430" i="1" s="1"/>
  <c r="CJ430" i="1" s="1"/>
  <c r="CG431" i="1"/>
  <c r="CG432" i="1"/>
  <c r="CI432" i="1" s="1"/>
  <c r="CJ432" i="1" s="1"/>
  <c r="CG433" i="1"/>
  <c r="CI433" i="1" s="1"/>
  <c r="CJ433" i="1" s="1"/>
  <c r="CG434" i="1"/>
  <c r="CG435" i="1"/>
  <c r="CG436" i="1"/>
  <c r="CG437" i="1"/>
  <c r="CG438" i="1"/>
  <c r="CG439" i="1"/>
  <c r="CI439" i="1" s="1"/>
  <c r="CJ439" i="1" s="1"/>
  <c r="CG440" i="1"/>
  <c r="CG441" i="1"/>
  <c r="CI441" i="1" s="1"/>
  <c r="CJ441" i="1" s="1"/>
  <c r="CG442" i="1"/>
  <c r="CG443" i="1"/>
  <c r="CG444" i="1"/>
  <c r="CG445" i="1"/>
  <c r="CG446" i="1"/>
  <c r="CH446" i="1" s="1"/>
  <c r="CG447" i="1"/>
  <c r="CI447" i="1" s="1"/>
  <c r="CJ447" i="1" s="1"/>
  <c r="CG448" i="1"/>
  <c r="CI448" i="1" s="1"/>
  <c r="CJ448" i="1" s="1"/>
  <c r="CG449" i="1"/>
  <c r="CG451" i="1"/>
  <c r="CG452" i="1"/>
  <c r="CG453" i="1"/>
  <c r="CG454" i="1"/>
  <c r="CG455" i="1"/>
  <c r="CH455" i="1" s="1"/>
  <c r="CG456" i="1"/>
  <c r="CG457" i="1"/>
  <c r="CI457" i="1" s="1"/>
  <c r="CJ457" i="1" s="1"/>
  <c r="CG458" i="1"/>
  <c r="CI458" i="1" s="1"/>
  <c r="CJ458" i="1" s="1"/>
  <c r="CG459" i="1"/>
  <c r="CG466" i="1"/>
  <c r="CG467" i="1"/>
  <c r="CG468" i="1"/>
  <c r="CG469" i="1"/>
  <c r="CG470" i="1"/>
  <c r="CI470" i="1" s="1"/>
  <c r="CJ470" i="1" s="1"/>
  <c r="CG471" i="1"/>
  <c r="CI471" i="1" s="1"/>
  <c r="CJ471" i="1" s="1"/>
  <c r="CG472" i="1"/>
  <c r="CI472" i="1" s="1"/>
  <c r="CJ472" i="1" s="1"/>
  <c r="CG473" i="1"/>
  <c r="CG474" i="1"/>
  <c r="CG475" i="1"/>
  <c r="CG476" i="1"/>
  <c r="CG477" i="1"/>
  <c r="CH477" i="1" s="1"/>
  <c r="CG478" i="1"/>
  <c r="CI478" i="1" s="1"/>
  <c r="CJ478" i="1" s="1"/>
  <c r="CG479" i="1"/>
  <c r="CI479" i="1" s="1"/>
  <c r="CJ479" i="1" s="1"/>
  <c r="CG480" i="1"/>
  <c r="CG481" i="1"/>
  <c r="CG482" i="1"/>
  <c r="CG483" i="1"/>
  <c r="CG484" i="1"/>
  <c r="CG485" i="1"/>
  <c r="CI485" i="1" s="1"/>
  <c r="CJ485" i="1" s="1"/>
  <c r="CG486" i="1"/>
  <c r="CG487" i="1"/>
  <c r="CG488" i="1"/>
  <c r="CI488" i="1" s="1"/>
  <c r="CJ488" i="1" s="1"/>
  <c r="CG489" i="1"/>
  <c r="CG490" i="1"/>
  <c r="CG491" i="1"/>
  <c r="CG492" i="1"/>
  <c r="CG494" i="1"/>
  <c r="CG495" i="1"/>
  <c r="CI495" i="1" s="1"/>
  <c r="CJ495" i="1" s="1"/>
  <c r="CF496" i="1"/>
  <c r="CG496" i="1"/>
  <c r="CI496" i="1" s="1"/>
  <c r="CJ496" i="1" s="1"/>
  <c r="CG497" i="1"/>
  <c r="CG498" i="1"/>
  <c r="CG499" i="1"/>
  <c r="CG500" i="1"/>
  <c r="CG501" i="1"/>
  <c r="CG502" i="1"/>
  <c r="CG503" i="1"/>
  <c r="CI503" i="1" s="1"/>
  <c r="CJ503" i="1" s="1"/>
  <c r="CG504" i="1"/>
  <c r="CG505" i="1"/>
  <c r="CI505" i="1" s="1"/>
  <c r="CJ505" i="1" s="1"/>
  <c r="CG506" i="1"/>
  <c r="CG507" i="1"/>
  <c r="CG508" i="1"/>
  <c r="CG509" i="1"/>
  <c r="CG510" i="1"/>
  <c r="CG511" i="1"/>
  <c r="CI511" i="1" s="1"/>
  <c r="CJ511" i="1" s="1"/>
  <c r="CG512" i="1"/>
  <c r="CI512" i="1" s="1"/>
  <c r="CJ512" i="1" s="1"/>
  <c r="CG513" i="1"/>
  <c r="CI513" i="1" s="1"/>
  <c r="CJ513" i="1" s="1"/>
  <c r="CG514" i="1"/>
  <c r="CG515" i="1"/>
  <c r="CG516" i="1"/>
  <c r="CG517" i="1"/>
  <c r="CG518" i="1"/>
  <c r="CI518" i="1" s="1"/>
  <c r="CJ518" i="1" s="1"/>
  <c r="CG519" i="1"/>
  <c r="CG520" i="1"/>
  <c r="CI520" i="1" s="1"/>
  <c r="CJ520" i="1" s="1"/>
  <c r="CG521" i="1"/>
  <c r="CI521" i="1" s="1"/>
  <c r="CJ521" i="1" s="1"/>
  <c r="CG522" i="1"/>
  <c r="CG523" i="1"/>
  <c r="CG524" i="1"/>
  <c r="CG525" i="1"/>
  <c r="CG526" i="1"/>
  <c r="CH526" i="1" s="1"/>
  <c r="CG527" i="1"/>
  <c r="CI527" i="1" s="1"/>
  <c r="CJ527" i="1" s="1"/>
  <c r="CG528" i="1"/>
  <c r="CI528" i="1" s="1"/>
  <c r="CJ528" i="1" s="1"/>
  <c r="CG529" i="1"/>
  <c r="CI529" i="1" s="1"/>
  <c r="CJ529" i="1" s="1"/>
  <c r="CG530" i="1"/>
  <c r="CG531" i="1"/>
  <c r="CG532" i="1"/>
  <c r="CG533" i="1"/>
  <c r="CG534" i="1"/>
  <c r="CI534" i="1" s="1"/>
  <c r="CJ534" i="1" s="1"/>
  <c r="CG535" i="1"/>
  <c r="CG536" i="1"/>
  <c r="CI536" i="1" s="1"/>
  <c r="CJ536" i="1" s="1"/>
  <c r="CG537" i="1"/>
  <c r="CG538" i="1"/>
  <c r="CG539" i="1"/>
  <c r="CG540" i="1"/>
  <c r="CG541" i="1"/>
  <c r="CG542" i="1"/>
  <c r="CG543" i="1"/>
  <c r="CG544" i="1"/>
  <c r="CI544" i="1" s="1"/>
  <c r="CJ544" i="1" s="1"/>
  <c r="CG545" i="1"/>
  <c r="CI545" i="1" s="1"/>
  <c r="CJ545" i="1" s="1"/>
  <c r="CG546" i="1"/>
  <c r="CG547" i="1"/>
  <c r="CG548" i="1"/>
  <c r="CG549" i="1"/>
  <c r="CG550" i="1"/>
  <c r="CG551" i="1"/>
  <c r="CI551" i="1" s="1"/>
  <c r="CJ551" i="1" s="1"/>
  <c r="CG552" i="1"/>
  <c r="CI552" i="1" s="1"/>
  <c r="CJ552" i="1" s="1"/>
  <c r="CG553" i="1"/>
  <c r="CI553" i="1" s="1"/>
  <c r="CJ553" i="1" s="1"/>
  <c r="CG554" i="1"/>
  <c r="CG555" i="1"/>
  <c r="CG556" i="1"/>
  <c r="CG557" i="1"/>
  <c r="CG558" i="1"/>
  <c r="CG559" i="1"/>
  <c r="CI559" i="1" s="1"/>
  <c r="CJ559" i="1" s="1"/>
  <c r="CG560" i="1"/>
  <c r="CI560" i="1" s="1"/>
  <c r="CJ560" i="1" s="1"/>
  <c r="CG561" i="1"/>
  <c r="CI561" i="1" s="1"/>
  <c r="CJ561" i="1" s="1"/>
  <c r="CG562" i="1"/>
  <c r="CG563" i="1"/>
  <c r="CG564" i="1"/>
  <c r="CG567" i="1"/>
  <c r="CG568" i="1"/>
  <c r="CI568" i="1" s="1"/>
  <c r="CJ568" i="1" s="1"/>
  <c r="CG569" i="1"/>
  <c r="CI569" i="1" s="1"/>
  <c r="CJ569" i="1" s="1"/>
  <c r="CG570" i="1"/>
  <c r="CG571" i="1"/>
  <c r="CI571" i="1" s="1"/>
  <c r="CJ571" i="1" s="1"/>
  <c r="CG572" i="1"/>
  <c r="CG573" i="1"/>
  <c r="CG574" i="1"/>
  <c r="CG575" i="1"/>
  <c r="CG576" i="1"/>
  <c r="CG577" i="1"/>
  <c r="CI577" i="1" s="1"/>
  <c r="CJ577" i="1" s="1"/>
  <c r="CG578" i="1"/>
  <c r="CI578" i="1" s="1"/>
  <c r="CJ578" i="1" s="1"/>
  <c r="CG579" i="1"/>
  <c r="CI579" i="1" s="1"/>
  <c r="CJ579" i="1" s="1"/>
  <c r="CG580" i="1"/>
  <c r="CG581" i="1"/>
  <c r="CG582" i="1"/>
  <c r="CG583" i="1"/>
  <c r="CG584" i="1"/>
  <c r="CI584" i="1" s="1"/>
  <c r="CJ584" i="1" s="1"/>
  <c r="CG585" i="1"/>
  <c r="CG586" i="1"/>
  <c r="CI586" i="1" s="1"/>
  <c r="CJ586" i="1" s="1"/>
  <c r="CG587" i="1"/>
  <c r="CI587" i="1" s="1"/>
  <c r="CJ587" i="1" s="1"/>
  <c r="CG588" i="1"/>
  <c r="CG589" i="1"/>
  <c r="CG590" i="1"/>
  <c r="CG591" i="1"/>
  <c r="CG592" i="1"/>
  <c r="CG593" i="1"/>
  <c r="CI593" i="1" s="1"/>
  <c r="CJ593" i="1" s="1"/>
  <c r="CG594" i="1"/>
  <c r="CI594" i="1" s="1"/>
  <c r="CJ594" i="1" s="1"/>
  <c r="CF596" i="1"/>
  <c r="CG596" i="1"/>
  <c r="CF597" i="1"/>
  <c r="CG597" i="1"/>
  <c r="CF598" i="1"/>
  <c r="CG598" i="1"/>
  <c r="CF599" i="1"/>
  <c r="CG599" i="1"/>
  <c r="CF600" i="1"/>
  <c r="CG600" i="1"/>
  <c r="CF601" i="1"/>
  <c r="CG601" i="1"/>
  <c r="CG606" i="1"/>
  <c r="CI606" i="1" s="1"/>
  <c r="CJ606" i="1" s="1"/>
  <c r="CG607" i="1"/>
  <c r="CI607" i="1" s="1"/>
  <c r="CJ607" i="1" s="1"/>
  <c r="CG608" i="1"/>
  <c r="CI608" i="1" s="1"/>
  <c r="CJ608" i="1" s="1"/>
  <c r="CG609" i="1"/>
  <c r="CG610" i="1"/>
  <c r="CG611" i="1"/>
  <c r="CG612" i="1"/>
  <c r="CG613" i="1"/>
  <c r="CG614" i="1"/>
  <c r="CI614" i="1" s="1"/>
  <c r="CJ614" i="1" s="1"/>
  <c r="CG615" i="1"/>
  <c r="CI615" i="1" s="1"/>
  <c r="CJ615" i="1" s="1"/>
  <c r="CG616" i="1"/>
  <c r="CG617" i="1"/>
  <c r="CG618" i="1"/>
  <c r="CG619" i="1"/>
  <c r="CG620" i="1"/>
  <c r="CF622" i="1"/>
  <c r="CG622" i="1"/>
  <c r="CI622" i="1" s="1"/>
  <c r="CJ622" i="1" s="1"/>
  <c r="CF623" i="1"/>
  <c r="CG623" i="1"/>
  <c r="CI623" i="1" s="1"/>
  <c r="CJ623" i="1" s="1"/>
  <c r="CF627" i="1"/>
  <c r="CG627" i="1"/>
  <c r="CH627" i="1" s="1"/>
  <c r="CF628" i="1"/>
  <c r="CG628" i="1"/>
  <c r="CH628" i="1" s="1"/>
  <c r="CF629" i="1"/>
  <c r="CG629" i="1"/>
  <c r="CG630" i="1"/>
  <c r="CG631" i="1"/>
  <c r="CG632" i="1"/>
  <c r="CG633" i="1"/>
  <c r="CG634" i="1"/>
  <c r="CI634" i="1" s="1"/>
  <c r="CJ634" i="1" s="1"/>
  <c r="CG635" i="1"/>
  <c r="CG636" i="1"/>
  <c r="CI636" i="1" s="1"/>
  <c r="CJ636" i="1" s="1"/>
  <c r="CG637" i="1"/>
  <c r="CF638" i="1"/>
  <c r="CG638" i="1"/>
  <c r="CF639" i="1"/>
  <c r="CG639" i="1"/>
  <c r="CG640" i="1"/>
  <c r="CH640" i="1" s="1"/>
  <c r="CJ640" i="1"/>
  <c r="CG641" i="1"/>
  <c r="CI641" i="1" s="1"/>
  <c r="CJ641" i="1" s="1"/>
  <c r="CG642" i="1"/>
  <c r="CI642" i="1" s="1"/>
  <c r="CJ642" i="1" s="1"/>
  <c r="CG643" i="1"/>
  <c r="CI643" i="1" s="1"/>
  <c r="CJ643" i="1" s="1"/>
  <c r="CG644" i="1"/>
  <c r="CI644" i="1" s="1"/>
  <c r="CJ644" i="1" s="1"/>
  <c r="CG645" i="1"/>
  <c r="CG646" i="1"/>
  <c r="CG647" i="1"/>
  <c r="CI647" i="1" s="1"/>
  <c r="CJ647" i="1" s="1"/>
  <c r="CH648" i="1"/>
  <c r="CH649" i="1"/>
  <c r="CH650" i="1"/>
  <c r="CJ650" i="1"/>
  <c r="CH651" i="1"/>
  <c r="CH652" i="1"/>
  <c r="CJ652" i="1"/>
  <c r="CH653" i="1"/>
  <c r="CG654" i="1"/>
  <c r="CG655" i="1"/>
  <c r="CH655" i="1" s="1"/>
  <c r="CJ655" i="1"/>
  <c r="CG656" i="1"/>
  <c r="CG657" i="1"/>
  <c r="CH657" i="1" s="1"/>
  <c r="CG658" i="1"/>
  <c r="CI658" i="1" s="1"/>
  <c r="CJ658" i="1" s="1"/>
  <c r="CG659" i="1"/>
  <c r="CI659" i="1" s="1"/>
  <c r="CJ659" i="1" s="1"/>
  <c r="CG660" i="1"/>
  <c r="CI660" i="1" s="1"/>
  <c r="CJ660" i="1" s="1"/>
  <c r="CG661" i="1"/>
  <c r="CG662" i="1"/>
  <c r="CG663" i="1"/>
  <c r="CI663" i="1" s="1"/>
  <c r="CJ663" i="1" s="1"/>
  <c r="CG664" i="1"/>
  <c r="CG665" i="1"/>
  <c r="CI665" i="1" s="1"/>
  <c r="CJ665" i="1" s="1"/>
  <c r="CG666" i="1"/>
  <c r="CI666" i="1" s="1"/>
  <c r="CJ666" i="1" s="1"/>
  <c r="CG667" i="1"/>
  <c r="CI667" i="1" s="1"/>
  <c r="CJ667" i="1" s="1"/>
  <c r="CG668" i="1"/>
  <c r="CI668" i="1" s="1"/>
  <c r="CJ668" i="1" s="1"/>
  <c r="CG669" i="1"/>
  <c r="CG670" i="1"/>
  <c r="CG675" i="1"/>
  <c r="CG676" i="1"/>
  <c r="CG677" i="1"/>
  <c r="CG678" i="1"/>
  <c r="CI678" i="1" s="1"/>
  <c r="CJ678" i="1" s="1"/>
  <c r="CG679" i="1"/>
  <c r="CI679" i="1" s="1"/>
  <c r="CJ679" i="1" s="1"/>
  <c r="CG680" i="1"/>
  <c r="CG681" i="1"/>
  <c r="CG682" i="1"/>
  <c r="CG683" i="1"/>
  <c r="CI683" i="1" s="1"/>
  <c r="CJ683" i="1" s="1"/>
  <c r="CG684" i="1"/>
  <c r="CG685" i="1"/>
  <c r="CG686" i="1"/>
  <c r="CI686" i="1" s="1"/>
  <c r="CJ686" i="1" s="1"/>
  <c r="CG687" i="1"/>
  <c r="CG688" i="1"/>
  <c r="CI688" i="1" s="1"/>
  <c r="CJ688" i="1" s="1"/>
  <c r="CG689" i="1"/>
  <c r="CG690" i="1"/>
  <c r="CG691" i="1"/>
  <c r="CI691" i="1" s="1"/>
  <c r="CJ691" i="1" s="1"/>
  <c r="CG692" i="1"/>
  <c r="CF693" i="1"/>
  <c r="CG693" i="1"/>
  <c r="CI693" i="1" s="1"/>
  <c r="CJ693" i="1" s="1"/>
  <c r="CG694" i="1"/>
  <c r="CI694" i="1" s="1"/>
  <c r="CJ694" i="1" s="1"/>
  <c r="CG695" i="1"/>
  <c r="CI695" i="1" s="1"/>
  <c r="CJ695" i="1" s="1"/>
  <c r="CG696" i="1"/>
  <c r="CG697" i="1"/>
  <c r="CG698" i="1"/>
  <c r="CG699" i="1"/>
  <c r="CI699" i="1" s="1"/>
  <c r="CJ699" i="1" s="1"/>
  <c r="CG700" i="1"/>
  <c r="CG701" i="1"/>
  <c r="CG702" i="1"/>
  <c r="CI702" i="1" s="1"/>
  <c r="CJ702" i="1" s="1"/>
  <c r="CG703" i="1"/>
  <c r="CI703" i="1" s="1"/>
  <c r="CJ703" i="1" s="1"/>
  <c r="CG717" i="1"/>
  <c r="CI717" i="1" s="1"/>
  <c r="CJ717" i="1" s="1"/>
  <c r="CG718" i="1"/>
  <c r="CG719" i="1"/>
  <c r="CG720" i="1"/>
  <c r="CG721" i="1"/>
  <c r="CG722" i="1"/>
  <c r="CI722" i="1" s="1"/>
  <c r="CJ722" i="1" s="1"/>
  <c r="CG723" i="1"/>
  <c r="CI723" i="1" s="1"/>
  <c r="CJ723" i="1" s="1"/>
  <c r="CG724" i="1"/>
  <c r="CG725" i="1"/>
  <c r="CH725" i="1" s="1"/>
  <c r="CJ725" i="1"/>
  <c r="CG726" i="1"/>
  <c r="CH726" i="1" s="1"/>
  <c r="CJ726" i="1"/>
  <c r="CG727" i="1"/>
  <c r="CH727" i="1" s="1"/>
  <c r="CJ727" i="1"/>
  <c r="CH728" i="1"/>
  <c r="CG729" i="1"/>
  <c r="CG730" i="1"/>
  <c r="CG731" i="1"/>
  <c r="CG732" i="1"/>
  <c r="CI732" i="1" s="1"/>
  <c r="CJ732" i="1" s="1"/>
  <c r="CG733" i="1"/>
  <c r="CG734" i="1"/>
  <c r="CG735" i="1"/>
  <c r="CG736" i="1"/>
  <c r="CI736" i="1" s="1"/>
  <c r="CJ736" i="1" s="1"/>
  <c r="CG737" i="1"/>
  <c r="CG738" i="1"/>
  <c r="CG739" i="1"/>
  <c r="CG740" i="1"/>
  <c r="CI740" i="1" s="1"/>
  <c r="CJ740" i="1" s="1"/>
  <c r="CG741" i="1"/>
  <c r="CG742" i="1"/>
  <c r="CG743" i="1"/>
  <c r="CH743" i="1" s="1"/>
  <c r="CG744" i="1"/>
  <c r="CI744" i="1" s="1"/>
  <c r="CJ744" i="1" s="1"/>
  <c r="CG745" i="1"/>
  <c r="CG746" i="1"/>
  <c r="CG747" i="1"/>
  <c r="CI747" i="1" s="1"/>
  <c r="CJ747" i="1" s="1"/>
  <c r="CG748" i="1"/>
  <c r="CI748" i="1" s="1"/>
  <c r="CJ748" i="1" s="1"/>
  <c r="CG749" i="1"/>
  <c r="CI749" i="1" s="1"/>
  <c r="CJ749" i="1" s="1"/>
  <c r="CG750" i="1"/>
  <c r="CG751" i="1"/>
  <c r="CG752" i="1"/>
  <c r="CG753" i="1"/>
  <c r="CG754" i="1"/>
  <c r="CG755" i="1"/>
  <c r="CI755" i="1" s="1"/>
  <c r="CJ755" i="1" s="1"/>
  <c r="CG756" i="1"/>
  <c r="CI756" i="1" s="1"/>
  <c r="CJ756" i="1" s="1"/>
  <c r="CG757" i="1"/>
  <c r="CG758" i="1"/>
  <c r="CG759" i="1"/>
  <c r="CG760" i="1"/>
  <c r="CI760" i="1" s="1"/>
  <c r="CJ760" i="1" s="1"/>
  <c r="CG761" i="1"/>
  <c r="CG762" i="1"/>
  <c r="CI762" i="1" s="1"/>
  <c r="CJ762" i="1" s="1"/>
  <c r="CF763" i="1"/>
  <c r="CG763" i="1"/>
  <c r="CI763" i="1" s="1"/>
  <c r="CJ763" i="1" s="1"/>
  <c r="CF764" i="1"/>
  <c r="CG764" i="1"/>
  <c r="CF765" i="1"/>
  <c r="CG765" i="1"/>
  <c r="CF793" i="1"/>
  <c r="CG793" i="1"/>
  <c r="CG798" i="1"/>
  <c r="CI798" i="1" s="1"/>
  <c r="CJ798" i="1" s="1"/>
  <c r="CG799" i="1"/>
  <c r="CI799" i="1" s="1"/>
  <c r="CJ799" i="1" s="1"/>
  <c r="CG800" i="1"/>
  <c r="CG801" i="1"/>
  <c r="CI801" i="1" s="1"/>
  <c r="CJ801" i="1" s="1"/>
  <c r="CG802" i="1"/>
  <c r="CI802" i="1" s="1"/>
  <c r="CJ802" i="1" s="1"/>
  <c r="CG803" i="1"/>
  <c r="CI803" i="1" s="1"/>
  <c r="CJ803" i="1" s="1"/>
  <c r="CG808" i="1"/>
  <c r="CG809" i="1"/>
  <c r="CI809" i="1" s="1"/>
  <c r="CJ809" i="1" s="1"/>
  <c r="CG810" i="1"/>
  <c r="CG811" i="1"/>
  <c r="CG815" i="1"/>
  <c r="CI815" i="1" s="1"/>
  <c r="CJ815" i="1" s="1"/>
  <c r="CG816" i="1"/>
  <c r="CG817" i="1"/>
  <c r="CI817" i="1" s="1"/>
  <c r="CJ817" i="1" s="1"/>
  <c r="CG818" i="1"/>
  <c r="CG819" i="1"/>
  <c r="CG820" i="1"/>
  <c r="CG821" i="1"/>
  <c r="CG822" i="1"/>
  <c r="CG823" i="1"/>
  <c r="CG824" i="1"/>
  <c r="CG825" i="1"/>
  <c r="CI825" i="1" s="1"/>
  <c r="CJ825" i="1" s="1"/>
  <c r="CG826" i="1"/>
  <c r="CG827" i="1"/>
  <c r="CG828" i="1"/>
  <c r="CG829" i="1"/>
  <c r="CG830" i="1"/>
  <c r="CG831" i="1"/>
  <c r="CI831" i="1" s="1"/>
  <c r="CJ831" i="1" s="1"/>
  <c r="CG832" i="1"/>
  <c r="CI832" i="1" s="1"/>
  <c r="CJ832" i="1" s="1"/>
  <c r="CG833" i="1"/>
  <c r="CG834" i="1"/>
  <c r="CG835" i="1"/>
  <c r="CG836" i="1"/>
  <c r="CI836" i="1" s="1"/>
  <c r="CJ836" i="1" s="1"/>
  <c r="CG837" i="1"/>
  <c r="CI837" i="1" s="1"/>
  <c r="CJ837" i="1" s="1"/>
  <c r="CG838" i="1"/>
  <c r="CG839" i="1"/>
  <c r="CG840" i="1"/>
  <c r="CI840" i="1" s="1"/>
  <c r="CJ840" i="1" s="1"/>
  <c r="CG841" i="1"/>
  <c r="CG842" i="1"/>
  <c r="CG843" i="1"/>
  <c r="CG844" i="1"/>
  <c r="CI844" i="1" s="1"/>
  <c r="CJ844" i="1" s="1"/>
  <c r="CG845" i="1"/>
  <c r="CG846" i="1"/>
  <c r="CG847" i="1"/>
  <c r="CG848" i="1"/>
  <c r="CI848" i="1" s="1"/>
  <c r="CJ848" i="1" s="1"/>
  <c r="CG849" i="1"/>
  <c r="CG850" i="1"/>
  <c r="CI850" i="1" s="1"/>
  <c r="CJ850" i="1" s="1"/>
  <c r="CG851" i="1"/>
  <c r="CG852" i="1"/>
  <c r="CG853" i="1"/>
  <c r="CI853" i="1" s="1"/>
  <c r="CJ853" i="1" s="1"/>
  <c r="CG854" i="1"/>
  <c r="CG855" i="1"/>
  <c r="CG856" i="1"/>
  <c r="CI856" i="1" s="1"/>
  <c r="CJ856" i="1" s="1"/>
  <c r="CG857" i="1"/>
  <c r="CG858" i="1"/>
  <c r="CI858" i="1" s="1"/>
  <c r="CJ858" i="1" s="1"/>
  <c r="CG859" i="1"/>
  <c r="CG860" i="1"/>
  <c r="CI860" i="1" s="1"/>
  <c r="CJ860" i="1" s="1"/>
  <c r="CG861" i="1"/>
  <c r="CI861" i="1" s="1"/>
  <c r="CJ861" i="1" s="1"/>
  <c r="CG862" i="1"/>
  <c r="CF863" i="1"/>
  <c r="CG863" i="1"/>
  <c r="CF864" i="1"/>
  <c r="CG864" i="1"/>
  <c r="CF865" i="1"/>
  <c r="CG865" i="1"/>
  <c r="CF866" i="1"/>
  <c r="CG866" i="1"/>
  <c r="CF867" i="1"/>
  <c r="CG867" i="1"/>
  <c r="CF868" i="1"/>
  <c r="CG868" i="1"/>
  <c r="CI868" i="1" s="1"/>
  <c r="CJ868" i="1" s="1"/>
  <c r="CF869" i="1"/>
  <c r="CG869" i="1"/>
  <c r="CI869" i="1" s="1"/>
  <c r="CJ869" i="1" s="1"/>
  <c r="CF870" i="1"/>
  <c r="CH870" i="1"/>
  <c r="CG871" i="1"/>
  <c r="CG872" i="1"/>
  <c r="CI872" i="1" s="1"/>
  <c r="CJ872" i="1" s="1"/>
  <c r="CG873" i="1"/>
  <c r="CG874" i="1"/>
  <c r="CG875" i="1"/>
  <c r="CG876" i="1"/>
  <c r="CG889" i="1"/>
  <c r="CG890" i="1"/>
  <c r="CG891" i="1"/>
  <c r="CG892" i="1"/>
  <c r="CI892" i="1" s="1"/>
  <c r="CJ892" i="1" s="1"/>
  <c r="CG893" i="1"/>
  <c r="CG894" i="1"/>
  <c r="CI894" i="1" s="1"/>
  <c r="CJ894" i="1" s="1"/>
  <c r="CG895" i="1"/>
  <c r="CG896" i="1"/>
  <c r="CI896" i="1" s="1"/>
  <c r="CJ896" i="1" s="1"/>
  <c r="CG897" i="1"/>
  <c r="CI897" i="1" s="1"/>
  <c r="CJ897" i="1" s="1"/>
  <c r="CG898" i="1"/>
  <c r="CG899" i="1"/>
  <c r="CG900" i="1"/>
  <c r="CG901" i="1"/>
  <c r="CG902" i="1"/>
  <c r="CI902" i="1" s="1"/>
  <c r="CJ902" i="1" s="1"/>
  <c r="CG903" i="1"/>
  <c r="CG904" i="1"/>
  <c r="CI904" i="1" s="1"/>
  <c r="CJ904" i="1" s="1"/>
  <c r="CG905" i="1"/>
  <c r="CI905" i="1" s="1"/>
  <c r="CJ905" i="1" s="1"/>
  <c r="CG906" i="1"/>
  <c r="CG907" i="1"/>
  <c r="CG908" i="1"/>
  <c r="CG909" i="1"/>
  <c r="CG910" i="1"/>
  <c r="CG911" i="1"/>
  <c r="CG912" i="1"/>
  <c r="CI912" i="1" s="1"/>
  <c r="CJ912" i="1" s="1"/>
  <c r="CG913" i="1"/>
  <c r="CG914" i="1"/>
  <c r="CG915" i="1"/>
  <c r="CG916" i="1"/>
  <c r="CG917" i="1"/>
  <c r="CG918" i="1"/>
  <c r="CI918" i="1" s="1"/>
  <c r="CJ918" i="1" s="1"/>
  <c r="CG919" i="1"/>
  <c r="CG920" i="1"/>
  <c r="CI920" i="1" s="1"/>
  <c r="CJ920" i="1" s="1"/>
  <c r="CG921" i="1"/>
  <c r="CI921" i="1" s="1"/>
  <c r="CJ921" i="1" s="1"/>
  <c r="CG922" i="1"/>
  <c r="CH922" i="1" s="1"/>
  <c r="CG923" i="1"/>
  <c r="CG924" i="1"/>
  <c r="CG925" i="1"/>
  <c r="CG926" i="1"/>
  <c r="CI926" i="1" s="1"/>
  <c r="CJ926" i="1" s="1"/>
  <c r="CG927" i="1"/>
  <c r="CG928" i="1"/>
  <c r="CI928" i="1" s="1"/>
  <c r="CJ928" i="1" s="1"/>
  <c r="CG929" i="1"/>
  <c r="CI929" i="1" s="1"/>
  <c r="CJ929" i="1" s="1"/>
  <c r="CG930" i="1"/>
  <c r="CG931" i="1"/>
  <c r="CG932" i="1"/>
  <c r="CG933" i="1"/>
  <c r="CG934" i="1"/>
  <c r="CG935" i="1"/>
  <c r="CG936" i="1"/>
  <c r="CG937" i="1"/>
  <c r="CG938" i="1"/>
  <c r="CG954" i="1"/>
  <c r="CG955" i="1"/>
  <c r="CG956" i="1"/>
  <c r="CG957" i="1"/>
  <c r="CI957" i="1" s="1"/>
  <c r="CJ957" i="1" s="1"/>
  <c r="CF969" i="1"/>
  <c r="CG969" i="1"/>
  <c r="CF970" i="1"/>
  <c r="CG970" i="1"/>
  <c r="CF971" i="1"/>
  <c r="CG971" i="1"/>
  <c r="CJ971" i="1" s="1"/>
  <c r="CF972" i="1"/>
  <c r="CG972" i="1"/>
  <c r="CF973" i="1"/>
  <c r="CG973" i="1"/>
  <c r="CF974" i="1"/>
  <c r="CG974" i="1"/>
  <c r="CF975" i="1"/>
  <c r="CG975" i="1"/>
  <c r="CF976" i="1"/>
  <c r="CG976" i="1"/>
  <c r="CI976" i="1" s="1"/>
  <c r="CJ976" i="1" s="1"/>
  <c r="CG984" i="1"/>
  <c r="CG985" i="1"/>
  <c r="CG986" i="1"/>
  <c r="CI986" i="1" s="1"/>
  <c r="CJ986" i="1" s="1"/>
  <c r="CG987" i="1"/>
  <c r="CG988" i="1"/>
  <c r="CG989" i="1"/>
  <c r="CG990" i="1"/>
  <c r="CG991" i="1"/>
  <c r="CI991" i="1" s="1"/>
  <c r="CJ991" i="1" s="1"/>
  <c r="CG992" i="1"/>
  <c r="CG993" i="1"/>
  <c r="CI993" i="1" s="1"/>
  <c r="CJ993" i="1" s="1"/>
  <c r="CG994" i="1"/>
  <c r="CI994" i="1" s="1"/>
  <c r="CJ994" i="1" s="1"/>
  <c r="CG995" i="1"/>
  <c r="CG996" i="1"/>
  <c r="CG997" i="1"/>
  <c r="CG998" i="1"/>
  <c r="CG999" i="1"/>
  <c r="CI999" i="1" s="1"/>
  <c r="CJ999" i="1" s="1"/>
  <c r="CG1000" i="1"/>
  <c r="CG1001" i="1"/>
  <c r="CI1001" i="1" s="1"/>
  <c r="CJ1001" i="1" s="1"/>
  <c r="CG1002" i="1"/>
  <c r="CI1002" i="1" s="1"/>
  <c r="CJ1002" i="1" s="1"/>
  <c r="CG1003" i="1"/>
  <c r="CG1004" i="1"/>
  <c r="CG1005" i="1"/>
  <c r="CG1006" i="1"/>
  <c r="CG1007" i="1"/>
  <c r="CI1007" i="1" s="1"/>
  <c r="CJ1007" i="1" s="1"/>
  <c r="CG1008" i="1"/>
  <c r="CG1009" i="1"/>
  <c r="CI1009" i="1" s="1"/>
  <c r="CJ1009" i="1" s="1"/>
  <c r="CG1010" i="1"/>
  <c r="CI1010" i="1" s="1"/>
  <c r="CJ1010" i="1" s="1"/>
  <c r="CG1011" i="1"/>
  <c r="CG1012" i="1"/>
  <c r="CG1013" i="1"/>
  <c r="CG1014" i="1"/>
  <c r="CG1015" i="1"/>
  <c r="CG1016" i="1"/>
  <c r="CG1017" i="1"/>
  <c r="CG1041" i="1"/>
  <c r="CG1042" i="1"/>
  <c r="CG1043" i="1"/>
  <c r="CG1044" i="1"/>
  <c r="CG1045" i="1"/>
  <c r="CG1046" i="1"/>
  <c r="CI1046" i="1" s="1"/>
  <c r="CJ1046" i="1" s="1"/>
  <c r="CG1047" i="1"/>
  <c r="CG1048" i="1"/>
  <c r="CI1048" i="1" s="1"/>
  <c r="CJ1048" i="1" s="1"/>
  <c r="CG1049" i="1"/>
  <c r="CI1049" i="1" s="1"/>
  <c r="CJ1049" i="1" s="1"/>
  <c r="CG1050" i="1"/>
  <c r="CG1051" i="1"/>
  <c r="CG1052" i="1"/>
  <c r="CG1053" i="1"/>
  <c r="CG1054" i="1"/>
  <c r="CI1054" i="1" s="1"/>
  <c r="CJ1054" i="1" s="1"/>
  <c r="CG1055" i="1"/>
  <c r="CG1056" i="1"/>
  <c r="CG1057" i="1"/>
  <c r="CI1057" i="1" s="1"/>
  <c r="CJ1057" i="1" s="1"/>
  <c r="CG1058" i="1"/>
  <c r="CG1059" i="1"/>
  <c r="CG1100" i="1"/>
  <c r="CG1101" i="1"/>
  <c r="CG1102" i="1"/>
  <c r="CI1102" i="1" s="1"/>
  <c r="CJ1102" i="1" s="1"/>
  <c r="CG1103" i="1"/>
  <c r="CG1104" i="1"/>
  <c r="CI1104" i="1" s="1"/>
  <c r="CJ1104" i="1" s="1"/>
  <c r="CG1105" i="1"/>
  <c r="CI1105" i="1" s="1"/>
  <c r="CJ1105" i="1" s="1"/>
  <c r="CG1106" i="1"/>
  <c r="CG1107" i="1"/>
  <c r="CG1108" i="1"/>
  <c r="CG1109" i="1"/>
  <c r="CG1110" i="1"/>
  <c r="CG1111" i="1"/>
  <c r="CG1112" i="1"/>
  <c r="CI1112" i="1" s="1"/>
  <c r="CJ1112" i="1" s="1"/>
  <c r="CG1113" i="1"/>
  <c r="CG1114" i="1"/>
  <c r="CG1115" i="1"/>
  <c r="CG1116" i="1"/>
  <c r="CG1117" i="1"/>
  <c r="CG1118" i="1"/>
  <c r="CI1118" i="1" s="1"/>
  <c r="CJ1118" i="1" s="1"/>
  <c r="CG1119" i="1"/>
  <c r="CG1120" i="1"/>
  <c r="CI1120" i="1" s="1"/>
  <c r="CJ1120" i="1" s="1"/>
  <c r="CG1121" i="1"/>
  <c r="CI1121" i="1" s="1"/>
  <c r="CJ1121" i="1" s="1"/>
  <c r="CG1122" i="1"/>
  <c r="CG1123" i="1"/>
  <c r="CG1124" i="1"/>
  <c r="CG1125" i="1"/>
  <c r="CG1126" i="1"/>
  <c r="CI1126" i="1" s="1"/>
  <c r="CJ1126" i="1" s="1"/>
  <c r="CG1127" i="1"/>
  <c r="CG1128" i="1"/>
  <c r="CI1128" i="1" s="1"/>
  <c r="CJ1128" i="1" s="1"/>
  <c r="CG1129" i="1"/>
  <c r="CI1129" i="1" s="1"/>
  <c r="CJ1129" i="1" s="1"/>
  <c r="CG1130" i="1"/>
  <c r="CG1131" i="1"/>
  <c r="CG1132" i="1"/>
  <c r="CG1133" i="1"/>
  <c r="CG1134" i="1"/>
  <c r="CG1135" i="1"/>
  <c r="CG1136" i="1"/>
  <c r="CG1137" i="1"/>
  <c r="CG1138" i="1"/>
  <c r="CG1139" i="1"/>
  <c r="CG1140" i="1"/>
  <c r="CG1141" i="1"/>
  <c r="CG1142" i="1"/>
  <c r="CI1142" i="1" s="1"/>
  <c r="CJ1142" i="1" s="1"/>
  <c r="CG1143" i="1"/>
  <c r="CG1144" i="1"/>
  <c r="CI1144" i="1" s="1"/>
  <c r="CJ1144" i="1" s="1"/>
  <c r="CG1145" i="1"/>
  <c r="CI1145" i="1" s="1"/>
  <c r="CJ1145" i="1" s="1"/>
  <c r="CG1146" i="1"/>
  <c r="CG1147" i="1"/>
  <c r="CG1148" i="1"/>
  <c r="CG1149" i="1"/>
  <c r="CG1150" i="1"/>
  <c r="CI1150" i="1" s="1"/>
  <c r="CJ1150" i="1" s="1"/>
  <c r="CF1164" i="1"/>
  <c r="CG1164" i="1"/>
  <c r="CF1165" i="1"/>
  <c r="CG1165" i="1"/>
  <c r="CI1165" i="1" s="1"/>
  <c r="CJ1165" i="1" s="1"/>
  <c r="CF1166" i="1"/>
  <c r="CG1166" i="1"/>
  <c r="CI1166" i="1" s="1"/>
  <c r="CJ1166" i="1" s="1"/>
  <c r="CG1192" i="1"/>
  <c r="CG1193" i="1"/>
  <c r="CG1194" i="1"/>
  <c r="CG1195" i="1"/>
  <c r="CG1196" i="1"/>
  <c r="CI1196" i="1" s="1"/>
  <c r="CJ1196" i="1" s="1"/>
  <c r="CG1197" i="1"/>
  <c r="CG1198" i="1"/>
  <c r="CI1198" i="1" s="1"/>
  <c r="CJ1198" i="1" s="1"/>
  <c r="CG1199" i="1"/>
  <c r="CI1199" i="1" s="1"/>
  <c r="CJ1199" i="1" s="1"/>
  <c r="CG1200" i="1"/>
  <c r="CG1201" i="1"/>
  <c r="CG1202" i="1"/>
  <c r="CG1212" i="1"/>
  <c r="CG1213" i="1"/>
  <c r="CI1213" i="1" s="1"/>
  <c r="CJ1213" i="1" s="1"/>
  <c r="CG1214" i="1"/>
  <c r="CG1215" i="1"/>
  <c r="CI1215" i="1" s="1"/>
  <c r="CJ1215" i="1" s="1"/>
  <c r="CG1216" i="1"/>
  <c r="CI1216" i="1" s="1"/>
  <c r="CJ1216" i="1" s="1"/>
  <c r="CG1217" i="1"/>
  <c r="CG1218" i="1"/>
  <c r="CG1221" i="1"/>
  <c r="CG1222" i="1"/>
  <c r="CG1223" i="1"/>
  <c r="CI1223" i="1" s="1"/>
  <c r="CJ1223" i="1" s="1"/>
  <c r="CG1224" i="1"/>
  <c r="CG1225" i="1"/>
  <c r="CI1225" i="1" s="1"/>
  <c r="CJ1225" i="1" s="1"/>
  <c r="CG1243" i="1"/>
  <c r="CI1243" i="1" s="1"/>
  <c r="CJ1243" i="1" s="1"/>
  <c r="CG1244" i="1"/>
  <c r="CG958" i="1"/>
  <c r="CG959" i="1"/>
  <c r="CG960" i="1"/>
  <c r="CG961" i="1"/>
  <c r="CI961" i="1" s="1"/>
  <c r="CJ961" i="1" s="1"/>
  <c r="CG962" i="1"/>
  <c r="CG963" i="1"/>
  <c r="CI963" i="1" s="1"/>
  <c r="CJ963" i="1" s="1"/>
  <c r="CG1293" i="1"/>
  <c r="CI1293" i="1" s="1"/>
  <c r="CJ1293" i="1" s="1"/>
  <c r="CG1294" i="1"/>
  <c r="CH1294" i="1" s="1"/>
  <c r="CG1295" i="1"/>
  <c r="CH1295" i="1" s="1"/>
  <c r="CG1296" i="1"/>
  <c r="CH1296" i="1" s="1"/>
  <c r="CG1297" i="1"/>
  <c r="CH1297" i="1" s="1"/>
  <c r="CG1298" i="1"/>
  <c r="CH1298" i="1" s="1"/>
  <c r="CG1299" i="1"/>
  <c r="CH1299" i="1" s="1"/>
  <c r="CG1300" i="1"/>
  <c r="CI1300" i="1" s="1"/>
  <c r="CJ1300" i="1" s="1"/>
  <c r="CG1301" i="1"/>
  <c r="CH1301" i="1" s="1"/>
  <c r="CG25" i="1"/>
  <c r="CH25" i="1" s="1"/>
  <c r="CG26" i="1"/>
  <c r="CH26" i="1" s="1"/>
  <c r="CG27" i="1"/>
  <c r="CH27" i="1" s="1"/>
  <c r="CG28" i="1"/>
  <c r="CH28" i="1" s="1"/>
  <c r="CG29" i="1"/>
  <c r="CI29" i="1" s="1"/>
  <c r="CJ29" i="1" s="1"/>
  <c r="CG30" i="1"/>
  <c r="CH30" i="1" s="1"/>
  <c r="CG31" i="1"/>
  <c r="CI31" i="1" s="1"/>
  <c r="CJ31" i="1" s="1"/>
  <c r="CG32" i="1"/>
  <c r="CI32" i="1" s="1"/>
  <c r="CJ32" i="1" s="1"/>
  <c r="CG33" i="1"/>
  <c r="CH33" i="1" s="1"/>
  <c r="CG34" i="1"/>
  <c r="CH34" i="1" s="1"/>
  <c r="CG814" i="1"/>
  <c r="CH814" i="1" s="1"/>
  <c r="CG301" i="1"/>
  <c r="CH301" i="1" s="1"/>
  <c r="CG704" i="1"/>
  <c r="CI704" i="1" s="1"/>
  <c r="CJ704" i="1" s="1"/>
  <c r="CG705" i="1"/>
  <c r="CG706" i="1"/>
  <c r="CI706" i="1" s="1"/>
  <c r="CJ706" i="1" s="1"/>
  <c r="CG707" i="1"/>
  <c r="CI707" i="1" s="1"/>
  <c r="CJ707" i="1" s="1"/>
  <c r="CG708" i="1"/>
  <c r="CG709" i="1"/>
  <c r="CG710" i="1"/>
  <c r="CG711" i="1"/>
  <c r="CG712" i="1"/>
  <c r="CI712" i="1" s="1"/>
  <c r="CJ712" i="1" s="1"/>
  <c r="CG1302" i="1"/>
  <c r="CH1302" i="1" s="1"/>
  <c r="CF493" i="1"/>
  <c r="CG493" i="1"/>
  <c r="CI493" i="1" s="1"/>
  <c r="CJ493" i="1" s="1"/>
  <c r="CF420" i="1"/>
  <c r="CI420" i="1"/>
  <c r="CJ420" i="1" s="1"/>
  <c r="CF671" i="1"/>
  <c r="CG671" i="1"/>
  <c r="CF672" i="1"/>
  <c r="CG672" i="1"/>
  <c r="CF673" i="1"/>
  <c r="CG673" i="1"/>
  <c r="CF417" i="1"/>
  <c r="CG417" i="1"/>
  <c r="CH417" i="1" s="1"/>
  <c r="CF418" i="1"/>
  <c r="CG418" i="1"/>
  <c r="CI418" i="1" s="1"/>
  <c r="CJ418" i="1" s="1"/>
  <c r="CF419" i="1"/>
  <c r="CG419" i="1"/>
  <c r="CE2" i="1"/>
  <c r="CF2" i="1"/>
  <c r="CG2" i="1"/>
  <c r="CI2" i="1" s="1"/>
  <c r="CJ2" i="1" s="1"/>
  <c r="R420" i="1"/>
  <c r="S420" i="1"/>
  <c r="R671" i="1"/>
  <c r="S671" i="1"/>
  <c r="R672" i="1"/>
  <c r="S672" i="1"/>
  <c r="R673" i="1"/>
  <c r="S673" i="1"/>
  <c r="R417" i="1"/>
  <c r="S417" i="1"/>
  <c r="R418" i="1"/>
  <c r="S418" i="1"/>
  <c r="R419" i="1"/>
  <c r="S419" i="1"/>
  <c r="L417" i="1"/>
  <c r="BB417" i="1" s="1"/>
  <c r="L418" i="1"/>
  <c r="BB418" i="1" s="1"/>
  <c r="L419" i="1"/>
  <c r="BB419" i="1" s="1"/>
  <c r="CH642" i="1" l="1"/>
  <c r="CH971" i="1"/>
  <c r="CH1129" i="1"/>
  <c r="CH1001" i="1"/>
  <c r="CH425" i="1"/>
  <c r="CH869" i="1"/>
  <c r="CH495" i="1"/>
  <c r="CH872" i="1"/>
  <c r="CH929" i="1"/>
  <c r="CH848" i="1"/>
  <c r="CH1215" i="1"/>
  <c r="CH1126" i="1"/>
  <c r="CH1104" i="1"/>
  <c r="CH1057" i="1"/>
  <c r="CH904" i="1"/>
  <c r="CH856" i="1"/>
  <c r="CH300" i="1"/>
  <c r="CH503" i="1"/>
  <c r="CH1196" i="1"/>
  <c r="CH641" i="1"/>
  <c r="CH593" i="1"/>
  <c r="CH578" i="1"/>
  <c r="CH488" i="1"/>
  <c r="CH756" i="1"/>
  <c r="CH1120" i="1"/>
  <c r="CH920" i="1"/>
  <c r="CH534" i="1"/>
  <c r="CH527" i="1"/>
  <c r="CH520" i="1"/>
  <c r="CH707" i="1"/>
  <c r="CH1007" i="1"/>
  <c r="CH994" i="1"/>
  <c r="CH831" i="1"/>
  <c r="CH623" i="1"/>
  <c r="CH423" i="1"/>
  <c r="CH404" i="1"/>
  <c r="CH356" i="1"/>
  <c r="CH1144" i="1"/>
  <c r="CH322" i="1"/>
  <c r="CH317" i="1"/>
  <c r="CH1118" i="1"/>
  <c r="CH1049" i="1"/>
  <c r="CH999" i="1"/>
  <c r="CH918" i="1"/>
  <c r="CH695" i="1"/>
  <c r="CH644" i="1"/>
  <c r="CH615" i="1"/>
  <c r="CH608" i="1"/>
  <c r="CH485" i="1"/>
  <c r="CH355" i="1"/>
  <c r="CH349" i="1"/>
  <c r="CH511" i="1"/>
  <c r="CH470" i="1"/>
  <c r="CH389" i="1"/>
  <c r="CH316" i="1"/>
  <c r="CH295" i="1"/>
  <c r="CH1142" i="1"/>
  <c r="CH1121" i="1"/>
  <c r="CH957" i="1"/>
  <c r="CH928" i="1"/>
  <c r="CH921" i="1"/>
  <c r="CH840" i="1"/>
  <c r="CH686" i="1"/>
  <c r="CH679" i="1"/>
  <c r="CH1145" i="1"/>
  <c r="CH1046" i="1"/>
  <c r="CH1009" i="1"/>
  <c r="CH905" i="1"/>
  <c r="CH577" i="1"/>
  <c r="CH561" i="1"/>
  <c r="CH448" i="1"/>
  <c r="CH403" i="1"/>
  <c r="CH373" i="1"/>
  <c r="CH363" i="1"/>
  <c r="CI386" i="1"/>
  <c r="CJ386" i="1" s="1"/>
  <c r="CH1199" i="1"/>
  <c r="CH1002" i="1"/>
  <c r="CH993" i="1"/>
  <c r="CH986" i="1"/>
  <c r="CH799" i="1"/>
  <c r="CH760" i="1"/>
  <c r="CH755" i="1"/>
  <c r="CH749" i="1"/>
  <c r="CH683" i="1"/>
  <c r="CH678" i="1"/>
  <c r="CH668" i="1"/>
  <c r="CH658" i="1"/>
  <c r="CH553" i="1"/>
  <c r="CH512" i="1"/>
  <c r="CH447" i="1"/>
  <c r="CH441" i="1"/>
  <c r="CH378" i="1"/>
  <c r="CH362" i="1"/>
  <c r="CH331" i="1"/>
  <c r="CH308" i="1"/>
  <c r="CH704" i="1"/>
  <c r="CH963" i="1"/>
  <c r="CH1105" i="1"/>
  <c r="CH1048" i="1"/>
  <c r="CH926" i="1"/>
  <c r="CH897" i="1"/>
  <c r="CH892" i="1"/>
  <c r="CH837" i="1"/>
  <c r="CH815" i="1"/>
  <c r="CH803" i="1"/>
  <c r="CH798" i="1"/>
  <c r="CH748" i="1"/>
  <c r="CH723" i="1"/>
  <c r="CH717" i="1"/>
  <c r="CH699" i="1"/>
  <c r="CH693" i="1"/>
  <c r="CH667" i="1"/>
  <c r="CH479" i="1"/>
  <c r="CH396" i="1"/>
  <c r="CH371" i="1"/>
  <c r="CH365" i="1"/>
  <c r="CH323" i="1"/>
  <c r="CH1225" i="1"/>
  <c r="CH1010" i="1"/>
  <c r="CH902" i="1"/>
  <c r="CH896" i="1"/>
  <c r="CH868" i="1"/>
  <c r="CH747" i="1"/>
  <c r="CH703" i="1"/>
  <c r="CH660" i="1"/>
  <c r="CH584" i="1"/>
  <c r="CH528" i="1"/>
  <c r="CH432" i="1"/>
  <c r="CH410" i="1"/>
  <c r="CH381" i="1"/>
  <c r="CH332" i="1"/>
  <c r="CH810" i="1"/>
  <c r="CH802" i="1"/>
  <c r="CH763" i="1"/>
  <c r="CH801" i="1"/>
  <c r="CH762" i="1"/>
  <c r="CH809" i="1"/>
  <c r="CH245" i="1"/>
  <c r="CH219" i="1"/>
  <c r="CH236" i="1"/>
  <c r="CH225" i="1"/>
  <c r="CH268" i="1"/>
  <c r="CH253" i="1"/>
  <c r="CH235" i="1"/>
  <c r="CI5" i="1"/>
  <c r="CJ5" i="1" s="1"/>
  <c r="CH8" i="1"/>
  <c r="CI242" i="1"/>
  <c r="CJ242" i="1" s="1"/>
  <c r="CH293" i="1"/>
  <c r="CH285" i="1"/>
  <c r="CH252" i="1"/>
  <c r="CH111" i="1"/>
  <c r="CH103" i="1"/>
  <c r="CH267" i="1"/>
  <c r="CH261" i="1"/>
  <c r="CH250" i="1"/>
  <c r="CH109" i="1"/>
  <c r="CH9" i="1"/>
  <c r="CH7" i="1"/>
  <c r="CI114" i="1"/>
  <c r="CJ114" i="1" s="1"/>
  <c r="CH243" i="1"/>
  <c r="CH227" i="1"/>
  <c r="CH216" i="1"/>
  <c r="CI192" i="1"/>
  <c r="CJ192" i="1" s="1"/>
  <c r="CI13" i="1"/>
  <c r="CJ13" i="1" s="1"/>
  <c r="CI1015" i="1"/>
  <c r="CJ1015" i="1" s="1"/>
  <c r="CH1015" i="1"/>
  <c r="CH1197" i="1"/>
  <c r="CI1197" i="1"/>
  <c r="CJ1197" i="1" s="1"/>
  <c r="CH1042" i="1"/>
  <c r="CI1042" i="1"/>
  <c r="CJ1042" i="1" s="1"/>
  <c r="CH935" i="1"/>
  <c r="CI935" i="1"/>
  <c r="CJ935" i="1" s="1"/>
  <c r="CH862" i="1"/>
  <c r="CI862" i="1"/>
  <c r="CJ862" i="1" s="1"/>
  <c r="CH793" i="1"/>
  <c r="CI675" i="1"/>
  <c r="CJ675" i="1" s="1"/>
  <c r="CH675" i="1"/>
  <c r="CH493" i="1"/>
  <c r="CH711" i="1"/>
  <c r="CI711" i="1"/>
  <c r="CJ711" i="1" s="1"/>
  <c r="CH1222" i="1"/>
  <c r="CI1222" i="1"/>
  <c r="CJ1222" i="1" s="1"/>
  <c r="CH1216" i="1"/>
  <c r="CH1213" i="1"/>
  <c r="CH1192" i="1"/>
  <c r="CI1192" i="1"/>
  <c r="CJ1192" i="1" s="1"/>
  <c r="CH1141" i="1"/>
  <c r="CI1141" i="1"/>
  <c r="CJ1141" i="1" s="1"/>
  <c r="CH1131" i="1"/>
  <c r="CI1131" i="1"/>
  <c r="CJ1131" i="1" s="1"/>
  <c r="CH1127" i="1"/>
  <c r="CI1127" i="1"/>
  <c r="CJ1127" i="1" s="1"/>
  <c r="CH1114" i="1"/>
  <c r="CI1114" i="1"/>
  <c r="CJ1114" i="1" s="1"/>
  <c r="CI1110" i="1"/>
  <c r="CJ1110" i="1" s="1"/>
  <c r="CH1110" i="1"/>
  <c r="CH1101" i="1"/>
  <c r="CI1101" i="1"/>
  <c r="CJ1101" i="1" s="1"/>
  <c r="CH1014" i="1"/>
  <c r="CI1014" i="1"/>
  <c r="CJ1014" i="1" s="1"/>
  <c r="CH1004" i="1"/>
  <c r="CI1004" i="1"/>
  <c r="CJ1004" i="1" s="1"/>
  <c r="CI985" i="1"/>
  <c r="CJ985" i="1" s="1"/>
  <c r="CH985" i="1"/>
  <c r="CH917" i="1"/>
  <c r="CI917" i="1"/>
  <c r="CJ917" i="1" s="1"/>
  <c r="CH912" i="1"/>
  <c r="CH898" i="1"/>
  <c r="CI898" i="1"/>
  <c r="CJ898" i="1" s="1"/>
  <c r="CH871" i="1"/>
  <c r="CI871" i="1"/>
  <c r="CJ871" i="1" s="1"/>
  <c r="CI852" i="1"/>
  <c r="CJ852" i="1" s="1"/>
  <c r="CH852" i="1"/>
  <c r="CI739" i="1"/>
  <c r="CJ739" i="1" s="1"/>
  <c r="CH739" i="1"/>
  <c r="CI635" i="1"/>
  <c r="CJ635" i="1" s="1"/>
  <c r="CH635" i="1"/>
  <c r="CH612" i="1"/>
  <c r="CI612" i="1"/>
  <c r="CJ612" i="1" s="1"/>
  <c r="CI601" i="1"/>
  <c r="CJ601" i="1" s="1"/>
  <c r="CH601" i="1"/>
  <c r="CH546" i="1"/>
  <c r="CI546" i="1"/>
  <c r="CJ546" i="1" s="1"/>
  <c r="CH515" i="1"/>
  <c r="CI515" i="1"/>
  <c r="CJ515" i="1" s="1"/>
  <c r="CH459" i="1"/>
  <c r="CI459" i="1"/>
  <c r="CJ459" i="1" s="1"/>
  <c r="CH310" i="1"/>
  <c r="CI310" i="1"/>
  <c r="CJ310" i="1" s="1"/>
  <c r="CH671" i="1"/>
  <c r="CI671" i="1"/>
  <c r="CJ671" i="1" s="1"/>
  <c r="CH959" i="1"/>
  <c r="CI959" i="1"/>
  <c r="CJ959" i="1" s="1"/>
  <c r="CH1148" i="1"/>
  <c r="CI1148" i="1"/>
  <c r="CJ1148" i="1" s="1"/>
  <c r="CI1136" i="1"/>
  <c r="CJ1136" i="1" s="1"/>
  <c r="CH1136" i="1"/>
  <c r="CH1109" i="1"/>
  <c r="CI1109" i="1"/>
  <c r="CJ1109" i="1" s="1"/>
  <c r="CI1041" i="1"/>
  <c r="CJ1041" i="1" s="1"/>
  <c r="CH1041" i="1"/>
  <c r="CH1013" i="1"/>
  <c r="CI1013" i="1"/>
  <c r="CJ1013" i="1" s="1"/>
  <c r="CH997" i="1"/>
  <c r="CI997" i="1"/>
  <c r="CJ997" i="1" s="1"/>
  <c r="CH988" i="1"/>
  <c r="CI988" i="1"/>
  <c r="CJ988" i="1" s="1"/>
  <c r="CH938" i="1"/>
  <c r="CI938" i="1"/>
  <c r="CJ938" i="1" s="1"/>
  <c r="CI934" i="1"/>
  <c r="CJ934" i="1" s="1"/>
  <c r="CH934" i="1"/>
  <c r="CH924" i="1"/>
  <c r="CI924" i="1"/>
  <c r="CJ924" i="1" s="1"/>
  <c r="CH903" i="1"/>
  <c r="CI903" i="1"/>
  <c r="CJ903" i="1" s="1"/>
  <c r="CI876" i="1"/>
  <c r="CJ876" i="1" s="1"/>
  <c r="CH876" i="1"/>
  <c r="CH842" i="1"/>
  <c r="CI738" i="1"/>
  <c r="CJ738" i="1" s="1"/>
  <c r="CH738" i="1"/>
  <c r="CH664" i="1"/>
  <c r="CI664" i="1"/>
  <c r="CJ664" i="1" s="1"/>
  <c r="CH592" i="1"/>
  <c r="CI592" i="1"/>
  <c r="CJ592" i="1" s="1"/>
  <c r="CI585" i="1"/>
  <c r="CJ585" i="1" s="1"/>
  <c r="CH585" i="1"/>
  <c r="CH567" i="1"/>
  <c r="CI567" i="1"/>
  <c r="CJ567" i="1" s="1"/>
  <c r="CH490" i="1"/>
  <c r="CI490" i="1"/>
  <c r="CJ490" i="1" s="1"/>
  <c r="CH1115" i="1"/>
  <c r="CI1115" i="1"/>
  <c r="CJ1115" i="1" s="1"/>
  <c r="CI889" i="1"/>
  <c r="CJ889" i="1" s="1"/>
  <c r="CH889" i="1"/>
  <c r="CH710" i="1"/>
  <c r="CI710" i="1"/>
  <c r="CJ710" i="1" s="1"/>
  <c r="CH706" i="1"/>
  <c r="CH962" i="1"/>
  <c r="CI962" i="1"/>
  <c r="CJ962" i="1" s="1"/>
  <c r="CH958" i="1"/>
  <c r="CI958" i="1"/>
  <c r="CJ958" i="1" s="1"/>
  <c r="CH1221" i="1"/>
  <c r="CI1221" i="1"/>
  <c r="CJ1221" i="1" s="1"/>
  <c r="CH1212" i="1"/>
  <c r="CI1212" i="1"/>
  <c r="CJ1212" i="1" s="1"/>
  <c r="CH1166" i="1"/>
  <c r="CH1130" i="1"/>
  <c r="CI1130" i="1"/>
  <c r="CJ1130" i="1" s="1"/>
  <c r="CI1113" i="1"/>
  <c r="CJ1113" i="1" s="1"/>
  <c r="CH1113" i="1"/>
  <c r="CI1056" i="1"/>
  <c r="CJ1056" i="1" s="1"/>
  <c r="CH1056" i="1"/>
  <c r="CH1045" i="1"/>
  <c r="CI1045" i="1"/>
  <c r="CJ1045" i="1" s="1"/>
  <c r="CH1012" i="1"/>
  <c r="CI1012" i="1"/>
  <c r="CJ1012" i="1" s="1"/>
  <c r="CH1008" i="1"/>
  <c r="CI1008" i="1"/>
  <c r="CJ1008" i="1" s="1"/>
  <c r="CH933" i="1"/>
  <c r="CI933" i="1"/>
  <c r="CJ933" i="1" s="1"/>
  <c r="CH923" i="1"/>
  <c r="CI923" i="1"/>
  <c r="CJ923" i="1" s="1"/>
  <c r="CH916" i="1"/>
  <c r="CI916" i="1"/>
  <c r="CJ916" i="1" s="1"/>
  <c r="CH911" i="1"/>
  <c r="CI911" i="1"/>
  <c r="CJ911" i="1" s="1"/>
  <c r="CH906" i="1"/>
  <c r="CI906" i="1"/>
  <c r="CJ906" i="1" s="1"/>
  <c r="CH875" i="1"/>
  <c r="CI875" i="1"/>
  <c r="CJ875" i="1" s="1"/>
  <c r="CH860" i="1"/>
  <c r="CH841" i="1"/>
  <c r="CI820" i="1"/>
  <c r="CJ820" i="1" s="1"/>
  <c r="CH820" i="1"/>
  <c r="CH800" i="1"/>
  <c r="CI800" i="1"/>
  <c r="CJ800" i="1" s="1"/>
  <c r="CH654" i="1"/>
  <c r="CI654" i="1"/>
  <c r="CJ654" i="1" s="1"/>
  <c r="CH531" i="1"/>
  <c r="CI531" i="1"/>
  <c r="CJ531" i="1" s="1"/>
  <c r="CI1137" i="1"/>
  <c r="CJ1137" i="1" s="1"/>
  <c r="CH1137" i="1"/>
  <c r="CH954" i="1"/>
  <c r="CI954" i="1"/>
  <c r="CJ954" i="1" s="1"/>
  <c r="CH1195" i="1"/>
  <c r="CI1195" i="1"/>
  <c r="CJ1195" i="1" s="1"/>
  <c r="CH1139" i="1"/>
  <c r="CI1139" i="1"/>
  <c r="CJ1139" i="1" s="1"/>
  <c r="CH1135" i="1"/>
  <c r="CI1135" i="1"/>
  <c r="CJ1135" i="1" s="1"/>
  <c r="CH1108" i="1"/>
  <c r="CI1108" i="1"/>
  <c r="CJ1108" i="1" s="1"/>
  <c r="CH1059" i="1"/>
  <c r="CI1059" i="1"/>
  <c r="CJ1059" i="1" s="1"/>
  <c r="CH1052" i="1"/>
  <c r="CI1052" i="1"/>
  <c r="CJ1052" i="1" s="1"/>
  <c r="CI1017" i="1"/>
  <c r="CJ1017" i="1" s="1"/>
  <c r="CH1017" i="1"/>
  <c r="CH992" i="1"/>
  <c r="CI992" i="1"/>
  <c r="CJ992" i="1" s="1"/>
  <c r="CI937" i="1"/>
  <c r="CJ937" i="1" s="1"/>
  <c r="CH937" i="1"/>
  <c r="CH932" i="1"/>
  <c r="CI932" i="1"/>
  <c r="CJ932" i="1" s="1"/>
  <c r="CH915" i="1"/>
  <c r="CI915" i="1"/>
  <c r="CJ915" i="1" s="1"/>
  <c r="CH867" i="1"/>
  <c r="CI867" i="1"/>
  <c r="CJ867" i="1" s="1"/>
  <c r="CI864" i="1"/>
  <c r="CJ864" i="1" s="1"/>
  <c r="CH864" i="1"/>
  <c r="CH855" i="1"/>
  <c r="CI855" i="1"/>
  <c r="CJ855" i="1" s="1"/>
  <c r="CH819" i="1"/>
  <c r="CI819" i="1"/>
  <c r="CJ819" i="1" s="1"/>
  <c r="CI731" i="1"/>
  <c r="CJ731" i="1" s="1"/>
  <c r="CH731" i="1"/>
  <c r="CI687" i="1"/>
  <c r="CJ687" i="1" s="1"/>
  <c r="CH687" i="1"/>
  <c r="CI616" i="1"/>
  <c r="CJ616" i="1" s="1"/>
  <c r="CH616" i="1"/>
  <c r="CI596" i="1"/>
  <c r="CJ596" i="1" s="1"/>
  <c r="CH596" i="1"/>
  <c r="CH228" i="1"/>
  <c r="CI228" i="1"/>
  <c r="CJ228" i="1" s="1"/>
  <c r="CI218" i="1"/>
  <c r="CJ218" i="1" s="1"/>
  <c r="CH218" i="1"/>
  <c r="CH1132" i="1"/>
  <c r="CI1132" i="1"/>
  <c r="CJ1132" i="1" s="1"/>
  <c r="CH998" i="1"/>
  <c r="CI998" i="1"/>
  <c r="CJ998" i="1" s="1"/>
  <c r="CH972" i="1"/>
  <c r="CI972" i="1"/>
  <c r="CJ972" i="1" s="1"/>
  <c r="CH969" i="1"/>
  <c r="CI969" i="1"/>
  <c r="CJ969" i="1" s="1"/>
  <c r="CI816" i="1"/>
  <c r="CJ816" i="1" s="1"/>
  <c r="CH816" i="1"/>
  <c r="CH745" i="1"/>
  <c r="CI745" i="1"/>
  <c r="CJ745" i="1" s="1"/>
  <c r="CH414" i="1"/>
  <c r="CI414" i="1"/>
  <c r="CJ414" i="1" s="1"/>
  <c r="CH419" i="1"/>
  <c r="CI419" i="1"/>
  <c r="CJ419" i="1" s="1"/>
  <c r="CH709" i="1"/>
  <c r="CI709" i="1"/>
  <c r="CJ709" i="1" s="1"/>
  <c r="CH673" i="1"/>
  <c r="CI673" i="1"/>
  <c r="CJ673" i="1" s="1"/>
  <c r="CH420" i="1"/>
  <c r="CH961" i="1"/>
  <c r="CH1244" i="1"/>
  <c r="CI1244" i="1"/>
  <c r="CJ1244" i="1" s="1"/>
  <c r="CH1224" i="1"/>
  <c r="CI1224" i="1"/>
  <c r="CJ1224" i="1" s="1"/>
  <c r="CH1218" i="1"/>
  <c r="CI1218" i="1"/>
  <c r="CJ1218" i="1" s="1"/>
  <c r="CH1202" i="1"/>
  <c r="CI1202" i="1"/>
  <c r="CJ1202" i="1" s="1"/>
  <c r="CH1198" i="1"/>
  <c r="CH1146" i="1"/>
  <c r="CI1146" i="1"/>
  <c r="CJ1146" i="1" s="1"/>
  <c r="CH1143" i="1"/>
  <c r="CI1143" i="1"/>
  <c r="CJ1143" i="1" s="1"/>
  <c r="CH1117" i="1"/>
  <c r="CI1117" i="1"/>
  <c r="CJ1117" i="1" s="1"/>
  <c r="CH1112" i="1"/>
  <c r="CH1011" i="1"/>
  <c r="CI1011" i="1"/>
  <c r="CJ1011" i="1" s="1"/>
  <c r="CH995" i="1"/>
  <c r="CI995" i="1"/>
  <c r="CJ995" i="1" s="1"/>
  <c r="CH991" i="1"/>
  <c r="CH976" i="1"/>
  <c r="CH956" i="1"/>
  <c r="CI956" i="1"/>
  <c r="CJ956" i="1" s="1"/>
  <c r="CH931" i="1"/>
  <c r="CI931" i="1"/>
  <c r="CJ931" i="1" s="1"/>
  <c r="CH927" i="1"/>
  <c r="CI927" i="1"/>
  <c r="CJ927" i="1" s="1"/>
  <c r="CH914" i="1"/>
  <c r="CI914" i="1"/>
  <c r="CJ914" i="1" s="1"/>
  <c r="CI910" i="1"/>
  <c r="CJ910" i="1" s="1"/>
  <c r="CH910" i="1"/>
  <c r="CH901" i="1"/>
  <c r="CI901" i="1"/>
  <c r="CJ901" i="1" s="1"/>
  <c r="CH891" i="1"/>
  <c r="CI891" i="1"/>
  <c r="CJ891" i="1" s="1"/>
  <c r="CI874" i="1"/>
  <c r="CJ874" i="1" s="1"/>
  <c r="CH874" i="1"/>
  <c r="CH859" i="1"/>
  <c r="CI859" i="1"/>
  <c r="CJ859" i="1" s="1"/>
  <c r="CI845" i="1"/>
  <c r="CJ845" i="1" s="1"/>
  <c r="CH845" i="1"/>
  <c r="CI752" i="1"/>
  <c r="CJ752" i="1" s="1"/>
  <c r="CH752" i="1"/>
  <c r="CH720" i="1"/>
  <c r="CH697" i="1"/>
  <c r="CI697" i="1"/>
  <c r="CJ697" i="1" s="1"/>
  <c r="CH638" i="1"/>
  <c r="CI638" i="1"/>
  <c r="CJ638" i="1" s="1"/>
  <c r="CI550" i="1"/>
  <c r="CJ550" i="1" s="1"/>
  <c r="CH550" i="1"/>
  <c r="CI543" i="1"/>
  <c r="CJ543" i="1" s="1"/>
  <c r="CH543" i="1"/>
  <c r="CH960" i="1"/>
  <c r="CI960" i="1"/>
  <c r="CJ960" i="1" s="1"/>
  <c r="CH899" i="1"/>
  <c r="CI899" i="1"/>
  <c r="CJ899" i="1" s="1"/>
  <c r="CH712" i="1"/>
  <c r="CH708" i="1"/>
  <c r="CI708" i="1"/>
  <c r="CJ708" i="1" s="1"/>
  <c r="CH705" i="1"/>
  <c r="CI705" i="1"/>
  <c r="CJ705" i="1" s="1"/>
  <c r="CH1201" i="1"/>
  <c r="CI1201" i="1"/>
  <c r="CJ1201" i="1" s="1"/>
  <c r="CH1194" i="1"/>
  <c r="CI1194" i="1"/>
  <c r="CJ1194" i="1" s="1"/>
  <c r="CH1150" i="1"/>
  <c r="CH1138" i="1"/>
  <c r="CI1138" i="1"/>
  <c r="CJ1138" i="1" s="1"/>
  <c r="CI1134" i="1"/>
  <c r="CJ1134" i="1" s="1"/>
  <c r="CH1134" i="1"/>
  <c r="CH1128" i="1"/>
  <c r="CH1124" i="1"/>
  <c r="CI1124" i="1"/>
  <c r="CJ1124" i="1" s="1"/>
  <c r="CH1103" i="1"/>
  <c r="CI1103" i="1"/>
  <c r="CJ1103" i="1" s="1"/>
  <c r="CH1043" i="1"/>
  <c r="CI1043" i="1"/>
  <c r="CJ1043" i="1" s="1"/>
  <c r="CH1016" i="1"/>
  <c r="CI1016" i="1"/>
  <c r="CJ1016" i="1" s="1"/>
  <c r="CH973" i="1"/>
  <c r="CI973" i="1"/>
  <c r="CJ973" i="1" s="1"/>
  <c r="CI970" i="1"/>
  <c r="CJ970" i="1" s="1"/>
  <c r="CH970" i="1"/>
  <c r="CI936" i="1"/>
  <c r="CJ936" i="1" s="1"/>
  <c r="CH936" i="1"/>
  <c r="CH909" i="1"/>
  <c r="CI909" i="1"/>
  <c r="CJ909" i="1" s="1"/>
  <c r="CH895" i="1"/>
  <c r="CI895" i="1"/>
  <c r="CJ895" i="1" s="1"/>
  <c r="CH890" i="1"/>
  <c r="CI890" i="1"/>
  <c r="CJ890" i="1" s="1"/>
  <c r="CH873" i="1"/>
  <c r="CI873" i="1"/>
  <c r="CJ873" i="1" s="1"/>
  <c r="CH863" i="1"/>
  <c r="CI863" i="1"/>
  <c r="CJ863" i="1" s="1"/>
  <c r="CI824" i="1"/>
  <c r="CJ824" i="1" s="1"/>
  <c r="CH824" i="1"/>
  <c r="CH696" i="1"/>
  <c r="CI696" i="1"/>
  <c r="CJ696" i="1" s="1"/>
  <c r="CH588" i="1"/>
  <c r="CI588" i="1"/>
  <c r="CJ588" i="1" s="1"/>
  <c r="CI570" i="1"/>
  <c r="CJ570" i="1" s="1"/>
  <c r="CH570" i="1"/>
  <c r="CI535" i="1"/>
  <c r="CJ535" i="1" s="1"/>
  <c r="CH535" i="1"/>
  <c r="CH1200" i="1"/>
  <c r="CI1200" i="1"/>
  <c r="CJ1200" i="1" s="1"/>
  <c r="CH1005" i="1"/>
  <c r="CI1005" i="1"/>
  <c r="CJ1005" i="1" s="1"/>
  <c r="CH908" i="1"/>
  <c r="CI908" i="1"/>
  <c r="CJ908" i="1" s="1"/>
  <c r="CH2" i="1"/>
  <c r="CH418" i="1"/>
  <c r="CH672" i="1"/>
  <c r="CI672" i="1"/>
  <c r="CJ672" i="1" s="1"/>
  <c r="CH1243" i="1"/>
  <c r="CH1223" i="1"/>
  <c r="CH1217" i="1"/>
  <c r="CI1217" i="1"/>
  <c r="CJ1217" i="1" s="1"/>
  <c r="CH1214" i="1"/>
  <c r="CI1214" i="1"/>
  <c r="CJ1214" i="1" s="1"/>
  <c r="CH1193" i="1"/>
  <c r="CI1193" i="1"/>
  <c r="CJ1193" i="1" s="1"/>
  <c r="CH1165" i="1"/>
  <c r="CH1133" i="1"/>
  <c r="CI1133" i="1"/>
  <c r="CJ1133" i="1" s="1"/>
  <c r="CH1123" i="1"/>
  <c r="CI1123" i="1"/>
  <c r="CJ1123" i="1" s="1"/>
  <c r="CH1116" i="1"/>
  <c r="CI1116" i="1"/>
  <c r="CJ1116" i="1" s="1"/>
  <c r="CH1111" i="1"/>
  <c r="CI1111" i="1"/>
  <c r="CJ1111" i="1" s="1"/>
  <c r="CH1106" i="1"/>
  <c r="CI1106" i="1"/>
  <c r="CJ1106" i="1" s="1"/>
  <c r="CH1102" i="1"/>
  <c r="CH1054" i="1"/>
  <c r="CH1050" i="1"/>
  <c r="CI1050" i="1"/>
  <c r="CJ1050" i="1" s="1"/>
  <c r="CH1047" i="1"/>
  <c r="CI1047" i="1"/>
  <c r="CJ1047" i="1" s="1"/>
  <c r="CH990" i="1"/>
  <c r="CI990" i="1"/>
  <c r="CJ990" i="1" s="1"/>
  <c r="CH930" i="1"/>
  <c r="CI930" i="1"/>
  <c r="CJ930" i="1" s="1"/>
  <c r="CI913" i="1"/>
  <c r="CJ913" i="1" s="1"/>
  <c r="CH913" i="1"/>
  <c r="CI900" i="1"/>
  <c r="CJ900" i="1" s="1"/>
  <c r="CH900" i="1"/>
  <c r="CH894" i="1"/>
  <c r="CI866" i="1"/>
  <c r="CJ866" i="1" s="1"/>
  <c r="CH866" i="1"/>
  <c r="CI746" i="1"/>
  <c r="CJ746" i="1" s="1"/>
  <c r="CH746" i="1"/>
  <c r="CI724" i="1"/>
  <c r="CJ724" i="1" s="1"/>
  <c r="CH724" i="1"/>
  <c r="CH581" i="1"/>
  <c r="CI581" i="1"/>
  <c r="CJ581" i="1" s="1"/>
  <c r="CI480" i="1"/>
  <c r="CJ480" i="1" s="1"/>
  <c r="CH480" i="1"/>
  <c r="CH265" i="1"/>
  <c r="CI265" i="1"/>
  <c r="CJ265" i="1" s="1"/>
  <c r="CH1149" i="1"/>
  <c r="CI1149" i="1"/>
  <c r="CJ1149" i="1" s="1"/>
  <c r="CH1122" i="1"/>
  <c r="CJ1122" i="1"/>
  <c r="CH1119" i="1"/>
  <c r="CI1119" i="1"/>
  <c r="CJ1119" i="1" s="1"/>
  <c r="CH1107" i="1"/>
  <c r="CI1107" i="1"/>
  <c r="CJ1107" i="1" s="1"/>
  <c r="CH1100" i="1"/>
  <c r="CI1100" i="1"/>
  <c r="CJ1100" i="1" s="1"/>
  <c r="CH1053" i="1"/>
  <c r="CI1053" i="1"/>
  <c r="CJ1053" i="1" s="1"/>
  <c r="CH1003" i="1"/>
  <c r="CI1003" i="1"/>
  <c r="CJ1003" i="1" s="1"/>
  <c r="CH1000" i="1"/>
  <c r="CI1000" i="1"/>
  <c r="CJ1000" i="1" s="1"/>
  <c r="CH996" i="1"/>
  <c r="CI996" i="1"/>
  <c r="CJ996" i="1" s="1"/>
  <c r="CH989" i="1"/>
  <c r="CI989" i="1"/>
  <c r="CJ989" i="1" s="1"/>
  <c r="CH975" i="1"/>
  <c r="CI975" i="1"/>
  <c r="CJ975" i="1" s="1"/>
  <c r="CH919" i="1"/>
  <c r="CI919" i="1"/>
  <c r="CJ919" i="1" s="1"/>
  <c r="CH907" i="1"/>
  <c r="CI907" i="1"/>
  <c r="CJ907" i="1" s="1"/>
  <c r="CH893" i="1"/>
  <c r="CI893" i="1"/>
  <c r="CJ893" i="1" s="1"/>
  <c r="CH865" i="1"/>
  <c r="CI865" i="1"/>
  <c r="CJ865" i="1" s="1"/>
  <c r="CH849" i="1"/>
  <c r="CI849" i="1"/>
  <c r="CJ849" i="1" s="1"/>
  <c r="CH838" i="1"/>
  <c r="CI838" i="1"/>
  <c r="CJ838" i="1" s="1"/>
  <c r="CH835" i="1"/>
  <c r="CI835" i="1"/>
  <c r="CJ835" i="1" s="1"/>
  <c r="CH827" i="1"/>
  <c r="CI827" i="1"/>
  <c r="CJ827" i="1" s="1"/>
  <c r="CH823" i="1"/>
  <c r="CI823" i="1"/>
  <c r="CJ823" i="1" s="1"/>
  <c r="CH742" i="1"/>
  <c r="CI742" i="1"/>
  <c r="CJ742" i="1" s="1"/>
  <c r="CH735" i="1"/>
  <c r="CI735" i="1"/>
  <c r="CJ735" i="1" s="1"/>
  <c r="CH700" i="1"/>
  <c r="CI700" i="1"/>
  <c r="CJ700" i="1" s="1"/>
  <c r="CH690" i="1"/>
  <c r="CI690" i="1"/>
  <c r="CJ690" i="1" s="1"/>
  <c r="CH661" i="1"/>
  <c r="CI661" i="1"/>
  <c r="CJ661" i="1" s="1"/>
  <c r="CH645" i="1"/>
  <c r="CI645" i="1"/>
  <c r="CJ645" i="1" s="1"/>
  <c r="CH632" i="1"/>
  <c r="CI632" i="1"/>
  <c r="CJ632" i="1" s="1"/>
  <c r="CH620" i="1"/>
  <c r="CI620" i="1"/>
  <c r="CJ620" i="1" s="1"/>
  <c r="CH574" i="1"/>
  <c r="CI574" i="1"/>
  <c r="CJ574" i="1" s="1"/>
  <c r="CH558" i="1"/>
  <c r="CI558" i="1"/>
  <c r="CJ558" i="1" s="1"/>
  <c r="CH554" i="1"/>
  <c r="CI554" i="1"/>
  <c r="CJ554" i="1" s="1"/>
  <c r="CH539" i="1"/>
  <c r="CI539" i="1"/>
  <c r="CJ539" i="1" s="1"/>
  <c r="CH524" i="1"/>
  <c r="CI524" i="1"/>
  <c r="CJ524" i="1" s="1"/>
  <c r="CH516" i="1"/>
  <c r="CI516" i="1"/>
  <c r="CJ516" i="1" s="1"/>
  <c r="CH504" i="1"/>
  <c r="CH500" i="1"/>
  <c r="CI500" i="1"/>
  <c r="CJ500" i="1" s="1"/>
  <c r="CI486" i="1"/>
  <c r="CJ486" i="1" s="1"/>
  <c r="CH486" i="1"/>
  <c r="CH481" i="1"/>
  <c r="CI481" i="1"/>
  <c r="CJ481" i="1" s="1"/>
  <c r="CH443" i="1"/>
  <c r="CI443" i="1"/>
  <c r="CJ443" i="1" s="1"/>
  <c r="CH438" i="1"/>
  <c r="CI438" i="1"/>
  <c r="CJ438" i="1" s="1"/>
  <c r="CH399" i="1"/>
  <c r="CI399" i="1"/>
  <c r="CJ399" i="1" s="1"/>
  <c r="CH367" i="1"/>
  <c r="CI367" i="1"/>
  <c r="CJ367" i="1" s="1"/>
  <c r="CH272" i="1"/>
  <c r="CI272" i="1"/>
  <c r="CJ272" i="1" s="1"/>
  <c r="CI743" i="1"/>
  <c r="CJ743" i="1" s="1"/>
  <c r="CI314" i="1"/>
  <c r="CJ314" i="1" s="1"/>
  <c r="CH834" i="1"/>
  <c r="CI834" i="1"/>
  <c r="CJ834" i="1" s="1"/>
  <c r="CH830" i="1"/>
  <c r="CI830" i="1"/>
  <c r="CJ830" i="1" s="1"/>
  <c r="CH826" i="1"/>
  <c r="CI826" i="1"/>
  <c r="CJ826" i="1" s="1"/>
  <c r="CH822" i="1"/>
  <c r="CI822" i="1"/>
  <c r="CJ822" i="1" s="1"/>
  <c r="CH765" i="1"/>
  <c r="CI765" i="1"/>
  <c r="CJ765" i="1" s="1"/>
  <c r="CH759" i="1"/>
  <c r="CI759" i="1"/>
  <c r="CJ759" i="1" s="1"/>
  <c r="CH741" i="1"/>
  <c r="CI741" i="1"/>
  <c r="CJ741" i="1" s="1"/>
  <c r="CH734" i="1"/>
  <c r="CI734" i="1"/>
  <c r="CJ734" i="1" s="1"/>
  <c r="CH730" i="1"/>
  <c r="CI730" i="1"/>
  <c r="CJ730" i="1" s="1"/>
  <c r="CH689" i="1"/>
  <c r="CI689" i="1"/>
  <c r="CJ689" i="1" s="1"/>
  <c r="CH682" i="1"/>
  <c r="CI682" i="1"/>
  <c r="CJ682" i="1" s="1"/>
  <c r="CH631" i="1"/>
  <c r="CI631" i="1"/>
  <c r="CJ631" i="1" s="1"/>
  <c r="CH619" i="1"/>
  <c r="CI619" i="1"/>
  <c r="CJ619" i="1" s="1"/>
  <c r="CH598" i="1"/>
  <c r="CI598" i="1"/>
  <c r="CJ598" i="1" s="1"/>
  <c r="CH573" i="1"/>
  <c r="CI573" i="1"/>
  <c r="CJ573" i="1" s="1"/>
  <c r="CH557" i="1"/>
  <c r="CI557" i="1"/>
  <c r="CJ557" i="1" s="1"/>
  <c r="CH542" i="1"/>
  <c r="CI542" i="1"/>
  <c r="CJ542" i="1" s="1"/>
  <c r="CH538" i="1"/>
  <c r="CI538" i="1"/>
  <c r="CJ538" i="1" s="1"/>
  <c r="CH523" i="1"/>
  <c r="CI523" i="1"/>
  <c r="CJ523" i="1" s="1"/>
  <c r="CI519" i="1"/>
  <c r="CJ519" i="1" s="1"/>
  <c r="CH519" i="1"/>
  <c r="CH507" i="1"/>
  <c r="CI507" i="1"/>
  <c r="CJ507" i="1" s="1"/>
  <c r="CH499" i="1"/>
  <c r="CI499" i="1"/>
  <c r="CJ499" i="1" s="1"/>
  <c r="CH489" i="1"/>
  <c r="CI489" i="1"/>
  <c r="CJ489" i="1" s="1"/>
  <c r="CH474" i="1"/>
  <c r="CI474" i="1"/>
  <c r="CJ474" i="1" s="1"/>
  <c r="CH453" i="1"/>
  <c r="CI453" i="1"/>
  <c r="CJ453" i="1" s="1"/>
  <c r="CH427" i="1"/>
  <c r="CI427" i="1"/>
  <c r="CJ427" i="1" s="1"/>
  <c r="CH321" i="1"/>
  <c r="CI321" i="1"/>
  <c r="CJ321" i="1" s="1"/>
  <c r="CH297" i="1"/>
  <c r="CI297" i="1"/>
  <c r="CJ297" i="1" s="1"/>
  <c r="CH1164" i="1"/>
  <c r="CI1164" i="1"/>
  <c r="CJ1164" i="1" s="1"/>
  <c r="CH1147" i="1"/>
  <c r="CI1147" i="1"/>
  <c r="CJ1147" i="1" s="1"/>
  <c r="CH1140" i="1"/>
  <c r="CI1140" i="1"/>
  <c r="CJ1140" i="1" s="1"/>
  <c r="CH1125" i="1"/>
  <c r="CI1125" i="1"/>
  <c r="CJ1125" i="1" s="1"/>
  <c r="CH1058" i="1"/>
  <c r="CI1058" i="1"/>
  <c r="CJ1058" i="1" s="1"/>
  <c r="CH1055" i="1"/>
  <c r="CI1055" i="1"/>
  <c r="CJ1055" i="1" s="1"/>
  <c r="CH1051" i="1"/>
  <c r="CI1051" i="1"/>
  <c r="CJ1051" i="1" s="1"/>
  <c r="CH1044" i="1"/>
  <c r="CI1044" i="1"/>
  <c r="CJ1044" i="1" s="1"/>
  <c r="CH1006" i="1"/>
  <c r="CI1006" i="1"/>
  <c r="CJ1006" i="1" s="1"/>
  <c r="CH987" i="1"/>
  <c r="CI987" i="1"/>
  <c r="CJ987" i="1" s="1"/>
  <c r="CH984" i="1"/>
  <c r="CI984" i="1"/>
  <c r="CJ984" i="1" s="1"/>
  <c r="CH974" i="1"/>
  <c r="CI974" i="1"/>
  <c r="CJ974" i="1" s="1"/>
  <c r="CH955" i="1"/>
  <c r="CI955" i="1"/>
  <c r="CJ955" i="1" s="1"/>
  <c r="CH925" i="1"/>
  <c r="CI925" i="1"/>
  <c r="CJ925" i="1" s="1"/>
  <c r="CH861" i="1"/>
  <c r="CH858" i="1"/>
  <c r="CH854" i="1"/>
  <c r="CI854" i="1"/>
  <c r="CJ854" i="1" s="1"/>
  <c r="CH851" i="1"/>
  <c r="CI851" i="1"/>
  <c r="CJ851" i="1" s="1"/>
  <c r="CH844" i="1"/>
  <c r="CH833" i="1"/>
  <c r="CI833" i="1"/>
  <c r="CJ833" i="1" s="1"/>
  <c r="CH825" i="1"/>
  <c r="CH818" i="1"/>
  <c r="CI818" i="1"/>
  <c r="CJ818" i="1" s="1"/>
  <c r="CH751" i="1"/>
  <c r="CI751" i="1"/>
  <c r="CJ751" i="1" s="1"/>
  <c r="CH744" i="1"/>
  <c r="CH740" i="1"/>
  <c r="CH737" i="1"/>
  <c r="CI737" i="1"/>
  <c r="CJ737" i="1" s="1"/>
  <c r="CH722" i="1"/>
  <c r="CH719" i="1"/>
  <c r="CH692" i="1"/>
  <c r="CI692" i="1"/>
  <c r="CJ692" i="1" s="1"/>
  <c r="CH685" i="1"/>
  <c r="CI685" i="1"/>
  <c r="CJ685" i="1" s="1"/>
  <c r="CH670" i="1"/>
  <c r="CI670" i="1"/>
  <c r="CJ670" i="1" s="1"/>
  <c r="CH663" i="1"/>
  <c r="CH647" i="1"/>
  <c r="CH634" i="1"/>
  <c r="CH611" i="1"/>
  <c r="CI611" i="1"/>
  <c r="CJ611" i="1" s="1"/>
  <c r="CH607" i="1"/>
  <c r="CH591" i="1"/>
  <c r="CI591" i="1"/>
  <c r="CJ591" i="1" s="1"/>
  <c r="CH587" i="1"/>
  <c r="CH580" i="1"/>
  <c r="CI580" i="1"/>
  <c r="CJ580" i="1" s="1"/>
  <c r="CH569" i="1"/>
  <c r="CH564" i="1"/>
  <c r="CI564" i="1"/>
  <c r="CJ564" i="1" s="1"/>
  <c r="CH560" i="1"/>
  <c r="CH549" i="1"/>
  <c r="CI549" i="1"/>
  <c r="CJ549" i="1" s="1"/>
  <c r="CH545" i="1"/>
  <c r="CH522" i="1"/>
  <c r="CI522" i="1"/>
  <c r="CJ522" i="1" s="1"/>
  <c r="CH518" i="1"/>
  <c r="CH514" i="1"/>
  <c r="CI514" i="1"/>
  <c r="CJ514" i="1" s="1"/>
  <c r="CH498" i="1"/>
  <c r="CI498" i="1"/>
  <c r="CJ498" i="1" s="1"/>
  <c r="CH494" i="1"/>
  <c r="CI494" i="1"/>
  <c r="CJ494" i="1" s="1"/>
  <c r="CI469" i="1"/>
  <c r="CJ469" i="1" s="1"/>
  <c r="CH469" i="1"/>
  <c r="CH436" i="1"/>
  <c r="CI436" i="1"/>
  <c r="CJ436" i="1" s="1"/>
  <c r="CI431" i="1"/>
  <c r="CJ431" i="1" s="1"/>
  <c r="CH431" i="1"/>
  <c r="CH422" i="1"/>
  <c r="CI422" i="1"/>
  <c r="CJ422" i="1" s="1"/>
  <c r="CH407" i="1"/>
  <c r="CI407" i="1"/>
  <c r="CJ407" i="1" s="1"/>
  <c r="CH342" i="1"/>
  <c r="CI342" i="1"/>
  <c r="CJ342" i="1" s="1"/>
  <c r="CI201" i="1"/>
  <c r="CJ201" i="1" s="1"/>
  <c r="CH201" i="1"/>
  <c r="CH76" i="1"/>
  <c r="CI76" i="1"/>
  <c r="CJ76" i="1" s="1"/>
  <c r="CI106" i="1"/>
  <c r="CJ106" i="1" s="1"/>
  <c r="CH847" i="1"/>
  <c r="CI847" i="1"/>
  <c r="CJ847" i="1" s="1"/>
  <c r="CH829" i="1"/>
  <c r="CI829" i="1"/>
  <c r="CJ829" i="1" s="1"/>
  <c r="CH821" i="1"/>
  <c r="CI821" i="1"/>
  <c r="CJ821" i="1" s="1"/>
  <c r="CH764" i="1"/>
  <c r="CI764" i="1"/>
  <c r="CJ764" i="1" s="1"/>
  <c r="CH758" i="1"/>
  <c r="CI758" i="1"/>
  <c r="CJ758" i="1" s="1"/>
  <c r="CH754" i="1"/>
  <c r="CI754" i="1"/>
  <c r="CJ754" i="1" s="1"/>
  <c r="CH733" i="1"/>
  <c r="CI733" i="1"/>
  <c r="CJ733" i="1" s="1"/>
  <c r="CH729" i="1"/>
  <c r="CI729" i="1"/>
  <c r="CJ729" i="1" s="1"/>
  <c r="CH702" i="1"/>
  <c r="CH688" i="1"/>
  <c r="CH681" i="1"/>
  <c r="CI681" i="1"/>
  <c r="CJ681" i="1" s="1"/>
  <c r="CH677" i="1"/>
  <c r="CI677" i="1"/>
  <c r="CJ677" i="1" s="1"/>
  <c r="CH666" i="1"/>
  <c r="CH659" i="1"/>
  <c r="CH656" i="1"/>
  <c r="CI656" i="1"/>
  <c r="CJ656" i="1" s="1"/>
  <c r="CH643" i="1"/>
  <c r="CH637" i="1"/>
  <c r="CI637" i="1"/>
  <c r="CJ637" i="1" s="1"/>
  <c r="CH630" i="1"/>
  <c r="CI630" i="1"/>
  <c r="CJ630" i="1" s="1"/>
  <c r="CH622" i="1"/>
  <c r="CH618" i="1"/>
  <c r="CI618" i="1"/>
  <c r="CJ618" i="1" s="1"/>
  <c r="CH600" i="1"/>
  <c r="CI600" i="1"/>
  <c r="CJ600" i="1" s="1"/>
  <c r="CH594" i="1"/>
  <c r="CH576" i="1"/>
  <c r="CI576" i="1"/>
  <c r="CJ576" i="1" s="1"/>
  <c r="CH572" i="1"/>
  <c r="CI572" i="1"/>
  <c r="CJ572" i="1" s="1"/>
  <c r="CH556" i="1"/>
  <c r="CI556" i="1"/>
  <c r="CJ556" i="1" s="1"/>
  <c r="CH552" i="1"/>
  <c r="CI537" i="1"/>
  <c r="CJ537" i="1" s="1"/>
  <c r="CH537" i="1"/>
  <c r="CH510" i="1"/>
  <c r="CI510" i="1"/>
  <c r="CJ510" i="1" s="1"/>
  <c r="CH506" i="1"/>
  <c r="CI506" i="1"/>
  <c r="CJ506" i="1" s="1"/>
  <c r="CI502" i="1"/>
  <c r="CJ502" i="1" s="1"/>
  <c r="CH502" i="1"/>
  <c r="CH478" i="1"/>
  <c r="CH457" i="1"/>
  <c r="CI412" i="1"/>
  <c r="CJ412" i="1" s="1"/>
  <c r="CH412" i="1"/>
  <c r="CH391" i="1"/>
  <c r="CI391" i="1"/>
  <c r="CJ391" i="1" s="1"/>
  <c r="CH360" i="1"/>
  <c r="CI360" i="1"/>
  <c r="CJ360" i="1" s="1"/>
  <c r="CI276" i="1"/>
  <c r="CJ276" i="1" s="1"/>
  <c r="CH276" i="1"/>
  <c r="CH221" i="1"/>
  <c r="CI221" i="1"/>
  <c r="CJ221" i="1" s="1"/>
  <c r="CH857" i="1"/>
  <c r="CI857" i="1"/>
  <c r="CJ857" i="1" s="1"/>
  <c r="CH853" i="1"/>
  <c r="CH850" i="1"/>
  <c r="CH836" i="1"/>
  <c r="CH832" i="1"/>
  <c r="CH817" i="1"/>
  <c r="CH811" i="1"/>
  <c r="CH808" i="1"/>
  <c r="CI808" i="1"/>
  <c r="CJ808" i="1" s="1"/>
  <c r="CH761" i="1"/>
  <c r="CI761" i="1"/>
  <c r="CJ761" i="1" s="1"/>
  <c r="CH750" i="1"/>
  <c r="CI750" i="1"/>
  <c r="CJ750" i="1" s="1"/>
  <c r="CH736" i="1"/>
  <c r="CH732" i="1"/>
  <c r="CH718" i="1"/>
  <c r="CI718" i="1"/>
  <c r="CJ718" i="1" s="1"/>
  <c r="CH698" i="1"/>
  <c r="CI698" i="1"/>
  <c r="CJ698" i="1" s="1"/>
  <c r="CH694" i="1"/>
  <c r="CH691" i="1"/>
  <c r="CH684" i="1"/>
  <c r="CI684" i="1"/>
  <c r="CJ684" i="1" s="1"/>
  <c r="CH669" i="1"/>
  <c r="CI669" i="1"/>
  <c r="CJ669" i="1" s="1"/>
  <c r="CH614" i="1"/>
  <c r="CH610" i="1"/>
  <c r="CI610" i="1"/>
  <c r="CJ610" i="1" s="1"/>
  <c r="CH597" i="1"/>
  <c r="CI597" i="1"/>
  <c r="CJ597" i="1" s="1"/>
  <c r="CH590" i="1"/>
  <c r="CI590" i="1"/>
  <c r="CJ590" i="1" s="1"/>
  <c r="CH586" i="1"/>
  <c r="CH583" i="1"/>
  <c r="CI583" i="1"/>
  <c r="CJ583" i="1" s="1"/>
  <c r="CH579" i="1"/>
  <c r="CH563" i="1"/>
  <c r="CI563" i="1"/>
  <c r="CJ563" i="1" s="1"/>
  <c r="CH544" i="1"/>
  <c r="CH536" i="1"/>
  <c r="CH533" i="1"/>
  <c r="CI533" i="1"/>
  <c r="CJ533" i="1" s="1"/>
  <c r="CH529" i="1"/>
  <c r="CH521" i="1"/>
  <c r="CH513" i="1"/>
  <c r="CI497" i="1"/>
  <c r="CJ497" i="1" s="1"/>
  <c r="CH497" i="1"/>
  <c r="CH492" i="1"/>
  <c r="CI492" i="1"/>
  <c r="CJ492" i="1" s="1"/>
  <c r="CH483" i="1"/>
  <c r="CI483" i="1"/>
  <c r="CJ483" i="1" s="1"/>
  <c r="CH472" i="1"/>
  <c r="CH451" i="1"/>
  <c r="CI451" i="1"/>
  <c r="CJ451" i="1" s="1"/>
  <c r="CH445" i="1"/>
  <c r="CI445" i="1"/>
  <c r="CJ445" i="1" s="1"/>
  <c r="CI440" i="1"/>
  <c r="CJ440" i="1" s="1"/>
  <c r="CH440" i="1"/>
  <c r="CI411" i="1"/>
  <c r="CJ411" i="1" s="1"/>
  <c r="CH411" i="1"/>
  <c r="CH401" i="1"/>
  <c r="CI401" i="1"/>
  <c r="CJ401" i="1" s="1"/>
  <c r="CH353" i="1"/>
  <c r="CI353" i="1"/>
  <c r="CJ353" i="1" s="1"/>
  <c r="CH307" i="1"/>
  <c r="CH196" i="1"/>
  <c r="CI196" i="1"/>
  <c r="CJ196" i="1" s="1"/>
  <c r="CI526" i="1"/>
  <c r="CJ526" i="1" s="1"/>
  <c r="CH846" i="1"/>
  <c r="CI846" i="1"/>
  <c r="CJ846" i="1" s="1"/>
  <c r="CH843" i="1"/>
  <c r="CI843" i="1"/>
  <c r="CJ843" i="1" s="1"/>
  <c r="CH839" i="1"/>
  <c r="CI839" i="1"/>
  <c r="CJ839" i="1" s="1"/>
  <c r="CH828" i="1"/>
  <c r="CI828" i="1"/>
  <c r="CJ828" i="1" s="1"/>
  <c r="CH757" i="1"/>
  <c r="CI757" i="1"/>
  <c r="CJ757" i="1" s="1"/>
  <c r="CH753" i="1"/>
  <c r="CI753" i="1"/>
  <c r="CJ753" i="1" s="1"/>
  <c r="CH721" i="1"/>
  <c r="CI721" i="1"/>
  <c r="CJ721" i="1" s="1"/>
  <c r="CH701" i="1"/>
  <c r="CI701" i="1"/>
  <c r="CJ701" i="1" s="1"/>
  <c r="CH680" i="1"/>
  <c r="CI680" i="1"/>
  <c r="CJ680" i="1" s="1"/>
  <c r="CH676" i="1"/>
  <c r="CI676" i="1"/>
  <c r="CJ676" i="1" s="1"/>
  <c r="CH665" i="1"/>
  <c r="CH662" i="1"/>
  <c r="CI662" i="1"/>
  <c r="CJ662" i="1" s="1"/>
  <c r="CH646" i="1"/>
  <c r="CI646" i="1"/>
  <c r="CJ646" i="1" s="1"/>
  <c r="CH639" i="1"/>
  <c r="CI639" i="1"/>
  <c r="CJ639" i="1" s="1"/>
  <c r="CH636" i="1"/>
  <c r="CH633" i="1"/>
  <c r="CI633" i="1"/>
  <c r="CJ633" i="1" s="1"/>
  <c r="CH629" i="1"/>
  <c r="CH617" i="1"/>
  <c r="CI617" i="1"/>
  <c r="CJ617" i="1" s="1"/>
  <c r="CH606" i="1"/>
  <c r="CH575" i="1"/>
  <c r="CI575" i="1"/>
  <c r="CJ575" i="1" s="1"/>
  <c r="CH571" i="1"/>
  <c r="CH568" i="1"/>
  <c r="CH559" i="1"/>
  <c r="CH551" i="1"/>
  <c r="CH540" i="1"/>
  <c r="CI540" i="1"/>
  <c r="CJ540" i="1" s="1"/>
  <c r="CH525" i="1"/>
  <c r="CI525" i="1"/>
  <c r="CJ525" i="1" s="1"/>
  <c r="CH517" i="1"/>
  <c r="CI517" i="1"/>
  <c r="CJ517" i="1" s="1"/>
  <c r="CH509" i="1"/>
  <c r="CI509" i="1"/>
  <c r="CJ509" i="1" s="1"/>
  <c r="CH505" i="1"/>
  <c r="CH496" i="1"/>
  <c r="CI487" i="1"/>
  <c r="CJ487" i="1" s="1"/>
  <c r="CH487" i="1"/>
  <c r="CH467" i="1"/>
  <c r="CI467" i="1"/>
  <c r="CJ467" i="1" s="1"/>
  <c r="CI456" i="1"/>
  <c r="CJ456" i="1" s="1"/>
  <c r="CH456" i="1"/>
  <c r="CI449" i="1"/>
  <c r="CJ449" i="1" s="1"/>
  <c r="CH449" i="1"/>
  <c r="CH434" i="1"/>
  <c r="CI434" i="1"/>
  <c r="CJ434" i="1" s="1"/>
  <c r="CI405" i="1"/>
  <c r="CJ405" i="1" s="1"/>
  <c r="CH405" i="1"/>
  <c r="CH394" i="1"/>
  <c r="CI922" i="1"/>
  <c r="CJ922" i="1" s="1"/>
  <c r="CI455" i="1"/>
  <c r="CJ455" i="1" s="1"/>
  <c r="CH613" i="1"/>
  <c r="CI613" i="1"/>
  <c r="CJ613" i="1" s="1"/>
  <c r="CH609" i="1"/>
  <c r="CI609" i="1"/>
  <c r="CJ609" i="1" s="1"/>
  <c r="CH599" i="1"/>
  <c r="CI599" i="1"/>
  <c r="CJ599" i="1" s="1"/>
  <c r="CH589" i="1"/>
  <c r="CI589" i="1"/>
  <c r="CJ589" i="1" s="1"/>
  <c r="CH582" i="1"/>
  <c r="CI582" i="1"/>
  <c r="CJ582" i="1" s="1"/>
  <c r="CH562" i="1"/>
  <c r="CI562" i="1"/>
  <c r="CJ562" i="1" s="1"/>
  <c r="CH547" i="1"/>
  <c r="CI547" i="1"/>
  <c r="CJ547" i="1" s="1"/>
  <c r="CH532" i="1"/>
  <c r="CI532" i="1"/>
  <c r="CJ532" i="1" s="1"/>
  <c r="CH476" i="1"/>
  <c r="CI476" i="1"/>
  <c r="CJ476" i="1" s="1"/>
  <c r="CH429" i="1"/>
  <c r="CI429" i="1"/>
  <c r="CJ429" i="1" s="1"/>
  <c r="CI424" i="1"/>
  <c r="CJ424" i="1" s="1"/>
  <c r="CH424" i="1"/>
  <c r="CH346" i="1"/>
  <c r="CI346" i="1"/>
  <c r="CJ346" i="1" s="1"/>
  <c r="CH239" i="1"/>
  <c r="CI239" i="1"/>
  <c r="CJ239" i="1" s="1"/>
  <c r="CH473" i="1"/>
  <c r="CI473" i="1"/>
  <c r="CJ473" i="1" s="1"/>
  <c r="CH466" i="1"/>
  <c r="CI466" i="1"/>
  <c r="CJ466" i="1" s="1"/>
  <c r="CH437" i="1"/>
  <c r="CI437" i="1"/>
  <c r="CJ437" i="1" s="1"/>
  <c r="CH433" i="1"/>
  <c r="CH430" i="1"/>
  <c r="CH415" i="1"/>
  <c r="CI415" i="1"/>
  <c r="CJ415" i="1" s="1"/>
  <c r="CH408" i="1"/>
  <c r="CI408" i="1"/>
  <c r="CJ408" i="1" s="1"/>
  <c r="CH392" i="1"/>
  <c r="CI392" i="1"/>
  <c r="CJ392" i="1" s="1"/>
  <c r="CH385" i="1"/>
  <c r="CI385" i="1"/>
  <c r="CJ385" i="1" s="1"/>
  <c r="CH374" i="1"/>
  <c r="CI374" i="1"/>
  <c r="CJ374" i="1" s="1"/>
  <c r="CH328" i="1"/>
  <c r="CI328" i="1"/>
  <c r="CJ328" i="1" s="1"/>
  <c r="CH290" i="1"/>
  <c r="CH279" i="1"/>
  <c r="CI279" i="1"/>
  <c r="CJ279" i="1" s="1"/>
  <c r="CH257" i="1"/>
  <c r="CI257" i="1"/>
  <c r="CJ257" i="1" s="1"/>
  <c r="CH246" i="1"/>
  <c r="CI246" i="1"/>
  <c r="CJ246" i="1" s="1"/>
  <c r="CH233" i="1"/>
  <c r="CI233" i="1"/>
  <c r="CJ233" i="1" s="1"/>
  <c r="CH193" i="1"/>
  <c r="CH116" i="1"/>
  <c r="CH11" i="1"/>
  <c r="CI113" i="1"/>
  <c r="CJ113" i="1" s="1"/>
  <c r="CI105" i="1"/>
  <c r="CJ105" i="1" s="1"/>
  <c r="CI12" i="1"/>
  <c r="CJ12" i="1" s="1"/>
  <c r="CI4" i="1"/>
  <c r="CJ4" i="1" s="1"/>
  <c r="CI446" i="1"/>
  <c r="CJ446" i="1" s="1"/>
  <c r="CI234" i="1"/>
  <c r="CJ234" i="1" s="1"/>
  <c r="CH491" i="1"/>
  <c r="CI491" i="1"/>
  <c r="CJ491" i="1" s="1"/>
  <c r="CH484" i="1"/>
  <c r="CI484" i="1"/>
  <c r="CJ484" i="1" s="1"/>
  <c r="CH452" i="1"/>
  <c r="CI452" i="1"/>
  <c r="CJ452" i="1" s="1"/>
  <c r="CH444" i="1"/>
  <c r="CI444" i="1"/>
  <c r="CJ444" i="1" s="1"/>
  <c r="CH426" i="1"/>
  <c r="CI426" i="1"/>
  <c r="CJ426" i="1" s="1"/>
  <c r="CH400" i="1"/>
  <c r="CI400" i="1"/>
  <c r="CJ400" i="1" s="1"/>
  <c r="CH388" i="1"/>
  <c r="CH366" i="1"/>
  <c r="CI366" i="1"/>
  <c r="CJ366" i="1" s="1"/>
  <c r="CH359" i="1"/>
  <c r="CI359" i="1"/>
  <c r="CJ359" i="1" s="1"/>
  <c r="CH352" i="1"/>
  <c r="CI352" i="1"/>
  <c r="CJ352" i="1" s="1"/>
  <c r="CH348" i="1"/>
  <c r="CH345" i="1"/>
  <c r="CI345" i="1"/>
  <c r="CJ345" i="1" s="1"/>
  <c r="CH341" i="1"/>
  <c r="CH325" i="1"/>
  <c r="CH313" i="1"/>
  <c r="CI313" i="1"/>
  <c r="CJ313" i="1" s="1"/>
  <c r="CH309" i="1"/>
  <c r="CH296" i="1"/>
  <c r="CI296" i="1"/>
  <c r="CJ296" i="1" s="1"/>
  <c r="CH287" i="1"/>
  <c r="CH283" i="1"/>
  <c r="CH275" i="1"/>
  <c r="CH271" i="1"/>
  <c r="CI271" i="1"/>
  <c r="CJ271" i="1" s="1"/>
  <c r="CH264" i="1"/>
  <c r="CI264" i="1"/>
  <c r="CJ264" i="1" s="1"/>
  <c r="CH260" i="1"/>
  <c r="CH220" i="1"/>
  <c r="CI220" i="1"/>
  <c r="CJ220" i="1" s="1"/>
  <c r="CH217" i="1"/>
  <c r="CH214" i="1"/>
  <c r="CI214" i="1"/>
  <c r="CJ214" i="1" s="1"/>
  <c r="CH200" i="1"/>
  <c r="CH198" i="1"/>
  <c r="CI198" i="1"/>
  <c r="CJ198" i="1" s="1"/>
  <c r="CH110" i="1"/>
  <c r="CH104" i="1"/>
  <c r="CI112" i="1"/>
  <c r="CJ112" i="1" s="1"/>
  <c r="CI3" i="1"/>
  <c r="CJ3" i="1" s="1"/>
  <c r="CI370" i="1"/>
  <c r="CJ370" i="1" s="1"/>
  <c r="CH384" i="1"/>
  <c r="CI384" i="1"/>
  <c r="CJ384" i="1" s="1"/>
  <c r="CH380" i="1"/>
  <c r="CH377" i="1"/>
  <c r="CI377" i="1"/>
  <c r="CJ377" i="1" s="1"/>
  <c r="CH320" i="1"/>
  <c r="CI320" i="1"/>
  <c r="CJ320" i="1" s="1"/>
  <c r="CH278" i="1"/>
  <c r="CI278" i="1"/>
  <c r="CJ278" i="1" s="1"/>
  <c r="CH256" i="1"/>
  <c r="CI256" i="1"/>
  <c r="CJ256" i="1" s="1"/>
  <c r="CH249" i="1"/>
  <c r="CI249" i="1"/>
  <c r="CJ249" i="1" s="1"/>
  <c r="CH238" i="1"/>
  <c r="CI238" i="1"/>
  <c r="CJ238" i="1" s="1"/>
  <c r="CH195" i="1"/>
  <c r="CI195" i="1"/>
  <c r="CJ195" i="1" s="1"/>
  <c r="CI80" i="1"/>
  <c r="CJ80" i="1" s="1"/>
  <c r="CI39" i="1"/>
  <c r="CJ39" i="1" s="1"/>
  <c r="CI10" i="1"/>
  <c r="CJ10" i="1" s="1"/>
  <c r="CH369" i="1"/>
  <c r="CI369" i="1"/>
  <c r="CJ369" i="1" s="1"/>
  <c r="CH358" i="1"/>
  <c r="CI358" i="1"/>
  <c r="CJ358" i="1" s="1"/>
  <c r="CH351" i="1"/>
  <c r="CI351" i="1"/>
  <c r="CJ351" i="1" s="1"/>
  <c r="CH344" i="1"/>
  <c r="CI344" i="1"/>
  <c r="CJ344" i="1" s="1"/>
  <c r="CH327" i="1"/>
  <c r="CI327" i="1"/>
  <c r="CJ327" i="1" s="1"/>
  <c r="CH312" i="1"/>
  <c r="CI312" i="1"/>
  <c r="CJ312" i="1" s="1"/>
  <c r="CH299" i="1"/>
  <c r="CI299" i="1"/>
  <c r="CJ299" i="1" s="1"/>
  <c r="CH289" i="1"/>
  <c r="CH270" i="1"/>
  <c r="CI270" i="1"/>
  <c r="CJ270" i="1" s="1"/>
  <c r="CH263" i="1"/>
  <c r="CI263" i="1"/>
  <c r="CJ263" i="1" s="1"/>
  <c r="CH241" i="1"/>
  <c r="CI241" i="1"/>
  <c r="CJ241" i="1" s="1"/>
  <c r="CH223" i="1"/>
  <c r="CI223" i="1"/>
  <c r="CJ223" i="1" s="1"/>
  <c r="CI354" i="1"/>
  <c r="CJ354" i="1" s="1"/>
  <c r="CI274" i="1"/>
  <c r="CJ274" i="1" s="1"/>
  <c r="CI224" i="1"/>
  <c r="CJ224" i="1" s="1"/>
  <c r="CH555" i="1"/>
  <c r="CI555" i="1"/>
  <c r="CJ555" i="1" s="1"/>
  <c r="CH548" i="1"/>
  <c r="CI548" i="1"/>
  <c r="CJ548" i="1" s="1"/>
  <c r="CH541" i="1"/>
  <c r="CI541" i="1"/>
  <c r="CJ541" i="1" s="1"/>
  <c r="CH530" i="1"/>
  <c r="CI530" i="1"/>
  <c r="CJ530" i="1" s="1"/>
  <c r="CH508" i="1"/>
  <c r="CH501" i="1"/>
  <c r="CI501" i="1"/>
  <c r="CJ501" i="1" s="1"/>
  <c r="CH475" i="1"/>
  <c r="CI475" i="1"/>
  <c r="CJ475" i="1" s="1"/>
  <c r="CH471" i="1"/>
  <c r="CH468" i="1"/>
  <c r="CI468" i="1"/>
  <c r="CJ468" i="1" s="1"/>
  <c r="CH458" i="1"/>
  <c r="CH439" i="1"/>
  <c r="CH435" i="1"/>
  <c r="CI435" i="1"/>
  <c r="CJ435" i="1" s="1"/>
  <c r="CH421" i="1"/>
  <c r="CI421" i="1"/>
  <c r="CJ421" i="1" s="1"/>
  <c r="CH413" i="1"/>
  <c r="CH406" i="1"/>
  <c r="CI406" i="1"/>
  <c r="CJ406" i="1" s="1"/>
  <c r="CH387" i="1"/>
  <c r="CH383" i="1"/>
  <c r="CI383" i="1"/>
  <c r="CJ383" i="1" s="1"/>
  <c r="CH376" i="1"/>
  <c r="CI376" i="1"/>
  <c r="CJ376" i="1" s="1"/>
  <c r="CH372" i="1"/>
  <c r="CH347" i="1"/>
  <c r="CH324" i="1"/>
  <c r="CH319" i="1"/>
  <c r="CI319" i="1"/>
  <c r="CJ319" i="1" s="1"/>
  <c r="CH286" i="1"/>
  <c r="CH282" i="1"/>
  <c r="CI282" i="1"/>
  <c r="CJ282" i="1" s="1"/>
  <c r="CH277" i="1"/>
  <c r="CH266" i="1"/>
  <c r="CH259" i="1"/>
  <c r="CH255" i="1"/>
  <c r="CI255" i="1"/>
  <c r="CJ255" i="1" s="1"/>
  <c r="CH248" i="1"/>
  <c r="CI248" i="1"/>
  <c r="CJ248" i="1" s="1"/>
  <c r="CH244" i="1"/>
  <c r="CH226" i="1"/>
  <c r="CH197" i="1"/>
  <c r="CI197" i="1"/>
  <c r="CJ197" i="1" s="1"/>
  <c r="CH482" i="1"/>
  <c r="CI482" i="1"/>
  <c r="CJ482" i="1" s="1"/>
  <c r="CH454" i="1"/>
  <c r="CI454" i="1"/>
  <c r="CJ454" i="1" s="1"/>
  <c r="CH442" i="1"/>
  <c r="CI442" i="1"/>
  <c r="CJ442" i="1" s="1"/>
  <c r="CH428" i="1"/>
  <c r="CI428" i="1"/>
  <c r="CJ428" i="1" s="1"/>
  <c r="CH398" i="1"/>
  <c r="CI398" i="1"/>
  <c r="CJ398" i="1" s="1"/>
  <c r="CH390" i="1"/>
  <c r="CI390" i="1"/>
  <c r="CJ390" i="1" s="1"/>
  <c r="CH379" i="1"/>
  <c r="CH368" i="1"/>
  <c r="CI368" i="1"/>
  <c r="CJ368" i="1" s="1"/>
  <c r="CH364" i="1"/>
  <c r="CH361" i="1"/>
  <c r="CI361" i="1"/>
  <c r="CJ361" i="1" s="1"/>
  <c r="CH357" i="1"/>
  <c r="CH350" i="1"/>
  <c r="CI350" i="1"/>
  <c r="CJ350" i="1" s="1"/>
  <c r="CH343" i="1"/>
  <c r="CI343" i="1"/>
  <c r="CJ343" i="1" s="1"/>
  <c r="CH329" i="1"/>
  <c r="CI329" i="1"/>
  <c r="CJ329" i="1" s="1"/>
  <c r="CH315" i="1"/>
  <c r="CH311" i="1"/>
  <c r="CI311" i="1"/>
  <c r="CJ311" i="1" s="1"/>
  <c r="CH298" i="1"/>
  <c r="CI298" i="1"/>
  <c r="CJ298" i="1" s="1"/>
  <c r="CH294" i="1"/>
  <c r="CH291" i="1"/>
  <c r="CH273" i="1"/>
  <c r="CI273" i="1"/>
  <c r="CJ273" i="1" s="1"/>
  <c r="CH269" i="1"/>
  <c r="CH262" i="1"/>
  <c r="CI262" i="1"/>
  <c r="CJ262" i="1" s="1"/>
  <c r="CH251" i="1"/>
  <c r="CH240" i="1"/>
  <c r="CI240" i="1"/>
  <c r="CJ240" i="1" s="1"/>
  <c r="CH237" i="1"/>
  <c r="CH222" i="1"/>
  <c r="CI222" i="1"/>
  <c r="CJ222" i="1" s="1"/>
  <c r="CH199" i="1"/>
  <c r="CH194" i="1"/>
  <c r="CI194" i="1"/>
  <c r="CJ194" i="1" s="1"/>
  <c r="CI108" i="1"/>
  <c r="CJ108" i="1" s="1"/>
  <c r="CI477" i="1"/>
  <c r="CJ477" i="1" s="1"/>
  <c r="CI402" i="1"/>
  <c r="CJ402" i="1" s="1"/>
  <c r="CI330" i="1"/>
  <c r="CJ330" i="1" s="1"/>
  <c r="CI258" i="1"/>
  <c r="CJ258" i="1" s="1"/>
  <c r="CH416" i="1"/>
  <c r="CI416" i="1"/>
  <c r="CJ416" i="1" s="1"/>
  <c r="CH409" i="1"/>
  <c r="CI409" i="1"/>
  <c r="CJ409" i="1" s="1"/>
  <c r="CH393" i="1"/>
  <c r="CI393" i="1"/>
  <c r="CJ393" i="1" s="1"/>
  <c r="CH382" i="1"/>
  <c r="CI382" i="1"/>
  <c r="CJ382" i="1" s="1"/>
  <c r="CH375" i="1"/>
  <c r="CI375" i="1"/>
  <c r="CJ375" i="1" s="1"/>
  <c r="CH326" i="1"/>
  <c r="CI326" i="1"/>
  <c r="CJ326" i="1" s="1"/>
  <c r="CH318" i="1"/>
  <c r="CI318" i="1"/>
  <c r="CJ318" i="1" s="1"/>
  <c r="CH288" i="1"/>
  <c r="CH280" i="1"/>
  <c r="CI280" i="1"/>
  <c r="CJ280" i="1" s="1"/>
  <c r="CH254" i="1"/>
  <c r="CI254" i="1"/>
  <c r="CJ254" i="1" s="1"/>
  <c r="CH247" i="1"/>
  <c r="CI247" i="1"/>
  <c r="CJ247" i="1" s="1"/>
  <c r="CH215" i="1"/>
  <c r="CI215" i="1"/>
  <c r="CJ215" i="1" s="1"/>
  <c r="CI115" i="1"/>
  <c r="CJ115" i="1" s="1"/>
  <c r="CI107" i="1"/>
  <c r="CJ107" i="1" s="1"/>
  <c r="CI6" i="1"/>
  <c r="CJ6" i="1" s="1"/>
  <c r="CH117" i="1"/>
  <c r="CI1302" i="1"/>
  <c r="CJ1302" i="1" s="1"/>
  <c r="CH29" i="1"/>
  <c r="CH32" i="1"/>
  <c r="CH31" i="1"/>
  <c r="CI30" i="1"/>
  <c r="CJ30" i="1" s="1"/>
  <c r="CI1301" i="1"/>
  <c r="CJ1301" i="1" s="1"/>
  <c r="CI1299" i="1"/>
  <c r="CJ1299" i="1" s="1"/>
  <c r="CH1300" i="1"/>
  <c r="CI1298" i="1"/>
  <c r="CJ1298" i="1" s="1"/>
  <c r="CI301" i="1"/>
  <c r="CJ301" i="1" s="1"/>
  <c r="CI28" i="1"/>
  <c r="CJ28" i="1" s="1"/>
  <c r="CI1297" i="1"/>
  <c r="CJ1297" i="1" s="1"/>
  <c r="CI814" i="1"/>
  <c r="CJ814" i="1" s="1"/>
  <c r="CI27" i="1"/>
  <c r="CJ27" i="1" s="1"/>
  <c r="CI1296" i="1"/>
  <c r="CJ1296" i="1" s="1"/>
  <c r="CI34" i="1"/>
  <c r="CJ34" i="1" s="1"/>
  <c r="CI26" i="1"/>
  <c r="CJ26" i="1" s="1"/>
  <c r="CI1295" i="1"/>
  <c r="CJ1295" i="1" s="1"/>
  <c r="CI33" i="1"/>
  <c r="CJ33" i="1" s="1"/>
  <c r="CI25" i="1"/>
  <c r="CJ25" i="1" s="1"/>
  <c r="CI1294" i="1"/>
  <c r="CJ1294" i="1" s="1"/>
  <c r="CH1293" i="1"/>
  <c r="CJ870" i="1"/>
  <c r="CI202" i="1"/>
  <c r="CJ202" i="1" s="1"/>
  <c r="CI154" i="1"/>
  <c r="CJ154" i="1" s="1"/>
  <c r="L671" i="1"/>
  <c r="BB671" i="1" s="1"/>
  <c r="L672" i="1"/>
  <c r="BB672" i="1" s="1"/>
  <c r="L673" i="1"/>
  <c r="BB673" i="1" s="1"/>
  <c r="R493" i="1" l="1"/>
  <c r="S493" i="1"/>
  <c r="L420" i="1"/>
  <c r="BB420" i="1" s="1"/>
  <c r="BO493" i="1" l="1"/>
  <c r="L493" i="1"/>
  <c r="BB493" i="1" s="1"/>
  <c r="BO496" i="1" l="1"/>
  <c r="L496" i="1" l="1"/>
  <c r="BB496" i="1" s="1"/>
  <c r="D1056" i="1"/>
  <c r="AW1056" i="1" s="1"/>
  <c r="D1057" i="1"/>
  <c r="AW1057" i="1" s="1"/>
  <c r="D1058" i="1"/>
  <c r="AW1058" i="1" s="1"/>
  <c r="D1059" i="1"/>
  <c r="AW1059" i="1" s="1"/>
  <c r="D496" i="1"/>
  <c r="AW496" i="1" s="1"/>
  <c r="D1055" i="1"/>
  <c r="AW1055" i="1" s="1"/>
  <c r="BO214" i="1"/>
  <c r="BO198" i="1"/>
  <c r="BO199" i="1"/>
  <c r="BO200" i="1"/>
  <c r="BO201" i="1"/>
  <c r="BO233" i="1"/>
  <c r="BO234" i="1"/>
  <c r="BO215" i="1"/>
  <c r="BO395" i="1"/>
  <c r="BO396" i="1"/>
  <c r="BO397" i="1"/>
  <c r="BO398" i="1"/>
  <c r="BO394" i="1"/>
  <c r="D1222" i="1"/>
  <c r="AW1222" i="1" s="1"/>
  <c r="D763" i="1"/>
  <c r="AW763" i="1" s="1"/>
  <c r="D764" i="1"/>
  <c r="AW764" i="1" s="1"/>
  <c r="D765" i="1"/>
  <c r="AW765" i="1" s="1"/>
  <c r="D394" i="1"/>
  <c r="AW394" i="1" s="1"/>
  <c r="D395" i="1"/>
  <c r="AW395" i="1" s="1"/>
  <c r="D396" i="1"/>
  <c r="AW396" i="1" s="1"/>
  <c r="D397" i="1"/>
  <c r="AW397" i="1" s="1"/>
  <c r="D398" i="1"/>
  <c r="AW398" i="1" s="1"/>
  <c r="BW863" i="1"/>
  <c r="BW864" i="1"/>
  <c r="BO972" i="1"/>
  <c r="BW1166" i="1"/>
  <c r="BW972" i="1"/>
  <c r="BW973" i="1"/>
  <c r="BW974" i="1"/>
  <c r="BW975" i="1"/>
  <c r="BW976" i="1"/>
  <c r="BW1164" i="1"/>
  <c r="BW1165" i="1"/>
  <c r="BW793" i="1"/>
  <c r="D793" i="1"/>
  <c r="AW793" i="1" s="1"/>
  <c r="BW969" i="1"/>
  <c r="BW970" i="1"/>
  <c r="BW971" i="1"/>
  <c r="D970" i="1"/>
  <c r="AW970" i="1" s="1"/>
  <c r="D971" i="1"/>
  <c r="AW971" i="1" s="1"/>
  <c r="D969" i="1"/>
  <c r="AW969" i="1" s="1"/>
  <c r="BW866" i="1"/>
  <c r="BW867" i="1"/>
  <c r="BW868" i="1"/>
  <c r="BW869" i="1"/>
  <c r="BW870" i="1"/>
  <c r="BW865" i="1"/>
  <c r="BO870" i="1"/>
  <c r="BO627" i="1"/>
  <c r="BO628" i="1"/>
  <c r="BO629" i="1"/>
  <c r="BO189" i="1"/>
  <c r="BO622" i="1"/>
  <c r="BO623" i="1"/>
  <c r="BO865" i="1"/>
  <c r="BO866" i="1"/>
  <c r="BO867" i="1"/>
  <c r="BO868" i="1"/>
  <c r="BO869" i="1"/>
  <c r="BO596" i="1" l="1"/>
  <c r="BO597" i="1"/>
  <c r="BO598" i="1"/>
  <c r="BO599" i="1"/>
  <c r="BO600" i="1"/>
  <c r="BO601" i="1"/>
  <c r="D628" i="1" l="1"/>
  <c r="AW628" i="1" s="1"/>
  <c r="BW239" i="1"/>
  <c r="BW287" i="1"/>
  <c r="BW288" i="1"/>
  <c r="BW289" i="1"/>
  <c r="BW290" i="1"/>
  <c r="BW291" i="1"/>
  <c r="BW292" i="1"/>
  <c r="BO287" i="1"/>
  <c r="BO288" i="1"/>
  <c r="BO289" i="1"/>
  <c r="BO290" i="1"/>
  <c r="BO291" i="1"/>
  <c r="BO292" i="1"/>
  <c r="BO192" i="1"/>
  <c r="BO202" i="1" l="1"/>
  <c r="BO228" i="1"/>
  <c r="BO238" i="1"/>
  <c r="BO239" i="1"/>
  <c r="BO193" i="1" l="1"/>
  <c r="BO194" i="1"/>
  <c r="BO195" i="1"/>
  <c r="BO196" i="1"/>
  <c r="BO197" i="1"/>
  <c r="BE2" i="1" l="1"/>
  <c r="BD2" i="1"/>
  <c r="BC2" i="1"/>
  <c r="BB2" i="1"/>
  <c r="BA2" i="1"/>
  <c r="AZ2" i="1"/>
  <c r="AY2" i="1"/>
  <c r="AX2" i="1"/>
  <c r="AW2" i="1"/>
  <c r="AV2" i="1"/>
  <c r="AU2" i="1"/>
  <c r="AN2" i="1"/>
  <c r="BG2" i="1" s="1"/>
  <c r="AM2" i="1"/>
  <c r="BF2" i="1" s="1"/>
  <c r="S1059" i="1"/>
  <c r="R1059" i="1"/>
  <c r="S1055" i="1"/>
  <c r="R1055" i="1"/>
  <c r="L1059" i="1"/>
  <c r="BB1059" i="1" s="1"/>
  <c r="L1058" i="1"/>
  <c r="BB1058" i="1" s="1"/>
  <c r="L1057" i="1"/>
  <c r="BB1057" i="1" s="1"/>
  <c r="L1056" i="1"/>
  <c r="BB1056" i="1" s="1"/>
  <c r="L1055" i="1"/>
  <c r="BB1055" i="1" s="1"/>
  <c r="L188" i="1"/>
  <c r="BB188" i="1" s="1"/>
  <c r="L187" i="1"/>
  <c r="BB187" i="1" s="1"/>
  <c r="L186" i="1"/>
  <c r="BB186" i="1" s="1"/>
  <c r="L185" i="1"/>
  <c r="BB185" i="1" s="1"/>
  <c r="L232" i="1"/>
  <c r="BB232" i="1" s="1"/>
  <c r="L231" i="1"/>
  <c r="BB231" i="1" s="1"/>
  <c r="L275" i="1"/>
  <c r="BB275" i="1" s="1"/>
  <c r="L274" i="1"/>
  <c r="BB274" i="1" s="1"/>
  <c r="L703" i="1"/>
  <c r="BB703" i="1" s="1"/>
  <c r="L702" i="1"/>
  <c r="BB702" i="1" s="1"/>
  <c r="L701" i="1"/>
  <c r="BB701" i="1" s="1"/>
  <c r="L700" i="1"/>
  <c r="BB700" i="1" s="1"/>
  <c r="L699" i="1"/>
  <c r="BB699" i="1" s="1"/>
  <c r="L698" i="1"/>
  <c r="BB698" i="1" s="1"/>
  <c r="L697" i="1"/>
  <c r="BB697" i="1" s="1"/>
  <c r="L696" i="1"/>
  <c r="BB696" i="1" s="1"/>
  <c r="L695" i="1"/>
  <c r="BB695" i="1" s="1"/>
  <c r="L694" i="1"/>
  <c r="BB694" i="1" s="1"/>
  <c r="B188" i="1" l="1"/>
  <c r="AU188" i="1" s="1"/>
  <c r="B187" i="1"/>
  <c r="AU187" i="1" s="1"/>
  <c r="AL232" i="1"/>
  <c r="AK232" i="1"/>
  <c r="AJ232" i="1"/>
  <c r="AI232" i="1"/>
  <c r="AH232" i="1"/>
  <c r="B232" i="1"/>
  <c r="AU232" i="1" s="1"/>
  <c r="B231" i="1"/>
  <c r="AU231" i="1" s="1"/>
  <c r="D117" i="1"/>
  <c r="AW117" i="1" s="1"/>
  <c r="AB388" i="1"/>
  <c r="BH388" i="1" s="1"/>
  <c r="AB387" i="1"/>
  <c r="BH387" i="1" s="1"/>
  <c r="AN232" i="1" l="1"/>
  <c r="BG232" i="1" s="1"/>
  <c r="AM232" i="1"/>
  <c r="BF232" i="1" s="1"/>
  <c r="D275" i="1"/>
  <c r="AW275" i="1" s="1"/>
  <c r="D274" i="1"/>
  <c r="AW274" i="1" s="1"/>
  <c r="D984" i="1"/>
  <c r="AW984" i="1" s="1"/>
  <c r="D976" i="1"/>
  <c r="AW976" i="1" s="1"/>
  <c r="D287" i="1"/>
  <c r="AW287" i="1" s="1"/>
  <c r="D239" i="1"/>
  <c r="AW239" i="1" s="1"/>
  <c r="D238" i="1"/>
  <c r="AW238" i="1" s="1"/>
  <c r="D228" i="1"/>
  <c r="AW228" i="1" s="1"/>
  <c r="D202" i="1"/>
  <c r="AW202" i="1" s="1"/>
  <c r="D192" i="1"/>
  <c r="AW192" i="1" s="1"/>
  <c r="D193" i="1"/>
  <c r="AW193" i="1" s="1"/>
  <c r="D194" i="1"/>
  <c r="AW194" i="1" s="1"/>
  <c r="D195" i="1"/>
  <c r="AW195" i="1" s="1"/>
  <c r="D227" i="1"/>
  <c r="AW227" i="1" s="1"/>
  <c r="O1140" i="1"/>
  <c r="AY1140" i="1" s="1"/>
  <c r="O1139" i="1"/>
  <c r="AY1139" i="1" s="1"/>
  <c r="O1138" i="1"/>
  <c r="AY1138" i="1" s="1"/>
  <c r="O1137" i="1"/>
  <c r="AY1137" i="1" s="1"/>
  <c r="O1136" i="1"/>
  <c r="AY1136" i="1" s="1"/>
  <c r="O1135" i="1"/>
  <c r="AY1135" i="1" s="1"/>
  <c r="O1134" i="1"/>
  <c r="AY1134" i="1" s="1"/>
  <c r="O1133" i="1"/>
  <c r="AY1133" i="1" s="1"/>
  <c r="O1132" i="1"/>
  <c r="AY1132" i="1" s="1"/>
  <c r="O1131" i="1"/>
  <c r="AY1131" i="1" s="1"/>
  <c r="O1130" i="1"/>
  <c r="AY1130" i="1" s="1"/>
  <c r="O1129" i="1"/>
  <c r="AY1129" i="1" s="1"/>
  <c r="O1128" i="1"/>
  <c r="AY1128" i="1" s="1"/>
  <c r="O1127" i="1"/>
  <c r="AY1127" i="1" s="1"/>
  <c r="O1126" i="1"/>
  <c r="AY1126" i="1" s="1"/>
  <c r="O1125" i="1"/>
  <c r="AY1125" i="1" s="1"/>
  <c r="D308" i="1"/>
  <c r="AW308" i="1" s="1"/>
  <c r="O1042" i="1"/>
  <c r="AY1042" i="1" s="1"/>
  <c r="O1041" i="1"/>
  <c r="AY1041" i="1" s="1"/>
  <c r="D404" i="1" l="1"/>
  <c r="AW404" i="1" s="1"/>
  <c r="D402" i="1"/>
  <c r="AW402" i="1" s="1"/>
  <c r="D401" i="1"/>
  <c r="AW401" i="1" s="1"/>
  <c r="O226" i="1"/>
  <c r="AY226" i="1" s="1"/>
  <c r="O225" i="1"/>
  <c r="AY225" i="1" s="1"/>
  <c r="O224" i="1"/>
  <c r="AY224" i="1" s="1"/>
  <c r="O223" i="1"/>
  <c r="AY223" i="1" s="1"/>
  <c r="O222" i="1"/>
  <c r="AY222" i="1" s="1"/>
  <c r="O221" i="1"/>
  <c r="AY221" i="1" s="1"/>
  <c r="O220" i="1"/>
  <c r="AY220" i="1" s="1"/>
  <c r="O350" i="1"/>
  <c r="AY350" i="1" s="1"/>
  <c r="O349" i="1"/>
  <c r="AY349" i="1" s="1"/>
  <c r="O348" i="1"/>
  <c r="AY348" i="1" s="1"/>
  <c r="O347" i="1"/>
  <c r="AY347" i="1" s="1"/>
  <c r="D233" i="1"/>
  <c r="AW233" i="1" s="1"/>
  <c r="D200" i="1"/>
  <c r="AW200" i="1" s="1"/>
  <c r="D196" i="1" l="1"/>
  <c r="AW196" i="1" s="1"/>
  <c r="D197" i="1"/>
  <c r="AW197" i="1" s="1"/>
  <c r="L594" i="1"/>
  <c r="BB594" i="1" s="1"/>
  <c r="L593" i="1"/>
  <c r="BB593" i="1" s="1"/>
  <c r="L592" i="1"/>
  <c r="BB592" i="1" s="1"/>
  <c r="L591" i="1"/>
  <c r="BB591" i="1" s="1"/>
  <c r="L590" i="1"/>
  <c r="BB590" i="1" s="1"/>
  <c r="L589" i="1"/>
  <c r="BB589" i="1" s="1"/>
  <c r="L588" i="1"/>
  <c r="BB588" i="1" s="1"/>
  <c r="L587" i="1"/>
  <c r="BB587" i="1" s="1"/>
  <c r="L586" i="1"/>
  <c r="BB586" i="1" s="1"/>
  <c r="L585" i="1"/>
  <c r="BB585" i="1" s="1"/>
  <c r="L584" i="1"/>
  <c r="BB584" i="1" s="1"/>
  <c r="L583" i="1"/>
  <c r="BB583" i="1" s="1"/>
  <c r="L582" i="1"/>
  <c r="BB582" i="1" s="1"/>
  <c r="L581" i="1"/>
  <c r="BB581" i="1" s="1"/>
  <c r="L580" i="1"/>
  <c r="BB580" i="1" s="1"/>
  <c r="L579" i="1"/>
  <c r="BB579" i="1" s="1"/>
  <c r="L578" i="1"/>
  <c r="BB578" i="1" s="1"/>
  <c r="L577" i="1"/>
  <c r="BB577" i="1" s="1"/>
  <c r="L576" i="1"/>
  <c r="BB576" i="1" s="1"/>
  <c r="L575" i="1"/>
  <c r="BB575" i="1" s="1"/>
  <c r="L574" i="1"/>
  <c r="BB574" i="1" s="1"/>
  <c r="L573" i="1"/>
  <c r="BB573" i="1" s="1"/>
  <c r="L572" i="1"/>
  <c r="BB572" i="1" s="1"/>
  <c r="L571" i="1"/>
  <c r="BB571" i="1" s="1"/>
  <c r="L570" i="1"/>
  <c r="BB570" i="1" s="1"/>
  <c r="L569" i="1"/>
  <c r="BB569" i="1" s="1"/>
  <c r="L568" i="1"/>
  <c r="BB568" i="1" s="1"/>
  <c r="L567" i="1"/>
  <c r="BB567" i="1" s="1"/>
  <c r="L957" i="1"/>
  <c r="BB957" i="1" s="1"/>
  <c r="L956" i="1"/>
  <c r="BB956" i="1" s="1"/>
  <c r="L955" i="1"/>
  <c r="BB955" i="1" s="1"/>
  <c r="L954" i="1"/>
  <c r="BB954" i="1" s="1"/>
  <c r="O973" i="1" l="1"/>
  <c r="AY973" i="1" s="1"/>
  <c r="O974" i="1"/>
  <c r="AY974" i="1" s="1"/>
  <c r="O972" i="1"/>
  <c r="AY972" i="1" s="1"/>
  <c r="R972" i="1"/>
  <c r="R973" i="1"/>
  <c r="R974" i="1"/>
  <c r="R975" i="1"/>
  <c r="D975" i="1"/>
  <c r="AW975" i="1" s="1"/>
  <c r="R1164" i="1"/>
  <c r="R1165" i="1"/>
  <c r="R1166" i="1"/>
  <c r="R863" i="1"/>
  <c r="R864" i="1"/>
  <c r="R976" i="1"/>
  <c r="S975" i="1" l="1"/>
  <c r="D974" i="1"/>
  <c r="AW974" i="1" s="1"/>
  <c r="D973" i="1"/>
  <c r="AW973" i="1" s="1"/>
  <c r="D972" i="1"/>
  <c r="AW972" i="1" s="1"/>
  <c r="D870" i="1"/>
  <c r="AW870" i="1" s="1"/>
  <c r="D869" i="1"/>
  <c r="AW869" i="1" s="1"/>
  <c r="D868" i="1"/>
  <c r="AW868" i="1" s="1"/>
  <c r="D867" i="1"/>
  <c r="AW867" i="1" s="1"/>
  <c r="D866" i="1"/>
  <c r="AW866" i="1" s="1"/>
  <c r="D865" i="1"/>
  <c r="AW865" i="1" s="1"/>
  <c r="D629" i="1"/>
  <c r="AW629" i="1" s="1"/>
  <c r="D627" i="1"/>
  <c r="AW627" i="1" s="1"/>
  <c r="D1221" i="1"/>
  <c r="AW1221" i="1" s="1"/>
  <c r="R984" i="1"/>
  <c r="O984" i="1"/>
  <c r="AY984" i="1" s="1"/>
  <c r="L1202" i="1"/>
  <c r="BB1202" i="1" s="1"/>
  <c r="R1202" i="1"/>
  <c r="S974" i="1" l="1"/>
  <c r="S972" i="1"/>
  <c r="S976" i="1"/>
  <c r="S984" i="1"/>
  <c r="S973" i="1"/>
  <c r="U288" i="1" l="1"/>
  <c r="BC288" i="1" s="1"/>
  <c r="T288" i="1"/>
  <c r="T289" i="1" s="1"/>
  <c r="T290" i="1" s="1"/>
  <c r="T291" i="1" s="1"/>
  <c r="T292" i="1" s="1"/>
  <c r="CI288" i="1" l="1"/>
  <c r="CJ288" i="1" s="1"/>
  <c r="U289" i="1"/>
  <c r="BC289" i="1" s="1"/>
  <c r="BO13" i="1"/>
  <c r="BO12" i="1"/>
  <c r="BO11" i="1"/>
  <c r="BO10" i="1"/>
  <c r="BO9" i="1"/>
  <c r="BO8" i="1"/>
  <c r="BO7" i="1"/>
  <c r="BO6" i="1"/>
  <c r="BO5" i="1"/>
  <c r="BO4" i="1"/>
  <c r="BO3" i="1"/>
  <c r="BO2" i="1"/>
  <c r="CI289" i="1" l="1"/>
  <c r="CJ289" i="1" s="1"/>
  <c r="U290" i="1"/>
  <c r="BC290" i="1" s="1"/>
  <c r="R1222" i="1"/>
  <c r="R1221" i="1"/>
  <c r="O1222" i="1"/>
  <c r="AY1222" i="1" s="1"/>
  <c r="O1221" i="1"/>
  <c r="AY1221" i="1" s="1"/>
  <c r="CI290" i="1" l="1"/>
  <c r="CJ290" i="1" s="1"/>
  <c r="S1221" i="1"/>
  <c r="U291" i="1"/>
  <c r="BC291" i="1" s="1"/>
  <c r="S1222" i="1"/>
  <c r="CI291" i="1" l="1"/>
  <c r="CJ291" i="1" s="1"/>
  <c r="U292" i="1"/>
  <c r="BC292" i="1" s="1"/>
  <c r="S65" i="1"/>
  <c r="S64" i="1"/>
  <c r="S63" i="1"/>
  <c r="S62" i="1"/>
  <c r="S61" i="1"/>
  <c r="O431" i="1"/>
  <c r="AY431" i="1" s="1"/>
  <c r="S55" i="1"/>
  <c r="S54" i="1"/>
  <c r="R41" i="1"/>
  <c r="R40" i="1"/>
  <c r="R156" i="1"/>
  <c r="R157" i="1"/>
  <c r="R158" i="1"/>
  <c r="R159" i="1"/>
  <c r="R160" i="1"/>
  <c r="R161" i="1"/>
  <c r="R162" i="1"/>
  <c r="R155" i="1"/>
  <c r="R154" i="1"/>
  <c r="CI292" i="1" l="1"/>
  <c r="CJ292" i="1" s="1"/>
  <c r="DW32" i="5"/>
  <c r="DW31" i="5"/>
  <c r="DW30" i="5"/>
  <c r="DW29" i="5"/>
  <c r="DW28" i="5"/>
  <c r="DW27" i="5"/>
  <c r="DW26" i="5"/>
  <c r="DW25" i="5"/>
  <c r="DW24" i="5"/>
  <c r="DW23" i="5"/>
  <c r="DW22" i="5"/>
  <c r="DW21" i="5"/>
  <c r="DW20" i="5"/>
  <c r="DW19" i="5"/>
  <c r="DW18" i="5"/>
  <c r="DW17" i="5"/>
  <c r="DW16" i="5"/>
  <c r="DW15" i="5"/>
  <c r="DW14" i="5"/>
  <c r="DW13" i="5"/>
  <c r="DW12" i="5"/>
  <c r="DW11" i="5"/>
  <c r="DW10" i="5"/>
  <c r="DW9" i="5"/>
  <c r="DW8" i="5"/>
  <c r="DW7" i="5"/>
  <c r="DW6" i="5"/>
  <c r="DW5" i="5"/>
  <c r="DW4" i="5"/>
  <c r="CC61" i="5"/>
  <c r="CC60" i="5"/>
  <c r="CC59" i="5"/>
  <c r="CC58" i="5"/>
  <c r="CC57" i="5"/>
  <c r="CC56" i="5"/>
  <c r="CC55" i="5"/>
  <c r="CC54" i="5"/>
  <c r="CC53" i="5"/>
  <c r="CC52" i="5"/>
  <c r="CC51" i="5"/>
  <c r="CC50" i="5"/>
  <c r="CC49" i="5"/>
  <c r="CC48" i="5"/>
  <c r="CC47" i="5"/>
  <c r="CC46" i="5"/>
  <c r="CC45" i="5"/>
  <c r="CC44" i="5"/>
  <c r="CC43" i="5"/>
  <c r="CC42" i="5"/>
  <c r="CC41" i="5"/>
  <c r="CC40" i="5"/>
  <c r="CC39" i="5"/>
  <c r="CC38" i="5"/>
  <c r="CC37" i="5"/>
  <c r="CC36" i="5"/>
  <c r="CC35" i="5"/>
  <c r="CC34" i="5"/>
  <c r="CC33" i="5"/>
  <c r="CC32" i="5"/>
  <c r="CC31" i="5"/>
  <c r="CC30" i="5"/>
  <c r="CC29" i="5"/>
  <c r="CC28" i="5"/>
  <c r="CC27" i="5"/>
  <c r="CC26" i="5"/>
  <c r="CC25" i="5"/>
  <c r="CC24" i="5"/>
  <c r="CC23" i="5"/>
  <c r="CC22" i="5"/>
  <c r="CC21" i="5"/>
  <c r="CC20" i="5"/>
  <c r="CC19" i="5"/>
  <c r="CC18" i="5"/>
  <c r="CC17" i="5"/>
  <c r="CC16" i="5"/>
  <c r="CC15" i="5"/>
  <c r="CC14" i="5"/>
  <c r="CC13" i="5"/>
  <c r="CC12" i="5"/>
  <c r="CC11" i="5"/>
  <c r="CC10" i="5"/>
  <c r="CC9" i="5"/>
  <c r="CC8" i="5"/>
  <c r="CC7" i="5"/>
  <c r="CC6" i="5"/>
  <c r="CC5" i="5"/>
  <c r="CC4" i="5"/>
  <c r="BS69" i="5"/>
  <c r="BS68" i="5"/>
  <c r="BS67" i="5"/>
  <c r="BS66" i="5"/>
  <c r="BS65" i="5"/>
  <c r="BS64" i="5"/>
  <c r="BS63" i="5"/>
  <c r="BS62" i="5"/>
  <c r="BS61" i="5"/>
  <c r="BS60" i="5"/>
  <c r="BS59" i="5"/>
  <c r="BS58" i="5"/>
  <c r="BS57" i="5"/>
  <c r="BS56" i="5"/>
  <c r="BS55" i="5"/>
  <c r="BS54" i="5"/>
  <c r="BS53" i="5"/>
  <c r="BS52" i="5"/>
  <c r="BS51" i="5"/>
  <c r="BS50" i="5"/>
  <c r="BS49" i="5"/>
  <c r="BS48" i="5"/>
  <c r="BS47" i="5"/>
  <c r="BS46" i="5"/>
  <c r="BS45" i="5"/>
  <c r="BS44" i="5"/>
  <c r="BS43" i="5"/>
  <c r="BS42" i="5"/>
  <c r="BS41" i="5"/>
  <c r="BS40" i="5"/>
  <c r="BS39" i="5"/>
  <c r="BS38" i="5"/>
  <c r="BS37" i="5"/>
  <c r="BS36" i="5"/>
  <c r="BS35" i="5"/>
  <c r="BS34" i="5"/>
  <c r="BS33" i="5"/>
  <c r="BS32" i="5"/>
  <c r="BS31" i="5"/>
  <c r="BS30" i="5"/>
  <c r="BS29" i="5"/>
  <c r="BS28" i="5"/>
  <c r="BS27" i="5"/>
  <c r="BS26" i="5"/>
  <c r="BS25" i="5"/>
  <c r="BS24" i="5"/>
  <c r="BS23" i="5"/>
  <c r="BS22" i="5"/>
  <c r="BS21" i="5"/>
  <c r="BS20" i="5"/>
  <c r="BS19" i="5"/>
  <c r="BS18" i="5"/>
  <c r="BS17" i="5"/>
  <c r="BS16" i="5"/>
  <c r="BS15" i="5"/>
  <c r="BS14" i="5"/>
  <c r="BS13" i="5"/>
  <c r="BS12" i="5"/>
  <c r="BS11" i="5"/>
  <c r="BS10" i="5"/>
  <c r="BS9" i="5"/>
  <c r="BS8" i="5"/>
  <c r="BS7" i="5"/>
  <c r="BS6" i="5"/>
  <c r="BS5" i="5"/>
  <c r="BS4" i="5"/>
  <c r="R343" i="1" l="1"/>
  <c r="R344" i="1"/>
  <c r="AB390" i="1"/>
  <c r="BH390" i="1" s="1"/>
  <c r="AB389" i="1"/>
  <c r="BH389" i="1" s="1"/>
  <c r="B386" i="1"/>
  <c r="AU386" i="1" s="1"/>
  <c r="B385" i="1"/>
  <c r="AU385" i="1" s="1"/>
  <c r="D258" i="1"/>
  <c r="AW258" i="1" s="1"/>
  <c r="AB938" i="1"/>
  <c r="BH938" i="1" s="1"/>
  <c r="L935" i="1"/>
  <c r="BB935" i="1" s="1"/>
  <c r="L936" i="1"/>
  <c r="BB936" i="1" s="1"/>
  <c r="O346" i="1"/>
  <c r="AY346" i="1" s="1"/>
  <c r="O345" i="1"/>
  <c r="AY345" i="1" s="1"/>
  <c r="O247" i="1"/>
  <c r="AY247" i="1" s="1"/>
  <c r="D319" i="1" l="1"/>
  <c r="AW319" i="1" s="1"/>
  <c r="L1194" i="1"/>
  <c r="BB1194" i="1" s="1"/>
  <c r="L1193" i="1"/>
  <c r="BB1193" i="1" s="1"/>
  <c r="L1192" i="1"/>
  <c r="BB1192" i="1" s="1"/>
  <c r="R1194" i="1"/>
  <c r="R1193" i="1"/>
  <c r="R1192" i="1"/>
  <c r="L1052" i="1"/>
  <c r="BB1052" i="1" s="1"/>
  <c r="L1051" i="1"/>
  <c r="BB1051" i="1" s="1"/>
  <c r="L1050" i="1"/>
  <c r="BB1050" i="1" s="1"/>
  <c r="L1049" i="1"/>
  <c r="BB1049" i="1" s="1"/>
  <c r="L1048" i="1"/>
  <c r="BB1048" i="1" s="1"/>
  <c r="L1047" i="1"/>
  <c r="BB1047" i="1" s="1"/>
  <c r="L1046" i="1"/>
  <c r="BB1046" i="1" s="1"/>
  <c r="L1045" i="1"/>
  <c r="BB1045" i="1" s="1"/>
  <c r="L1044" i="1"/>
  <c r="BB1044" i="1" s="1"/>
  <c r="L1043" i="1"/>
  <c r="BB1043" i="1" s="1"/>
  <c r="L1225" i="1"/>
  <c r="BB1225" i="1" s="1"/>
  <c r="L1224" i="1"/>
  <c r="BB1224" i="1" s="1"/>
  <c r="L1223" i="1"/>
  <c r="BB1223" i="1" s="1"/>
  <c r="L1201" i="1"/>
  <c r="BB1201" i="1" s="1"/>
  <c r="L1200" i="1"/>
  <c r="BB1200" i="1" s="1"/>
  <c r="L1199" i="1"/>
  <c r="BB1199" i="1" s="1"/>
  <c r="L1198" i="1"/>
  <c r="BB1198" i="1" s="1"/>
  <c r="L1197" i="1"/>
  <c r="BB1197" i="1" s="1"/>
  <c r="L1196" i="1"/>
  <c r="BB1196" i="1" s="1"/>
  <c r="R1195" i="1"/>
  <c r="L1195" i="1"/>
  <c r="BB1195" i="1" s="1"/>
  <c r="L994" i="1"/>
  <c r="BB994" i="1" s="1"/>
  <c r="B248" i="1"/>
  <c r="AU248" i="1" s="1"/>
  <c r="D666" i="1" l="1"/>
  <c r="AW666" i="1" s="1"/>
  <c r="D665" i="1"/>
  <c r="AW665" i="1" s="1"/>
  <c r="D664" i="1"/>
  <c r="AW664" i="1" s="1"/>
  <c r="D663" i="1"/>
  <c r="AW663" i="1" s="1"/>
  <c r="D662" i="1"/>
  <c r="AW662" i="1" s="1"/>
  <c r="D661" i="1"/>
  <c r="AW661" i="1" s="1"/>
  <c r="L534" i="1" l="1"/>
  <c r="BB534" i="1" s="1"/>
  <c r="R534" i="1"/>
  <c r="L999" i="1"/>
  <c r="BB999" i="1" s="1"/>
  <c r="L998" i="1"/>
  <c r="BB998" i="1" s="1"/>
  <c r="L997" i="1"/>
  <c r="BB997" i="1" s="1"/>
  <c r="L996" i="1"/>
  <c r="BB996" i="1" s="1"/>
  <c r="L995" i="1"/>
  <c r="BB995" i="1" s="1"/>
  <c r="L1114" i="1"/>
  <c r="BB1114" i="1" s="1"/>
  <c r="L1113" i="1"/>
  <c r="BB1113" i="1" s="1"/>
  <c r="L1112" i="1"/>
  <c r="BB1112" i="1" s="1"/>
  <c r="L1111" i="1"/>
  <c r="BB1111" i="1" s="1"/>
  <c r="L1110" i="1"/>
  <c r="BB1110" i="1" s="1"/>
  <c r="L1109" i="1"/>
  <c r="BB1109" i="1" s="1"/>
  <c r="L1108" i="1"/>
  <c r="BB1108" i="1" s="1"/>
  <c r="L1107" i="1"/>
  <c r="BB1107" i="1" s="1"/>
  <c r="L1106" i="1"/>
  <c r="BB1106" i="1" s="1"/>
  <c r="L1105" i="1"/>
  <c r="BB1105" i="1" s="1"/>
  <c r="L1104" i="1"/>
  <c r="BB1104" i="1" s="1"/>
  <c r="L1103" i="1"/>
  <c r="BB1103" i="1" s="1"/>
  <c r="R490" i="1"/>
  <c r="R488" i="1"/>
  <c r="R487" i="1"/>
  <c r="R485" i="1"/>
  <c r="R484" i="1"/>
  <c r="R482" i="1"/>
  <c r="B638" i="1"/>
  <c r="AU638" i="1" s="1"/>
  <c r="P1004" i="1" l="1"/>
  <c r="AZ1004" i="1" s="1"/>
  <c r="P1007" i="1"/>
  <c r="AZ1007" i="1" s="1"/>
  <c r="S1007" i="1"/>
  <c r="S1006" i="1"/>
  <c r="S1005" i="1"/>
  <c r="S1003" i="1"/>
  <c r="S1004" i="1"/>
  <c r="S1002" i="1"/>
  <c r="N1005" i="1"/>
  <c r="AX1005" i="1" s="1"/>
  <c r="N1002" i="1"/>
  <c r="AX1002" i="1" s="1"/>
  <c r="B1007" i="1"/>
  <c r="AU1007" i="1" s="1"/>
  <c r="B1005" i="1"/>
  <c r="AU1005" i="1" s="1"/>
  <c r="B1004" i="1"/>
  <c r="AU1004" i="1" s="1"/>
  <c r="B1002" i="1"/>
  <c r="AU1002" i="1" s="1"/>
  <c r="N1007" i="1"/>
  <c r="AX1007" i="1" s="1"/>
  <c r="N1004" i="1"/>
  <c r="AX1004" i="1" s="1"/>
  <c r="N1008" i="1"/>
  <c r="AX1008" i="1" s="1"/>
  <c r="N1009" i="1"/>
  <c r="AX1009" i="1" s="1"/>
  <c r="N1010" i="1"/>
  <c r="AX1010" i="1" s="1"/>
  <c r="N1011" i="1"/>
  <c r="AX1011" i="1" s="1"/>
  <c r="N1012" i="1"/>
  <c r="AX1012" i="1" s="1"/>
  <c r="N1013" i="1"/>
  <c r="AX1013" i="1" s="1"/>
  <c r="N1014" i="1"/>
  <c r="AX1014" i="1" s="1"/>
  <c r="N1015" i="1"/>
  <c r="AX1015" i="1" s="1"/>
  <c r="B509" i="1"/>
  <c r="AU509" i="1" s="1"/>
  <c r="O721" i="1"/>
  <c r="AY721" i="1" s="1"/>
  <c r="O722" i="1"/>
  <c r="AY722" i="1" s="1"/>
  <c r="O723" i="1"/>
  <c r="AY723" i="1" s="1"/>
  <c r="L875" i="1"/>
  <c r="BB875" i="1" s="1"/>
  <c r="L874" i="1"/>
  <c r="BB874" i="1" s="1"/>
  <c r="L873" i="1"/>
  <c r="BB873" i="1" s="1"/>
  <c r="L872" i="1"/>
  <c r="BB872" i="1" s="1"/>
  <c r="L871" i="1"/>
  <c r="BB871" i="1" s="1"/>
  <c r="D920" i="1"/>
  <c r="AW920" i="1" s="1"/>
  <c r="R258" i="1"/>
  <c r="R913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1005" i="1" l="1"/>
  <c r="R1004" i="1"/>
  <c r="R1007" i="1"/>
  <c r="R1002" i="1"/>
  <c r="L989" i="1"/>
  <c r="BB989" i="1" s="1"/>
  <c r="D244" i="1" l="1"/>
  <c r="AW244" i="1" s="1"/>
  <c r="AK719" i="1" l="1"/>
  <c r="AH860" i="1" l="1"/>
  <c r="AI860" i="1"/>
  <c r="AJ860" i="1"/>
  <c r="AK860" i="1"/>
  <c r="AL860" i="1"/>
  <c r="AH862" i="1"/>
  <c r="AI862" i="1"/>
  <c r="AJ862" i="1"/>
  <c r="AK862" i="1"/>
  <c r="AL862" i="1"/>
  <c r="AH859" i="1"/>
  <c r="AI859" i="1"/>
  <c r="AJ859" i="1"/>
  <c r="AK859" i="1"/>
  <c r="AL859" i="1"/>
  <c r="AH861" i="1"/>
  <c r="AI861" i="1"/>
  <c r="AJ861" i="1"/>
  <c r="AK861" i="1"/>
  <c r="AL861" i="1"/>
  <c r="AM860" i="1" l="1"/>
  <c r="BF860" i="1" s="1"/>
  <c r="AN860" i="1"/>
  <c r="BG860" i="1" s="1"/>
  <c r="AN862" i="1"/>
  <c r="BG862" i="1" s="1"/>
  <c r="AM862" i="1"/>
  <c r="BF862" i="1" s="1"/>
  <c r="AN859" i="1"/>
  <c r="BG859" i="1" s="1"/>
  <c r="AM859" i="1"/>
  <c r="BF859" i="1" s="1"/>
  <c r="AN861" i="1"/>
  <c r="BG861" i="1" s="1"/>
  <c r="AM861" i="1"/>
  <c r="BF861" i="1" s="1"/>
  <c r="O645" i="1"/>
  <c r="AY645" i="1" s="1"/>
  <c r="O644" i="1"/>
  <c r="AY644" i="1" s="1"/>
  <c r="O643" i="1"/>
  <c r="AY643" i="1" s="1"/>
  <c r="O642" i="1"/>
  <c r="AY642" i="1" s="1"/>
  <c r="O453" i="1"/>
  <c r="AY453" i="1" s="1"/>
  <c r="R858" i="1"/>
  <c r="R857" i="1"/>
  <c r="R856" i="1"/>
  <c r="R855" i="1"/>
  <c r="R854" i="1"/>
  <c r="R853" i="1"/>
  <c r="R852" i="1"/>
  <c r="R851" i="1"/>
  <c r="L907" i="1" l="1"/>
  <c r="BB907" i="1" s="1"/>
  <c r="L906" i="1"/>
  <c r="BB906" i="1" s="1"/>
  <c r="L905" i="1"/>
  <c r="BB905" i="1" s="1"/>
  <c r="L904" i="1"/>
  <c r="BB904" i="1" s="1"/>
  <c r="L903" i="1"/>
  <c r="BB903" i="1" s="1"/>
  <c r="L902" i="1"/>
  <c r="BB902" i="1" s="1"/>
  <c r="L1217" i="1"/>
  <c r="BB1217" i="1" s="1"/>
  <c r="L1216" i="1"/>
  <c r="BB1216" i="1" s="1"/>
  <c r="L1215" i="1"/>
  <c r="BB1215" i="1" s="1"/>
  <c r="L1214" i="1"/>
  <c r="BB1214" i="1" s="1"/>
  <c r="L1213" i="1"/>
  <c r="BB1213" i="1" s="1"/>
  <c r="L1212" i="1"/>
  <c r="BB1212" i="1" s="1"/>
  <c r="R426" i="1" l="1"/>
  <c r="R427" i="1"/>
  <c r="R428" i="1"/>
  <c r="R429" i="1"/>
  <c r="R409" i="1" l="1"/>
  <c r="R408" i="1"/>
  <c r="R684" i="1"/>
  <c r="O861" i="1"/>
  <c r="AY861" i="1" s="1"/>
  <c r="L862" i="1"/>
  <c r="BB862" i="1" s="1"/>
  <c r="L861" i="1"/>
  <c r="BB861" i="1" s="1"/>
  <c r="B862" i="1"/>
  <c r="AU862" i="1" s="1"/>
  <c r="R861" i="1"/>
  <c r="D861" i="1"/>
  <c r="AW861" i="1" s="1"/>
  <c r="L383" i="1"/>
  <c r="BB383" i="1" s="1"/>
  <c r="L382" i="1"/>
  <c r="BB382" i="1" s="1"/>
  <c r="L381" i="1"/>
  <c r="BB381" i="1" s="1"/>
  <c r="L380" i="1"/>
  <c r="BB380" i="1" s="1"/>
  <c r="L379" i="1"/>
  <c r="BB379" i="1" s="1"/>
  <c r="L378" i="1"/>
  <c r="BB378" i="1" s="1"/>
  <c r="L377" i="1"/>
  <c r="BB377" i="1" s="1"/>
  <c r="L376" i="1"/>
  <c r="BB376" i="1" s="1"/>
  <c r="L375" i="1"/>
  <c r="BB375" i="1" s="1"/>
  <c r="L374" i="1"/>
  <c r="BB374" i="1" s="1"/>
  <c r="L373" i="1"/>
  <c r="BB373" i="1" s="1"/>
  <c r="L372" i="1"/>
  <c r="BB372" i="1" s="1"/>
  <c r="L371" i="1"/>
  <c r="BB371" i="1" s="1"/>
  <c r="L370" i="1"/>
  <c r="BB370" i="1" s="1"/>
  <c r="L369" i="1"/>
  <c r="BB369" i="1" s="1"/>
  <c r="L368" i="1"/>
  <c r="BB368" i="1" s="1"/>
  <c r="L367" i="1"/>
  <c r="BB367" i="1" s="1"/>
  <c r="L366" i="1"/>
  <c r="BB366" i="1" s="1"/>
  <c r="L365" i="1"/>
  <c r="BB365" i="1" s="1"/>
  <c r="L364" i="1"/>
  <c r="BB364" i="1" s="1"/>
  <c r="L363" i="1"/>
  <c r="BB363" i="1" s="1"/>
  <c r="L362" i="1"/>
  <c r="BB362" i="1" s="1"/>
  <c r="L361" i="1"/>
  <c r="BB361" i="1" s="1"/>
  <c r="L360" i="1"/>
  <c r="BB360" i="1" s="1"/>
  <c r="L359" i="1"/>
  <c r="BB359" i="1" s="1"/>
  <c r="R862" i="1" l="1"/>
  <c r="S861" i="1"/>
  <c r="L564" i="1"/>
  <c r="BB564" i="1" s="1"/>
  <c r="L563" i="1"/>
  <c r="BB563" i="1" s="1"/>
  <c r="D564" i="1"/>
  <c r="AW564" i="1" s="1"/>
  <c r="D563" i="1"/>
  <c r="AW563" i="1" s="1"/>
  <c r="EV160" i="5"/>
  <c r="EV159" i="5"/>
  <c r="EV158" i="5"/>
  <c r="EV157" i="5"/>
  <c r="EV156" i="5"/>
  <c r="EV155" i="5"/>
  <c r="EV154" i="5"/>
  <c r="EV153" i="5"/>
  <c r="EV152" i="5"/>
  <c r="EV151" i="5"/>
  <c r="EV150" i="5"/>
  <c r="EV149" i="5"/>
  <c r="EV148" i="5"/>
  <c r="EV147" i="5"/>
  <c r="EV146" i="5"/>
  <c r="EV145" i="5"/>
  <c r="EV144" i="5"/>
  <c r="EV143" i="5"/>
  <c r="EV142" i="5"/>
  <c r="EV141" i="5"/>
  <c r="EV140" i="5"/>
  <c r="EV139" i="5"/>
  <c r="EV138" i="5"/>
  <c r="EV137" i="5"/>
  <c r="EV136" i="5"/>
  <c r="EV135" i="5"/>
  <c r="EV134" i="5"/>
  <c r="EV133" i="5"/>
  <c r="EV132" i="5"/>
  <c r="EV131" i="5"/>
  <c r="EV130" i="5"/>
  <c r="EV129" i="5"/>
  <c r="EV128" i="5"/>
  <c r="EV127" i="5"/>
  <c r="EV126" i="5"/>
  <c r="EV125" i="5"/>
  <c r="EV124" i="5"/>
  <c r="EV123" i="5"/>
  <c r="EV122" i="5"/>
  <c r="EV121" i="5"/>
  <c r="EV120" i="5"/>
  <c r="EV119" i="5"/>
  <c r="EV118" i="5"/>
  <c r="EV117" i="5"/>
  <c r="EV116" i="5"/>
  <c r="EV115" i="5"/>
  <c r="EV114" i="5"/>
  <c r="EV113" i="5"/>
  <c r="EV112" i="5"/>
  <c r="EV111" i="5"/>
  <c r="EV110" i="5"/>
  <c r="EV109" i="5"/>
  <c r="EV108" i="5"/>
  <c r="EV107" i="5"/>
  <c r="EV106" i="5"/>
  <c r="EV105" i="5"/>
  <c r="EV104" i="5"/>
  <c r="EV103" i="5"/>
  <c r="EV102" i="5"/>
  <c r="EV101" i="5"/>
  <c r="EV100" i="5"/>
  <c r="EV99" i="5"/>
  <c r="EV98" i="5"/>
  <c r="EV97" i="5"/>
  <c r="EV96" i="5"/>
  <c r="EV95" i="5"/>
  <c r="EV94" i="5"/>
  <c r="EV93" i="5"/>
  <c r="EV92" i="5"/>
  <c r="EV91" i="5"/>
  <c r="EV90" i="5"/>
  <c r="EV89" i="5"/>
  <c r="EV88" i="5"/>
  <c r="EV87" i="5"/>
  <c r="EV86" i="5"/>
  <c r="EV85" i="5"/>
  <c r="EV84" i="5"/>
  <c r="EV83" i="5"/>
  <c r="EV82" i="5"/>
  <c r="EV81" i="5"/>
  <c r="EV80" i="5"/>
  <c r="EV79" i="5"/>
  <c r="EV78" i="5"/>
  <c r="EV77" i="5"/>
  <c r="EV76" i="5"/>
  <c r="EV75" i="5"/>
  <c r="EV74" i="5"/>
  <c r="EV73" i="5"/>
  <c r="EV72" i="5"/>
  <c r="EV71" i="5"/>
  <c r="EV70" i="5"/>
  <c r="EV69" i="5"/>
  <c r="EV68" i="5"/>
  <c r="EV67" i="5"/>
  <c r="EV66" i="5"/>
  <c r="EV65" i="5"/>
  <c r="EV64" i="5"/>
  <c r="EV63" i="5"/>
  <c r="EV62" i="5"/>
  <c r="EV61" i="5"/>
  <c r="EV60" i="5"/>
  <c r="EV59" i="5"/>
  <c r="EV58" i="5"/>
  <c r="EV57" i="5"/>
  <c r="EV56" i="5"/>
  <c r="EV55" i="5"/>
  <c r="EV54" i="5"/>
  <c r="EV53" i="5"/>
  <c r="EV52" i="5"/>
  <c r="EV51" i="5"/>
  <c r="EV50" i="5"/>
  <c r="EV49" i="5"/>
  <c r="EV48" i="5"/>
  <c r="EV47" i="5"/>
  <c r="EV46" i="5"/>
  <c r="EV45" i="5"/>
  <c r="EV44" i="5"/>
  <c r="EV43" i="5"/>
  <c r="EV42" i="5"/>
  <c r="EV41" i="5"/>
  <c r="EV40" i="5"/>
  <c r="EV39" i="5"/>
  <c r="EV38" i="5"/>
  <c r="EV37" i="5"/>
  <c r="EV36" i="5"/>
  <c r="EV35" i="5"/>
  <c r="EV34" i="5"/>
  <c r="EV33" i="5"/>
  <c r="EV32" i="5"/>
  <c r="EV31" i="5"/>
  <c r="EV30" i="5"/>
  <c r="EV29" i="5"/>
  <c r="EV28" i="5"/>
  <c r="EV27" i="5"/>
  <c r="EV26" i="5"/>
  <c r="EV25" i="5"/>
  <c r="EV24" i="5"/>
  <c r="EV23" i="5"/>
  <c r="EV22" i="5"/>
  <c r="EV21" i="5"/>
  <c r="EV20" i="5"/>
  <c r="EV19" i="5"/>
  <c r="EV18" i="5"/>
  <c r="EV17" i="5"/>
  <c r="EV16" i="5"/>
  <c r="EV15" i="5"/>
  <c r="EV14" i="5"/>
  <c r="EV13" i="5"/>
  <c r="EV12" i="5"/>
  <c r="EV11" i="5"/>
  <c r="EV10" i="5"/>
  <c r="EV9" i="5"/>
  <c r="EV8" i="5"/>
  <c r="EV7" i="5"/>
  <c r="EV6" i="5"/>
  <c r="EV5" i="5"/>
  <c r="EV4" i="5"/>
  <c r="EV161" i="5"/>
  <c r="EN156" i="5"/>
  <c r="EN155" i="5"/>
  <c r="EN154" i="5"/>
  <c r="EN153" i="5"/>
  <c r="EN152" i="5"/>
  <c r="EN151" i="5"/>
  <c r="EN150" i="5"/>
  <c r="EN149" i="5"/>
  <c r="EN148" i="5"/>
  <c r="EN147" i="5"/>
  <c r="EN146" i="5"/>
  <c r="EN145" i="5"/>
  <c r="EN144" i="5"/>
  <c r="EN143" i="5"/>
  <c r="EN142" i="5"/>
  <c r="EN141" i="5"/>
  <c r="EN140" i="5"/>
  <c r="EN139" i="5"/>
  <c r="EN138" i="5"/>
  <c r="EN137" i="5"/>
  <c r="EN136" i="5"/>
  <c r="EN135" i="5"/>
  <c r="EN134" i="5"/>
  <c r="EN133" i="5"/>
  <c r="EN132" i="5"/>
  <c r="EN131" i="5"/>
  <c r="EN130" i="5"/>
  <c r="EN129" i="5"/>
  <c r="EN128" i="5"/>
  <c r="EN127" i="5"/>
  <c r="EN126" i="5"/>
  <c r="EN125" i="5"/>
  <c r="EN124" i="5"/>
  <c r="EN123" i="5"/>
  <c r="EN122" i="5"/>
  <c r="EN121" i="5"/>
  <c r="EN120" i="5"/>
  <c r="EN119" i="5"/>
  <c r="EN118" i="5"/>
  <c r="EN117" i="5"/>
  <c r="EN116" i="5"/>
  <c r="EN115" i="5"/>
  <c r="EN114" i="5"/>
  <c r="EN113" i="5"/>
  <c r="EN112" i="5"/>
  <c r="EN111" i="5"/>
  <c r="EN110" i="5"/>
  <c r="EN109" i="5"/>
  <c r="EN108" i="5"/>
  <c r="EN107" i="5"/>
  <c r="EN106" i="5"/>
  <c r="EN105" i="5"/>
  <c r="EN104" i="5"/>
  <c r="EN103" i="5"/>
  <c r="EN102" i="5"/>
  <c r="EN101" i="5"/>
  <c r="EN100" i="5"/>
  <c r="EN99" i="5"/>
  <c r="EN98" i="5"/>
  <c r="EN97" i="5"/>
  <c r="EN96" i="5"/>
  <c r="EN95" i="5"/>
  <c r="EN94" i="5"/>
  <c r="EN93" i="5"/>
  <c r="EN92" i="5"/>
  <c r="EN91" i="5"/>
  <c r="EN90" i="5"/>
  <c r="EN89" i="5"/>
  <c r="EN88" i="5"/>
  <c r="EN87" i="5"/>
  <c r="EN86" i="5"/>
  <c r="EN85" i="5"/>
  <c r="EN84" i="5"/>
  <c r="EN83" i="5"/>
  <c r="EN82" i="5"/>
  <c r="EN81" i="5"/>
  <c r="EN80" i="5"/>
  <c r="EN79" i="5"/>
  <c r="EN78" i="5"/>
  <c r="EN77" i="5"/>
  <c r="EN76" i="5"/>
  <c r="EN75" i="5"/>
  <c r="EN74" i="5"/>
  <c r="EN73" i="5"/>
  <c r="EN72" i="5"/>
  <c r="EN71" i="5"/>
  <c r="EN70" i="5"/>
  <c r="EN69" i="5"/>
  <c r="EN68" i="5"/>
  <c r="EN67" i="5"/>
  <c r="EN66" i="5"/>
  <c r="EN65" i="5"/>
  <c r="EN64" i="5"/>
  <c r="EN63" i="5"/>
  <c r="EN62" i="5"/>
  <c r="EN61" i="5"/>
  <c r="EN60" i="5"/>
  <c r="EN59" i="5"/>
  <c r="EN58" i="5"/>
  <c r="EN57" i="5"/>
  <c r="EN56" i="5"/>
  <c r="EN55" i="5"/>
  <c r="EN54" i="5"/>
  <c r="EN53" i="5"/>
  <c r="EN52" i="5"/>
  <c r="EN51" i="5"/>
  <c r="EN50" i="5"/>
  <c r="EN49" i="5"/>
  <c r="EN48" i="5"/>
  <c r="EN47" i="5"/>
  <c r="EN46" i="5"/>
  <c r="EN45" i="5"/>
  <c r="EN44" i="5"/>
  <c r="EN43" i="5"/>
  <c r="EN42" i="5"/>
  <c r="EN41" i="5"/>
  <c r="EN40" i="5"/>
  <c r="EN39" i="5"/>
  <c r="EN38" i="5"/>
  <c r="EN37" i="5"/>
  <c r="EN36" i="5"/>
  <c r="EN35" i="5"/>
  <c r="EN34" i="5"/>
  <c r="EN33" i="5"/>
  <c r="EN32" i="5"/>
  <c r="EN31" i="5"/>
  <c r="EN30" i="5"/>
  <c r="EN29" i="5"/>
  <c r="EN28" i="5"/>
  <c r="EN27" i="5"/>
  <c r="EN26" i="5"/>
  <c r="EN25" i="5"/>
  <c r="EN24" i="5"/>
  <c r="EN23" i="5"/>
  <c r="EN22" i="5"/>
  <c r="EN21" i="5"/>
  <c r="EN20" i="5"/>
  <c r="EN19" i="5"/>
  <c r="EN18" i="5"/>
  <c r="EN17" i="5"/>
  <c r="EN16" i="5"/>
  <c r="EN15" i="5"/>
  <c r="EN14" i="5"/>
  <c r="EN13" i="5"/>
  <c r="EN12" i="5"/>
  <c r="EN11" i="5"/>
  <c r="EN10" i="5"/>
  <c r="EN9" i="5"/>
  <c r="EN8" i="5"/>
  <c r="EN7" i="5"/>
  <c r="EN6" i="5"/>
  <c r="EN5" i="5"/>
  <c r="EN4" i="5"/>
  <c r="EN157" i="5"/>
  <c r="EE139" i="5"/>
  <c r="EE138" i="5"/>
  <c r="EE137" i="5"/>
  <c r="EE136" i="5"/>
  <c r="EE135" i="5"/>
  <c r="EE134" i="5"/>
  <c r="EE133" i="5"/>
  <c r="EE132" i="5"/>
  <c r="EE131" i="5"/>
  <c r="EE130" i="5"/>
  <c r="EE129" i="5"/>
  <c r="EE128" i="5"/>
  <c r="EE127" i="5"/>
  <c r="EE126" i="5"/>
  <c r="EE125" i="5"/>
  <c r="EE124" i="5"/>
  <c r="EE123" i="5"/>
  <c r="EE122" i="5"/>
  <c r="EE121" i="5"/>
  <c r="EE120" i="5"/>
  <c r="EE119" i="5"/>
  <c r="EE118" i="5"/>
  <c r="EE117" i="5"/>
  <c r="EE116" i="5"/>
  <c r="EE115" i="5"/>
  <c r="EE114" i="5"/>
  <c r="EE113" i="5"/>
  <c r="EE112" i="5"/>
  <c r="EE111" i="5"/>
  <c r="EE110" i="5"/>
  <c r="EE109" i="5"/>
  <c r="EE108" i="5"/>
  <c r="EE107" i="5"/>
  <c r="EE106" i="5"/>
  <c r="EE105" i="5"/>
  <c r="EE104" i="5"/>
  <c r="EE103" i="5"/>
  <c r="EE102" i="5"/>
  <c r="EE101" i="5"/>
  <c r="EE100" i="5"/>
  <c r="EE99" i="5"/>
  <c r="EE98" i="5"/>
  <c r="EE97" i="5"/>
  <c r="EE96" i="5"/>
  <c r="EE95" i="5"/>
  <c r="EE94" i="5"/>
  <c r="EE93" i="5"/>
  <c r="EE92" i="5"/>
  <c r="EE91" i="5"/>
  <c r="EE90" i="5"/>
  <c r="EE89" i="5"/>
  <c r="EE88" i="5"/>
  <c r="EE87" i="5"/>
  <c r="EE86" i="5"/>
  <c r="EE85" i="5"/>
  <c r="EE84" i="5"/>
  <c r="EE83" i="5"/>
  <c r="EE82" i="5"/>
  <c r="EE81" i="5"/>
  <c r="EE80" i="5"/>
  <c r="EE79" i="5"/>
  <c r="EE78" i="5"/>
  <c r="EE77" i="5"/>
  <c r="EE76" i="5"/>
  <c r="EE75" i="5"/>
  <c r="EE74" i="5"/>
  <c r="EE73" i="5"/>
  <c r="EE72" i="5"/>
  <c r="EE71" i="5"/>
  <c r="EE70" i="5"/>
  <c r="EE69" i="5"/>
  <c r="EE68" i="5"/>
  <c r="EE67" i="5"/>
  <c r="EE66" i="5"/>
  <c r="EE65" i="5"/>
  <c r="EE64" i="5"/>
  <c r="EE63" i="5"/>
  <c r="EE62" i="5"/>
  <c r="EE61" i="5"/>
  <c r="EE60" i="5"/>
  <c r="EE59" i="5"/>
  <c r="EE58" i="5"/>
  <c r="EE57" i="5"/>
  <c r="EE56" i="5"/>
  <c r="EE55" i="5"/>
  <c r="EE54" i="5"/>
  <c r="EE53" i="5"/>
  <c r="EE52" i="5"/>
  <c r="EE51" i="5"/>
  <c r="EE50" i="5"/>
  <c r="EE49" i="5"/>
  <c r="EE48" i="5"/>
  <c r="EE47" i="5"/>
  <c r="EE46" i="5"/>
  <c r="EE45" i="5"/>
  <c r="EE44" i="5"/>
  <c r="EE43" i="5"/>
  <c r="EE42" i="5"/>
  <c r="EE41" i="5"/>
  <c r="EE40" i="5"/>
  <c r="EE39" i="5"/>
  <c r="EE38" i="5"/>
  <c r="EE37" i="5"/>
  <c r="EE36" i="5"/>
  <c r="EE35" i="5"/>
  <c r="EE34" i="5"/>
  <c r="EE33" i="5"/>
  <c r="EE32" i="5"/>
  <c r="EE31" i="5"/>
  <c r="EE30" i="5"/>
  <c r="EE29" i="5"/>
  <c r="EE28" i="5"/>
  <c r="EE27" i="5"/>
  <c r="EE26" i="5"/>
  <c r="EE25" i="5"/>
  <c r="EE24" i="5"/>
  <c r="EE23" i="5"/>
  <c r="EE22" i="5"/>
  <c r="EE21" i="5"/>
  <c r="EE20" i="5"/>
  <c r="EE19" i="5"/>
  <c r="EE18" i="5"/>
  <c r="EE17" i="5"/>
  <c r="EE16" i="5"/>
  <c r="EE15" i="5"/>
  <c r="EE14" i="5"/>
  <c r="EE13" i="5"/>
  <c r="EE12" i="5"/>
  <c r="EE11" i="5"/>
  <c r="EE10" i="5"/>
  <c r="EE9" i="5"/>
  <c r="EE8" i="5"/>
  <c r="EE7" i="5"/>
  <c r="EE6" i="5"/>
  <c r="EE5" i="5"/>
  <c r="EE4" i="5"/>
  <c r="DO27" i="5"/>
  <c r="DO26" i="5"/>
  <c r="DO25" i="5"/>
  <c r="DO24" i="5"/>
  <c r="DO23" i="5"/>
  <c r="DO22" i="5"/>
  <c r="DO21" i="5"/>
  <c r="DO20" i="5"/>
  <c r="DO19" i="5"/>
  <c r="DO18" i="5"/>
  <c r="DO17" i="5"/>
  <c r="DO16" i="5"/>
  <c r="DO15" i="5"/>
  <c r="DO14" i="5"/>
  <c r="DO13" i="5"/>
  <c r="DO12" i="5"/>
  <c r="DO11" i="5"/>
  <c r="DO10" i="5"/>
  <c r="DO9" i="5"/>
  <c r="DO8" i="5"/>
  <c r="DO7" i="5"/>
  <c r="DO6" i="5"/>
  <c r="DO5" i="5"/>
  <c r="DO4" i="5"/>
  <c r="DE59" i="5"/>
  <c r="DF59" i="5" s="1"/>
  <c r="DE58" i="5"/>
  <c r="DF58" i="5" s="1"/>
  <c r="DE57" i="5"/>
  <c r="DF57" i="5" s="1"/>
  <c r="DE56" i="5"/>
  <c r="DF56" i="5" s="1"/>
  <c r="DE55" i="5"/>
  <c r="DF55" i="5" s="1"/>
  <c r="DE54" i="5"/>
  <c r="DF54" i="5" s="1"/>
  <c r="DE53" i="5"/>
  <c r="DF53" i="5" s="1"/>
  <c r="DE52" i="5"/>
  <c r="DF52" i="5" s="1"/>
  <c r="DE51" i="5"/>
  <c r="DF51" i="5" s="1"/>
  <c r="DE50" i="5"/>
  <c r="DF50" i="5" s="1"/>
  <c r="DE49" i="5"/>
  <c r="DF49" i="5" s="1"/>
  <c r="DE48" i="5"/>
  <c r="DF48" i="5" s="1"/>
  <c r="DE47" i="5"/>
  <c r="DF47" i="5" s="1"/>
  <c r="DE46" i="5"/>
  <c r="DF46" i="5" s="1"/>
  <c r="DE45" i="5"/>
  <c r="DF45" i="5" s="1"/>
  <c r="DE44" i="5"/>
  <c r="DF44" i="5" s="1"/>
  <c r="DE43" i="5"/>
  <c r="DF43" i="5" s="1"/>
  <c r="DE42" i="5"/>
  <c r="DF42" i="5" s="1"/>
  <c r="DE41" i="5"/>
  <c r="DF41" i="5" s="1"/>
  <c r="DE40" i="5"/>
  <c r="DF40" i="5" s="1"/>
  <c r="DE39" i="5"/>
  <c r="DF39" i="5" s="1"/>
  <c r="DE38" i="5"/>
  <c r="DF38" i="5" s="1"/>
  <c r="DE37" i="5"/>
  <c r="DF37" i="5" s="1"/>
  <c r="DE36" i="5"/>
  <c r="DF36" i="5" s="1"/>
  <c r="DE35" i="5"/>
  <c r="DF35" i="5" s="1"/>
  <c r="DE34" i="5"/>
  <c r="DF34" i="5" s="1"/>
  <c r="DE33" i="5"/>
  <c r="DF33" i="5" s="1"/>
  <c r="DE32" i="5"/>
  <c r="DF32" i="5" s="1"/>
  <c r="DE31" i="5"/>
  <c r="DF31" i="5" s="1"/>
  <c r="DE30" i="5"/>
  <c r="DF30" i="5" s="1"/>
  <c r="DE29" i="5"/>
  <c r="DF29" i="5" s="1"/>
  <c r="DE28" i="5"/>
  <c r="DF28" i="5" s="1"/>
  <c r="DE27" i="5"/>
  <c r="DF27" i="5" s="1"/>
  <c r="DE26" i="5"/>
  <c r="DF26" i="5" s="1"/>
  <c r="DE25" i="5"/>
  <c r="DF25" i="5" s="1"/>
  <c r="DE24" i="5"/>
  <c r="DF24" i="5" s="1"/>
  <c r="DE23" i="5"/>
  <c r="DF23" i="5" s="1"/>
  <c r="DE22" i="5"/>
  <c r="DF22" i="5" s="1"/>
  <c r="DE21" i="5"/>
  <c r="DF21" i="5" s="1"/>
  <c r="DE20" i="5"/>
  <c r="DF20" i="5" s="1"/>
  <c r="DE19" i="5"/>
  <c r="DF19" i="5" s="1"/>
  <c r="DE18" i="5"/>
  <c r="DF18" i="5" s="1"/>
  <c r="DE17" i="5"/>
  <c r="DF17" i="5" s="1"/>
  <c r="DE16" i="5"/>
  <c r="DF16" i="5" s="1"/>
  <c r="DE15" i="5"/>
  <c r="DF15" i="5" s="1"/>
  <c r="DE14" i="5"/>
  <c r="DF14" i="5" s="1"/>
  <c r="DE13" i="5"/>
  <c r="DF13" i="5" s="1"/>
  <c r="DE12" i="5"/>
  <c r="DF12" i="5" s="1"/>
  <c r="DE11" i="5"/>
  <c r="DF11" i="5" s="1"/>
  <c r="DE10" i="5"/>
  <c r="DF10" i="5" s="1"/>
  <c r="DE9" i="5"/>
  <c r="DF9" i="5" s="1"/>
  <c r="DE8" i="5"/>
  <c r="DF8" i="5" s="1"/>
  <c r="DE7" i="5"/>
  <c r="DF7" i="5" s="1"/>
  <c r="DE6" i="5"/>
  <c r="DF6" i="5" s="1"/>
  <c r="DE5" i="5"/>
  <c r="DF5" i="5" s="1"/>
  <c r="DE4" i="5"/>
  <c r="DF4" i="5" s="1"/>
  <c r="CV66" i="5"/>
  <c r="CV65" i="5"/>
  <c r="CV64" i="5"/>
  <c r="CV63" i="5"/>
  <c r="CV62" i="5"/>
  <c r="CV61" i="5"/>
  <c r="CV60" i="5"/>
  <c r="CV59" i="5"/>
  <c r="CV58" i="5"/>
  <c r="CV57" i="5"/>
  <c r="CV56" i="5"/>
  <c r="CV55" i="5"/>
  <c r="CV54" i="5"/>
  <c r="CV53" i="5"/>
  <c r="CV52" i="5"/>
  <c r="CV51" i="5"/>
  <c r="CV50" i="5"/>
  <c r="CV49" i="5"/>
  <c r="CV48" i="5"/>
  <c r="CV47" i="5"/>
  <c r="CV46" i="5"/>
  <c r="CV45" i="5"/>
  <c r="CV44" i="5"/>
  <c r="CV43" i="5"/>
  <c r="CV42" i="5"/>
  <c r="CV41" i="5"/>
  <c r="CV40" i="5"/>
  <c r="CV39" i="5"/>
  <c r="CV38" i="5"/>
  <c r="CV37" i="5"/>
  <c r="CV36" i="5"/>
  <c r="CV35" i="5"/>
  <c r="CV34" i="5"/>
  <c r="CV33" i="5"/>
  <c r="CV32" i="5"/>
  <c r="CV31" i="5"/>
  <c r="CV30" i="5"/>
  <c r="CV29" i="5"/>
  <c r="CV28" i="5"/>
  <c r="CV27" i="5"/>
  <c r="CV26" i="5"/>
  <c r="CV25" i="5"/>
  <c r="CV24" i="5"/>
  <c r="CV23" i="5"/>
  <c r="CV22" i="5"/>
  <c r="CV21" i="5"/>
  <c r="CV20" i="5"/>
  <c r="CV19" i="5"/>
  <c r="CV18" i="5"/>
  <c r="CV17" i="5"/>
  <c r="CV16" i="5"/>
  <c r="CV15" i="5"/>
  <c r="CV14" i="5"/>
  <c r="CV13" i="5"/>
  <c r="CV12" i="5"/>
  <c r="CV11" i="5"/>
  <c r="CV10" i="5"/>
  <c r="CV9" i="5"/>
  <c r="CV8" i="5"/>
  <c r="CV7" i="5"/>
  <c r="CV6" i="5"/>
  <c r="CV5" i="5"/>
  <c r="CV4" i="5"/>
  <c r="CM97" i="5"/>
  <c r="CM96" i="5"/>
  <c r="CM95" i="5"/>
  <c r="CM94" i="5"/>
  <c r="CM93" i="5"/>
  <c r="CM92" i="5"/>
  <c r="CM91" i="5"/>
  <c r="CM90" i="5"/>
  <c r="CM89" i="5"/>
  <c r="CM88" i="5"/>
  <c r="CM87" i="5"/>
  <c r="CM86" i="5"/>
  <c r="CM85" i="5"/>
  <c r="CM84" i="5"/>
  <c r="CM83" i="5"/>
  <c r="CM82" i="5"/>
  <c r="CM81" i="5"/>
  <c r="CM80" i="5"/>
  <c r="CM79" i="5"/>
  <c r="CM78" i="5"/>
  <c r="CM77" i="5"/>
  <c r="CM76" i="5"/>
  <c r="CM75" i="5"/>
  <c r="CM74" i="5"/>
  <c r="CM73" i="5"/>
  <c r="CM72" i="5"/>
  <c r="CM71" i="5"/>
  <c r="CM70" i="5"/>
  <c r="CM69" i="5"/>
  <c r="CM68" i="5"/>
  <c r="CM67" i="5"/>
  <c r="CM66" i="5"/>
  <c r="CM65" i="5"/>
  <c r="CM64" i="5"/>
  <c r="CM63" i="5"/>
  <c r="CM62" i="5"/>
  <c r="CM61" i="5"/>
  <c r="CM60" i="5"/>
  <c r="CM59" i="5"/>
  <c r="CM58" i="5"/>
  <c r="CM57" i="5"/>
  <c r="CM56" i="5"/>
  <c r="CM55" i="5"/>
  <c r="CM54" i="5"/>
  <c r="CM53" i="5"/>
  <c r="CM52" i="5"/>
  <c r="CM51" i="5"/>
  <c r="CM50" i="5"/>
  <c r="CM49" i="5"/>
  <c r="CM48" i="5"/>
  <c r="CM47" i="5"/>
  <c r="CM46" i="5"/>
  <c r="CM45" i="5"/>
  <c r="CM44" i="5"/>
  <c r="CM43" i="5"/>
  <c r="CM42" i="5"/>
  <c r="CM41" i="5"/>
  <c r="CM40" i="5"/>
  <c r="CM39" i="5"/>
  <c r="CM38" i="5"/>
  <c r="CM37" i="5"/>
  <c r="CM36" i="5"/>
  <c r="CM35" i="5"/>
  <c r="CM34" i="5"/>
  <c r="CM33" i="5"/>
  <c r="CM32" i="5"/>
  <c r="CM31" i="5"/>
  <c r="CM30" i="5"/>
  <c r="CM29" i="5"/>
  <c r="CM28" i="5"/>
  <c r="CM27" i="5"/>
  <c r="CM26" i="5"/>
  <c r="CM25" i="5"/>
  <c r="CM24" i="5"/>
  <c r="CM23" i="5"/>
  <c r="CM22" i="5"/>
  <c r="CM21" i="5"/>
  <c r="CM20" i="5"/>
  <c r="CM19" i="5"/>
  <c r="CM18" i="5"/>
  <c r="CM17" i="5"/>
  <c r="CM16" i="5"/>
  <c r="CM15" i="5"/>
  <c r="CM14" i="5"/>
  <c r="CM13" i="5"/>
  <c r="CM12" i="5"/>
  <c r="CM11" i="5"/>
  <c r="CM10" i="5"/>
  <c r="CM9" i="5"/>
  <c r="CM8" i="5"/>
  <c r="CM7" i="5"/>
  <c r="CM6" i="5"/>
  <c r="CM5" i="5"/>
  <c r="CM4" i="5"/>
  <c r="BL127" i="5"/>
  <c r="BL126" i="5"/>
  <c r="BL125" i="5"/>
  <c r="BL124" i="5"/>
  <c r="BL123" i="5"/>
  <c r="BL122" i="5"/>
  <c r="BL121" i="5"/>
  <c r="BL120" i="5"/>
  <c r="BL119" i="5"/>
  <c r="BL118" i="5"/>
  <c r="BL117" i="5"/>
  <c r="BL116" i="5"/>
  <c r="BL115" i="5"/>
  <c r="BL114" i="5"/>
  <c r="BL113" i="5"/>
  <c r="BL112" i="5"/>
  <c r="BL111" i="5"/>
  <c r="BL110" i="5"/>
  <c r="BL109" i="5"/>
  <c r="BL108" i="5"/>
  <c r="BL107" i="5"/>
  <c r="BL106" i="5"/>
  <c r="BL105" i="5"/>
  <c r="BL104" i="5"/>
  <c r="BL103" i="5"/>
  <c r="BL102" i="5"/>
  <c r="BL101" i="5"/>
  <c r="BL100" i="5"/>
  <c r="BL99" i="5"/>
  <c r="BL98" i="5"/>
  <c r="BL97" i="5"/>
  <c r="BL96" i="5"/>
  <c r="BL95" i="5"/>
  <c r="BL94" i="5"/>
  <c r="BL93" i="5"/>
  <c r="BL92" i="5"/>
  <c r="BL91" i="5"/>
  <c r="BL90" i="5"/>
  <c r="BL89" i="5"/>
  <c r="BL88" i="5"/>
  <c r="BL87" i="5"/>
  <c r="BL86" i="5"/>
  <c r="BL85" i="5"/>
  <c r="BL84" i="5"/>
  <c r="BL83" i="5"/>
  <c r="BL82" i="5"/>
  <c r="BL81" i="5"/>
  <c r="BL80" i="5"/>
  <c r="BL79" i="5"/>
  <c r="BL78" i="5"/>
  <c r="BL77" i="5"/>
  <c r="BL76" i="5"/>
  <c r="BL75" i="5"/>
  <c r="BL74" i="5"/>
  <c r="BL73" i="5"/>
  <c r="BL72" i="5"/>
  <c r="BL71" i="5"/>
  <c r="BL70" i="5"/>
  <c r="BL69" i="5"/>
  <c r="BL68" i="5"/>
  <c r="BL67" i="5"/>
  <c r="BL66" i="5"/>
  <c r="BL65" i="5"/>
  <c r="BL64" i="5"/>
  <c r="BL63" i="5"/>
  <c r="BL62" i="5"/>
  <c r="BL61" i="5"/>
  <c r="BL60" i="5"/>
  <c r="BL59" i="5"/>
  <c r="BL58" i="5"/>
  <c r="BL57" i="5"/>
  <c r="BL56" i="5"/>
  <c r="BL55" i="5"/>
  <c r="BL54" i="5"/>
  <c r="BL53" i="5"/>
  <c r="BL52" i="5"/>
  <c r="BL51" i="5"/>
  <c r="BL50" i="5"/>
  <c r="BL49" i="5"/>
  <c r="BL48" i="5"/>
  <c r="BL47" i="5"/>
  <c r="BL46" i="5"/>
  <c r="BL45" i="5"/>
  <c r="BL44" i="5"/>
  <c r="BL43" i="5"/>
  <c r="BL42" i="5"/>
  <c r="BL41" i="5"/>
  <c r="BL40" i="5"/>
  <c r="BL39" i="5"/>
  <c r="BL38" i="5"/>
  <c r="BL37" i="5"/>
  <c r="BL36" i="5"/>
  <c r="BL35" i="5"/>
  <c r="BL34" i="5"/>
  <c r="BL33" i="5"/>
  <c r="BL32" i="5"/>
  <c r="BL31" i="5"/>
  <c r="BL30" i="5"/>
  <c r="BL29" i="5"/>
  <c r="BL28" i="5"/>
  <c r="BL27" i="5"/>
  <c r="BL26" i="5"/>
  <c r="BL25" i="5"/>
  <c r="BL24" i="5"/>
  <c r="BL23" i="5"/>
  <c r="BL22" i="5"/>
  <c r="BL21" i="5"/>
  <c r="BL20" i="5"/>
  <c r="BL19" i="5"/>
  <c r="BL18" i="5"/>
  <c r="BL17" i="5"/>
  <c r="BL16" i="5"/>
  <c r="BL15" i="5"/>
  <c r="BL14" i="5"/>
  <c r="BL13" i="5"/>
  <c r="BL12" i="5"/>
  <c r="BL11" i="5"/>
  <c r="BL10" i="5"/>
  <c r="BL9" i="5"/>
  <c r="BL8" i="5"/>
  <c r="BL7" i="5"/>
  <c r="BL6" i="5"/>
  <c r="BL5" i="5"/>
  <c r="BL4" i="5"/>
  <c r="BD228" i="5"/>
  <c r="BD227" i="5"/>
  <c r="BD226" i="5"/>
  <c r="BD225" i="5"/>
  <c r="BD224" i="5"/>
  <c r="BD223" i="5"/>
  <c r="BD222" i="5"/>
  <c r="BD221" i="5"/>
  <c r="BD220" i="5"/>
  <c r="BD219" i="5"/>
  <c r="BD218" i="5"/>
  <c r="BD217" i="5"/>
  <c r="BD216" i="5"/>
  <c r="BD215" i="5"/>
  <c r="BD214" i="5"/>
  <c r="BD213" i="5"/>
  <c r="BD212" i="5"/>
  <c r="BD211" i="5"/>
  <c r="BD210" i="5"/>
  <c r="BD209" i="5"/>
  <c r="BD208" i="5"/>
  <c r="BD207" i="5"/>
  <c r="BD206" i="5"/>
  <c r="BD205" i="5"/>
  <c r="BD204" i="5"/>
  <c r="BD203" i="5"/>
  <c r="BD202" i="5"/>
  <c r="BD201" i="5"/>
  <c r="BD200" i="5"/>
  <c r="BD199" i="5"/>
  <c r="BD198" i="5"/>
  <c r="BD197" i="5"/>
  <c r="BD196" i="5"/>
  <c r="BD195" i="5"/>
  <c r="BD194" i="5"/>
  <c r="BD193" i="5"/>
  <c r="BD192" i="5"/>
  <c r="BD191" i="5"/>
  <c r="BD190" i="5"/>
  <c r="BD189" i="5"/>
  <c r="BD188" i="5"/>
  <c r="BD187" i="5"/>
  <c r="BD186" i="5"/>
  <c r="BD185" i="5"/>
  <c r="BD184" i="5"/>
  <c r="BD183" i="5"/>
  <c r="BD182" i="5"/>
  <c r="BD181" i="5"/>
  <c r="BD180" i="5"/>
  <c r="BD179" i="5"/>
  <c r="BD178" i="5"/>
  <c r="BD177" i="5"/>
  <c r="BD176" i="5"/>
  <c r="BD175" i="5"/>
  <c r="BD174" i="5"/>
  <c r="BD173" i="5"/>
  <c r="BD172" i="5"/>
  <c r="BD171" i="5"/>
  <c r="BD170" i="5"/>
  <c r="BD169" i="5"/>
  <c r="BD168" i="5"/>
  <c r="BD167" i="5"/>
  <c r="BD166" i="5"/>
  <c r="BD165" i="5"/>
  <c r="BD164" i="5"/>
  <c r="BD163" i="5"/>
  <c r="BD162" i="5"/>
  <c r="BD161" i="5"/>
  <c r="BD160" i="5"/>
  <c r="BD159" i="5"/>
  <c r="BD158" i="5"/>
  <c r="BD157" i="5"/>
  <c r="BD156" i="5"/>
  <c r="BD155" i="5"/>
  <c r="BD154" i="5"/>
  <c r="BD153" i="5"/>
  <c r="BD152" i="5"/>
  <c r="BD151" i="5"/>
  <c r="BD150" i="5"/>
  <c r="BD149" i="5"/>
  <c r="BD148" i="5"/>
  <c r="BD147" i="5"/>
  <c r="BD146" i="5"/>
  <c r="BD145" i="5"/>
  <c r="BD144" i="5"/>
  <c r="BD143" i="5"/>
  <c r="BD142" i="5"/>
  <c r="BD141" i="5"/>
  <c r="BD140" i="5"/>
  <c r="BD139" i="5"/>
  <c r="BD138" i="5"/>
  <c r="BD137" i="5"/>
  <c r="BD136" i="5"/>
  <c r="BD135" i="5"/>
  <c r="BD134" i="5"/>
  <c r="BD133" i="5"/>
  <c r="BD132" i="5"/>
  <c r="BD131" i="5"/>
  <c r="BD130" i="5"/>
  <c r="BD129" i="5"/>
  <c r="BD128" i="5"/>
  <c r="BD127" i="5"/>
  <c r="BD126" i="5"/>
  <c r="BD125" i="5"/>
  <c r="BD124" i="5"/>
  <c r="BD123" i="5"/>
  <c r="BD122" i="5"/>
  <c r="BD121" i="5"/>
  <c r="BD120" i="5"/>
  <c r="BD119" i="5"/>
  <c r="BD118" i="5"/>
  <c r="BD117" i="5"/>
  <c r="BD116" i="5"/>
  <c r="BD115" i="5"/>
  <c r="BD114" i="5"/>
  <c r="BD113" i="5"/>
  <c r="BD112" i="5"/>
  <c r="BD111" i="5"/>
  <c r="BD110" i="5"/>
  <c r="BD109" i="5"/>
  <c r="BD108" i="5"/>
  <c r="BD107" i="5"/>
  <c r="BD106" i="5"/>
  <c r="BD105" i="5"/>
  <c r="BD104" i="5"/>
  <c r="BD103" i="5"/>
  <c r="BD102" i="5"/>
  <c r="BD101" i="5"/>
  <c r="BD100" i="5"/>
  <c r="BD99" i="5"/>
  <c r="BD98" i="5"/>
  <c r="BD97" i="5"/>
  <c r="BD96" i="5"/>
  <c r="BD95" i="5"/>
  <c r="BD94" i="5"/>
  <c r="BD93" i="5"/>
  <c r="BD92" i="5"/>
  <c r="BD91" i="5"/>
  <c r="BD90" i="5"/>
  <c r="BD89" i="5"/>
  <c r="BD88" i="5"/>
  <c r="BD87" i="5"/>
  <c r="BD86" i="5"/>
  <c r="BD85" i="5"/>
  <c r="BD84" i="5"/>
  <c r="BD83" i="5"/>
  <c r="BD82" i="5"/>
  <c r="BD81" i="5"/>
  <c r="BD80" i="5"/>
  <c r="BD79" i="5"/>
  <c r="BD78" i="5"/>
  <c r="BD77" i="5"/>
  <c r="BD76" i="5"/>
  <c r="BD75" i="5"/>
  <c r="BD74" i="5"/>
  <c r="BD73" i="5"/>
  <c r="BD72" i="5"/>
  <c r="BD71" i="5"/>
  <c r="BD70" i="5"/>
  <c r="BD69" i="5"/>
  <c r="BD68" i="5"/>
  <c r="BD67" i="5"/>
  <c r="BD66" i="5"/>
  <c r="BD65" i="5"/>
  <c r="BD64" i="5"/>
  <c r="BD63" i="5"/>
  <c r="BD62" i="5"/>
  <c r="BD61" i="5"/>
  <c r="BD60" i="5"/>
  <c r="BD59" i="5"/>
  <c r="BD58" i="5"/>
  <c r="BD57" i="5"/>
  <c r="BD56" i="5"/>
  <c r="BD55" i="5"/>
  <c r="BD54" i="5"/>
  <c r="BD53" i="5"/>
  <c r="BD52" i="5"/>
  <c r="BD51" i="5"/>
  <c r="BD50" i="5"/>
  <c r="BD49" i="5"/>
  <c r="BD48" i="5"/>
  <c r="BD47" i="5"/>
  <c r="BD46" i="5"/>
  <c r="BD45" i="5"/>
  <c r="BD44" i="5"/>
  <c r="BD43" i="5"/>
  <c r="BD42" i="5"/>
  <c r="BD41" i="5"/>
  <c r="BD40" i="5"/>
  <c r="BD39" i="5"/>
  <c r="BD38" i="5"/>
  <c r="BD37" i="5"/>
  <c r="BD36" i="5"/>
  <c r="BD35" i="5"/>
  <c r="BD34" i="5"/>
  <c r="BD33" i="5"/>
  <c r="BD32" i="5"/>
  <c r="BD31" i="5"/>
  <c r="BD30" i="5"/>
  <c r="BD29" i="5"/>
  <c r="BD28" i="5"/>
  <c r="BD27" i="5"/>
  <c r="BD26" i="5"/>
  <c r="BD25" i="5"/>
  <c r="BD24" i="5"/>
  <c r="BD23" i="5"/>
  <c r="BD22" i="5"/>
  <c r="BD21" i="5"/>
  <c r="BD20" i="5"/>
  <c r="BD19" i="5"/>
  <c r="BD18" i="5"/>
  <c r="BD17" i="5"/>
  <c r="BD16" i="5"/>
  <c r="BD15" i="5"/>
  <c r="BD14" i="5"/>
  <c r="BD13" i="5"/>
  <c r="BD12" i="5"/>
  <c r="BD11" i="5"/>
  <c r="BD10" i="5"/>
  <c r="BD9" i="5"/>
  <c r="BD8" i="5"/>
  <c r="BD7" i="5"/>
  <c r="BD6" i="5"/>
  <c r="BD5" i="5"/>
  <c r="BD4" i="5"/>
  <c r="AV104" i="5"/>
  <c r="AV103" i="5"/>
  <c r="AV102" i="5"/>
  <c r="AV101" i="5"/>
  <c r="AV100" i="5"/>
  <c r="AV99" i="5"/>
  <c r="AV98" i="5"/>
  <c r="AV97" i="5"/>
  <c r="AV96" i="5"/>
  <c r="AV95" i="5"/>
  <c r="AV94" i="5"/>
  <c r="AV93" i="5"/>
  <c r="AV92" i="5"/>
  <c r="AV91" i="5"/>
  <c r="AV90" i="5"/>
  <c r="AV89" i="5"/>
  <c r="AV88" i="5"/>
  <c r="AV87" i="5"/>
  <c r="AV86" i="5"/>
  <c r="AV85" i="5"/>
  <c r="AV84" i="5"/>
  <c r="AV83" i="5"/>
  <c r="AV82" i="5"/>
  <c r="AV81" i="5"/>
  <c r="AV80" i="5"/>
  <c r="AV79" i="5"/>
  <c r="AV78" i="5"/>
  <c r="AV77" i="5"/>
  <c r="AV76" i="5"/>
  <c r="AV75" i="5"/>
  <c r="AV74" i="5"/>
  <c r="AV73" i="5"/>
  <c r="AV72" i="5"/>
  <c r="AV71" i="5"/>
  <c r="AV70" i="5"/>
  <c r="AV69" i="5"/>
  <c r="AV68" i="5"/>
  <c r="AV67" i="5"/>
  <c r="AV66" i="5"/>
  <c r="AV65" i="5"/>
  <c r="AV64" i="5"/>
  <c r="AV63" i="5"/>
  <c r="AV62" i="5"/>
  <c r="AV61" i="5"/>
  <c r="AV60" i="5"/>
  <c r="AV59" i="5"/>
  <c r="AV58" i="5"/>
  <c r="AV57" i="5"/>
  <c r="AV56" i="5"/>
  <c r="AV55" i="5"/>
  <c r="AV54" i="5"/>
  <c r="AV53" i="5"/>
  <c r="AV52" i="5"/>
  <c r="AV51" i="5"/>
  <c r="AV50" i="5"/>
  <c r="AV49" i="5"/>
  <c r="AV48" i="5"/>
  <c r="AV47" i="5"/>
  <c r="AV46" i="5"/>
  <c r="AV45" i="5"/>
  <c r="AV44" i="5"/>
  <c r="AV43" i="5"/>
  <c r="AV42" i="5"/>
  <c r="AV41" i="5"/>
  <c r="AV40" i="5"/>
  <c r="AV39" i="5"/>
  <c r="AV38" i="5"/>
  <c r="AV37" i="5"/>
  <c r="AV36" i="5"/>
  <c r="AV35" i="5"/>
  <c r="AV34" i="5"/>
  <c r="AV33" i="5"/>
  <c r="AV32" i="5"/>
  <c r="AV31" i="5"/>
  <c r="AV30" i="5"/>
  <c r="AV29" i="5"/>
  <c r="AV28" i="5"/>
  <c r="AV27" i="5"/>
  <c r="AV26" i="5"/>
  <c r="AV25" i="5"/>
  <c r="AV24" i="5"/>
  <c r="AV23" i="5"/>
  <c r="AV22" i="5"/>
  <c r="AV21" i="5"/>
  <c r="AV20" i="5"/>
  <c r="AV19" i="5"/>
  <c r="AV18" i="5"/>
  <c r="AV17" i="5"/>
  <c r="AV16" i="5"/>
  <c r="AV15" i="5"/>
  <c r="AV14" i="5"/>
  <c r="AV13" i="5"/>
  <c r="AV12" i="5"/>
  <c r="AV11" i="5"/>
  <c r="AV10" i="5"/>
  <c r="AV9" i="5"/>
  <c r="AV8" i="5"/>
  <c r="AV7" i="5"/>
  <c r="AV6" i="5"/>
  <c r="AV5" i="5"/>
  <c r="AV4" i="5"/>
  <c r="AN121" i="5"/>
  <c r="AN57" i="5"/>
  <c r="AM129" i="5"/>
  <c r="AN129" i="5" s="1"/>
  <c r="AM128" i="5"/>
  <c r="AN128" i="5" s="1"/>
  <c r="AM127" i="5"/>
  <c r="AN127" i="5" s="1"/>
  <c r="AM126" i="5"/>
  <c r="AN126" i="5" s="1"/>
  <c r="AM125" i="5"/>
  <c r="AN125" i="5" s="1"/>
  <c r="AM124" i="5"/>
  <c r="AN124" i="5" s="1"/>
  <c r="AM123" i="5"/>
  <c r="AN123" i="5" s="1"/>
  <c r="AM122" i="5"/>
  <c r="AN122" i="5" s="1"/>
  <c r="AM121" i="5"/>
  <c r="AM120" i="5"/>
  <c r="AN120" i="5" s="1"/>
  <c r="AM119" i="5"/>
  <c r="AN119" i="5" s="1"/>
  <c r="AM118" i="5"/>
  <c r="AN118" i="5" s="1"/>
  <c r="AM117" i="5"/>
  <c r="AN117" i="5" s="1"/>
  <c r="AM116" i="5"/>
  <c r="AN116" i="5" s="1"/>
  <c r="AM115" i="5"/>
  <c r="AN115" i="5" s="1"/>
  <c r="AM114" i="5"/>
  <c r="AN114" i="5" s="1"/>
  <c r="AM113" i="5"/>
  <c r="AN113" i="5" s="1"/>
  <c r="AM112" i="5"/>
  <c r="AN112" i="5" s="1"/>
  <c r="AM111" i="5"/>
  <c r="AN111" i="5" s="1"/>
  <c r="AM110" i="5"/>
  <c r="AN110" i="5" s="1"/>
  <c r="AM109" i="5"/>
  <c r="AN109" i="5" s="1"/>
  <c r="AM108" i="5"/>
  <c r="AN108" i="5" s="1"/>
  <c r="AM107" i="5"/>
  <c r="AN107" i="5" s="1"/>
  <c r="AM106" i="5"/>
  <c r="AN106" i="5" s="1"/>
  <c r="AM105" i="5"/>
  <c r="AN105" i="5" s="1"/>
  <c r="AM104" i="5"/>
  <c r="AN104" i="5" s="1"/>
  <c r="AM103" i="5"/>
  <c r="AN103" i="5" s="1"/>
  <c r="AM102" i="5"/>
  <c r="AN102" i="5" s="1"/>
  <c r="AM101" i="5"/>
  <c r="AN101" i="5" s="1"/>
  <c r="AM100" i="5"/>
  <c r="AN100" i="5" s="1"/>
  <c r="AM99" i="5"/>
  <c r="AN99" i="5" s="1"/>
  <c r="AM98" i="5"/>
  <c r="AN98" i="5" s="1"/>
  <c r="AM97" i="5"/>
  <c r="AN97" i="5" s="1"/>
  <c r="AM96" i="5"/>
  <c r="AN96" i="5" s="1"/>
  <c r="AM95" i="5"/>
  <c r="AN95" i="5" s="1"/>
  <c r="AM94" i="5"/>
  <c r="AN94" i="5" s="1"/>
  <c r="AM93" i="5"/>
  <c r="AN93" i="5" s="1"/>
  <c r="AM92" i="5"/>
  <c r="AN92" i="5" s="1"/>
  <c r="AM91" i="5"/>
  <c r="AN91" i="5" s="1"/>
  <c r="AM90" i="5"/>
  <c r="AN90" i="5" s="1"/>
  <c r="AM89" i="5"/>
  <c r="AN89" i="5" s="1"/>
  <c r="AM88" i="5"/>
  <c r="AN88" i="5" s="1"/>
  <c r="AM87" i="5"/>
  <c r="AN87" i="5" s="1"/>
  <c r="AM86" i="5"/>
  <c r="AN86" i="5" s="1"/>
  <c r="AM85" i="5"/>
  <c r="AN85" i="5" s="1"/>
  <c r="AM84" i="5"/>
  <c r="AN84" i="5" s="1"/>
  <c r="AM83" i="5"/>
  <c r="AN83" i="5" s="1"/>
  <c r="AM82" i="5"/>
  <c r="AN82" i="5" s="1"/>
  <c r="AM81" i="5"/>
  <c r="AN81" i="5" s="1"/>
  <c r="AM80" i="5"/>
  <c r="AN80" i="5" s="1"/>
  <c r="AM79" i="5"/>
  <c r="AN79" i="5" s="1"/>
  <c r="AM78" i="5"/>
  <c r="AN78" i="5" s="1"/>
  <c r="AM77" i="5"/>
  <c r="AN77" i="5" s="1"/>
  <c r="AM76" i="5"/>
  <c r="AN76" i="5" s="1"/>
  <c r="AM75" i="5"/>
  <c r="AN75" i="5" s="1"/>
  <c r="AM74" i="5"/>
  <c r="AN74" i="5" s="1"/>
  <c r="AM73" i="5"/>
  <c r="AN73" i="5" s="1"/>
  <c r="AM72" i="5"/>
  <c r="AN72" i="5" s="1"/>
  <c r="AM71" i="5"/>
  <c r="AN71" i="5" s="1"/>
  <c r="AM70" i="5"/>
  <c r="AN70" i="5" s="1"/>
  <c r="AM69" i="5"/>
  <c r="AN69" i="5" s="1"/>
  <c r="AM68" i="5"/>
  <c r="AN68" i="5" s="1"/>
  <c r="AM67" i="5"/>
  <c r="AN67" i="5" s="1"/>
  <c r="AM66" i="5"/>
  <c r="AN66" i="5" s="1"/>
  <c r="AM65" i="5"/>
  <c r="AN65" i="5" s="1"/>
  <c r="AM64" i="5"/>
  <c r="AN64" i="5" s="1"/>
  <c r="AM63" i="5"/>
  <c r="AN63" i="5" s="1"/>
  <c r="AM62" i="5"/>
  <c r="AN62" i="5" s="1"/>
  <c r="AM61" i="5"/>
  <c r="AN61" i="5" s="1"/>
  <c r="AM60" i="5"/>
  <c r="AN60" i="5" s="1"/>
  <c r="AM59" i="5"/>
  <c r="AN59" i="5" s="1"/>
  <c r="AM58" i="5"/>
  <c r="AN58" i="5" s="1"/>
  <c r="AM57" i="5"/>
  <c r="AM56" i="5"/>
  <c r="AN56" i="5" s="1"/>
  <c r="AM55" i="5"/>
  <c r="AN55" i="5" s="1"/>
  <c r="AM54" i="5"/>
  <c r="AN54" i="5" s="1"/>
  <c r="AM53" i="5"/>
  <c r="AN53" i="5" s="1"/>
  <c r="AM52" i="5"/>
  <c r="AN52" i="5" s="1"/>
  <c r="AM51" i="5"/>
  <c r="AN51" i="5" s="1"/>
  <c r="AM50" i="5"/>
  <c r="AN50" i="5" s="1"/>
  <c r="AM49" i="5"/>
  <c r="AN49" i="5" s="1"/>
  <c r="AM48" i="5"/>
  <c r="AN48" i="5" s="1"/>
  <c r="AM47" i="5"/>
  <c r="AN47" i="5" s="1"/>
  <c r="AM46" i="5"/>
  <c r="AN46" i="5" s="1"/>
  <c r="AM45" i="5"/>
  <c r="AN45" i="5" s="1"/>
  <c r="AM44" i="5"/>
  <c r="AN44" i="5" s="1"/>
  <c r="AM43" i="5"/>
  <c r="AN43" i="5" s="1"/>
  <c r="AM42" i="5"/>
  <c r="AN42" i="5" s="1"/>
  <c r="AM41" i="5"/>
  <c r="AN41" i="5" s="1"/>
  <c r="AM40" i="5"/>
  <c r="AN40" i="5" s="1"/>
  <c r="AM39" i="5"/>
  <c r="AN39" i="5" s="1"/>
  <c r="AM38" i="5"/>
  <c r="AN38" i="5" s="1"/>
  <c r="AM37" i="5"/>
  <c r="AN37" i="5" s="1"/>
  <c r="AM36" i="5"/>
  <c r="AN36" i="5" s="1"/>
  <c r="AM35" i="5"/>
  <c r="AN35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N28" i="5" s="1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N20" i="5" s="1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AN12" i="5" s="1"/>
  <c r="AM11" i="5"/>
  <c r="AN11" i="5" s="1"/>
  <c r="AM10" i="5"/>
  <c r="AN10" i="5" s="1"/>
  <c r="AM9" i="5"/>
  <c r="AN9" i="5" s="1"/>
  <c r="AM8" i="5"/>
  <c r="AN8" i="5" s="1"/>
  <c r="AM7" i="5"/>
  <c r="AN7" i="5" s="1"/>
  <c r="AM6" i="5"/>
  <c r="AN6" i="5" s="1"/>
  <c r="AM5" i="5"/>
  <c r="AN5" i="5" s="1"/>
  <c r="AM4" i="5"/>
  <c r="AN4" i="5" s="1"/>
  <c r="AF166" i="5"/>
  <c r="AF158" i="5"/>
  <c r="AF134" i="5"/>
  <c r="AF126" i="5"/>
  <c r="AF94" i="5"/>
  <c r="AF70" i="5"/>
  <c r="AF38" i="5"/>
  <c r="AF30" i="5"/>
  <c r="AF6" i="5"/>
  <c r="AE178" i="5"/>
  <c r="AF178" i="5" s="1"/>
  <c r="AE177" i="5"/>
  <c r="AF177" i="5" s="1"/>
  <c r="AE176" i="5"/>
  <c r="AF176" i="5" s="1"/>
  <c r="AE175" i="5"/>
  <c r="AF175" i="5" s="1"/>
  <c r="AE174" i="5"/>
  <c r="AF174" i="5" s="1"/>
  <c r="AE173" i="5"/>
  <c r="AF173" i="5" s="1"/>
  <c r="AE172" i="5"/>
  <c r="AF172" i="5" s="1"/>
  <c r="AE171" i="5"/>
  <c r="AF171" i="5" s="1"/>
  <c r="AE170" i="5"/>
  <c r="AF170" i="5" s="1"/>
  <c r="AE169" i="5"/>
  <c r="AF169" i="5" s="1"/>
  <c r="AE168" i="5"/>
  <c r="AF168" i="5" s="1"/>
  <c r="AE167" i="5"/>
  <c r="AF167" i="5" s="1"/>
  <c r="AE166" i="5"/>
  <c r="AE165" i="5"/>
  <c r="AF165" i="5" s="1"/>
  <c r="AE164" i="5"/>
  <c r="AF164" i="5" s="1"/>
  <c r="AE163" i="5"/>
  <c r="AF163" i="5" s="1"/>
  <c r="AE162" i="5"/>
  <c r="AF162" i="5" s="1"/>
  <c r="AE161" i="5"/>
  <c r="AF161" i="5" s="1"/>
  <c r="AE160" i="5"/>
  <c r="AF160" i="5" s="1"/>
  <c r="AE159" i="5"/>
  <c r="AF159" i="5" s="1"/>
  <c r="AE158" i="5"/>
  <c r="AE157" i="5"/>
  <c r="AF157" i="5" s="1"/>
  <c r="AE156" i="5"/>
  <c r="AF156" i="5" s="1"/>
  <c r="AE155" i="5"/>
  <c r="AF155" i="5" s="1"/>
  <c r="AE154" i="5"/>
  <c r="AF154" i="5" s="1"/>
  <c r="AE153" i="5"/>
  <c r="AF153" i="5" s="1"/>
  <c r="AE152" i="5"/>
  <c r="AF152" i="5" s="1"/>
  <c r="AE151" i="5"/>
  <c r="AF151" i="5" s="1"/>
  <c r="AE150" i="5"/>
  <c r="AF150" i="5" s="1"/>
  <c r="AE149" i="5"/>
  <c r="AF149" i="5" s="1"/>
  <c r="AE148" i="5"/>
  <c r="AF148" i="5" s="1"/>
  <c r="AE147" i="5"/>
  <c r="AF147" i="5" s="1"/>
  <c r="AE146" i="5"/>
  <c r="AF146" i="5" s="1"/>
  <c r="AE145" i="5"/>
  <c r="AF145" i="5" s="1"/>
  <c r="AE144" i="5"/>
  <c r="AF144" i="5" s="1"/>
  <c r="AE143" i="5"/>
  <c r="AF143" i="5" s="1"/>
  <c r="AE142" i="5"/>
  <c r="AF142" i="5" s="1"/>
  <c r="AE141" i="5"/>
  <c r="AF141" i="5" s="1"/>
  <c r="AE140" i="5"/>
  <c r="AF140" i="5" s="1"/>
  <c r="AE139" i="5"/>
  <c r="AF139" i="5" s="1"/>
  <c r="AE138" i="5"/>
  <c r="AF138" i="5" s="1"/>
  <c r="AE137" i="5"/>
  <c r="AF137" i="5" s="1"/>
  <c r="AE136" i="5"/>
  <c r="AF136" i="5" s="1"/>
  <c r="AE135" i="5"/>
  <c r="AF135" i="5" s="1"/>
  <c r="AE134" i="5"/>
  <c r="AE133" i="5"/>
  <c r="AF133" i="5" s="1"/>
  <c r="AE132" i="5"/>
  <c r="AF132" i="5" s="1"/>
  <c r="AE131" i="5"/>
  <c r="AF131" i="5" s="1"/>
  <c r="AE130" i="5"/>
  <c r="AF130" i="5" s="1"/>
  <c r="AE129" i="5"/>
  <c r="AF129" i="5" s="1"/>
  <c r="AE128" i="5"/>
  <c r="AF128" i="5" s="1"/>
  <c r="AE127" i="5"/>
  <c r="AF127" i="5" s="1"/>
  <c r="AE126" i="5"/>
  <c r="AE125" i="5"/>
  <c r="AF125" i="5" s="1"/>
  <c r="AE124" i="5"/>
  <c r="AF124" i="5" s="1"/>
  <c r="AE123" i="5"/>
  <c r="AF123" i="5" s="1"/>
  <c r="AE122" i="5"/>
  <c r="AF122" i="5" s="1"/>
  <c r="AE121" i="5"/>
  <c r="AF121" i="5" s="1"/>
  <c r="AE120" i="5"/>
  <c r="AF120" i="5" s="1"/>
  <c r="AE119" i="5"/>
  <c r="AF119" i="5" s="1"/>
  <c r="AE118" i="5"/>
  <c r="AF118" i="5" s="1"/>
  <c r="AE117" i="5"/>
  <c r="AF117" i="5" s="1"/>
  <c r="AE116" i="5"/>
  <c r="AF116" i="5" s="1"/>
  <c r="AE115" i="5"/>
  <c r="AF115" i="5" s="1"/>
  <c r="AE114" i="5"/>
  <c r="AF114" i="5" s="1"/>
  <c r="AE113" i="5"/>
  <c r="AF113" i="5" s="1"/>
  <c r="AE112" i="5"/>
  <c r="AF112" i="5" s="1"/>
  <c r="AE111" i="5"/>
  <c r="AF111" i="5" s="1"/>
  <c r="AE110" i="5"/>
  <c r="AF110" i="5" s="1"/>
  <c r="AE109" i="5"/>
  <c r="AF109" i="5" s="1"/>
  <c r="AE108" i="5"/>
  <c r="AF108" i="5" s="1"/>
  <c r="AE107" i="5"/>
  <c r="AF107" i="5" s="1"/>
  <c r="AE106" i="5"/>
  <c r="AF106" i="5" s="1"/>
  <c r="AE105" i="5"/>
  <c r="AF105" i="5" s="1"/>
  <c r="AE104" i="5"/>
  <c r="AF104" i="5" s="1"/>
  <c r="AE103" i="5"/>
  <c r="AF103" i="5" s="1"/>
  <c r="AE102" i="5"/>
  <c r="AF102" i="5" s="1"/>
  <c r="AE101" i="5"/>
  <c r="AF101" i="5" s="1"/>
  <c r="AE100" i="5"/>
  <c r="AF100" i="5" s="1"/>
  <c r="AE99" i="5"/>
  <c r="AF99" i="5" s="1"/>
  <c r="AE98" i="5"/>
  <c r="AF98" i="5" s="1"/>
  <c r="AE97" i="5"/>
  <c r="AF97" i="5" s="1"/>
  <c r="AE96" i="5"/>
  <c r="AF96" i="5" s="1"/>
  <c r="AE95" i="5"/>
  <c r="AF95" i="5" s="1"/>
  <c r="AE94" i="5"/>
  <c r="AE93" i="5"/>
  <c r="AF93" i="5" s="1"/>
  <c r="AE92" i="5"/>
  <c r="AF92" i="5" s="1"/>
  <c r="AE91" i="5"/>
  <c r="AF91" i="5" s="1"/>
  <c r="AE90" i="5"/>
  <c r="AF90" i="5" s="1"/>
  <c r="AE89" i="5"/>
  <c r="AF89" i="5" s="1"/>
  <c r="AE88" i="5"/>
  <c r="AF88" i="5" s="1"/>
  <c r="AE87" i="5"/>
  <c r="AF87" i="5" s="1"/>
  <c r="AE86" i="5"/>
  <c r="AF86" i="5" s="1"/>
  <c r="AE85" i="5"/>
  <c r="AF85" i="5" s="1"/>
  <c r="AE84" i="5"/>
  <c r="AF84" i="5" s="1"/>
  <c r="AE83" i="5"/>
  <c r="AF83" i="5" s="1"/>
  <c r="AE82" i="5"/>
  <c r="AF82" i="5" s="1"/>
  <c r="AE81" i="5"/>
  <c r="AF81" i="5" s="1"/>
  <c r="AE80" i="5"/>
  <c r="AF80" i="5" s="1"/>
  <c r="AE79" i="5"/>
  <c r="AF79" i="5" s="1"/>
  <c r="AE78" i="5"/>
  <c r="AF78" i="5" s="1"/>
  <c r="AE77" i="5"/>
  <c r="AF77" i="5" s="1"/>
  <c r="AE76" i="5"/>
  <c r="AF76" i="5" s="1"/>
  <c r="AE75" i="5"/>
  <c r="AF75" i="5" s="1"/>
  <c r="AE74" i="5"/>
  <c r="AF74" i="5" s="1"/>
  <c r="AE73" i="5"/>
  <c r="AF73" i="5" s="1"/>
  <c r="AE72" i="5"/>
  <c r="AF72" i="5" s="1"/>
  <c r="AE71" i="5"/>
  <c r="AF71" i="5" s="1"/>
  <c r="AE70" i="5"/>
  <c r="AE69" i="5"/>
  <c r="AF69" i="5" s="1"/>
  <c r="AE68" i="5"/>
  <c r="AF68" i="5" s="1"/>
  <c r="AE67" i="5"/>
  <c r="AF67" i="5" s="1"/>
  <c r="AE66" i="5"/>
  <c r="AF66" i="5" s="1"/>
  <c r="AE65" i="5"/>
  <c r="AF65" i="5" s="1"/>
  <c r="AE64" i="5"/>
  <c r="AF64" i="5" s="1"/>
  <c r="AE63" i="5"/>
  <c r="AF63" i="5" s="1"/>
  <c r="AE62" i="5"/>
  <c r="AF62" i="5" s="1"/>
  <c r="AE61" i="5"/>
  <c r="AF61" i="5" s="1"/>
  <c r="AE60" i="5"/>
  <c r="AF60" i="5" s="1"/>
  <c r="AE59" i="5"/>
  <c r="AF59" i="5" s="1"/>
  <c r="AE58" i="5"/>
  <c r="AF58" i="5" s="1"/>
  <c r="AE57" i="5"/>
  <c r="AF57" i="5" s="1"/>
  <c r="AE56" i="5"/>
  <c r="AF56" i="5" s="1"/>
  <c r="AE55" i="5"/>
  <c r="AF55" i="5" s="1"/>
  <c r="AE54" i="5"/>
  <c r="AF54" i="5" s="1"/>
  <c r="AE53" i="5"/>
  <c r="AF53" i="5" s="1"/>
  <c r="AE52" i="5"/>
  <c r="AF52" i="5" s="1"/>
  <c r="AE51" i="5"/>
  <c r="AF51" i="5" s="1"/>
  <c r="AE50" i="5"/>
  <c r="AF50" i="5" s="1"/>
  <c r="AE49" i="5"/>
  <c r="AF49" i="5" s="1"/>
  <c r="AE48" i="5"/>
  <c r="AF48" i="5" s="1"/>
  <c r="AE47" i="5"/>
  <c r="AF47" i="5" s="1"/>
  <c r="AE46" i="5"/>
  <c r="AF46" i="5" s="1"/>
  <c r="AE45" i="5"/>
  <c r="AF45" i="5" s="1"/>
  <c r="AE44" i="5"/>
  <c r="AF44" i="5" s="1"/>
  <c r="AE43" i="5"/>
  <c r="AF43" i="5" s="1"/>
  <c r="AE42" i="5"/>
  <c r="AF42" i="5" s="1"/>
  <c r="AE41" i="5"/>
  <c r="AF41" i="5" s="1"/>
  <c r="AE40" i="5"/>
  <c r="AF40" i="5" s="1"/>
  <c r="AE39" i="5"/>
  <c r="AF39" i="5" s="1"/>
  <c r="AE38" i="5"/>
  <c r="AE37" i="5"/>
  <c r="AF37" i="5" s="1"/>
  <c r="AE36" i="5"/>
  <c r="AF36" i="5" s="1"/>
  <c r="AE35" i="5"/>
  <c r="AF35" i="5" s="1"/>
  <c r="AE34" i="5"/>
  <c r="AF34" i="5" s="1"/>
  <c r="AE33" i="5"/>
  <c r="AF33" i="5" s="1"/>
  <c r="AE32" i="5"/>
  <c r="AF32" i="5" s="1"/>
  <c r="AE31" i="5"/>
  <c r="AF31" i="5" s="1"/>
  <c r="AE30" i="5"/>
  <c r="AE29" i="5"/>
  <c r="AF29" i="5" s="1"/>
  <c r="AE28" i="5"/>
  <c r="AF28" i="5" s="1"/>
  <c r="AE27" i="5"/>
  <c r="AF27" i="5" s="1"/>
  <c r="AE26" i="5"/>
  <c r="AF26" i="5" s="1"/>
  <c r="AE25" i="5"/>
  <c r="AF25" i="5" s="1"/>
  <c r="AE24" i="5"/>
  <c r="AF24" i="5" s="1"/>
  <c r="AE23" i="5"/>
  <c r="AF23" i="5" s="1"/>
  <c r="AE22" i="5"/>
  <c r="AF22" i="5" s="1"/>
  <c r="AE21" i="5"/>
  <c r="AF21" i="5" s="1"/>
  <c r="AE20" i="5"/>
  <c r="AF20" i="5" s="1"/>
  <c r="AE19" i="5"/>
  <c r="AF19" i="5" s="1"/>
  <c r="AE18" i="5"/>
  <c r="AF18" i="5" s="1"/>
  <c r="AE17" i="5"/>
  <c r="AF17" i="5" s="1"/>
  <c r="AE16" i="5"/>
  <c r="AF16" i="5" s="1"/>
  <c r="AE15" i="5"/>
  <c r="AF15" i="5" s="1"/>
  <c r="AE14" i="5"/>
  <c r="AF14" i="5" s="1"/>
  <c r="AE13" i="5"/>
  <c r="AF13" i="5" s="1"/>
  <c r="AE12" i="5"/>
  <c r="AF12" i="5" s="1"/>
  <c r="AE11" i="5"/>
  <c r="AF11" i="5" s="1"/>
  <c r="AE10" i="5"/>
  <c r="AF10" i="5" s="1"/>
  <c r="AE9" i="5"/>
  <c r="AF9" i="5" s="1"/>
  <c r="AE8" i="5"/>
  <c r="AF8" i="5" s="1"/>
  <c r="AE7" i="5"/>
  <c r="AF7" i="5" s="1"/>
  <c r="AE6" i="5"/>
  <c r="AE5" i="5"/>
  <c r="AF5" i="5" s="1"/>
  <c r="AE4" i="5"/>
  <c r="AF4" i="5" s="1"/>
  <c r="X191" i="5"/>
  <c r="X159" i="5"/>
  <c r="X95" i="5"/>
  <c r="W205" i="5"/>
  <c r="X205" i="5" s="1"/>
  <c r="W204" i="5"/>
  <c r="X204" i="5" s="1"/>
  <c r="W203" i="5"/>
  <c r="X203" i="5" s="1"/>
  <c r="W202" i="5"/>
  <c r="X202" i="5" s="1"/>
  <c r="W201" i="5"/>
  <c r="X201" i="5" s="1"/>
  <c r="W200" i="5"/>
  <c r="X200" i="5" s="1"/>
  <c r="W199" i="5"/>
  <c r="X199" i="5" s="1"/>
  <c r="W198" i="5"/>
  <c r="X198" i="5" s="1"/>
  <c r="W197" i="5"/>
  <c r="X197" i="5" s="1"/>
  <c r="W196" i="5"/>
  <c r="X196" i="5" s="1"/>
  <c r="W195" i="5"/>
  <c r="X195" i="5" s="1"/>
  <c r="W194" i="5"/>
  <c r="X194" i="5" s="1"/>
  <c r="W193" i="5"/>
  <c r="X193" i="5" s="1"/>
  <c r="W192" i="5"/>
  <c r="X192" i="5" s="1"/>
  <c r="W191" i="5"/>
  <c r="W190" i="5"/>
  <c r="X190" i="5" s="1"/>
  <c r="W189" i="5"/>
  <c r="X189" i="5" s="1"/>
  <c r="W188" i="5"/>
  <c r="X188" i="5" s="1"/>
  <c r="W187" i="5"/>
  <c r="X187" i="5" s="1"/>
  <c r="W186" i="5"/>
  <c r="X186" i="5" s="1"/>
  <c r="W185" i="5"/>
  <c r="X185" i="5" s="1"/>
  <c r="W184" i="5"/>
  <c r="X184" i="5" s="1"/>
  <c r="W183" i="5"/>
  <c r="X183" i="5" s="1"/>
  <c r="W182" i="5"/>
  <c r="X182" i="5" s="1"/>
  <c r="W181" i="5"/>
  <c r="X181" i="5" s="1"/>
  <c r="W180" i="5"/>
  <c r="X180" i="5" s="1"/>
  <c r="W179" i="5"/>
  <c r="X179" i="5" s="1"/>
  <c r="W178" i="5"/>
  <c r="X178" i="5" s="1"/>
  <c r="W177" i="5"/>
  <c r="X177" i="5" s="1"/>
  <c r="W176" i="5"/>
  <c r="X176" i="5" s="1"/>
  <c r="W175" i="5"/>
  <c r="X175" i="5" s="1"/>
  <c r="W174" i="5"/>
  <c r="X174" i="5" s="1"/>
  <c r="W173" i="5"/>
  <c r="X173" i="5" s="1"/>
  <c r="W172" i="5"/>
  <c r="X172" i="5" s="1"/>
  <c r="W171" i="5"/>
  <c r="X171" i="5" s="1"/>
  <c r="W170" i="5"/>
  <c r="X170" i="5" s="1"/>
  <c r="W169" i="5"/>
  <c r="X169" i="5" s="1"/>
  <c r="W168" i="5"/>
  <c r="X168" i="5" s="1"/>
  <c r="W167" i="5"/>
  <c r="X167" i="5" s="1"/>
  <c r="W166" i="5"/>
  <c r="X166" i="5" s="1"/>
  <c r="W165" i="5"/>
  <c r="X165" i="5" s="1"/>
  <c r="W164" i="5"/>
  <c r="X164" i="5" s="1"/>
  <c r="W163" i="5"/>
  <c r="X163" i="5" s="1"/>
  <c r="W162" i="5"/>
  <c r="X162" i="5" s="1"/>
  <c r="W161" i="5"/>
  <c r="X161" i="5" s="1"/>
  <c r="W160" i="5"/>
  <c r="X160" i="5" s="1"/>
  <c r="W159" i="5"/>
  <c r="W158" i="5"/>
  <c r="X158" i="5" s="1"/>
  <c r="W157" i="5"/>
  <c r="X157" i="5" s="1"/>
  <c r="W156" i="5"/>
  <c r="X156" i="5" s="1"/>
  <c r="W155" i="5"/>
  <c r="X155" i="5" s="1"/>
  <c r="W154" i="5"/>
  <c r="X154" i="5" s="1"/>
  <c r="W153" i="5"/>
  <c r="X153" i="5" s="1"/>
  <c r="W152" i="5"/>
  <c r="X152" i="5" s="1"/>
  <c r="W151" i="5"/>
  <c r="X151" i="5" s="1"/>
  <c r="W150" i="5"/>
  <c r="X150" i="5" s="1"/>
  <c r="W149" i="5"/>
  <c r="X149" i="5" s="1"/>
  <c r="W148" i="5"/>
  <c r="X148" i="5" s="1"/>
  <c r="W147" i="5"/>
  <c r="X147" i="5" s="1"/>
  <c r="W146" i="5"/>
  <c r="X146" i="5" s="1"/>
  <c r="W145" i="5"/>
  <c r="X145" i="5" s="1"/>
  <c r="W144" i="5"/>
  <c r="X144" i="5" s="1"/>
  <c r="W143" i="5"/>
  <c r="X143" i="5" s="1"/>
  <c r="W142" i="5"/>
  <c r="X142" i="5" s="1"/>
  <c r="W141" i="5"/>
  <c r="X141" i="5" s="1"/>
  <c r="W140" i="5"/>
  <c r="X140" i="5" s="1"/>
  <c r="W139" i="5"/>
  <c r="X139" i="5" s="1"/>
  <c r="W138" i="5"/>
  <c r="X138" i="5" s="1"/>
  <c r="W137" i="5"/>
  <c r="X137" i="5" s="1"/>
  <c r="W136" i="5"/>
  <c r="X136" i="5" s="1"/>
  <c r="W135" i="5"/>
  <c r="X135" i="5" s="1"/>
  <c r="W134" i="5"/>
  <c r="X134" i="5" s="1"/>
  <c r="W133" i="5"/>
  <c r="X133" i="5" s="1"/>
  <c r="W132" i="5"/>
  <c r="X132" i="5" s="1"/>
  <c r="W131" i="5"/>
  <c r="X131" i="5" s="1"/>
  <c r="W130" i="5"/>
  <c r="X130" i="5" s="1"/>
  <c r="W129" i="5"/>
  <c r="X129" i="5" s="1"/>
  <c r="W128" i="5"/>
  <c r="X128" i="5" s="1"/>
  <c r="W127" i="5"/>
  <c r="X127" i="5" s="1"/>
  <c r="W126" i="5"/>
  <c r="X126" i="5" s="1"/>
  <c r="W125" i="5"/>
  <c r="X125" i="5" s="1"/>
  <c r="W124" i="5"/>
  <c r="X124" i="5" s="1"/>
  <c r="W123" i="5"/>
  <c r="X123" i="5" s="1"/>
  <c r="W122" i="5"/>
  <c r="X122" i="5" s="1"/>
  <c r="W121" i="5"/>
  <c r="X121" i="5" s="1"/>
  <c r="W120" i="5"/>
  <c r="X120" i="5" s="1"/>
  <c r="W119" i="5"/>
  <c r="X119" i="5" s="1"/>
  <c r="W118" i="5"/>
  <c r="X118" i="5" s="1"/>
  <c r="W117" i="5"/>
  <c r="X117" i="5" s="1"/>
  <c r="W116" i="5"/>
  <c r="X116" i="5" s="1"/>
  <c r="W115" i="5"/>
  <c r="X115" i="5" s="1"/>
  <c r="W114" i="5"/>
  <c r="X114" i="5" s="1"/>
  <c r="W113" i="5"/>
  <c r="X113" i="5" s="1"/>
  <c r="W112" i="5"/>
  <c r="X112" i="5" s="1"/>
  <c r="W111" i="5"/>
  <c r="X111" i="5" s="1"/>
  <c r="W110" i="5"/>
  <c r="X110" i="5" s="1"/>
  <c r="W109" i="5"/>
  <c r="X109" i="5" s="1"/>
  <c r="W108" i="5"/>
  <c r="X108" i="5" s="1"/>
  <c r="W107" i="5"/>
  <c r="X107" i="5" s="1"/>
  <c r="W106" i="5"/>
  <c r="X106" i="5" s="1"/>
  <c r="W105" i="5"/>
  <c r="X105" i="5" s="1"/>
  <c r="W104" i="5"/>
  <c r="X104" i="5" s="1"/>
  <c r="W103" i="5"/>
  <c r="X103" i="5" s="1"/>
  <c r="W102" i="5"/>
  <c r="X102" i="5" s="1"/>
  <c r="W101" i="5"/>
  <c r="X101" i="5" s="1"/>
  <c r="W100" i="5"/>
  <c r="X100" i="5" s="1"/>
  <c r="W99" i="5"/>
  <c r="X99" i="5" s="1"/>
  <c r="W98" i="5"/>
  <c r="X98" i="5" s="1"/>
  <c r="W97" i="5"/>
  <c r="X97" i="5" s="1"/>
  <c r="W96" i="5"/>
  <c r="X96" i="5" s="1"/>
  <c r="W95" i="5"/>
  <c r="W94" i="5"/>
  <c r="X94" i="5" s="1"/>
  <c r="W93" i="5"/>
  <c r="X93" i="5" s="1"/>
  <c r="W92" i="5"/>
  <c r="X92" i="5" s="1"/>
  <c r="W91" i="5"/>
  <c r="X91" i="5" s="1"/>
  <c r="W90" i="5"/>
  <c r="X90" i="5" s="1"/>
  <c r="W89" i="5"/>
  <c r="X89" i="5" s="1"/>
  <c r="W88" i="5"/>
  <c r="X88" i="5" s="1"/>
  <c r="W87" i="5"/>
  <c r="X87" i="5" s="1"/>
  <c r="W86" i="5"/>
  <c r="X86" i="5" s="1"/>
  <c r="W85" i="5"/>
  <c r="X85" i="5" s="1"/>
  <c r="W84" i="5"/>
  <c r="X84" i="5" s="1"/>
  <c r="W83" i="5"/>
  <c r="X83" i="5" s="1"/>
  <c r="W82" i="5"/>
  <c r="X82" i="5" s="1"/>
  <c r="W81" i="5"/>
  <c r="X81" i="5" s="1"/>
  <c r="W80" i="5"/>
  <c r="X80" i="5" s="1"/>
  <c r="W79" i="5"/>
  <c r="X79" i="5" s="1"/>
  <c r="W78" i="5"/>
  <c r="X78" i="5" s="1"/>
  <c r="W77" i="5"/>
  <c r="X77" i="5" s="1"/>
  <c r="W76" i="5"/>
  <c r="X76" i="5" s="1"/>
  <c r="W75" i="5"/>
  <c r="X75" i="5" s="1"/>
  <c r="W74" i="5"/>
  <c r="X74" i="5" s="1"/>
  <c r="W73" i="5"/>
  <c r="X73" i="5" s="1"/>
  <c r="W72" i="5"/>
  <c r="X72" i="5" s="1"/>
  <c r="W71" i="5"/>
  <c r="X71" i="5" s="1"/>
  <c r="W70" i="5"/>
  <c r="X70" i="5" s="1"/>
  <c r="W69" i="5"/>
  <c r="X69" i="5" s="1"/>
  <c r="W68" i="5"/>
  <c r="X68" i="5" s="1"/>
  <c r="W67" i="5"/>
  <c r="X67" i="5" s="1"/>
  <c r="W66" i="5"/>
  <c r="X66" i="5" s="1"/>
  <c r="W65" i="5"/>
  <c r="X65" i="5" s="1"/>
  <c r="W64" i="5"/>
  <c r="X64" i="5" s="1"/>
  <c r="W63" i="5"/>
  <c r="X63" i="5" s="1"/>
  <c r="W62" i="5"/>
  <c r="X62" i="5" s="1"/>
  <c r="W61" i="5"/>
  <c r="X61" i="5" s="1"/>
  <c r="W60" i="5"/>
  <c r="X60" i="5" s="1"/>
  <c r="W59" i="5"/>
  <c r="X59" i="5" s="1"/>
  <c r="W58" i="5"/>
  <c r="X58" i="5" s="1"/>
  <c r="W57" i="5"/>
  <c r="X57" i="5" s="1"/>
  <c r="W56" i="5"/>
  <c r="X56" i="5" s="1"/>
  <c r="W55" i="5"/>
  <c r="X55" i="5" s="1"/>
  <c r="W54" i="5"/>
  <c r="X54" i="5" s="1"/>
  <c r="W53" i="5"/>
  <c r="X53" i="5" s="1"/>
  <c r="W52" i="5"/>
  <c r="X52" i="5" s="1"/>
  <c r="W51" i="5"/>
  <c r="X51" i="5" s="1"/>
  <c r="W50" i="5"/>
  <c r="X50" i="5" s="1"/>
  <c r="W49" i="5"/>
  <c r="X49" i="5" s="1"/>
  <c r="W48" i="5"/>
  <c r="X48" i="5" s="1"/>
  <c r="W47" i="5"/>
  <c r="X47" i="5" s="1"/>
  <c r="W46" i="5"/>
  <c r="X46" i="5" s="1"/>
  <c r="W45" i="5"/>
  <c r="X45" i="5" s="1"/>
  <c r="W44" i="5"/>
  <c r="X44" i="5" s="1"/>
  <c r="W43" i="5"/>
  <c r="X43" i="5" s="1"/>
  <c r="W42" i="5"/>
  <c r="X42" i="5" s="1"/>
  <c r="W41" i="5"/>
  <c r="X41" i="5" s="1"/>
  <c r="W40" i="5"/>
  <c r="X40" i="5" s="1"/>
  <c r="W39" i="5"/>
  <c r="X39" i="5" s="1"/>
  <c r="W38" i="5"/>
  <c r="X38" i="5" s="1"/>
  <c r="W37" i="5"/>
  <c r="X37" i="5" s="1"/>
  <c r="W36" i="5"/>
  <c r="X36" i="5" s="1"/>
  <c r="W35" i="5"/>
  <c r="X35" i="5" s="1"/>
  <c r="W34" i="5"/>
  <c r="X34" i="5" s="1"/>
  <c r="W33" i="5"/>
  <c r="X33" i="5" s="1"/>
  <c r="W32" i="5"/>
  <c r="X32" i="5" s="1"/>
  <c r="W31" i="5"/>
  <c r="X31" i="5" s="1"/>
  <c r="W30" i="5"/>
  <c r="X30" i="5" s="1"/>
  <c r="W29" i="5"/>
  <c r="X29" i="5" s="1"/>
  <c r="W28" i="5"/>
  <c r="X28" i="5" s="1"/>
  <c r="W27" i="5"/>
  <c r="X27" i="5" s="1"/>
  <c r="W26" i="5"/>
  <c r="X26" i="5" s="1"/>
  <c r="W25" i="5"/>
  <c r="X25" i="5" s="1"/>
  <c r="W24" i="5"/>
  <c r="X24" i="5" s="1"/>
  <c r="W23" i="5"/>
  <c r="X23" i="5" s="1"/>
  <c r="W22" i="5"/>
  <c r="X22" i="5" s="1"/>
  <c r="W21" i="5"/>
  <c r="X21" i="5" s="1"/>
  <c r="W20" i="5"/>
  <c r="X20" i="5" s="1"/>
  <c r="W19" i="5"/>
  <c r="X19" i="5" s="1"/>
  <c r="W18" i="5"/>
  <c r="X18" i="5" s="1"/>
  <c r="W17" i="5"/>
  <c r="X17" i="5" s="1"/>
  <c r="W16" i="5"/>
  <c r="X16" i="5" s="1"/>
  <c r="W15" i="5"/>
  <c r="X15" i="5" s="1"/>
  <c r="W14" i="5"/>
  <c r="X14" i="5" s="1"/>
  <c r="W13" i="5"/>
  <c r="X13" i="5" s="1"/>
  <c r="W12" i="5"/>
  <c r="X12" i="5" s="1"/>
  <c r="W11" i="5"/>
  <c r="X11" i="5" s="1"/>
  <c r="W10" i="5"/>
  <c r="X10" i="5" s="1"/>
  <c r="W9" i="5"/>
  <c r="X9" i="5" s="1"/>
  <c r="W8" i="5"/>
  <c r="X8" i="5" s="1"/>
  <c r="W7" i="5"/>
  <c r="X7" i="5" s="1"/>
  <c r="W6" i="5"/>
  <c r="X6" i="5" s="1"/>
  <c r="W5" i="5"/>
  <c r="X5" i="5" s="1"/>
  <c r="W4" i="5"/>
  <c r="X4" i="5" s="1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J1143" i="1" l="1"/>
  <c r="BA1143" i="1" s="1"/>
  <c r="J1142" i="1"/>
  <c r="BA1142" i="1" s="1"/>
  <c r="J1141" i="1"/>
  <c r="BA1141" i="1" s="1"/>
  <c r="D1143" i="1"/>
  <c r="AW1143" i="1" s="1"/>
  <c r="D1142" i="1"/>
  <c r="AW1142" i="1" s="1"/>
  <c r="D1141" i="1"/>
  <c r="AW1141" i="1" s="1"/>
  <c r="D609" i="1"/>
  <c r="AW609" i="1" s="1"/>
  <c r="L1143" i="1" l="1"/>
  <c r="BB1143" i="1" s="1"/>
  <c r="L1141" i="1"/>
  <c r="BB1141" i="1" s="1"/>
  <c r="L1142" i="1"/>
  <c r="BB1142" i="1" s="1"/>
  <c r="L1243" i="1" l="1"/>
  <c r="BB1243" i="1" s="1"/>
  <c r="L704" i="1" l="1"/>
  <c r="BB704" i="1" s="1"/>
  <c r="L705" i="1"/>
  <c r="BB705" i="1" s="1"/>
  <c r="L706" i="1"/>
  <c r="BB706" i="1" s="1"/>
  <c r="L707" i="1"/>
  <c r="BB707" i="1" s="1"/>
  <c r="B706" i="1"/>
  <c r="AU706" i="1" s="1"/>
  <c r="B704" i="1"/>
  <c r="AU704" i="1" s="1"/>
  <c r="R706" i="1" l="1"/>
  <c r="R704" i="1"/>
  <c r="O459" i="1"/>
  <c r="AY459" i="1" s="1"/>
  <c r="O458" i="1"/>
  <c r="AY458" i="1" s="1"/>
  <c r="O457" i="1"/>
  <c r="AY457" i="1" s="1"/>
  <c r="O456" i="1"/>
  <c r="AY456" i="1" s="1"/>
  <c r="O455" i="1"/>
  <c r="AY455" i="1" s="1"/>
  <c r="O454" i="1"/>
  <c r="AY454" i="1" s="1"/>
  <c r="O452" i="1"/>
  <c r="AY452" i="1" s="1"/>
  <c r="O451" i="1"/>
  <c r="AY451" i="1" s="1"/>
  <c r="L562" i="1" l="1"/>
  <c r="BB562" i="1" s="1"/>
  <c r="L561" i="1"/>
  <c r="BB561" i="1" s="1"/>
  <c r="L560" i="1"/>
  <c r="BB560" i="1" s="1"/>
  <c r="L559" i="1"/>
  <c r="BB559" i="1" s="1"/>
  <c r="L558" i="1"/>
  <c r="BB558" i="1" s="1"/>
  <c r="L557" i="1"/>
  <c r="BB557" i="1" s="1"/>
  <c r="L556" i="1"/>
  <c r="BB556" i="1" s="1"/>
  <c r="L555" i="1"/>
  <c r="BB555" i="1" s="1"/>
  <c r="L554" i="1"/>
  <c r="BB554" i="1" s="1"/>
  <c r="D562" i="1"/>
  <c r="AW562" i="1" s="1"/>
  <c r="D561" i="1"/>
  <c r="AW561" i="1" s="1"/>
  <c r="D560" i="1"/>
  <c r="AW560" i="1" s="1"/>
  <c r="D559" i="1"/>
  <c r="AW559" i="1" s="1"/>
  <c r="D558" i="1"/>
  <c r="AW558" i="1" s="1"/>
  <c r="D557" i="1"/>
  <c r="AW557" i="1" s="1"/>
  <c r="D556" i="1"/>
  <c r="AW556" i="1" s="1"/>
  <c r="D555" i="1"/>
  <c r="AW555" i="1" s="1"/>
  <c r="D554" i="1"/>
  <c r="AW554" i="1" s="1"/>
  <c r="L21" i="1"/>
  <c r="BB21" i="1" s="1"/>
  <c r="L52" i="1"/>
  <c r="BB52" i="1" s="1"/>
  <c r="L431" i="1"/>
  <c r="BB431" i="1" s="1"/>
  <c r="L1124" i="1"/>
  <c r="BB1124" i="1" s="1"/>
  <c r="L1123" i="1"/>
  <c r="BB1123" i="1" s="1"/>
  <c r="L1122" i="1"/>
  <c r="BB1122" i="1" s="1"/>
  <c r="L1121" i="1"/>
  <c r="BB1121" i="1" s="1"/>
  <c r="L1120" i="1"/>
  <c r="BB1120" i="1" s="1"/>
  <c r="L1119" i="1"/>
  <c r="BB1119" i="1" s="1"/>
  <c r="L1118" i="1"/>
  <c r="BB1118" i="1" s="1"/>
  <c r="L1117" i="1"/>
  <c r="BB1117" i="1" s="1"/>
  <c r="L1116" i="1"/>
  <c r="BB1116" i="1" s="1"/>
  <c r="L1115" i="1"/>
  <c r="BB1115" i="1" s="1"/>
  <c r="L498" i="1"/>
  <c r="BB498" i="1" s="1"/>
  <c r="L497" i="1"/>
  <c r="BB497" i="1" s="1"/>
  <c r="L142" i="1"/>
  <c r="BB142" i="1" s="1"/>
  <c r="L141" i="1"/>
  <c r="BB141" i="1" s="1"/>
  <c r="L140" i="1"/>
  <c r="BB140" i="1" s="1"/>
  <c r="L139" i="1"/>
  <c r="BB139" i="1" s="1"/>
  <c r="L138" i="1"/>
  <c r="BB138" i="1" s="1"/>
  <c r="L137" i="1"/>
  <c r="BB137" i="1" s="1"/>
  <c r="L144" i="1"/>
  <c r="BB144" i="1" s="1"/>
  <c r="L143" i="1"/>
  <c r="BB143" i="1" s="1"/>
  <c r="L1140" i="1"/>
  <c r="BB1140" i="1" s="1"/>
  <c r="L1139" i="1"/>
  <c r="BB1139" i="1" s="1"/>
  <c r="L1138" i="1"/>
  <c r="BB1138" i="1" s="1"/>
  <c r="L1137" i="1"/>
  <c r="BB1137" i="1" s="1"/>
  <c r="L1136" i="1"/>
  <c r="BB1136" i="1" s="1"/>
  <c r="L1135" i="1"/>
  <c r="BB1135" i="1" s="1"/>
  <c r="L1134" i="1"/>
  <c r="BB1134" i="1" s="1"/>
  <c r="L1133" i="1"/>
  <c r="BB1133" i="1" s="1"/>
  <c r="L1132" i="1"/>
  <c r="BB1132" i="1" s="1"/>
  <c r="L1131" i="1"/>
  <c r="BB1131" i="1" s="1"/>
  <c r="L1130" i="1"/>
  <c r="BB1130" i="1" s="1"/>
  <c r="L1129" i="1"/>
  <c r="BB1129" i="1" s="1"/>
  <c r="L1128" i="1"/>
  <c r="BB1128" i="1" s="1"/>
  <c r="L1127" i="1"/>
  <c r="BB1127" i="1" s="1"/>
  <c r="L1126" i="1"/>
  <c r="BB1126" i="1" s="1"/>
  <c r="L1125" i="1"/>
  <c r="BB1125" i="1" s="1"/>
  <c r="L74" i="1"/>
  <c r="BB74" i="1" s="1"/>
  <c r="L73" i="1"/>
  <c r="BB73" i="1" s="1"/>
  <c r="L72" i="1"/>
  <c r="BB72" i="1" s="1"/>
  <c r="L71" i="1"/>
  <c r="BB71" i="1" s="1"/>
  <c r="L70" i="1"/>
  <c r="BB70" i="1" s="1"/>
  <c r="L69" i="1"/>
  <c r="BB69" i="1" s="1"/>
  <c r="L68" i="1"/>
  <c r="BB68" i="1" s="1"/>
  <c r="L67" i="1"/>
  <c r="BB67" i="1" s="1"/>
  <c r="L66" i="1"/>
  <c r="BB66" i="1" s="1"/>
  <c r="L119" i="1"/>
  <c r="BB119" i="1" s="1"/>
  <c r="L18" i="1"/>
  <c r="BB18" i="1" s="1"/>
  <c r="L19" i="1"/>
  <c r="BB19" i="1" s="1"/>
  <c r="L136" i="1"/>
  <c r="BB136" i="1" s="1"/>
  <c r="L135" i="1"/>
  <c r="BB135" i="1" s="1"/>
  <c r="L134" i="1"/>
  <c r="BB134" i="1" s="1"/>
  <c r="L133" i="1"/>
  <c r="BB133" i="1" s="1"/>
  <c r="L65" i="1"/>
  <c r="BB65" i="1" s="1"/>
  <c r="L64" i="1"/>
  <c r="BB64" i="1" s="1"/>
  <c r="L63" i="1"/>
  <c r="BB63" i="1" s="1"/>
  <c r="L62" i="1"/>
  <c r="BB62" i="1" s="1"/>
  <c r="L61" i="1"/>
  <c r="BB61" i="1" s="1"/>
  <c r="L60" i="1"/>
  <c r="BB60" i="1" s="1"/>
  <c r="L59" i="1"/>
  <c r="BB59" i="1" s="1"/>
  <c r="L58" i="1"/>
  <c r="BB58" i="1" s="1"/>
  <c r="L57" i="1"/>
  <c r="BB57" i="1" s="1"/>
  <c r="L56" i="1"/>
  <c r="BB56" i="1" s="1"/>
  <c r="L42" i="1"/>
  <c r="BB42" i="1" s="1"/>
  <c r="L172" i="1"/>
  <c r="BB172" i="1" s="1"/>
  <c r="L171" i="1"/>
  <c r="BB171" i="1" s="1"/>
  <c r="L170" i="1"/>
  <c r="BB170" i="1" s="1"/>
  <c r="L169" i="1"/>
  <c r="BB169" i="1" s="1"/>
  <c r="L168" i="1"/>
  <c r="BB168" i="1" s="1"/>
  <c r="L167" i="1"/>
  <c r="BB167" i="1" s="1"/>
  <c r="L166" i="1"/>
  <c r="BB166" i="1" s="1"/>
  <c r="L165" i="1"/>
  <c r="BB165" i="1" s="1"/>
  <c r="BB1301" i="1"/>
  <c r="BB1296" i="1"/>
  <c r="BB1293" i="1"/>
  <c r="L92" i="1"/>
  <c r="BB92" i="1" s="1"/>
  <c r="L51" i="1"/>
  <c r="BB51" i="1" s="1"/>
  <c r="L50" i="1"/>
  <c r="BB50" i="1" s="1"/>
  <c r="L692" i="1"/>
  <c r="BB692" i="1" s="1"/>
  <c r="BB1299" i="1"/>
  <c r="BB1298" i="1"/>
  <c r="BB1300" i="1"/>
  <c r="BB1297" i="1"/>
  <c r="BB1295" i="1"/>
  <c r="L728" i="1"/>
  <c r="BB728" i="1" s="1"/>
  <c r="BB1294" i="1"/>
  <c r="L876" i="1"/>
  <c r="BB876" i="1" s="1"/>
  <c r="BB653" i="1"/>
  <c r="BB652" i="1"/>
  <c r="BB651" i="1"/>
  <c r="BB650" i="1"/>
  <c r="BB649" i="1"/>
  <c r="BB648" i="1"/>
  <c r="L118" i="1"/>
  <c r="BB118" i="1" s="1"/>
  <c r="L49" i="1"/>
  <c r="BB49" i="1" s="1"/>
  <c r="L22" i="1"/>
  <c r="BB22" i="1" s="1"/>
  <c r="L93" i="1"/>
  <c r="BB93" i="1" s="1"/>
  <c r="L91" i="1"/>
  <c r="BB91" i="1" s="1"/>
  <c r="L893" i="1"/>
  <c r="BB893" i="1" s="1"/>
  <c r="L892" i="1"/>
  <c r="BB892" i="1" s="1"/>
  <c r="L891" i="1"/>
  <c r="BB891" i="1" s="1"/>
  <c r="L691" i="1"/>
  <c r="BB691" i="1" s="1"/>
  <c r="L690" i="1"/>
  <c r="BB690" i="1" s="1"/>
  <c r="L241" i="1"/>
  <c r="BB241" i="1" s="1"/>
  <c r="L240" i="1"/>
  <c r="BB240" i="1" s="1"/>
  <c r="L242" i="1"/>
  <c r="BB242" i="1" s="1"/>
  <c r="L449" i="1"/>
  <c r="BB449" i="1" s="1"/>
  <c r="L448" i="1"/>
  <c r="BB448" i="1" s="1"/>
  <c r="L400" i="1"/>
  <c r="BB400" i="1" s="1"/>
  <c r="L191" i="1"/>
  <c r="BB191" i="1" s="1"/>
  <c r="L190" i="1"/>
  <c r="BB190" i="1" s="1"/>
  <c r="L226" i="1"/>
  <c r="BB226" i="1" s="1"/>
  <c r="L225" i="1"/>
  <c r="BB225" i="1" s="1"/>
  <c r="L224" i="1"/>
  <c r="BB224" i="1" s="1"/>
  <c r="L223" i="1"/>
  <c r="BB223" i="1" s="1"/>
  <c r="L222" i="1"/>
  <c r="BB222" i="1" s="1"/>
  <c r="L221" i="1"/>
  <c r="BB221" i="1" s="1"/>
  <c r="L220" i="1"/>
  <c r="BB220" i="1" s="1"/>
  <c r="L350" i="1"/>
  <c r="BB350" i="1" s="1"/>
  <c r="L349" i="1"/>
  <c r="BB349" i="1" s="1"/>
  <c r="L348" i="1"/>
  <c r="BB348" i="1" s="1"/>
  <c r="L347" i="1"/>
  <c r="BB347" i="1" s="1"/>
  <c r="L346" i="1"/>
  <c r="BB346" i="1" s="1"/>
  <c r="L345" i="1"/>
  <c r="BB345" i="1" s="1"/>
  <c r="L286" i="1"/>
  <c r="BB286" i="1" s="1"/>
  <c r="L90" i="1"/>
  <c r="BB90" i="1" s="1"/>
  <c r="L89" i="1"/>
  <c r="BB89" i="1" s="1"/>
  <c r="L88" i="1"/>
  <c r="BB88" i="1" s="1"/>
  <c r="L87" i="1"/>
  <c r="BB87" i="1" s="1"/>
  <c r="L132" i="1"/>
  <c r="BB132" i="1" s="1"/>
  <c r="L34" i="1"/>
  <c r="BB34" i="1" s="1"/>
  <c r="L33" i="1"/>
  <c r="BB33" i="1" s="1"/>
  <c r="L32" i="1"/>
  <c r="BB32" i="1" s="1"/>
  <c r="L31" i="1"/>
  <c r="BB31" i="1" s="1"/>
  <c r="L30" i="1"/>
  <c r="BB30" i="1" s="1"/>
  <c r="L29" i="1"/>
  <c r="BB29" i="1" s="1"/>
  <c r="L28" i="1"/>
  <c r="BB28" i="1" s="1"/>
  <c r="L27" i="1"/>
  <c r="BB27" i="1" s="1"/>
  <c r="L26" i="1"/>
  <c r="BB26" i="1" s="1"/>
  <c r="L25" i="1"/>
  <c r="BB25" i="1" s="1"/>
  <c r="L184" i="1"/>
  <c r="BB184" i="1" s="1"/>
  <c r="L183" i="1"/>
  <c r="BB183" i="1" s="1"/>
  <c r="L182" i="1"/>
  <c r="BB182" i="1" s="1"/>
  <c r="L181" i="1"/>
  <c r="BB181" i="1" s="1"/>
  <c r="L180" i="1"/>
  <c r="BB180" i="1" s="1"/>
  <c r="L179" i="1"/>
  <c r="BB179" i="1" s="1"/>
  <c r="L178" i="1"/>
  <c r="BB178" i="1" s="1"/>
  <c r="L177" i="1"/>
  <c r="BB177" i="1" s="1"/>
  <c r="L176" i="1"/>
  <c r="BB176" i="1" s="1"/>
  <c r="L175" i="1"/>
  <c r="BB175" i="1" s="1"/>
  <c r="L551" i="1"/>
  <c r="BB551" i="1" s="1"/>
  <c r="L342" i="1"/>
  <c r="BB342" i="1" s="1"/>
  <c r="L540" i="1"/>
  <c r="BB540" i="1" s="1"/>
  <c r="L415" i="1"/>
  <c r="BB415" i="1" s="1"/>
  <c r="L414" i="1"/>
  <c r="BB414" i="1" s="1"/>
  <c r="L413" i="1"/>
  <c r="BB413" i="1" s="1"/>
  <c r="L412" i="1"/>
  <c r="BB412" i="1" s="1"/>
  <c r="L416" i="1"/>
  <c r="BB416" i="1" s="1"/>
  <c r="L494" i="1"/>
  <c r="BB494" i="1" s="1"/>
  <c r="L270" i="1"/>
  <c r="BB270" i="1" s="1"/>
  <c r="L269" i="1"/>
  <c r="BB269" i="1" s="1"/>
  <c r="L247" i="1"/>
  <c r="BB247" i="1" s="1"/>
  <c r="L246" i="1"/>
  <c r="BB246" i="1" s="1"/>
  <c r="L257" i="1"/>
  <c r="BB257" i="1" s="1"/>
  <c r="L256" i="1"/>
  <c r="BB256" i="1" s="1"/>
  <c r="L255" i="1"/>
  <c r="BB255" i="1" s="1"/>
  <c r="L254" i="1"/>
  <c r="BB254" i="1" s="1"/>
  <c r="L253" i="1"/>
  <c r="BB253" i="1" s="1"/>
  <c r="L252" i="1"/>
  <c r="BB252" i="1" s="1"/>
  <c r="L447" i="1"/>
  <c r="BB447" i="1" s="1"/>
  <c r="L446" i="1"/>
  <c r="BB446" i="1" s="1"/>
  <c r="L390" i="1"/>
  <c r="BB390" i="1" s="1"/>
  <c r="L389" i="1"/>
  <c r="BB389" i="1" s="1"/>
  <c r="L388" i="1"/>
  <c r="BB388" i="1" s="1"/>
  <c r="L387" i="1"/>
  <c r="BB387" i="1" s="1"/>
  <c r="L481" i="1"/>
  <c r="BB481" i="1" s="1"/>
  <c r="L508" i="1"/>
  <c r="BB508" i="1" s="1"/>
  <c r="L507" i="1"/>
  <c r="BB507" i="1" s="1"/>
  <c r="L506" i="1"/>
  <c r="BB506" i="1" s="1"/>
  <c r="L505" i="1"/>
  <c r="BB505" i="1" s="1"/>
  <c r="L504" i="1"/>
  <c r="BB504" i="1" s="1"/>
  <c r="L503" i="1"/>
  <c r="BB503" i="1" s="1"/>
  <c r="L502" i="1"/>
  <c r="BB502" i="1" s="1"/>
  <c r="L501" i="1"/>
  <c r="BB501" i="1" s="1"/>
  <c r="L283" i="1"/>
  <c r="BB283" i="1" s="1"/>
  <c r="L282" i="1"/>
  <c r="BB282" i="1" s="1"/>
  <c r="L1017" i="1"/>
  <c r="BB1017" i="1" s="1"/>
  <c r="L1016" i="1"/>
  <c r="BB1016" i="1" s="1"/>
  <c r="L509" i="1"/>
  <c r="BB509" i="1" s="1"/>
  <c r="L757" i="1"/>
  <c r="BB757" i="1" s="1"/>
  <c r="L756" i="1"/>
  <c r="BB756" i="1" s="1"/>
  <c r="L755" i="1"/>
  <c r="BB755" i="1" s="1"/>
  <c r="L754" i="1"/>
  <c r="BB754" i="1" s="1"/>
  <c r="L753" i="1"/>
  <c r="BB753" i="1" s="1"/>
  <c r="L752" i="1"/>
  <c r="BB752" i="1" s="1"/>
  <c r="L751" i="1"/>
  <c r="BB751" i="1" s="1"/>
  <c r="L750" i="1"/>
  <c r="BB750" i="1" s="1"/>
  <c r="L749" i="1"/>
  <c r="BB749" i="1" s="1"/>
  <c r="L748" i="1"/>
  <c r="BB748" i="1" s="1"/>
  <c r="L747" i="1"/>
  <c r="BB747" i="1" s="1"/>
  <c r="L746" i="1"/>
  <c r="BB746" i="1" s="1"/>
  <c r="L745" i="1"/>
  <c r="BB745" i="1" s="1"/>
  <c r="L744" i="1"/>
  <c r="BB744" i="1" s="1"/>
  <c r="L743" i="1"/>
  <c r="BB743" i="1" s="1"/>
  <c r="L742" i="1"/>
  <c r="BB742" i="1" s="1"/>
  <c r="L741" i="1"/>
  <c r="BB741" i="1" s="1"/>
  <c r="L740" i="1"/>
  <c r="BB740" i="1" s="1"/>
  <c r="L739" i="1"/>
  <c r="BB739" i="1" s="1"/>
  <c r="L738" i="1"/>
  <c r="BB738" i="1" s="1"/>
  <c r="L737" i="1"/>
  <c r="BB737" i="1" s="1"/>
  <c r="L736" i="1"/>
  <c r="BB736" i="1" s="1"/>
  <c r="L735" i="1"/>
  <c r="BB735" i="1" s="1"/>
  <c r="L734" i="1"/>
  <c r="BB734" i="1" s="1"/>
  <c r="L733" i="1"/>
  <c r="BB733" i="1" s="1"/>
  <c r="L732" i="1"/>
  <c r="BB732" i="1" s="1"/>
  <c r="L731" i="1"/>
  <c r="BB731" i="1" s="1"/>
  <c r="L730" i="1"/>
  <c r="BB730" i="1" s="1"/>
  <c r="L729" i="1"/>
  <c r="BB729" i="1" s="1"/>
  <c r="L1150" i="1"/>
  <c r="BB1150" i="1" s="1"/>
  <c r="L1149" i="1"/>
  <c r="BB1149" i="1" s="1"/>
  <c r="L1148" i="1"/>
  <c r="BB1148" i="1" s="1"/>
  <c r="L1147" i="1"/>
  <c r="BB1147" i="1" s="1"/>
  <c r="L1146" i="1"/>
  <c r="BB1146" i="1" s="1"/>
  <c r="L1145" i="1"/>
  <c r="BB1145" i="1" s="1"/>
  <c r="L1144" i="1"/>
  <c r="BB1144" i="1" s="1"/>
  <c r="L668" i="1"/>
  <c r="BB668" i="1" s="1"/>
  <c r="L667" i="1"/>
  <c r="BB667" i="1" s="1"/>
  <c r="L724" i="1"/>
  <c r="BB724" i="1" s="1"/>
  <c r="L815" i="1"/>
  <c r="BB815" i="1" s="1"/>
  <c r="L392" i="1"/>
  <c r="BB392" i="1" s="1"/>
  <c r="L913" i="1"/>
  <c r="BB913" i="1" s="1"/>
  <c r="L258" i="1"/>
  <c r="BB258" i="1" s="1"/>
  <c r="L844" i="1"/>
  <c r="BB844" i="1" s="1"/>
  <c r="L798" i="1"/>
  <c r="BB798" i="1" s="1"/>
  <c r="L848" i="1"/>
  <c r="BB848" i="1" s="1"/>
  <c r="L847" i="1"/>
  <c r="BB847" i="1" s="1"/>
  <c r="L825" i="1"/>
  <c r="BB825" i="1" s="1"/>
  <c r="L824" i="1"/>
  <c r="BB824" i="1" s="1"/>
  <c r="L823" i="1"/>
  <c r="BB823" i="1" s="1"/>
  <c r="L822" i="1"/>
  <c r="BB822" i="1" s="1"/>
  <c r="L821" i="1"/>
  <c r="BB821" i="1" s="1"/>
  <c r="L820" i="1"/>
  <c r="BB820" i="1" s="1"/>
  <c r="L819" i="1"/>
  <c r="BB819" i="1" s="1"/>
  <c r="L818" i="1"/>
  <c r="BB818" i="1" s="1"/>
  <c r="L817" i="1"/>
  <c r="BB817" i="1" s="1"/>
  <c r="L816" i="1"/>
  <c r="BB816" i="1" s="1"/>
  <c r="L307" i="1"/>
  <c r="BB307" i="1" s="1"/>
  <c r="L843" i="1"/>
  <c r="BB843" i="1" s="1"/>
  <c r="L842" i="1"/>
  <c r="BB842" i="1" s="1"/>
  <c r="L841" i="1"/>
  <c r="BB841" i="1" s="1"/>
  <c r="L840" i="1"/>
  <c r="BB840" i="1" s="1"/>
  <c r="L681" i="1"/>
  <c r="BB681" i="1" s="1"/>
  <c r="L251" i="1"/>
  <c r="BB251" i="1" s="1"/>
  <c r="L809" i="1"/>
  <c r="BB809" i="1" s="1"/>
  <c r="L245" i="1"/>
  <c r="BB245" i="1" s="1"/>
  <c r="L244" i="1"/>
  <c r="BB244" i="1" s="1"/>
  <c r="L219" i="1"/>
  <c r="BB219" i="1" s="1"/>
  <c r="L218" i="1"/>
  <c r="BB218" i="1" s="1"/>
  <c r="L217" i="1"/>
  <c r="BB217" i="1" s="1"/>
  <c r="L216" i="1"/>
  <c r="BB216" i="1" s="1"/>
  <c r="L762" i="1"/>
  <c r="BB762" i="1" s="1"/>
  <c r="L444" i="1"/>
  <c r="BB444" i="1" s="1"/>
  <c r="L443" i="1"/>
  <c r="BB443" i="1" s="1"/>
  <c r="L442" i="1"/>
  <c r="BB442" i="1" s="1"/>
  <c r="L620" i="1"/>
  <c r="BB620" i="1" s="1"/>
  <c r="L619" i="1"/>
  <c r="BB619" i="1" s="1"/>
  <c r="L618" i="1"/>
  <c r="BB618" i="1" s="1"/>
  <c r="L492" i="1"/>
  <c r="BB492" i="1" s="1"/>
  <c r="L491" i="1"/>
  <c r="BB491" i="1" s="1"/>
  <c r="L727" i="1"/>
  <c r="BB727" i="1" s="1"/>
  <c r="L726" i="1"/>
  <c r="BB726" i="1" s="1"/>
  <c r="L725" i="1"/>
  <c r="BB725" i="1" s="1"/>
  <c r="L647" i="1"/>
  <c r="BB647" i="1" s="1"/>
  <c r="L646" i="1"/>
  <c r="BB646" i="1" s="1"/>
  <c r="L641" i="1"/>
  <c r="BB641" i="1" s="1"/>
  <c r="L640" i="1"/>
  <c r="BB640" i="1" s="1"/>
  <c r="L639" i="1"/>
  <c r="BB639" i="1" s="1"/>
  <c r="L638" i="1"/>
  <c r="BB638" i="1" s="1"/>
  <c r="L637" i="1"/>
  <c r="BB637" i="1" s="1"/>
  <c r="L720" i="1"/>
  <c r="BB720" i="1" s="1"/>
  <c r="L719" i="1"/>
  <c r="BB719" i="1" s="1"/>
  <c r="L718" i="1"/>
  <c r="BB718" i="1" s="1"/>
  <c r="L717" i="1"/>
  <c r="BB717" i="1" s="1"/>
  <c r="L693" i="1"/>
  <c r="BB693" i="1" s="1"/>
  <c r="L279" i="1"/>
  <c r="BB279" i="1" s="1"/>
  <c r="L808" i="1"/>
  <c r="BB808" i="1" s="1"/>
  <c r="L312" i="1"/>
  <c r="BB312" i="1" s="1"/>
  <c r="L311" i="1"/>
  <c r="BB311" i="1" s="1"/>
  <c r="L310" i="1"/>
  <c r="BB310" i="1" s="1"/>
  <c r="L309" i="1"/>
  <c r="BB309" i="1" s="1"/>
  <c r="L353" i="1"/>
  <c r="BB353" i="1" s="1"/>
  <c r="L352" i="1"/>
  <c r="BB352" i="1" s="1"/>
  <c r="L351" i="1"/>
  <c r="BB351" i="1" s="1"/>
  <c r="L469" i="1"/>
  <c r="BB469" i="1" s="1"/>
  <c r="L468" i="1"/>
  <c r="BB468" i="1" s="1"/>
  <c r="L467" i="1"/>
  <c r="BB467" i="1" s="1"/>
  <c r="L466" i="1"/>
  <c r="BB466" i="1" s="1"/>
  <c r="L526" i="1"/>
  <c r="BB526" i="1" s="1"/>
  <c r="L525" i="1"/>
  <c r="BB525" i="1" s="1"/>
  <c r="L524" i="1"/>
  <c r="BB524" i="1" s="1"/>
  <c r="L938" i="1"/>
  <c r="BB938" i="1" s="1"/>
  <c r="L937" i="1"/>
  <c r="BB937" i="1" s="1"/>
  <c r="L899" i="1"/>
  <c r="BB899" i="1" s="1"/>
  <c r="L898" i="1"/>
  <c r="BB898" i="1" s="1"/>
  <c r="L500" i="1"/>
  <c r="BB500" i="1" s="1"/>
  <c r="L499" i="1"/>
  <c r="BB499" i="1" s="1"/>
  <c r="L890" i="1"/>
  <c r="BB890" i="1" s="1"/>
  <c r="L889" i="1"/>
  <c r="BB889" i="1" s="1"/>
  <c r="L430" i="1"/>
  <c r="BB430" i="1" s="1"/>
  <c r="L421" i="1"/>
  <c r="BB421" i="1" s="1"/>
  <c r="L963" i="1"/>
  <c r="BB963" i="1" s="1"/>
  <c r="L958" i="1"/>
  <c r="BB958" i="1" s="1"/>
  <c r="L411" i="1"/>
  <c r="BB411" i="1" s="1"/>
  <c r="L406" i="1"/>
  <c r="BB406" i="1" s="1"/>
  <c r="L685" i="1"/>
  <c r="BB685" i="1" s="1"/>
  <c r="L684" i="1"/>
  <c r="BB684" i="1" s="1"/>
  <c r="L846" i="1"/>
  <c r="BB846" i="1" s="1"/>
  <c r="L845" i="1"/>
  <c r="BB845" i="1" s="1"/>
  <c r="L860" i="1"/>
  <c r="BB860" i="1" s="1"/>
  <c r="L859" i="1"/>
  <c r="BB859" i="1" s="1"/>
  <c r="L550" i="1"/>
  <c r="BB550" i="1" s="1"/>
  <c r="L549" i="1"/>
  <c r="BB549" i="1" s="1"/>
  <c r="L405" i="1"/>
  <c r="BB405" i="1" s="1"/>
  <c r="L712" i="1"/>
  <c r="BB712" i="1" s="1"/>
  <c r="L711" i="1"/>
  <c r="BB711" i="1" s="1"/>
  <c r="L710" i="1"/>
  <c r="BB710" i="1" s="1"/>
  <c r="L709" i="1"/>
  <c r="BB709" i="1" s="1"/>
  <c r="L708" i="1"/>
  <c r="BB708" i="1" s="1"/>
  <c r="L683" i="1"/>
  <c r="BB683" i="1" s="1"/>
  <c r="L682" i="1"/>
  <c r="BB682" i="1" s="1"/>
  <c r="L539" i="1"/>
  <c r="BB539" i="1" s="1"/>
  <c r="L538" i="1"/>
  <c r="BB538" i="1" s="1"/>
  <c r="L537" i="1"/>
  <c r="BB537" i="1" s="1"/>
  <c r="L536" i="1"/>
  <c r="BB536" i="1" s="1"/>
  <c r="L535" i="1"/>
  <c r="BB535" i="1" s="1"/>
  <c r="L533" i="1"/>
  <c r="BB533" i="1" s="1"/>
  <c r="L532" i="1"/>
  <c r="BB532" i="1" s="1"/>
  <c r="L531" i="1"/>
  <c r="BB531" i="1" s="1"/>
  <c r="L530" i="1"/>
  <c r="BB530" i="1" s="1"/>
  <c r="L529" i="1"/>
  <c r="BB529" i="1" s="1"/>
  <c r="L528" i="1"/>
  <c r="BB528" i="1" s="1"/>
  <c r="L527" i="1"/>
  <c r="BB527" i="1" s="1"/>
  <c r="L636" i="1"/>
  <c r="BB636" i="1" s="1"/>
  <c r="L635" i="1"/>
  <c r="BB635" i="1" s="1"/>
  <c r="L634" i="1"/>
  <c r="BB634" i="1" s="1"/>
  <c r="L633" i="1"/>
  <c r="BB633" i="1" s="1"/>
  <c r="L632" i="1"/>
  <c r="BB632" i="1" s="1"/>
  <c r="L631" i="1"/>
  <c r="BB631" i="1" s="1"/>
  <c r="L630" i="1"/>
  <c r="BB630" i="1" s="1"/>
  <c r="L445" i="1"/>
  <c r="BB445" i="1" s="1"/>
  <c r="L548" i="1"/>
  <c r="BB548" i="1" s="1"/>
  <c r="L547" i="1"/>
  <c r="BB547" i="1" s="1"/>
  <c r="L546" i="1"/>
  <c r="BB546" i="1" s="1"/>
  <c r="L545" i="1"/>
  <c r="BB545" i="1" s="1"/>
  <c r="L544" i="1"/>
  <c r="BB544" i="1" s="1"/>
  <c r="L543" i="1"/>
  <c r="BB543" i="1" s="1"/>
  <c r="L542" i="1"/>
  <c r="BB542" i="1" s="1"/>
  <c r="L541" i="1"/>
  <c r="BB541" i="1" s="1"/>
  <c r="L470" i="1"/>
  <c r="BB470" i="1" s="1"/>
  <c r="L341" i="1"/>
  <c r="BB341" i="1" s="1"/>
  <c r="L318" i="1"/>
  <c r="BB318" i="1" s="1"/>
  <c r="L317" i="1"/>
  <c r="BB317" i="1" s="1"/>
  <c r="L316" i="1"/>
  <c r="BB316" i="1" s="1"/>
  <c r="L315" i="1"/>
  <c r="BB315" i="1" s="1"/>
  <c r="L314" i="1"/>
  <c r="BB314" i="1" s="1"/>
  <c r="L313" i="1"/>
  <c r="BB313" i="1" s="1"/>
  <c r="L553" i="1"/>
  <c r="BB553" i="1" s="1"/>
  <c r="L480" i="1"/>
  <c r="BB480" i="1" s="1"/>
  <c r="L479" i="1"/>
  <c r="BB479" i="1" s="1"/>
  <c r="L478" i="1"/>
  <c r="BB478" i="1" s="1"/>
  <c r="L477" i="1"/>
  <c r="BB477" i="1" s="1"/>
  <c r="L476" i="1"/>
  <c r="BB476" i="1" s="1"/>
  <c r="L475" i="1"/>
  <c r="BB475" i="1" s="1"/>
  <c r="L474" i="1"/>
  <c r="BB474" i="1" s="1"/>
  <c r="L473" i="1"/>
  <c r="BB473" i="1" s="1"/>
  <c r="L472" i="1"/>
  <c r="BB472" i="1" s="1"/>
  <c r="L471" i="1"/>
  <c r="BB471" i="1" s="1"/>
  <c r="L552" i="1"/>
  <c r="BB552" i="1" s="1"/>
  <c r="L300" i="1"/>
  <c r="BB300" i="1" s="1"/>
  <c r="L299" i="1"/>
  <c r="BB299" i="1" s="1"/>
  <c r="L298" i="1"/>
  <c r="BB298" i="1" s="1"/>
  <c r="L297" i="1"/>
  <c r="BB297" i="1" s="1"/>
  <c r="U508" i="1"/>
  <c r="BC508" i="1" s="1"/>
  <c r="U504" i="1"/>
  <c r="BC504" i="1" s="1"/>
  <c r="U816" i="1"/>
  <c r="BC816" i="1" s="1"/>
  <c r="U307" i="1"/>
  <c r="BC307" i="1" s="1"/>
  <c r="U843" i="1"/>
  <c r="BC843" i="1" s="1"/>
  <c r="U842" i="1"/>
  <c r="BC842" i="1" s="1"/>
  <c r="U841" i="1"/>
  <c r="BC841" i="1" s="1"/>
  <c r="U840" i="1"/>
  <c r="BC840" i="1" s="1"/>
  <c r="U681" i="1"/>
  <c r="BC681" i="1" s="1"/>
  <c r="U251" i="1"/>
  <c r="BC251" i="1" s="1"/>
  <c r="U811" i="1"/>
  <c r="BC811" i="1" s="1"/>
  <c r="U810" i="1"/>
  <c r="BC810" i="1" s="1"/>
  <c r="U809" i="1"/>
  <c r="BC809" i="1" s="1"/>
  <c r="U720" i="1"/>
  <c r="BC720" i="1" s="1"/>
  <c r="U719" i="1"/>
  <c r="BC719" i="1" s="1"/>
  <c r="U718" i="1"/>
  <c r="BC718" i="1" s="1"/>
  <c r="U717" i="1"/>
  <c r="BC717" i="1" s="1"/>
  <c r="B21" i="1"/>
  <c r="AU21" i="1" s="1"/>
  <c r="R101" i="1"/>
  <c r="R100" i="1"/>
  <c r="R96" i="1"/>
  <c r="CI251" i="1" l="1"/>
  <c r="CJ251" i="1" s="1"/>
  <c r="CI504" i="1"/>
  <c r="CJ504" i="1" s="1"/>
  <c r="CI508" i="1"/>
  <c r="CJ508" i="1" s="1"/>
  <c r="CI719" i="1"/>
  <c r="CJ719" i="1" s="1"/>
  <c r="CI841" i="1"/>
  <c r="CJ841" i="1" s="1"/>
  <c r="CI720" i="1"/>
  <c r="CJ720" i="1" s="1"/>
  <c r="CI842" i="1"/>
  <c r="CJ842" i="1" s="1"/>
  <c r="CI810" i="1"/>
  <c r="CJ810" i="1" s="1"/>
  <c r="CI307" i="1"/>
  <c r="CJ307" i="1" s="1"/>
  <c r="CI811" i="1"/>
  <c r="CJ811" i="1" s="1"/>
  <c r="R21" i="1"/>
  <c r="S53" i="1"/>
  <c r="O893" i="1" l="1"/>
  <c r="AY893" i="1" s="1"/>
  <c r="O892" i="1"/>
  <c r="AY892" i="1" s="1"/>
  <c r="O891" i="1"/>
  <c r="AY891" i="1" s="1"/>
  <c r="O59" i="1"/>
  <c r="AY59" i="1" s="1"/>
  <c r="O56" i="1"/>
  <c r="AY56" i="1" s="1"/>
  <c r="D431" i="1"/>
  <c r="AW431" i="1" s="1"/>
  <c r="B52" i="1"/>
  <c r="AU52" i="1" s="1"/>
  <c r="D52" i="1" l="1"/>
  <c r="AW52" i="1" s="1"/>
  <c r="S431" i="1"/>
  <c r="R431" i="1"/>
  <c r="B144" i="1" l="1"/>
  <c r="AU144" i="1" s="1"/>
  <c r="B74" i="1" l="1"/>
  <c r="AU74" i="1" s="1"/>
  <c r="B73" i="1"/>
  <c r="AU73" i="1" s="1"/>
  <c r="B72" i="1"/>
  <c r="AU72" i="1" s="1"/>
  <c r="B71" i="1"/>
  <c r="AU71" i="1" s="1"/>
  <c r="B70" i="1"/>
  <c r="AU70" i="1" s="1"/>
  <c r="B69" i="1"/>
  <c r="AU69" i="1" s="1"/>
  <c r="B68" i="1"/>
  <c r="AU68" i="1" s="1"/>
  <c r="B67" i="1"/>
  <c r="AU67" i="1" s="1"/>
  <c r="B66" i="1"/>
  <c r="AU66" i="1" s="1"/>
  <c r="D234" i="1"/>
  <c r="AW234" i="1" s="1"/>
  <c r="D214" i="1"/>
  <c r="AW214" i="1" s="1"/>
  <c r="D190" i="1"/>
  <c r="AW190" i="1" s="1"/>
  <c r="D191" i="1"/>
  <c r="AW191" i="1" s="1"/>
  <c r="D400" i="1"/>
  <c r="AW400" i="1" s="1"/>
  <c r="D241" i="1"/>
  <c r="AW241" i="1" s="1"/>
  <c r="D240" i="1"/>
  <c r="AW240" i="1" s="1"/>
  <c r="D242" i="1"/>
  <c r="AW242" i="1" s="1"/>
  <c r="O60" i="1"/>
  <c r="AY60" i="1" s="1"/>
  <c r="B60" i="1"/>
  <c r="AU60" i="1" s="1"/>
  <c r="B59" i="1"/>
  <c r="AU59" i="1" s="1"/>
  <c r="O58" i="1"/>
  <c r="AY58" i="1" s="1"/>
  <c r="B58" i="1"/>
  <c r="AU58" i="1" s="1"/>
  <c r="O57" i="1"/>
  <c r="AY57" i="1" s="1"/>
  <c r="B57" i="1"/>
  <c r="AU57" i="1" s="1"/>
  <c r="B56" i="1"/>
  <c r="AU56" i="1" s="1"/>
  <c r="B42" i="1"/>
  <c r="AU42" i="1" s="1"/>
  <c r="D60" i="1" l="1"/>
  <c r="AW60" i="1" s="1"/>
  <c r="R59" i="1"/>
  <c r="R60" i="1"/>
  <c r="R57" i="1"/>
  <c r="D58" i="1"/>
  <c r="AW58" i="1" s="1"/>
  <c r="R56" i="1"/>
  <c r="D57" i="1"/>
  <c r="AW57" i="1" s="1"/>
  <c r="R58" i="1"/>
  <c r="D59" i="1"/>
  <c r="AW59" i="1" s="1"/>
  <c r="D56" i="1"/>
  <c r="AW56" i="1" s="1"/>
  <c r="S60" i="1" l="1"/>
  <c r="S58" i="1"/>
  <c r="S56" i="1"/>
  <c r="S57" i="1"/>
  <c r="D199" i="1"/>
  <c r="AW199" i="1" s="1"/>
  <c r="S59" i="1"/>
  <c r="D201" i="1"/>
  <c r="AW201" i="1" s="1"/>
  <c r="B653" i="1"/>
  <c r="AU653" i="1" s="1"/>
  <c r="B652" i="1"/>
  <c r="AU652" i="1" s="1"/>
  <c r="B650" i="1"/>
  <c r="AU650" i="1" s="1"/>
  <c r="B648" i="1"/>
  <c r="AU648" i="1" s="1"/>
  <c r="D118" i="1"/>
  <c r="AW118" i="1" s="1"/>
  <c r="D93" i="1"/>
  <c r="AW93" i="1" s="1"/>
  <c r="C49" i="1"/>
  <c r="AV49" i="1" s="1"/>
  <c r="C22" i="1"/>
  <c r="AV22" i="1" s="1"/>
  <c r="B91" i="1"/>
  <c r="AU91" i="1" s="1"/>
  <c r="R912" i="1"/>
  <c r="J912" i="1"/>
  <c r="BA912" i="1" s="1"/>
  <c r="J911" i="1"/>
  <c r="BA911" i="1" s="1"/>
  <c r="R910" i="1"/>
  <c r="J910" i="1"/>
  <c r="BA910" i="1" s="1"/>
  <c r="R909" i="1"/>
  <c r="J909" i="1"/>
  <c r="BA909" i="1" s="1"/>
  <c r="R908" i="1"/>
  <c r="J908" i="1"/>
  <c r="BA908" i="1" s="1"/>
  <c r="B358" i="1"/>
  <c r="AU358" i="1" s="1"/>
  <c r="B357" i="1"/>
  <c r="AU357" i="1" s="1"/>
  <c r="B356" i="1"/>
  <c r="AU356" i="1" s="1"/>
  <c r="B355" i="1"/>
  <c r="AU355" i="1" s="1"/>
  <c r="B354" i="1"/>
  <c r="AU354" i="1" s="1"/>
  <c r="R540" i="1"/>
  <c r="R247" i="1"/>
  <c r="R253" i="1"/>
  <c r="R252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D247" i="1"/>
  <c r="AW247" i="1" s="1"/>
  <c r="D246" i="1"/>
  <c r="AW246" i="1" s="1"/>
  <c r="B447" i="1"/>
  <c r="AU447" i="1" s="1"/>
  <c r="D446" i="1"/>
  <c r="AW446" i="1" s="1"/>
  <c r="O617" i="1"/>
  <c r="AY617" i="1" s="1"/>
  <c r="J617" i="1"/>
  <c r="BA617" i="1" s="1"/>
  <c r="D617" i="1"/>
  <c r="AW617" i="1" s="1"/>
  <c r="O616" i="1"/>
  <c r="AY616" i="1" s="1"/>
  <c r="J616" i="1"/>
  <c r="BA616" i="1" s="1"/>
  <c r="D616" i="1"/>
  <c r="AW616" i="1" s="1"/>
  <c r="O615" i="1"/>
  <c r="AY615" i="1" s="1"/>
  <c r="J615" i="1"/>
  <c r="BA615" i="1" s="1"/>
  <c r="D615" i="1"/>
  <c r="AW615" i="1" s="1"/>
  <c r="O614" i="1"/>
  <c r="AY614" i="1" s="1"/>
  <c r="J614" i="1"/>
  <c r="BA614" i="1" s="1"/>
  <c r="D614" i="1"/>
  <c r="AW614" i="1" s="1"/>
  <c r="O613" i="1"/>
  <c r="AY613" i="1" s="1"/>
  <c r="J613" i="1"/>
  <c r="BA613" i="1" s="1"/>
  <c r="D613" i="1"/>
  <c r="AW613" i="1" s="1"/>
  <c r="O612" i="1"/>
  <c r="AY612" i="1" s="1"/>
  <c r="J612" i="1"/>
  <c r="BA612" i="1" s="1"/>
  <c r="D612" i="1"/>
  <c r="AW612" i="1" s="1"/>
  <c r="O611" i="1"/>
  <c r="AY611" i="1" s="1"/>
  <c r="J611" i="1"/>
  <c r="BA611" i="1" s="1"/>
  <c r="D611" i="1"/>
  <c r="AW611" i="1" s="1"/>
  <c r="O610" i="1"/>
  <c r="AY610" i="1" s="1"/>
  <c r="J610" i="1"/>
  <c r="BA610" i="1" s="1"/>
  <c r="D610" i="1"/>
  <c r="AW610" i="1" s="1"/>
  <c r="O609" i="1"/>
  <c r="AY609" i="1" s="1"/>
  <c r="J609" i="1"/>
  <c r="BA609" i="1" s="1"/>
  <c r="O608" i="1"/>
  <c r="AY608" i="1" s="1"/>
  <c r="J608" i="1"/>
  <c r="BA608" i="1" s="1"/>
  <c r="D608" i="1"/>
  <c r="AW608" i="1" s="1"/>
  <c r="O607" i="1"/>
  <c r="AY607" i="1" s="1"/>
  <c r="J607" i="1"/>
  <c r="BA607" i="1" s="1"/>
  <c r="D607" i="1"/>
  <c r="AW607" i="1" s="1"/>
  <c r="O606" i="1"/>
  <c r="AY606" i="1" s="1"/>
  <c r="J606" i="1"/>
  <c r="BA606" i="1" s="1"/>
  <c r="D606" i="1"/>
  <c r="AW606" i="1" s="1"/>
  <c r="B390" i="1"/>
  <c r="AU390" i="1" s="1"/>
  <c r="B389" i="1"/>
  <c r="AU389" i="1" s="1"/>
  <c r="B388" i="1"/>
  <c r="AU388" i="1" s="1"/>
  <c r="B387" i="1"/>
  <c r="AU387" i="1" s="1"/>
  <c r="B283" i="1"/>
  <c r="AU283" i="1" s="1"/>
  <c r="B282" i="1"/>
  <c r="AU282" i="1" s="1"/>
  <c r="S1016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S839" i="1"/>
  <c r="J839" i="1"/>
  <c r="BA839" i="1" s="1"/>
  <c r="C839" i="1"/>
  <c r="AV839" i="1" s="1"/>
  <c r="R838" i="1"/>
  <c r="J838" i="1"/>
  <c r="BA838" i="1" s="1"/>
  <c r="D838" i="1"/>
  <c r="AW838" i="1" s="1"/>
  <c r="R837" i="1"/>
  <c r="J837" i="1"/>
  <c r="BA837" i="1" s="1"/>
  <c r="D837" i="1"/>
  <c r="AW837" i="1" s="1"/>
  <c r="J670" i="1"/>
  <c r="BA670" i="1" s="1"/>
  <c r="J669" i="1"/>
  <c r="BA669" i="1" s="1"/>
  <c r="O724" i="1"/>
  <c r="AY724" i="1" s="1"/>
  <c r="R815" i="1"/>
  <c r="D392" i="1"/>
  <c r="AW392" i="1" s="1"/>
  <c r="D913" i="1"/>
  <c r="AW913" i="1" s="1"/>
  <c r="D844" i="1"/>
  <c r="AW844" i="1" s="1"/>
  <c r="D798" i="1"/>
  <c r="AW798" i="1" s="1"/>
  <c r="R848" i="1"/>
  <c r="R847" i="1"/>
  <c r="S816" i="1"/>
  <c r="R816" i="1"/>
  <c r="R307" i="1"/>
  <c r="D307" i="1"/>
  <c r="AW307" i="1" s="1"/>
  <c r="R843" i="1"/>
  <c r="R842" i="1"/>
  <c r="R841" i="1"/>
  <c r="R840" i="1"/>
  <c r="D681" i="1"/>
  <c r="AW681" i="1" s="1"/>
  <c r="J811" i="1"/>
  <c r="BA811" i="1" s="1"/>
  <c r="J810" i="1"/>
  <c r="BA810" i="1" s="1"/>
  <c r="B245" i="1"/>
  <c r="AU245" i="1" s="1"/>
  <c r="D444" i="1"/>
  <c r="AW444" i="1" s="1"/>
  <c r="D443" i="1"/>
  <c r="AW443" i="1" s="1"/>
  <c r="D442" i="1"/>
  <c r="AW442" i="1" s="1"/>
  <c r="D619" i="1"/>
  <c r="AW619" i="1" s="1"/>
  <c r="R618" i="1"/>
  <c r="D618" i="1"/>
  <c r="AW618" i="1" s="1"/>
  <c r="R492" i="1"/>
  <c r="R491" i="1"/>
  <c r="B727" i="1"/>
  <c r="AU727" i="1" s="1"/>
  <c r="B726" i="1"/>
  <c r="AU726" i="1" s="1"/>
  <c r="B647" i="1"/>
  <c r="AU647" i="1" s="1"/>
  <c r="R646" i="1"/>
  <c r="D646" i="1"/>
  <c r="AW646" i="1" s="1"/>
  <c r="B641" i="1"/>
  <c r="AU641" i="1" s="1"/>
  <c r="B640" i="1"/>
  <c r="AU640" i="1" s="1"/>
  <c r="B639" i="1"/>
  <c r="AU639" i="1" s="1"/>
  <c r="D637" i="1"/>
  <c r="AW637" i="1" s="1"/>
  <c r="B720" i="1"/>
  <c r="AU720" i="1" s="1"/>
  <c r="B719" i="1"/>
  <c r="AU719" i="1" s="1"/>
  <c r="S718" i="1"/>
  <c r="R718" i="1"/>
  <c r="S717" i="1"/>
  <c r="R717" i="1"/>
  <c r="S693" i="1"/>
  <c r="R693" i="1"/>
  <c r="B280" i="1"/>
  <c r="AU280" i="1" s="1"/>
  <c r="B279" i="1"/>
  <c r="AU279" i="1" s="1"/>
  <c r="B311" i="1"/>
  <c r="AU311" i="1" s="1"/>
  <c r="B309" i="1"/>
  <c r="AU309" i="1" s="1"/>
  <c r="B351" i="1"/>
  <c r="AU351" i="1" s="1"/>
  <c r="C468" i="1"/>
  <c r="AV468" i="1" s="1"/>
  <c r="C467" i="1"/>
  <c r="AV467" i="1" s="1"/>
  <c r="O526" i="1"/>
  <c r="AY526" i="1" s="1"/>
  <c r="O525" i="1"/>
  <c r="AY525" i="1" s="1"/>
  <c r="O524" i="1"/>
  <c r="AY524" i="1" s="1"/>
  <c r="B899" i="1"/>
  <c r="AU899" i="1" s="1"/>
  <c r="B898" i="1"/>
  <c r="AU898" i="1" s="1"/>
  <c r="R500" i="1"/>
  <c r="R499" i="1"/>
  <c r="O499" i="1"/>
  <c r="AY499" i="1" s="1"/>
  <c r="D499" i="1"/>
  <c r="AW499" i="1" s="1"/>
  <c r="B430" i="1"/>
  <c r="AU430" i="1" s="1"/>
  <c r="R411" i="1"/>
  <c r="R406" i="1"/>
  <c r="D406" i="1"/>
  <c r="AW406" i="1" s="1"/>
  <c r="R685" i="1"/>
  <c r="O685" i="1"/>
  <c r="AY685" i="1" s="1"/>
  <c r="D685" i="1"/>
  <c r="AW685" i="1" s="1"/>
  <c r="O684" i="1"/>
  <c r="AY684" i="1" s="1"/>
  <c r="D684" i="1"/>
  <c r="AW684" i="1" s="1"/>
  <c r="R846" i="1"/>
  <c r="D846" i="1"/>
  <c r="AW846" i="1" s="1"/>
  <c r="R845" i="1"/>
  <c r="D845" i="1"/>
  <c r="AW845" i="1" s="1"/>
  <c r="R860" i="1"/>
  <c r="R859" i="1"/>
  <c r="O859" i="1"/>
  <c r="AY859" i="1" s="1"/>
  <c r="D859" i="1"/>
  <c r="AW859" i="1" s="1"/>
  <c r="R897" i="1"/>
  <c r="O897" i="1"/>
  <c r="AY897" i="1" s="1"/>
  <c r="J897" i="1"/>
  <c r="BA897" i="1" s="1"/>
  <c r="R896" i="1"/>
  <c r="O896" i="1"/>
  <c r="AY896" i="1" s="1"/>
  <c r="J896" i="1"/>
  <c r="BA896" i="1" s="1"/>
  <c r="R895" i="1"/>
  <c r="O895" i="1"/>
  <c r="AY895" i="1" s="1"/>
  <c r="J895" i="1"/>
  <c r="BA895" i="1" s="1"/>
  <c r="R894" i="1"/>
  <c r="O894" i="1"/>
  <c r="AY894" i="1" s="1"/>
  <c r="J894" i="1"/>
  <c r="BA894" i="1" s="1"/>
  <c r="B550" i="1"/>
  <c r="AU550" i="1" s="1"/>
  <c r="D405" i="1"/>
  <c r="AW405" i="1" s="1"/>
  <c r="R712" i="1"/>
  <c r="O712" i="1"/>
  <c r="AY712" i="1" s="1"/>
  <c r="D712" i="1"/>
  <c r="AW712" i="1" s="1"/>
  <c r="R711" i="1"/>
  <c r="O711" i="1"/>
  <c r="AY711" i="1" s="1"/>
  <c r="D711" i="1"/>
  <c r="AW711" i="1" s="1"/>
  <c r="R710" i="1"/>
  <c r="O710" i="1"/>
  <c r="AY710" i="1" s="1"/>
  <c r="D710" i="1"/>
  <c r="AW710" i="1" s="1"/>
  <c r="R709" i="1"/>
  <c r="O709" i="1"/>
  <c r="AY709" i="1" s="1"/>
  <c r="D709" i="1"/>
  <c r="AW709" i="1" s="1"/>
  <c r="R708" i="1"/>
  <c r="O708" i="1"/>
  <c r="AY708" i="1" s="1"/>
  <c r="D708" i="1"/>
  <c r="AW708" i="1" s="1"/>
  <c r="R536" i="1"/>
  <c r="R535" i="1"/>
  <c r="R529" i="1"/>
  <c r="R635" i="1"/>
  <c r="R630" i="1"/>
  <c r="B445" i="1"/>
  <c r="AU445" i="1" s="1"/>
  <c r="D548" i="1"/>
  <c r="AW548" i="1" s="1"/>
  <c r="D547" i="1"/>
  <c r="AW547" i="1" s="1"/>
  <c r="D546" i="1"/>
  <c r="AW546" i="1" s="1"/>
  <c r="D545" i="1"/>
  <c r="AW545" i="1" s="1"/>
  <c r="D544" i="1"/>
  <c r="AW544" i="1" s="1"/>
  <c r="D543" i="1"/>
  <c r="AW543" i="1" s="1"/>
  <c r="D542" i="1"/>
  <c r="AW542" i="1" s="1"/>
  <c r="D541" i="1"/>
  <c r="AW541" i="1" s="1"/>
  <c r="R470" i="1"/>
  <c r="D470" i="1"/>
  <c r="AW470" i="1" s="1"/>
  <c r="D553" i="1"/>
  <c r="AW553" i="1" s="1"/>
  <c r="D480" i="1"/>
  <c r="AW480" i="1" s="1"/>
  <c r="B552" i="1"/>
  <c r="AU552" i="1" s="1"/>
  <c r="D245" i="1" l="1"/>
  <c r="AW245" i="1" s="1"/>
  <c r="L839" i="1"/>
  <c r="BB839" i="1" s="1"/>
  <c r="L811" i="1"/>
  <c r="BB811" i="1" s="1"/>
  <c r="L611" i="1"/>
  <c r="BB611" i="1" s="1"/>
  <c r="L356" i="1"/>
  <c r="BB356" i="1" s="1"/>
  <c r="L670" i="1"/>
  <c r="BB670" i="1" s="1"/>
  <c r="L896" i="1"/>
  <c r="BB896" i="1" s="1"/>
  <c r="L837" i="1"/>
  <c r="BB837" i="1" s="1"/>
  <c r="L606" i="1"/>
  <c r="BB606" i="1" s="1"/>
  <c r="L614" i="1"/>
  <c r="BB614" i="1" s="1"/>
  <c r="L910" i="1"/>
  <c r="BB910" i="1" s="1"/>
  <c r="L909" i="1"/>
  <c r="BB909" i="1" s="1"/>
  <c r="L609" i="1"/>
  <c r="BB609" i="1" s="1"/>
  <c r="L617" i="1"/>
  <c r="BB617" i="1" s="1"/>
  <c r="L357" i="1"/>
  <c r="BB357" i="1" s="1"/>
  <c r="L608" i="1"/>
  <c r="BB608" i="1" s="1"/>
  <c r="L616" i="1"/>
  <c r="BB616" i="1" s="1"/>
  <c r="L894" i="1"/>
  <c r="BB894" i="1" s="1"/>
  <c r="L612" i="1"/>
  <c r="BB612" i="1" s="1"/>
  <c r="L911" i="1"/>
  <c r="BB911" i="1" s="1"/>
  <c r="L897" i="1"/>
  <c r="BB897" i="1" s="1"/>
  <c r="L810" i="1"/>
  <c r="BB810" i="1" s="1"/>
  <c r="L838" i="1"/>
  <c r="BB838" i="1" s="1"/>
  <c r="L607" i="1"/>
  <c r="BB607" i="1" s="1"/>
  <c r="L615" i="1"/>
  <c r="BB615" i="1" s="1"/>
  <c r="L354" i="1"/>
  <c r="BB354" i="1" s="1"/>
  <c r="L358" i="1"/>
  <c r="BB358" i="1" s="1"/>
  <c r="L912" i="1"/>
  <c r="BB912" i="1" s="1"/>
  <c r="L610" i="1"/>
  <c r="BB610" i="1" s="1"/>
  <c r="L908" i="1"/>
  <c r="BB908" i="1" s="1"/>
  <c r="L895" i="1"/>
  <c r="BB895" i="1" s="1"/>
  <c r="L669" i="1"/>
  <c r="BB669" i="1" s="1"/>
  <c r="L613" i="1"/>
  <c r="BB613" i="1" s="1"/>
  <c r="L355" i="1"/>
  <c r="BB355" i="1" s="1"/>
  <c r="R552" i="1"/>
  <c r="S307" i="1"/>
  <c r="R430" i="1"/>
  <c r="R898" i="1"/>
  <c r="D638" i="1"/>
  <c r="AW638" i="1" s="1"/>
  <c r="C727" i="1"/>
  <c r="AV727" i="1" s="1"/>
  <c r="R356" i="1"/>
  <c r="D22" i="1"/>
  <c r="AW22" i="1" s="1"/>
  <c r="C726" i="1"/>
  <c r="AV726" i="1" s="1"/>
  <c r="R899" i="1"/>
  <c r="R351" i="1"/>
  <c r="D639" i="1"/>
  <c r="AW639" i="1" s="1"/>
  <c r="S913" i="1"/>
  <c r="S837" i="1"/>
  <c r="D447" i="1"/>
  <c r="AW447" i="1" s="1"/>
  <c r="S895" i="1"/>
  <c r="P839" i="1"/>
  <c r="AZ839" i="1" s="1"/>
  <c r="S896" i="1"/>
  <c r="R357" i="1"/>
  <c r="S845" i="1"/>
  <c r="S618" i="1"/>
  <c r="R653" i="1"/>
  <c r="D445" i="1"/>
  <c r="AW445" i="1" s="1"/>
  <c r="S894" i="1"/>
  <c r="R309" i="1"/>
  <c r="S646" i="1"/>
  <c r="S838" i="1"/>
  <c r="R354" i="1"/>
  <c r="R358" i="1"/>
  <c r="R648" i="1"/>
  <c r="S470" i="1"/>
  <c r="S897" i="1"/>
  <c r="S846" i="1"/>
  <c r="S406" i="1"/>
  <c r="R311" i="1"/>
  <c r="R650" i="1"/>
  <c r="S258" i="1"/>
  <c r="R509" i="1"/>
  <c r="D91" i="1"/>
  <c r="AW91" i="1" s="1"/>
  <c r="L280" i="1"/>
  <c r="BB280" i="1" s="1"/>
  <c r="R647" i="1"/>
  <c r="R355" i="1"/>
  <c r="R652" i="1"/>
  <c r="S613" i="1"/>
  <c r="S608" i="1"/>
  <c r="S616" i="1"/>
  <c r="S607" i="1"/>
  <c r="S615" i="1"/>
  <c r="S610" i="1"/>
  <c r="S611" i="1"/>
  <c r="S606" i="1"/>
  <c r="S614" i="1"/>
  <c r="S609" i="1"/>
  <c r="S617" i="1"/>
  <c r="S247" i="1"/>
  <c r="S612" i="1"/>
  <c r="S499" i="1"/>
  <c r="S711" i="1"/>
  <c r="S859" i="1"/>
  <c r="S684" i="1"/>
  <c r="S685" i="1"/>
  <c r="S710" i="1"/>
  <c r="S708" i="1"/>
  <c r="S709" i="1"/>
  <c r="S712" i="1"/>
  <c r="N839" i="1"/>
  <c r="AX839" i="1" s="1"/>
  <c r="D552" i="1"/>
  <c r="AW552" i="1" s="1"/>
  <c r="D430" i="1"/>
  <c r="AW430" i="1" s="1"/>
  <c r="S430" i="1" l="1"/>
  <c r="S552" i="1"/>
  <c r="R839" i="1"/>
  <c r="S1202" i="1"/>
  <c r="C1202" i="1"/>
  <c r="AV1202" i="1" s="1"/>
</calcChain>
</file>

<file path=xl/sharedStrings.xml><?xml version="1.0" encoding="utf-8"?>
<sst xmlns="http://schemas.openxmlformats.org/spreadsheetml/2006/main" count="46212" uniqueCount="1288">
  <si>
    <t>Conductivity (MSm-1)</t>
  </si>
  <si>
    <t>Density (g cm-3)</t>
  </si>
  <si>
    <t>Specific Conductivity (kS m2/kg)</t>
  </si>
  <si>
    <t>Electrical Anisotropy</t>
  </si>
  <si>
    <t>Alignment figure of merit</t>
  </si>
  <si>
    <t>Alignment method</t>
  </si>
  <si>
    <t>Alignment FWHM</t>
  </si>
  <si>
    <t>FWHM type</t>
  </si>
  <si>
    <t>Raman G:D</t>
  </si>
  <si>
    <t>Raman wavelength</t>
  </si>
  <si>
    <t>Doped or Acid Exposure (Yes/ No)</t>
  </si>
  <si>
    <t>Tensile Strength (MPa)</t>
  </si>
  <si>
    <t>Specific Strength (N/Tex)</t>
  </si>
  <si>
    <t>Young's Modulus (GPa)</t>
  </si>
  <si>
    <t>Uber Parameter</t>
  </si>
  <si>
    <t>Specific Uber Parameter</t>
  </si>
  <si>
    <t>CNT Diameter (nm)</t>
  </si>
  <si>
    <t xml:space="preserve">Date Entered and Checked </t>
  </si>
  <si>
    <t>Notes</t>
  </si>
  <si>
    <t>Year</t>
  </si>
  <si>
    <t>Post Process</t>
  </si>
  <si>
    <t>Reference</t>
  </si>
  <si>
    <t>Not Reported/ Can not calculate</t>
  </si>
  <si>
    <t>No</t>
  </si>
  <si>
    <t>12--14</t>
  </si>
  <si>
    <t>Graphitzed Multiwall forests, annealed 2800 C</t>
  </si>
  <si>
    <t>Forest derived</t>
  </si>
  <si>
    <t>Graphitized</t>
  </si>
  <si>
    <t>2006 The effect of annealing on the electrical and thermal transport properties of macroscopic bundles of long multi-wall carbon nanotubes</t>
  </si>
  <si>
    <t>Heat treated at 100 C</t>
  </si>
  <si>
    <t>Baked</t>
  </si>
  <si>
    <t>As-Is</t>
  </si>
  <si>
    <t>As-is</t>
  </si>
  <si>
    <t>Multiwall forests, annealed 1200 C</t>
  </si>
  <si>
    <t>Annealed</t>
  </si>
  <si>
    <t>Vesco/ Schultz at UC</t>
  </si>
  <si>
    <t>2012 Physical properties of carbon nanotube sheets drawn from nanotube arrays</t>
  </si>
  <si>
    <t>Hawkings specific conductivity study</t>
  </si>
  <si>
    <t>Twsted</t>
  </si>
  <si>
    <t>2011 Electrical conductivity of pure carbon nanotube yarns</t>
  </si>
  <si>
    <t>Twisted</t>
  </si>
  <si>
    <t>2012 Thermal and electrical conductivity of array-spun multi-walled carbon nanotube yarns</t>
  </si>
  <si>
    <t>2007 Structure-Dependent Electrical Properties of Carbon NanotubeFibers</t>
  </si>
  <si>
    <t>Air Annealed</t>
  </si>
  <si>
    <t>Forming gas annealed</t>
  </si>
  <si>
    <t>Yes</t>
  </si>
  <si>
    <t>Acd doped</t>
  </si>
  <si>
    <t>Coating with Au particles</t>
  </si>
  <si>
    <t>Regrowth at 750 C</t>
  </si>
  <si>
    <t>Knocked over forest Unaligned material also made</t>
  </si>
  <si>
    <t>Knocked over forest</t>
  </si>
  <si>
    <t>2008 Highly oriented carbon nanotube papers made of aligned carbon nanotubes</t>
  </si>
  <si>
    <t>Raman G peak anisotropy</t>
  </si>
  <si>
    <t>Densified</t>
  </si>
  <si>
    <t>2012 High-Density Carbon Nanotube Buckypapers with Superior Transport and Mechanical Properties</t>
  </si>
  <si>
    <t>10--20</t>
  </si>
  <si>
    <t>Array</t>
  </si>
  <si>
    <t>2010 Thermal and electrical conductivity of tall, vertically aligned carbon nanotube arrays</t>
  </si>
  <si>
    <t>Sheer rate 0</t>
  </si>
  <si>
    <t>Aligned Buckypaper</t>
  </si>
  <si>
    <t>Sheer rate 100</t>
  </si>
  <si>
    <t>Sheer rate 450</t>
  </si>
  <si>
    <t>Sheer rate 640</t>
  </si>
  <si>
    <t>Sheer rate 825</t>
  </si>
  <si>
    <t>Sheer rate 1000</t>
  </si>
  <si>
    <t>Sheer rate 1200</t>
  </si>
  <si>
    <t>2012 Fabrication and processing of high-strength densely packed carbon nanotube yarns without solution processes</t>
  </si>
  <si>
    <t>laser scan rate 10</t>
  </si>
  <si>
    <t>Laser Annealed</t>
  </si>
  <si>
    <t>laser scan rate 20</t>
  </si>
  <si>
    <t>laser scan rate 30</t>
  </si>
  <si>
    <t>laser scan rate 50</t>
  </si>
  <si>
    <t>laser scan rate 60</t>
  </si>
  <si>
    <t>2015 Impact of carbon nanotube length on electron transport in aligned carbon nanotube networks</t>
  </si>
  <si>
    <t>Forest rolled, 465 Micron long CNTs</t>
  </si>
  <si>
    <t>Singapore Floating Cat</t>
  </si>
  <si>
    <t>Floating Catalyst</t>
  </si>
  <si>
    <t>Acid Doped</t>
  </si>
  <si>
    <t>XRD Herman</t>
  </si>
  <si>
    <t>Forest grown multiwalls, rolled down</t>
  </si>
  <si>
    <t>Rolled</t>
  </si>
  <si>
    <t>2009 Flexible High-Conductivity Carbon-Nanotube Interconnects Made by Rolling and Printing</t>
  </si>
  <si>
    <t>X ray</t>
  </si>
  <si>
    <t>3--8</t>
  </si>
  <si>
    <t>NanoComp Stretched 40%</t>
  </si>
  <si>
    <t>Stretched</t>
  </si>
  <si>
    <t>2012 In situ characterization of structural changes and the fraction of aligned carbon nanotube networks produced by stretching</t>
  </si>
  <si>
    <t>NanoComp Stretched 20%</t>
  </si>
  <si>
    <t>7--14</t>
  </si>
  <si>
    <t>2018 Enhancement of the twisted carbon nanotube fibers properties by drawing processing and acid treatment</t>
  </si>
  <si>
    <t>Drawn through die with Cu</t>
  </si>
  <si>
    <t xml:space="preserve">Nitric acid treated </t>
  </si>
  <si>
    <t>Drawn through die with Cu, nitric acid treated</t>
  </si>
  <si>
    <t>Copper treated, drawn with Cu, acid doped</t>
  </si>
  <si>
    <t xml:space="preserve">Stretched NanoComp, before doping </t>
  </si>
  <si>
    <t>Streteched, undoped</t>
  </si>
  <si>
    <t>2017 Ultra-high conductivity and metallic conduction mechanism of scaleup continuous carbon nanotube sheets by mechanical stretching and stable chemical doping</t>
  </si>
  <si>
    <t>Stretched NanoComp afer doping</t>
  </si>
  <si>
    <t>Stretched, doped</t>
  </si>
  <si>
    <t>7--16</t>
  </si>
  <si>
    <t>After rolling</t>
  </si>
  <si>
    <t>2017 Preparation of carbon nanotube film with high alignment and elevated density</t>
  </si>
  <si>
    <t>Before rolling</t>
  </si>
  <si>
    <t>5--7</t>
  </si>
  <si>
    <t>2015 Strong and Conductive Dry Carbon Nanotube Films by MicrocombingbyMicrocombing</t>
  </si>
  <si>
    <t>Microcombing</t>
  </si>
  <si>
    <t xml:space="preserve">Microcombing </t>
  </si>
  <si>
    <t xml:space="preserve">3-- 8 </t>
  </si>
  <si>
    <t>2009 High Mechanical Performance Composite Conductor: Multi-Walled Carbon Nanotube Sheet/Bismaleimide Nanocomposites</t>
  </si>
  <si>
    <t>NanoComp-- 40 % stretch</t>
  </si>
  <si>
    <t xml:space="preserve">40% Stretch </t>
  </si>
  <si>
    <t xml:space="preserve">8.8 +/- 2 </t>
  </si>
  <si>
    <t xml:space="preserve">13% Stretch in CSA </t>
  </si>
  <si>
    <t>As is condensed Floating Catalyst</t>
  </si>
  <si>
    <t>Twisted yarn</t>
  </si>
  <si>
    <t>2010 Carbon nanotube yarns with high tensile strength made by a twisting and shrinking method</t>
  </si>
  <si>
    <t>Acetone is best condenser</t>
  </si>
  <si>
    <t>Acetone Condensed Twisted yarn</t>
  </si>
  <si>
    <t xml:space="preserve">2020 Large improvement of CNT electrical conductivity by varying chemical doping and annealing treatment </t>
  </si>
  <si>
    <t>Annealed and Doped</t>
  </si>
  <si>
    <t>Forest strip, CNTs are only 2 to 4 walls according to their reference. Raman looks more like multiwall then few wall</t>
  </si>
  <si>
    <t>Forest fiber, CNTs are only 2 to 4 walls according to their reference. Raman looks more like multiwall then few wall</t>
  </si>
  <si>
    <t xml:space="preserve">2-3 walls </t>
  </si>
  <si>
    <t xml:space="preserve">2012 Carbon nanotube ﬁbers for electrochemical applications: effect of enhanced interfaces by an acid treatment </t>
  </si>
  <si>
    <t>Doped</t>
  </si>
  <si>
    <t xml:space="preserve">NMP Condensed at Room Temperature </t>
  </si>
  <si>
    <t>2018 Improved dry spinning process at elevated temperatures for making uniform and high strength CNT fibers</t>
  </si>
  <si>
    <t>NMP Condensed at 153 C</t>
  </si>
  <si>
    <t xml:space="preserve">Purified and Doped </t>
  </si>
  <si>
    <t>2018 The Operational Window of Carbon Nanotube electrical wires treated with strong acids and oxidants</t>
  </si>
  <si>
    <t>2012 Fabrication and mechanical properties of carbon nanotube yarns spun from ultra-long multi-walled carbon nanotube arrays</t>
  </si>
  <si>
    <t>2 ply</t>
  </si>
  <si>
    <t>2 ply and press</t>
  </si>
  <si>
    <t>8--10</t>
  </si>
  <si>
    <t>2011 A comparison of the mechanical properties of fibers spun
from different carbon nanotubes</t>
  </si>
  <si>
    <t>2008 Solid-state spun fibers and yarns from 1-mm long carbon
nanotube forests synthesized by water-assisted chemical vapor
deposition</t>
  </si>
  <si>
    <t>Densified and twisted</t>
  </si>
  <si>
    <t>2008 Macroscopic Fibers of Well-Aligned Carbon Nanotubes
by Wet Spinning</t>
  </si>
  <si>
    <t>2007 Strong Carbon-Nanotube Fibers Spun from
Long Carbon-Nanotube Arrays</t>
  </si>
  <si>
    <t>2017 High thermal conductivities of carbon nanotube films and micro-fibres and their dependence on morphology</t>
  </si>
  <si>
    <t>Category</t>
  </si>
  <si>
    <t>Aligned Multiwall CNTs</t>
  </si>
  <si>
    <t>Doped in terms of acid extrusion</t>
  </si>
  <si>
    <t xml:space="preserve">Liquid Extrusion </t>
  </si>
  <si>
    <t>Undoped</t>
  </si>
  <si>
    <t>Dedeoped</t>
  </si>
  <si>
    <t>2011 Highly conductive carbon nanotube buckypapers with improved doping stability via conjugational cross-linking</t>
  </si>
  <si>
    <t>CSA doped singlewalls</t>
  </si>
  <si>
    <t>Suspect there is a mistake in units</t>
  </si>
  <si>
    <t>1.16-- 1.83</t>
  </si>
  <si>
    <t>Floating Cat Doublewall CNT, after H2O2</t>
  </si>
  <si>
    <t>2016 High electrical conductivity of double-walled carbon nanotube fibers by hydrogen peroxide treatments</t>
  </si>
  <si>
    <t>Pristine</t>
  </si>
  <si>
    <t>Iodine Doped</t>
  </si>
  <si>
    <t>SOCl2 Doped</t>
  </si>
  <si>
    <t>N/A</t>
  </si>
  <si>
    <t>Superacid Extrusion</t>
  </si>
  <si>
    <t>Acid processed</t>
  </si>
  <si>
    <t>2014 High-Ampacity Power Cables of Tightly-Packed and Aligned Carbon Nanotubes</t>
  </si>
  <si>
    <t>Vac Annealed</t>
  </si>
  <si>
    <t>XRD Percentage</t>
  </si>
  <si>
    <t xml:space="preserve">2--7 </t>
  </si>
  <si>
    <t>Rolled double walls Floating Cat</t>
  </si>
  <si>
    <t>2014 High-strength carbon nanotube fibre-like ribbon with high ductility and high electrical conductivity</t>
  </si>
  <si>
    <t>As-is double walls Floating Cat</t>
  </si>
  <si>
    <t>Raman-- nematic order parameter</t>
  </si>
  <si>
    <t>Neutron</t>
  </si>
  <si>
    <t>Superacid Alignment 4000 Aspect ratio</t>
  </si>
  <si>
    <t>2016 Lightweight, flexible, high-performance carbon nanotube cables made by scalable flow coating</t>
  </si>
  <si>
    <t>Superacid Alignment 2410 Aspect ratio</t>
  </si>
  <si>
    <t>Superacid Alignment 1310 Aspect ratio</t>
  </si>
  <si>
    <t>19.6 Value in question because of scale procedure</t>
  </si>
  <si>
    <t xml:space="preserve">Value in question </t>
  </si>
  <si>
    <t>2--3</t>
  </si>
  <si>
    <t>Doped Floating Cat Doulewall</t>
  </si>
  <si>
    <t>Acid Processed Iodine Doped</t>
  </si>
  <si>
    <t>2011 Iodine doped carbon nanotube cables exceeding specific electrical conductivity of metals</t>
  </si>
  <si>
    <t>7.14285714285714   Value in question because of scale procedure</t>
  </si>
  <si>
    <t>Value in question</t>
  </si>
  <si>
    <t>SWCNT extrusion</t>
  </si>
  <si>
    <t>2013 Strong, Light, Multifunctional Fibers of Carbon Nanotubes with Ultrahigh Conductivity</t>
  </si>
  <si>
    <t>I Doped superacid extrusion</t>
  </si>
  <si>
    <t>Iodine doped</t>
  </si>
  <si>
    <t>DeDoped Annealed superacid extrusion</t>
  </si>
  <si>
    <t>2010 High conductivity carbon nanotube wires from radial densification and ionic doping</t>
  </si>
  <si>
    <r>
      <t xml:space="preserve">Pristine Floating Cat after densification, </t>
    </r>
    <r>
      <rPr>
        <sz val="11"/>
        <color rgb="FFFF0000"/>
        <rFont val="Calibri"/>
        <family val="2"/>
        <scheme val="minor"/>
      </rPr>
      <t>Not clear if this is few-wall</t>
    </r>
  </si>
  <si>
    <r>
      <t>Pristine Floating Cat before densification,</t>
    </r>
    <r>
      <rPr>
        <sz val="11"/>
        <color rgb="FFFF0000"/>
        <rFont val="Calibri"/>
        <family val="2"/>
        <scheme val="minor"/>
      </rPr>
      <t xml:space="preserve"> Not clear if this is few-wall</t>
    </r>
  </si>
  <si>
    <t>SEM FFT</t>
  </si>
  <si>
    <t>Aligned buckypaper, also has nematic order parameter</t>
  </si>
  <si>
    <t>2016 Wafer-scale monodomain films of spontaneously aligned single-walled carbon nanotubes</t>
  </si>
  <si>
    <t>1.05263157894737 Cannot use, this is a "density corrected value"</t>
  </si>
  <si>
    <r>
      <t xml:space="preserve">Thin and Unannealed Magnetic field aligned buckypaper, </t>
    </r>
    <r>
      <rPr>
        <sz val="11"/>
        <color rgb="FFFF0000"/>
        <rFont val="Calibri"/>
        <family val="2"/>
        <scheme val="minor"/>
      </rPr>
      <t xml:space="preserve">Questionable if this is counted as doped </t>
    </r>
  </si>
  <si>
    <t>2000 Electrical and thermal transport properties of magnetically aligned single wall carbon nanotube films</t>
  </si>
  <si>
    <t>0.138888888888889 Cannot use, this is a "density corrected value"</t>
  </si>
  <si>
    <t>Thin and annealed Magnetic field aligned Buckypaper</t>
  </si>
  <si>
    <t>0.8 Cannot use, this is a "density corrected value"</t>
  </si>
  <si>
    <t>Thick and un-annealed Magnetic field aligned Buckypaper</t>
  </si>
  <si>
    <t>0.121212121212121 Cannot use, this is a "density corrected value"</t>
  </si>
  <si>
    <t>Thick and annealed Magnetic field aligned Buckypaper</t>
  </si>
  <si>
    <t xml:space="preserve">X ray </t>
  </si>
  <si>
    <t xml:space="preserve">Magnetic field aligned buckypaper, had to calculate out their "density correction factor" </t>
  </si>
  <si>
    <t>2003 Magnetically aligned single wall carbon nanotube films: preferred orientation and anisotropic</t>
  </si>
  <si>
    <t xml:space="preserve">Magnetic fiewld aligned buckypaper </t>
  </si>
  <si>
    <t>0.9--3.3</t>
  </si>
  <si>
    <t>Degassed</t>
  </si>
  <si>
    <t>0.9--2.5</t>
  </si>
  <si>
    <t>0.9--3.0</t>
  </si>
  <si>
    <t>Not clear what fibers they are referring to</t>
  </si>
  <si>
    <t>1.6--3.5</t>
  </si>
  <si>
    <t>Floating Cat</t>
  </si>
  <si>
    <t>2004 Direct Spinning of Carbon Nanotube Fibers from Chemical Vapor Deposition Synthesis</t>
  </si>
  <si>
    <t>0.8--2.0</t>
  </si>
  <si>
    <t>Acid Processed, mechanical densification Floating Cat</t>
  </si>
  <si>
    <t>Acid Processed, densified</t>
  </si>
  <si>
    <t>2015 Fabrication of highly conductive carbon nanotube fibers for electrical application</t>
  </si>
  <si>
    <t>0.9--2.0</t>
  </si>
  <si>
    <t xml:space="preserve">Undoped, floating Cat </t>
  </si>
  <si>
    <t>2017 Performance improvement of continuous carbon nanotube fibers by acid treatment</t>
  </si>
  <si>
    <t>Nitric acid doped floating cat</t>
  </si>
  <si>
    <t>Acid dopped</t>
  </si>
  <si>
    <t>Sulfuric acid doped floating cat</t>
  </si>
  <si>
    <t>Acid doped</t>
  </si>
  <si>
    <t>ChloroSulfuric acid doped floating cat</t>
  </si>
  <si>
    <t>1.2--2.0</t>
  </si>
  <si>
    <t>Singlewall</t>
  </si>
  <si>
    <t>2007 Directly Synthesized Strong, Highly Conducting, Transparent Single-Walled Carbon Nanotube Films</t>
  </si>
  <si>
    <t>1.5--2.5</t>
  </si>
  <si>
    <t>Best Rice process so far</t>
  </si>
  <si>
    <t>Acid Processed</t>
  </si>
  <si>
    <t>2017 Influence of Carbon Nanotube Characteristics on Macroscopic Fiber Properties</t>
  </si>
  <si>
    <t>Singapore Float Car sent to Rice</t>
  </si>
  <si>
    <t>2017 Purification and Dissolution of Carbon Nanotube Fibers Spun from the Floating Catalyst Method</t>
  </si>
  <si>
    <t>Singapore Float Car sent to Rice as is</t>
  </si>
  <si>
    <t>Camb floating Cat</t>
  </si>
  <si>
    <t>2017 Extreme Magneto-transport of Bulk Carbon Nanotubes in Sorted Electronic Concentrations and Aligned High Performance Fiber</t>
  </si>
  <si>
    <t>Laser annealed Acid Processed</t>
  </si>
  <si>
    <t>2017 Photonic Sorting of Aligned, Crystalline Carbon Nanotube Textiles</t>
  </si>
  <si>
    <t>2004 Macroscopic, Neat, Single-Walled Carbon Nanotube Fibers</t>
  </si>
  <si>
    <t>Slide sheer method, Herman orientation parameter is 0.974</t>
  </si>
  <si>
    <t>2018 Structure–Property Relations in Carbon Nanotube Fibers by Downscaling Solution Processing</t>
  </si>
  <si>
    <t>Diamond dies</t>
  </si>
  <si>
    <t>Drawing Dies Densification</t>
  </si>
  <si>
    <t>2017_High-modulus and strength carbon nanotube fibers using molecularCrossLinking</t>
  </si>
  <si>
    <t>Cross linked</t>
  </si>
  <si>
    <t>1--2</t>
  </si>
  <si>
    <t>Twisted, then rolled</t>
  </si>
  <si>
    <t>2017 High-strength carbon nanotube fibers by twist-induced self strengthening</t>
  </si>
  <si>
    <t>2--4</t>
  </si>
  <si>
    <t>2016 High-Strength Carbon Nanotube Film from Improving Alignment and Densification</t>
  </si>
  <si>
    <t xml:space="preserve">2014 Iodine monochloride as a powerful enhancerof electrical conductivity of carbon nanotube wires </t>
  </si>
  <si>
    <t>Purified Cambridge double wall Floating Cat</t>
  </si>
  <si>
    <t xml:space="preserve">Sonicated </t>
  </si>
  <si>
    <t>2017 One-step purification of direct-spun CNT fibers by post-production sonication</t>
  </si>
  <si>
    <t>Cambridge double wall Floating Cat</t>
  </si>
  <si>
    <t>Acetone Densified</t>
  </si>
  <si>
    <t>7--8</t>
  </si>
  <si>
    <t>NanoComp Large Doublewalls</t>
  </si>
  <si>
    <t xml:space="preserve">2019 Toward Ultralight High Strength Structural Materials via Collapsed Carbon </t>
  </si>
  <si>
    <t>Annealing under pressure</t>
  </si>
  <si>
    <t>2016 Relationship between Mechanical and Electrical Properties of Continuous Polymer-Free Carbon Nanotube Fibers by Wet-Spinning Method and Nanotube-Length Estimated by Far-Infrared Spectroscopy</t>
  </si>
  <si>
    <t xml:space="preserve">NanoComp Singlewall material </t>
  </si>
  <si>
    <t>2012 Electromechanical response and failure behaviour of aerogel-spun carbon nanotube fibres under tensile loading</t>
  </si>
  <si>
    <t>2019 Direct spinning and densification method for high-performance carbon nanotube fibers</t>
  </si>
  <si>
    <t>CSA stretched</t>
  </si>
  <si>
    <t>CSA stretched, vacuum bake</t>
  </si>
  <si>
    <t>2019 Extreme stretching of high G:D ratio carbon nanotube fibers using super-acid</t>
  </si>
  <si>
    <t>Aligned Few-wall CNTs</t>
  </si>
  <si>
    <t>Doped Buckypaper</t>
  </si>
  <si>
    <t>H2SO4</t>
  </si>
  <si>
    <t xml:space="preserve">Unsorted </t>
  </si>
  <si>
    <t>0.8--2</t>
  </si>
  <si>
    <t>NMP, then vacuum baked</t>
  </si>
  <si>
    <t>Vacuum baked</t>
  </si>
  <si>
    <t>2012 Dramatic electrical conductivity improvement of carbon nanotube networks by simultaneous de-bundling and hole-doping with chlorosulfonic acid</t>
  </si>
  <si>
    <t>4--5</t>
  </si>
  <si>
    <t>1.5--3</t>
  </si>
  <si>
    <t>CSA Doped</t>
  </si>
  <si>
    <t>1.5--2</t>
  </si>
  <si>
    <t>2011 High conductivity transparent carbon nanotube films deposited from superacid</t>
  </si>
  <si>
    <t>1--1.4</t>
  </si>
  <si>
    <t xml:space="preserve">Undoped, Metallic </t>
  </si>
  <si>
    <t>Counter doped</t>
  </si>
  <si>
    <t xml:space="preserve">Metallic </t>
  </si>
  <si>
    <t>2008 Transparent Conductive Single-Walled Carbon Nanotube Networks with Precisely Tunable Ratios of Semiconducting and Metallic Nanotubes</t>
  </si>
  <si>
    <t>Undoped, Semiconducting</t>
  </si>
  <si>
    <t xml:space="preserve">Semiconducting </t>
  </si>
  <si>
    <t xml:space="preserve">Doped, Metallic </t>
  </si>
  <si>
    <t>Metallic</t>
  </si>
  <si>
    <t>Doped, Semiconducting</t>
  </si>
  <si>
    <t>1500 microns long</t>
  </si>
  <si>
    <t>Compressed</t>
  </si>
  <si>
    <t>2013 Influence of lengths of millimeter-scale single-walled carbon nanotube on electrical and mechanical properties of buckypaper</t>
  </si>
  <si>
    <t>As-dried</t>
  </si>
  <si>
    <t>700 microns long</t>
  </si>
  <si>
    <t>350 microns long</t>
  </si>
  <si>
    <t>Fully metallic, dedoped</t>
  </si>
  <si>
    <t xml:space="preserve">Vac Annealed </t>
  </si>
  <si>
    <t>2010 Transport Mechanisms in Metallic and Semiconducting Single-Wall Carbon Nanotube Networks</t>
  </si>
  <si>
    <t>Fully Semiconducting, dedoped</t>
  </si>
  <si>
    <t>SoCL2 Doped HipCo</t>
  </si>
  <si>
    <t>2004 Effect of SOCl2 Treatment on Electrical and Mechanical Properties of Single-Wall Carbon Nanotube Networks</t>
  </si>
  <si>
    <t>Pristine HipCo</t>
  </si>
  <si>
    <t>SoCL2 Doped Laser Ablation</t>
  </si>
  <si>
    <t>Pristine Laser Ablation</t>
  </si>
  <si>
    <t>SoCL2 Doped Arc Discharge</t>
  </si>
  <si>
    <t>Pristine Arc Discharge</t>
  </si>
  <si>
    <t>Olium exposed, wahed out</t>
  </si>
  <si>
    <t>2003 Single-Wall Carbon Nanotube Films</t>
  </si>
  <si>
    <t xml:space="preserve">Olium exposed, wahed out, heat treated </t>
  </si>
  <si>
    <t>SoCL2 Doped</t>
  </si>
  <si>
    <t>2005 Effect of Chemical Treatment on Electrical Conductivity, Infrared Absorption, and Raman Spectra of Single-Walled Carbon Nanotubes</t>
  </si>
  <si>
    <t>2017 Free-standing films from chirality-controlled carbon nanotubes</t>
  </si>
  <si>
    <t xml:space="preserve">Coffee grinder before sonication, annealed to remove matrix </t>
  </si>
  <si>
    <t xml:space="preserve">2019 Simple method to improve electrical conductivity of films made from single wall carbon nanotubes </t>
  </si>
  <si>
    <t>Sorted Status</t>
  </si>
  <si>
    <t>Unaligned Few-wall CNTs</t>
  </si>
  <si>
    <t>50--80</t>
  </si>
  <si>
    <t>2011 Probing the inter-tube transport in aligned and random multiwall carbon nanotubes</t>
  </si>
  <si>
    <t>2009 Transport properties of hot pressed bulk carbon nanotubes compacted by spark plasma sintering</t>
  </si>
  <si>
    <t>Decreasinng Length 3.2 microns</t>
  </si>
  <si>
    <t>2009 Highly conductive multiwall carbon nanotube and epoxy composites produced by three-roll milling</t>
  </si>
  <si>
    <t>Decreasinng Length 2.15 microns</t>
  </si>
  <si>
    <t>Decreasinng Length 1.0 microns</t>
  </si>
  <si>
    <t>Decreasinng Length 0.9 microns</t>
  </si>
  <si>
    <t xml:space="preserve">2012 Freestanding bucky paper with high strength from multi-wall carbon nanotubes </t>
  </si>
  <si>
    <t>This is unaligned. Aligned Material also made</t>
  </si>
  <si>
    <t>40--60</t>
  </si>
  <si>
    <t>Acid functionalized for 90 min</t>
  </si>
  <si>
    <t>Buckypaper</t>
  </si>
  <si>
    <t>2008 The feasibility of producing MWCNT paper and strong MWCNT film from VACNT array</t>
  </si>
  <si>
    <t>Acid functionalized for 100 min</t>
  </si>
  <si>
    <t>Acid functionalized for 110 min</t>
  </si>
  <si>
    <t>Acid functionalized for 120 min</t>
  </si>
  <si>
    <t>Acid functionalized for 130 min</t>
  </si>
  <si>
    <t>General Nano As is</t>
  </si>
  <si>
    <t>2018 Roll-to-roll continuous carbon nanotube sheets with high electrical conductivity</t>
  </si>
  <si>
    <t>Heat treated General Nano</t>
  </si>
  <si>
    <t xml:space="preserve">Heat treated </t>
  </si>
  <si>
    <t>Nitric acid Doped General Nano</t>
  </si>
  <si>
    <t>Iodine Doped General Nano</t>
  </si>
  <si>
    <t>Nitric acid and Iodine Doped General Nano</t>
  </si>
  <si>
    <t>NanoComp unstretched, anisotropy 1.04</t>
  </si>
  <si>
    <t>Unaligned multiwall CNTs</t>
  </si>
  <si>
    <t>Conductive Polymer</t>
  </si>
  <si>
    <t>1992 Recent advances in highly conductive
polyacetylene</t>
  </si>
  <si>
    <t>GIC</t>
  </si>
  <si>
    <t>Intercalation compounds of graphite</t>
  </si>
  <si>
    <t xml:space="preserve">Mott minimum conductivity </t>
  </si>
  <si>
    <t xml:space="preserve"> Mott criterion for minimum metallic conductivity (from Vavro 2005)</t>
  </si>
  <si>
    <t>Glassy Carbon</t>
  </si>
  <si>
    <t>Amorphous carbon</t>
  </si>
  <si>
    <t>1986 Amorphous Carbon</t>
  </si>
  <si>
    <t>Individual Multiwall CNTs</t>
  </si>
  <si>
    <t>1999_Electrical transport in pure and boron-doped carbon nanotubes</t>
  </si>
  <si>
    <t>2001 Reliability and current carrying capacity of carbon nanotubes</t>
  </si>
  <si>
    <t>1996 Probing Electrical Transport in Nanomaterials: Individual Singlewalled Carbon Nanotubes</t>
  </si>
  <si>
    <t>2005 Multichannel Ballistic Transport in Multiwall Carbon Nanotubes</t>
  </si>
  <si>
    <t>15--22</t>
  </si>
  <si>
    <t>2008 Measurements of near-ultimate strength for multiwalled carbon nanotubes and irradiation-induced crosslinking improvements</t>
  </si>
  <si>
    <t xml:space="preserve">Irradiated </t>
  </si>
  <si>
    <t>2000 Strength and Breaking Mechanism of Multiwalled Carbon Nanotubes Under Tensile Load</t>
  </si>
  <si>
    <t>1.2-1.4 nm diameter in a bundle</t>
  </si>
  <si>
    <t>1996 Crystaline ropes of metallic carbon nanotubes</t>
  </si>
  <si>
    <t xml:space="preserve">2009 Electrical Connectivity in Single-Walled Carbon Nanotube Networks </t>
  </si>
  <si>
    <t>2010_High energy density lithium-ion batteries with carbon nanotube anodes</t>
  </si>
  <si>
    <t>Individual FWCNT</t>
  </si>
  <si>
    <t>2002 Single-Walled Carbon Nanotube Electronics</t>
  </si>
  <si>
    <t>2015 The Structural and Electronic Properties of Carbon Nanotubes</t>
  </si>
  <si>
    <t>2018 Carbon nanotube bundles with tensile strength over 80 GPa</t>
  </si>
  <si>
    <t>Single crystal graphite</t>
  </si>
  <si>
    <t>Doping increasing volume and weight of graphite, density is largely unchanged</t>
  </si>
  <si>
    <t>Upperbound estimate for specific conductivity</t>
  </si>
  <si>
    <t>1986 Properties of AsF5 Intercalated Vapor Grown Graphite</t>
  </si>
  <si>
    <t>1984 AN ASSESSMENT OF GRAPHITIZED CARBON FIBER USE FOR ELECTRICAL POWER TRANSMISSION</t>
  </si>
  <si>
    <t>1987 High electrical conductivity in doped polyacetylene</t>
  </si>
  <si>
    <t>Carbon Fiber</t>
  </si>
  <si>
    <t>Hexcel AS4</t>
  </si>
  <si>
    <t>Hexcel IM8</t>
  </si>
  <si>
    <t>Cytec Thornel ® PAN -based carbon fibers T650/35</t>
  </si>
  <si>
    <t>Toray Torayca ® PAN -based carbon fibers M30SC</t>
  </si>
  <si>
    <t>Cytec Thornel® pitch -based carbon fibers K-800X</t>
  </si>
  <si>
    <t>Cytec Thornel® pitch -based carbon fibers K-1100</t>
  </si>
  <si>
    <t xml:space="preserve">Toray 1100 </t>
  </si>
  <si>
    <t>Carbon fiber (Toray T1100G)</t>
  </si>
  <si>
    <t>Carbon fiber</t>
  </si>
  <si>
    <t>Polybenzoxazole (Zylon)</t>
  </si>
  <si>
    <t>UHMWPE fibers/ Dyneema</t>
  </si>
  <si>
    <t>Aramid (Kevlar)</t>
  </si>
  <si>
    <t xml:space="preserve">Steel 4130 </t>
  </si>
  <si>
    <t>Titanium 6M-4V</t>
  </si>
  <si>
    <t>Aluminum 6061-T6</t>
  </si>
  <si>
    <t>Single Crystal Graphite</t>
  </si>
  <si>
    <t>Graphitized Benzene Derived Carbon fiber</t>
  </si>
  <si>
    <t>Paper</t>
  </si>
  <si>
    <t>Copper</t>
  </si>
  <si>
    <t>http://www.torayca.com/en/download/pdf/torayca_t1100g.pdf</t>
  </si>
  <si>
    <t>2016 Processing, structure, and properties of carbon fibers</t>
  </si>
  <si>
    <t>http://www.toyobo-global.com/seihin/kc/pbo/zylon_bussei.html</t>
  </si>
  <si>
    <t>https://www.christinedemerchant.com/aramid_characteristics.html</t>
  </si>
  <si>
    <t>https://www.clearwatercomposites.com/resources/properties-of-carbon-fiber/          http://www.substech.com/dokuwiki/doku.php?id=alloy_steel_sae_4130</t>
  </si>
  <si>
    <t>https://www.clearwatercomposites.com/resources/properties-of-carbon-fiber/</t>
  </si>
  <si>
    <t>1986 ELASTIC PROPERTIES, PAPER QUALITY, AND PROCESS CONTROL</t>
  </si>
  <si>
    <t>http://www.matweb.com/search/datasheet_print.aspx?matguid=9aebe83845c04c1db5126fada6f76f7e</t>
  </si>
  <si>
    <t>https://paperonweb.com/paperpro.htm#Strength%20Properties</t>
  </si>
  <si>
    <t>https://www.toraycma.com/page.php?id=661</t>
  </si>
  <si>
    <t>High modulus carbon fiber</t>
  </si>
  <si>
    <t>Synthetic fiber</t>
  </si>
  <si>
    <t>Metal</t>
  </si>
  <si>
    <t>Aluminum</t>
  </si>
  <si>
    <t xml:space="preserve">Air stable,  FeC13-intercalated fibers, yielding fibers with a conductivity to mass density ratio comparable to copper. </t>
  </si>
  <si>
    <t>Copper C10500</t>
  </si>
  <si>
    <t xml:space="preserve">Aluminum 1350-H19 </t>
  </si>
  <si>
    <t xml:space="preserve">Aluminum 6201-T81 </t>
  </si>
  <si>
    <t xml:space="preserve">Zinc coated steel AISI-SAE 1078 </t>
  </si>
  <si>
    <t>benzene derived carbon fiber</t>
  </si>
  <si>
    <t>TP4104B/Br2</t>
  </si>
  <si>
    <t>BDF/BR2</t>
  </si>
  <si>
    <t>TP4104B/PdCl2</t>
  </si>
  <si>
    <t>UC Fiber/CuCl2</t>
  </si>
  <si>
    <t>1989 Applications of graphite intercalation compounds</t>
  </si>
  <si>
    <t>Metal Chlorides</t>
  </si>
  <si>
    <t>Stable in Air</t>
  </si>
  <si>
    <t>1977 The electrical conductivity of graphite intercalated with superacid fluorides: experiments with antimony pentafluoride</t>
  </si>
  <si>
    <t>SbF5</t>
  </si>
  <si>
    <t>AsF5</t>
  </si>
  <si>
    <t>1977 ROOM TEMPERATURE ELECTRICAL CONDUCTIVITY OF A HIGHLY TWO DIMENSIONAL SYNTHETIC METAL: AsF
5_GRAPHITE</t>
  </si>
  <si>
    <t>1987 Preparation and properties of graphite grown in vapor phase</t>
  </si>
  <si>
    <t>1000 (Number seems incorrect)</t>
  </si>
  <si>
    <t>10000 (Number seems incorrect)</t>
  </si>
  <si>
    <t>93 Very high conductivity for a very wide CNT, well beyond graphite, does not seem to be repeated in literature</t>
  </si>
  <si>
    <t>Boron Doped</t>
  </si>
  <si>
    <t>Nitric acid</t>
  </si>
  <si>
    <t>NO2SbF6</t>
  </si>
  <si>
    <t>Red fuming Nitric acid</t>
  </si>
  <si>
    <t>Nitric acid/ AsF5</t>
  </si>
  <si>
    <t xml:space="preserve">1985 ELECTRICAL RESISTIVITY AND MAGNETORESISTANCE OF CARBON/GRAPHITE FIBERS INTERCALATED WITH NITRIC ACID AND ARSENIC PENTAFLUORIDE </t>
  </si>
  <si>
    <t>2019 Strength of carbon nanotubes depends on their chemical structures</t>
  </si>
  <si>
    <t>References other papers</t>
  </si>
  <si>
    <t>Very high conductivity graphite</t>
  </si>
  <si>
    <t>Doped AsF5</t>
  </si>
  <si>
    <t>Doped HNO3</t>
  </si>
  <si>
    <t>Doped Br2</t>
  </si>
  <si>
    <t>Doped Icl</t>
  </si>
  <si>
    <t>Doped CuCl2</t>
  </si>
  <si>
    <t>Alkali metal, long term air exposed</t>
  </si>
  <si>
    <t>2019 Solving the Thermoelectric Trade-Off Problem with Metallic Carbon Nanotubes</t>
  </si>
  <si>
    <t>Gate Voltage</t>
  </si>
  <si>
    <t>99% Metallic</t>
  </si>
  <si>
    <t>50% Metallic</t>
  </si>
  <si>
    <t>10% Metallic</t>
  </si>
  <si>
    <t>1% Metallic</t>
  </si>
  <si>
    <t>Aligned buckypaper, metallic, 96% Metallic</t>
  </si>
  <si>
    <t xml:space="preserve">Floating Catalyst </t>
  </si>
  <si>
    <t>Iron</t>
  </si>
  <si>
    <t xml:space="preserve">Log[Tensile Strength (Mpa)] vs Log[Young's Modulus] </t>
  </si>
  <si>
    <t>Unaligned, Multi-wall CNTs</t>
  </si>
  <si>
    <t>Aligned, Multi-wall CNTs</t>
  </si>
  <si>
    <t xml:space="preserve">Unaligned, Few-wall CNTs </t>
  </si>
  <si>
    <t>Aligned, Few-wall CNTs</t>
  </si>
  <si>
    <t xml:space="preserve">Log[Conductivity (MS/m)] vs Log[Tensile Strength (Mpa)] </t>
  </si>
  <si>
    <t xml:space="preserve">Log[Conductivity (MS/m)] vs Log[Density (g/cm3)] </t>
  </si>
  <si>
    <t xml:space="preserve">Log[Tensile Strength (MPa)] vs Log[Density (g/cm3)] </t>
  </si>
  <si>
    <t xml:space="preserve">Floating catalyst in N2 </t>
  </si>
  <si>
    <t>Floating catalyst Double wall</t>
  </si>
  <si>
    <t>Floating catalyst Singlewall wall</t>
  </si>
  <si>
    <t>Doped Floating catalyst Double wall</t>
  </si>
  <si>
    <t>Doped Floating catalyst Singlewall wall</t>
  </si>
  <si>
    <t xml:space="preserve">Rolled Floating catalyst in N2 </t>
  </si>
  <si>
    <t xml:space="preserve">Log[Specific Conductivity] vs Log[Density (g/cm3)] </t>
  </si>
  <si>
    <t>Br2 Doped benzine derived carbon fiber</t>
  </si>
  <si>
    <t>1983 ELECTRICAL AND MECHANICAL PROPERTIES OF COPPER CHLORIDE-INTERCALATED PITCH-BASED CARBON FIBERS</t>
  </si>
  <si>
    <t>MnCl2 Stage 2</t>
  </si>
  <si>
    <t>CuCl2 Stage 1</t>
  </si>
  <si>
    <t xml:space="preserve">HNO3 </t>
  </si>
  <si>
    <t>NiCl2</t>
  </si>
  <si>
    <t>CuCl2 stage 1 and 2</t>
  </si>
  <si>
    <t>FeCl3 Stage 2 and 3</t>
  </si>
  <si>
    <t>CuCl2 stage 2 and 3</t>
  </si>
  <si>
    <t>Mixed Chlorides</t>
  </si>
  <si>
    <t xml:space="preserve">1987 ELECTRICAL CONDUCTIVITY, MECHANICAL PROPERTIES AND STABILITY OF INTERCALATED GRAPHITE FIBERS </t>
  </si>
  <si>
    <t>Nitric Acid Doped</t>
  </si>
  <si>
    <t xml:space="preserve">1980 PREPARATION AND ELECTRONIC PROPERTIES OF INTERCALATION COMPOUNDS OF GRAPHITE FIBERS </t>
  </si>
  <si>
    <t>Plottable CNT Diameter (nm)</t>
  </si>
  <si>
    <t>Log Conductivity</t>
  </si>
  <si>
    <t>Log Density</t>
  </si>
  <si>
    <t>Log Specific Conductivity</t>
  </si>
  <si>
    <t>Log Specific Strength</t>
  </si>
  <si>
    <t>Log Youngs Modulus</t>
  </si>
  <si>
    <t>Log Raman G:D Ratio</t>
  </si>
  <si>
    <r>
      <t xml:space="preserve">(10^-12)*G:D </t>
    </r>
    <r>
      <rPr>
        <b/>
        <sz val="11"/>
        <color theme="1"/>
        <rFont val="Arial"/>
        <family val="2"/>
      </rPr>
      <t>λ</t>
    </r>
    <r>
      <rPr>
        <b/>
        <sz val="11"/>
        <color theme="1"/>
        <rFont val="Calibri"/>
        <family val="2"/>
      </rPr>
      <t>^4</t>
    </r>
  </si>
  <si>
    <t>G Peak Position (cm-1)</t>
  </si>
  <si>
    <t>Bulk Fiber Diameter (microns)</t>
  </si>
  <si>
    <t>Acid</t>
  </si>
  <si>
    <t>Log Raman (10^-12)*G:D λ^4</t>
  </si>
  <si>
    <t>1990 Mechanical and electrical properties of polyacetylene films oriented by tensile drawing</t>
  </si>
  <si>
    <t>These mechanical properties are before doping</t>
  </si>
  <si>
    <t>Nitrogen doped during growth</t>
  </si>
  <si>
    <t>30--80</t>
  </si>
  <si>
    <t>forest length in microns 158.646616541353</t>
  </si>
  <si>
    <t>forest length in microns 239.097744360902</t>
  </si>
  <si>
    <t>forest length in microns 389.473684210526</t>
  </si>
  <si>
    <t>2010_Structure and process-dependent properties of solid-state spun carbon nanotube yarns</t>
  </si>
  <si>
    <t>Forest height 350 microns</t>
  </si>
  <si>
    <t>Forest rolled,  90 Micron long CNTs</t>
  </si>
  <si>
    <t xml:space="preserve">Drawn through dies as is </t>
  </si>
  <si>
    <t>HClO4</t>
  </si>
  <si>
    <t>Br</t>
  </si>
  <si>
    <t>Further Twisted</t>
  </si>
  <si>
    <t>After CSA stretch and bake</t>
  </si>
  <si>
    <t>Log CNT Diameter</t>
  </si>
  <si>
    <t>Log Fiber Diameter</t>
  </si>
  <si>
    <t>Mechanically condensed and HNO3 treatment</t>
  </si>
  <si>
    <t>Mechanically Condensed</t>
  </si>
  <si>
    <t>HNO3 dipping</t>
  </si>
  <si>
    <t>Unsorted</t>
  </si>
  <si>
    <t>Absolute J max (A/m2)</t>
  </si>
  <si>
    <t>Absolute J failure (A/m2</t>
  </si>
  <si>
    <t>Specific J max (mA/tex)</t>
  </si>
  <si>
    <t>Specific J failure (mA/tex)</t>
  </si>
  <si>
    <t>Absolute I max (mA)</t>
  </si>
  <si>
    <t>Two-probe</t>
  </si>
  <si>
    <t>Air</t>
  </si>
  <si>
    <t>Vacuum</t>
  </si>
  <si>
    <t>Breakdown Temp (oC)</t>
  </si>
  <si>
    <t>2008_The high current-carrying capacity of various carbon nanotube-based buckypapers</t>
  </si>
  <si>
    <t>Buckypaper, random, 10 to 20 micron thick</t>
  </si>
  <si>
    <t>Buckypaper, aligned, 10 to 20 micron thick</t>
  </si>
  <si>
    <t>Arc-discharge</t>
  </si>
  <si>
    <t>Four-probe</t>
  </si>
  <si>
    <t>2019 Fabrication of high-strength carbon nanotube bundles using iron oxides coassisted chemical vapor deposition</t>
  </si>
  <si>
    <t>Fully Semiconducting n doped</t>
  </si>
  <si>
    <t xml:space="preserve">Sorting Doped </t>
  </si>
  <si>
    <t>2017 Large n- and p-type thermoelectric power factors from doped semiconducting single-walled carbon nanotube thin films</t>
  </si>
  <si>
    <t>Semiconducting</t>
  </si>
  <si>
    <t>Sorted</t>
  </si>
  <si>
    <t>2019 Thermoelectric properties of sorted semiconducting single-walled carbon nanotube sheets</t>
  </si>
  <si>
    <t>Temp (K)</t>
  </si>
  <si>
    <t>R/R0</t>
  </si>
  <si>
    <t>Scaling of Resistance and Electron Mean Free Path of Single-Walled Carbon Nanotubes</t>
  </si>
  <si>
    <t>Individual metallic SWCNT</t>
  </si>
  <si>
    <t>Metallic resistivity in crystalline ropes of single-wall carbon nanotubes</t>
  </si>
  <si>
    <t>Individual SWCNT bundle</t>
  </si>
  <si>
    <t>Aligned SWCNT cable acid extruded iodine doped</t>
  </si>
  <si>
    <t>Strong, Light, Multifunctional Fibers of Carbon Nanotubes with Ultrahigh Conductivity</t>
  </si>
  <si>
    <t>Conductivity</t>
  </si>
  <si>
    <t xml:space="preserve">Aligned SWCNT cable acid extruded </t>
  </si>
  <si>
    <t>T Star (K)</t>
  </si>
  <si>
    <t>Aligned SWCNT cable acid extruded Annealed</t>
  </si>
  <si>
    <t xml:space="preserve">Doped unaligned SWCNT film  </t>
  </si>
  <si>
    <t>Metal-insulator transition in doped single-wall carbon nanotubes J.</t>
  </si>
  <si>
    <t>Unaligned SWCNT film</t>
  </si>
  <si>
    <t>Annealed Unaligned SWCNT film</t>
  </si>
  <si>
    <t>Transport Mechanisms in Metallic and Semiconducting Single-Wall Carbon Nanotube Networks</t>
  </si>
  <si>
    <t xml:space="preserve">100% Metallic Unaligned SWCNT film </t>
  </si>
  <si>
    <t xml:space="preserve">100% Semi-conducting Unaligned SWCNT film </t>
  </si>
  <si>
    <t>Probing the inter-tube transport in aligned and random multiwall carbon nanotubes</t>
  </si>
  <si>
    <t xml:space="preserve">Aligned Multiwall film </t>
  </si>
  <si>
    <t xml:space="preserve">Unaligned Multiwall film </t>
  </si>
  <si>
    <t>Electronic transport in carbon nanotubes: From individual nanotubes to thin and thick networks V.</t>
  </si>
  <si>
    <t>Individual MWCNT</t>
  </si>
  <si>
    <t>Two-dimensional weak localization in partially graphitic carbons V.</t>
  </si>
  <si>
    <t>Disordered graphite</t>
  </si>
  <si>
    <t>As5 GIC</t>
  </si>
  <si>
    <t>Metallic transport in polyaniline</t>
  </si>
  <si>
    <t>Typical conductive polymer</t>
  </si>
  <si>
    <t>Highly ordered conductive polymer</t>
  </si>
  <si>
    <t xml:space="preserve">2008 The Relationship between network morphology and conductivity in nanotube films </t>
  </si>
  <si>
    <t>Sonicated and Functionalized</t>
  </si>
  <si>
    <t>Sorted and aligned filtered</t>
  </si>
  <si>
    <t>2017 Strong and Broadly Tunable Plasmon Resonances in Thick Films of Aligned Carbon Nanotubes</t>
  </si>
  <si>
    <t>doped</t>
  </si>
  <si>
    <t>NanoComp As is</t>
  </si>
  <si>
    <t>NanoComp-- 20 % stretch</t>
  </si>
  <si>
    <t>NanoComp-- 30 % stretch</t>
  </si>
  <si>
    <t>NanoComp-- 35 % stretch</t>
  </si>
  <si>
    <t>NanoComp-- 38 % stretch</t>
  </si>
  <si>
    <t>Stretch</t>
  </si>
  <si>
    <t>NMP0</t>
  </si>
  <si>
    <t>NMP7</t>
  </si>
  <si>
    <t>CSA0</t>
  </si>
  <si>
    <t>CSA7</t>
  </si>
  <si>
    <t>CSA Stretched</t>
  </si>
  <si>
    <t>CSA doped</t>
  </si>
  <si>
    <t>Before Acetone</t>
  </si>
  <si>
    <t>Before Condensation</t>
  </si>
  <si>
    <t>After condensation</t>
  </si>
  <si>
    <t>2010 Double-Peak Mechanical Properties of Carbon- Nanotube Fibers</t>
  </si>
  <si>
    <t xml:space="preserve">2440 for 2.25 hours </t>
  </si>
  <si>
    <t>2250C for 11 hours</t>
  </si>
  <si>
    <t>2018 Powerful doping of chirality-sorted carbon nanotube film</t>
  </si>
  <si>
    <t>2015 Strong Carbon Nanotube Fibers by Drawing Inspiration from Polymer Fiber Spinning</t>
  </si>
  <si>
    <t xml:space="preserve">Acetone Densified and stretched </t>
  </si>
  <si>
    <t>2017 Three-dimensional texture analysis of aligned carbon nanotube structures</t>
  </si>
  <si>
    <t xml:space="preserve">Ethanol Densified and stretched </t>
  </si>
  <si>
    <t xml:space="preserve">Ethanol Densified </t>
  </si>
  <si>
    <t>stretched</t>
  </si>
  <si>
    <t>One time stretching and pressing</t>
  </si>
  <si>
    <t>Two time strtching and pressing</t>
  </si>
  <si>
    <t>Stetched</t>
  </si>
  <si>
    <t>2014 Highly aligned dense carbon nanotube sheets induced by multiple stretching and pressing</t>
  </si>
  <si>
    <t>pressed</t>
  </si>
  <si>
    <t>2015 Effects of CNT diameter on mechanical properties of aligned CNT sheets
and composites</t>
  </si>
  <si>
    <t>500 nm long CNTs</t>
  </si>
  <si>
    <t xml:space="preserve">2018 Intrinsically ultrastrong plasmon–exciton interactions in crystallized films of carbon nanotubes </t>
  </si>
  <si>
    <t>Baked and water vapor added, see supp</t>
  </si>
  <si>
    <t>2016 Thermoelectric properties of single-wall carbon nanotube films: Diameter and wet-environment effects</t>
  </si>
  <si>
    <t>Sorted and Doped</t>
  </si>
  <si>
    <t>2019 Intrinsic and Extrinsically Limited Thermoelectric Transport within Semiconducting Single-Walled Carbon Nanotube Networks</t>
  </si>
  <si>
    <t>R value at lowest temp</t>
  </si>
  <si>
    <t>R value at 4.2 K</t>
  </si>
  <si>
    <t>R value at 10 K</t>
  </si>
  <si>
    <t>R value at 77 K</t>
  </si>
  <si>
    <t>R value at 300 K</t>
  </si>
  <si>
    <t xml:space="preserve">NanoComp before stretching </t>
  </si>
  <si>
    <t xml:space="preserve">Doped, NanoComp before stretching </t>
  </si>
  <si>
    <t>2010C for 72 hours</t>
  </si>
  <si>
    <t>2010C for 8 hours</t>
  </si>
  <si>
    <t>1.2--1.4</t>
  </si>
  <si>
    <t>Pristine Floating Cat doublewall Still processed with dulfuric acid, considered doped</t>
  </si>
  <si>
    <t xml:space="preserve">Acid Processed </t>
  </si>
  <si>
    <t xml:space="preserve">Aligned fitered </t>
  </si>
  <si>
    <t>PLV</t>
  </si>
  <si>
    <t>PLV nitric acid doped</t>
  </si>
  <si>
    <t>PLV sulfuric acid doped</t>
  </si>
  <si>
    <t>2005 Charge transfer and Fermi level shift in p-doped single-walled carbon nanotubes</t>
  </si>
  <si>
    <t>B</t>
  </si>
  <si>
    <t>Annealed B</t>
  </si>
  <si>
    <t>C</t>
  </si>
  <si>
    <t>Annealed C</t>
  </si>
  <si>
    <t>A</t>
  </si>
  <si>
    <t>Annealed A</t>
  </si>
  <si>
    <t>2004 Single wall carbon nanotube fibers extruded from super-acid suspensions:
Preferred orientation, electrical, and thermal transport</t>
  </si>
  <si>
    <t>As-is Doped via acid</t>
  </si>
  <si>
    <t>5 mg/mL CNT Con. In CSA</t>
  </si>
  <si>
    <t>10 mg/mL CNT Con. In CSA</t>
  </si>
  <si>
    <t>15 mg/mL CNT Con. In CSA</t>
  </si>
  <si>
    <t>20 mg/mL CNT Con. In CSA</t>
  </si>
  <si>
    <t>30 mg/mL CNT Con. In CSA</t>
  </si>
  <si>
    <t>Annealed 5 mg/mL CNT Con. In CSA</t>
  </si>
  <si>
    <t>Annealed 10 mg/mL CNT Con. In CSA</t>
  </si>
  <si>
    <t>Annealed 15 mg/mL CNT Con. In CSA</t>
  </si>
  <si>
    <t>Annealed 20 mg/mL CNT Con. In CSA</t>
  </si>
  <si>
    <t>Annealed 30 mg/mL CNT Con. In CSA</t>
  </si>
  <si>
    <t>2019 Carbon nanotube fibers with enhanced longitudinal carrier mobility for high-performance all-carbon thermoelectric generators</t>
  </si>
  <si>
    <t>Semi NanoIntegris</t>
  </si>
  <si>
    <t>Unsorted NanoIntegris</t>
  </si>
  <si>
    <t>Metallic NanoIntegris</t>
  </si>
  <si>
    <t>Doped Semi NanoIntegris</t>
  </si>
  <si>
    <t>Doped Unsorted NanoIntegris</t>
  </si>
  <si>
    <t>Laser annealed Camb Floating Cat, considered doped because of HCL water treatment</t>
  </si>
  <si>
    <t>Acid processing sheer between slides</t>
  </si>
  <si>
    <t>Twisted from film</t>
  </si>
  <si>
    <t xml:space="preserve">Acid processing </t>
  </si>
  <si>
    <t>Cross linked 1 hour</t>
  </si>
  <si>
    <t>Cross linked 6 hours</t>
  </si>
  <si>
    <t xml:space="preserve">Cross linked 24 hours </t>
  </si>
  <si>
    <t xml:space="preserve">Cross linked 72 hours </t>
  </si>
  <si>
    <t>Twist and compressed</t>
  </si>
  <si>
    <t>2-3 wall Nanocomp before stretching, as is</t>
  </si>
  <si>
    <t>2-3 wall Nanocomp before stretching, acid</t>
  </si>
  <si>
    <t>2-3 wall Nanocomp before stretching, cross linked</t>
  </si>
  <si>
    <t>2-3 wall Nanocomp after stretching, as is</t>
  </si>
  <si>
    <t>2-3 wall Nanocomp after stretching, acid</t>
  </si>
  <si>
    <t>2-3 wall Nanocomp after stretching, cross linked</t>
  </si>
  <si>
    <t>SWCNT buckypaper as is</t>
  </si>
  <si>
    <t>SWCNT buckypaper acid</t>
  </si>
  <si>
    <t xml:space="preserve">SWCNT buckypaper cross linked </t>
  </si>
  <si>
    <t xml:space="preserve">Acid Doped </t>
  </si>
  <si>
    <t>Stretched then As-is</t>
  </si>
  <si>
    <t xml:space="preserve">Stretched then Acid Doped </t>
  </si>
  <si>
    <t>Stretched then Cross linked</t>
  </si>
  <si>
    <t>H2SO4 doped</t>
  </si>
  <si>
    <t>H2SO3 doped</t>
  </si>
  <si>
    <t>Hot sintered</t>
  </si>
  <si>
    <t>Pressed Pellet</t>
  </si>
  <si>
    <t>2007 Scaling of resistance and electron mean free path of single-walled carbon nanotubes</t>
  </si>
  <si>
    <t xml:space="preserve">1.39890343873096 wall number </t>
  </si>
  <si>
    <t xml:space="preserve">2.10018453458249 wall number </t>
  </si>
  <si>
    <t xml:space="preserve">2.70065296852265 wall number </t>
  </si>
  <si>
    <t xml:space="preserve">3.1066503424536 wall number </t>
  </si>
  <si>
    <t xml:space="preserve">4.59647609922282 wall number </t>
  </si>
  <si>
    <t xml:space="preserve">5.49313673302814 wall number </t>
  </si>
  <si>
    <t xml:space="preserve">1.00636591642574 wall number </t>
  </si>
  <si>
    <t xml:space="preserve">1.4068722006081 wall number </t>
  </si>
  <si>
    <t xml:space="preserve">2.11085942207006 wall number </t>
  </si>
  <si>
    <t xml:space="preserve">2.71466402626699 wall number </t>
  </si>
  <si>
    <t xml:space="preserve">3.11458182514513 wall number </t>
  </si>
  <si>
    <t xml:space="preserve">4.61385555955144 wall number </t>
  </si>
  <si>
    <t xml:space="preserve">5.51118355603921 wall number </t>
  </si>
  <si>
    <t>2014 Interplay of wall number and diameter on the electrical conductivity of carbon nanotube thin films</t>
  </si>
  <si>
    <t>Annealed 76% stretch</t>
  </si>
  <si>
    <t>Annealed 58.4% stretch</t>
  </si>
  <si>
    <t>Annealed 21.5% stretch</t>
  </si>
  <si>
    <t>2004 Correlation of properties with preferred orientation in coagulated and stretch-aligned single-wall carbon nanotubes</t>
  </si>
  <si>
    <t>2000 Transport properties of a potassium-doped single-wall carbon nanotube rope</t>
  </si>
  <si>
    <t>2020 controlling electronic States of few-walled carbon nanotube Yarn via Joule-annealing and p-type Doping towards Large thermoelectric power factor</t>
  </si>
  <si>
    <t>4--6</t>
  </si>
  <si>
    <t>Annealed 1 hour</t>
  </si>
  <si>
    <t>Annealed 4 hour</t>
  </si>
  <si>
    <t>Annealed 2 hour</t>
  </si>
  <si>
    <t>Annealed 3 hour</t>
  </si>
  <si>
    <t>Annealed 3.4 hour</t>
  </si>
  <si>
    <t>Annealed 4 hour and doped</t>
  </si>
  <si>
    <t>Annealed and doped</t>
  </si>
  <si>
    <t>2500 C for 2 hours</t>
  </si>
  <si>
    <t>1500 C for 2 hours</t>
  </si>
  <si>
    <t>2020 Systematic Investigations of Annealing and Functionalization of Carbon Nanotube Yarns</t>
  </si>
  <si>
    <t>twist angle 0</t>
  </si>
  <si>
    <t>twist angle 8</t>
  </si>
  <si>
    <t>twist angle 20</t>
  </si>
  <si>
    <t>twist angle 45</t>
  </si>
  <si>
    <t>2019 How to overcome the electrical conductivity limitation of carbon nanotube yarns drawn from carbon nanotube arrays</t>
  </si>
  <si>
    <t>155 micron length</t>
  </si>
  <si>
    <t>225 micron length</t>
  </si>
  <si>
    <t>275 micron length</t>
  </si>
  <si>
    <t>Nitric sulfuric acid 15 min</t>
  </si>
  <si>
    <t>Nitric sulfuric acid 4 hours</t>
  </si>
  <si>
    <t>Ozone doped</t>
  </si>
  <si>
    <t>Ozone</t>
  </si>
  <si>
    <t>19--23</t>
  </si>
  <si>
    <t>10--15</t>
  </si>
  <si>
    <t>CNT-0</t>
  </si>
  <si>
    <t>CNT-1 List as doublewall, very large diameter so put multiwall</t>
  </si>
  <si>
    <t>CNT-2 List as doublewall, very large diameter so put multiwall</t>
  </si>
  <si>
    <t>2020 Continuous synthesis of double-walled carbon nanotubes with water-assisted floating catalyst chemical vapor deposition</t>
  </si>
  <si>
    <t>Yarn</t>
  </si>
  <si>
    <t>2007 Thermal transport in MWCNT sheets and yarns
Ali</t>
  </si>
  <si>
    <t>2005 Measuring the Thermal Conductivity of a Single Carbon Nanotube</t>
  </si>
  <si>
    <t>40--100</t>
  </si>
  <si>
    <t>2002 Thermal conductivity of multiwalled carbon nanotubes
Da</t>
  </si>
  <si>
    <t>2001 Thermal Transport Measurements of Individual Multiwalled Nanotubes P.</t>
  </si>
  <si>
    <t>Individual Bundle</t>
  </si>
  <si>
    <t>2008 Thermal boundary resistance and thermal conductivity of multiwalled carbon nanotubes</t>
  </si>
  <si>
    <t>Highly aligned</t>
  </si>
  <si>
    <t>Partly aligned</t>
  </si>
  <si>
    <t>Unaligned</t>
  </si>
  <si>
    <t>2019 One-directional thermal transport in densely aligned single-wall carbon nanotube films
Cite</t>
  </si>
  <si>
    <t>HNO3</t>
  </si>
  <si>
    <t>Conductivity before Br doping</t>
  </si>
  <si>
    <t>Conductivity before HCLO4 doping</t>
  </si>
  <si>
    <t xml:space="preserve">Purified and  Doped </t>
  </si>
  <si>
    <t>Intentionally added intercalation dope</t>
  </si>
  <si>
    <t>2015_Enhanced Electrical Conductivity in Extruded Single-Wall Carbon Nanotube Wires from Modiﬁed Coagulation Parameters and Mechanical Processing</t>
  </si>
  <si>
    <t>SOCl2</t>
  </si>
  <si>
    <t>After H2O2, decided to not call this doped</t>
  </si>
  <si>
    <t>Host Conductivity (MSm-1)</t>
  </si>
  <si>
    <t>HSO3Cl</t>
  </si>
  <si>
    <t>ICl</t>
  </si>
  <si>
    <t>As-is, Metallic</t>
  </si>
  <si>
    <t>As-is, Semiconducting</t>
  </si>
  <si>
    <t>H2SO3</t>
  </si>
  <si>
    <t>Iodonium salts</t>
  </si>
  <si>
    <t>BF3</t>
  </si>
  <si>
    <t>N2H4</t>
  </si>
  <si>
    <t>C2HF3O2</t>
  </si>
  <si>
    <t>O3</t>
  </si>
  <si>
    <t>1999 Thermal conductivity of single-walled carbon nanotubes</t>
  </si>
  <si>
    <t>Diamond</t>
  </si>
  <si>
    <t>Thermal Conductivity (W/(m K))</t>
  </si>
  <si>
    <t>Log Tensile Strength</t>
  </si>
  <si>
    <t>Log Thermal Conductivity</t>
  </si>
  <si>
    <t>AsF5 R vs T graph</t>
  </si>
  <si>
    <t>Single crystal graphite in AsF5 plot</t>
  </si>
  <si>
    <t>HNO3 AsF5</t>
  </si>
  <si>
    <t>N-3-1</t>
  </si>
  <si>
    <t>N-3-1 AsF5</t>
  </si>
  <si>
    <t>HNO3 N-2-2</t>
  </si>
  <si>
    <t>N-2-2</t>
  </si>
  <si>
    <t>HNO3 N-3-3</t>
  </si>
  <si>
    <t>HNO3 N-1-4</t>
  </si>
  <si>
    <t>HN03 N-4</t>
  </si>
  <si>
    <t>MnCl2</t>
  </si>
  <si>
    <t>CuCl2</t>
  </si>
  <si>
    <t>FeCl3</t>
  </si>
  <si>
    <t>Draw 5.29528551619815, Strength values are after iodine doping, conductivity values interpulated to match to strength values for thick films</t>
  </si>
  <si>
    <t>Draw 6.19185680070591, Strength values are after iodine doping, conductivity values interpulated to match to strength values for thick films</t>
  </si>
  <si>
    <t>Draw 9.35648556662044, Strength values are after iodine doping, conductivity values interpulated to match to strength values for thick films</t>
  </si>
  <si>
    <t>Draw 9.81784948947434 Strength values are after iodine doping, conductivity values interpulated to match to strength values for thick films</t>
  </si>
  <si>
    <t>Draw 10.0044119500819Strength values are after iodine doping, conductivity values interpulated to match to strength values for thick films</t>
  </si>
  <si>
    <t>Draw 14.3060632799697Strength values are after iodine doping, conductivity values interpulated to match to strength values for thick films</t>
  </si>
  <si>
    <t>Draw 15.4248077650321 Strength values are after iodine doping, conductivity values interpulated to match to strength values for thick films</t>
  </si>
  <si>
    <t>PdCl2</t>
  </si>
  <si>
    <t>Graphite sheets</t>
  </si>
  <si>
    <t>Br2</t>
  </si>
  <si>
    <t>Iodine doped iPaC</t>
  </si>
  <si>
    <t>1990 Structure and Electrical Properties of Polyacetylene Yielding a Conductivity of 10^5 S/cm</t>
  </si>
  <si>
    <t>FeCl4</t>
  </si>
  <si>
    <t>SnCl5</t>
  </si>
  <si>
    <t xml:space="preserve">1988 ELECTRICAL CONDUCTIVITY OF HIGHLY-ORIENTED-POLYACETYLENE </t>
  </si>
  <si>
    <t>R(300K)/R(4.2K)</t>
  </si>
  <si>
    <t>R(300K)/R(10K)</t>
  </si>
  <si>
    <t xml:space="preserve">Stretched in viscous alcohols </t>
  </si>
  <si>
    <t xml:space="preserve">As-is </t>
  </si>
  <si>
    <t>Stretched in viscous alcohols</t>
  </si>
  <si>
    <t>2020 Shampoo assisted aligning of carbon nanotubes toward strong, stiff and conductive fiber</t>
  </si>
  <si>
    <t xml:space="preserve">65.2986627043091 These are before doping values </t>
  </si>
  <si>
    <t xml:space="preserve">304.665676077266  These are before doping values </t>
  </si>
  <si>
    <t xml:space="preserve">421.108469539376  These are before doping values </t>
  </si>
  <si>
    <t xml:space="preserve">476.784546805349  These are before doping values </t>
  </si>
  <si>
    <t xml:space="preserve">697.955423476968  These are before doping values </t>
  </si>
  <si>
    <t xml:space="preserve">599.95839524517  These are before doping values </t>
  </si>
  <si>
    <t xml:space="preserve">663.676077265973  These are before doping values </t>
  </si>
  <si>
    <t xml:space="preserve">796.995542347697  These are before doping values </t>
  </si>
  <si>
    <t xml:space="preserve">1.04761904761905  These are before doping values </t>
  </si>
  <si>
    <t xml:space="preserve">12.2857142857142  These are before doping values </t>
  </si>
  <si>
    <t xml:space="preserve">23.1428571428571  These are before doping values </t>
  </si>
  <si>
    <t xml:space="preserve">27.047619047619  These are before doping values </t>
  </si>
  <si>
    <t xml:space="preserve">40.5714285714285  These are before doping values </t>
  </si>
  <si>
    <t xml:space="preserve">36.3809523809523  These are before doping values </t>
  </si>
  <si>
    <t xml:space="preserve">45.1428571428571  These are before doping values </t>
  </si>
  <si>
    <t xml:space="preserve">47.5238095238095  These are before doping values </t>
  </si>
  <si>
    <t>1991 MECHANICAL AND ELECTRICAL PROPERTIES OF HIGHLY ORIENTED 
POLYACETYLENE FILMS</t>
  </si>
  <si>
    <t>Log (R(300K)/R(4.2))</t>
  </si>
  <si>
    <t>Log (R(300K)/R(10))</t>
  </si>
  <si>
    <t>2016_Electrical property enhancement of carbon nanotube fibers from post treatments_Liu et al</t>
  </si>
  <si>
    <t>Magnetic field</t>
  </si>
  <si>
    <t>Buckypaper, 1:5 wt. ratio, 25 micron thick,Singlewall + Multiwall CNT</t>
  </si>
  <si>
    <t>Buckypaper, 1:5 wt. ratio, 25 micron thick,Singlewall CNT + VG CNF</t>
  </si>
  <si>
    <t>forest height 400-600 microns</t>
  </si>
  <si>
    <t xml:space="preserve">Forest derived </t>
  </si>
  <si>
    <t>2008_Breaking single-walled carbon nanotube bundles by Joule heating</t>
  </si>
  <si>
    <t>NH3:C2H2(4:1) at 4 torr</t>
  </si>
  <si>
    <t>2007_Current-induced breakdown of carbon nanofibers</t>
  </si>
  <si>
    <t>Cu wire, current for luminosity</t>
  </si>
  <si>
    <t>1888_On the heating effects of electric currents</t>
  </si>
  <si>
    <t>Pt wire, current for luminosity</t>
  </si>
  <si>
    <t>1998_Carbon Nanotube Quantum Resistors</t>
  </si>
  <si>
    <t>2000_High-field electrical transport in single-wall carbon nanotubes</t>
  </si>
  <si>
    <t>2001_Current saturation and electrical breakdown in multiwalled carbon nanotubes</t>
  </si>
  <si>
    <t>2005_Atomic-Scale Imaging ofWall-by-Wall Breakdown and Concurrent Transport Measurements in Multiwall Carbon Nanotubes</t>
  </si>
  <si>
    <t>Made from DWCNT cotton</t>
  </si>
  <si>
    <t>HCl treatment and acetone condensation</t>
  </si>
  <si>
    <t>2012_Sharp burnout failure observed in high current-carrying double-walled carbon nanotube fibers</t>
  </si>
  <si>
    <t xml:space="preserve">Cu </t>
  </si>
  <si>
    <t>2013_One hundred fold increase in current carrying capacity in a carbon nanotube–copper composite</t>
  </si>
  <si>
    <t>Au</t>
  </si>
  <si>
    <t>CNT-Cu (45:55)</t>
  </si>
  <si>
    <t>Cu</t>
  </si>
  <si>
    <t>1995_Electromigration in copper conductors</t>
  </si>
  <si>
    <t>2013_Electrical transport and electromigration studies on nickel encapsulated carbon nanotubes: Possible future interconnects</t>
  </si>
  <si>
    <t>Ni encapsulated MWCNT</t>
  </si>
  <si>
    <t>Twisted from forest, h=600 micron, elliptical wire, 2a=66.7,2b=43.3</t>
  </si>
  <si>
    <t>2017_Electrical performance of lightweight CNT-Cu composite wires impacted by surface and internal Cu spatial distribution</t>
  </si>
  <si>
    <t>Cu-seeded MWCNT, ellipse, 2a=103,2b=46</t>
  </si>
  <si>
    <t>Fully filled MWCNT-Cu,  ellipse, 2a=167,2b=120, effective dia = 142 micron, paperr uses 100</t>
  </si>
  <si>
    <t>Partially filled MWCNT-Cu, elliptical wire, 2A=69.4micron,2b=31.3</t>
  </si>
  <si>
    <t>No filling MWCNT-Cu ,elliptical wire,2a=75,2b=32.7</t>
  </si>
  <si>
    <t>CNT-CU wafer,t=1 x w=4 micron for conductivity, t=1 x w=0.5 microns lines for ampacity</t>
  </si>
  <si>
    <t>2016_Nano-scale, planar and multi-tiered current pathways from a carbon nanotube-copper composite with high conductivity, ampacity and stability</t>
  </si>
  <si>
    <t>CNT 25 to 35 nm, fiber 10 to 25 micron</t>
  </si>
  <si>
    <t>2018_Metal nanofibrils embedded in long free-standing carbon nanotube fibers with a high critical current density</t>
  </si>
  <si>
    <t>CNT-Cu wire (MF3)</t>
  </si>
  <si>
    <t>CNT-Cu (81.6% CU)</t>
  </si>
  <si>
    <t>2018_Ni Nanobuffer Layer Provides Light-Weight CNT/Cu Fibers with Superior Robustness, Conductivity, and Ampacity</t>
  </si>
  <si>
    <t>CNT-O-Cu (82.8%)</t>
  </si>
  <si>
    <t>CNT-Ni-Cu (83.7%)</t>
  </si>
  <si>
    <t>Cu wire, commercial</t>
  </si>
  <si>
    <t>Commercial</t>
  </si>
  <si>
    <t>twisted from forest,20 degree</t>
  </si>
  <si>
    <t>Nanocomp, 8-12 tex</t>
  </si>
  <si>
    <t>2019_Sustaining Enhanced Electrical Conductivity in KAuBr4-Doped Carbon Nanotube Wires at High Current Densities</t>
  </si>
  <si>
    <t>Nanocomp, 8-12 tex+water densification</t>
  </si>
  <si>
    <t>Nanocomp, 8-12 tex_KAuBr4 doping</t>
  </si>
  <si>
    <t>Nanocomp materials, densified in KAuBr4</t>
  </si>
  <si>
    <t>Probe separation for Ampacity (microns)</t>
  </si>
  <si>
    <t>Probe separation for Electrical conductivity (microns)</t>
  </si>
  <si>
    <t>approximated, equal to length of nanotube</t>
  </si>
  <si>
    <t xml:space="preserve">elastic Mean free path is assumed to be 0.3 micron, so transport in not ballistic </t>
  </si>
  <si>
    <t>calculated</t>
  </si>
  <si>
    <t>NA</t>
  </si>
  <si>
    <t>Substrate</t>
  </si>
  <si>
    <t>Si/SiO2</t>
  </si>
  <si>
    <t>(NOTE:J max at 250 C temperature, RT values expected to be lower by one or two orders</t>
  </si>
  <si>
    <t>(NOTE:J max at 300 C = 1E13 A/m2)</t>
  </si>
  <si>
    <t xml:space="preserve">2020 Improved Properties, Increased Production, and the Path to Broad Adoption of Carbon Nanotube Fibers </t>
  </si>
  <si>
    <t>Tortech materials</t>
  </si>
  <si>
    <t>Acetine Condensed</t>
  </si>
  <si>
    <t>2018_The mechanical and electrical properties of direct-spun carbon nanotube mats</t>
  </si>
  <si>
    <t>&lt;10</t>
  </si>
  <si>
    <t>2017_Carbon nanotube wires with continuous current rating exceeding 20 Amperes</t>
  </si>
  <si>
    <t>KAuBr4</t>
  </si>
  <si>
    <t>4--7</t>
  </si>
  <si>
    <t>Densified, Doped, Electrodeposition</t>
  </si>
  <si>
    <t>1.2--1.7</t>
  </si>
  <si>
    <t>nanoIntegris Semiconducting doped</t>
  </si>
  <si>
    <t>KAuBr doped</t>
  </si>
  <si>
    <t>2018_Electrical Transport Degradation of Chemically Doped Electronic-Type-Separated Single-Wall Carbon Nanotubes From Radiation-Induced Defects</t>
  </si>
  <si>
    <t xml:space="preserve">nanoIntegris Semiconducting </t>
  </si>
  <si>
    <t>nanoIntegris  metal doped</t>
  </si>
  <si>
    <t>nanoIntegris  metal</t>
  </si>
  <si>
    <t>NanoInegris material, films were between 80 to 100 nm, took 100 nm in all cases to calculate conductivity</t>
  </si>
  <si>
    <t>2012_Ion irradiation of electronic-type-separated single wall carbon nanotubes A model for radiation effects in nanostructured carbon</t>
  </si>
  <si>
    <t>Irradiated</t>
  </si>
  <si>
    <t>IBr</t>
  </si>
  <si>
    <t>I2</t>
  </si>
  <si>
    <t>Sorted and doped</t>
  </si>
  <si>
    <t xml:space="preserve">IBr </t>
  </si>
  <si>
    <t>2015_Mechanism of chemical doping in electronic- type-separated single wall carbon nanotubes towards high electrical conductivity</t>
  </si>
  <si>
    <t>2005 Measurement of thermal conductivity of individual multiwalled carbon
nanotubes by the 3-_x0001_ method</t>
  </si>
  <si>
    <t>1996_Electrical Conductivities of Individual Carbon Nanotubes</t>
  </si>
  <si>
    <t xml:space="preserve">Nanotube2, conductivity adjusted sligtly to get rid of annular crossection and use full cross section </t>
  </si>
  <si>
    <t xml:space="preserve">All walls electically connected </t>
  </si>
  <si>
    <t xml:space="preserve">Laser ablation </t>
  </si>
  <si>
    <t>1.2--1.8</t>
  </si>
  <si>
    <t>Early Rice paper annealed</t>
  </si>
  <si>
    <t>Early Rice paper neat, X ray value is for a swelled sulfuric acid sample although compaired to the annealed samle it does not appear acid changes the FWHM much</t>
  </si>
  <si>
    <t>Average of all metallic and semi-conducting SWCNTs in this study</t>
  </si>
  <si>
    <t xml:space="preserve">Annealed </t>
  </si>
  <si>
    <t>0.5 nm diameter tubes in a bundle</t>
  </si>
  <si>
    <t>Paper does a density calculation</t>
  </si>
  <si>
    <t>2006 Determination of carbon nanotube density by gradient sedimentation</t>
  </si>
  <si>
    <t>p-SWCNT bundles</t>
  </si>
  <si>
    <t>8--15</t>
  </si>
  <si>
    <t>individual MWCNT</t>
  </si>
  <si>
    <t>individual FWCNT</t>
  </si>
  <si>
    <t>1.2--3.2</t>
  </si>
  <si>
    <t>TiO2 Decoration</t>
  </si>
  <si>
    <t>Density estimate of 2.1 gcm-3</t>
  </si>
  <si>
    <t xml:space="preserve">Nanotube 6 Density estimate 2.1 g/cm-3, conductivity adjusted sligtly to get rid of annular crossection and use full cross section </t>
  </si>
  <si>
    <t>Nanotube7,  conductivity adjusted sligtly to get rid of annular crossection and use full cross section, density estimate 2.1 gcm-3</t>
  </si>
  <si>
    <t xml:space="preserve">Nanotube 8 Density estimate of 2.1 g/cm3, conductivity adjusted sligtly to get rid of annular crossection and use full cross section </t>
  </si>
  <si>
    <t>Density estimate 2.1 gcm-3</t>
  </si>
  <si>
    <t>Density estimate of 2.1 g/cm3</t>
  </si>
  <si>
    <t xml:space="preserve">Density estimate of 2.1 g/cm3, corrected area to full cross section from annulus </t>
  </si>
  <si>
    <t>Density estimate of 2.1 g/cm3, had to recalcalculate area to use full cross section and not annulus</t>
  </si>
  <si>
    <t>corrected area to full cross section from annulus, Density estimate of 2.1 g/cm3</t>
  </si>
  <si>
    <t>Irradiated, corrected area to full cross section from annulus, Density estimate of 2.1 g/cm3</t>
  </si>
  <si>
    <t>had to recalcalculate area to use full cross section and not annulus, Density estimate of 2.1 g/cm3</t>
  </si>
  <si>
    <t>Bundle Density estimated 1.1 gcm-3, Annealed in inert environment at 1000 C</t>
  </si>
  <si>
    <t>Bundle Density estimated Bundle Density estimated 1.1 gcm-3, Annealed in inert environment at 1000 C</t>
  </si>
  <si>
    <t>2.3 nm diameter bundle, Bundle Density estimated 1.1 gcm-3</t>
  </si>
  <si>
    <t xml:space="preserve">1 nm diameter, 6kOhm/microm, density estimated from plot </t>
  </si>
  <si>
    <t xml:space="preserve">1 nm diameter, 9kOhm/microm,  density estimated from plot </t>
  </si>
  <si>
    <t xml:space="preserve">2 nm diameter, 6kOhm/microm,  density estimated from plot </t>
  </si>
  <si>
    <t>Single FWCNT, can't estimate density because we don't know in the CNT is sindle, double, or triple wall</t>
  </si>
  <si>
    <t>CNTB-7, density changed from 1.6 to 1.1 gcm-3 for standardization</t>
  </si>
  <si>
    <t>CNTB multiple components, density changed from 1.6 to 1.1 gcm-3 for standardization</t>
  </si>
  <si>
    <t>Density estimated to be 1.1 g/cm3</t>
  </si>
  <si>
    <t>Density estimated from chart</t>
  </si>
  <si>
    <t>Area corrected for full cross section, Density estimated from chart</t>
  </si>
  <si>
    <t>Area corrected for full cross section, Density estimated to be 1.1 g/cm3</t>
  </si>
  <si>
    <t>corrected area to full cross section from annulus, Density estimated from chart</t>
  </si>
  <si>
    <t>Density estimated 2.1 g/cm3</t>
  </si>
  <si>
    <t>small bundle, density estimated 1.1 g/cm3</t>
  </si>
  <si>
    <t>Big bundle, density estimated 1.1 g/cm3</t>
  </si>
  <si>
    <t>aligned array by dielectrophoresis, density estimated 1.1 g/cm3</t>
  </si>
  <si>
    <t>straight CNT, conductivity value is modified to change area from annulus to full cross section, density estimated to be 2.1 g/cm3</t>
  </si>
  <si>
    <t>straight tube, measured btwn conductive tip and gold electrodes, approc length 1.3 micron, , conductivity value is modified to change area from annulus to full cross section, density estimated to be 2.1 g/cm3</t>
  </si>
  <si>
    <t>Greatly curved, , conductivity value is modified to change area from annulus to full cross section, density estimated to be 2.1 g/cm3</t>
  </si>
  <si>
    <t>slowly curved, , conductivity value is modified to change area from annulus to full cross section, density estimated to be 2.1 g/cm3</t>
  </si>
  <si>
    <t>slowly curved, conductivity value is modified to change area from annulus to full cross section, density estimated to be 2.1 g/cm3</t>
  </si>
  <si>
    <t>Moderately curved, conductivity value is modified to change area from annulus to full cross section, Density estimate of 1.74 g/cm3 for 15 to 22 nm diamter wide multiwall CNT, density estimated to be 2.1 g/cm3</t>
  </si>
  <si>
    <t>low resistnace contacts, 250 nm gauge, density estimated on chart</t>
  </si>
  <si>
    <t>values estiamted, density estimated 2.1 g/cm3</t>
  </si>
  <si>
    <t>6 wall tube, sequentially broken, values estiamted-- All tubes are electrically connected, density estimated 2.1 g/cm3</t>
  </si>
  <si>
    <t>Unfilled MW, Diameter from SEM, density estimated 2.1 g/cm3</t>
  </si>
  <si>
    <t>Conductivity derived from their numbers, they state contact resistance is low and in the diffusive regeme, density estimated 2.1 g/cm3</t>
  </si>
  <si>
    <t>Production Process</t>
  </si>
  <si>
    <t>Sputtered</t>
  </si>
  <si>
    <t>Electrodeposition</t>
  </si>
  <si>
    <t>HIPCO</t>
  </si>
  <si>
    <r>
      <t xml:space="preserve">Doped Floating Cat, </t>
    </r>
    <r>
      <rPr>
        <sz val="11"/>
        <color rgb="FFFF0000"/>
        <rFont val="Calibri"/>
        <family val="2"/>
        <scheme val="minor"/>
      </rPr>
      <t>Not clear if this is few-wal</t>
    </r>
    <r>
      <rPr>
        <sz val="11"/>
        <color theme="1"/>
        <rFont val="Calibri"/>
        <family val="2"/>
        <scheme val="minor"/>
      </rPr>
      <t>l</t>
    </r>
  </si>
  <si>
    <t>Density is taken before doping, although weight uptake is small, Iodine doping</t>
  </si>
  <si>
    <t>2001 Electronic transport properties of conducting polymers and carbon nanotubes</t>
  </si>
  <si>
    <t>Reported from a Parks paper 1998</t>
  </si>
  <si>
    <t xml:space="preserve">1994 Electrical conductance in metallic phases polyacetylene </t>
  </si>
  <si>
    <t xml:space="preserve">Annealing under tension 0.02 </t>
  </si>
  <si>
    <t>Annealing under tension 0.05</t>
  </si>
  <si>
    <t xml:space="preserve">70 V 12 ms annealing </t>
  </si>
  <si>
    <t>Annealed under tension</t>
  </si>
  <si>
    <t>2019 Millisecond tension-annealing for enhancing
carbon nanotube fibers</t>
  </si>
  <si>
    <t>Medium 1</t>
  </si>
  <si>
    <t>Substrate 2</t>
  </si>
  <si>
    <t>Medium 2</t>
  </si>
  <si>
    <t>Suspended</t>
  </si>
  <si>
    <t>None</t>
  </si>
  <si>
    <t>Densified in acetonitrile solution of Copper acetate</t>
  </si>
  <si>
    <t>Four probe for conductivty</t>
  </si>
  <si>
    <t>Ampacity Measurement Config</t>
  </si>
  <si>
    <t>Metalization</t>
  </si>
  <si>
    <t>Cu microwire, d=15 micron for ampacity, 50 micron for tensile</t>
  </si>
  <si>
    <t>25--35</t>
  </si>
  <si>
    <t>*specific ampacity value quoted is different from calculation</t>
  </si>
  <si>
    <t>Glass</t>
  </si>
  <si>
    <t>2--6</t>
  </si>
  <si>
    <t>2011_Healing of broken multiwalled carbon nanotubes using very low energy electrons in SEM: A route toward complete recovery</t>
  </si>
  <si>
    <t>2014 Anisotropic buckypaper through shear-induced mechanical alignment of carbon nanotubes in water</t>
  </si>
  <si>
    <t>2009 Density measurement of size selected multiwalled carbon nanotubes by mobility-mass characterization</t>
  </si>
  <si>
    <t>2011 Anisotropic carbon nanotube papers fabricated from multiwalled carbon nanotube webs</t>
  </si>
  <si>
    <t xml:space="preserve">Log[Specific Strength] vs Log[Density (g/cm3)] </t>
  </si>
  <si>
    <t xml:space="preserve">Log[Conductivity] vs Log[Fiber Diameter] </t>
  </si>
  <si>
    <t xml:space="preserve">Log[Strength] vs Log[Fiber Diameter] </t>
  </si>
  <si>
    <t>Log[Conductivity] vs Log[Raman Aniso]</t>
  </si>
  <si>
    <t>Log[Strength] vs Log[Raman Aniso]</t>
  </si>
  <si>
    <t>Log[Conductivity] vs Log[Electrical Aniso]</t>
  </si>
  <si>
    <t>Log[Conductivity] vs Log[Raman G:D]</t>
  </si>
  <si>
    <t>Log[Strength] vs Log[Raman G:D]</t>
  </si>
  <si>
    <t>Log[Conductivity] vs Log[La]</t>
  </si>
  <si>
    <t>Log[Strength] vs Log[La]</t>
  </si>
  <si>
    <t>Log[Conductivity] vs Log[CNT Diameter]</t>
  </si>
  <si>
    <t>Log[Strength] vs Log[CNT Diameter]</t>
  </si>
  <si>
    <t>Log[Conductivity] vs Log[R300K/R10K]</t>
  </si>
  <si>
    <t>Fitted Slope for Power Law</t>
  </si>
  <si>
    <t>Log[Doped Conductivity] vs Log[Host Conductivity]</t>
  </si>
  <si>
    <t xml:space="preserve">Correlation and Fit Probability </t>
  </si>
  <si>
    <t>Fitted Slope Standard Error</t>
  </si>
  <si>
    <t>Number of data points</t>
  </si>
  <si>
    <t>PtCl2</t>
  </si>
  <si>
    <t>no</t>
  </si>
  <si>
    <t>yes</t>
  </si>
  <si>
    <t xml:space="preserve"> --&gt; judgement call</t>
  </si>
  <si>
    <t>judgement call</t>
  </si>
  <si>
    <t>Substrate for ampacity (Yes/No)</t>
  </si>
  <si>
    <t xml:space="preserve">Notes on substrate </t>
  </si>
  <si>
    <t>12.4 Value in question because of scale procedure</t>
  </si>
  <si>
    <t>Notes on ampacity</t>
  </si>
  <si>
    <t>purification</t>
  </si>
  <si>
    <t>2009_Ultrathin carbon nanotube fibrils of high electrochemical capacitance</t>
  </si>
  <si>
    <t>diameter for ampacity 0.71 micron from SEM</t>
  </si>
  <si>
    <t>Dielectrophoresis of SWCNT, diameters from 200 nm to 2 micron</t>
  </si>
  <si>
    <t>Superconductor</t>
  </si>
  <si>
    <t>2014_Electrical Properties of Carbon Nanotube Based Fibers and Their Future Use in Electrical Wiring</t>
  </si>
  <si>
    <t>Steel wire</t>
  </si>
  <si>
    <t>YBCO 2G HTS wire</t>
  </si>
  <si>
    <t>Al wire</t>
  </si>
  <si>
    <t>Graphene Nanoribbon</t>
  </si>
  <si>
    <t>2009_Breakdown current density of graphene nanoribbons</t>
  </si>
  <si>
    <t>two probe for ampacity /four probe for conducitivty</t>
  </si>
  <si>
    <t>two probe for ampacity /four probe for conducitivty, probe spacing from SEM</t>
  </si>
  <si>
    <t>Bulk fibre diameter (nm)</t>
  </si>
  <si>
    <t>Log (Bulk fibre diameter (nm))</t>
  </si>
  <si>
    <t>Effective diameter for ampacity (nm)</t>
  </si>
  <si>
    <t>Log (Effective diameter for ampacity (nm))</t>
  </si>
  <si>
    <t>Log (Jmax in Air (A/m2))</t>
  </si>
  <si>
    <t>Log (Jmax in Vacuum(A/m2))</t>
  </si>
  <si>
    <t>Conductance is ballistic, 1G, fibre dia 50 micron</t>
  </si>
  <si>
    <t>dividing I by J, we get an area from which we can calculate diameter (8.24nm) or if width (22 nm ) is known, we can calucalte height (2.42 nm) which means roughly 7 layer film</t>
  </si>
  <si>
    <t>Notes on diameter</t>
  </si>
  <si>
    <t>Current density values are not maximum burn values, rather low currents for conductivity measurements</t>
  </si>
  <si>
    <t>&gt;judgement call</t>
  </si>
  <si>
    <t>ClO3-</t>
  </si>
  <si>
    <t>Need a reference</t>
  </si>
  <si>
    <t>TypeA film after degassing</t>
  </si>
  <si>
    <t>Floating Cat type B as is film /  after degassing, also has a XRD Chebyshev’s polynomial of 0.63</t>
  </si>
  <si>
    <t>Floating Cat type C as is film /  after degassing</t>
  </si>
  <si>
    <t>Floating Cat type D as is film /  after degassing</t>
  </si>
  <si>
    <t>Type A fiber</t>
  </si>
  <si>
    <t>Type B fiber</t>
  </si>
  <si>
    <t>Degassed Rice fibers</t>
  </si>
  <si>
    <t>Rice fibers</t>
  </si>
  <si>
    <t>2016_Enlightening the ultrahigh electrical conductivities of doped double-wall carbon nanotube fibers by Raman spectroscopy and first-principles calculations</t>
  </si>
  <si>
    <t>horizontally aligned SWNT</t>
  </si>
  <si>
    <t>2018_Quantitative study of bundle size effect on thermal conductivity of single-walled carbon nanotubes</t>
  </si>
  <si>
    <t>No Mech condensation</t>
  </si>
  <si>
    <t>Mech condensation</t>
  </si>
  <si>
    <t>Mech condensation, acid treated</t>
  </si>
  <si>
    <t>2016_Multi-property enhancement of aligned carbon nanotube thin films from floating catalyst method</t>
  </si>
  <si>
    <t>Spark Plasma sintering</t>
  </si>
  <si>
    <t>2007_Electrical and thermal properties of carbon nanotube bulk materials: Experimental studies for the 328-958 K temperature range</t>
  </si>
  <si>
    <t>Magnetic field aligned</t>
  </si>
  <si>
    <t>Magnetic Field Aligned</t>
  </si>
  <si>
    <t>2006_Thermal conductivity of magnetically aligned carbon nanotube buckypapers and nanocomposites</t>
  </si>
  <si>
    <t>99% Semiconducting</t>
  </si>
  <si>
    <t>2015_Temperature-dependent thermal properties of single-walled carbon nanotube thin films</t>
  </si>
  <si>
    <t>2006_Thermal conductance of an individual single-wall carbon nanotube above room temperature</t>
  </si>
  <si>
    <t>.8--1.2</t>
  </si>
  <si>
    <t>2020 Semiconducting carbon nanotube fibers for electrochemical biosensor platforms</t>
  </si>
  <si>
    <t>2010_Spinnable carbon nanotube forests grown on thin, flexible
metallic substrates</t>
  </si>
  <si>
    <t>2014_Thermal conductivity of high performance carbon nanotube yarn-like fibers</t>
  </si>
  <si>
    <t>2019_Preparation and transport properties of oriented
buckypapers with single walled carbon nanotubes</t>
  </si>
  <si>
    <t>2017_Significantly Increased Solubility of Carbon Nanotubes in Superacid by Oxidation and Their Assembly into High-Performance Fibers</t>
  </si>
  <si>
    <t>2012_Tensile loading behavior of carbon nanotube wires</t>
  </si>
  <si>
    <t>NanoComp material</t>
  </si>
  <si>
    <t>2013_Enhancing the tensile properties of continuous millimeter-scale carbon nanotube fibers by densification</t>
  </si>
  <si>
    <t>CNTs firectly pulled from forests</t>
  </si>
  <si>
    <t>Stretched nitric acid doped</t>
  </si>
  <si>
    <t>NanoComp</t>
  </si>
  <si>
    <t>2012_Angular magnetoresistance of stretched carbon nanotube sheets</t>
  </si>
  <si>
    <t>1954_Low-Temperature Thermal Conductivity of a Canadian Natural Graphite</t>
  </si>
  <si>
    <t>Heat treated 3000 C</t>
  </si>
  <si>
    <t>1985_Thermal conductivity and thermopower of vapor-grown graphite fibers</t>
  </si>
  <si>
    <t>1981_Intercalation compounds of graphite</t>
  </si>
  <si>
    <t>2015_Post-Treatments for Multifunctional Property Enhancement of Carbon Nanotube Fibers from the Floating Catalyst Method</t>
  </si>
  <si>
    <t>2018_Hierarchical structure of carbon nanotube fibers, and the change of structure during densification by wet stretching</t>
  </si>
  <si>
    <t>Spark Sintered Plasma</t>
  </si>
  <si>
    <t>2010_TUNING ELECTRICAL AND THERMAL CONNECTIVITY IN MULTIWALLED CARBON NANOTUBE BUCKYPAPER</t>
  </si>
  <si>
    <t>K</t>
  </si>
  <si>
    <t>Cs</t>
  </si>
  <si>
    <t>FeCl2</t>
  </si>
  <si>
    <t xml:space="preserve">1989 PREPARATION AND PROPERTIES OF VAPOR GROWN GRAPHITE </t>
  </si>
  <si>
    <t>Graphitized and doped</t>
  </si>
  <si>
    <t>NOSbF6</t>
  </si>
  <si>
    <t>Vapor Grown Carbon Fiber</t>
  </si>
  <si>
    <t xml:space="preserve">Graphitized </t>
  </si>
  <si>
    <t>1988_Synthesis and Characteristics of Oriented Pac films</t>
  </si>
  <si>
    <t>I2 doped</t>
  </si>
  <si>
    <t>1983 High-field magnetoresistance measurements on highly ordered graphite fibers</t>
  </si>
  <si>
    <t>Heat treated 2900 C</t>
  </si>
  <si>
    <t>Heat treated 3500 C</t>
  </si>
  <si>
    <t>Rb</t>
  </si>
  <si>
    <t>CoCl2</t>
  </si>
  <si>
    <t>Graphite wire extrusion</t>
  </si>
  <si>
    <t>Graphite</t>
  </si>
  <si>
    <t>Was reported as an approximation, copper's conductivity at the density of graphite</t>
  </si>
  <si>
    <t>2006_Metallic transport in polyaniline</t>
  </si>
  <si>
    <t>Stretched and doped</t>
  </si>
  <si>
    <t>C10H16O4S</t>
  </si>
  <si>
    <t>CuClO4</t>
  </si>
  <si>
    <t>FeClO4</t>
  </si>
  <si>
    <t>1998_Metallic temperature dependence of resistivity in perchlorate doped polyacetylene</t>
  </si>
  <si>
    <t>Stretched 14%</t>
  </si>
  <si>
    <t>Stretched 16%</t>
  </si>
  <si>
    <t>Stretched 24%</t>
  </si>
  <si>
    <t>Stretched 28%</t>
  </si>
  <si>
    <t>Case1</t>
  </si>
  <si>
    <t>Case2</t>
  </si>
  <si>
    <t>Case3</t>
  </si>
  <si>
    <t>CSA Stetched</t>
  </si>
  <si>
    <t>2020_Super-Strong Carbon Nanotube Fibers Achieved by Engineering Gas Flow and Postsynthesis Treatment</t>
  </si>
  <si>
    <t>5--10</t>
  </si>
  <si>
    <t>2007_High performance fibres from 'dog bone' carbon nanotubes</t>
  </si>
  <si>
    <t>CSA Stetched, Vacuum baked</t>
  </si>
  <si>
    <t>Carbon fiber Grafil 34-700</t>
  </si>
  <si>
    <t>Kevlar 49</t>
  </si>
  <si>
    <t>Zylon HM</t>
  </si>
  <si>
    <t>Dynemma</t>
  </si>
  <si>
    <t>Dedoped</t>
  </si>
  <si>
    <t>Dedoped Buckypaper</t>
  </si>
  <si>
    <t>made with H2SO4, rinsed out with acetone</t>
  </si>
  <si>
    <t xml:space="preserve">Dedoped </t>
  </si>
  <si>
    <t xml:space="preserve">Log Host Conductivity </t>
  </si>
  <si>
    <t xml:space="preserve">Log Thermal Conductivity </t>
  </si>
  <si>
    <t xml:space="preserve">Vapor Grown Carbon </t>
  </si>
  <si>
    <t>Chemical Vapor Deposition</t>
  </si>
  <si>
    <t>HNO3 I2</t>
  </si>
  <si>
    <t>H2SO4 HCL</t>
  </si>
  <si>
    <t>C12F4N4</t>
  </si>
  <si>
    <t>&lt;0.01</t>
  </si>
  <si>
    <t>Adjusted Fitted Slope for Power Law</t>
  </si>
  <si>
    <t>Adjusted Fitted Slope Standard Error</t>
  </si>
  <si>
    <t xml:space="preserve">Adjusted Correlation and Fit Probability </t>
  </si>
  <si>
    <t>Log[Conductivity] vs Log[X Ray FWHM]</t>
  </si>
  <si>
    <t xml:space="preserve">Log[Strength] vs Log[X Ray FWHM] </t>
  </si>
  <si>
    <t>Log[Thermal Conductivity] vs Log[Conductivity]</t>
  </si>
  <si>
    <t>Stainless steel</t>
  </si>
  <si>
    <t>Log[Ampacity] vs Log[Diameter]</t>
  </si>
  <si>
    <t>All mateirals</t>
  </si>
  <si>
    <t>All mateirals (in air)</t>
  </si>
  <si>
    <t>All mateirals (in vacuum)</t>
  </si>
  <si>
    <t>CNTs (suspended)</t>
  </si>
  <si>
    <t>CNTs (on substrate)</t>
  </si>
  <si>
    <t>Log[Ampacity] vs Log[Conductivity]</t>
  </si>
  <si>
    <t>2005 Metal-insulator transition in doped single-wall carbon nanotubes</t>
  </si>
  <si>
    <t xml:space="preserve">1989 RAMAN AND X-RAY STUDY OF AsF5VAPOR- GROWN GRAPHITE FIBERS 
</t>
  </si>
  <si>
    <t>2008_Highly Dense and Perfectly Aligned SWCNT fabricated by Diamond Wire Drawing Dies</t>
  </si>
  <si>
    <t>2010 Continuous Multilayered Carbon Nanotube Yarns</t>
  </si>
  <si>
    <t xml:space="preserve">2012 Alkali-metal-graphite intercalation compounds prepared from flexible graphite sheets exhibiting high air stability and electrical conductivity </t>
  </si>
  <si>
    <t xml:space="preserve">2019 Convenient but powerful method to dope single wall carbon nanotube films with iodium salts </t>
  </si>
  <si>
    <t>2016_Influence of annealing on thermal and electrical properties of carbon nanotube yarns</t>
  </si>
  <si>
    <t>Annealed 2300 C</t>
  </si>
  <si>
    <t>Annealed 2700 C</t>
  </si>
  <si>
    <t>2020_Transparent and Freestanding Single-Walled Carbon Nanotube Films Synthesized Directly and Continuously via a Blown Aerosol Technique</t>
  </si>
  <si>
    <t>2020 Influence of transverse compression on axial electromechanical properties of carbon nanotube fibers</t>
  </si>
  <si>
    <t>2012_Production, structure and properties of twistless carbon nanotube yarns with a high density sheath</t>
  </si>
  <si>
    <t>2016_Strengthening and failure mechanisms of individual carbon nanotube fibers under dynamic tensile loading</t>
  </si>
  <si>
    <t>Homogenizer TDOC</t>
  </si>
  <si>
    <t>nanovater TDOC</t>
  </si>
  <si>
    <t>Millser TDOC</t>
  </si>
  <si>
    <t>Homogenizer SC</t>
  </si>
  <si>
    <t>2019 Nanotube length and density dependences of electrical and mechanical properties of carbon nanotube fibres made by wet spinning</t>
  </si>
  <si>
    <t>3--9</t>
  </si>
  <si>
    <t>2021_Improving mechanical and physical properties of ultra-thick carbon nanotube fiber by fast swelling and stretching process</t>
  </si>
  <si>
    <t>As-is (40 drawrate)</t>
  </si>
  <si>
    <t>Joule Heated  1273K</t>
  </si>
  <si>
    <t>Joule Heated 2273 K</t>
  </si>
  <si>
    <t>As-is (120 drawrate)</t>
  </si>
  <si>
    <t>2021_Nanostructural characterization of carbon nanotube yarn high-strengthened by joule heating</t>
  </si>
  <si>
    <t>Purified</t>
  </si>
  <si>
    <t>2007_Multifunctional Macroarchitectures ofDouble-Walled Carbon Nanotube Fibers</t>
  </si>
  <si>
    <t>2018_Iodine nanoparticle-enhancing electrical and thermal transport for carbon nanotube fibers</t>
  </si>
  <si>
    <t>2016_Functionalization and densification of inter-bundle interfaces for improvement in electrical and thermal transport of carbon nanotube fibers</t>
  </si>
  <si>
    <t>2013_A simultaneous increase in the thermal and electrical transport in carbon nanotube yarns induced by inter-tube metallic welding</t>
  </si>
  <si>
    <t>HAuCl4</t>
  </si>
  <si>
    <t>2019_Enhancing the interfacial interaction of carbon nanotubes fibers by Au nanoparticles with improved performance of the electrical and thermal conductivity</t>
  </si>
  <si>
    <t>iCVD1</t>
  </si>
  <si>
    <t>iCVD2</t>
  </si>
  <si>
    <t>iCVD2 with 4 hours Br</t>
  </si>
  <si>
    <t>iCVD1 with 4 hours Br</t>
  </si>
  <si>
    <t>Forest Spun 4 hours of Br</t>
  </si>
  <si>
    <t>Forest Spun</t>
  </si>
  <si>
    <t>iCVD-R with 4 hours Br</t>
  </si>
  <si>
    <t>iCVD-R</t>
  </si>
  <si>
    <t>2020_Gas infiltration of bromine to enhance the electrical conductivity of carbon nanotube fibers</t>
  </si>
  <si>
    <t>CuCl</t>
  </si>
  <si>
    <t>2018_Terahertz spectroscopy of charge transport in films of pristine and doped single-wall carbon nanotubes</t>
  </si>
  <si>
    <t>2000_Optical and dc conductivity study of potassium-doped single-walled carbon nanotube films</t>
  </si>
  <si>
    <t>2016_Super-strong and highly conductive carbon nanotube ribbons from post-treatment methods</t>
  </si>
  <si>
    <t>2018 A comparison of the twisted and untwisted structures for one-dimensional carbon nanotube assemblies</t>
  </si>
  <si>
    <t xml:space="preserve">Correlation </t>
  </si>
  <si>
    <t>Adjusted Correlation</t>
  </si>
  <si>
    <t>Note took out the outlier from Ultrathin carbon nanotube fibrils of high electrochemical capacitance</t>
  </si>
  <si>
    <t xml:space="preserve">All four CNT categories </t>
  </si>
  <si>
    <t>Log[Tensile Strength] vs Log[CNT Diameter]</t>
  </si>
  <si>
    <t>2021_The synergetic relationship between the length and orientation of carbon nanotubes in direct spinning of high-strength carbon nanotube fibers</t>
  </si>
  <si>
    <t>1988_Stability of the electrical resistivity of bromine, iodine monochloride, copper(II) chloride, and nickel(II) chloride intercalated pitch-based graphite fibers</t>
  </si>
  <si>
    <t xml:space="preserve">1977_High Electrical Conductivity in Graphite Intercalated with Acid Fluorides </t>
  </si>
  <si>
    <t>Heat treated Vapor grown carbon fiber</t>
  </si>
  <si>
    <t>1988_Preparation and electrical properties of bromine intercalated vapor-grown carbon fibers</t>
  </si>
  <si>
    <t>HOPG</t>
  </si>
  <si>
    <t>Pitch based carbin fiber</t>
  </si>
  <si>
    <t>2021_Deep-injection floating-catalyst chemical vapor deposition to continuously synthesize carbon nanotubes with high aspect ratio and high crystallinity</t>
  </si>
  <si>
    <t>2021_Study on the mechanical and electrical properties of twisted CNT yarns fabricated from CNTs with various diameters</t>
  </si>
  <si>
    <t>31--32</t>
  </si>
  <si>
    <t>VGCF Annealed 2000</t>
  </si>
  <si>
    <t>VGCF Annealed 2200</t>
  </si>
  <si>
    <t>VGCF Annealed 2400</t>
  </si>
  <si>
    <t>VGCF Annealed 2600</t>
  </si>
  <si>
    <t>VGCF Annealed 2800</t>
  </si>
  <si>
    <t>VGCF Annealed 3000</t>
  </si>
  <si>
    <t>1989_Effect of Heat Treatment Temperature of Vapor-Grown Graphite Fibers I. Properties of their Bromin Intercalation Compounds</t>
  </si>
  <si>
    <t>VGCF Annealed 2720</t>
  </si>
  <si>
    <t>1981_Intercalation of vapor grown graphite</t>
  </si>
  <si>
    <t>1972_Electrical Anisotropy of Synthetic Metals Based on Graphite</t>
  </si>
  <si>
    <t>1986_Properties of AsF5-Intercalated Vapor Grown Graphite</t>
  </si>
  <si>
    <t>Graphitized Vapor Grown Carbon Fiber</t>
  </si>
  <si>
    <t>Graphitized Pitch Fiber</t>
  </si>
  <si>
    <t>1985_Thermal conductivity of pitch-derived fibres</t>
  </si>
  <si>
    <t>K100 Pitch precursor graphitized 3000 C</t>
  </si>
  <si>
    <t>Gaphitized pitch fiber 3000 C</t>
  </si>
  <si>
    <t>Graphitized Pitch fiber 2650 C</t>
  </si>
  <si>
    <t>1998_Characterization of high thermal conductivity carbon fibers and a self-reinforced graphite panel</t>
  </si>
  <si>
    <t>10--25</t>
  </si>
  <si>
    <t>2021_Large variation in Young's modulus of carbon nanotube yarns with different diameters</t>
  </si>
  <si>
    <t>LiF</t>
  </si>
  <si>
    <t>1983_Graphite intercalation compound of fluorine with lithium fluoride</t>
  </si>
  <si>
    <t>Pyrolitic Graphite GIC</t>
  </si>
  <si>
    <t>PAN fiber GIC</t>
  </si>
  <si>
    <t>2019_Enhancing the strength, toughness, and electrical conductivity of twist-spun carbon nanotube yarns by π bridging</t>
  </si>
  <si>
    <t>Condensed</t>
  </si>
  <si>
    <t>CrossLinked</t>
  </si>
  <si>
    <t>2020_Quantifying the electrical behavior of carbon nanotube sheet enhanced with acid functionalization and polymer intercalation</t>
  </si>
  <si>
    <t>2019_Tailoring physical properties of carbon nanotube threads during assembly</t>
  </si>
  <si>
    <t>2017_Relationships between tensile behavior, physical parameters and manufacturing parameters of carbon nanotube sheet</t>
  </si>
  <si>
    <t>Middle part</t>
  </si>
  <si>
    <t>Middle part after 2800 C Annealing</t>
  </si>
  <si>
    <t>Top Part</t>
  </si>
  <si>
    <t>2021_Ultra-long carbon nanotube forest via in situ supplements of iron and aluminum vapor sources</t>
  </si>
  <si>
    <t>2006_Determination of carbon nanotube density by gradient sedimentation</t>
  </si>
  <si>
    <t>(7,6)</t>
  </si>
  <si>
    <t>(6,5)</t>
  </si>
  <si>
    <t>NC7000</t>
  </si>
  <si>
    <t>Carpet</t>
  </si>
  <si>
    <t>2015_Two-dimensional quantum transport in highly conductive carbon nanotube fibers</t>
  </si>
  <si>
    <t>2018_Magnetotransport in type-enriched single-wall carbon nanotube networks</t>
  </si>
  <si>
    <t>Annealed, Doped</t>
  </si>
  <si>
    <t>B Doped Annealed 1200</t>
  </si>
  <si>
    <t>B Doped Annealed 1300</t>
  </si>
  <si>
    <t>B Doped Annealed 1400</t>
  </si>
  <si>
    <t>B Doped Annealed 1500</t>
  </si>
  <si>
    <t>2018_Effect of boron doping on the electrical conductivity of metallicity-separated single walled carbon nanotubes</t>
  </si>
  <si>
    <t>-</t>
  </si>
  <si>
    <t>Not reported</t>
  </si>
  <si>
    <t>2021_Fabrication of High Specific Electrical Conductivity and High Ampacity Carbon NanotubeCopper Composite Wires</t>
  </si>
  <si>
    <t>Unosrted</t>
  </si>
  <si>
    <t>2015_In situ observation of carbon nanotube yarn during voltage application</t>
  </si>
  <si>
    <t>TEM holder</t>
  </si>
  <si>
    <t>Category 2</t>
  </si>
  <si>
    <t>Metal CNT Composite</t>
  </si>
  <si>
    <t>Other Carbon</t>
  </si>
  <si>
    <t>CNT</t>
  </si>
  <si>
    <t>effective diameter, c.s. area 0.5 micron width x 1.0 micron thick, d= 797.88456 nm or if height is used, 1000 nm</t>
  </si>
  <si>
    <t>effective diameter: rectangular c.s. area 0.9 height x 0.8 micron width, d = 957.461472963438 assuming a circular area, or d = height</t>
  </si>
  <si>
    <t>effective diameter from film 10-20 micron thick x 1 mm width, d=159.577 micron or if heigth is used, d= 15 micron average</t>
  </si>
  <si>
    <t>effective diameter from film 25 micron thick x 1 mm width, d=178.412 micron, or if heigth is used, d= 25 micorn</t>
  </si>
  <si>
    <t>Effective diameter calculated from rectangular c.s. area 1 x 5 micron 1520 microdn, but if height is used, d=1micorn</t>
  </si>
  <si>
    <t>All materials (supended)</t>
  </si>
  <si>
    <t>All materials (on substrate)</t>
  </si>
  <si>
    <t>&lt;0.001</t>
  </si>
  <si>
    <t>All mateials (d &lt; 1 micron)</t>
  </si>
  <si>
    <t>All materials (d &gt;1 micron)</t>
  </si>
  <si>
    <t>Diameter Regime</t>
  </si>
  <si>
    <t>Probe separation regime</t>
  </si>
  <si>
    <t>Log (Probe separation for ampacity (microns))</t>
  </si>
  <si>
    <t>large</t>
  </si>
  <si>
    <t>Not reported/Can not calculate</t>
  </si>
  <si>
    <t>sub-micron</t>
  </si>
  <si>
    <t>sub-mm</t>
  </si>
  <si>
    <t>probe separation estimated from the length of the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</si>
</sst>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0"/>
    <numFmt numFmtId="166" formatCode="0.00000E+0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8"/>
      <color rgb="FF4D5156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1" applyAlignment="1"/>
    <xf numFmtId="0" fontId="2" fillId="0" borderId="0" xfId="0" applyFont="1" applyAlignment="1"/>
    <xf numFmtId="0" fontId="3" fillId="0" borderId="0" xfId="1" applyAlignment="1">
      <alignment vertical="center"/>
    </xf>
    <xf numFmtId="0" fontId="0" fillId="0" borderId="0" xfId="0" applyAlignment="1"/>
    <xf numFmtId="0" fontId="1" fillId="0" borderId="0" xfId="0" applyFont="1"/>
    <xf numFmtId="11" fontId="0" fillId="0" borderId="0" xfId="0" applyNumberFormat="1"/>
    <xf numFmtId="0" fontId="0" fillId="0" borderId="0" xfId="0" applyFont="1"/>
    <xf numFmtId="0" fontId="3" fillId="0" borderId="0" xfId="1"/>
    <xf numFmtId="0" fontId="3" fillId="0" borderId="0" xfId="1" applyFill="1" applyBorder="1" applyAlignment="1"/>
    <xf numFmtId="0" fontId="10" fillId="0" borderId="0" xfId="0" applyFont="1"/>
    <xf numFmtId="0" fontId="11" fillId="0" borderId="0" xfId="0" applyFont="1"/>
    <xf numFmtId="0" fontId="1" fillId="0" borderId="0" xfId="0" applyFont="1" applyAlignment="1"/>
    <xf numFmtId="2" fontId="3" fillId="0" borderId="0" xfId="1" applyNumberFormat="1" applyAlignment="1"/>
    <xf numFmtId="0" fontId="0" fillId="0" borderId="0" xfId="0" applyFont="1" applyAlignment="1"/>
    <xf numFmtId="0" fontId="13" fillId="0" borderId="0" xfId="0" applyFont="1"/>
    <xf numFmtId="0" fontId="0" fillId="0" borderId="0" xfId="0"/>
    <xf numFmtId="0" fontId="3" fillId="0" borderId="0" xfId="1" applyAlignment="1"/>
    <xf numFmtId="0" fontId="1" fillId="0" borderId="0" xfId="0" applyFont="1"/>
    <xf numFmtId="0" fontId="0" fillId="0" borderId="0" xfId="0" applyFont="1" applyAlignment="1"/>
    <xf numFmtId="0" fontId="0" fillId="3" borderId="0" xfId="0" applyFont="1" applyFill="1"/>
    <xf numFmtId="0" fontId="0" fillId="3" borderId="0" xfId="0" applyFont="1" applyFill="1" applyAlignment="1">
      <alignment horizontal="center" wrapText="1"/>
    </xf>
    <xf numFmtId="0" fontId="7" fillId="3" borderId="0" xfId="0" applyFont="1" applyFill="1"/>
    <xf numFmtId="0" fontId="0" fillId="3" borderId="0" xfId="0" applyFont="1" applyFill="1" applyBorder="1"/>
    <xf numFmtId="0" fontId="0" fillId="3" borderId="0" xfId="0" applyFont="1" applyFill="1" applyAlignment="1">
      <alignment horizontal="left"/>
    </xf>
    <xf numFmtId="0" fontId="0" fillId="3" borderId="2" xfId="0" applyNumberFormat="1" applyFont="1" applyFill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3" fillId="0" borderId="0" xfId="1" applyAlignment="1">
      <alignment wrapText="1"/>
    </xf>
    <xf numFmtId="0" fontId="0" fillId="0" borderId="0" xfId="0" applyBorder="1" applyAlignment="1"/>
    <xf numFmtId="0" fontId="2" fillId="4" borderId="2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1" fillId="3" borderId="0" xfId="0" applyFont="1" applyFill="1"/>
    <xf numFmtId="0" fontId="14" fillId="3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left"/>
    </xf>
    <xf numFmtId="0" fontId="15" fillId="0" borderId="0" xfId="1" applyFont="1" applyAlignment="1"/>
    <xf numFmtId="0" fontId="0" fillId="0" borderId="0" xfId="0" applyBorder="1"/>
    <xf numFmtId="0" fontId="0" fillId="4" borderId="2" xfId="0" applyFont="1" applyFill="1" applyBorder="1" applyAlignment="1">
      <alignment horizontal="left"/>
    </xf>
    <xf numFmtId="164" fontId="2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4" fillId="0" borderId="0" xfId="0" applyNumberFormat="1" applyFont="1"/>
    <xf numFmtId="165" fontId="2" fillId="0" borderId="0" xfId="0" applyNumberFormat="1" applyFont="1"/>
    <xf numFmtId="165" fontId="4" fillId="0" borderId="0" xfId="0" applyNumberFormat="1" applyFont="1"/>
    <xf numFmtId="165" fontId="0" fillId="0" borderId="0" xfId="0" applyNumberFormat="1"/>
    <xf numFmtId="164" fontId="0" fillId="0" borderId="0" xfId="0" applyNumberFormat="1" applyAlignme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2" fontId="0" fillId="0" borderId="0" xfId="0" applyNumberFormat="1" applyFont="1"/>
    <xf numFmtId="0" fontId="16" fillId="2" borderId="0" xfId="0" applyFont="1" applyFill="1" applyBorder="1" applyAlignment="1">
      <alignment horizontal="left" vertical="top" wrapText="1"/>
    </xf>
    <xf numFmtId="0" fontId="3" fillId="0" borderId="0" xfId="1" applyFont="1" applyAlignment="1"/>
    <xf numFmtId="0" fontId="17" fillId="0" borderId="0" xfId="0" applyFont="1"/>
    <xf numFmtId="0" fontId="0" fillId="0" borderId="1" xfId="0" applyFont="1" applyBorder="1"/>
    <xf numFmtId="0" fontId="0" fillId="0" borderId="0" xfId="0" applyFont="1" applyBorder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RvsT!$D$4:$D$21</c:f>
              <c:numCache>
                <c:formatCode>General</c:formatCode>
                <c:ptCount val="18"/>
                <c:pt idx="0">
                  <c:v>5.1299445601066598</c:v>
                </c:pt>
                <c:pt idx="1">
                  <c:v>10.0454591530406</c:v>
                </c:pt>
                <c:pt idx="2">
                  <c:v>19.876488338908501</c:v>
                </c:pt>
                <c:pt idx="3">
                  <c:v>30.335992264926201</c:v>
                </c:pt>
                <c:pt idx="4">
                  <c:v>40.167021450794103</c:v>
                </c:pt>
                <c:pt idx="5">
                  <c:v>50.008967071354398</c:v>
                </c:pt>
                <c:pt idx="6">
                  <c:v>59.852472182585103</c:v>
                </c:pt>
                <c:pt idx="7">
                  <c:v>69.697536784486203</c:v>
                </c:pt>
                <c:pt idx="8">
                  <c:v>90.311664210468805</c:v>
                </c:pt>
                <c:pt idx="9">
                  <c:v>110.31369154834</c:v>
                </c:pt>
                <c:pt idx="10">
                  <c:v>130.317278376882</c:v>
                </c:pt>
                <c:pt idx="11">
                  <c:v>150.937643765546</c:v>
                </c:pt>
                <c:pt idx="12">
                  <c:v>175.56200145032599</c:v>
                </c:pt>
                <c:pt idx="13">
                  <c:v>200.19025786178199</c:v>
                </c:pt>
                <c:pt idx="14">
                  <c:v>225.44153079604101</c:v>
                </c:pt>
                <c:pt idx="15">
                  <c:v>250.70605940099901</c:v>
                </c:pt>
                <c:pt idx="16">
                  <c:v>275.983843676655</c:v>
                </c:pt>
                <c:pt idx="17">
                  <c:v>300.05458217346199</c:v>
                </c:pt>
              </c:numCache>
            </c:numRef>
          </c:xVal>
          <c:yVal>
            <c:numRef>
              <c:f>RvsT!$F$4:$F$21</c:f>
              <c:numCache>
                <c:formatCode>General</c:formatCode>
                <c:ptCount val="18"/>
                <c:pt idx="0">
                  <c:v>9.4076620087667484E-2</c:v>
                </c:pt>
                <c:pt idx="1">
                  <c:v>9.4076620087667484E-2</c:v>
                </c:pt>
                <c:pt idx="2">
                  <c:v>9.4076620087667484E-2</c:v>
                </c:pt>
                <c:pt idx="3">
                  <c:v>0.1149825356627041</c:v>
                </c:pt>
                <c:pt idx="4">
                  <c:v>0.1149825356627041</c:v>
                </c:pt>
                <c:pt idx="5">
                  <c:v>0.13124269222106644</c:v>
                </c:pt>
                <c:pt idx="6">
                  <c:v>0.14982572828776636</c:v>
                </c:pt>
                <c:pt idx="7">
                  <c:v>0.17073164386280296</c:v>
                </c:pt>
                <c:pt idx="8">
                  <c:v>0.21602779427538349</c:v>
                </c:pt>
                <c:pt idx="9">
                  <c:v>0.26480826395047047</c:v>
                </c:pt>
                <c:pt idx="10">
                  <c:v>0.31591161313389499</c:v>
                </c:pt>
                <c:pt idx="11">
                  <c:v>0.37049928157982509</c:v>
                </c:pt>
                <c:pt idx="12">
                  <c:v>0.44018566682994953</c:v>
                </c:pt>
                <c:pt idx="13">
                  <c:v>0.51567925085091704</c:v>
                </c:pt>
                <c:pt idx="14">
                  <c:v>0.60394867216774062</c:v>
                </c:pt>
                <c:pt idx="15">
                  <c:v>0.71196256930543278</c:v>
                </c:pt>
                <c:pt idx="16">
                  <c:v>0.83972094226399274</c:v>
                </c:pt>
                <c:pt idx="17">
                  <c:v>0.99999962833927014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1-49AF-8108-9BFB86A4C93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RvsT!$M$4:$M$41</c:f>
              <c:numCache>
                <c:formatCode>General</c:formatCode>
                <c:ptCount val="38"/>
                <c:pt idx="0">
                  <c:v>287.43830446143397</c:v>
                </c:pt>
                <c:pt idx="1">
                  <c:v>282.01877479918699</c:v>
                </c:pt>
                <c:pt idx="2">
                  <c:v>275.68953837220499</c:v>
                </c:pt>
                <c:pt idx="3">
                  <c:v>269.37320558727703</c:v>
                </c:pt>
                <c:pt idx="4">
                  <c:v>263.94077228297601</c:v>
                </c:pt>
                <c:pt idx="5">
                  <c:v>257.637343140101</c:v>
                </c:pt>
                <c:pt idx="6">
                  <c:v>253.11461660053499</c:v>
                </c:pt>
                <c:pt idx="7">
                  <c:v>248.61769734507499</c:v>
                </c:pt>
                <c:pt idx="8">
                  <c:v>243.185264040775</c:v>
                </c:pt>
                <c:pt idx="9">
                  <c:v>236.856027613794</c:v>
                </c:pt>
                <c:pt idx="10">
                  <c:v>227.82347817671501</c:v>
                </c:pt>
                <c:pt idx="11">
                  <c:v>220.636149553211</c:v>
                </c:pt>
                <c:pt idx="12">
                  <c:v>214.30691312622901</c:v>
                </c:pt>
                <c:pt idx="13">
                  <c:v>205.28726733120399</c:v>
                </c:pt>
                <c:pt idx="14">
                  <c:v>195.31920384528499</c:v>
                </c:pt>
                <c:pt idx="15">
                  <c:v>185.41565856963101</c:v>
                </c:pt>
                <c:pt idx="16">
                  <c:v>178.176715377915</c:v>
                </c:pt>
                <c:pt idx="17">
                  <c:v>170.053872705571</c:v>
                </c:pt>
                <c:pt idx="18">
                  <c:v>161.91812639117299</c:v>
                </c:pt>
                <c:pt idx="19">
                  <c:v>154.69208684151101</c:v>
                </c:pt>
                <c:pt idx="20">
                  <c:v>148.34994677247599</c:v>
                </c:pt>
                <c:pt idx="21">
                  <c:v>141.11100358076001</c:v>
                </c:pt>
                <c:pt idx="22">
                  <c:v>133.89786767314999</c:v>
                </c:pt>
                <c:pt idx="23">
                  <c:v>125.76212135875301</c:v>
                </c:pt>
                <c:pt idx="24">
                  <c:v>118.53608180909001</c:v>
                </c:pt>
                <c:pt idx="25">
                  <c:v>110.400335494693</c:v>
                </c:pt>
                <c:pt idx="26">
                  <c:v>102.264589180296</c:v>
                </c:pt>
                <c:pt idx="27">
                  <c:v>93.232039743217499</c:v>
                </c:pt>
                <c:pt idx="28">
                  <c:v>82.392980418723198</c:v>
                </c:pt>
                <c:pt idx="29">
                  <c:v>67.966708603503307</c:v>
                </c:pt>
                <c:pt idx="30">
                  <c:v>49.966127939610899</c:v>
                </c:pt>
                <c:pt idx="31">
                  <c:v>40.972289428691198</c:v>
                </c:pt>
                <c:pt idx="32">
                  <c:v>36.488273815284302</c:v>
                </c:pt>
                <c:pt idx="33">
                  <c:v>29.300945191780301</c:v>
                </c:pt>
                <c:pt idx="34">
                  <c:v>25.713732701054798</c:v>
                </c:pt>
                <c:pt idx="35">
                  <c:v>18.5651150037097</c:v>
                </c:pt>
                <c:pt idx="36">
                  <c:v>14.106906674408799</c:v>
                </c:pt>
                <c:pt idx="37">
                  <c:v>8.7389915803735398</c:v>
                </c:pt>
              </c:numCache>
            </c:numRef>
          </c:xVal>
          <c:yVal>
            <c:numRef>
              <c:f>RvsT!$N$4:$N$41</c:f>
              <c:numCache>
                <c:formatCode>General</c:formatCode>
                <c:ptCount val="38"/>
                <c:pt idx="0">
                  <c:v>0.99932901061324497</c:v>
                </c:pt>
                <c:pt idx="1">
                  <c:v>0.99719023194296497</c:v>
                </c:pt>
                <c:pt idx="2">
                  <c:v>0.99433530113874602</c:v>
                </c:pt>
                <c:pt idx="3">
                  <c:v>0.99219974837897995</c:v>
                </c:pt>
                <c:pt idx="4">
                  <c:v>0.98934159166424696</c:v>
                </c:pt>
                <c:pt idx="5">
                  <c:v>0.98792541694893299</c:v>
                </c:pt>
                <c:pt idx="6">
                  <c:v>0.98578341236814004</c:v>
                </c:pt>
                <c:pt idx="7">
                  <c:v>0.98508016387625397</c:v>
                </c:pt>
                <c:pt idx="8">
                  <c:v>0.98222200716152097</c:v>
                </c:pt>
                <c:pt idx="9">
                  <c:v>0.97936707635730103</c:v>
                </c:pt>
                <c:pt idx="10">
                  <c:v>0.97580244524016901</c:v>
                </c:pt>
                <c:pt idx="11">
                  <c:v>0.97510887447982098</c:v>
                </c:pt>
                <c:pt idx="12">
                  <c:v>0.97225394367560203</c:v>
                </c:pt>
                <c:pt idx="13">
                  <c:v>0.96940869060292201</c:v>
                </c:pt>
                <c:pt idx="14">
                  <c:v>0.96368915126294397</c:v>
                </c:pt>
                <c:pt idx="15">
                  <c:v>0.96156650214522998</c:v>
                </c:pt>
                <c:pt idx="16">
                  <c:v>0.95799541920707099</c:v>
                </c:pt>
                <c:pt idx="17">
                  <c:v>0.95514694022387803</c:v>
                </c:pt>
                <c:pt idx="18">
                  <c:v>0.95157908319623197</c:v>
                </c:pt>
                <c:pt idx="19">
                  <c:v>0.94872737830252496</c:v>
                </c:pt>
                <c:pt idx="20">
                  <c:v>0.94515306945385302</c:v>
                </c:pt>
                <c:pt idx="21">
                  <c:v>0.94158198651569402</c:v>
                </c:pt>
                <c:pt idx="22">
                  <c:v>0.93944965966644001</c:v>
                </c:pt>
                <c:pt idx="23">
                  <c:v>0.93588180263879395</c:v>
                </c:pt>
                <c:pt idx="24">
                  <c:v>0.93303009774508805</c:v>
                </c:pt>
                <c:pt idx="25">
                  <c:v>0.92946224071744199</c:v>
                </c:pt>
                <c:pt idx="26">
                  <c:v>0.92589438368979604</c:v>
                </c:pt>
                <c:pt idx="27">
                  <c:v>0.92232975257266303</c:v>
                </c:pt>
                <c:pt idx="28">
                  <c:v>0.91805219523210402</c:v>
                </c:pt>
                <c:pt idx="29">
                  <c:v>0.91378754153359698</c:v>
                </c:pt>
                <c:pt idx="30">
                  <c:v>0.91025516952159702</c:v>
                </c:pt>
                <c:pt idx="31">
                  <c:v>0.90884867253782298</c:v>
                </c:pt>
                <c:pt idx="32">
                  <c:v>0.90886480209039</c:v>
                </c:pt>
                <c:pt idx="33">
                  <c:v>0.90817123133004296</c:v>
                </c:pt>
                <c:pt idx="34">
                  <c:v>0.90818413497209505</c:v>
                </c:pt>
                <c:pt idx="35">
                  <c:v>0.90964869834510698</c:v>
                </c:pt>
                <c:pt idx="36">
                  <c:v>0.91110358398657998</c:v>
                </c:pt>
                <c:pt idx="37">
                  <c:v>0.91184231749411204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1-49AF-8108-9BFB86A4C93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RvsT!$U$4:$U$205</c:f>
              <c:numCache>
                <c:formatCode>General</c:formatCode>
                <c:ptCount val="202"/>
                <c:pt idx="0">
                  <c:v>3.4906490531169001</c:v>
                </c:pt>
                <c:pt idx="1">
                  <c:v>3.9557851318396602</c:v>
                </c:pt>
                <c:pt idx="2">
                  <c:v>4.4209212105624198</c:v>
                </c:pt>
                <c:pt idx="3">
                  <c:v>4.8860572892851701</c:v>
                </c:pt>
                <c:pt idx="4">
                  <c:v>5.3511933680079302</c:v>
                </c:pt>
                <c:pt idx="5">
                  <c:v>6.5140335648148202</c:v>
                </c:pt>
                <c:pt idx="6">
                  <c:v>5.8163294467306903</c:v>
                </c:pt>
                <c:pt idx="7">
                  <c:v>7.4443057222603297</c:v>
                </c:pt>
                <c:pt idx="8">
                  <c:v>8.1420098403444694</c:v>
                </c:pt>
                <c:pt idx="9">
                  <c:v>9.07228199778997</c:v>
                </c:pt>
                <c:pt idx="10">
                  <c:v>9.5374180765127292</c:v>
                </c:pt>
                <c:pt idx="11">
                  <c:v>10.4676902339582</c:v>
                </c:pt>
                <c:pt idx="12">
                  <c:v>11.1653943520423</c:v>
                </c:pt>
                <c:pt idx="13">
                  <c:v>12.095666509487801</c:v>
                </c:pt>
                <c:pt idx="14">
                  <c:v>12.560802588210599</c:v>
                </c:pt>
                <c:pt idx="15">
                  <c:v>14.1887788637402</c:v>
                </c:pt>
                <c:pt idx="16">
                  <c:v>15.584187099908499</c:v>
                </c:pt>
                <c:pt idx="17">
                  <c:v>16.747027296715402</c:v>
                </c:pt>
                <c:pt idx="18">
                  <c:v>17.909867493522299</c:v>
                </c:pt>
                <c:pt idx="19">
                  <c:v>18.840139650967799</c:v>
                </c:pt>
                <c:pt idx="20">
                  <c:v>20.2355478871361</c:v>
                </c:pt>
                <c:pt idx="21">
                  <c:v>21.398388083942901</c:v>
                </c:pt>
                <c:pt idx="22">
                  <c:v>23.026364359472598</c:v>
                </c:pt>
                <c:pt idx="23">
                  <c:v>24.8869086743636</c:v>
                </c:pt>
                <c:pt idx="24">
                  <c:v>26.5148849498933</c:v>
                </c:pt>
                <c:pt idx="25">
                  <c:v>27.677725146700201</c:v>
                </c:pt>
                <c:pt idx="26">
                  <c:v>29.538269461591199</c:v>
                </c:pt>
                <c:pt idx="27">
                  <c:v>31.3988137764822</c:v>
                </c:pt>
                <c:pt idx="28">
                  <c:v>33.957062209457398</c:v>
                </c:pt>
                <c:pt idx="29">
                  <c:v>34.887334366902898</c:v>
                </c:pt>
                <c:pt idx="30">
                  <c:v>36.050174563709803</c:v>
                </c:pt>
                <c:pt idx="31">
                  <c:v>34.654766327541502</c:v>
                </c:pt>
                <c:pt idx="32">
                  <c:v>38.608422996684901</c:v>
                </c:pt>
                <c:pt idx="33">
                  <c:v>40.468967311575902</c:v>
                </c:pt>
                <c:pt idx="34">
                  <c:v>43.0272157445511</c:v>
                </c:pt>
                <c:pt idx="35">
                  <c:v>44.887760059442101</c:v>
                </c:pt>
                <c:pt idx="36">
                  <c:v>47.213440453055902</c:v>
                </c:pt>
                <c:pt idx="37">
                  <c:v>49.3065528073083</c:v>
                </c:pt>
                <c:pt idx="38">
                  <c:v>51.864801240283398</c:v>
                </c:pt>
                <c:pt idx="39">
                  <c:v>52.795073397728999</c:v>
                </c:pt>
                <c:pt idx="40">
                  <c:v>55.353321830704097</c:v>
                </c:pt>
                <c:pt idx="41">
                  <c:v>56.516162027511001</c:v>
                </c:pt>
                <c:pt idx="42">
                  <c:v>58.376706342402002</c:v>
                </c:pt>
                <c:pt idx="43">
                  <c:v>53.725345555174499</c:v>
                </c:pt>
                <c:pt idx="44">
                  <c:v>60.237250657293004</c:v>
                </c:pt>
                <c:pt idx="45">
                  <c:v>61.400090854099901</c:v>
                </c:pt>
                <c:pt idx="46">
                  <c:v>63.028067129629598</c:v>
                </c:pt>
                <c:pt idx="47">
                  <c:v>63.958339287075098</c:v>
                </c:pt>
                <c:pt idx="48">
                  <c:v>66.516587720050296</c:v>
                </c:pt>
                <c:pt idx="49">
                  <c:v>67.2142918381344</c:v>
                </c:pt>
                <c:pt idx="50">
                  <c:v>69.074836153025402</c:v>
                </c:pt>
                <c:pt idx="51">
                  <c:v>70.702812428555006</c:v>
                </c:pt>
                <c:pt idx="52">
                  <c:v>71.865652625362003</c:v>
                </c:pt>
                <c:pt idx="53">
                  <c:v>73.261060861530197</c:v>
                </c:pt>
                <c:pt idx="54">
                  <c:v>74.191333018975698</c:v>
                </c:pt>
                <c:pt idx="55">
                  <c:v>75.354173215782595</c:v>
                </c:pt>
                <c:pt idx="56">
                  <c:v>76.982149491312299</c:v>
                </c:pt>
                <c:pt idx="57">
                  <c:v>79.307829884926093</c:v>
                </c:pt>
                <c:pt idx="58">
                  <c:v>77.9124216487578</c:v>
                </c:pt>
                <c:pt idx="59">
                  <c:v>80.703238121094302</c:v>
                </c:pt>
                <c:pt idx="60">
                  <c:v>82.098646357262595</c:v>
                </c:pt>
                <c:pt idx="61">
                  <c:v>82.563782435985303</c:v>
                </c:pt>
                <c:pt idx="62">
                  <c:v>84.191758711515007</c:v>
                </c:pt>
                <c:pt idx="63">
                  <c:v>85.122030868960493</c:v>
                </c:pt>
                <c:pt idx="64">
                  <c:v>86.284871065767405</c:v>
                </c:pt>
                <c:pt idx="65">
                  <c:v>87.680279301935599</c:v>
                </c:pt>
                <c:pt idx="66">
                  <c:v>88.610551459381099</c:v>
                </c:pt>
                <c:pt idx="67">
                  <c:v>90.238527734910804</c:v>
                </c:pt>
                <c:pt idx="68">
                  <c:v>90.4710957742722</c:v>
                </c:pt>
                <c:pt idx="69">
                  <c:v>90.4710957742722</c:v>
                </c:pt>
                <c:pt idx="70">
                  <c:v>91.866504010440394</c:v>
                </c:pt>
                <c:pt idx="71">
                  <c:v>93.029344207247306</c:v>
                </c:pt>
                <c:pt idx="72">
                  <c:v>94.192184404054203</c:v>
                </c:pt>
                <c:pt idx="73">
                  <c:v>95.587592640222496</c:v>
                </c:pt>
                <c:pt idx="74">
                  <c:v>96.983000876390804</c:v>
                </c:pt>
                <c:pt idx="75">
                  <c:v>98.378409112558998</c:v>
                </c:pt>
                <c:pt idx="76">
                  <c:v>100.00638538808801</c:v>
                </c:pt>
                <c:pt idx="77">
                  <c:v>101.169225584895</c:v>
                </c:pt>
                <c:pt idx="78">
                  <c:v>102.564633821063</c:v>
                </c:pt>
                <c:pt idx="79">
                  <c:v>103.960042057232</c:v>
                </c:pt>
                <c:pt idx="80">
                  <c:v>105.122882254039</c:v>
                </c:pt>
                <c:pt idx="81">
                  <c:v>106.98342656893</c:v>
                </c:pt>
                <c:pt idx="82">
                  <c:v>108.37883480509799</c:v>
                </c:pt>
                <c:pt idx="83">
                  <c:v>110.006811080627</c:v>
                </c:pt>
                <c:pt idx="84">
                  <c:v>111.40221931679601</c:v>
                </c:pt>
                <c:pt idx="85">
                  <c:v>113.26276363168699</c:v>
                </c:pt>
                <c:pt idx="86">
                  <c:v>114.193035789132</c:v>
                </c:pt>
                <c:pt idx="87">
                  <c:v>116.053580104023</c:v>
                </c:pt>
                <c:pt idx="88">
                  <c:v>117.448988340192</c:v>
                </c:pt>
                <c:pt idx="89">
                  <c:v>118.84439657636</c:v>
                </c:pt>
                <c:pt idx="90">
                  <c:v>120.47237285188901</c:v>
                </c:pt>
                <c:pt idx="91">
                  <c:v>122.565485206142</c:v>
                </c:pt>
                <c:pt idx="92">
                  <c:v>121.402645009335</c:v>
                </c:pt>
                <c:pt idx="93">
                  <c:v>124.426029521033</c:v>
                </c:pt>
                <c:pt idx="94">
                  <c:v>125.821437757201</c:v>
                </c:pt>
                <c:pt idx="95">
                  <c:v>127.21684599336901</c:v>
                </c:pt>
                <c:pt idx="96">
                  <c:v>128.37968619017599</c:v>
                </c:pt>
                <c:pt idx="97">
                  <c:v>129.77509442634499</c:v>
                </c:pt>
                <c:pt idx="98">
                  <c:v>131.40307070187399</c:v>
                </c:pt>
                <c:pt idx="99">
                  <c:v>132.79847893804299</c:v>
                </c:pt>
                <c:pt idx="100">
                  <c:v>134.42645521357201</c:v>
                </c:pt>
                <c:pt idx="101">
                  <c:v>135.356727371018</c:v>
                </c:pt>
                <c:pt idx="102">
                  <c:v>136.75213560718601</c:v>
                </c:pt>
                <c:pt idx="103">
                  <c:v>137.68240776463099</c:v>
                </c:pt>
                <c:pt idx="104">
                  <c:v>139.0778160008</c:v>
                </c:pt>
                <c:pt idx="105">
                  <c:v>140.70579227632899</c:v>
                </c:pt>
                <c:pt idx="106">
                  <c:v>141.86863247313599</c:v>
                </c:pt>
                <c:pt idx="107">
                  <c:v>143.49660874866601</c:v>
                </c:pt>
                <c:pt idx="108">
                  <c:v>144.89201698483399</c:v>
                </c:pt>
                <c:pt idx="109">
                  <c:v>146.75256129972499</c:v>
                </c:pt>
                <c:pt idx="110">
                  <c:v>148.61310561461599</c:v>
                </c:pt>
                <c:pt idx="111">
                  <c:v>150.008513850784</c:v>
                </c:pt>
                <c:pt idx="112">
                  <c:v>151.63649012631399</c:v>
                </c:pt>
                <c:pt idx="113">
                  <c:v>153.264466401844</c:v>
                </c:pt>
                <c:pt idx="114">
                  <c:v>154.65987463801201</c:v>
                </c:pt>
                <c:pt idx="115">
                  <c:v>156.05528287417999</c:v>
                </c:pt>
                <c:pt idx="116">
                  <c:v>157.21812307098699</c:v>
                </c:pt>
                <c:pt idx="117">
                  <c:v>158.84609934651701</c:v>
                </c:pt>
                <c:pt idx="118">
                  <c:v>160.008939543324</c:v>
                </c:pt>
                <c:pt idx="119">
                  <c:v>161.636915818853</c:v>
                </c:pt>
                <c:pt idx="120">
                  <c:v>163.497460133744</c:v>
                </c:pt>
                <c:pt idx="121">
                  <c:v>164.660300330551</c:v>
                </c:pt>
                <c:pt idx="122">
                  <c:v>165.82314052735799</c:v>
                </c:pt>
                <c:pt idx="123">
                  <c:v>167.45111680288801</c:v>
                </c:pt>
                <c:pt idx="124">
                  <c:v>168.84652503905599</c:v>
                </c:pt>
                <c:pt idx="125">
                  <c:v>170.47450131458601</c:v>
                </c:pt>
                <c:pt idx="126">
                  <c:v>171.86990955075399</c:v>
                </c:pt>
                <c:pt idx="127">
                  <c:v>173.497885826284</c:v>
                </c:pt>
                <c:pt idx="128">
                  <c:v>174.89329406245199</c:v>
                </c:pt>
                <c:pt idx="129">
                  <c:v>176.521270337982</c:v>
                </c:pt>
                <c:pt idx="130">
                  <c:v>177.91667857415001</c:v>
                </c:pt>
                <c:pt idx="131">
                  <c:v>179.31208681031799</c:v>
                </c:pt>
                <c:pt idx="132">
                  <c:v>181.17263112520899</c:v>
                </c:pt>
                <c:pt idx="133">
                  <c:v>182.568039361377</c:v>
                </c:pt>
                <c:pt idx="134">
                  <c:v>183.96344759754601</c:v>
                </c:pt>
                <c:pt idx="135">
                  <c:v>186.28912799115901</c:v>
                </c:pt>
                <c:pt idx="136">
                  <c:v>185.126287794353</c:v>
                </c:pt>
                <c:pt idx="137">
                  <c:v>188.14967230605001</c:v>
                </c:pt>
                <c:pt idx="138">
                  <c:v>189.54508054221901</c:v>
                </c:pt>
                <c:pt idx="139">
                  <c:v>190.70792073902601</c:v>
                </c:pt>
                <c:pt idx="140">
                  <c:v>192.335897014555</c:v>
                </c:pt>
                <c:pt idx="141">
                  <c:v>193.498737211362</c:v>
                </c:pt>
                <c:pt idx="142">
                  <c:v>195.12671348689199</c:v>
                </c:pt>
                <c:pt idx="143">
                  <c:v>196.98725780178299</c:v>
                </c:pt>
                <c:pt idx="144">
                  <c:v>198.84780211667399</c:v>
                </c:pt>
                <c:pt idx="145">
                  <c:v>200.70834643156499</c:v>
                </c:pt>
                <c:pt idx="146">
                  <c:v>202.56889074645599</c:v>
                </c:pt>
                <c:pt idx="147">
                  <c:v>204.42943506134699</c:v>
                </c:pt>
                <c:pt idx="148">
                  <c:v>206.05741133687701</c:v>
                </c:pt>
                <c:pt idx="149">
                  <c:v>208.150523691129</c:v>
                </c:pt>
                <c:pt idx="150">
                  <c:v>209.545931927297</c:v>
                </c:pt>
                <c:pt idx="151">
                  <c:v>211.40647624218801</c:v>
                </c:pt>
                <c:pt idx="152">
                  <c:v>213.732156635802</c:v>
                </c:pt>
                <c:pt idx="153">
                  <c:v>215.12756487197001</c:v>
                </c:pt>
                <c:pt idx="154">
                  <c:v>217.22067722622299</c:v>
                </c:pt>
                <c:pt idx="155">
                  <c:v>219.08122154111399</c:v>
                </c:pt>
                <c:pt idx="156">
                  <c:v>220.94176585600499</c:v>
                </c:pt>
                <c:pt idx="157">
                  <c:v>223.03487821025701</c:v>
                </c:pt>
                <c:pt idx="158">
                  <c:v>225.12799056450899</c:v>
                </c:pt>
                <c:pt idx="159">
                  <c:v>226.75596684003901</c:v>
                </c:pt>
                <c:pt idx="160">
                  <c:v>228.84907919429199</c:v>
                </c:pt>
                <c:pt idx="161">
                  <c:v>230.70962350918299</c:v>
                </c:pt>
                <c:pt idx="162">
                  <c:v>233.03530390279599</c:v>
                </c:pt>
                <c:pt idx="163">
                  <c:v>232.33759978471201</c:v>
                </c:pt>
                <c:pt idx="164">
                  <c:v>235.128416257049</c:v>
                </c:pt>
                <c:pt idx="165">
                  <c:v>237.45409665066299</c:v>
                </c:pt>
                <c:pt idx="166">
                  <c:v>236.98896057194</c:v>
                </c:pt>
                <c:pt idx="167">
                  <c:v>239.547209004915</c:v>
                </c:pt>
                <c:pt idx="168">
                  <c:v>241.64032135916699</c:v>
                </c:pt>
                <c:pt idx="169">
                  <c:v>243.50086567405799</c:v>
                </c:pt>
                <c:pt idx="170">
                  <c:v>245.36140998894899</c:v>
                </c:pt>
                <c:pt idx="171">
                  <c:v>246.98938626447901</c:v>
                </c:pt>
                <c:pt idx="172">
                  <c:v>248.84993057937001</c:v>
                </c:pt>
                <c:pt idx="173">
                  <c:v>250.01277077617701</c:v>
                </c:pt>
                <c:pt idx="174">
                  <c:v>251.87331509106801</c:v>
                </c:pt>
                <c:pt idx="175">
                  <c:v>253.501291366598</c:v>
                </c:pt>
                <c:pt idx="176">
                  <c:v>255.361835681489</c:v>
                </c:pt>
                <c:pt idx="177">
                  <c:v>257.22237999638003</c:v>
                </c:pt>
                <c:pt idx="178">
                  <c:v>258.38522019318702</c:v>
                </c:pt>
                <c:pt idx="179">
                  <c:v>260.01319646871599</c:v>
                </c:pt>
                <c:pt idx="180">
                  <c:v>261.87374078360699</c:v>
                </c:pt>
                <c:pt idx="181">
                  <c:v>263.73428509849799</c:v>
                </c:pt>
                <c:pt idx="182">
                  <c:v>265.36226137402798</c:v>
                </c:pt>
                <c:pt idx="183">
                  <c:v>267.22280568891898</c:v>
                </c:pt>
                <c:pt idx="184">
                  <c:v>269.08335000380998</c:v>
                </c:pt>
                <c:pt idx="185">
                  <c:v>270.94389431870098</c:v>
                </c:pt>
                <c:pt idx="186">
                  <c:v>272.80443863359199</c:v>
                </c:pt>
                <c:pt idx="187">
                  <c:v>274.66498294848299</c:v>
                </c:pt>
                <c:pt idx="188">
                  <c:v>276.99066334209698</c:v>
                </c:pt>
                <c:pt idx="189">
                  <c:v>278.85120765698798</c:v>
                </c:pt>
                <c:pt idx="190">
                  <c:v>280.71175197187898</c:v>
                </c:pt>
                <c:pt idx="191">
                  <c:v>282.10716020804699</c:v>
                </c:pt>
                <c:pt idx="192">
                  <c:v>284.43284060166098</c:v>
                </c:pt>
                <c:pt idx="193">
                  <c:v>286.06081687719097</c:v>
                </c:pt>
                <c:pt idx="194">
                  <c:v>287.45622511335898</c:v>
                </c:pt>
                <c:pt idx="195">
                  <c:v>289.084201388888</c:v>
                </c:pt>
                <c:pt idx="196">
                  <c:v>290.71217766441799</c:v>
                </c:pt>
                <c:pt idx="197">
                  <c:v>292.57272197930899</c:v>
                </c:pt>
                <c:pt idx="198">
                  <c:v>293.73556217611599</c:v>
                </c:pt>
                <c:pt idx="199">
                  <c:v>295.130970412284</c:v>
                </c:pt>
                <c:pt idx="200">
                  <c:v>296.75894668781399</c:v>
                </c:pt>
                <c:pt idx="201">
                  <c:v>298.61949100270499</c:v>
                </c:pt>
              </c:numCache>
            </c:numRef>
          </c:xVal>
          <c:yVal>
            <c:numRef>
              <c:f>RvsT!$X$4:$X$205</c:f>
              <c:numCache>
                <c:formatCode>General</c:formatCode>
                <c:ptCount val="202"/>
                <c:pt idx="0">
                  <c:v>0.76779288528358636</c:v>
                </c:pt>
                <c:pt idx="1">
                  <c:v>0.76413438117445631</c:v>
                </c:pt>
                <c:pt idx="2">
                  <c:v>0.7600600167317042</c:v>
                </c:pt>
                <c:pt idx="3">
                  <c:v>0.75647466310788158</c:v>
                </c:pt>
                <c:pt idx="4">
                  <c:v>0.75380776771264446</c:v>
                </c:pt>
                <c:pt idx="5">
                  <c:v>0.74548528274175307</c:v>
                </c:pt>
                <c:pt idx="6">
                  <c:v>0.75028102082184533</c:v>
                </c:pt>
                <c:pt idx="7">
                  <c:v>0.74160686076924243</c:v>
                </c:pt>
                <c:pt idx="8">
                  <c:v>0.73776858527541145</c:v>
                </c:pt>
                <c:pt idx="9">
                  <c:v>0.7348106180469528</c:v>
                </c:pt>
                <c:pt idx="10">
                  <c:v>0.73145899528271097</c:v>
                </c:pt>
                <c:pt idx="11">
                  <c:v>0.72813780857854671</c:v>
                </c:pt>
                <c:pt idx="12">
                  <c:v>0.72566664366281119</c:v>
                </c:pt>
                <c:pt idx="13">
                  <c:v>0.72280473397361145</c:v>
                </c:pt>
                <c:pt idx="14">
                  <c:v>0.7211794693946707</c:v>
                </c:pt>
                <c:pt idx="15">
                  <c:v>0.71754921305320241</c:v>
                </c:pt>
                <c:pt idx="16">
                  <c:v>0.71355822118594814</c:v>
                </c:pt>
                <c:pt idx="17">
                  <c:v>0.71118486507795642</c:v>
                </c:pt>
                <c:pt idx="18">
                  <c:v>0.70804484090427022</c:v>
                </c:pt>
                <c:pt idx="19">
                  <c:v>0.70531997757764098</c:v>
                </c:pt>
                <c:pt idx="20">
                  <c:v>0.70377230856563744</c:v>
                </c:pt>
                <c:pt idx="21">
                  <c:v>0.70108016861330957</c:v>
                </c:pt>
                <c:pt idx="22">
                  <c:v>0.69878895962804377</c:v>
                </c:pt>
                <c:pt idx="23">
                  <c:v>0.69726978880489976</c:v>
                </c:pt>
                <c:pt idx="24">
                  <c:v>0.69575720902329741</c:v>
                </c:pt>
                <c:pt idx="25">
                  <c:v>0.69425117748245968</c:v>
                </c:pt>
                <c:pt idx="26">
                  <c:v>0.69237778191390675</c:v>
                </c:pt>
                <c:pt idx="27">
                  <c:v>0.69200431540497054</c:v>
                </c:pt>
                <c:pt idx="28">
                  <c:v>0.69125858976490562</c:v>
                </c:pt>
                <c:pt idx="29">
                  <c:v>0.69125858976490562</c:v>
                </c:pt>
                <c:pt idx="30">
                  <c:v>0.68903102517822479</c:v>
                </c:pt>
                <c:pt idx="31">
                  <c:v>0.68866115944015771</c:v>
                </c:pt>
                <c:pt idx="32">
                  <c:v>0.68755394088317145</c:v>
                </c:pt>
                <c:pt idx="33">
                  <c:v>0.68755394088317145</c:v>
                </c:pt>
                <c:pt idx="34">
                  <c:v>0.68681777102573716</c:v>
                </c:pt>
                <c:pt idx="35">
                  <c:v>0.68681777102573716</c:v>
                </c:pt>
                <c:pt idx="36">
                  <c:v>0.68681777102573716</c:v>
                </c:pt>
                <c:pt idx="37">
                  <c:v>0.68681777102573716</c:v>
                </c:pt>
                <c:pt idx="38">
                  <c:v>0.68718565879306981</c:v>
                </c:pt>
                <c:pt idx="39">
                  <c:v>0.68903102517822479</c:v>
                </c:pt>
                <c:pt idx="40">
                  <c:v>0.68977194981967105</c:v>
                </c:pt>
                <c:pt idx="41">
                  <c:v>0.69051446962956042</c:v>
                </c:pt>
                <c:pt idx="42">
                  <c:v>0.69051446962956042</c:v>
                </c:pt>
                <c:pt idx="43">
                  <c:v>0.69163125157227145</c:v>
                </c:pt>
                <c:pt idx="44">
                  <c:v>0.69051446962956042</c:v>
                </c:pt>
                <c:pt idx="45">
                  <c:v>0.69200431540497054</c:v>
                </c:pt>
                <c:pt idx="46">
                  <c:v>0.69200431540497054</c:v>
                </c:pt>
                <c:pt idx="47">
                  <c:v>0.69275165175139264</c:v>
                </c:pt>
                <c:pt idx="48">
                  <c:v>0.69350060402830616</c:v>
                </c:pt>
                <c:pt idx="49">
                  <c:v>0.69500337738333939</c:v>
                </c:pt>
                <c:pt idx="50">
                  <c:v>0.6953800889042655</c:v>
                </c:pt>
                <c:pt idx="51">
                  <c:v>0.69575720902329741</c:v>
                </c:pt>
                <c:pt idx="52">
                  <c:v>0.69764896192045356</c:v>
                </c:pt>
                <c:pt idx="53">
                  <c:v>0.69802854764667621</c:v>
                </c:pt>
                <c:pt idx="54">
                  <c:v>0.69955103015754261</c:v>
                </c:pt>
                <c:pt idx="55">
                  <c:v>0.7010801686133088</c:v>
                </c:pt>
                <c:pt idx="56">
                  <c:v>0.70223141671872991</c:v>
                </c:pt>
                <c:pt idx="57">
                  <c:v>0.7030010182818025</c:v>
                </c:pt>
                <c:pt idx="58">
                  <c:v>0.70338645198642147</c:v>
                </c:pt>
                <c:pt idx="59">
                  <c:v>0.70415858871575965</c:v>
                </c:pt>
                <c:pt idx="60">
                  <c:v>0.70454529313462866</c:v>
                </c:pt>
                <c:pt idx="61">
                  <c:v>0.70648520379218449</c:v>
                </c:pt>
                <c:pt idx="62">
                  <c:v>0.70726416253336188</c:v>
                </c:pt>
                <c:pt idx="63">
                  <c:v>0.70726416253336188</c:v>
                </c:pt>
                <c:pt idx="64">
                  <c:v>0.70804484090427022</c:v>
                </c:pt>
                <c:pt idx="65">
                  <c:v>0.70921909524350291</c:v>
                </c:pt>
                <c:pt idx="66">
                  <c:v>0.71000409768441541</c:v>
                </c:pt>
                <c:pt idx="67">
                  <c:v>0.70961137936321206</c:v>
                </c:pt>
                <c:pt idx="68">
                  <c:v>0.7119742276142671</c:v>
                </c:pt>
                <c:pt idx="69">
                  <c:v>0.7119742276142671</c:v>
                </c:pt>
                <c:pt idx="70">
                  <c:v>0.71355822118594814</c:v>
                </c:pt>
                <c:pt idx="71">
                  <c:v>0.71316156240020889</c:v>
                </c:pt>
                <c:pt idx="72">
                  <c:v>0.7147508494162802</c:v>
                </c:pt>
                <c:pt idx="73">
                  <c:v>0.71594747099528089</c:v>
                </c:pt>
                <c:pt idx="74">
                  <c:v>0.71714810601333678</c:v>
                </c:pt>
                <c:pt idx="75">
                  <c:v>0.71835277469582981</c:v>
                </c:pt>
                <c:pt idx="76">
                  <c:v>0.71996530940742143</c:v>
                </c:pt>
                <c:pt idx="77">
                  <c:v>0.72077429463742826</c:v>
                </c:pt>
                <c:pt idx="78">
                  <c:v>0.72158509993653541</c:v>
                </c:pt>
                <c:pt idx="79">
                  <c:v>0.72239773145389696</c:v>
                </c:pt>
                <c:pt idx="80">
                  <c:v>0.72443734055662612</c:v>
                </c:pt>
                <c:pt idx="81">
                  <c:v>0.72484664522393372</c:v>
                </c:pt>
                <c:pt idx="82">
                  <c:v>0.72648849948481808</c:v>
                </c:pt>
                <c:pt idx="83">
                  <c:v>0.72813780857854671</c:v>
                </c:pt>
                <c:pt idx="84">
                  <c:v>0.72937971322809769</c:v>
                </c:pt>
                <c:pt idx="85">
                  <c:v>0.73021000587394946</c:v>
                </c:pt>
                <c:pt idx="86">
                  <c:v>0.73187627511033326</c:v>
                </c:pt>
                <c:pt idx="87">
                  <c:v>0.73313097606810862</c:v>
                </c:pt>
                <c:pt idx="88">
                  <c:v>0.7348106180469528</c:v>
                </c:pt>
                <c:pt idx="89">
                  <c:v>0.73649797399676287</c:v>
                </c:pt>
                <c:pt idx="90">
                  <c:v>0.73734456133646331</c:v>
                </c:pt>
                <c:pt idx="91">
                  <c:v>0.74075046324632476</c:v>
                </c:pt>
                <c:pt idx="92">
                  <c:v>0.73946956913494299</c:v>
                </c:pt>
                <c:pt idx="93">
                  <c:v>0.74289517637700186</c:v>
                </c:pt>
                <c:pt idx="94">
                  <c:v>0.74461990952432466</c:v>
                </c:pt>
                <c:pt idx="95">
                  <c:v>0.74591872407063176</c:v>
                </c:pt>
                <c:pt idx="96">
                  <c:v>0.74722207748779146</c:v>
                </c:pt>
                <c:pt idx="97">
                  <c:v>0.74852999360993044</c:v>
                </c:pt>
                <c:pt idx="98">
                  <c:v>0.74940448437302531</c:v>
                </c:pt>
                <c:pt idx="99">
                  <c:v>0.75204025955667242</c:v>
                </c:pt>
                <c:pt idx="100">
                  <c:v>0.75248135906384472</c:v>
                </c:pt>
                <c:pt idx="101">
                  <c:v>0.7542509436854975</c:v>
                </c:pt>
                <c:pt idx="102">
                  <c:v>0.75513886077416892</c:v>
                </c:pt>
                <c:pt idx="103">
                  <c:v>0.75736782661535007</c:v>
                </c:pt>
                <c:pt idx="104">
                  <c:v>0.75781519974946177</c:v>
                </c:pt>
                <c:pt idx="105">
                  <c:v>0.75960999002175</c:v>
                </c:pt>
                <c:pt idx="106">
                  <c:v>0.76141330194790147</c:v>
                </c:pt>
                <c:pt idx="107">
                  <c:v>0.76277141480250132</c:v>
                </c:pt>
                <c:pt idx="108">
                  <c:v>0.76458978635741714</c:v>
                </c:pt>
                <c:pt idx="109">
                  <c:v>0.76687497891440959</c:v>
                </c:pt>
                <c:pt idx="110">
                  <c:v>0.76825266297347705</c:v>
                </c:pt>
                <c:pt idx="111">
                  <c:v>0.77055983609367762</c:v>
                </c:pt>
                <c:pt idx="112">
                  <c:v>0.77241557605067623</c:v>
                </c:pt>
                <c:pt idx="113">
                  <c:v>0.77474785851971684</c:v>
                </c:pt>
                <c:pt idx="114">
                  <c:v>0.77709426813983484</c:v>
                </c:pt>
                <c:pt idx="115">
                  <c:v>0.77803681637700828</c:v>
                </c:pt>
                <c:pt idx="116">
                  <c:v>0.77945493365787566</c:v>
                </c:pt>
                <c:pt idx="117">
                  <c:v>0.78135381783786106</c:v>
                </c:pt>
                <c:pt idx="118">
                  <c:v>0.78374047343840003</c:v>
                </c:pt>
                <c:pt idx="119">
                  <c:v>0.78517947811676247</c:v>
                </c:pt>
                <c:pt idx="120">
                  <c:v>0.78710639111508418</c:v>
                </c:pt>
                <c:pt idx="121">
                  <c:v>0.79001455930902331</c:v>
                </c:pt>
                <c:pt idx="122">
                  <c:v>0.79098873014231386</c:v>
                </c:pt>
                <c:pt idx="123">
                  <c:v>0.7929442971571572</c:v>
                </c:pt>
                <c:pt idx="124">
                  <c:v>0.7939257112240965</c:v>
                </c:pt>
                <c:pt idx="125">
                  <c:v>0.79688458390851846</c:v>
                </c:pt>
                <c:pt idx="126">
                  <c:v>0.79837230623285904</c:v>
                </c:pt>
                <c:pt idx="127">
                  <c:v>0.80036459855880171</c:v>
                </c:pt>
                <c:pt idx="128">
                  <c:v>0.80286899048848159</c:v>
                </c:pt>
                <c:pt idx="129">
                  <c:v>0.80387514114510994</c:v>
                </c:pt>
                <c:pt idx="130">
                  <c:v>0.80640158535400919</c:v>
                </c:pt>
                <c:pt idx="131">
                  <c:v>0.80894396000708335</c:v>
                </c:pt>
                <c:pt idx="132">
                  <c:v>0.81098943115806776</c:v>
                </c:pt>
                <c:pt idx="133">
                  <c:v>0.81253033582210366</c:v>
                </c:pt>
                <c:pt idx="134">
                  <c:v>0.81511156389211015</c:v>
                </c:pt>
                <c:pt idx="135">
                  <c:v>0.81718838441520025</c:v>
                </c:pt>
                <c:pt idx="136">
                  <c:v>0.81718838441520025</c:v>
                </c:pt>
                <c:pt idx="137">
                  <c:v>0.81979934003406796</c:v>
                </c:pt>
                <c:pt idx="138">
                  <c:v>0.82295459475510013</c:v>
                </c:pt>
                <c:pt idx="139">
                  <c:v>0.82560258670078468</c:v>
                </c:pt>
                <c:pt idx="140">
                  <c:v>0.82773328122593015</c:v>
                </c:pt>
                <c:pt idx="141">
                  <c:v>0.82773328122593015</c:v>
                </c:pt>
                <c:pt idx="142">
                  <c:v>0.83148857988716807</c:v>
                </c:pt>
                <c:pt idx="143">
                  <c:v>0.83419186579190163</c:v>
                </c:pt>
                <c:pt idx="144">
                  <c:v>0.83636718333451543</c:v>
                </c:pt>
                <c:pt idx="145">
                  <c:v>0.83965151529543247</c:v>
                </c:pt>
                <c:pt idx="146">
                  <c:v>0.84296174344761454</c:v>
                </c:pt>
                <c:pt idx="147">
                  <c:v>0.84518310063569202</c:v>
                </c:pt>
                <c:pt idx="148">
                  <c:v>0.84741619611501406</c:v>
                </c:pt>
                <c:pt idx="149">
                  <c:v>0.84966112317483045</c:v>
                </c:pt>
                <c:pt idx="150">
                  <c:v>0.85305090449067911</c:v>
                </c:pt>
                <c:pt idx="151">
                  <c:v>0.85589645248209834</c:v>
                </c:pt>
                <c:pt idx="152">
                  <c:v>0.85761291185343891</c:v>
                </c:pt>
                <c:pt idx="153">
                  <c:v>0.86106656743229193</c:v>
                </c:pt>
                <c:pt idx="154">
                  <c:v>0.86396593372925745</c:v>
                </c:pt>
                <c:pt idx="155">
                  <c:v>0.86805800454507076</c:v>
                </c:pt>
                <c:pt idx="156">
                  <c:v>0.86982363960323794</c:v>
                </c:pt>
                <c:pt idx="157">
                  <c:v>0.87337654560682232</c:v>
                </c:pt>
                <c:pt idx="158">
                  <c:v>0.87695859525010422</c:v>
                </c:pt>
                <c:pt idx="159">
                  <c:v>0.87996615871244188</c:v>
                </c:pt>
                <c:pt idx="160">
                  <c:v>0.88238710330518555</c:v>
                </c:pt>
                <c:pt idx="161">
                  <c:v>0.88543208121147687</c:v>
                </c:pt>
                <c:pt idx="162">
                  <c:v>0.88911391047224975</c:v>
                </c:pt>
                <c:pt idx="163">
                  <c:v>0.88911391047224975</c:v>
                </c:pt>
                <c:pt idx="164">
                  <c:v>0.89220557296380598</c:v>
                </c:pt>
                <c:pt idx="165">
                  <c:v>0.89657019867746357</c:v>
                </c:pt>
                <c:pt idx="166">
                  <c:v>0.89469442679289701</c:v>
                </c:pt>
                <c:pt idx="167">
                  <c:v>0.89971402488503205</c:v>
                </c:pt>
                <c:pt idx="168">
                  <c:v>0.90351584223917825</c:v>
                </c:pt>
                <c:pt idx="169">
                  <c:v>0.90670865369502962</c:v>
                </c:pt>
                <c:pt idx="170">
                  <c:v>0.91056994046125239</c:v>
                </c:pt>
                <c:pt idx="171">
                  <c:v>0.91251294284457329</c:v>
                </c:pt>
                <c:pt idx="172">
                  <c:v>0.91642393046210291</c:v>
                </c:pt>
                <c:pt idx="173">
                  <c:v>0.91839202300159006</c:v>
                </c:pt>
                <c:pt idx="174">
                  <c:v>0.91970878768758535</c:v>
                </c:pt>
                <c:pt idx="175">
                  <c:v>0.92235367727681739</c:v>
                </c:pt>
                <c:pt idx="176">
                  <c:v>0.92634965828731752</c:v>
                </c:pt>
                <c:pt idx="177">
                  <c:v>0.92970618731497445</c:v>
                </c:pt>
                <c:pt idx="178">
                  <c:v>0.93173180571331315</c:v>
                </c:pt>
                <c:pt idx="179">
                  <c:v>0.93444640070738649</c:v>
                </c:pt>
                <c:pt idx="180">
                  <c:v>0.93786196969469315</c:v>
                </c:pt>
                <c:pt idx="181">
                  <c:v>0.94061245531185189</c:v>
                </c:pt>
                <c:pt idx="182">
                  <c:v>0.9440733325606584</c:v>
                </c:pt>
                <c:pt idx="183">
                  <c:v>0.94546482495851691</c:v>
                </c:pt>
                <c:pt idx="184">
                  <c:v>0.94896156817334998</c:v>
                </c:pt>
                <c:pt idx="185">
                  <c:v>0.95319195400212053</c:v>
                </c:pt>
                <c:pt idx="186">
                  <c:v>0.95674619483415513</c:v>
                </c:pt>
                <c:pt idx="187">
                  <c:v>0.95889149071636359</c:v>
                </c:pt>
                <c:pt idx="188">
                  <c:v>0.96248844343227702</c:v>
                </c:pt>
                <c:pt idx="189">
                  <c:v>0.96611248322620868</c:v>
                </c:pt>
                <c:pt idx="190">
                  <c:v>0.9675697521666039</c:v>
                </c:pt>
                <c:pt idx="191">
                  <c:v>0.97049751868502543</c:v>
                </c:pt>
                <c:pt idx="192">
                  <c:v>0.97418223770918355</c:v>
                </c:pt>
                <c:pt idx="193">
                  <c:v>0.97715021974713245</c:v>
                </c:pt>
                <c:pt idx="194">
                  <c:v>0.98088572618513037</c:v>
                </c:pt>
                <c:pt idx="195">
                  <c:v>0.98464990284591714</c:v>
                </c:pt>
                <c:pt idx="196">
                  <c:v>0.98616367522159398</c:v>
                </c:pt>
                <c:pt idx="197">
                  <c:v>0.98920522641923192</c:v>
                </c:pt>
                <c:pt idx="198">
                  <c:v>0.99226559732087583</c:v>
                </c:pt>
                <c:pt idx="199">
                  <c:v>0.99380289483006834</c:v>
                </c:pt>
                <c:pt idx="200">
                  <c:v>0.99689182449338654</c:v>
                </c:pt>
                <c:pt idx="201">
                  <c:v>1.0000000159957443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1-49AF-8108-9BFB86A4C936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RvsT!$AC$4:$AC$178</c:f>
              <c:numCache>
                <c:formatCode>General</c:formatCode>
                <c:ptCount val="175"/>
                <c:pt idx="0">
                  <c:v>3.5836762688614598</c:v>
                </c:pt>
                <c:pt idx="1">
                  <c:v>4.2534722222222197</c:v>
                </c:pt>
                <c:pt idx="2">
                  <c:v>5.2581661522633798</c:v>
                </c:pt>
                <c:pt idx="3">
                  <c:v>4.9232681755829999</c:v>
                </c:pt>
                <c:pt idx="4">
                  <c:v>5.5930641289437597</c:v>
                </c:pt>
                <c:pt idx="5">
                  <c:v>6.2628600823045302</c:v>
                </c:pt>
                <c:pt idx="6">
                  <c:v>6.5977580589849198</c:v>
                </c:pt>
                <c:pt idx="7">
                  <c:v>6.9326560356652998</c:v>
                </c:pt>
                <c:pt idx="8">
                  <c:v>7.2675540123456903</c:v>
                </c:pt>
                <c:pt idx="9">
                  <c:v>7.9373499657064501</c:v>
                </c:pt>
                <c:pt idx="10">
                  <c:v>8.27224794238683</c:v>
                </c:pt>
                <c:pt idx="11">
                  <c:v>8.6071459190672197</c:v>
                </c:pt>
                <c:pt idx="12">
                  <c:v>8.9420438957476094</c:v>
                </c:pt>
                <c:pt idx="13">
                  <c:v>9.6118398491083692</c:v>
                </c:pt>
                <c:pt idx="14">
                  <c:v>10.616533779149499</c:v>
                </c:pt>
                <c:pt idx="15">
                  <c:v>10.616533779149499</c:v>
                </c:pt>
                <c:pt idx="16">
                  <c:v>10.951431755829899</c:v>
                </c:pt>
                <c:pt idx="17">
                  <c:v>11.2863297325102</c:v>
                </c:pt>
                <c:pt idx="18">
                  <c:v>12.2910236625514</c:v>
                </c:pt>
                <c:pt idx="19">
                  <c:v>12.9608196159122</c:v>
                </c:pt>
                <c:pt idx="20">
                  <c:v>13.6306155692729</c:v>
                </c:pt>
                <c:pt idx="21">
                  <c:v>13.6306155692729</c:v>
                </c:pt>
                <c:pt idx="22">
                  <c:v>14.970207475994499</c:v>
                </c:pt>
                <c:pt idx="23">
                  <c:v>15.974901406035601</c:v>
                </c:pt>
                <c:pt idx="24">
                  <c:v>16.6446973593964</c:v>
                </c:pt>
                <c:pt idx="25">
                  <c:v>16.979595336076802</c:v>
                </c:pt>
                <c:pt idx="26">
                  <c:v>17.984289266117901</c:v>
                </c:pt>
                <c:pt idx="27">
                  <c:v>18.988983196159101</c:v>
                </c:pt>
                <c:pt idx="28">
                  <c:v>19.658779149519901</c:v>
                </c:pt>
                <c:pt idx="29">
                  <c:v>20.9983710562414</c:v>
                </c:pt>
                <c:pt idx="30">
                  <c:v>22.6728609396433</c:v>
                </c:pt>
                <c:pt idx="31">
                  <c:v>23.342656893004101</c:v>
                </c:pt>
                <c:pt idx="32">
                  <c:v>25.686942729766798</c:v>
                </c:pt>
                <c:pt idx="33">
                  <c:v>26.356738683127499</c:v>
                </c:pt>
                <c:pt idx="34">
                  <c:v>28.366126543209798</c:v>
                </c:pt>
                <c:pt idx="35">
                  <c:v>29.370820473251001</c:v>
                </c:pt>
                <c:pt idx="36">
                  <c:v>30.7104123799725</c:v>
                </c:pt>
                <c:pt idx="37">
                  <c:v>32.050004286694097</c:v>
                </c:pt>
                <c:pt idx="38">
                  <c:v>33.724494170096001</c:v>
                </c:pt>
                <c:pt idx="39">
                  <c:v>35.064086076817503</c:v>
                </c:pt>
                <c:pt idx="40">
                  <c:v>36.7385759602194</c:v>
                </c:pt>
                <c:pt idx="41">
                  <c:v>39.082861796982101</c:v>
                </c:pt>
                <c:pt idx="42">
                  <c:v>40.757351680384097</c:v>
                </c:pt>
                <c:pt idx="43">
                  <c:v>42.766739540466297</c:v>
                </c:pt>
                <c:pt idx="44">
                  <c:v>44.776127400548702</c:v>
                </c:pt>
                <c:pt idx="45">
                  <c:v>46.785515260631001</c:v>
                </c:pt>
                <c:pt idx="46">
                  <c:v>48.125107167352503</c:v>
                </c:pt>
                <c:pt idx="47">
                  <c:v>49.464699074073998</c:v>
                </c:pt>
                <c:pt idx="48">
                  <c:v>51.139188957476001</c:v>
                </c:pt>
                <c:pt idx="49">
                  <c:v>52.478780864197503</c:v>
                </c:pt>
                <c:pt idx="50">
                  <c:v>53.818372770918998</c:v>
                </c:pt>
                <c:pt idx="51">
                  <c:v>56.497556584362101</c:v>
                </c:pt>
                <c:pt idx="52">
                  <c:v>57.837148491083603</c:v>
                </c:pt>
                <c:pt idx="53">
                  <c:v>59.846536351166002</c:v>
                </c:pt>
                <c:pt idx="54">
                  <c:v>61.855924211248201</c:v>
                </c:pt>
                <c:pt idx="55">
                  <c:v>63.195516117969802</c:v>
                </c:pt>
                <c:pt idx="56">
                  <c:v>64.535108024691297</c:v>
                </c:pt>
                <c:pt idx="57">
                  <c:v>66.209597908093201</c:v>
                </c:pt>
                <c:pt idx="58">
                  <c:v>68.2189857681755</c:v>
                </c:pt>
                <c:pt idx="59">
                  <c:v>71.233067558298998</c:v>
                </c:pt>
                <c:pt idx="60">
                  <c:v>72.572659465020493</c:v>
                </c:pt>
                <c:pt idx="61">
                  <c:v>73.912251371742101</c:v>
                </c:pt>
                <c:pt idx="62">
                  <c:v>75.9216392318244</c:v>
                </c:pt>
                <c:pt idx="63">
                  <c:v>77.596129115226304</c:v>
                </c:pt>
                <c:pt idx="64">
                  <c:v>79.940414951988998</c:v>
                </c:pt>
                <c:pt idx="65">
                  <c:v>82.284700788751707</c:v>
                </c:pt>
                <c:pt idx="66">
                  <c:v>84.294088648834006</c:v>
                </c:pt>
                <c:pt idx="67">
                  <c:v>86.303476508916305</c:v>
                </c:pt>
                <c:pt idx="68">
                  <c:v>87.643068415637799</c:v>
                </c:pt>
                <c:pt idx="69">
                  <c:v>88.647762345678998</c:v>
                </c:pt>
                <c:pt idx="70">
                  <c:v>90.322252229080902</c:v>
                </c:pt>
                <c:pt idx="71">
                  <c:v>92.666538065843596</c:v>
                </c:pt>
                <c:pt idx="72">
                  <c:v>94.675925925925895</c:v>
                </c:pt>
                <c:pt idx="73">
                  <c:v>96.015517832647404</c:v>
                </c:pt>
                <c:pt idx="74">
                  <c:v>98.024905692729703</c:v>
                </c:pt>
                <c:pt idx="75">
                  <c:v>99.699395576131707</c:v>
                </c:pt>
                <c:pt idx="76">
                  <c:v>101.373885459533</c:v>
                </c:pt>
                <c:pt idx="77">
                  <c:v>102.71347736625501</c:v>
                </c:pt>
                <c:pt idx="78">
                  <c:v>105.392661179698</c:v>
                </c:pt>
                <c:pt idx="79">
                  <c:v>107.40204903978</c:v>
                </c:pt>
                <c:pt idx="80">
                  <c:v>108.741640946502</c:v>
                </c:pt>
                <c:pt idx="81">
                  <c:v>111.085926783264</c:v>
                </c:pt>
                <c:pt idx="82">
                  <c:v>112.42551868998601</c:v>
                </c:pt>
                <c:pt idx="83">
                  <c:v>114.769804526748</c:v>
                </c:pt>
                <c:pt idx="84">
                  <c:v>116.10939643347</c:v>
                </c:pt>
                <c:pt idx="85">
                  <c:v>118.118784293552</c:v>
                </c:pt>
                <c:pt idx="86">
                  <c:v>120.12817215363501</c:v>
                </c:pt>
                <c:pt idx="87">
                  <c:v>122.807355967078</c:v>
                </c:pt>
                <c:pt idx="88">
                  <c:v>124.48184585048</c:v>
                </c:pt>
                <c:pt idx="89">
                  <c:v>126.491233710562</c:v>
                </c:pt>
                <c:pt idx="90">
                  <c:v>127.830825617283</c:v>
                </c:pt>
                <c:pt idx="91">
                  <c:v>130.510009430727</c:v>
                </c:pt>
                <c:pt idx="92">
                  <c:v>130.510009430727</c:v>
                </c:pt>
                <c:pt idx="93">
                  <c:v>132.519397290809</c:v>
                </c:pt>
                <c:pt idx="94">
                  <c:v>134.86368312757199</c:v>
                </c:pt>
                <c:pt idx="95">
                  <c:v>136.538173010973</c:v>
                </c:pt>
                <c:pt idx="96">
                  <c:v>138.88245884773599</c:v>
                </c:pt>
                <c:pt idx="97">
                  <c:v>140.89184670781799</c:v>
                </c:pt>
                <c:pt idx="98">
                  <c:v>142.90123456790101</c:v>
                </c:pt>
                <c:pt idx="99">
                  <c:v>144.91062242798299</c:v>
                </c:pt>
                <c:pt idx="100">
                  <c:v>147.25490826474601</c:v>
                </c:pt>
                <c:pt idx="101">
                  <c:v>150.26899005486899</c:v>
                </c:pt>
                <c:pt idx="102">
                  <c:v>152.61327589163199</c:v>
                </c:pt>
                <c:pt idx="103">
                  <c:v>154.28776577503399</c:v>
                </c:pt>
                <c:pt idx="104">
                  <c:v>155.96225565843599</c:v>
                </c:pt>
                <c:pt idx="105">
                  <c:v>158.30654149519799</c:v>
                </c:pt>
                <c:pt idx="106">
                  <c:v>160.31592935528101</c:v>
                </c:pt>
                <c:pt idx="107">
                  <c:v>162.32531721536299</c:v>
                </c:pt>
                <c:pt idx="108">
                  <c:v>163.99980709876499</c:v>
                </c:pt>
                <c:pt idx="109">
                  <c:v>166.34409293552801</c:v>
                </c:pt>
                <c:pt idx="110">
                  <c:v>168.68837877229001</c:v>
                </c:pt>
                <c:pt idx="111">
                  <c:v>171.032664609053</c:v>
                </c:pt>
                <c:pt idx="112">
                  <c:v>173.042052469135</c:v>
                </c:pt>
                <c:pt idx="113">
                  <c:v>175.38633830589799</c:v>
                </c:pt>
                <c:pt idx="114">
                  <c:v>177.0608281893</c:v>
                </c:pt>
                <c:pt idx="115">
                  <c:v>178.40042009602101</c:v>
                </c:pt>
                <c:pt idx="116">
                  <c:v>180.744705932784</c:v>
                </c:pt>
                <c:pt idx="117">
                  <c:v>182.419195816186</c:v>
                </c:pt>
                <c:pt idx="118">
                  <c:v>185.09837962962899</c:v>
                </c:pt>
                <c:pt idx="119">
                  <c:v>187.44266546639199</c:v>
                </c:pt>
                <c:pt idx="120">
                  <c:v>189.78695130315501</c:v>
                </c:pt>
                <c:pt idx="121">
                  <c:v>191.12654320987599</c:v>
                </c:pt>
                <c:pt idx="122">
                  <c:v>192.80103309327799</c:v>
                </c:pt>
                <c:pt idx="123">
                  <c:v>194.47552297668</c:v>
                </c:pt>
                <c:pt idx="124">
                  <c:v>195.81511488340101</c:v>
                </c:pt>
                <c:pt idx="125">
                  <c:v>198.159400720164</c:v>
                </c:pt>
                <c:pt idx="126">
                  <c:v>199.833890603566</c:v>
                </c:pt>
                <c:pt idx="127">
                  <c:v>201.50838048696801</c:v>
                </c:pt>
                <c:pt idx="128">
                  <c:v>203.852666323731</c:v>
                </c:pt>
                <c:pt idx="129">
                  <c:v>205.527156207133</c:v>
                </c:pt>
                <c:pt idx="130">
                  <c:v>207.871442043895</c:v>
                </c:pt>
                <c:pt idx="131">
                  <c:v>209.21103395061701</c:v>
                </c:pt>
                <c:pt idx="132">
                  <c:v>210.88552383401901</c:v>
                </c:pt>
                <c:pt idx="133">
                  <c:v>212.89491169410101</c:v>
                </c:pt>
                <c:pt idx="134">
                  <c:v>214.56940157750299</c:v>
                </c:pt>
                <c:pt idx="135">
                  <c:v>217.248585390946</c:v>
                </c:pt>
                <c:pt idx="136">
                  <c:v>219.92776920438899</c:v>
                </c:pt>
                <c:pt idx="137">
                  <c:v>222.60695301783201</c:v>
                </c:pt>
                <c:pt idx="138">
                  <c:v>224.951238854595</c:v>
                </c:pt>
                <c:pt idx="139">
                  <c:v>227.295524691358</c:v>
                </c:pt>
                <c:pt idx="140">
                  <c:v>228.97001457475901</c:v>
                </c:pt>
                <c:pt idx="141">
                  <c:v>231.98409636488299</c:v>
                </c:pt>
                <c:pt idx="142">
                  <c:v>233.323688271604</c:v>
                </c:pt>
                <c:pt idx="143">
                  <c:v>234.663280178326</c:v>
                </c:pt>
                <c:pt idx="144">
                  <c:v>236.67266803840801</c:v>
                </c:pt>
                <c:pt idx="145">
                  <c:v>239.016953875171</c:v>
                </c:pt>
                <c:pt idx="146">
                  <c:v>241.36123971193399</c:v>
                </c:pt>
                <c:pt idx="147">
                  <c:v>243.37062757201599</c:v>
                </c:pt>
                <c:pt idx="148">
                  <c:v>245.71491340877901</c:v>
                </c:pt>
                <c:pt idx="149">
                  <c:v>248.05919924554101</c:v>
                </c:pt>
                <c:pt idx="150">
                  <c:v>250.738383058984</c:v>
                </c:pt>
                <c:pt idx="151">
                  <c:v>252.74777091906699</c:v>
                </c:pt>
                <c:pt idx="152">
                  <c:v>254.75715877914899</c:v>
                </c:pt>
                <c:pt idx="153">
                  <c:v>257.10144461591199</c:v>
                </c:pt>
                <c:pt idx="154">
                  <c:v>258.77593449931402</c:v>
                </c:pt>
                <c:pt idx="155">
                  <c:v>260.78532235939599</c:v>
                </c:pt>
                <c:pt idx="156">
                  <c:v>262.79471021947802</c:v>
                </c:pt>
                <c:pt idx="157">
                  <c:v>264.80409807956102</c:v>
                </c:pt>
                <c:pt idx="158">
                  <c:v>266.81348593964299</c:v>
                </c:pt>
                <c:pt idx="159">
                  <c:v>268.82287379972502</c:v>
                </c:pt>
                <c:pt idx="160">
                  <c:v>270.49736368312699</c:v>
                </c:pt>
                <c:pt idx="161">
                  <c:v>272.84164951988998</c:v>
                </c:pt>
                <c:pt idx="162">
                  <c:v>274.85103737997201</c:v>
                </c:pt>
                <c:pt idx="163">
                  <c:v>276.19062928669399</c:v>
                </c:pt>
                <c:pt idx="164">
                  <c:v>278.20001714677602</c:v>
                </c:pt>
                <c:pt idx="165">
                  <c:v>280.20940500685799</c:v>
                </c:pt>
                <c:pt idx="166">
                  <c:v>282.21879286694099</c:v>
                </c:pt>
                <c:pt idx="167">
                  <c:v>284.56307870370301</c:v>
                </c:pt>
                <c:pt idx="168">
                  <c:v>286.90736454046601</c:v>
                </c:pt>
                <c:pt idx="169">
                  <c:v>288.58185442386798</c:v>
                </c:pt>
                <c:pt idx="170">
                  <c:v>290.25634430727001</c:v>
                </c:pt>
                <c:pt idx="171">
                  <c:v>291.59593621399102</c:v>
                </c:pt>
                <c:pt idx="172">
                  <c:v>293.60532407407402</c:v>
                </c:pt>
                <c:pt idx="173">
                  <c:v>294.94491598079497</c:v>
                </c:pt>
                <c:pt idx="174">
                  <c:v>295.27981395747599</c:v>
                </c:pt>
              </c:numCache>
            </c:numRef>
          </c:xVal>
          <c:yVal>
            <c:numRef>
              <c:f>RvsT!$AF$4:$AF$178</c:f>
              <c:numCache>
                <c:formatCode>General</c:formatCode>
                <c:ptCount val="175"/>
                <c:pt idx="0">
                  <c:v>0.92386097431120884</c:v>
                </c:pt>
                <c:pt idx="1">
                  <c:v>0.91342898907689862</c:v>
                </c:pt>
                <c:pt idx="2">
                  <c:v>0.9015522279372904</c:v>
                </c:pt>
                <c:pt idx="3">
                  <c:v>0.89325618051649447</c:v>
                </c:pt>
                <c:pt idx="4">
                  <c:v>0.88350025979521185</c:v>
                </c:pt>
                <c:pt idx="5">
                  <c:v>0.87711384766395861</c:v>
                </c:pt>
                <c:pt idx="6">
                  <c:v>0.86925950721451495</c:v>
                </c:pt>
                <c:pt idx="7">
                  <c:v>0.86461406246043337</c:v>
                </c:pt>
                <c:pt idx="8">
                  <c:v>0.86001800558752739</c:v>
                </c:pt>
                <c:pt idx="9">
                  <c:v>0.85396540364935003</c:v>
                </c:pt>
                <c:pt idx="10">
                  <c:v>0.84948156690561694</c:v>
                </c:pt>
                <c:pt idx="11">
                  <c:v>0.8450445699539173</c:v>
                </c:pt>
                <c:pt idx="12">
                  <c:v>0.84065368264962792</c:v>
                </c:pt>
                <c:pt idx="13">
                  <c:v>0.83486965860318885</c:v>
                </c:pt>
                <c:pt idx="14">
                  <c:v>0.83058360510370333</c:v>
                </c:pt>
                <c:pt idx="15">
                  <c:v>0.82493685778258141</c:v>
                </c:pt>
                <c:pt idx="16">
                  <c:v>0.82214217876592299</c:v>
                </c:pt>
                <c:pt idx="17">
                  <c:v>0.81798548450277297</c:v>
                </c:pt>
                <c:pt idx="18">
                  <c:v>0.8125081706609919</c:v>
                </c:pt>
                <c:pt idx="19">
                  <c:v>0.8084480828369629</c:v>
                </c:pt>
                <c:pt idx="20">
                  <c:v>0.80576382519799539</c:v>
                </c:pt>
                <c:pt idx="21">
                  <c:v>0.79913052289892739</c:v>
                </c:pt>
                <c:pt idx="22">
                  <c:v>0.79913052289892739</c:v>
                </c:pt>
                <c:pt idx="23">
                  <c:v>0.79131331355110923</c:v>
                </c:pt>
                <c:pt idx="24">
                  <c:v>0.78874145289260311</c:v>
                </c:pt>
                <c:pt idx="25">
                  <c:v>0.78491485550837548</c:v>
                </c:pt>
                <c:pt idx="26">
                  <c:v>0.78112520850976253</c:v>
                </c:pt>
                <c:pt idx="27">
                  <c:v>0.77987011168521791</c:v>
                </c:pt>
                <c:pt idx="28">
                  <c:v>0.77612890510162424</c:v>
                </c:pt>
                <c:pt idx="29">
                  <c:v>0.77488980011976782</c:v>
                </c:pt>
                <c:pt idx="30">
                  <c:v>0.76875315287417445</c:v>
                </c:pt>
                <c:pt idx="31">
                  <c:v>0.76632562316664332</c:v>
                </c:pt>
                <c:pt idx="32">
                  <c:v>0.76271293882759483</c:v>
                </c:pt>
                <c:pt idx="33">
                  <c:v>0.75913415717400978</c:v>
                </c:pt>
                <c:pt idx="34">
                  <c:v>0.75794868153054018</c:v>
                </c:pt>
                <c:pt idx="35">
                  <c:v>0.75324357425828692</c:v>
                </c:pt>
                <c:pt idx="36">
                  <c:v>0.75207641074322684</c:v>
                </c:pt>
                <c:pt idx="37">
                  <c:v>0.75091285871088687</c:v>
                </c:pt>
                <c:pt idx="38">
                  <c:v>0.7474437046627187</c:v>
                </c:pt>
                <c:pt idx="39">
                  <c:v>0.74629443222688518</c:v>
                </c:pt>
                <c:pt idx="40">
                  <c:v>0.74400645760492323</c:v>
                </c:pt>
                <c:pt idx="41">
                  <c:v>0.7428677230623324</c:v>
                </c:pt>
                <c:pt idx="42">
                  <c:v>0.74060067936334939</c:v>
                </c:pt>
                <c:pt idx="43">
                  <c:v>0.73834743044985307</c:v>
                </c:pt>
                <c:pt idx="44">
                  <c:v>0.73834743044985307</c:v>
                </c:pt>
                <c:pt idx="45">
                  <c:v>0.73722593975045669</c:v>
                </c:pt>
                <c:pt idx="46">
                  <c:v>0.73610785079345542</c:v>
                </c:pt>
                <c:pt idx="47">
                  <c:v>0.73388181638418992</c:v>
                </c:pt>
                <c:pt idx="48">
                  <c:v>0.73388181638418992</c:v>
                </c:pt>
                <c:pt idx="49">
                  <c:v>0.7349931481248686</c:v>
                </c:pt>
                <c:pt idx="50">
                  <c:v>0.73388181638418992</c:v>
                </c:pt>
                <c:pt idx="51">
                  <c:v>0.7327738403036681</c:v>
                </c:pt>
                <c:pt idx="52">
                  <c:v>0.7327738403036681</c:v>
                </c:pt>
                <c:pt idx="53">
                  <c:v>0.7327738403036681</c:v>
                </c:pt>
                <c:pt idx="54">
                  <c:v>0.73056789451173398</c:v>
                </c:pt>
                <c:pt idx="55">
                  <c:v>0.73166920470762176</c:v>
                </c:pt>
                <c:pt idx="56">
                  <c:v>0.73056789451173398</c:v>
                </c:pt>
                <c:pt idx="57">
                  <c:v>0.73056789451173398</c:v>
                </c:pt>
                <c:pt idx="58">
                  <c:v>0.73056789451173398</c:v>
                </c:pt>
                <c:pt idx="59">
                  <c:v>0.7283751904359077</c:v>
                </c:pt>
                <c:pt idx="60">
                  <c:v>0.73166920470762176</c:v>
                </c:pt>
                <c:pt idx="61">
                  <c:v>0.73166920470762176</c:v>
                </c:pt>
                <c:pt idx="62">
                  <c:v>0.73166920470762176</c:v>
                </c:pt>
                <c:pt idx="63">
                  <c:v>0.73166920470762176</c:v>
                </c:pt>
                <c:pt idx="64">
                  <c:v>0.73166920470762176</c:v>
                </c:pt>
                <c:pt idx="65">
                  <c:v>0.73388181638418992</c:v>
                </c:pt>
                <c:pt idx="66">
                  <c:v>0.73388181638418992</c:v>
                </c:pt>
                <c:pt idx="67">
                  <c:v>0.73388181638418992</c:v>
                </c:pt>
                <c:pt idx="68">
                  <c:v>0.73610785079345542</c:v>
                </c:pt>
                <c:pt idx="69">
                  <c:v>0.73610785079345542</c:v>
                </c:pt>
                <c:pt idx="70">
                  <c:v>0.73610785079345542</c:v>
                </c:pt>
                <c:pt idx="71">
                  <c:v>0.73610785079345542</c:v>
                </c:pt>
                <c:pt idx="72">
                  <c:v>0.73722593975045669</c:v>
                </c:pt>
                <c:pt idx="73">
                  <c:v>0.73834743044985307</c:v>
                </c:pt>
                <c:pt idx="74">
                  <c:v>0.74060067936334939</c:v>
                </c:pt>
                <c:pt idx="75">
                  <c:v>0.7417324689591821</c:v>
                </c:pt>
                <c:pt idx="76">
                  <c:v>0.7428677230623324</c:v>
                </c:pt>
                <c:pt idx="77">
                  <c:v>0.7428677230623324</c:v>
                </c:pt>
                <c:pt idx="78">
                  <c:v>0.7417324689591821</c:v>
                </c:pt>
                <c:pt idx="79">
                  <c:v>0.74514868861692152</c:v>
                </c:pt>
                <c:pt idx="80">
                  <c:v>0.74629443222688518</c:v>
                </c:pt>
                <c:pt idx="81">
                  <c:v>0.74629443222688518</c:v>
                </c:pt>
                <c:pt idx="82">
                  <c:v>0.7474437046627187</c:v>
                </c:pt>
                <c:pt idx="83">
                  <c:v>0.7474437046627187</c:v>
                </c:pt>
                <c:pt idx="84">
                  <c:v>0.75207641074322684</c:v>
                </c:pt>
                <c:pt idx="85">
                  <c:v>0.75207641074322684</c:v>
                </c:pt>
                <c:pt idx="86">
                  <c:v>0.75207641074322684</c:v>
                </c:pt>
                <c:pt idx="87">
                  <c:v>0.75324357425828692</c:v>
                </c:pt>
                <c:pt idx="88">
                  <c:v>0.75676690262838808</c:v>
                </c:pt>
                <c:pt idx="89">
                  <c:v>0.75794868153054018</c:v>
                </c:pt>
                <c:pt idx="90">
                  <c:v>0.75913415717400978</c:v>
                </c:pt>
                <c:pt idx="91">
                  <c:v>0.76151626828563856</c:v>
                </c:pt>
                <c:pt idx="92">
                  <c:v>0.76151626828563856</c:v>
                </c:pt>
                <c:pt idx="93">
                  <c:v>0.76271293882759483</c:v>
                </c:pt>
                <c:pt idx="94">
                  <c:v>0.7651175983976245</c:v>
                </c:pt>
                <c:pt idx="95">
                  <c:v>0.76753746860735661</c:v>
                </c:pt>
                <c:pt idx="96">
                  <c:v>0.76875315287417445</c:v>
                </c:pt>
                <c:pt idx="97">
                  <c:v>0.77119611108069352</c:v>
                </c:pt>
                <c:pt idx="98">
                  <c:v>0.77119611108069352</c:v>
                </c:pt>
                <c:pt idx="99">
                  <c:v>0.77612890510162424</c:v>
                </c:pt>
                <c:pt idx="100">
                  <c:v>0.77861904172083085</c:v>
                </c:pt>
                <c:pt idx="101">
                  <c:v>0.78112520850976253</c:v>
                </c:pt>
                <c:pt idx="102">
                  <c:v>0.78364756075876507</c:v>
                </c:pt>
                <c:pt idx="103">
                  <c:v>0.78618625577048962</c:v>
                </c:pt>
                <c:pt idx="104">
                  <c:v>0.78746178152772917</c:v>
                </c:pt>
                <c:pt idx="105">
                  <c:v>0.7900252901085697</c:v>
                </c:pt>
                <c:pt idx="106">
                  <c:v>0.79260554372878811</c:v>
                </c:pt>
                <c:pt idx="107">
                  <c:v>0.79520270699586737</c:v>
                </c:pt>
                <c:pt idx="108">
                  <c:v>0.79650768177772768</c:v>
                </c:pt>
                <c:pt idx="109">
                  <c:v>0.80044843175922464</c:v>
                </c:pt>
                <c:pt idx="110">
                  <c:v>0.80177069473409124</c:v>
                </c:pt>
                <c:pt idx="111">
                  <c:v>0.80576382519799539</c:v>
                </c:pt>
                <c:pt idx="112">
                  <c:v>0.80710372220422089</c:v>
                </c:pt>
                <c:pt idx="113">
                  <c:v>0.81387061071829092</c:v>
                </c:pt>
                <c:pt idx="114">
                  <c:v>0.81387061071829092</c:v>
                </c:pt>
                <c:pt idx="115">
                  <c:v>0.8152376276175568</c:v>
                </c:pt>
                <c:pt idx="116">
                  <c:v>0.81798548450277297</c:v>
                </c:pt>
                <c:pt idx="117">
                  <c:v>0.81936637115976152</c:v>
                </c:pt>
                <c:pt idx="118">
                  <c:v>0.8207519280034361</c:v>
                </c:pt>
                <c:pt idx="119">
                  <c:v>0.8235371473404266</c:v>
                </c:pt>
                <c:pt idx="120">
                  <c:v>0.82493685778258141</c:v>
                </c:pt>
                <c:pt idx="121">
                  <c:v>0.82916468333707738</c:v>
                </c:pt>
                <c:pt idx="122">
                  <c:v>0.83200739150165282</c:v>
                </c:pt>
                <c:pt idx="123">
                  <c:v>0.83486965860318652</c:v>
                </c:pt>
                <c:pt idx="124">
                  <c:v>0.83486965860318652</c:v>
                </c:pt>
                <c:pt idx="125">
                  <c:v>0.83486965860318652</c:v>
                </c:pt>
                <c:pt idx="126">
                  <c:v>0.84065368264962792</c:v>
                </c:pt>
                <c:pt idx="127">
                  <c:v>0.84065368264962792</c:v>
                </c:pt>
                <c:pt idx="128">
                  <c:v>0.84357585317618156</c:v>
                </c:pt>
                <c:pt idx="129">
                  <c:v>0.84651840990156546</c:v>
                </c:pt>
                <c:pt idx="130">
                  <c:v>0.85097093823314984</c:v>
                </c:pt>
                <c:pt idx="131">
                  <c:v>0.85097093823314984</c:v>
                </c:pt>
                <c:pt idx="132">
                  <c:v>0.85396540364935003</c:v>
                </c:pt>
                <c:pt idx="133">
                  <c:v>0.85849682582728182</c:v>
                </c:pt>
                <c:pt idx="134">
                  <c:v>0.86154458570628401</c:v>
                </c:pt>
                <c:pt idx="135">
                  <c:v>0.86307659499250755</c:v>
                </c:pt>
                <c:pt idx="136">
                  <c:v>0.8661570173313996</c:v>
                </c:pt>
                <c:pt idx="137">
                  <c:v>0.86925950721451495</c:v>
                </c:pt>
                <c:pt idx="138">
                  <c:v>0.87081910172166388</c:v>
                </c:pt>
                <c:pt idx="139">
                  <c:v>0.87395514021156251</c:v>
                </c:pt>
                <c:pt idx="140">
                  <c:v>0.87711384766395861</c:v>
                </c:pt>
                <c:pt idx="141">
                  <c:v>0.88029547076551107</c:v>
                </c:pt>
                <c:pt idx="142">
                  <c:v>0.88350025979520919</c:v>
                </c:pt>
                <c:pt idx="143">
                  <c:v>0.88672846869001343</c:v>
                </c:pt>
                <c:pt idx="144">
                  <c:v>0.88998035511191365</c:v>
                </c:pt>
                <c:pt idx="145">
                  <c:v>0.88998035511191365</c:v>
                </c:pt>
                <c:pt idx="146">
                  <c:v>0.89490315309668578</c:v>
                </c:pt>
                <c:pt idx="147">
                  <c:v>0.89821538567582626</c:v>
                </c:pt>
                <c:pt idx="148">
                  <c:v>0.90322996356858698</c:v>
                </c:pt>
                <c:pt idx="149">
                  <c:v>0.90660423781723831</c:v>
                </c:pt>
                <c:pt idx="150">
                  <c:v>0.91000381773843309</c:v>
                </c:pt>
                <c:pt idx="151">
                  <c:v>0.91515126200139896</c:v>
                </c:pt>
                <c:pt idx="152">
                  <c:v>0.91688004189568473</c:v>
                </c:pt>
                <c:pt idx="153">
                  <c:v>0.92035727065804818</c:v>
                </c:pt>
                <c:pt idx="154">
                  <c:v>0.92562284888997048</c:v>
                </c:pt>
                <c:pt idx="155">
                  <c:v>0.92739145637202558</c:v>
                </c:pt>
                <c:pt idx="156">
                  <c:v>0.93273806440405183</c:v>
                </c:pt>
                <c:pt idx="157">
                  <c:v>0.93633685115490461</c:v>
                </c:pt>
                <c:pt idx="158">
                  <c:v>0.93814667856842848</c:v>
                </c:pt>
                <c:pt idx="159">
                  <c:v>0.94178740393183491</c:v>
                </c:pt>
                <c:pt idx="160">
                  <c:v>0.94545649697149825</c:v>
                </c:pt>
                <c:pt idx="161">
                  <c:v>0.94915429053556</c:v>
                </c:pt>
                <c:pt idx="162">
                  <c:v>0.95288112269983416</c:v>
                </c:pt>
                <c:pt idx="163">
                  <c:v>0.95663733687085617</c:v>
                </c:pt>
                <c:pt idx="164">
                  <c:v>0.95852657100696681</c:v>
                </c:pt>
                <c:pt idx="165">
                  <c:v>0.96423931214828773</c:v>
                </c:pt>
                <c:pt idx="166">
                  <c:v>0.96808578768334996</c:v>
                </c:pt>
                <c:pt idx="167">
                  <c:v>0.9719630743062877</c:v>
                </c:pt>
                <c:pt idx="168">
                  <c:v>0.97783758974857515</c:v>
                </c:pt>
                <c:pt idx="169">
                  <c:v>0.97783758974857515</c:v>
                </c:pt>
                <c:pt idx="170">
                  <c:v>0.98980225962688495</c:v>
                </c:pt>
                <c:pt idx="171">
                  <c:v>0.99182489569284527</c:v>
                </c:pt>
                <c:pt idx="172">
                  <c:v>0.99182489569284527</c:v>
                </c:pt>
                <c:pt idx="173">
                  <c:v>0.99385581509763177</c:v>
                </c:pt>
                <c:pt idx="174">
                  <c:v>0.99999878533376263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C1-49AF-8108-9BFB86A4C936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RvsT!$AK$4:$AK$129</c:f>
              <c:numCache>
                <c:formatCode>General</c:formatCode>
                <c:ptCount val="126"/>
                <c:pt idx="0">
                  <c:v>4.1821121101710403</c:v>
                </c:pt>
                <c:pt idx="1">
                  <c:v>4.1912107958258602</c:v>
                </c:pt>
                <c:pt idx="2">
                  <c:v>4.2003094814806801</c:v>
                </c:pt>
                <c:pt idx="3">
                  <c:v>4.6112667835568697</c:v>
                </c:pt>
                <c:pt idx="4">
                  <c:v>5.8259413184757198</c:v>
                </c:pt>
                <c:pt idx="5">
                  <c:v>5.8335235565214001</c:v>
                </c:pt>
                <c:pt idx="6">
                  <c:v>7.45005670786162</c:v>
                </c:pt>
                <c:pt idx="7">
                  <c:v>7.8655633527652</c:v>
                </c:pt>
                <c:pt idx="8">
                  <c:v>8.2780371024505097</c:v>
                </c:pt>
                <c:pt idx="9">
                  <c:v>9.09085302094803</c:v>
                </c:pt>
                <c:pt idx="10">
                  <c:v>10.304011108257701</c:v>
                </c:pt>
                <c:pt idx="11">
                  <c:v>11.521718538394801</c:v>
                </c:pt>
                <c:pt idx="12">
                  <c:v>13.141284584953301</c:v>
                </c:pt>
                <c:pt idx="13">
                  <c:v>14.7593341839027</c:v>
                </c:pt>
                <c:pt idx="14">
                  <c:v>16.378900230461198</c:v>
                </c:pt>
                <c:pt idx="15">
                  <c:v>17.190199701349499</c:v>
                </c:pt>
                <c:pt idx="16">
                  <c:v>18.8082493002989</c:v>
                </c:pt>
                <c:pt idx="17">
                  <c:v>21.226983236872599</c:v>
                </c:pt>
                <c:pt idx="18">
                  <c:v>22.846549283431099</c:v>
                </c:pt>
                <c:pt idx="19">
                  <c:v>25.266799667613999</c:v>
                </c:pt>
                <c:pt idx="20">
                  <c:v>26.883332818954202</c:v>
                </c:pt>
                <c:pt idx="21">
                  <c:v>29.3005503079189</c:v>
                </c:pt>
                <c:pt idx="22">
                  <c:v>31.7208006921018</c:v>
                </c:pt>
                <c:pt idx="23">
                  <c:v>32.929409436584102</c:v>
                </c:pt>
                <c:pt idx="24">
                  <c:v>34.944768309127397</c:v>
                </c:pt>
                <c:pt idx="25">
                  <c:v>38.967903816168302</c:v>
                </c:pt>
                <c:pt idx="26">
                  <c:v>42.994072218427398</c:v>
                </c:pt>
                <c:pt idx="27">
                  <c:v>40.584436967508402</c:v>
                </c:pt>
                <c:pt idx="28">
                  <c:v>36.562817908076703</c:v>
                </c:pt>
                <c:pt idx="29">
                  <c:v>43.806888136924897</c:v>
                </c:pt>
                <c:pt idx="30">
                  <c:v>47.024789963514003</c:v>
                </c:pt>
                <c:pt idx="31">
                  <c:v>49.842349621290801</c:v>
                </c:pt>
                <c:pt idx="32">
                  <c:v>53.865485128331699</c:v>
                </c:pt>
                <c:pt idx="33">
                  <c:v>55.879327553265803</c:v>
                </c:pt>
                <c:pt idx="34">
                  <c:v>59.100262275073199</c:v>
                </c:pt>
                <c:pt idx="35">
                  <c:v>60.710729635976797</c:v>
                </c:pt>
                <c:pt idx="36">
                  <c:v>64.332006526596302</c:v>
                </c:pt>
                <c:pt idx="37">
                  <c:v>67.554457696012804</c:v>
                </c:pt>
                <c:pt idx="38">
                  <c:v>70.7753924178201</c:v>
                </c:pt>
                <c:pt idx="39">
                  <c:v>72.384343331114593</c:v>
                </c:pt>
                <c:pt idx="40">
                  <c:v>74.800044372470197</c:v>
                </c:pt>
                <c:pt idx="41">
                  <c:v>77.214228966216496</c:v>
                </c:pt>
                <c:pt idx="42">
                  <c:v>80.429097897587297</c:v>
                </c:pt>
                <c:pt idx="43">
                  <c:v>81.237364473257401</c:v>
                </c:pt>
                <c:pt idx="44">
                  <c:v>85.260499980298206</c:v>
                </c:pt>
                <c:pt idx="45">
                  <c:v>88.075026742856807</c:v>
                </c:pt>
                <c:pt idx="46">
                  <c:v>90.892586400633704</c:v>
                </c:pt>
                <c:pt idx="47">
                  <c:v>95.317580524095902</c:v>
                </c:pt>
                <c:pt idx="48">
                  <c:v>99.739541752339804</c:v>
                </c:pt>
                <c:pt idx="49">
                  <c:v>101.756417072492</c:v>
                </c:pt>
                <c:pt idx="50">
                  <c:v>104.569427387441</c:v>
                </c:pt>
                <c:pt idx="51">
                  <c:v>107.78732921403</c:v>
                </c:pt>
                <c:pt idx="52">
                  <c:v>110.603372424198</c:v>
                </c:pt>
                <c:pt idx="53">
                  <c:v>113.82279069839601</c:v>
                </c:pt>
                <c:pt idx="54">
                  <c:v>117.439518246188</c:v>
                </c:pt>
                <c:pt idx="55">
                  <c:v>120.254045008747</c:v>
                </c:pt>
                <c:pt idx="56">
                  <c:v>123.468913940118</c:v>
                </c:pt>
                <c:pt idx="57">
                  <c:v>126.68833221431601</c:v>
                </c:pt>
                <c:pt idx="58">
                  <c:v>129.90320114568701</c:v>
                </c:pt>
                <c:pt idx="59">
                  <c:v>133.12110297227599</c:v>
                </c:pt>
                <c:pt idx="60">
                  <c:v>136.33900479886501</c:v>
                </c:pt>
                <c:pt idx="61">
                  <c:v>138.349814328581</c:v>
                </c:pt>
                <c:pt idx="62">
                  <c:v>139.958765241875</c:v>
                </c:pt>
                <c:pt idx="63">
                  <c:v>143.57852568488499</c:v>
                </c:pt>
                <c:pt idx="64">
                  <c:v>147.19676968028699</c:v>
                </c:pt>
                <c:pt idx="65">
                  <c:v>150.41163861165799</c:v>
                </c:pt>
                <c:pt idx="66">
                  <c:v>152.82582320540399</c:v>
                </c:pt>
                <c:pt idx="67">
                  <c:v>155.63883352035299</c:v>
                </c:pt>
                <c:pt idx="68">
                  <c:v>157.24626798603899</c:v>
                </c:pt>
                <c:pt idx="69">
                  <c:v>159.66045257978499</c:v>
                </c:pt>
                <c:pt idx="70">
                  <c:v>162.87532151115599</c:v>
                </c:pt>
                <c:pt idx="71">
                  <c:v>165.286473209684</c:v>
                </c:pt>
                <c:pt idx="72">
                  <c:v>168.906233652694</c:v>
                </c:pt>
                <c:pt idx="73">
                  <c:v>171.71924396764399</c:v>
                </c:pt>
                <c:pt idx="74">
                  <c:v>174.13039566617201</c:v>
                </c:pt>
                <c:pt idx="75">
                  <c:v>177.744090318746</c:v>
                </c:pt>
                <c:pt idx="76">
                  <c:v>180.15524201727399</c:v>
                </c:pt>
                <c:pt idx="77">
                  <c:v>184.17382818148701</c:v>
                </c:pt>
                <c:pt idx="78">
                  <c:v>176.13968874827799</c:v>
                </c:pt>
                <c:pt idx="79">
                  <c:v>181.76267648295899</c:v>
                </c:pt>
                <c:pt idx="80">
                  <c:v>186.584979880015</c:v>
                </c:pt>
                <c:pt idx="81">
                  <c:v>189.39799019496499</c:v>
                </c:pt>
                <c:pt idx="82">
                  <c:v>191.00845755586801</c:v>
                </c:pt>
                <c:pt idx="83">
                  <c:v>193.01623419036599</c:v>
                </c:pt>
                <c:pt idx="84">
                  <c:v>195.82924450531499</c:v>
                </c:pt>
                <c:pt idx="85">
                  <c:v>198.64225482026501</c:v>
                </c:pt>
                <c:pt idx="86">
                  <c:v>202.25898236805699</c:v>
                </c:pt>
                <c:pt idx="87">
                  <c:v>205.070476235397</c:v>
                </c:pt>
                <c:pt idx="88">
                  <c:v>208.28231227155001</c:v>
                </c:pt>
                <c:pt idx="89">
                  <c:v>211.09380613888999</c:v>
                </c:pt>
                <c:pt idx="90">
                  <c:v>211.90207271456001</c:v>
                </c:pt>
                <c:pt idx="91">
                  <c:v>214.71508302951</c:v>
                </c:pt>
                <c:pt idx="92">
                  <c:v>217.52809334445899</c:v>
                </c:pt>
                <c:pt idx="93">
                  <c:v>219.537386426566</c:v>
                </c:pt>
                <c:pt idx="94">
                  <c:v>223.14956463153001</c:v>
                </c:pt>
                <c:pt idx="95">
                  <c:v>221.144820892251</c:v>
                </c:pt>
                <c:pt idx="96">
                  <c:v>226.36291711529199</c:v>
                </c:pt>
                <c:pt idx="97">
                  <c:v>225.157341266028</c:v>
                </c:pt>
                <c:pt idx="98">
                  <c:v>229.97812821547501</c:v>
                </c:pt>
                <c:pt idx="99">
                  <c:v>232.389279914003</c:v>
                </c:pt>
                <c:pt idx="100">
                  <c:v>228.77710170903799</c:v>
                </c:pt>
                <c:pt idx="101">
                  <c:v>234.80498095535901</c:v>
                </c:pt>
                <c:pt idx="102">
                  <c:v>237.61495837509</c:v>
                </c:pt>
                <c:pt idx="103">
                  <c:v>242.437261772146</c:v>
                </c:pt>
                <c:pt idx="104">
                  <c:v>246.45129859353199</c:v>
                </c:pt>
                <c:pt idx="105">
                  <c:v>240.02611007361801</c:v>
                </c:pt>
                <c:pt idx="106">
                  <c:v>249.66768397251201</c:v>
                </c:pt>
                <c:pt idx="107">
                  <c:v>253.68475368911601</c:v>
                </c:pt>
                <c:pt idx="108">
                  <c:v>257.299964789299</c:v>
                </c:pt>
                <c:pt idx="109">
                  <c:v>260.51483372067003</c:v>
                </c:pt>
                <c:pt idx="110">
                  <c:v>263.32632758800997</c:v>
                </c:pt>
                <c:pt idx="111">
                  <c:v>266.53968007177201</c:v>
                </c:pt>
                <c:pt idx="112">
                  <c:v>269.75454900314298</c:v>
                </c:pt>
                <c:pt idx="113">
                  <c:v>271.76080919003101</c:v>
                </c:pt>
                <c:pt idx="114">
                  <c:v>276.18125397066598</c:v>
                </c:pt>
                <c:pt idx="115">
                  <c:v>277.38682981993003</c:v>
                </c:pt>
                <c:pt idx="116">
                  <c:v>281.00204092011302</c:v>
                </c:pt>
                <c:pt idx="117">
                  <c:v>283.01133400222</c:v>
                </c:pt>
                <c:pt idx="118">
                  <c:v>284.61725202029601</c:v>
                </c:pt>
                <c:pt idx="119">
                  <c:v>287.83060450405799</c:v>
                </c:pt>
                <c:pt idx="120">
                  <c:v>290.64361481900698</c:v>
                </c:pt>
                <c:pt idx="121">
                  <c:v>293.45510868634699</c:v>
                </c:pt>
                <c:pt idx="122">
                  <c:v>296.66846117010903</c:v>
                </c:pt>
                <c:pt idx="123">
                  <c:v>298.679270699825</c:v>
                </c:pt>
                <c:pt idx="124">
                  <c:v>273.37127655093502</c:v>
                </c:pt>
                <c:pt idx="125">
                  <c:v>273.37127655093502</c:v>
                </c:pt>
              </c:numCache>
            </c:numRef>
          </c:xVal>
          <c:yVal>
            <c:numRef>
              <c:f>RvsT!$AN$4:$AN$129</c:f>
              <c:numCache>
                <c:formatCode>General</c:formatCode>
                <c:ptCount val="126"/>
                <c:pt idx="0">
                  <c:v>2.2798633320692274</c:v>
                </c:pt>
                <c:pt idx="1">
                  <c:v>2.2028453108415147</c:v>
                </c:pt>
                <c:pt idx="2">
                  <c:v>2.1308608697603346</c:v>
                </c:pt>
                <c:pt idx="3">
                  <c:v>2.0635682030185789</c:v>
                </c:pt>
                <c:pt idx="4">
                  <c:v>2.0006513597966684</c:v>
                </c:pt>
                <c:pt idx="5">
                  <c:v>1.9507747602065613</c:v>
                </c:pt>
                <c:pt idx="6">
                  <c:v>1.8945687504321767</c:v>
                </c:pt>
                <c:pt idx="7">
                  <c:v>1.8155542506687505</c:v>
                </c:pt>
                <c:pt idx="8">
                  <c:v>1.7585338740855962</c:v>
                </c:pt>
                <c:pt idx="9">
                  <c:v>1.7125423027878983</c:v>
                </c:pt>
                <c:pt idx="10">
                  <c:v>1.6761341295886356</c:v>
                </c:pt>
                <c:pt idx="11">
                  <c:v>1.620843985743611</c:v>
                </c:pt>
                <c:pt idx="12">
                  <c:v>1.569163702249402</c:v>
                </c:pt>
                <c:pt idx="13">
                  <c:v>1.5266107528989574</c:v>
                </c:pt>
                <c:pt idx="14">
                  <c:v>1.4806798581505745</c:v>
                </c:pt>
                <c:pt idx="15">
                  <c:v>1.453316910969018</c:v>
                </c:pt>
                <c:pt idx="16">
                  <c:v>1.4167419249383271</c:v>
                </c:pt>
                <c:pt idx="17">
                  <c:v>1.3919186472766638</c:v>
                </c:pt>
                <c:pt idx="18">
                  <c:v>1.3536334961647534</c:v>
                </c:pt>
                <c:pt idx="19">
                  <c:v>1.3264424356757083</c:v>
                </c:pt>
                <c:pt idx="20">
                  <c:v>1.3002142300830526</c:v>
                </c:pt>
                <c:pt idx="21">
                  <c:v>1.2834729148006296</c:v>
                </c:pt>
                <c:pt idx="22">
                  <c:v>1.2590020238118032</c:v>
                </c:pt>
                <c:pt idx="23">
                  <c:v>1.2511011195800266</c:v>
                </c:pt>
                <c:pt idx="24">
                  <c:v>1.2355443432535782</c:v>
                </c:pt>
                <c:pt idx="25">
                  <c:v>1.2244275996954568</c:v>
                </c:pt>
                <c:pt idx="26">
                  <c:v>1.2060277897619212</c:v>
                </c:pt>
                <c:pt idx="27">
                  <c:v>1.2020445665841792</c:v>
                </c:pt>
                <c:pt idx="28">
                  <c:v>1.2090092238153702</c:v>
                </c:pt>
                <c:pt idx="29">
                  <c:v>1.1842168315570605</c:v>
                </c:pt>
                <c:pt idx="30">
                  <c:v>1.177445502224113</c:v>
                </c:pt>
                <c:pt idx="31">
                  <c:v>1.1672147910835382</c:v>
                </c:pt>
                <c:pt idx="32">
                  <c:v>1.1572886914060052</c:v>
                </c:pt>
                <c:pt idx="33">
                  <c:v>1.1473196748530485</c:v>
                </c:pt>
                <c:pt idx="34">
                  <c:v>1.1343465944113205</c:v>
                </c:pt>
                <c:pt idx="35">
                  <c:v>1.1279694535076532</c:v>
                </c:pt>
                <c:pt idx="36">
                  <c:v>1.1186569904321284</c:v>
                </c:pt>
                <c:pt idx="37">
                  <c:v>1.1032010309275426</c:v>
                </c:pt>
                <c:pt idx="38">
                  <c:v>1.0912012747428061</c:v>
                </c:pt>
                <c:pt idx="39">
                  <c:v>1.0883176917833268</c:v>
                </c:pt>
                <c:pt idx="40">
                  <c:v>1.0795342189182326</c:v>
                </c:pt>
                <c:pt idx="41">
                  <c:v>1.0738305906869896</c:v>
                </c:pt>
                <c:pt idx="42">
                  <c:v>1.0741253985406929</c:v>
                </c:pt>
                <c:pt idx="43">
                  <c:v>1.0654235297378989</c:v>
                </c:pt>
                <c:pt idx="44">
                  <c:v>1.0571470845989217</c:v>
                </c:pt>
                <c:pt idx="45">
                  <c:v>1.054547029606631</c:v>
                </c:pt>
                <c:pt idx="46">
                  <c:v>1.0463331156590616</c:v>
                </c:pt>
                <c:pt idx="47">
                  <c:v>1.0383839467970482</c:v>
                </c:pt>
                <c:pt idx="48">
                  <c:v>1.0360124075454253</c:v>
                </c:pt>
                <c:pt idx="49">
                  <c:v>1.0226420201601143</c:v>
                </c:pt>
                <c:pt idx="50">
                  <c:v>1.0228759593327645</c:v>
                </c:pt>
                <c:pt idx="51">
                  <c:v>1.0178200895208447</c:v>
                </c:pt>
                <c:pt idx="52">
                  <c:v>1.0127811821238324</c:v>
                </c:pt>
                <c:pt idx="53">
                  <c:v>1.005234961516416</c:v>
                </c:pt>
                <c:pt idx="54">
                  <c:v>1.0055256056307911</c:v>
                </c:pt>
                <c:pt idx="55">
                  <c:v>1.003172994587934</c:v>
                </c:pt>
                <c:pt idx="56">
                  <c:v>1.0034302777265682</c:v>
                </c:pt>
                <c:pt idx="57">
                  <c:v>0.9960222511578869</c:v>
                </c:pt>
                <c:pt idx="58">
                  <c:v>0.99627587901223358</c:v>
                </c:pt>
                <c:pt idx="59">
                  <c:v>0.99147893115361385</c:v>
                </c:pt>
                <c:pt idx="60">
                  <c:v>0.98672795539241132</c:v>
                </c:pt>
                <c:pt idx="61">
                  <c:v>0.98440046011597593</c:v>
                </c:pt>
                <c:pt idx="62">
                  <c:v>0.9820531056385321</c:v>
                </c:pt>
                <c:pt idx="63">
                  <c:v>0.97742234335365707</c:v>
                </c:pt>
                <c:pt idx="64">
                  <c:v>0.97526002646940191</c:v>
                </c:pt>
                <c:pt idx="65">
                  <c:v>0.97550318942240266</c:v>
                </c:pt>
                <c:pt idx="66">
                  <c:v>0.9708435002668242</c:v>
                </c:pt>
                <c:pt idx="67">
                  <c:v>0.97105433837204147</c:v>
                </c:pt>
                <c:pt idx="68">
                  <c:v>0.97117485840991036</c:v>
                </c:pt>
                <c:pt idx="69">
                  <c:v>0.96655632993623786</c:v>
                </c:pt>
                <c:pt idx="70">
                  <c:v>0.96679517151507721</c:v>
                </c:pt>
                <c:pt idx="71">
                  <c:v>0.96697438017615445</c:v>
                </c:pt>
                <c:pt idx="72">
                  <c:v>0.96248440519774636</c:v>
                </c:pt>
                <c:pt idx="73">
                  <c:v>0.96269162785611706</c:v>
                </c:pt>
                <c:pt idx="74">
                  <c:v>0.96286931831046174</c:v>
                </c:pt>
                <c:pt idx="75">
                  <c:v>0.96790135099317276</c:v>
                </c:pt>
                <c:pt idx="76">
                  <c:v>0.96808097001783566</c:v>
                </c:pt>
                <c:pt idx="77">
                  <c:v>0.96838048325116033</c:v>
                </c:pt>
                <c:pt idx="78">
                  <c:v>0.96301744380411303</c:v>
                </c:pt>
                <c:pt idx="79">
                  <c:v>0.9682007530754555</c:v>
                </c:pt>
                <c:pt idx="80">
                  <c:v>0.96856028016701701</c:v>
                </c:pt>
                <c:pt idx="81">
                  <c:v>0.96877012763726023</c:v>
                </c:pt>
                <c:pt idx="82">
                  <c:v>0.96411499052808247</c:v>
                </c:pt>
                <c:pt idx="83">
                  <c:v>0.96664588169783328</c:v>
                </c:pt>
                <c:pt idx="84">
                  <c:v>0.9668549003544008</c:v>
                </c:pt>
                <c:pt idx="85">
                  <c:v>0.96706400942307802</c:v>
                </c:pt>
                <c:pt idx="86">
                  <c:v>0.96733299688483487</c:v>
                </c:pt>
                <c:pt idx="87">
                  <c:v>0.96994094442999046</c:v>
                </c:pt>
                <c:pt idx="88">
                  <c:v>0.97501698471228693</c:v>
                </c:pt>
                <c:pt idx="89">
                  <c:v>0.97766658590404332</c:v>
                </c:pt>
                <c:pt idx="90">
                  <c:v>0.97045218659027932</c:v>
                </c:pt>
                <c:pt idx="91">
                  <c:v>0.97066285474810887</c:v>
                </c:pt>
                <c:pt idx="92">
                  <c:v>0.97087361439052633</c:v>
                </c:pt>
                <c:pt idx="93">
                  <c:v>0.97102421303623843</c:v>
                </c:pt>
                <c:pt idx="94">
                  <c:v>0.97858358362714715</c:v>
                </c:pt>
                <c:pt idx="95">
                  <c:v>0.97114472559589615</c:v>
                </c:pt>
                <c:pt idx="96">
                  <c:v>0.98128339456244551</c:v>
                </c:pt>
                <c:pt idx="97">
                  <c:v>0.98119111030681538</c:v>
                </c:pt>
                <c:pt idx="98">
                  <c:v>0.98402907944972096</c:v>
                </c:pt>
                <c:pt idx="99">
                  <c:v>0.98421473474893018</c:v>
                </c:pt>
                <c:pt idx="100">
                  <c:v>0.97656845460777209</c:v>
                </c:pt>
                <c:pt idx="101">
                  <c:v>0.97702570937991762</c:v>
                </c:pt>
                <c:pt idx="102">
                  <c:v>0.98214555212002563</c:v>
                </c:pt>
                <c:pt idx="103">
                  <c:v>0.98251551216227273</c:v>
                </c:pt>
                <c:pt idx="104">
                  <c:v>0.99028690323745971</c:v>
                </c:pt>
                <c:pt idx="105">
                  <c:v>0.98233049730805777</c:v>
                </c:pt>
                <c:pt idx="106">
                  <c:v>0.98803616661151294</c:v>
                </c:pt>
                <c:pt idx="107">
                  <c:v>0.9908511905431211</c:v>
                </c:pt>
                <c:pt idx="108">
                  <c:v>0.99365075527313562</c:v>
                </c:pt>
                <c:pt idx="109">
                  <c:v>0.99390317665327077</c:v>
                </c:pt>
                <c:pt idx="110">
                  <c:v>0.99665656307624972</c:v>
                </c:pt>
                <c:pt idx="111">
                  <c:v>0.99945716054039013</c:v>
                </c:pt>
                <c:pt idx="112">
                  <c:v>0.99971254097121698</c:v>
                </c:pt>
                <c:pt idx="113">
                  <c:v>1.0050090211185985</c:v>
                </c:pt>
                <c:pt idx="114">
                  <c:v>1.0053641159325373</c:v>
                </c:pt>
                <c:pt idx="115">
                  <c:v>1.0054610035263434</c:v>
                </c:pt>
                <c:pt idx="116">
                  <c:v>1.0083438545365775</c:v>
                </c:pt>
                <c:pt idx="117">
                  <c:v>1.0085063029900792</c:v>
                </c:pt>
                <c:pt idx="118">
                  <c:v>1.0112432844637294</c:v>
                </c:pt>
                <c:pt idx="119">
                  <c:v>1.0141265775563888</c:v>
                </c:pt>
                <c:pt idx="120">
                  <c:v>1.0143566365331553</c:v>
                </c:pt>
                <c:pt idx="121">
                  <c:v>1.0172246759693961</c:v>
                </c:pt>
                <c:pt idx="122">
                  <c:v>1.020142227856077</c:v>
                </c:pt>
                <c:pt idx="123">
                  <c:v>1.0176546269610496</c:v>
                </c:pt>
                <c:pt idx="124">
                  <c:v>1.0000000000000004</c:v>
                </c:pt>
                <c:pt idx="125">
                  <c:v>1.0000000000000004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C1-49AF-8108-9BFB86A4C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36832"/>
        <c:axId val="238938752"/>
      </c:scatterChart>
      <c:valAx>
        <c:axId val="2389368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38752"/>
        <c:crosses val="autoZero"/>
        <c:crossBetween val="midCat"/>
      </c:valAx>
      <c:valAx>
        <c:axId val="2389387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368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RvsT!$AT$4:$AT$104</c:f>
              <c:numCache>
                <c:formatCode>General</c:formatCode>
                <c:ptCount val="101"/>
                <c:pt idx="0">
                  <c:v>301.24328781934599</c:v>
                </c:pt>
                <c:pt idx="1">
                  <c:v>283.27482322895997</c:v>
                </c:pt>
                <c:pt idx="2">
                  <c:v>260.97291803344001</c:v>
                </c:pt>
                <c:pt idx="3">
                  <c:v>238.78948268424901</c:v>
                </c:pt>
                <c:pt idx="4">
                  <c:v>219.98985784005001</c:v>
                </c:pt>
                <c:pt idx="5">
                  <c:v>205.45917790555399</c:v>
                </c:pt>
                <c:pt idx="6">
                  <c:v>195.86262329479601</c:v>
                </c:pt>
                <c:pt idx="7">
                  <c:v>181.679841630825</c:v>
                </c:pt>
                <c:pt idx="8">
                  <c:v>170.84305975673999</c:v>
                </c:pt>
                <c:pt idx="9">
                  <c:v>154.19904052809599</c:v>
                </c:pt>
                <c:pt idx="10">
                  <c:v>143.03319740900201</c:v>
                </c:pt>
                <c:pt idx="11">
                  <c:v>131.77235618045</c:v>
                </c:pt>
                <c:pt idx="12">
                  <c:v>126.47888947148201</c:v>
                </c:pt>
                <c:pt idx="13">
                  <c:v>117.320314730166</c:v>
                </c:pt>
                <c:pt idx="14">
                  <c:v>110.322429611391</c:v>
                </c:pt>
                <c:pt idx="15">
                  <c:v>103.741952136366</c:v>
                </c:pt>
                <c:pt idx="16">
                  <c:v>98.222893928380103</c:v>
                </c:pt>
                <c:pt idx="17">
                  <c:v>95.574466035869094</c:v>
                </c:pt>
                <c:pt idx="18">
                  <c:v>89.873670439253601</c:v>
                </c:pt>
                <c:pt idx="19">
                  <c:v>86.263328359375706</c:v>
                </c:pt>
                <c:pt idx="20">
                  <c:v>80.016838186071695</c:v>
                </c:pt>
                <c:pt idx="21">
                  <c:v>77.329077630359606</c:v>
                </c:pt>
                <c:pt idx="22">
                  <c:v>73.717203368795197</c:v>
                </c:pt>
                <c:pt idx="23">
                  <c:v>69.320142879836496</c:v>
                </c:pt>
                <c:pt idx="24">
                  <c:v>64.300540697238105</c:v>
                </c:pt>
                <c:pt idx="25">
                  <c:v>61.717504456439997</c:v>
                </c:pt>
                <c:pt idx="26">
                  <c:v>58.434141337351797</c:v>
                </c:pt>
                <c:pt idx="27">
                  <c:v>56.086765978799299</c:v>
                </c:pt>
                <c:pt idx="28">
                  <c:v>53.102957406084002</c:v>
                </c:pt>
                <c:pt idx="29">
                  <c:v>48.922221863924598</c:v>
                </c:pt>
                <c:pt idx="30">
                  <c:v>47.603110078819903</c:v>
                </c:pt>
                <c:pt idx="31">
                  <c:v>44.763694787494103</c:v>
                </c:pt>
                <c:pt idx="32">
                  <c:v>42.672879249407302</c:v>
                </c:pt>
                <c:pt idx="33">
                  <c:v>40.958654261480397</c:v>
                </c:pt>
                <c:pt idx="34">
                  <c:v>39.8542677172913</c:v>
                </c:pt>
                <c:pt idx="35">
                  <c:v>37.992760918132603</c:v>
                </c:pt>
                <c:pt idx="36">
                  <c:v>36.716586471437999</c:v>
                </c:pt>
                <c:pt idx="37">
                  <c:v>35.241633501125101</c:v>
                </c:pt>
                <c:pt idx="38">
                  <c:v>32.467099709810697</c:v>
                </c:pt>
                <c:pt idx="39">
                  <c:v>30.530512389604301</c:v>
                </c:pt>
                <c:pt idx="40">
                  <c:v>28.709438018885301</c:v>
                </c:pt>
                <c:pt idx="41">
                  <c:v>27.368482153097499</c:v>
                </c:pt>
                <c:pt idx="42">
                  <c:v>25.9124825024582</c:v>
                </c:pt>
                <c:pt idx="43">
                  <c:v>24.702166390176998</c:v>
                </c:pt>
                <c:pt idx="44">
                  <c:v>24.036110811312799</c:v>
                </c:pt>
                <c:pt idx="45">
                  <c:v>23.070549019137601</c:v>
                </c:pt>
                <c:pt idx="46">
                  <c:v>21.2542308897374</c:v>
                </c:pt>
                <c:pt idx="47">
                  <c:v>19.9864652312801</c:v>
                </c:pt>
                <c:pt idx="48">
                  <c:v>18.794318858841699</c:v>
                </c:pt>
                <c:pt idx="49">
                  <c:v>17.314663474623298</c:v>
                </c:pt>
                <c:pt idx="50">
                  <c:v>16.393525655252699</c:v>
                </c:pt>
                <c:pt idx="51">
                  <c:v>15.521392246711001</c:v>
                </c:pt>
                <c:pt idx="52">
                  <c:v>14.897877759178501</c:v>
                </c:pt>
                <c:pt idx="53">
                  <c:v>14.202030053771701</c:v>
                </c:pt>
                <c:pt idx="54">
                  <c:v>13.631516059270099</c:v>
                </c:pt>
                <c:pt idx="55">
                  <c:v>12.9948173747736</c:v>
                </c:pt>
                <c:pt idx="56">
                  <c:v>12.818427690074101</c:v>
                </c:pt>
                <c:pt idx="57">
                  <c:v>12.3034947997052</c:v>
                </c:pt>
                <c:pt idx="58">
                  <c:v>11.8092474323969</c:v>
                </c:pt>
                <c:pt idx="59">
                  <c:v>11.180997022319399</c:v>
                </c:pt>
                <c:pt idx="60">
                  <c:v>10.300729821935001</c:v>
                </c:pt>
                <c:pt idx="61">
                  <c:v>9.9547289558914898</c:v>
                </c:pt>
                <c:pt idx="62">
                  <c:v>9.4251386848305003</c:v>
                </c:pt>
                <c:pt idx="63">
                  <c:v>9.0465186213990503</c:v>
                </c:pt>
                <c:pt idx="64">
                  <c:v>8.4489816808343399</c:v>
                </c:pt>
                <c:pt idx="65">
                  <c:v>7.8909130053870999</c:v>
                </c:pt>
                <c:pt idx="66">
                  <c:v>7.42023831600401</c:v>
                </c:pt>
                <c:pt idx="67">
                  <c:v>7.2201631060482496</c:v>
                </c:pt>
                <c:pt idx="68">
                  <c:v>6.8360513785085804</c:v>
                </c:pt>
                <c:pt idx="69">
                  <c:v>6.5614383151785596</c:v>
                </c:pt>
                <c:pt idx="70">
                  <c:v>6.1280448805725003</c:v>
                </c:pt>
                <c:pt idx="71">
                  <c:v>5.7232777714970897</c:v>
                </c:pt>
                <c:pt idx="72">
                  <c:v>5.3452461736299499</c:v>
                </c:pt>
                <c:pt idx="73">
                  <c:v>5.2011199063983904</c:v>
                </c:pt>
                <c:pt idx="74">
                  <c:v>5.0608797802782703</c:v>
                </c:pt>
                <c:pt idx="75">
                  <c:v>4.7266006230652398</c:v>
                </c:pt>
                <c:pt idx="76">
                  <c:v>4.4446698403306799</c:v>
                </c:pt>
                <c:pt idx="77">
                  <c:v>4.20821398945347</c:v>
                </c:pt>
                <c:pt idx="78">
                  <c:v>3.9302547636191698</c:v>
                </c:pt>
                <c:pt idx="79">
                  <c:v>3.6456576094582398</c:v>
                </c:pt>
                <c:pt idx="80">
                  <c:v>3.4753768135457199</c:v>
                </c:pt>
                <c:pt idx="81">
                  <c:v>3.2680786338435599</c:v>
                </c:pt>
                <c:pt idx="82">
                  <c:v>3.1799599655512099</c:v>
                </c:pt>
                <c:pt idx="83">
                  <c:v>3.01078651365901</c:v>
                </c:pt>
                <c:pt idx="84">
                  <c:v>2.8506130671553001</c:v>
                </c:pt>
                <c:pt idx="85">
                  <c:v>2.73610023754124</c:v>
                </c:pt>
                <c:pt idx="86">
                  <c:v>2.6261875370353001</c:v>
                </c:pt>
                <c:pt idx="87">
                  <c:v>2.5206901724760402</c:v>
                </c:pt>
                <c:pt idx="88">
                  <c:v>2.3541945782250102</c:v>
                </c:pt>
                <c:pt idx="89">
                  <c:v>2.2289517363217501</c:v>
                </c:pt>
                <c:pt idx="90">
                  <c:v>2.21377232276522</c:v>
                </c:pt>
                <c:pt idx="91">
                  <c:v>2.0959999263820199</c:v>
                </c:pt>
                <c:pt idx="92">
                  <c:v>1.99810029511359</c:v>
                </c:pt>
                <c:pt idx="93">
                  <c:v>1.8918016222331</c:v>
                </c:pt>
                <c:pt idx="94">
                  <c:v>1.7668451167735799</c:v>
                </c:pt>
                <c:pt idx="95">
                  <c:v>1.6614568966832399</c:v>
                </c:pt>
                <c:pt idx="96">
                  <c:v>1.5306522816669501</c:v>
                </c:pt>
                <c:pt idx="97">
                  <c:v>1.4295502644454099</c:v>
                </c:pt>
                <c:pt idx="98">
                  <c:v>1.4101457654720699</c:v>
                </c:pt>
                <c:pt idx="99">
                  <c:v>1.3534983784123999</c:v>
                </c:pt>
                <c:pt idx="100">
                  <c:v>1.29912659047111</c:v>
                </c:pt>
              </c:numCache>
            </c:numRef>
          </c:xVal>
          <c:yVal>
            <c:numRef>
              <c:f>RvsT!$AV$4:$AV$104</c:f>
              <c:numCache>
                <c:formatCode>General</c:formatCode>
                <c:ptCount val="101"/>
                <c:pt idx="0">
                  <c:v>1.0000002099166898</c:v>
                </c:pt>
                <c:pt idx="1">
                  <c:v>0.99017828320652512</c:v>
                </c:pt>
                <c:pt idx="2">
                  <c:v>1.0000002099166898</c:v>
                </c:pt>
                <c:pt idx="3">
                  <c:v>0.99017828320652512</c:v>
                </c:pt>
                <c:pt idx="4">
                  <c:v>0.99017828320652512</c:v>
                </c:pt>
                <c:pt idx="5">
                  <c:v>0.99017828320652512</c:v>
                </c:pt>
                <c:pt idx="6">
                  <c:v>0.99017828320652512</c:v>
                </c:pt>
                <c:pt idx="7">
                  <c:v>1.0099195637729916</c:v>
                </c:pt>
                <c:pt idx="8">
                  <c:v>1.0099195637729916</c:v>
                </c:pt>
                <c:pt idx="9">
                  <c:v>1.0099195637729916</c:v>
                </c:pt>
                <c:pt idx="10">
                  <c:v>1.019937311189566</c:v>
                </c:pt>
                <c:pt idx="11">
                  <c:v>1.04027190038617</c:v>
                </c:pt>
                <c:pt idx="12">
                  <c:v>1.04027190038617</c:v>
                </c:pt>
                <c:pt idx="13">
                  <c:v>1.04027190038617</c:v>
                </c:pt>
                <c:pt idx="14">
                  <c:v>1.04027190038617</c:v>
                </c:pt>
                <c:pt idx="15">
                  <c:v>1.0505907233067755</c:v>
                </c:pt>
                <c:pt idx="16">
                  <c:v>1.0505907233067755</c:v>
                </c:pt>
                <c:pt idx="17">
                  <c:v>1.0715364525568261</c:v>
                </c:pt>
                <c:pt idx="18">
                  <c:v>1.0715364525568261</c:v>
                </c:pt>
                <c:pt idx="19">
                  <c:v>1.0715364525568261</c:v>
                </c:pt>
                <c:pt idx="20">
                  <c:v>1.0715364525568261</c:v>
                </c:pt>
                <c:pt idx="21">
                  <c:v>1.0821653995684719</c:v>
                </c:pt>
                <c:pt idx="22">
                  <c:v>1.0928997788445125</c:v>
                </c:pt>
                <c:pt idx="23">
                  <c:v>1.1037406362046693</c:v>
                </c:pt>
                <c:pt idx="24">
                  <c:v>1.1037406362046693</c:v>
                </c:pt>
                <c:pt idx="25">
                  <c:v>1.1146890278425148</c:v>
                </c:pt>
                <c:pt idx="26">
                  <c:v>1.1369126912132557</c:v>
                </c:pt>
                <c:pt idx="27">
                  <c:v>1.1369126912132557</c:v>
                </c:pt>
                <c:pt idx="28">
                  <c:v>1.1369126912132557</c:v>
                </c:pt>
                <c:pt idx="29">
                  <c:v>1.1369126912132557</c:v>
                </c:pt>
                <c:pt idx="30">
                  <c:v>1.1595794299182649</c:v>
                </c:pt>
                <c:pt idx="31">
                  <c:v>1.1595794299182649</c:v>
                </c:pt>
                <c:pt idx="32">
                  <c:v>1.1595794299182649</c:v>
                </c:pt>
                <c:pt idx="33">
                  <c:v>1.1595794299182649</c:v>
                </c:pt>
                <c:pt idx="34">
                  <c:v>1.1826980775934997</c:v>
                </c:pt>
                <c:pt idx="35">
                  <c:v>1.1826980775934997</c:v>
                </c:pt>
                <c:pt idx="36">
                  <c:v>1.1826980775934997</c:v>
                </c:pt>
                <c:pt idx="37">
                  <c:v>1.2062776439919736</c:v>
                </c:pt>
                <c:pt idx="38">
                  <c:v>1.2062776439919736</c:v>
                </c:pt>
                <c:pt idx="39">
                  <c:v>1.2062776439919736</c:v>
                </c:pt>
                <c:pt idx="40">
                  <c:v>1.2182431362799202</c:v>
                </c:pt>
                <c:pt idx="41">
                  <c:v>1.2182431362799202</c:v>
                </c:pt>
                <c:pt idx="42">
                  <c:v>1.2425313679644165</c:v>
                </c:pt>
                <c:pt idx="43">
                  <c:v>1.2303273184950223</c:v>
                </c:pt>
                <c:pt idx="44">
                  <c:v>1.2548564736935612</c:v>
                </c:pt>
                <c:pt idx="45">
                  <c:v>1.2548564736935612</c:v>
                </c:pt>
                <c:pt idx="46">
                  <c:v>1.2673038364820897</c:v>
                </c:pt>
                <c:pt idx="47">
                  <c:v>1.2798746690407778</c:v>
                </c:pt>
                <c:pt idx="48">
                  <c:v>1.2798746690407778</c:v>
                </c:pt>
                <c:pt idx="49">
                  <c:v>1.3053916545775948</c:v>
                </c:pt>
                <c:pt idx="50">
                  <c:v>1.3053916545775948</c:v>
                </c:pt>
                <c:pt idx="51">
                  <c:v>1.3053916545775948</c:v>
                </c:pt>
                <c:pt idx="52">
                  <c:v>1.3183402936022777</c:v>
                </c:pt>
                <c:pt idx="53">
                  <c:v>1.3183402936022777</c:v>
                </c:pt>
                <c:pt idx="54">
                  <c:v>1.3183402936022777</c:v>
                </c:pt>
                <c:pt idx="55">
                  <c:v>1.3183402936022777</c:v>
                </c:pt>
                <c:pt idx="56">
                  <c:v>1.3579619721967973</c:v>
                </c:pt>
                <c:pt idx="57">
                  <c:v>1.3579619721967973</c:v>
                </c:pt>
                <c:pt idx="58">
                  <c:v>1.3579619721967973</c:v>
                </c:pt>
                <c:pt idx="59">
                  <c:v>1.3579619721967973</c:v>
                </c:pt>
                <c:pt idx="60">
                  <c:v>1.3579619721967973</c:v>
                </c:pt>
                <c:pt idx="61">
                  <c:v>1.3850357918779517</c:v>
                </c:pt>
                <c:pt idx="62">
                  <c:v>1.3850357918779517</c:v>
                </c:pt>
                <c:pt idx="63">
                  <c:v>1.3850357918779517</c:v>
                </c:pt>
                <c:pt idx="64">
                  <c:v>1.3850357918779517</c:v>
                </c:pt>
                <c:pt idx="65">
                  <c:v>1.412649384930625</c:v>
                </c:pt>
                <c:pt idx="66">
                  <c:v>1.412649384930625</c:v>
                </c:pt>
                <c:pt idx="67">
                  <c:v>1.412649384930625</c:v>
                </c:pt>
                <c:pt idx="68">
                  <c:v>1.440813512868935</c:v>
                </c:pt>
                <c:pt idx="69">
                  <c:v>1.440813512868935</c:v>
                </c:pt>
                <c:pt idx="70">
                  <c:v>1.440813512868935</c:v>
                </c:pt>
                <c:pt idx="71">
                  <c:v>1.440813512868935</c:v>
                </c:pt>
                <c:pt idx="72">
                  <c:v>1.440813512868935</c:v>
                </c:pt>
                <c:pt idx="73">
                  <c:v>1.4695391517603429</c:v>
                </c:pt>
                <c:pt idx="74">
                  <c:v>1.4695391517603429</c:v>
                </c:pt>
                <c:pt idx="75">
                  <c:v>1.4695391517603429</c:v>
                </c:pt>
                <c:pt idx="76">
                  <c:v>1.4695391517603429</c:v>
                </c:pt>
                <c:pt idx="77">
                  <c:v>1.4695391517603429</c:v>
                </c:pt>
                <c:pt idx="78">
                  <c:v>1.4695391517603429</c:v>
                </c:pt>
                <c:pt idx="79">
                  <c:v>1.4841160275524146</c:v>
                </c:pt>
                <c:pt idx="80">
                  <c:v>1.4988374965032296</c:v>
                </c:pt>
                <c:pt idx="81">
                  <c:v>1.4988374965032296</c:v>
                </c:pt>
                <c:pt idx="82">
                  <c:v>1.528719965189772</c:v>
                </c:pt>
                <c:pt idx="83">
                  <c:v>1.528719965189772</c:v>
                </c:pt>
                <c:pt idx="84">
                  <c:v>1.4988374965032296</c:v>
                </c:pt>
                <c:pt idx="85">
                  <c:v>1.4988374965032296</c:v>
                </c:pt>
                <c:pt idx="86">
                  <c:v>1.5438838762885252</c:v>
                </c:pt>
                <c:pt idx="87">
                  <c:v>1.528719965189772</c:v>
                </c:pt>
                <c:pt idx="88">
                  <c:v>1.528719965189772</c:v>
                </c:pt>
                <c:pt idx="89">
                  <c:v>1.528719965189772</c:v>
                </c:pt>
                <c:pt idx="90">
                  <c:v>1.5438838762885252</c:v>
                </c:pt>
                <c:pt idx="91">
                  <c:v>1.5438838762885252</c:v>
                </c:pt>
                <c:pt idx="92">
                  <c:v>1.528719965189772</c:v>
                </c:pt>
                <c:pt idx="93">
                  <c:v>1.5438838762885252</c:v>
                </c:pt>
                <c:pt idx="94">
                  <c:v>1.5591982035557392</c:v>
                </c:pt>
                <c:pt idx="95">
                  <c:v>1.5591982035557392</c:v>
                </c:pt>
                <c:pt idx="96">
                  <c:v>1.5591982035557392</c:v>
                </c:pt>
                <c:pt idx="97">
                  <c:v>1.5591982035557392</c:v>
                </c:pt>
                <c:pt idx="98">
                  <c:v>1.5902840895190673</c:v>
                </c:pt>
                <c:pt idx="99">
                  <c:v>1.606058676823708</c:v>
                </c:pt>
                <c:pt idx="100">
                  <c:v>1.606058676823708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B-4837-994E-706A784D2C4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RvsT!$BB$4:$BB$228</c:f>
              <c:numCache>
                <c:formatCode>General</c:formatCode>
                <c:ptCount val="225"/>
                <c:pt idx="0">
                  <c:v>299.94996800625103</c:v>
                </c:pt>
                <c:pt idx="1">
                  <c:v>303.93000112912898</c:v>
                </c:pt>
                <c:pt idx="2">
                  <c:v>292.145577586098</c:v>
                </c:pt>
                <c:pt idx="3">
                  <c:v>283.608096532844</c:v>
                </c:pt>
                <c:pt idx="4">
                  <c:v>276.22890484174002</c:v>
                </c:pt>
                <c:pt idx="5">
                  <c:v>265.51854917632602</c:v>
                </c:pt>
                <c:pt idx="6">
                  <c:v>258.61002894764198</c:v>
                </c:pt>
                <c:pt idx="7">
                  <c:v>251.05256995556999</c:v>
                </c:pt>
                <c:pt idx="8">
                  <c:v>244.52043966417699</c:v>
                </c:pt>
                <c:pt idx="9">
                  <c:v>235.815365957138</c:v>
                </c:pt>
                <c:pt idx="10">
                  <c:v>230.437834405405</c:v>
                </c:pt>
                <c:pt idx="11">
                  <c:v>223.70366214291599</c:v>
                </c:pt>
                <c:pt idx="12">
                  <c:v>218.60232577949</c:v>
                </c:pt>
                <c:pt idx="13">
                  <c:v>213.61732024607099</c:v>
                </c:pt>
                <c:pt idx="14">
                  <c:v>206.01241604912099</c:v>
                </c:pt>
                <c:pt idx="15">
                  <c:v>198.67825098408301</c:v>
                </c:pt>
                <c:pt idx="16">
                  <c:v>194.147593878794</c:v>
                </c:pt>
                <c:pt idx="17">
                  <c:v>186.00583551420101</c:v>
                </c:pt>
                <c:pt idx="18">
                  <c:v>181.764160060932</c:v>
                </c:pt>
                <c:pt idx="19">
                  <c:v>178.205509293798</c:v>
                </c:pt>
                <c:pt idx="20">
                  <c:v>174.71653120184101</c:v>
                </c:pt>
                <c:pt idx="21">
                  <c:v>170.17058631837401</c:v>
                </c:pt>
                <c:pt idx="22">
                  <c:v>164.65412519407801</c:v>
                </c:pt>
                <c:pt idx="23">
                  <c:v>159.316492526535</c:v>
                </c:pt>
                <c:pt idx="24">
                  <c:v>155.17124084902599</c:v>
                </c:pt>
                <c:pt idx="25">
                  <c:v>150.63661280603301</c:v>
                </c:pt>
                <c:pt idx="26">
                  <c:v>147.20149679939399</c:v>
                </c:pt>
                <c:pt idx="27">
                  <c:v>144.31952755236199</c:v>
                </c:pt>
                <c:pt idx="28">
                  <c:v>140.56448151666001</c:v>
                </c:pt>
                <c:pt idx="29">
                  <c:v>137.35905030423299</c:v>
                </c:pt>
                <c:pt idx="30">
                  <c:v>133.785108745109</c:v>
                </c:pt>
                <c:pt idx="31">
                  <c:v>129.875455754444</c:v>
                </c:pt>
                <c:pt idx="32">
                  <c:v>127.33270260609299</c:v>
                </c:pt>
                <c:pt idx="33">
                  <c:v>124.019636327085</c:v>
                </c:pt>
                <c:pt idx="34">
                  <c:v>121.591530732412</c:v>
                </c:pt>
                <c:pt idx="35">
                  <c:v>118.427843855139</c:v>
                </c:pt>
                <c:pt idx="36">
                  <c:v>115.727216335173</c:v>
                </c:pt>
                <c:pt idx="37">
                  <c:v>112.716112901755</c:v>
                </c:pt>
                <c:pt idx="38">
                  <c:v>110.145735644711</c:v>
                </c:pt>
                <c:pt idx="39">
                  <c:v>106.224481664389</c:v>
                </c:pt>
                <c:pt idx="40">
                  <c:v>102.780976907029</c:v>
                </c:pt>
                <c:pt idx="41">
                  <c:v>100.768690204335</c:v>
                </c:pt>
                <c:pt idx="42">
                  <c:v>98.470761870440796</c:v>
                </c:pt>
                <c:pt idx="43">
                  <c:v>96.225235474261098</c:v>
                </c:pt>
                <c:pt idx="44">
                  <c:v>92.494248318851106</c:v>
                </c:pt>
                <c:pt idx="45">
                  <c:v>89.791253808093998</c:v>
                </c:pt>
                <c:pt idx="46">
                  <c:v>87.454977509445598</c:v>
                </c:pt>
                <c:pt idx="47">
                  <c:v>84.899247521441097</c:v>
                </c:pt>
                <c:pt idx="48">
                  <c:v>82.690256207193997</c:v>
                </c:pt>
                <c:pt idx="49">
                  <c:v>82.690256207193997</c:v>
                </c:pt>
                <c:pt idx="50">
                  <c:v>80.009666138169905</c:v>
                </c:pt>
                <c:pt idx="51">
                  <c:v>78.185126408304001</c:v>
                </c:pt>
                <c:pt idx="52">
                  <c:v>75.900292795991405</c:v>
                </c:pt>
                <c:pt idx="53">
                  <c:v>73.925445050811902</c:v>
                </c:pt>
                <c:pt idx="54">
                  <c:v>73.925445050811902</c:v>
                </c:pt>
                <c:pt idx="55">
                  <c:v>72.001980817776698</c:v>
                </c:pt>
                <c:pt idx="56">
                  <c:v>70.592297499644104</c:v>
                </c:pt>
                <c:pt idx="57">
                  <c:v>68.982511362201706</c:v>
                </c:pt>
                <c:pt idx="58">
                  <c:v>67.187657192315697</c:v>
                </c:pt>
                <c:pt idx="59">
                  <c:v>67.187657192315697</c:v>
                </c:pt>
                <c:pt idx="60">
                  <c:v>65.872230610259294</c:v>
                </c:pt>
                <c:pt idx="61">
                  <c:v>64.582557971190099</c:v>
                </c:pt>
                <c:pt idx="62">
                  <c:v>63.109817881620003</c:v>
                </c:pt>
                <c:pt idx="63">
                  <c:v>61.4677651707404</c:v>
                </c:pt>
                <c:pt idx="64">
                  <c:v>59.868436986658999</c:v>
                </c:pt>
                <c:pt idx="65">
                  <c:v>58.310721681023601</c:v>
                </c:pt>
                <c:pt idx="66">
                  <c:v>58.310721681023601</c:v>
                </c:pt>
                <c:pt idx="67">
                  <c:v>56.793536529431698</c:v>
                </c:pt>
                <c:pt idx="68">
                  <c:v>55.498417216990198</c:v>
                </c:pt>
                <c:pt idx="69">
                  <c:v>55.498417216990198</c:v>
                </c:pt>
                <c:pt idx="70">
                  <c:v>53.876565914668099</c:v>
                </c:pt>
                <c:pt idx="71">
                  <c:v>52.474752946692099</c:v>
                </c:pt>
                <c:pt idx="72">
                  <c:v>51.278119137462099</c:v>
                </c:pt>
                <c:pt idx="73">
                  <c:v>50.108773355197101</c:v>
                </c:pt>
                <c:pt idx="74">
                  <c:v>48.804994483879597</c:v>
                </c:pt>
                <c:pt idx="75">
                  <c:v>47.692045814678202</c:v>
                </c:pt>
                <c:pt idx="76">
                  <c:v>46.451147714413104</c:v>
                </c:pt>
                <c:pt idx="77">
                  <c:v>45.093688201280997</c:v>
                </c:pt>
                <c:pt idx="78">
                  <c:v>44.065372128228802</c:v>
                </c:pt>
                <c:pt idx="79">
                  <c:v>43.060505765951497</c:v>
                </c:pt>
                <c:pt idx="80">
                  <c:v>41.940115585814198</c:v>
                </c:pt>
                <c:pt idx="81">
                  <c:v>40.848876808648498</c:v>
                </c:pt>
                <c:pt idx="82">
                  <c:v>39.917359377628699</c:v>
                </c:pt>
                <c:pt idx="83">
                  <c:v>39.007084261994002</c:v>
                </c:pt>
                <c:pt idx="84">
                  <c:v>37.742582161138401</c:v>
                </c:pt>
                <c:pt idx="85">
                  <c:v>37.742582161138401</c:v>
                </c:pt>
                <c:pt idx="86">
                  <c:v>36.760558897031601</c:v>
                </c:pt>
                <c:pt idx="87">
                  <c:v>35.686291137500199</c:v>
                </c:pt>
                <c:pt idx="88">
                  <c:v>34.643417112280602</c:v>
                </c:pt>
                <c:pt idx="89">
                  <c:v>33.853408930137697</c:v>
                </c:pt>
                <c:pt idx="90">
                  <c:v>32.972577963226698</c:v>
                </c:pt>
                <c:pt idx="91">
                  <c:v>32.009007807676298</c:v>
                </c:pt>
                <c:pt idx="92">
                  <c:v>31.382322766182</c:v>
                </c:pt>
                <c:pt idx="93">
                  <c:v>30.565786925933399</c:v>
                </c:pt>
                <c:pt idx="94">
                  <c:v>29.770496510485799</c:v>
                </c:pt>
                <c:pt idx="95">
                  <c:v>28.9958987356836</c:v>
                </c:pt>
                <c:pt idx="96">
                  <c:v>27.871626862414601</c:v>
                </c:pt>
                <c:pt idx="97">
                  <c:v>26.9681055818936</c:v>
                </c:pt>
                <c:pt idx="98">
                  <c:v>26.2664231438124</c:v>
                </c:pt>
                <c:pt idx="99">
                  <c:v>25.4149381411337</c:v>
                </c:pt>
                <c:pt idx="100">
                  <c:v>24.753667526318001</c:v>
                </c:pt>
                <c:pt idx="101">
                  <c:v>24.189185107610399</c:v>
                </c:pt>
                <c:pt idx="102">
                  <c:v>23.793881716132201</c:v>
                </c:pt>
                <c:pt idx="103">
                  <c:v>23.022549687942799</c:v>
                </c:pt>
                <c:pt idx="104">
                  <c:v>22.2762221169836</c:v>
                </c:pt>
                <c:pt idx="105">
                  <c:v>21.6966176728072</c:v>
                </c:pt>
                <c:pt idx="106">
                  <c:v>21.1320939415967</c:v>
                </c:pt>
                <c:pt idx="107">
                  <c:v>20.6501978553773</c:v>
                </c:pt>
                <c:pt idx="108">
                  <c:v>20.112900894194102</c:v>
                </c:pt>
                <c:pt idx="109">
                  <c:v>19.589583848676501</c:v>
                </c:pt>
                <c:pt idx="110">
                  <c:v>19.017110007617202</c:v>
                </c:pt>
                <c:pt idx="111">
                  <c:v>18.583443996610299</c:v>
                </c:pt>
                <c:pt idx="112">
                  <c:v>18.583443996610299</c:v>
                </c:pt>
                <c:pt idx="113">
                  <c:v>18.159667301542001</c:v>
                </c:pt>
                <c:pt idx="114">
                  <c:v>17.398124908990599</c:v>
                </c:pt>
                <c:pt idx="115">
                  <c:v>17.398124908990599</c:v>
                </c:pt>
                <c:pt idx="116">
                  <c:v>17.804130137604702</c:v>
                </c:pt>
                <c:pt idx="117">
                  <c:v>16.889692903960899</c:v>
                </c:pt>
                <c:pt idx="118">
                  <c:v>16.450240423351701</c:v>
                </c:pt>
                <c:pt idx="119">
                  <c:v>16.075109283991399</c:v>
                </c:pt>
                <c:pt idx="120">
                  <c:v>15.7085326318663</c:v>
                </c:pt>
                <c:pt idx="121">
                  <c:v>15.2998127296717</c:v>
                </c:pt>
                <c:pt idx="122">
                  <c:v>14.8527004975537</c:v>
                </c:pt>
                <c:pt idx="123">
                  <c:v>14.418654395828399</c:v>
                </c:pt>
                <c:pt idx="124">
                  <c:v>14.183022523242901</c:v>
                </c:pt>
                <c:pt idx="125">
                  <c:v>13.8139948289079</c:v>
                </c:pt>
                <c:pt idx="126">
                  <c:v>13.498980611125999</c:v>
                </c:pt>
                <c:pt idx="127">
                  <c:v>13.1477509855203</c:v>
                </c:pt>
                <c:pt idx="128">
                  <c:v>12.5963879249573</c:v>
                </c:pt>
                <c:pt idx="129">
                  <c:v>12.847929786541201</c:v>
                </c:pt>
                <c:pt idx="130">
                  <c:v>11.9101116307237</c:v>
                </c:pt>
                <c:pt idx="131">
                  <c:v>11.9101116307237</c:v>
                </c:pt>
                <c:pt idx="132">
                  <c:v>12.1079821411632</c:v>
                </c:pt>
                <c:pt idx="133">
                  <c:v>12.309140004409899</c:v>
                </c:pt>
                <c:pt idx="134">
                  <c:v>11.5620579198662</c:v>
                </c:pt>
                <c:pt idx="135">
                  <c:v>11.335691367338001</c:v>
                </c:pt>
                <c:pt idx="136">
                  <c:v>11.040748308330199</c:v>
                </c:pt>
                <c:pt idx="137">
                  <c:v>10.682837695551999</c:v>
                </c:pt>
                <c:pt idx="138">
                  <c:v>10.2348430465962</c:v>
                </c:pt>
                <c:pt idx="139">
                  <c:v>10.034461232892999</c:v>
                </c:pt>
                <c:pt idx="140">
                  <c:v>9.7412203652293599</c:v>
                </c:pt>
                <c:pt idx="141">
                  <c:v>9.5190816608502402</c:v>
                </c:pt>
                <c:pt idx="142">
                  <c:v>9.2714049225715307</c:v>
                </c:pt>
                <c:pt idx="143">
                  <c:v>9.0898856823150993</c:v>
                </c:pt>
                <c:pt idx="144">
                  <c:v>8.8533761830446593</c:v>
                </c:pt>
                <c:pt idx="145">
                  <c:v>8.6230204182875099</c:v>
                </c:pt>
                <c:pt idx="146">
                  <c:v>8.3710266210469602</c:v>
                </c:pt>
                <c:pt idx="147">
                  <c:v>8.0730130732230005</c:v>
                </c:pt>
                <c:pt idx="148">
                  <c:v>7.9410826492299602</c:v>
                </c:pt>
                <c:pt idx="149">
                  <c:v>7.7344638262134602</c:v>
                </c:pt>
                <c:pt idx="150">
                  <c:v>7.4837338385130403</c:v>
                </c:pt>
                <c:pt idx="151">
                  <c:v>7.3857326262292</c:v>
                </c:pt>
                <c:pt idx="152">
                  <c:v>7.2173084437379202</c:v>
                </c:pt>
                <c:pt idx="153">
                  <c:v>7.07600511847658</c:v>
                </c:pt>
                <c:pt idx="154">
                  <c:v>6.8918947252444704</c:v>
                </c:pt>
                <c:pt idx="155">
                  <c:v>6.7125746955477901</c:v>
                </c:pt>
                <c:pt idx="156">
                  <c:v>6.5595012006457001</c:v>
                </c:pt>
                <c:pt idx="157">
                  <c:v>6.4310766863087601</c:v>
                </c:pt>
                <c:pt idx="158">
                  <c:v>6.2844224695579696</c:v>
                </c:pt>
                <c:pt idx="159">
                  <c:v>6.1613835556445604</c:v>
                </c:pt>
                <c:pt idx="160">
                  <c:v>6.0010706770795696</c:v>
                </c:pt>
                <c:pt idx="161">
                  <c:v>5.8449289751345299</c:v>
                </c:pt>
                <c:pt idx="162">
                  <c:v>5.7304946390463298</c:v>
                </c:pt>
                <c:pt idx="163">
                  <c:v>5.5813930480010603</c:v>
                </c:pt>
                <c:pt idx="164">
                  <c:v>5.4004596773472899</c:v>
                </c:pt>
                <c:pt idx="165">
                  <c:v>5.3122045328891598</c:v>
                </c:pt>
                <c:pt idx="166">
                  <c:v>5.1569639643846203</c:v>
                </c:pt>
                <c:pt idx="167">
                  <c:v>5.0227850530540596</c:v>
                </c:pt>
                <c:pt idx="168">
                  <c:v>4.9082455064441799</c:v>
                </c:pt>
                <c:pt idx="169">
                  <c:v>4.7963179186577403</c:v>
                </c:pt>
                <c:pt idx="170">
                  <c:v>4.7179357519407397</c:v>
                </c:pt>
                <c:pt idx="171">
                  <c:v>4.5951799042569199</c:v>
                </c:pt>
                <c:pt idx="172">
                  <c:v>4.4903914617364897</c:v>
                </c:pt>
                <c:pt idx="173">
                  <c:v>4.4024767979508503</c:v>
                </c:pt>
                <c:pt idx="174">
                  <c:v>4.3162833622974102</c:v>
                </c:pt>
                <c:pt idx="175">
                  <c:v>4.2317774558896</c:v>
                </c:pt>
                <c:pt idx="176">
                  <c:v>4.1352760396371204</c:v>
                </c:pt>
                <c:pt idx="177">
                  <c:v>4.0676967211981196</c:v>
                </c:pt>
                <c:pt idx="178">
                  <c:v>3.9749370005906801</c:v>
                </c:pt>
                <c:pt idx="179">
                  <c:v>3.8842925718441901</c:v>
                </c:pt>
                <c:pt idx="180">
                  <c:v>3.78322726439219</c:v>
                </c:pt>
                <c:pt idx="181">
                  <c:v>3.7091577415437098</c:v>
                </c:pt>
                <c:pt idx="182">
                  <c:v>3.6245741407060401</c:v>
                </c:pt>
                <c:pt idx="183">
                  <c:v>3.55361079159458</c:v>
                </c:pt>
                <c:pt idx="184">
                  <c:v>3.472574282049</c:v>
                </c:pt>
                <c:pt idx="185">
                  <c:v>3.4611494847866</c:v>
                </c:pt>
                <c:pt idx="186">
                  <c:v>3.3933857283614102</c:v>
                </c:pt>
                <c:pt idx="187">
                  <c:v>3.3379304957420599</c:v>
                </c:pt>
                <c:pt idx="188">
                  <c:v>3.2510809689451001</c:v>
                </c:pt>
                <c:pt idx="189">
                  <c:v>3.1874300171828298</c:v>
                </c:pt>
                <c:pt idx="190">
                  <c:v>3.11474389082812</c:v>
                </c:pt>
                <c:pt idx="191">
                  <c:v>3.0337014505025302</c:v>
                </c:pt>
                <c:pt idx="192">
                  <c:v>2.9353572155998799</c:v>
                </c:pt>
                <c:pt idx="193">
                  <c:v>2.8589822325137799</c:v>
                </c:pt>
                <c:pt idx="194">
                  <c:v>2.7390881764467099</c:v>
                </c:pt>
                <c:pt idx="195">
                  <c:v>2.7390881764467099</c:v>
                </c:pt>
                <c:pt idx="196">
                  <c:v>2.6678199123881901</c:v>
                </c:pt>
                <c:pt idx="197">
                  <c:v>2.79378602658044</c:v>
                </c:pt>
                <c:pt idx="198">
                  <c:v>2.5224717717891698</c:v>
                </c:pt>
                <c:pt idx="199">
                  <c:v>2.3850424872859102</c:v>
                </c:pt>
                <c:pt idx="200">
                  <c:v>2.24768132467727</c:v>
                </c:pt>
                <c:pt idx="201">
                  <c:v>2.18919896272048</c:v>
                </c:pt>
                <c:pt idx="202">
                  <c:v>2.1322382518191598</c:v>
                </c:pt>
                <c:pt idx="203">
                  <c:v>2.0699270444192699</c:v>
                </c:pt>
                <c:pt idx="204">
                  <c:v>2.02272444612389</c:v>
                </c:pt>
                <c:pt idx="205">
                  <c:v>1.9700952313422799</c:v>
                </c:pt>
                <c:pt idx="206">
                  <c:v>1.90623017692843</c:v>
                </c:pt>
                <c:pt idx="207">
                  <c:v>1.86890924699822</c:v>
                </c:pt>
                <c:pt idx="208">
                  <c:v>1.8083243631534001</c:v>
                </c:pt>
                <c:pt idx="209">
                  <c:v>1.7670873501235</c:v>
                </c:pt>
                <c:pt idx="210">
                  <c:v>1.72110955029727</c:v>
                </c:pt>
                <c:pt idx="211">
                  <c:v>1.6653159250281799</c:v>
                </c:pt>
                <c:pt idx="212">
                  <c:v>1.61133097522668</c:v>
                </c:pt>
                <c:pt idx="213">
                  <c:v>1.61133097522668</c:v>
                </c:pt>
                <c:pt idx="214">
                  <c:v>1.56940579646989</c:v>
                </c:pt>
                <c:pt idx="215">
                  <c:v>1.5285714678493101</c:v>
                </c:pt>
                <c:pt idx="216">
                  <c:v>1.49864448980888</c:v>
                </c:pt>
                <c:pt idx="217">
                  <c:v>1.4693034340059701</c:v>
                </c:pt>
                <c:pt idx="218">
                  <c:v>1.4452918508133401</c:v>
                </c:pt>
                <c:pt idx="219">
                  <c:v>1.4123334280334401</c:v>
                </c:pt>
                <c:pt idx="220">
                  <c:v>1.3801265888396099</c:v>
                </c:pt>
                <c:pt idx="221">
                  <c:v>1.3575723473961501</c:v>
                </c:pt>
                <c:pt idx="222">
                  <c:v>1.33979462591664</c:v>
                </c:pt>
                <c:pt idx="223">
                  <c:v>1.31789949562792</c:v>
                </c:pt>
                <c:pt idx="224">
                  <c:v>1.2878461270063</c:v>
                </c:pt>
              </c:numCache>
            </c:numRef>
          </c:xVal>
          <c:yVal>
            <c:numRef>
              <c:f>RvsT!$BD$4:$BD$228</c:f>
              <c:numCache>
                <c:formatCode>General</c:formatCode>
                <c:ptCount val="225"/>
                <c:pt idx="0">
                  <c:v>1.0000004047771143</c:v>
                </c:pt>
                <c:pt idx="1">
                  <c:v>1.0000004047771143</c:v>
                </c:pt>
                <c:pt idx="2">
                  <c:v>0.99525164557706647</c:v>
                </c:pt>
                <c:pt idx="3">
                  <c:v>0.99525164557706647</c:v>
                </c:pt>
                <c:pt idx="4">
                  <c:v>0.99525164557706647</c:v>
                </c:pt>
                <c:pt idx="5">
                  <c:v>1.0000004047771143</c:v>
                </c:pt>
                <c:pt idx="6">
                  <c:v>0.99052543708182739</c:v>
                </c:pt>
                <c:pt idx="7">
                  <c:v>0.99052543708182739</c:v>
                </c:pt>
                <c:pt idx="8">
                  <c:v>0.99052543708182739</c:v>
                </c:pt>
                <c:pt idx="9">
                  <c:v>1.0000004047771143</c:v>
                </c:pt>
                <c:pt idx="10">
                  <c:v>0.99052543708182739</c:v>
                </c:pt>
                <c:pt idx="11">
                  <c:v>0.99052543708182739</c:v>
                </c:pt>
                <c:pt idx="12">
                  <c:v>1.0000004047771143</c:v>
                </c:pt>
                <c:pt idx="13">
                  <c:v>1.0000004047771143</c:v>
                </c:pt>
                <c:pt idx="14">
                  <c:v>1.0095660062001826</c:v>
                </c:pt>
                <c:pt idx="15">
                  <c:v>1.0095660062001826</c:v>
                </c:pt>
                <c:pt idx="16">
                  <c:v>1.00477182228076</c:v>
                </c:pt>
                <c:pt idx="17">
                  <c:v>1.0095660062001826</c:v>
                </c:pt>
                <c:pt idx="18">
                  <c:v>1.0095660062001826</c:v>
                </c:pt>
                <c:pt idx="19">
                  <c:v>1.0192231083167991</c:v>
                </c:pt>
                <c:pt idx="20">
                  <c:v>1.0192231083167991</c:v>
                </c:pt>
                <c:pt idx="21">
                  <c:v>1.0192231083167991</c:v>
                </c:pt>
                <c:pt idx="22">
                  <c:v>1.014383065163416</c:v>
                </c:pt>
                <c:pt idx="23">
                  <c:v>1.014383065163416</c:v>
                </c:pt>
                <c:pt idx="24">
                  <c:v>1.0240862453274542</c:v>
                </c:pt>
                <c:pt idx="25">
                  <c:v>1.0289725863857722</c:v>
                </c:pt>
                <c:pt idx="26">
                  <c:v>1.0289725863857722</c:v>
                </c:pt>
                <c:pt idx="27">
                  <c:v>1.0192231083167991</c:v>
                </c:pt>
                <c:pt idx="28">
                  <c:v>1.0192231083167991</c:v>
                </c:pt>
                <c:pt idx="29">
                  <c:v>1.0289725863857722</c:v>
                </c:pt>
                <c:pt idx="30">
                  <c:v>1.0487522133579881</c:v>
                </c:pt>
                <c:pt idx="31">
                  <c:v>1.0437719436521318</c:v>
                </c:pt>
                <c:pt idx="32">
                  <c:v>1.0388153240382874</c:v>
                </c:pt>
                <c:pt idx="33">
                  <c:v>1.0487522133579881</c:v>
                </c:pt>
                <c:pt idx="34">
                  <c:v>1.0487522133579881</c:v>
                </c:pt>
                <c:pt idx="35">
                  <c:v>1.0487522133579881</c:v>
                </c:pt>
                <c:pt idx="36">
                  <c:v>1.0487522133579881</c:v>
                </c:pt>
                <c:pt idx="37">
                  <c:v>1.0587841549618333</c:v>
                </c:pt>
                <c:pt idx="38">
                  <c:v>1.0638360541665071</c:v>
                </c:pt>
                <c:pt idx="39">
                  <c:v>1.0638360541665071</c:v>
                </c:pt>
                <c:pt idx="40">
                  <c:v>1.0638360541665071</c:v>
                </c:pt>
                <c:pt idx="41">
                  <c:v>1.0842858509729671</c:v>
                </c:pt>
                <c:pt idx="42">
                  <c:v>1.0842858509729671</c:v>
                </c:pt>
                <c:pt idx="43">
                  <c:v>1.0842858509729671</c:v>
                </c:pt>
                <c:pt idx="44">
                  <c:v>1.0842858509729671</c:v>
                </c:pt>
                <c:pt idx="45">
                  <c:v>1.0842858509729671</c:v>
                </c:pt>
                <c:pt idx="46">
                  <c:v>1.079136840646878</c:v>
                </c:pt>
                <c:pt idx="47">
                  <c:v>1.089459429367108</c:v>
                </c:pt>
                <c:pt idx="48">
                  <c:v>1.1051287480017666</c:v>
                </c:pt>
                <c:pt idx="49">
                  <c:v>1.1051287480017666</c:v>
                </c:pt>
                <c:pt idx="50">
                  <c:v>1.1104017765193648</c:v>
                </c:pt>
                <c:pt idx="51">
                  <c:v>1.1104017765193648</c:v>
                </c:pt>
                <c:pt idx="52">
                  <c:v>1.1104017765193648</c:v>
                </c:pt>
                <c:pt idx="53">
                  <c:v>1.1104017765193648</c:v>
                </c:pt>
                <c:pt idx="54">
                  <c:v>1.1104017765193648</c:v>
                </c:pt>
                <c:pt idx="55">
                  <c:v>1.131746692039401</c:v>
                </c:pt>
                <c:pt idx="56">
                  <c:v>1.131746692039401</c:v>
                </c:pt>
                <c:pt idx="57">
                  <c:v>1.131746692039401</c:v>
                </c:pt>
                <c:pt idx="58">
                  <c:v>1.1480242137655563</c:v>
                </c:pt>
                <c:pt idx="59">
                  <c:v>1.1480242137655563</c:v>
                </c:pt>
                <c:pt idx="60">
                  <c:v>1.1535019143764766</c:v>
                </c:pt>
                <c:pt idx="61">
                  <c:v>1.1535019143764766</c:v>
                </c:pt>
                <c:pt idx="62">
                  <c:v>1.1535019143764766</c:v>
                </c:pt>
                <c:pt idx="63">
                  <c:v>1.159005751373394</c:v>
                </c:pt>
                <c:pt idx="64">
                  <c:v>1.159005751373394</c:v>
                </c:pt>
                <c:pt idx="65">
                  <c:v>1.170092333950483</c:v>
                </c:pt>
                <c:pt idx="66">
                  <c:v>1.170092333950483</c:v>
                </c:pt>
                <c:pt idx="67">
                  <c:v>1.1756753307337049</c:v>
                </c:pt>
                <c:pt idx="68">
                  <c:v>1.1756753307337049</c:v>
                </c:pt>
                <c:pt idx="69">
                  <c:v>1.1756753307337049</c:v>
                </c:pt>
                <c:pt idx="70">
                  <c:v>1.1812849663147194</c:v>
                </c:pt>
                <c:pt idx="71">
                  <c:v>1.198274979927499</c:v>
                </c:pt>
                <c:pt idx="72">
                  <c:v>1.198274979927499</c:v>
                </c:pt>
                <c:pt idx="73">
                  <c:v>1.198274979927499</c:v>
                </c:pt>
                <c:pt idx="74">
                  <c:v>1.2039924478266044</c:v>
                </c:pt>
                <c:pt idx="75">
                  <c:v>1.2213090553019998</c:v>
                </c:pt>
                <c:pt idx="76">
                  <c:v>1.2213090553019998</c:v>
                </c:pt>
                <c:pt idx="77">
                  <c:v>1.2213090553019998</c:v>
                </c:pt>
                <c:pt idx="78">
                  <c:v>1.2213090553019998</c:v>
                </c:pt>
                <c:pt idx="79">
                  <c:v>1.2329916062105764</c:v>
                </c:pt>
                <c:pt idx="80">
                  <c:v>1.2447859076995111</c:v>
                </c:pt>
                <c:pt idx="81">
                  <c:v>1.2507252985636701</c:v>
                </c:pt>
                <c:pt idx="82">
                  <c:v>1.2447859076995111</c:v>
                </c:pt>
                <c:pt idx="83">
                  <c:v>1.2447859076995111</c:v>
                </c:pt>
                <c:pt idx="84">
                  <c:v>1.2566930287298879</c:v>
                </c:pt>
                <c:pt idx="85">
                  <c:v>1.2566930287298879</c:v>
                </c:pt>
                <c:pt idx="86">
                  <c:v>1.2687140484880319</c:v>
                </c:pt>
                <c:pt idx="87">
                  <c:v>1.2687140484880319</c:v>
                </c:pt>
                <c:pt idx="88">
                  <c:v>1.2747676104557648</c:v>
                </c:pt>
                <c:pt idx="89">
                  <c:v>1.2808500564833369</c:v>
                </c:pt>
                <c:pt idx="90">
                  <c:v>1.293102152647003</c:v>
                </c:pt>
                <c:pt idx="91">
                  <c:v>1.293102152647003</c:v>
                </c:pt>
                <c:pt idx="92">
                  <c:v>1.3054714474317317</c:v>
                </c:pt>
                <c:pt idx="93">
                  <c:v>1.3179590619123585</c:v>
                </c:pt>
                <c:pt idx="94">
                  <c:v>1.3242475923040025</c:v>
                </c:pt>
                <c:pt idx="95">
                  <c:v>1.3369148118300396</c:v>
                </c:pt>
                <c:pt idx="96">
                  <c:v>1.3432937879820239</c:v>
                </c:pt>
                <c:pt idx="97">
                  <c:v>1.3432937879820239</c:v>
                </c:pt>
                <c:pt idx="98">
                  <c:v>1.3561431957507963</c:v>
                </c:pt>
                <c:pt idx="99">
                  <c:v>1.369115515783059</c:v>
                </c:pt>
                <c:pt idx="100">
                  <c:v>1.3756481348753236</c:v>
                </c:pt>
                <c:pt idx="101">
                  <c:v>1.3756481348753236</c:v>
                </c:pt>
                <c:pt idx="102">
                  <c:v>1.3954336068015785</c:v>
                </c:pt>
                <c:pt idx="103">
                  <c:v>1.4020918004431606</c:v>
                </c:pt>
                <c:pt idx="104">
                  <c:v>1.4087817630935593</c:v>
                </c:pt>
                <c:pt idx="105">
                  <c:v>1.4155036463359407</c:v>
                </c:pt>
                <c:pt idx="106">
                  <c:v>1.4222576024766873</c:v>
                </c:pt>
                <c:pt idx="107">
                  <c:v>1.4290437845489425</c:v>
                </c:pt>
                <c:pt idx="108">
                  <c:v>1.4495972276597056</c:v>
                </c:pt>
                <c:pt idx="109">
                  <c:v>1.4495972276597056</c:v>
                </c:pt>
                <c:pt idx="110">
                  <c:v>1.4495972276597056</c:v>
                </c:pt>
                <c:pt idx="111">
                  <c:v>1.4774623941397775</c:v>
                </c:pt>
                <c:pt idx="112">
                  <c:v>1.4774623941397775</c:v>
                </c:pt>
                <c:pt idx="113">
                  <c:v>1.4774623941397775</c:v>
                </c:pt>
                <c:pt idx="114">
                  <c:v>1.4774623941397775</c:v>
                </c:pt>
                <c:pt idx="115">
                  <c:v>1.4774623941397775</c:v>
                </c:pt>
                <c:pt idx="116">
                  <c:v>1.4774623941397775</c:v>
                </c:pt>
                <c:pt idx="117">
                  <c:v>1.4915952047990477</c:v>
                </c:pt>
                <c:pt idx="118">
                  <c:v>1.4915952047990477</c:v>
                </c:pt>
                <c:pt idx="119">
                  <c:v>1.5275215145253491</c:v>
                </c:pt>
                <c:pt idx="120">
                  <c:v>1.5348099544667582</c:v>
                </c:pt>
                <c:pt idx="121">
                  <c:v>1.5348099544667582</c:v>
                </c:pt>
                <c:pt idx="122">
                  <c:v>1.5348099544667582</c:v>
                </c:pt>
                <c:pt idx="123">
                  <c:v>1.5643131392690082</c:v>
                </c:pt>
                <c:pt idx="124">
                  <c:v>1.5643131392690082</c:v>
                </c:pt>
                <c:pt idx="125">
                  <c:v>1.5792767292032133</c:v>
                </c:pt>
                <c:pt idx="126">
                  <c:v>1.5792767292032133</c:v>
                </c:pt>
                <c:pt idx="127">
                  <c:v>1.5943834548166445</c:v>
                </c:pt>
                <c:pt idx="128">
                  <c:v>1.6250318028914137</c:v>
                </c:pt>
                <c:pt idx="129">
                  <c:v>1.6096346852876022</c:v>
                </c:pt>
                <c:pt idx="130">
                  <c:v>1.6250318028914137</c:v>
                </c:pt>
                <c:pt idx="131">
                  <c:v>1.6250318028914137</c:v>
                </c:pt>
                <c:pt idx="132">
                  <c:v>1.6250318028914137</c:v>
                </c:pt>
                <c:pt idx="133">
                  <c:v>1.6250318028914137</c:v>
                </c:pt>
                <c:pt idx="134">
                  <c:v>1.6250318028914137</c:v>
                </c:pt>
                <c:pt idx="135">
                  <c:v>1.6484040739687804</c:v>
                </c:pt>
                <c:pt idx="136">
                  <c:v>1.6641720439420133</c:v>
                </c:pt>
                <c:pt idx="137">
                  <c:v>1.6721125003474284</c:v>
                </c:pt>
                <c:pt idx="138">
                  <c:v>1.6881072555859757</c:v>
                </c:pt>
                <c:pt idx="139">
                  <c:v>1.7205572277682919</c:v>
                </c:pt>
                <c:pt idx="140">
                  <c:v>1.7287667213178803</c:v>
                </c:pt>
                <c:pt idx="141">
                  <c:v>1.7370153857728139</c:v>
                </c:pt>
                <c:pt idx="142">
                  <c:v>1.7370153857728139</c:v>
                </c:pt>
                <c:pt idx="143">
                  <c:v>1.7536309758932533</c:v>
                </c:pt>
                <c:pt idx="144">
                  <c:v>1.7788528444531921</c:v>
                </c:pt>
                <c:pt idx="145">
                  <c:v>1.7873404906160155</c:v>
                </c:pt>
                <c:pt idx="146">
                  <c:v>1.8044374704360868</c:v>
                </c:pt>
                <c:pt idx="147">
                  <c:v>1.8391236229460297</c:v>
                </c:pt>
                <c:pt idx="148">
                  <c:v>1.8391236229460297</c:v>
                </c:pt>
                <c:pt idx="149">
                  <c:v>1.8391236229460297</c:v>
                </c:pt>
                <c:pt idx="150">
                  <c:v>1.8478988460399122</c:v>
                </c:pt>
                <c:pt idx="151">
                  <c:v>1.8744765368126981</c:v>
                </c:pt>
                <c:pt idx="152">
                  <c:v>1.8924070249828944</c:v>
                </c:pt>
                <c:pt idx="153">
                  <c:v>1.8924070249828944</c:v>
                </c:pt>
                <c:pt idx="154">
                  <c:v>1.8924070249828944</c:v>
                </c:pt>
                <c:pt idx="155">
                  <c:v>1.9196248615187204</c:v>
                </c:pt>
                <c:pt idx="156">
                  <c:v>1.9014364853309973</c:v>
                </c:pt>
                <c:pt idx="157">
                  <c:v>1.9287841894759148</c:v>
                </c:pt>
                <c:pt idx="158">
                  <c:v>1.937987220393155</c:v>
                </c:pt>
                <c:pt idx="159">
                  <c:v>1.9658606211345531</c:v>
                </c:pt>
                <c:pt idx="160">
                  <c:v>1.9658606211345531</c:v>
                </c:pt>
                <c:pt idx="161">
                  <c:v>1.9941349153703478</c:v>
                </c:pt>
                <c:pt idx="162">
                  <c:v>2.0036497617587843</c:v>
                </c:pt>
                <c:pt idx="163">
                  <c:v>2.0036497617587843</c:v>
                </c:pt>
                <c:pt idx="164">
                  <c:v>2.0036497617587843</c:v>
                </c:pt>
                <c:pt idx="165">
                  <c:v>2.0421653115362188</c:v>
                </c:pt>
                <c:pt idx="166">
                  <c:v>2.0519093309048535</c:v>
                </c:pt>
                <c:pt idx="167">
                  <c:v>2.0519093309048535</c:v>
                </c:pt>
                <c:pt idx="168">
                  <c:v>2.0616998430392521</c:v>
                </c:pt>
                <c:pt idx="169">
                  <c:v>2.0715370697757072</c:v>
                </c:pt>
                <c:pt idx="170">
                  <c:v>2.0913525596974409</c:v>
                </c:pt>
                <c:pt idx="171">
                  <c:v>2.101331271867918</c:v>
                </c:pt>
                <c:pt idx="172">
                  <c:v>2.1315539936768388</c:v>
                </c:pt>
                <c:pt idx="173">
                  <c:v>2.1315539936768388</c:v>
                </c:pt>
                <c:pt idx="174">
                  <c:v>2.1622113984535569</c:v>
                </c:pt>
                <c:pt idx="175">
                  <c:v>2.1725282075907084</c:v>
                </c:pt>
                <c:pt idx="176">
                  <c:v>2.1933097380929976</c:v>
                </c:pt>
                <c:pt idx="177">
                  <c:v>2.1828942425116282</c:v>
                </c:pt>
                <c:pt idx="178">
                  <c:v>2.1933097380929976</c:v>
                </c:pt>
                <c:pt idx="179">
                  <c:v>2.2142900563525827</c:v>
                </c:pt>
                <c:pt idx="180">
                  <c:v>2.2248553544090104</c:v>
                </c:pt>
                <c:pt idx="181">
                  <c:v>2.2461374253387776</c:v>
                </c:pt>
                <c:pt idx="182">
                  <c:v>2.256854680427534</c:v>
                </c:pt>
                <c:pt idx="183">
                  <c:v>2.256854680427534</c:v>
                </c:pt>
                <c:pt idx="184">
                  <c:v>2.256854680427534</c:v>
                </c:pt>
                <c:pt idx="185">
                  <c:v>2.3333210328628766</c:v>
                </c:pt>
                <c:pt idx="186">
                  <c:v>2.3333210328628766</c:v>
                </c:pt>
                <c:pt idx="187">
                  <c:v>2.3333210328628766</c:v>
                </c:pt>
                <c:pt idx="188">
                  <c:v>2.3333210328628766</c:v>
                </c:pt>
                <c:pt idx="189">
                  <c:v>2.3333210328628766</c:v>
                </c:pt>
                <c:pt idx="190">
                  <c:v>2.3668803832667051</c:v>
                </c:pt>
                <c:pt idx="191">
                  <c:v>2.3895210084647078</c:v>
                </c:pt>
                <c:pt idx="192">
                  <c:v>2.4009224062147991</c:v>
                </c:pt>
                <c:pt idx="193">
                  <c:v>2.4354540438196222</c:v>
                </c:pt>
                <c:pt idx="194">
                  <c:v>2.4704823380396737</c:v>
                </c:pt>
                <c:pt idx="195">
                  <c:v>2.4704823380396737</c:v>
                </c:pt>
                <c:pt idx="196">
                  <c:v>2.4941139778425554</c:v>
                </c:pt>
                <c:pt idx="197">
                  <c:v>2.4470746071698875</c:v>
                </c:pt>
                <c:pt idx="198">
                  <c:v>2.5179716684012443</c:v>
                </c:pt>
                <c:pt idx="199">
                  <c:v>2.5663738717121451</c:v>
                </c:pt>
                <c:pt idx="200">
                  <c:v>2.5909227713346907</c:v>
                </c:pt>
                <c:pt idx="201">
                  <c:v>2.6157064958513465</c:v>
                </c:pt>
                <c:pt idx="202">
                  <c:v>2.6407272915025417</c:v>
                </c:pt>
                <c:pt idx="203">
                  <c:v>2.66598742601535</c:v>
                </c:pt>
                <c:pt idx="204">
                  <c:v>2.704331402237115</c:v>
                </c:pt>
                <c:pt idx="205">
                  <c:v>2.704331402237115</c:v>
                </c:pt>
                <c:pt idx="206">
                  <c:v>2.7301999480758079</c:v>
                </c:pt>
                <c:pt idx="207">
                  <c:v>2.7694674708210965</c:v>
                </c:pt>
                <c:pt idx="208">
                  <c:v>2.7694674708210965</c:v>
                </c:pt>
                <c:pt idx="209">
                  <c:v>2.7694674708210965</c:v>
                </c:pt>
                <c:pt idx="210">
                  <c:v>2.8092997647816196</c:v>
                </c:pt>
                <c:pt idx="211">
                  <c:v>2.8361723957320168</c:v>
                </c:pt>
                <c:pt idx="212">
                  <c:v>2.8633020794552286</c:v>
                </c:pt>
                <c:pt idx="213">
                  <c:v>2.8633020794552286</c:v>
                </c:pt>
                <c:pt idx="214">
                  <c:v>2.9183424641940703</c:v>
                </c:pt>
                <c:pt idx="215">
                  <c:v>2.9183424641940703</c:v>
                </c:pt>
                <c:pt idx="216">
                  <c:v>2.9322670888729885</c:v>
                </c:pt>
                <c:pt idx="217">
                  <c:v>2.974440873503188</c:v>
                </c:pt>
                <c:pt idx="218">
                  <c:v>2.9886331670058706</c:v>
                </c:pt>
                <c:pt idx="219">
                  <c:v>3.0460827531098218</c:v>
                </c:pt>
                <c:pt idx="220">
                  <c:v>3.0460827531098218</c:v>
                </c:pt>
                <c:pt idx="221">
                  <c:v>3.0460827531098218</c:v>
                </c:pt>
                <c:pt idx="222">
                  <c:v>3.0460827531098218</c:v>
                </c:pt>
                <c:pt idx="223">
                  <c:v>3.1046366751289072</c:v>
                </c:pt>
                <c:pt idx="224">
                  <c:v>3.1194501869069038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B-4837-994E-706A784D2C4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RvsT!$BJ$4:$BJ$127</c:f>
              <c:numCache>
                <c:formatCode>General</c:formatCode>
                <c:ptCount val="124"/>
                <c:pt idx="0">
                  <c:v>300.900396743736</c:v>
                </c:pt>
                <c:pt idx="1">
                  <c:v>289.691315128442</c:v>
                </c:pt>
                <c:pt idx="2">
                  <c:v>272.36019549009802</c:v>
                </c:pt>
                <c:pt idx="3">
                  <c:v>258.50778135408098</c:v>
                </c:pt>
                <c:pt idx="4">
                  <c:v>244.198331814786</c:v>
                </c:pt>
                <c:pt idx="5">
                  <c:v>228.501967600651</c:v>
                </c:pt>
                <c:pt idx="6">
                  <c:v>213.81452039144199</c:v>
                </c:pt>
                <c:pt idx="7">
                  <c:v>200.07113991298601</c:v>
                </c:pt>
                <c:pt idx="8">
                  <c:v>185.442757498248</c:v>
                </c:pt>
                <c:pt idx="9">
                  <c:v>174.34842898915301</c:v>
                </c:pt>
                <c:pt idx="10">
                  <c:v>163.917831578152</c:v>
                </c:pt>
                <c:pt idx="11">
                  <c:v>151.93283101303899</c:v>
                </c:pt>
                <c:pt idx="12">
                  <c:v>143.52273531937999</c:v>
                </c:pt>
                <c:pt idx="13">
                  <c:v>133.028940670265</c:v>
                </c:pt>
                <c:pt idx="14">
                  <c:v>125.070329673949</c:v>
                </c:pt>
                <c:pt idx="15">
                  <c:v>118.709172531826</c:v>
                </c:pt>
                <c:pt idx="16">
                  <c:v>110.029643976693</c:v>
                </c:pt>
                <c:pt idx="17">
                  <c:v>102.95725591664799</c:v>
                </c:pt>
                <c:pt idx="18">
                  <c:v>96.3394605560256</c:v>
                </c:pt>
                <c:pt idx="19">
                  <c:v>88.033285052653497</c:v>
                </c:pt>
                <c:pt idx="20">
                  <c:v>82.766591452510397</c:v>
                </c:pt>
                <c:pt idx="21">
                  <c:v>78.557029554658101</c:v>
                </c:pt>
                <c:pt idx="22">
                  <c:v>74.208580759495703</c:v>
                </c:pt>
                <c:pt idx="23">
                  <c:v>69.768966162267304</c:v>
                </c:pt>
                <c:pt idx="24">
                  <c:v>65.284418313032802</c:v>
                </c:pt>
                <c:pt idx="25">
                  <c:v>59.939504384688398</c:v>
                </c:pt>
                <c:pt idx="26">
                  <c:v>56.6216107843088</c:v>
                </c:pt>
                <c:pt idx="27">
                  <c:v>53.997432949671797</c:v>
                </c:pt>
                <c:pt idx="28">
                  <c:v>50.526633751709802</c:v>
                </c:pt>
                <c:pt idx="29">
                  <c:v>47.729780549561198</c:v>
                </c:pt>
                <c:pt idx="30">
                  <c:v>44.8742909514364</c:v>
                </c:pt>
                <c:pt idx="31">
                  <c:v>41.593266567243099</c:v>
                </c:pt>
                <c:pt idx="32">
                  <c:v>38.735518178844998</c:v>
                </c:pt>
                <c:pt idx="33">
                  <c:v>35.903335720147297</c:v>
                </c:pt>
                <c:pt idx="34">
                  <c:v>34.077269049997497</c:v>
                </c:pt>
                <c:pt idx="35">
                  <c:v>32.190954605791298</c:v>
                </c:pt>
                <c:pt idx="36">
                  <c:v>29.979210825172999</c:v>
                </c:pt>
                <c:pt idx="37">
                  <c:v>27.787253701154899</c:v>
                </c:pt>
                <c:pt idx="38">
                  <c:v>25.755563505494202</c:v>
                </c:pt>
                <c:pt idx="39">
                  <c:v>24.2147069828582</c:v>
                </c:pt>
                <c:pt idx="40">
                  <c:v>23.423556886845901</c:v>
                </c:pt>
                <c:pt idx="41">
                  <c:v>22.232219768177401</c:v>
                </c:pt>
                <c:pt idx="42">
                  <c:v>21.101474819057401</c:v>
                </c:pt>
                <c:pt idx="43">
                  <c:v>19.6516558787851</c:v>
                </c:pt>
                <c:pt idx="44">
                  <c:v>18.1285750959618</c:v>
                </c:pt>
                <c:pt idx="45">
                  <c:v>17.044012019842299</c:v>
                </c:pt>
                <c:pt idx="46">
                  <c:v>16.177142642644</c:v>
                </c:pt>
                <c:pt idx="47">
                  <c:v>15.574514948742699</c:v>
                </c:pt>
                <c:pt idx="48">
                  <c:v>14.8527004975537</c:v>
                </c:pt>
                <c:pt idx="49">
                  <c:v>14.2317146694229</c:v>
                </c:pt>
                <c:pt idx="50">
                  <c:v>13.572133465937799</c:v>
                </c:pt>
                <c:pt idx="51">
                  <c:v>13.066547054754301</c:v>
                </c:pt>
                <c:pt idx="52">
                  <c:v>12.4019740953888</c:v>
                </c:pt>
                <c:pt idx="53">
                  <c:v>11.8271938113938</c:v>
                </c:pt>
                <c:pt idx="54">
                  <c:v>11.279052219943001</c:v>
                </c:pt>
                <c:pt idx="55">
                  <c:v>10.8074792837968</c:v>
                </c:pt>
                <c:pt idx="56">
                  <c:v>10.257803959411801</c:v>
                </c:pt>
                <c:pt idx="57">
                  <c:v>10.0649298508018</c:v>
                </c:pt>
                <c:pt idx="58">
                  <c:v>9.6899930897648403</c:v>
                </c:pt>
                <c:pt idx="59">
                  <c:v>9.3290233982316106</c:v>
                </c:pt>
                <c:pt idx="60">
                  <c:v>8.6059873167941099</c:v>
                </c:pt>
                <c:pt idx="61">
                  <c:v>8.4041955402055901</c:v>
                </c:pt>
                <c:pt idx="62">
                  <c:v>8.0528192818499296</c:v>
                </c:pt>
                <c:pt idx="63">
                  <c:v>7.7528372627489501</c:v>
                </c:pt>
                <c:pt idx="64">
                  <c:v>7.5352072922053797</c:v>
                </c:pt>
                <c:pt idx="65">
                  <c:v>7.18598155168511</c:v>
                </c:pt>
                <c:pt idx="66">
                  <c:v>6.9511990288743801</c:v>
                </c:pt>
                <c:pt idx="67">
                  <c:v>6.6605720088143903</c:v>
                </c:pt>
                <c:pt idx="68">
                  <c:v>6.5043960107238998</c:v>
                </c:pt>
                <c:pt idx="69">
                  <c:v>6.2324496570035599</c:v>
                </c:pt>
                <c:pt idx="70">
                  <c:v>6.0574985017942096</c:v>
                </c:pt>
                <c:pt idx="71">
                  <c:v>5.6145990181430898</c:v>
                </c:pt>
                <c:pt idx="72">
                  <c:v>5.5090295624280303</c:v>
                </c:pt>
                <c:pt idx="73">
                  <c:v>5.2786991059844501</c:v>
                </c:pt>
                <c:pt idx="74">
                  <c:v>5.0820580588410298</c:v>
                </c:pt>
                <c:pt idx="75">
                  <c:v>4.8695791205632402</c:v>
                </c:pt>
                <c:pt idx="76">
                  <c:v>4.6659838468734796</c:v>
                </c:pt>
                <c:pt idx="77">
                  <c:v>4.5135354372743404</c:v>
                </c:pt>
                <c:pt idx="78">
                  <c:v>4.3043517089013896</c:v>
                </c:pt>
                <c:pt idx="79">
                  <c:v>4.1835242100296801</c:v>
                </c:pt>
                <c:pt idx="80">
                  <c:v>4.0276803998610999</c:v>
                </c:pt>
                <c:pt idx="81">
                  <c:v>3.8410140460800402</c:v>
                </c:pt>
                <c:pt idx="82">
                  <c:v>3.7155192947501101</c:v>
                </c:pt>
                <c:pt idx="83">
                  <c:v>3.5941247451956602</c:v>
                </c:pt>
                <c:pt idx="84">
                  <c:v>3.4602371264340399</c:v>
                </c:pt>
                <c:pt idx="85">
                  <c:v>3.3631047762533002</c:v>
                </c:pt>
                <c:pt idx="86">
                  <c:v>3.3631047762533002</c:v>
                </c:pt>
                <c:pt idx="87">
                  <c:v>3.2842472480381302</c:v>
                </c:pt>
                <c:pt idx="88">
                  <c:v>3.2072387581877799</c:v>
                </c:pt>
                <c:pt idx="89">
                  <c:v>3.1024509012349499</c:v>
                </c:pt>
                <c:pt idx="90">
                  <c:v>3.0585964863936099</c:v>
                </c:pt>
                <c:pt idx="91">
                  <c:v>2.94465825960744</c:v>
                </c:pt>
                <c:pt idx="92">
                  <c:v>2.8756123965612899</c:v>
                </c:pt>
                <c:pt idx="93">
                  <c:v>2.8215432039846702</c:v>
                </c:pt>
                <c:pt idx="94">
                  <c:v>2.7423396371407001</c:v>
                </c:pt>
                <c:pt idx="95">
                  <c:v>2.6780377079119799</c:v>
                </c:pt>
                <c:pt idx="96">
                  <c:v>2.5418309933621099</c:v>
                </c:pt>
                <c:pt idx="97">
                  <c:v>2.3784494307359898</c:v>
                </c:pt>
                <c:pt idx="98">
                  <c:v>2.2255695635710899</c:v>
                </c:pt>
                <c:pt idx="99">
                  <c:v>2.1733847741189898</c:v>
                </c:pt>
                <c:pt idx="100">
                  <c:v>2.13251933619159</c:v>
                </c:pt>
                <c:pt idx="101">
                  <c:v>2.09242227763121</c:v>
                </c:pt>
                <c:pt idx="102">
                  <c:v>2.0628450312838198</c:v>
                </c:pt>
                <c:pt idx="103">
                  <c:v>2.04335950386292</c:v>
                </c:pt>
                <c:pt idx="104">
                  <c:v>1.9860003392674901</c:v>
                </c:pt>
                <c:pt idx="105">
                  <c:v>1.9302513043417799</c:v>
                </c:pt>
                <c:pt idx="106">
                  <c:v>1.8939574249508999</c:v>
                </c:pt>
                <c:pt idx="107">
                  <c:v>1.8407921275721799</c:v>
                </c:pt>
                <c:pt idx="108">
                  <c:v>1.7806492206397</c:v>
                </c:pt>
                <c:pt idx="109">
                  <c:v>1.7224713206192499</c:v>
                </c:pt>
                <c:pt idx="110">
                  <c:v>1.6820830961058</c:v>
                </c:pt>
                <c:pt idx="111">
                  <c:v>1.6661942262215701</c:v>
                </c:pt>
                <c:pt idx="112">
                  <c:v>1.6661942262215701</c:v>
                </c:pt>
                <c:pt idx="113">
                  <c:v>1.59653127155771</c:v>
                </c:pt>
                <c:pt idx="114">
                  <c:v>1.5814505197811699</c:v>
                </c:pt>
                <c:pt idx="115">
                  <c:v>1.5153306676481599</c:v>
                </c:pt>
                <c:pt idx="116">
                  <c:v>1.5081568189644701</c:v>
                </c:pt>
                <c:pt idx="117">
                  <c:v>1.45888187159591</c:v>
                </c:pt>
                <c:pt idx="118">
                  <c:v>1.41121684993776</c:v>
                </c:pt>
                <c:pt idx="119">
                  <c:v>1.39788656859851</c:v>
                </c:pt>
                <c:pt idx="120">
                  <c:v>1.36510915401921</c:v>
                </c:pt>
                <c:pt idx="121">
                  <c:v>1.3458127767195001</c:v>
                </c:pt>
                <c:pt idx="122">
                  <c:v>1.32050790243132</c:v>
                </c:pt>
                <c:pt idx="123">
                  <c:v>1.2956788273581701</c:v>
                </c:pt>
              </c:numCache>
            </c:numRef>
          </c:xVal>
          <c:yVal>
            <c:numRef>
              <c:f>RvsT!$BL$4:$BL$127</c:f>
              <c:numCache>
                <c:formatCode>General</c:formatCode>
                <c:ptCount val="124"/>
                <c:pt idx="0">
                  <c:v>0.99999999681944451</c:v>
                </c:pt>
                <c:pt idx="1">
                  <c:v>1.0138033930900261</c:v>
                </c:pt>
                <c:pt idx="2">
                  <c:v>1.0348665587424271</c:v>
                </c:pt>
                <c:pt idx="3">
                  <c:v>1.0563673407515357</c:v>
                </c:pt>
                <c:pt idx="4">
                  <c:v>1.0636330822342746</c:v>
                </c:pt>
                <c:pt idx="5">
                  <c:v>1.0857315284982898</c:v>
                </c:pt>
                <c:pt idx="6">
                  <c:v>1.1235872541888112</c:v>
                </c:pt>
                <c:pt idx="7">
                  <c:v>1.1469313311777154</c:v>
                </c:pt>
                <c:pt idx="8">
                  <c:v>1.1950845781330159</c:v>
                </c:pt>
                <c:pt idx="9">
                  <c:v>1.2199141107716078</c:v>
                </c:pt>
                <c:pt idx="10">
                  <c:v>1.2538244614628093</c:v>
                </c:pt>
                <c:pt idx="11">
                  <c:v>1.3064655545171162</c:v>
                </c:pt>
                <c:pt idx="12">
                  <c:v>1.3427818039386623</c:v>
                </c:pt>
                <c:pt idx="13">
                  <c:v>1.3991577194398683</c:v>
                </c:pt>
                <c:pt idx="14">
                  <c:v>1.4184708479477621</c:v>
                </c:pt>
                <c:pt idx="15">
                  <c:v>1.4780245240776135</c:v>
                </c:pt>
                <c:pt idx="16">
                  <c:v>1.5191096541692315</c:v>
                </c:pt>
                <c:pt idx="17">
                  <c:v>1.5720757851625882</c:v>
                </c:pt>
                <c:pt idx="18">
                  <c:v>1.626888663047914</c:v>
                </c:pt>
                <c:pt idx="19">
                  <c:v>1.7068522505684667</c:v>
                </c:pt>
                <c:pt idx="20">
                  <c:v>1.7663643204455755</c:v>
                </c:pt>
                <c:pt idx="21">
                  <c:v>1.8154645259648319</c:v>
                </c:pt>
                <c:pt idx="22">
                  <c:v>1.8659295859221698</c:v>
                </c:pt>
                <c:pt idx="23">
                  <c:v>1.9442695577318769</c:v>
                </c:pt>
                <c:pt idx="24">
                  <c:v>2.0538628689378027</c:v>
                </c:pt>
                <c:pt idx="25">
                  <c:v>2.1548127661285719</c:v>
                </c:pt>
                <c:pt idx="26">
                  <c:v>2.2299436791101885</c:v>
                </c:pt>
                <c:pt idx="27">
                  <c:v>2.3076941487299303</c:v>
                </c:pt>
                <c:pt idx="28">
                  <c:v>2.4211201668859101</c:v>
                </c:pt>
                <c:pt idx="29">
                  <c:v>2.5401212139519309</c:v>
                </c:pt>
                <c:pt idx="30">
                  <c:v>2.6286865078317492</c:v>
                </c:pt>
                <c:pt idx="31">
                  <c:v>2.7959579414454421</c:v>
                </c:pt>
                <c:pt idx="32">
                  <c:v>2.9535586648518057</c:v>
                </c:pt>
                <c:pt idx="33">
                  <c:v>3.0775621129392854</c:v>
                </c:pt>
                <c:pt idx="34">
                  <c:v>3.1848661232631943</c:v>
                </c:pt>
                <c:pt idx="35">
                  <c:v>3.3643885679818126</c:v>
                </c:pt>
                <c:pt idx="36">
                  <c:v>3.6030879037043189</c:v>
                </c:pt>
                <c:pt idx="37">
                  <c:v>3.8587226711473508</c:v>
                </c:pt>
                <c:pt idx="38">
                  <c:v>4.1042651012535698</c:v>
                </c:pt>
                <c:pt idx="39">
                  <c:v>4.3059948010701294</c:v>
                </c:pt>
                <c:pt idx="40">
                  <c:v>4.4561300359191902</c:v>
                </c:pt>
                <c:pt idx="41">
                  <c:v>4.6751543319411537</c:v>
                </c:pt>
                <c:pt idx="42">
                  <c:v>4.9386803649434281</c:v>
                </c:pt>
                <c:pt idx="43">
                  <c:v>5.3254523010202739</c:v>
                </c:pt>
                <c:pt idx="44">
                  <c:v>5.703286757709682</c:v>
                </c:pt>
                <c:pt idx="45">
                  <c:v>6.0662044922625658</c:v>
                </c:pt>
                <c:pt idx="46">
                  <c:v>6.3643659367745826</c:v>
                </c:pt>
                <c:pt idx="47">
                  <c:v>6.6771823846098153</c:v>
                </c:pt>
                <c:pt idx="48">
                  <c:v>6.9575200156357111</c:v>
                </c:pt>
                <c:pt idx="49">
                  <c:v>7.4002484824741828</c:v>
                </c:pt>
                <c:pt idx="50">
                  <c:v>7.7109436243893574</c:v>
                </c:pt>
                <c:pt idx="51">
                  <c:v>8.2016147602296741</c:v>
                </c:pt>
                <c:pt idx="52">
                  <c:v>8.6639180016884279</c:v>
                </c:pt>
                <c:pt idx="53">
                  <c:v>9.0276675756995033</c:v>
                </c:pt>
                <c:pt idx="54">
                  <c:v>9.6681697679702712</c:v>
                </c:pt>
                <c:pt idx="55">
                  <c:v>10.213138820208574</c:v>
                </c:pt>
                <c:pt idx="56">
                  <c:v>10.788826330544461</c:v>
                </c:pt>
                <c:pt idx="57">
                  <c:v>11.319110472367807</c:v>
                </c:pt>
                <c:pt idx="58">
                  <c:v>11.713768939820838</c:v>
                </c:pt>
                <c:pt idx="59">
                  <c:v>12.544846803820183</c:v>
                </c:pt>
                <c:pt idx="60">
                  <c:v>13.714017012493819</c:v>
                </c:pt>
                <c:pt idx="61">
                  <c:v>14.388077889888136</c:v>
                </c:pt>
                <c:pt idx="62">
                  <c:v>14.992152997970221</c:v>
                </c:pt>
                <c:pt idx="63">
                  <c:v>15.729035837960518</c:v>
                </c:pt>
                <c:pt idx="64">
                  <c:v>16.615639813578905</c:v>
                </c:pt>
                <c:pt idx="65">
                  <c:v>17.552219300581466</c:v>
                </c:pt>
                <c:pt idx="66">
                  <c:v>18.414932561851792</c:v>
                </c:pt>
                <c:pt idx="67">
                  <c:v>19.857094960177758</c:v>
                </c:pt>
                <c:pt idx="68">
                  <c:v>20.690783579051345</c:v>
                </c:pt>
                <c:pt idx="69">
                  <c:v>22.007401982024479</c:v>
                </c:pt>
                <c:pt idx="70">
                  <c:v>23.089092975674074</c:v>
                </c:pt>
                <c:pt idx="71">
                  <c:v>25.765395128827912</c:v>
                </c:pt>
                <c:pt idx="72">
                  <c:v>27.21772202221986</c:v>
                </c:pt>
                <c:pt idx="73">
                  <c:v>28.751912725373941</c:v>
                </c:pt>
                <c:pt idx="74">
                  <c:v>30.581485649486517</c:v>
                </c:pt>
                <c:pt idx="75">
                  <c:v>32.976469640902103</c:v>
                </c:pt>
                <c:pt idx="76">
                  <c:v>35.55901640754977</c:v>
                </c:pt>
                <c:pt idx="77">
                  <c:v>37.821746343075517</c:v>
                </c:pt>
                <c:pt idx="78">
                  <c:v>41.346704419954534</c:v>
                </c:pt>
                <c:pt idx="79">
                  <c:v>44.584764739147921</c:v>
                </c:pt>
                <c:pt idx="80">
                  <c:v>47.421830891017684</c:v>
                </c:pt>
                <c:pt idx="81">
                  <c:v>51.841509567496416</c:v>
                </c:pt>
                <c:pt idx="82">
                  <c:v>56.285961601397204</c:v>
                </c:pt>
                <c:pt idx="83">
                  <c:v>59.458651767622449</c:v>
                </c:pt>
                <c:pt idx="84">
                  <c:v>64.115146248197291</c:v>
                </c:pt>
                <c:pt idx="85">
                  <c:v>67.266484889161987</c:v>
                </c:pt>
                <c:pt idx="86">
                  <c:v>67.266484889161987</c:v>
                </c:pt>
                <c:pt idx="87">
                  <c:v>71.54685888128347</c:v>
                </c:pt>
                <c:pt idx="88">
                  <c:v>76.623022749667641</c:v>
                </c:pt>
                <c:pt idx="89">
                  <c:v>80.942059039851458</c:v>
                </c:pt>
                <c:pt idx="90">
                  <c:v>85.504547934833553</c:v>
                </c:pt>
                <c:pt idx="91">
                  <c:v>90.324212211363289</c:v>
                </c:pt>
                <c:pt idx="92">
                  <c:v>95.415548162669538</c:v>
                </c:pt>
                <c:pt idx="93">
                  <c:v>102.18516692216105</c:v>
                </c:pt>
                <c:pt idx="94">
                  <c:v>107.94507338914013</c:v>
                </c:pt>
                <c:pt idx="95">
                  <c:v>114.02965048599279</c:v>
                </c:pt>
                <c:pt idx="96">
                  <c:v>133.50140119099336</c:v>
                </c:pt>
                <c:pt idx="97">
                  <c:v>159.54546622994931</c:v>
                </c:pt>
                <c:pt idx="98">
                  <c:v>185.51354621701421</c:v>
                </c:pt>
                <c:pt idx="99">
                  <c:v>198.67550993040581</c:v>
                </c:pt>
                <c:pt idx="100">
                  <c:v>209.87432076515532</c:v>
                </c:pt>
                <c:pt idx="101">
                  <c:v>218.68577243855609</c:v>
                </c:pt>
                <c:pt idx="102">
                  <c:v>231.01250862586062</c:v>
                </c:pt>
                <c:pt idx="103">
                  <c:v>240.71143486079433</c:v>
                </c:pt>
                <c:pt idx="104">
                  <c:v>256.02864620433456</c:v>
                </c:pt>
                <c:pt idx="105">
                  <c:v>277.97837426690506</c:v>
                </c:pt>
                <c:pt idx="106">
                  <c:v>297.70060668506443</c:v>
                </c:pt>
                <c:pt idx="107">
                  <c:v>321.01498046721025</c:v>
                </c:pt>
                <c:pt idx="108">
                  <c:v>355.77740508173417</c:v>
                </c:pt>
                <c:pt idx="109">
                  <c:v>375.83163250102689</c:v>
                </c:pt>
                <c:pt idx="110">
                  <c:v>399.74695894962406</c:v>
                </c:pt>
                <c:pt idx="111">
                  <c:v>431.05307593408452</c:v>
                </c:pt>
                <c:pt idx="112">
                  <c:v>431.05307593408452</c:v>
                </c:pt>
                <c:pt idx="113">
                  <c:v>484.32574353884399</c:v>
                </c:pt>
                <c:pt idx="114">
                  <c:v>497.78870430563779</c:v>
                </c:pt>
                <c:pt idx="115">
                  <c:v>559.30904521589105</c:v>
                </c:pt>
                <c:pt idx="116">
                  <c:v>619.87612059736409</c:v>
                </c:pt>
                <c:pt idx="117">
                  <c:v>654.81689119349471</c:v>
                </c:pt>
                <c:pt idx="118">
                  <c:v>720.76894483182559</c:v>
                </c:pt>
                <c:pt idx="119">
                  <c:v>761.39677596994875</c:v>
                </c:pt>
                <c:pt idx="120">
                  <c:v>826.67248799679965</c:v>
                </c:pt>
                <c:pt idx="121">
                  <c:v>879.27620920289928</c:v>
                </c:pt>
                <c:pt idx="122">
                  <c:v>948.1365801217637</c:v>
                </c:pt>
                <c:pt idx="123">
                  <c:v>1008.4694363014695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1B-4837-994E-706A784D2C44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RvsT!$BQ$4:$BQ$65</c:f>
              <c:numCache>
                <c:formatCode>General</c:formatCode>
                <c:ptCount val="62"/>
                <c:pt idx="0">
                  <c:v>2.9926425986626901</c:v>
                </c:pt>
                <c:pt idx="1">
                  <c:v>3.4795938439512599</c:v>
                </c:pt>
                <c:pt idx="2">
                  <c:v>4.0002923027650104</c:v>
                </c:pt>
                <c:pt idx="3">
                  <c:v>4.4623143303181401</c:v>
                </c:pt>
                <c:pt idx="4">
                  <c:v>4.9964947380385798</c:v>
                </c:pt>
                <c:pt idx="5">
                  <c:v>5.4901789083028101</c:v>
                </c:pt>
                <c:pt idx="6">
                  <c:v>5.9648157371236099</c:v>
                </c:pt>
                <c:pt idx="7">
                  <c:v>6.4561070778490901</c:v>
                </c:pt>
                <c:pt idx="8">
                  <c:v>6.9615760987892497</c:v>
                </c:pt>
                <c:pt idx="9">
                  <c:v>7.4222212728194004</c:v>
                </c:pt>
                <c:pt idx="10">
                  <c:v>7.9732228938029204</c:v>
                </c:pt>
                <c:pt idx="11">
                  <c:v>8.4369707348286394</c:v>
                </c:pt>
                <c:pt idx="12">
                  <c:v>8.9276916158559292</c:v>
                </c:pt>
                <c:pt idx="13">
                  <c:v>9.4469543741333304</c:v>
                </c:pt>
                <c:pt idx="14">
                  <c:v>9.9964190954416701</c:v>
                </c:pt>
                <c:pt idx="15">
                  <c:v>10.458913362989</c:v>
                </c:pt>
                <c:pt idx="16">
                  <c:v>10.9841263032919</c:v>
                </c:pt>
                <c:pt idx="17">
                  <c:v>11.4923178267551</c:v>
                </c:pt>
                <c:pt idx="18">
                  <c:v>11.9787884649554</c:v>
                </c:pt>
                <c:pt idx="19">
                  <c:v>12.4388812214984</c:v>
                </c:pt>
                <c:pt idx="20">
                  <c:v>12.8680548474843</c:v>
                </c:pt>
                <c:pt idx="21">
                  <c:v>13.312036075372699</c:v>
                </c:pt>
                <c:pt idx="22">
                  <c:v>13.8755355176049</c:v>
                </c:pt>
                <c:pt idx="23">
                  <c:v>14.354277438565999</c:v>
                </c:pt>
                <c:pt idx="24">
                  <c:v>14.354277438565999</c:v>
                </c:pt>
                <c:pt idx="25">
                  <c:v>14.7936750857956</c:v>
                </c:pt>
                <c:pt idx="26">
                  <c:v>15.246523099525101</c:v>
                </c:pt>
                <c:pt idx="27">
                  <c:v>15.772567643707401</c:v>
                </c:pt>
                <c:pt idx="28">
                  <c:v>16.133309066094402</c:v>
                </c:pt>
                <c:pt idx="29">
                  <c:v>16.627164509254801</c:v>
                </c:pt>
                <c:pt idx="30">
                  <c:v>17.0716733069608</c:v>
                </c:pt>
                <c:pt idx="31">
                  <c:v>17.528065554254901</c:v>
                </c:pt>
                <c:pt idx="32">
                  <c:v>17.928957751554002</c:v>
                </c:pt>
                <c:pt idx="33">
                  <c:v>18.3390189329238</c:v>
                </c:pt>
                <c:pt idx="34">
                  <c:v>18.758458806284199</c:v>
                </c:pt>
                <c:pt idx="35">
                  <c:v>19.043401500311798</c:v>
                </c:pt>
                <c:pt idx="36">
                  <c:v>19.924463403019999</c:v>
                </c:pt>
                <c:pt idx="37">
                  <c:v>30.0470934103706</c:v>
                </c:pt>
                <c:pt idx="38">
                  <c:v>39.862603058912697</c:v>
                </c:pt>
                <c:pt idx="39">
                  <c:v>49.977693050804</c:v>
                </c:pt>
                <c:pt idx="40">
                  <c:v>59.8886668622212</c:v>
                </c:pt>
                <c:pt idx="41">
                  <c:v>69.896461213643505</c:v>
                </c:pt>
                <c:pt idx="42">
                  <c:v>79.752568011020202</c:v>
                </c:pt>
                <c:pt idx="43">
                  <c:v>89.299690007206493</c:v>
                </c:pt>
                <c:pt idx="44">
                  <c:v>99.989691043946095</c:v>
                </c:pt>
                <c:pt idx="45">
                  <c:v>109.86928268690301</c:v>
                </c:pt>
                <c:pt idx="46">
                  <c:v>120.270885708311</c:v>
                </c:pt>
                <c:pt idx="47">
                  <c:v>129.68727334152899</c:v>
                </c:pt>
                <c:pt idx="48">
                  <c:v>139.84089971325599</c:v>
                </c:pt>
                <c:pt idx="49">
                  <c:v>149.09412551598001</c:v>
                </c:pt>
                <c:pt idx="50">
                  <c:v>158.95963419111001</c:v>
                </c:pt>
                <c:pt idx="51">
                  <c:v>168.840385380551</c:v>
                </c:pt>
                <c:pt idx="52">
                  <c:v>179.33531289572699</c:v>
                </c:pt>
                <c:pt idx="53">
                  <c:v>189.05214529389301</c:v>
                </c:pt>
                <c:pt idx="54">
                  <c:v>200.048015519654</c:v>
                </c:pt>
                <c:pt idx="55">
                  <c:v>208.516062370393</c:v>
                </c:pt>
                <c:pt idx="56">
                  <c:v>224.84144369163499</c:v>
                </c:pt>
                <c:pt idx="57">
                  <c:v>237.02391121148</c:v>
                </c:pt>
                <c:pt idx="58">
                  <c:v>244.279431342621</c:v>
                </c:pt>
                <c:pt idx="59">
                  <c:v>251.757049624552</c:v>
                </c:pt>
                <c:pt idx="60">
                  <c:v>259.51789871723798</c:v>
                </c:pt>
                <c:pt idx="61">
                  <c:v>269.20372359387198</c:v>
                </c:pt>
              </c:numCache>
            </c:numRef>
          </c:xVal>
          <c:yVal>
            <c:numRef>
              <c:f>RvsT!$BS$4:$BS$65</c:f>
              <c:numCache>
                <c:formatCode>General</c:formatCode>
                <c:ptCount val="62"/>
                <c:pt idx="0">
                  <c:v>1.6839629011490556</c:v>
                </c:pt>
                <c:pt idx="1">
                  <c:v>1.6375649521550832</c:v>
                </c:pt>
                <c:pt idx="2">
                  <c:v>1.6683526592203506</c:v>
                </c:pt>
                <c:pt idx="3">
                  <c:v>1.65288712336142</c:v>
                </c:pt>
                <c:pt idx="4">
                  <c:v>1.6223848166190427</c:v>
                </c:pt>
                <c:pt idx="5">
                  <c:v>1.6375649521550832</c:v>
                </c:pt>
                <c:pt idx="6">
                  <c:v>1.5924453981123201</c:v>
                </c:pt>
                <c:pt idx="7">
                  <c:v>1.6223848166190427</c:v>
                </c:pt>
                <c:pt idx="8">
                  <c:v>1.6073454000905631</c:v>
                </c:pt>
                <c:pt idx="9">
                  <c:v>1.5776835183192339</c:v>
                </c:pt>
                <c:pt idx="10">
                  <c:v>1.5630584803263536</c:v>
                </c:pt>
                <c:pt idx="11">
                  <c:v>1.5630584803263536</c:v>
                </c:pt>
                <c:pt idx="12">
                  <c:v>1.5485690156178671</c:v>
                </c:pt>
                <c:pt idx="13">
                  <c:v>1.5485690156178671</c:v>
                </c:pt>
                <c:pt idx="14">
                  <c:v>1.5485690156178671</c:v>
                </c:pt>
                <c:pt idx="15">
                  <c:v>1.5342138674369898</c:v>
                </c:pt>
                <c:pt idx="16">
                  <c:v>1.5199917906770222</c:v>
                </c:pt>
                <c:pt idx="17">
                  <c:v>1.5342138674369898</c:v>
                </c:pt>
                <c:pt idx="18">
                  <c:v>1.5199917906770222</c:v>
                </c:pt>
                <c:pt idx="19">
                  <c:v>1.5199917906770222</c:v>
                </c:pt>
                <c:pt idx="20">
                  <c:v>1.5059015517733516</c:v>
                </c:pt>
                <c:pt idx="21">
                  <c:v>1.4919419285964086</c:v>
                </c:pt>
                <c:pt idx="22">
                  <c:v>1.4919419285964086</c:v>
                </c:pt>
                <c:pt idx="23">
                  <c:v>1.5059015517733516</c:v>
                </c:pt>
                <c:pt idx="24">
                  <c:v>1.5059015517733516</c:v>
                </c:pt>
                <c:pt idx="25">
                  <c:v>1.4781117103457071</c:v>
                </c:pt>
                <c:pt idx="26">
                  <c:v>1.4781117103457071</c:v>
                </c:pt>
                <c:pt idx="27">
                  <c:v>1.4781117103457071</c:v>
                </c:pt>
                <c:pt idx="28">
                  <c:v>1.4781117103457071</c:v>
                </c:pt>
                <c:pt idx="29">
                  <c:v>1.4644096974448173</c:v>
                </c:pt>
                <c:pt idx="30">
                  <c:v>1.4644096974448173</c:v>
                </c:pt>
                <c:pt idx="31">
                  <c:v>1.4644096974448173</c:v>
                </c:pt>
                <c:pt idx="32">
                  <c:v>1.4508347014373393</c:v>
                </c:pt>
                <c:pt idx="33">
                  <c:v>1.4508347014373393</c:v>
                </c:pt>
                <c:pt idx="34">
                  <c:v>1.4508347014373393</c:v>
                </c:pt>
                <c:pt idx="35">
                  <c:v>1.4508347014373393</c:v>
                </c:pt>
                <c:pt idx="36">
                  <c:v>1.4508347014373393</c:v>
                </c:pt>
                <c:pt idx="37">
                  <c:v>1.3719869019377251</c:v>
                </c:pt>
                <c:pt idx="38">
                  <c:v>1.3341847756242073</c:v>
                </c:pt>
                <c:pt idx="39">
                  <c:v>1.2974242049930476</c:v>
                </c:pt>
                <c:pt idx="40">
                  <c:v>1.2616764922342127</c:v>
                </c:pt>
                <c:pt idx="41">
                  <c:v>1.2383935693825305</c:v>
                </c:pt>
                <c:pt idx="42">
                  <c:v>1.2155403085716743</c:v>
                </c:pt>
                <c:pt idx="43">
                  <c:v>1.193108780837113</c:v>
                </c:pt>
                <c:pt idx="44">
                  <c:v>1.1710912035351027</c:v>
                </c:pt>
                <c:pt idx="45">
                  <c:v>1.1494799376424323</c:v>
                </c:pt>
                <c:pt idx="46">
                  <c:v>1.1388243228978607</c:v>
                </c:pt>
                <c:pt idx="47">
                  <c:v>1.1282674851061336</c:v>
                </c:pt>
                <c:pt idx="48">
                  <c:v>1.1074464862419304</c:v>
                </c:pt>
                <c:pt idx="49">
                  <c:v>1.0971805192413875</c:v>
                </c:pt>
                <c:pt idx="50">
                  <c:v>1.0870097171808868</c:v>
                </c:pt>
                <c:pt idx="51">
                  <c:v>1.0769331978867394</c:v>
                </c:pt>
                <c:pt idx="52">
                  <c:v>1.057059519715551</c:v>
                </c:pt>
                <c:pt idx="53">
                  <c:v>1.0472606370771416</c:v>
                </c:pt>
                <c:pt idx="54">
                  <c:v>1.0472606370771416</c:v>
                </c:pt>
                <c:pt idx="55">
                  <c:v>1.0375525895328461</c:v>
                </c:pt>
                <c:pt idx="56">
                  <c:v>1.0184056393872634</c:v>
                </c:pt>
                <c:pt idx="57">
                  <c:v>1.0184056393872634</c:v>
                </c:pt>
                <c:pt idx="58">
                  <c:v>1.0184056393872634</c:v>
                </c:pt>
                <c:pt idx="59">
                  <c:v>1.0184056393872634</c:v>
                </c:pt>
                <c:pt idx="60">
                  <c:v>1.0097484358961202</c:v>
                </c:pt>
                <c:pt idx="61">
                  <c:v>1.0032389763376595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1B-4837-994E-706A784D2C44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RvsT!$CA$4:$CA$76</c:f>
              <c:numCache>
                <c:formatCode>General</c:formatCode>
                <c:ptCount val="73"/>
                <c:pt idx="0">
                  <c:v>4.4774051345422397</c:v>
                </c:pt>
                <c:pt idx="1">
                  <c:v>4.9882385468823296</c:v>
                </c:pt>
                <c:pt idx="2">
                  <c:v>5.5199543212815696</c:v>
                </c:pt>
                <c:pt idx="3">
                  <c:v>6.0264096662633699</c:v>
                </c:pt>
                <c:pt idx="4">
                  <c:v>6.5350552985869097</c:v>
                </c:pt>
                <c:pt idx="5">
                  <c:v>6.9915711247724603</c:v>
                </c:pt>
                <c:pt idx="6">
                  <c:v>7.4799775303082701</c:v>
                </c:pt>
                <c:pt idx="7">
                  <c:v>8.0025022781610495</c:v>
                </c:pt>
                <c:pt idx="8">
                  <c:v>8.5039122143492207</c:v>
                </c:pt>
                <c:pt idx="9">
                  <c:v>9.0367388143969407</c:v>
                </c:pt>
                <c:pt idx="10">
                  <c:v>9.5383255417548902</c:v>
                </c:pt>
                <c:pt idx="11">
                  <c:v>9.9999999999999893</c:v>
                </c:pt>
                <c:pt idx="12">
                  <c:v>10.484020445962001</c:v>
                </c:pt>
                <c:pt idx="13">
                  <c:v>11.0659389469887</c:v>
                </c:pt>
                <c:pt idx="14">
                  <c:v>11.6015530173997</c:v>
                </c:pt>
                <c:pt idx="15">
                  <c:v>12.081237915195301</c:v>
                </c:pt>
                <c:pt idx="16">
                  <c:v>12.5807561577878</c:v>
                </c:pt>
                <c:pt idx="17">
                  <c:v>13.100927786766199</c:v>
                </c:pt>
                <c:pt idx="18">
                  <c:v>13.642606749660001</c:v>
                </c:pt>
                <c:pt idx="19">
                  <c:v>14.111075557898401</c:v>
                </c:pt>
                <c:pt idx="20">
                  <c:v>14.4974067037263</c:v>
                </c:pt>
                <c:pt idx="21">
                  <c:v>15.096825336951399</c:v>
                </c:pt>
                <c:pt idx="22">
                  <c:v>15.615230060004899</c:v>
                </c:pt>
                <c:pt idx="23">
                  <c:v>16.151436105580601</c:v>
                </c:pt>
                <c:pt idx="24">
                  <c:v>16.593627970533198</c:v>
                </c:pt>
                <c:pt idx="25">
                  <c:v>17.0479261054269</c:v>
                </c:pt>
                <c:pt idx="26">
                  <c:v>17.752800071804</c:v>
                </c:pt>
                <c:pt idx="27">
                  <c:v>18.362407403096501</c:v>
                </c:pt>
                <c:pt idx="28">
                  <c:v>18.992947832089801</c:v>
                </c:pt>
                <c:pt idx="29">
                  <c:v>19.645140173268</c:v>
                </c:pt>
                <c:pt idx="30">
                  <c:v>20.319727924239999</c:v>
                </c:pt>
                <c:pt idx="31">
                  <c:v>30.264842378853299</c:v>
                </c:pt>
                <c:pt idx="32">
                  <c:v>40.188849331102503</c:v>
                </c:pt>
                <c:pt idx="33">
                  <c:v>50.220353502152101</c:v>
                </c:pt>
                <c:pt idx="34">
                  <c:v>60.264096662633499</c:v>
                </c:pt>
                <c:pt idx="35">
                  <c:v>70.389411035878197</c:v>
                </c:pt>
                <c:pt idx="36">
                  <c:v>80.025022781610303</c:v>
                </c:pt>
                <c:pt idx="37">
                  <c:v>90.367388143969393</c:v>
                </c:pt>
                <c:pt idx="38">
                  <c:v>100.677529813685</c:v>
                </c:pt>
                <c:pt idx="39">
                  <c:v>110.659389469887</c:v>
                </c:pt>
                <c:pt idx="40">
                  <c:v>120.812379151953</c:v>
                </c:pt>
                <c:pt idx="41">
                  <c:v>130.12762441639899</c:v>
                </c:pt>
                <c:pt idx="42">
                  <c:v>140.16112218895699</c:v>
                </c:pt>
                <c:pt idx="43">
                  <c:v>149.95228195298</c:v>
                </c:pt>
                <c:pt idx="44">
                  <c:v>159.347788697227</c:v>
                </c:pt>
                <c:pt idx="45">
                  <c:v>170.47926105426899</c:v>
                </c:pt>
                <c:pt idx="46">
                  <c:v>181.16091942003999</c:v>
                </c:pt>
                <c:pt idx="47">
                  <c:v>191.2163071615</c:v>
                </c:pt>
                <c:pt idx="48">
                  <c:v>201.82982202527</c:v>
                </c:pt>
                <c:pt idx="49">
                  <c:v>211.59879807178001</c:v>
                </c:pt>
                <c:pt idx="50">
                  <c:v>224.85686862906201</c:v>
                </c:pt>
                <c:pt idx="51">
                  <c:v>234.153938071852</c:v>
                </c:pt>
                <c:pt idx="52">
                  <c:v>247.150718205446</c:v>
                </c:pt>
                <c:pt idx="53">
                  <c:v>260.86888827265398</c:v>
                </c:pt>
                <c:pt idx="54">
                  <c:v>271.65493267735201</c:v>
                </c:pt>
                <c:pt idx="55">
                  <c:v>280.98319852116703</c:v>
                </c:pt>
                <c:pt idx="56">
                  <c:v>292.60090148410399</c:v>
                </c:pt>
                <c:pt idx="57">
                  <c:v>302.648423788532</c:v>
                </c:pt>
              </c:numCache>
            </c:numRef>
          </c:xVal>
          <c:yVal>
            <c:numRef>
              <c:f>RvsT!$CC$4:$CC$76</c:f>
              <c:numCache>
                <c:formatCode>General</c:formatCode>
                <c:ptCount val="73"/>
                <c:pt idx="0">
                  <c:v>59615.929391237856</c:v>
                </c:pt>
                <c:pt idx="1">
                  <c:v>25884.720403183012</c:v>
                </c:pt>
                <c:pt idx="2">
                  <c:v>13961.353908567913</c:v>
                </c:pt>
                <c:pt idx="3">
                  <c:v>8605.6287929833252</c:v>
                </c:pt>
                <c:pt idx="4">
                  <c:v>5961.592939123786</c:v>
                </c:pt>
                <c:pt idx="5">
                  <c:v>4129.9237077003327</c:v>
                </c:pt>
                <c:pt idx="6">
                  <c:v>2958.1111794364292</c:v>
                </c:pt>
                <c:pt idx="7">
                  <c:v>2265.022204062685</c:v>
                </c:pt>
                <c:pt idx="8">
                  <c:v>1705.6269831425261</c:v>
                </c:pt>
                <c:pt idx="9">
                  <c:v>1373.0335819057254</c:v>
                </c:pt>
                <c:pt idx="10">
                  <c:v>1087.0058567542765</c:v>
                </c:pt>
                <c:pt idx="11">
                  <c:v>889.76509030546902</c:v>
                </c:pt>
                <c:pt idx="12">
                  <c:v>728.31430576667219</c:v>
                </c:pt>
                <c:pt idx="13">
                  <c:v>626.7602560047369</c:v>
                </c:pt>
                <c:pt idx="14">
                  <c:v>521.66452518599624</c:v>
                </c:pt>
                <c:pt idx="15">
                  <c:v>456.47846073423477</c:v>
                </c:pt>
                <c:pt idx="16">
                  <c:v>392.82841850712583</c:v>
                </c:pt>
                <c:pt idx="17">
                  <c:v>343.74143372862426</c:v>
                </c:pt>
                <c:pt idx="18">
                  <c:v>300.78825180430971</c:v>
                </c:pt>
                <c:pt idx="19">
                  <c:v>267.63088602948619</c:v>
                </c:pt>
                <c:pt idx="20">
                  <c:v>242.13522349952297</c:v>
                </c:pt>
                <c:pt idx="21">
                  <c:v>219.06838679562767</c:v>
                </c:pt>
                <c:pt idx="22">
                  <c:v>194.91940296028488</c:v>
                </c:pt>
                <c:pt idx="23">
                  <c:v>176.35054720471356</c:v>
                </c:pt>
                <c:pt idx="24">
                  <c:v>162.23513986510048</c:v>
                </c:pt>
                <c:pt idx="25">
                  <c:v>146.7799267622068</c:v>
                </c:pt>
                <c:pt idx="26">
                  <c:v>132.79704334235473</c:v>
                </c:pt>
                <c:pt idx="27">
                  <c:v>120.1462291846027</c:v>
                </c:pt>
                <c:pt idx="28">
                  <c:v>108.70058567542765</c:v>
                </c:pt>
                <c:pt idx="29">
                  <c:v>98.345303105819013</c:v>
                </c:pt>
                <c:pt idx="30">
                  <c:v>90.473572423492797</c:v>
                </c:pt>
                <c:pt idx="31">
                  <c:v>34.374143372862427</c:v>
                </c:pt>
                <c:pt idx="32">
                  <c:v>18.85221217040867</c:v>
                </c:pt>
                <c:pt idx="33">
                  <c:v>12.631335639768391</c:v>
                </c:pt>
                <c:pt idx="34">
                  <c:v>9.1995824473837455</c:v>
                </c:pt>
                <c:pt idx="35">
                  <c:v>7.2831430576667211</c:v>
                </c:pt>
                <c:pt idx="36">
                  <c:v>6.0618989934975742</c:v>
                </c:pt>
                <c:pt idx="37">
                  <c:v>5.1303255848970126</c:v>
                </c:pt>
                <c:pt idx="38">
                  <c:v>4.4149677570768864</c:v>
                </c:pt>
                <c:pt idx="39">
                  <c:v>3.9282841850712589</c:v>
                </c:pt>
                <c:pt idx="40">
                  <c:v>3.4952501326754719</c:v>
                </c:pt>
                <c:pt idx="41">
                  <c:v>3.2154841769777041</c:v>
                </c:pt>
                <c:pt idx="42">
                  <c:v>2.9091634056238878</c:v>
                </c:pt>
                <c:pt idx="43">
                  <c:v>2.6763088602948621</c:v>
                </c:pt>
                <c:pt idx="44">
                  <c:v>2.4620924014946253</c:v>
                </c:pt>
                <c:pt idx="45">
                  <c:v>2.2650222040626971</c:v>
                </c:pt>
                <c:pt idx="46">
                  <c:v>2.1187853261287724</c:v>
                </c:pt>
                <c:pt idx="47">
                  <c:v>1.9169407765334525</c:v>
                </c:pt>
                <c:pt idx="48">
                  <c:v>1.7931771181279641</c:v>
                </c:pt>
                <c:pt idx="49">
                  <c:v>1.7056269831425259</c:v>
                </c:pt>
                <c:pt idx="50">
                  <c:v>1.5691056055902117</c:v>
                </c:pt>
                <c:pt idx="51">
                  <c:v>1.4677992676220679</c:v>
                </c:pt>
                <c:pt idx="52">
                  <c:v>1.3730335819057256</c:v>
                </c:pt>
                <c:pt idx="53">
                  <c:v>1.2843862635897403</c:v>
                </c:pt>
                <c:pt idx="54">
                  <c:v>1.2014622918460272</c:v>
                </c:pt>
                <c:pt idx="55">
                  <c:v>1.1428020598100315</c:v>
                </c:pt>
                <c:pt idx="56">
                  <c:v>1.0690192046030016</c:v>
                </c:pt>
                <c:pt idx="5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1B-4837-994E-706A784D2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901440"/>
        <c:axId val="234276352"/>
      </c:scatterChart>
      <c:valAx>
        <c:axId val="2339014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76352"/>
        <c:crosses val="autoZero"/>
        <c:crossBetween val="midCat"/>
      </c:valAx>
      <c:valAx>
        <c:axId val="234276352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0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RvsT!$CK$4:$CK$97</c:f>
              <c:numCache>
                <c:formatCode>General</c:formatCode>
                <c:ptCount val="94"/>
                <c:pt idx="0">
                  <c:v>299.54233409610902</c:v>
                </c:pt>
                <c:pt idx="1">
                  <c:v>296.33867276887798</c:v>
                </c:pt>
                <c:pt idx="2">
                  <c:v>292.21967963386697</c:v>
                </c:pt>
                <c:pt idx="3">
                  <c:v>288.100686498855</c:v>
                </c:pt>
                <c:pt idx="4">
                  <c:v>284.43935926773401</c:v>
                </c:pt>
                <c:pt idx="5">
                  <c:v>280.77803203661301</c:v>
                </c:pt>
                <c:pt idx="6">
                  <c:v>277.11670480549202</c:v>
                </c:pt>
                <c:pt idx="7">
                  <c:v>272.99771167047999</c:v>
                </c:pt>
                <c:pt idx="8">
                  <c:v>269.33638443935899</c:v>
                </c:pt>
                <c:pt idx="9">
                  <c:v>266.13272311212802</c:v>
                </c:pt>
                <c:pt idx="10">
                  <c:v>262.471395881006</c:v>
                </c:pt>
                <c:pt idx="11">
                  <c:v>258.81006864988501</c:v>
                </c:pt>
                <c:pt idx="12">
                  <c:v>254.691075514874</c:v>
                </c:pt>
                <c:pt idx="13">
                  <c:v>251.02974828375201</c:v>
                </c:pt>
                <c:pt idx="14">
                  <c:v>247.36842105263099</c:v>
                </c:pt>
                <c:pt idx="15">
                  <c:v>243.70709382151</c:v>
                </c:pt>
                <c:pt idx="16">
                  <c:v>240.04576659038901</c:v>
                </c:pt>
                <c:pt idx="17">
                  <c:v>235.926773455377</c:v>
                </c:pt>
                <c:pt idx="18">
                  <c:v>231.80778032036599</c:v>
                </c:pt>
                <c:pt idx="19">
                  <c:v>227.68878718535399</c:v>
                </c:pt>
                <c:pt idx="20">
                  <c:v>224.027459954233</c:v>
                </c:pt>
                <c:pt idx="21">
                  <c:v>219.90846681922201</c:v>
                </c:pt>
                <c:pt idx="22">
                  <c:v>214.87414187643</c:v>
                </c:pt>
                <c:pt idx="23">
                  <c:v>210.29748283752801</c:v>
                </c:pt>
                <c:pt idx="24">
                  <c:v>206.178489702517</c:v>
                </c:pt>
                <c:pt idx="25">
                  <c:v>201.601830663615</c:v>
                </c:pt>
                <c:pt idx="26">
                  <c:v>197.48283752860399</c:v>
                </c:pt>
                <c:pt idx="27">
                  <c:v>192.44851258581201</c:v>
                </c:pt>
                <c:pt idx="28">
                  <c:v>186.49885583523999</c:v>
                </c:pt>
                <c:pt idx="29">
                  <c:v>181.922196796338</c:v>
                </c:pt>
                <c:pt idx="30">
                  <c:v>178.26086956521701</c:v>
                </c:pt>
                <c:pt idx="31">
                  <c:v>174.59954233409599</c:v>
                </c:pt>
                <c:pt idx="32">
                  <c:v>170.938215102974</c:v>
                </c:pt>
                <c:pt idx="33">
                  <c:v>165.90389016018301</c:v>
                </c:pt>
                <c:pt idx="34">
                  <c:v>162.24256292906099</c:v>
                </c:pt>
                <c:pt idx="35">
                  <c:v>158.58123569794</c:v>
                </c:pt>
                <c:pt idx="36">
                  <c:v>155.377574370709</c:v>
                </c:pt>
                <c:pt idx="37">
                  <c:v>151.25858123569699</c:v>
                </c:pt>
                <c:pt idx="38">
                  <c:v>147.597254004576</c:v>
                </c:pt>
                <c:pt idx="39">
                  <c:v>143.47826086956499</c:v>
                </c:pt>
                <c:pt idx="40">
                  <c:v>139.35926773455299</c:v>
                </c:pt>
                <c:pt idx="41">
                  <c:v>135.69794050343199</c:v>
                </c:pt>
                <c:pt idx="42">
                  <c:v>131.12128146453</c:v>
                </c:pt>
                <c:pt idx="43">
                  <c:v>126.086956521739</c:v>
                </c:pt>
                <c:pt idx="44">
                  <c:v>121.96796338672701</c:v>
                </c:pt>
                <c:pt idx="45">
                  <c:v>118.764302059496</c:v>
                </c:pt>
                <c:pt idx="46">
                  <c:v>114.64530892448499</c:v>
                </c:pt>
                <c:pt idx="47">
                  <c:v>110.526315789473</c:v>
                </c:pt>
                <c:pt idx="48">
                  <c:v>106.40732265446201</c:v>
                </c:pt>
                <c:pt idx="49">
                  <c:v>102.74599542334001</c:v>
                </c:pt>
                <c:pt idx="50">
                  <c:v>99.084668192219596</c:v>
                </c:pt>
                <c:pt idx="51">
                  <c:v>95.423340961098404</c:v>
                </c:pt>
                <c:pt idx="52">
                  <c:v>90.846681922196794</c:v>
                </c:pt>
                <c:pt idx="53">
                  <c:v>86.727688787185301</c:v>
                </c:pt>
                <c:pt idx="54">
                  <c:v>83.524027459954198</c:v>
                </c:pt>
                <c:pt idx="55">
                  <c:v>80.320366132723095</c:v>
                </c:pt>
                <c:pt idx="56">
                  <c:v>76.201372997711601</c:v>
                </c:pt>
                <c:pt idx="57">
                  <c:v>72.082379862700193</c:v>
                </c:pt>
                <c:pt idx="58">
                  <c:v>68.421052631578902</c:v>
                </c:pt>
                <c:pt idx="59">
                  <c:v>66.590389016018307</c:v>
                </c:pt>
                <c:pt idx="60">
                  <c:v>62.471395881006799</c:v>
                </c:pt>
                <c:pt idx="61">
                  <c:v>59.267734553775703</c:v>
                </c:pt>
                <c:pt idx="62">
                  <c:v>55.606407322654398</c:v>
                </c:pt>
                <c:pt idx="63">
                  <c:v>53.3180778032036</c:v>
                </c:pt>
                <c:pt idx="64">
                  <c:v>49.656750572082302</c:v>
                </c:pt>
                <c:pt idx="65">
                  <c:v>45.995423340961104</c:v>
                </c:pt>
                <c:pt idx="66">
                  <c:v>42.791762013729901</c:v>
                </c:pt>
                <c:pt idx="67">
                  <c:v>40.503432494279103</c:v>
                </c:pt>
                <c:pt idx="68">
                  <c:v>37.757437070938202</c:v>
                </c:pt>
                <c:pt idx="69">
                  <c:v>35.011441647597202</c:v>
                </c:pt>
                <c:pt idx="70">
                  <c:v>31.3501144164759</c:v>
                </c:pt>
                <c:pt idx="71">
                  <c:v>28.604118993135</c:v>
                </c:pt>
                <c:pt idx="72">
                  <c:v>25.858123569794</c:v>
                </c:pt>
                <c:pt idx="73">
                  <c:v>24.0274599542334</c:v>
                </c:pt>
                <c:pt idx="74">
                  <c:v>22.196796338672701</c:v>
                </c:pt>
                <c:pt idx="75">
                  <c:v>19.450800915331801</c:v>
                </c:pt>
                <c:pt idx="76">
                  <c:v>17.162471395880999</c:v>
                </c:pt>
                <c:pt idx="77">
                  <c:v>14.874141876430199</c:v>
                </c:pt>
                <c:pt idx="78">
                  <c:v>13.043478260869501</c:v>
                </c:pt>
                <c:pt idx="79">
                  <c:v>11.670480549199</c:v>
                </c:pt>
                <c:pt idx="80">
                  <c:v>10.2974828375286</c:v>
                </c:pt>
                <c:pt idx="81">
                  <c:v>8.9244851258581193</c:v>
                </c:pt>
                <c:pt idx="82">
                  <c:v>7.55148741418766</c:v>
                </c:pt>
                <c:pt idx="83">
                  <c:v>7.55148741418766</c:v>
                </c:pt>
                <c:pt idx="84">
                  <c:v>7.09382151029748</c:v>
                </c:pt>
                <c:pt idx="85">
                  <c:v>5.7208237986270003</c:v>
                </c:pt>
                <c:pt idx="86">
                  <c:v>4.34782608695651</c:v>
                </c:pt>
                <c:pt idx="87">
                  <c:v>3.8901601830663699</c:v>
                </c:pt>
                <c:pt idx="88">
                  <c:v>3.8901601830663699</c:v>
                </c:pt>
                <c:pt idx="89">
                  <c:v>2.9748283752860498</c:v>
                </c:pt>
                <c:pt idx="90">
                  <c:v>2.9748283752860498</c:v>
                </c:pt>
                <c:pt idx="91">
                  <c:v>2.5171624713958902</c:v>
                </c:pt>
                <c:pt idx="92">
                  <c:v>2.0594965675057302</c:v>
                </c:pt>
                <c:pt idx="93">
                  <c:v>0.68649885583523895</c:v>
                </c:pt>
              </c:numCache>
            </c:numRef>
          </c:xVal>
          <c:yVal>
            <c:numRef>
              <c:f>RvsT!$CM$4:$CM$97</c:f>
              <c:numCache>
                <c:formatCode>General</c:formatCode>
                <c:ptCount val="94"/>
                <c:pt idx="0">
                  <c:v>1</c:v>
                </c:pt>
                <c:pt idx="1">
                  <c:v>1.0055376095985233</c:v>
                </c:pt>
                <c:pt idx="2">
                  <c:v>1.0092293493308788</c:v>
                </c:pt>
                <c:pt idx="3">
                  <c:v>1.0166128287955696</c:v>
                </c:pt>
                <c:pt idx="4">
                  <c:v>1.0203045685279251</c:v>
                </c:pt>
                <c:pt idx="5">
                  <c:v>1.0239963082602705</c:v>
                </c:pt>
                <c:pt idx="6">
                  <c:v>1.0295339178587937</c:v>
                </c:pt>
                <c:pt idx="7">
                  <c:v>1.0369173973234946</c:v>
                </c:pt>
                <c:pt idx="8">
                  <c:v>1.042455006922018</c:v>
                </c:pt>
                <c:pt idx="9">
                  <c:v>1.0498384863867087</c:v>
                </c:pt>
                <c:pt idx="10">
                  <c:v>1.0535302261190642</c:v>
                </c:pt>
                <c:pt idx="11">
                  <c:v>1.0590678357175873</c:v>
                </c:pt>
                <c:pt idx="12">
                  <c:v>1.0646054453161107</c:v>
                </c:pt>
                <c:pt idx="13">
                  <c:v>1.0701430549146338</c:v>
                </c:pt>
                <c:pt idx="14">
                  <c:v>1.0756806645131569</c:v>
                </c:pt>
                <c:pt idx="15">
                  <c:v>1.0793724042455024</c:v>
                </c:pt>
                <c:pt idx="16">
                  <c:v>1.0904476234425489</c:v>
                </c:pt>
                <c:pt idx="17">
                  <c:v>1.0941393631749043</c:v>
                </c:pt>
                <c:pt idx="18">
                  <c:v>1.1015228426395953</c:v>
                </c:pt>
                <c:pt idx="19">
                  <c:v>1.1089063221042961</c:v>
                </c:pt>
                <c:pt idx="20">
                  <c:v>1.1162898015689973</c:v>
                </c:pt>
                <c:pt idx="21">
                  <c:v>1.1218274111675202</c:v>
                </c:pt>
                <c:pt idx="22">
                  <c:v>1.131056760498389</c:v>
                </c:pt>
                <c:pt idx="23">
                  <c:v>1.1384402399630897</c:v>
                </c:pt>
                <c:pt idx="24">
                  <c:v>1.1476695892939583</c:v>
                </c:pt>
                <c:pt idx="25">
                  <c:v>1.1532071988924817</c:v>
                </c:pt>
                <c:pt idx="26">
                  <c:v>1.1624365482233503</c:v>
                </c:pt>
                <c:pt idx="27">
                  <c:v>1.1716658975542289</c:v>
                </c:pt>
                <c:pt idx="28">
                  <c:v>1.1827411167512754</c:v>
                </c:pt>
                <c:pt idx="29">
                  <c:v>1.1938163359483216</c:v>
                </c:pt>
                <c:pt idx="30">
                  <c:v>1.2011998154130226</c:v>
                </c:pt>
                <c:pt idx="31">
                  <c:v>1.2085832948777135</c:v>
                </c:pt>
                <c:pt idx="32">
                  <c:v>1.2159667743424145</c:v>
                </c:pt>
                <c:pt idx="33">
                  <c:v>1.2233502538071153</c:v>
                </c:pt>
                <c:pt idx="34">
                  <c:v>1.2307337332718065</c:v>
                </c:pt>
                <c:pt idx="35">
                  <c:v>1.2399630826026848</c:v>
                </c:pt>
                <c:pt idx="36">
                  <c:v>1.247346562067376</c:v>
                </c:pt>
                <c:pt idx="37">
                  <c:v>1.2565759113982544</c:v>
                </c:pt>
                <c:pt idx="38">
                  <c:v>1.265805260729123</c:v>
                </c:pt>
                <c:pt idx="39">
                  <c:v>1.273188740193824</c:v>
                </c:pt>
                <c:pt idx="40">
                  <c:v>1.280572219658515</c:v>
                </c:pt>
                <c:pt idx="41">
                  <c:v>1.2934933087217393</c:v>
                </c:pt>
                <c:pt idx="42">
                  <c:v>1.3027226580526179</c:v>
                </c:pt>
                <c:pt idx="43">
                  <c:v>1.3156437471158318</c:v>
                </c:pt>
                <c:pt idx="44">
                  <c:v>1.323027226580533</c:v>
                </c:pt>
                <c:pt idx="45">
                  <c:v>1.3322565759114016</c:v>
                </c:pt>
                <c:pt idx="46">
                  <c:v>1.3377941855099247</c:v>
                </c:pt>
                <c:pt idx="47">
                  <c:v>1.3488694047069711</c:v>
                </c:pt>
                <c:pt idx="48">
                  <c:v>1.3599446239040174</c:v>
                </c:pt>
                <c:pt idx="49">
                  <c:v>1.369173973234896</c:v>
                </c:pt>
                <c:pt idx="50">
                  <c:v>1.3784033225657648</c:v>
                </c:pt>
                <c:pt idx="51">
                  <c:v>1.3876326718966334</c:v>
                </c:pt>
                <c:pt idx="52">
                  <c:v>1.396862021227512</c:v>
                </c:pt>
                <c:pt idx="53">
                  <c:v>1.4097831102907361</c:v>
                </c:pt>
                <c:pt idx="54">
                  <c:v>1.4190124596216047</c:v>
                </c:pt>
                <c:pt idx="55">
                  <c:v>1.4263959390863057</c:v>
                </c:pt>
                <c:pt idx="56">
                  <c:v>1.4374711582833521</c:v>
                </c:pt>
                <c:pt idx="57">
                  <c:v>1.4448546377480429</c:v>
                </c:pt>
                <c:pt idx="58">
                  <c:v>1.4540839870789217</c:v>
                </c:pt>
                <c:pt idx="59">
                  <c:v>1.4633133364097903</c:v>
                </c:pt>
                <c:pt idx="60">
                  <c:v>1.4743885556068366</c:v>
                </c:pt>
                <c:pt idx="61">
                  <c:v>1.4817720350715375</c:v>
                </c:pt>
                <c:pt idx="62">
                  <c:v>1.4891555145362285</c:v>
                </c:pt>
                <c:pt idx="63">
                  <c:v>1.5002307337332748</c:v>
                </c:pt>
                <c:pt idx="64">
                  <c:v>1.5149976926626767</c:v>
                </c:pt>
                <c:pt idx="65">
                  <c:v>1.5186894323950222</c:v>
                </c:pt>
                <c:pt idx="66">
                  <c:v>1.5297646515920684</c:v>
                </c:pt>
                <c:pt idx="67">
                  <c:v>1.5371481310567694</c:v>
                </c:pt>
                <c:pt idx="68">
                  <c:v>1.546377480387638</c:v>
                </c:pt>
                <c:pt idx="69">
                  <c:v>1.5519150899861613</c:v>
                </c:pt>
                <c:pt idx="70">
                  <c:v>1.5611444393170399</c:v>
                </c:pt>
                <c:pt idx="71">
                  <c:v>1.5666820489155631</c:v>
                </c:pt>
                <c:pt idx="72">
                  <c:v>1.5796031379787772</c:v>
                </c:pt>
                <c:pt idx="73">
                  <c:v>1.5888324873096558</c:v>
                </c:pt>
                <c:pt idx="74">
                  <c:v>1.5943700969081791</c:v>
                </c:pt>
                <c:pt idx="75">
                  <c:v>1.6072911859713932</c:v>
                </c:pt>
                <c:pt idx="76">
                  <c:v>1.6183664051684394</c:v>
                </c:pt>
                <c:pt idx="77">
                  <c:v>1.6312874942316637</c:v>
                </c:pt>
                <c:pt idx="78">
                  <c:v>1.6479003230272331</c:v>
                </c:pt>
                <c:pt idx="79">
                  <c:v>1.662667281956635</c:v>
                </c:pt>
                <c:pt idx="80">
                  <c:v>1.6774342408860268</c:v>
                </c:pt>
                <c:pt idx="81">
                  <c:v>1.6922011998154187</c:v>
                </c:pt>
                <c:pt idx="82">
                  <c:v>1.7069681587448204</c:v>
                </c:pt>
                <c:pt idx="83">
                  <c:v>1.7069681587448204</c:v>
                </c:pt>
                <c:pt idx="84">
                  <c:v>1.72358098754039</c:v>
                </c:pt>
                <c:pt idx="85">
                  <c:v>1.7365020766036041</c:v>
                </c:pt>
                <c:pt idx="86">
                  <c:v>1.7549607752653515</c:v>
                </c:pt>
                <c:pt idx="87">
                  <c:v>1.7678818643285756</c:v>
                </c:pt>
                <c:pt idx="88">
                  <c:v>1.7808029533917997</c:v>
                </c:pt>
                <c:pt idx="89">
                  <c:v>1.7918781725888462</c:v>
                </c:pt>
                <c:pt idx="90">
                  <c:v>1.8011075219197148</c:v>
                </c:pt>
                <c:pt idx="91">
                  <c:v>1.8103368712505834</c:v>
                </c:pt>
                <c:pt idx="92">
                  <c:v>1.8251038301799851</c:v>
                </c:pt>
                <c:pt idx="93">
                  <c:v>1.8527918781726014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3-4E46-9685-D4D28798FD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RvsT!$CT$4:$CT$66</c:f>
              <c:numCache>
                <c:formatCode>General</c:formatCode>
                <c:ptCount val="63"/>
                <c:pt idx="0">
                  <c:v>299.084668192219</c:v>
                </c:pt>
                <c:pt idx="1">
                  <c:v>294.96567505720799</c:v>
                </c:pt>
                <c:pt idx="2">
                  <c:v>289.93135011441598</c:v>
                </c:pt>
                <c:pt idx="3">
                  <c:v>283.98169336384399</c:v>
                </c:pt>
                <c:pt idx="4">
                  <c:v>278.48970251716202</c:v>
                </c:pt>
                <c:pt idx="5">
                  <c:v>273.45537757437</c:v>
                </c:pt>
                <c:pt idx="6">
                  <c:v>269.33638443935899</c:v>
                </c:pt>
                <c:pt idx="7">
                  <c:v>263.84439359267702</c:v>
                </c:pt>
                <c:pt idx="8">
                  <c:v>258.81006864988501</c:v>
                </c:pt>
                <c:pt idx="9">
                  <c:v>254.23340961098401</c:v>
                </c:pt>
                <c:pt idx="10">
                  <c:v>248.74141876430201</c:v>
                </c:pt>
                <c:pt idx="11">
                  <c:v>243.24942791762001</c:v>
                </c:pt>
                <c:pt idx="12">
                  <c:v>238.215102974828</c:v>
                </c:pt>
                <c:pt idx="13">
                  <c:v>233.18077803203599</c:v>
                </c:pt>
                <c:pt idx="14">
                  <c:v>228.60411899313499</c:v>
                </c:pt>
                <c:pt idx="15">
                  <c:v>223.84947876938699</c:v>
                </c:pt>
                <c:pt idx="16">
                  <c:v>218.764302059496</c:v>
                </c:pt>
                <c:pt idx="17">
                  <c:v>213.67912534960499</c:v>
                </c:pt>
                <c:pt idx="18">
                  <c:v>208.59394863971499</c:v>
                </c:pt>
                <c:pt idx="19">
                  <c:v>203.50877192982401</c:v>
                </c:pt>
                <c:pt idx="20">
                  <c:v>198.42359521993299</c:v>
                </c:pt>
                <c:pt idx="21">
                  <c:v>193.338418510043</c:v>
                </c:pt>
                <c:pt idx="22">
                  <c:v>188.25324180015201</c:v>
                </c:pt>
                <c:pt idx="23">
                  <c:v>183.48588863462999</c:v>
                </c:pt>
                <c:pt idx="24">
                  <c:v>178.400711924739</c:v>
                </c:pt>
                <c:pt idx="25">
                  <c:v>173.31553521484801</c:v>
                </c:pt>
                <c:pt idx="26">
                  <c:v>167.912534960589</c:v>
                </c:pt>
                <c:pt idx="27">
                  <c:v>163.145181795067</c:v>
                </c:pt>
                <c:pt idx="28">
                  <c:v>158.06000508517599</c:v>
                </c:pt>
                <c:pt idx="29">
                  <c:v>152.97482837528599</c:v>
                </c:pt>
                <c:pt idx="30">
                  <c:v>147.88965166539501</c:v>
                </c:pt>
                <c:pt idx="31">
                  <c:v>142.80447495550399</c:v>
                </c:pt>
                <c:pt idx="32">
                  <c:v>137.719298245614</c:v>
                </c:pt>
                <c:pt idx="33">
                  <c:v>132.63412153572301</c:v>
                </c:pt>
                <c:pt idx="34">
                  <c:v>127.548944825832</c:v>
                </c:pt>
                <c:pt idx="35">
                  <c:v>123.099415204678</c:v>
                </c:pt>
                <c:pt idx="36">
                  <c:v>117.378591406051</c:v>
                </c:pt>
                <c:pt idx="37">
                  <c:v>112.29341469616</c:v>
                </c:pt>
                <c:pt idx="38">
                  <c:v>107.526061530638</c:v>
                </c:pt>
                <c:pt idx="39">
                  <c:v>102.440884820747</c:v>
                </c:pt>
                <c:pt idx="40">
                  <c:v>97.355708110856796</c:v>
                </c:pt>
                <c:pt idx="41">
                  <c:v>92.270531400966107</c:v>
                </c:pt>
                <c:pt idx="42">
                  <c:v>87.185354691075503</c:v>
                </c:pt>
                <c:pt idx="43">
                  <c:v>82.418001525552995</c:v>
                </c:pt>
                <c:pt idx="44">
                  <c:v>77.332824815662306</c:v>
                </c:pt>
                <c:pt idx="45">
                  <c:v>71.612001017035297</c:v>
                </c:pt>
                <c:pt idx="46">
                  <c:v>66.844647851512804</c:v>
                </c:pt>
                <c:pt idx="47">
                  <c:v>62.077294685990303</c:v>
                </c:pt>
                <c:pt idx="48">
                  <c:v>56.9921179760996</c:v>
                </c:pt>
                <c:pt idx="49">
                  <c:v>51.906941266209003</c:v>
                </c:pt>
                <c:pt idx="50">
                  <c:v>46.8217645563183</c:v>
                </c:pt>
                <c:pt idx="51">
                  <c:v>41.736587846427597</c:v>
                </c:pt>
                <c:pt idx="52">
                  <c:v>36.6514111365369</c:v>
                </c:pt>
                <c:pt idx="53">
                  <c:v>31.248410882278101</c:v>
                </c:pt>
                <c:pt idx="54">
                  <c:v>26.4810577167556</c:v>
                </c:pt>
                <c:pt idx="55">
                  <c:v>21.7137045512331</c:v>
                </c:pt>
                <c:pt idx="56">
                  <c:v>16.6285278413424</c:v>
                </c:pt>
                <c:pt idx="57">
                  <c:v>11.225527587083601</c:v>
                </c:pt>
                <c:pt idx="58">
                  <c:v>6.4581744215611501</c:v>
                </c:pt>
                <c:pt idx="59">
                  <c:v>2.9621154335113098</c:v>
                </c:pt>
                <c:pt idx="60">
                  <c:v>2.3264683447749799</c:v>
                </c:pt>
                <c:pt idx="61">
                  <c:v>1.69082125603866</c:v>
                </c:pt>
                <c:pt idx="62">
                  <c:v>0.10170353419781</c:v>
                </c:pt>
              </c:numCache>
            </c:numRef>
          </c:xVal>
          <c:yVal>
            <c:numRef>
              <c:f>RvsT!$CV$4:$CV$66</c:f>
              <c:numCache>
                <c:formatCode>General</c:formatCode>
                <c:ptCount val="63"/>
                <c:pt idx="0">
                  <c:v>1</c:v>
                </c:pt>
                <c:pt idx="1">
                  <c:v>1.0018458698661779</c:v>
                </c:pt>
                <c:pt idx="2">
                  <c:v>1.0055376095985233</c:v>
                </c:pt>
                <c:pt idx="3">
                  <c:v>1.0110752191970465</c:v>
                </c:pt>
                <c:pt idx="4">
                  <c:v>1.0184586986617474</c:v>
                </c:pt>
                <c:pt idx="5">
                  <c:v>1.0239963082602705</c:v>
                </c:pt>
                <c:pt idx="6">
                  <c:v>1.0295339178587937</c:v>
                </c:pt>
                <c:pt idx="7">
                  <c:v>1.035071527457317</c:v>
                </c:pt>
                <c:pt idx="8">
                  <c:v>1.042455006922018</c:v>
                </c:pt>
                <c:pt idx="9">
                  <c:v>1.0498384863867087</c:v>
                </c:pt>
                <c:pt idx="10">
                  <c:v>1.0516843562528866</c:v>
                </c:pt>
                <c:pt idx="11">
                  <c:v>1.0590678357175873</c:v>
                </c:pt>
                <c:pt idx="12">
                  <c:v>1.0664513151822883</c:v>
                </c:pt>
                <c:pt idx="13">
                  <c:v>1.0719889247808116</c:v>
                </c:pt>
                <c:pt idx="14">
                  <c:v>1.0775265343793348</c:v>
                </c:pt>
                <c:pt idx="15">
                  <c:v>1.084858739681078</c:v>
                </c:pt>
                <c:pt idx="16">
                  <c:v>1.0912680100497423</c:v>
                </c:pt>
                <c:pt idx="17">
                  <c:v>1.0963954263446738</c:v>
                </c:pt>
                <c:pt idx="18">
                  <c:v>1.102804696713328</c:v>
                </c:pt>
                <c:pt idx="19">
                  <c:v>1.1092139670819925</c:v>
                </c:pt>
                <c:pt idx="20">
                  <c:v>1.1169050915243897</c:v>
                </c:pt>
                <c:pt idx="21">
                  <c:v>1.1233143618930439</c:v>
                </c:pt>
                <c:pt idx="22">
                  <c:v>1.1297236322617084</c:v>
                </c:pt>
                <c:pt idx="23">
                  <c:v>1.1361329026303726</c:v>
                </c:pt>
                <c:pt idx="24">
                  <c:v>1.1451058811464929</c:v>
                </c:pt>
                <c:pt idx="25">
                  <c:v>1.1502332974414242</c:v>
                </c:pt>
                <c:pt idx="26">
                  <c:v>1.1579244218838214</c:v>
                </c:pt>
                <c:pt idx="27">
                  <c:v>1.1656155463262088</c:v>
                </c:pt>
                <c:pt idx="28">
                  <c:v>1.1745885248423387</c:v>
                </c:pt>
                <c:pt idx="29">
                  <c:v>1.1809977952110031</c:v>
                </c:pt>
                <c:pt idx="30">
                  <c:v>1.1874070655796574</c:v>
                </c:pt>
                <c:pt idx="31">
                  <c:v>1.1963800440957875</c:v>
                </c:pt>
                <c:pt idx="32">
                  <c:v>1.2027893144644417</c:v>
                </c:pt>
                <c:pt idx="33">
                  <c:v>1.2117622929805718</c:v>
                </c:pt>
                <c:pt idx="34">
                  <c:v>1.2181715633492363</c:v>
                </c:pt>
                <c:pt idx="35">
                  <c:v>1.2271445418653564</c:v>
                </c:pt>
                <c:pt idx="36">
                  <c:v>1.2361175203814865</c:v>
                </c:pt>
                <c:pt idx="37">
                  <c:v>1.2463723529713393</c:v>
                </c:pt>
                <c:pt idx="38">
                  <c:v>1.2527816233400038</c:v>
                </c:pt>
                <c:pt idx="39">
                  <c:v>1.2617546018561339</c:v>
                </c:pt>
                <c:pt idx="40">
                  <c:v>1.2707275803722538</c:v>
                </c:pt>
                <c:pt idx="41">
                  <c:v>1.2797005588883839</c:v>
                </c:pt>
                <c:pt idx="42">
                  <c:v>1.288673537404504</c:v>
                </c:pt>
                <c:pt idx="43">
                  <c:v>1.2976465159206341</c:v>
                </c:pt>
                <c:pt idx="44">
                  <c:v>1.3079013485104869</c:v>
                </c:pt>
                <c:pt idx="45">
                  <c:v>1.3168743270266172</c:v>
                </c:pt>
                <c:pt idx="46">
                  <c:v>1.32712915961648</c:v>
                </c:pt>
                <c:pt idx="47">
                  <c:v>1.3373839922063331</c:v>
                </c:pt>
                <c:pt idx="48">
                  <c:v>1.3502025329436516</c:v>
                </c:pt>
                <c:pt idx="49">
                  <c:v>1.3604573655335146</c:v>
                </c:pt>
                <c:pt idx="50">
                  <c:v>1.3732759062708333</c:v>
                </c:pt>
                <c:pt idx="51">
                  <c:v>1.3873763010818947</c:v>
                </c:pt>
                <c:pt idx="52">
                  <c:v>1.4040404040404122</c:v>
                </c:pt>
                <c:pt idx="53">
                  <c:v>1.4219863610726622</c:v>
                </c:pt>
                <c:pt idx="54">
                  <c:v>1.443777880326111</c:v>
                </c:pt>
                <c:pt idx="55">
                  <c:v>1.4681331077270254</c:v>
                </c:pt>
                <c:pt idx="56">
                  <c:v>1.50146131364406</c:v>
                </c:pt>
                <c:pt idx="57">
                  <c:v>1.5424806440034917</c:v>
                </c:pt>
                <c:pt idx="58">
                  <c:v>1.598882223247718</c:v>
                </c:pt>
                <c:pt idx="59">
                  <c:v>1.6373378454596841</c:v>
                </c:pt>
                <c:pt idx="60">
                  <c:v>1.6681023432292528</c:v>
                </c:pt>
                <c:pt idx="61">
                  <c:v>1.7180946521048148</c:v>
                </c:pt>
                <c:pt idx="62">
                  <c:v>1.8065425831923425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63-4E46-9685-D4D28798FD9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RvsT!$DC$4:$DC$59</c:f>
              <c:numCache>
                <c:formatCode>General</c:formatCode>
                <c:ptCount val="56"/>
                <c:pt idx="0">
                  <c:v>270.977011494252</c:v>
                </c:pt>
                <c:pt idx="1">
                  <c:v>266.95402298850502</c:v>
                </c:pt>
                <c:pt idx="2">
                  <c:v>260.63218390804599</c:v>
                </c:pt>
                <c:pt idx="3">
                  <c:v>257.18390804597698</c:v>
                </c:pt>
                <c:pt idx="4">
                  <c:v>250.86206896551701</c:v>
                </c:pt>
                <c:pt idx="5">
                  <c:v>245.68965517241301</c:v>
                </c:pt>
                <c:pt idx="6">
                  <c:v>242.241379310344</c:v>
                </c:pt>
                <c:pt idx="7">
                  <c:v>234.19540229885001</c:v>
                </c:pt>
                <c:pt idx="8">
                  <c:v>230.747126436781</c:v>
                </c:pt>
                <c:pt idx="9">
                  <c:v>227.29885057471199</c:v>
                </c:pt>
                <c:pt idx="10">
                  <c:v>223.85057471264301</c:v>
                </c:pt>
                <c:pt idx="11">
                  <c:v>219.252873563218</c:v>
                </c:pt>
                <c:pt idx="12">
                  <c:v>211.20689655172399</c:v>
                </c:pt>
                <c:pt idx="13">
                  <c:v>207.18390804597701</c:v>
                </c:pt>
                <c:pt idx="14">
                  <c:v>203.735632183908</c:v>
                </c:pt>
                <c:pt idx="15">
                  <c:v>199.13793103448199</c:v>
                </c:pt>
                <c:pt idx="16">
                  <c:v>192.241379310344</c:v>
                </c:pt>
                <c:pt idx="17">
                  <c:v>186.494252873563</c:v>
                </c:pt>
                <c:pt idx="18">
                  <c:v>181.321839080459</c:v>
                </c:pt>
                <c:pt idx="19">
                  <c:v>176.72413793103399</c:v>
                </c:pt>
                <c:pt idx="20">
                  <c:v>171.55172413793099</c:v>
                </c:pt>
                <c:pt idx="21">
                  <c:v>167.52873563218299</c:v>
                </c:pt>
                <c:pt idx="22">
                  <c:v>162.35632183908001</c:v>
                </c:pt>
                <c:pt idx="23">
                  <c:v>157.18390804597701</c:v>
                </c:pt>
                <c:pt idx="24">
                  <c:v>150.86206896551701</c:v>
                </c:pt>
                <c:pt idx="25">
                  <c:v>143.96551724137899</c:v>
                </c:pt>
                <c:pt idx="26">
                  <c:v>130.747126436781</c:v>
                </c:pt>
                <c:pt idx="27">
                  <c:v>118.67816091954001</c:v>
                </c:pt>
                <c:pt idx="28">
                  <c:v>112.93103448275799</c:v>
                </c:pt>
                <c:pt idx="29">
                  <c:v>107.758620689655</c:v>
                </c:pt>
                <c:pt idx="30">
                  <c:v>103.735632183908</c:v>
                </c:pt>
                <c:pt idx="31">
                  <c:v>102.01149425287301</c:v>
                </c:pt>
                <c:pt idx="32">
                  <c:v>97.413793103448299</c:v>
                </c:pt>
                <c:pt idx="33">
                  <c:v>94.540229885057499</c:v>
                </c:pt>
                <c:pt idx="34">
                  <c:v>91.091954022988503</c:v>
                </c:pt>
                <c:pt idx="35">
                  <c:v>86.494252873563198</c:v>
                </c:pt>
                <c:pt idx="36">
                  <c:v>82.471264367816104</c:v>
                </c:pt>
                <c:pt idx="37">
                  <c:v>77.8735632183908</c:v>
                </c:pt>
                <c:pt idx="38">
                  <c:v>73.275862068965495</c:v>
                </c:pt>
                <c:pt idx="39">
                  <c:v>68.103448275861993</c:v>
                </c:pt>
                <c:pt idx="40">
                  <c:v>62.356321839080401</c:v>
                </c:pt>
                <c:pt idx="41">
                  <c:v>58.3333333333333</c:v>
                </c:pt>
                <c:pt idx="42">
                  <c:v>54.3103448275861</c:v>
                </c:pt>
                <c:pt idx="43">
                  <c:v>52.011494252873497</c:v>
                </c:pt>
                <c:pt idx="44">
                  <c:v>50.287356321839098</c:v>
                </c:pt>
                <c:pt idx="45">
                  <c:v>47.988505747126403</c:v>
                </c:pt>
                <c:pt idx="46">
                  <c:v>43.390804597701099</c:v>
                </c:pt>
                <c:pt idx="47">
                  <c:v>40.517241379310299</c:v>
                </c:pt>
                <c:pt idx="48">
                  <c:v>38.793103448275801</c:v>
                </c:pt>
                <c:pt idx="49">
                  <c:v>36.494252873563198</c:v>
                </c:pt>
                <c:pt idx="50">
                  <c:v>31.8965517241379</c:v>
                </c:pt>
                <c:pt idx="51">
                  <c:v>25.574712643678101</c:v>
                </c:pt>
                <c:pt idx="52">
                  <c:v>21.551724137931</c:v>
                </c:pt>
                <c:pt idx="53">
                  <c:v>18.103448275862</c:v>
                </c:pt>
                <c:pt idx="54">
                  <c:v>8.9080459770114899</c:v>
                </c:pt>
                <c:pt idx="55">
                  <c:v>5.4597701149425202</c:v>
                </c:pt>
              </c:numCache>
            </c:numRef>
          </c:xVal>
          <c:yVal>
            <c:numRef>
              <c:f>RvsT!$DF$4:$DF$59</c:f>
              <c:numCache>
                <c:formatCode>General</c:formatCode>
                <c:ptCount val="56"/>
                <c:pt idx="0">
                  <c:v>1.0086306966589118</c:v>
                </c:pt>
                <c:pt idx="1">
                  <c:v>1.0106486306969076</c:v>
                </c:pt>
                <c:pt idx="2">
                  <c:v>1.0167511719087656</c:v>
                </c:pt>
                <c:pt idx="3">
                  <c:v>1.0167511719087656</c:v>
                </c:pt>
                <c:pt idx="4">
                  <c:v>1.0215487844489455</c:v>
                </c:pt>
                <c:pt idx="5">
                  <c:v>1.0236187921175395</c:v>
                </c:pt>
                <c:pt idx="6">
                  <c:v>1.0270875104913679</c:v>
                </c:pt>
                <c:pt idx="7">
                  <c:v>1.0319833992032807</c:v>
                </c:pt>
                <c:pt idx="8">
                  <c:v>1.0355091368158618</c:v>
                </c:pt>
                <c:pt idx="9">
                  <c:v>1.0404858370957837</c:v>
                </c:pt>
                <c:pt idx="10">
                  <c:v>1.0426333826831893</c:v>
                </c:pt>
                <c:pt idx="11">
                  <c:v>1.0462323933241366</c:v>
                </c:pt>
                <c:pt idx="12">
                  <c:v>1.0498563364946432</c:v>
                </c:pt>
                <c:pt idx="13">
                  <c:v>1.0535054721793633</c:v>
                </c:pt>
                <c:pt idx="14">
                  <c:v>1.0564430963611091</c:v>
                </c:pt>
                <c:pt idx="15">
                  <c:v>1.0593971490597813</c:v>
                </c:pt>
                <c:pt idx="16">
                  <c:v>1.0631130282216861</c:v>
                </c:pt>
                <c:pt idx="17">
                  <c:v>1.0668550663358043</c:v>
                </c:pt>
                <c:pt idx="18">
                  <c:v>1.0698677174232376</c:v>
                </c:pt>
                <c:pt idx="19">
                  <c:v>1.0744187321729968</c:v>
                </c:pt>
                <c:pt idx="20">
                  <c:v>1.0767087898614633</c:v>
                </c:pt>
                <c:pt idx="21">
                  <c:v>1.0820904118029373</c:v>
                </c:pt>
                <c:pt idx="22">
                  <c:v>1.0867462328648327</c:v>
                </c:pt>
                <c:pt idx="23">
                  <c:v>1.0914422914872264</c:v>
                </c:pt>
                <c:pt idx="24">
                  <c:v>1.0985629733454272</c:v>
                </c:pt>
                <c:pt idx="25">
                  <c:v>1.1033619379177373</c:v>
                </c:pt>
                <c:pt idx="26">
                  <c:v>1.1139049038809348</c:v>
                </c:pt>
                <c:pt idx="27">
                  <c:v>1.1221529964679848</c:v>
                </c:pt>
                <c:pt idx="28">
                  <c:v>1.1279997184443751</c:v>
                </c:pt>
                <c:pt idx="29">
                  <c:v>1.1339076855443415</c:v>
                </c:pt>
                <c:pt idx="30">
                  <c:v>1.1381656941269385</c:v>
                </c:pt>
                <c:pt idx="31">
                  <c:v>1.1424558022842175</c:v>
                </c:pt>
                <c:pt idx="32">
                  <c:v>1.1476468169102687</c:v>
                </c:pt>
                <c:pt idx="33">
                  <c:v>1.1528852200304411</c:v>
                </c:pt>
                <c:pt idx="34">
                  <c:v>1.1572872254524711</c:v>
                </c:pt>
                <c:pt idx="35">
                  <c:v>1.162614209229011</c:v>
                </c:pt>
                <c:pt idx="36">
                  <c:v>1.1706972744148467</c:v>
                </c:pt>
                <c:pt idx="37">
                  <c:v>1.1788935213769052</c:v>
                </c:pt>
                <c:pt idx="38">
                  <c:v>1.1890683575755299</c:v>
                </c:pt>
                <c:pt idx="39">
                  <c:v>1.2022749874891008</c:v>
                </c:pt>
                <c:pt idx="40">
                  <c:v>1.216754413271786</c:v>
                </c:pt>
                <c:pt idx="41">
                  <c:v>1.2275962913973355</c:v>
                </c:pt>
                <c:pt idx="42">
                  <c:v>1.2376215775663642</c:v>
                </c:pt>
                <c:pt idx="43">
                  <c:v>1.2437157338777334</c:v>
                </c:pt>
                <c:pt idx="44">
                  <c:v>1.2519352513259077</c:v>
                </c:pt>
                <c:pt idx="45">
                  <c:v>1.2613130434706739</c:v>
                </c:pt>
                <c:pt idx="46">
                  <c:v>1.272967342906355</c:v>
                </c:pt>
                <c:pt idx="47">
                  <c:v>1.2815793841268666</c:v>
                </c:pt>
                <c:pt idx="48">
                  <c:v>1.2859292505133784</c:v>
                </c:pt>
                <c:pt idx="49">
                  <c:v>1.292509698703634</c:v>
                </c:pt>
                <c:pt idx="50">
                  <c:v>1.299157841174468</c:v>
                </c:pt>
                <c:pt idx="51">
                  <c:v>1.3070009674256233</c:v>
                </c:pt>
                <c:pt idx="52">
                  <c:v>1.314939368095458</c:v>
                </c:pt>
                <c:pt idx="53">
                  <c:v>1.3195190437353173</c:v>
                </c:pt>
                <c:pt idx="54">
                  <c:v>1.325288694123322</c:v>
                </c:pt>
                <c:pt idx="55">
                  <c:v>1.332279227894517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63-4E46-9685-D4D28798F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10432"/>
        <c:axId val="135412352"/>
      </c:scatterChart>
      <c:valAx>
        <c:axId val="13541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2352"/>
        <c:crosses val="autoZero"/>
        <c:crossBetween val="midCat"/>
      </c:valAx>
      <c:valAx>
        <c:axId val="13541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182880</xdr:colOff>
      <xdr:row>8</xdr:row>
      <xdr:rowOff>60960</xdr:rowOff>
    </xdr:from>
    <xdr:to>
      <xdr:col>22</xdr:col>
      <xdr:colOff>487680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163A1-4E5A-4E95-B6B9-668735F6E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510540</xdr:colOff>
      <xdr:row>12</xdr:row>
      <xdr:rowOff>83820</xdr:rowOff>
    </xdr:from>
    <xdr:to>
      <xdr:col>64</xdr:col>
      <xdr:colOff>205740</xdr:colOff>
      <xdr:row>27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6C8216-EAFB-4A87-8C13-D94EE65AB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98</xdr:col>
      <xdr:colOff>533400</xdr:colOff>
      <xdr:row>6</xdr:row>
      <xdr:rowOff>175260</xdr:rowOff>
    </xdr:from>
    <xdr:to>
      <xdr:col>106</xdr:col>
      <xdr:colOff>228600</xdr:colOff>
      <xdr:row>21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A61C7B-28F0-4035-A1B7-95278547C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Downloads/2017_One-step%20purification%20of%20direct-spun%20CNT%20fibers%20by%20post-production.pdf" TargetMode="External"/><Relationship Id="rId299" Type="http://schemas.openxmlformats.org/officeDocument/2006/relationships/hyperlink" Target="../../../AppData/Roaming/Microsoft/Excel/1989_RAMAN%20AND%20X-RAY%20STUDY%20OF%20AsFJVAPOR-%20GROWN%20GRAPHITE%20FIBERS%20.pdf" TargetMode="External"/><Relationship Id="rId671" Type="http://schemas.openxmlformats.org/officeDocument/2006/relationships/hyperlink" Target="../../../Downloads/2006_Determination%20of%20carbon%20nanotube%20density%20by%20gradient%20sedimentation-annotated.pdf" TargetMode="External"/><Relationship Id="rId727" Type="http://schemas.openxmlformats.org/officeDocument/2006/relationships/hyperlink" Target="../../../AppData/Roaming/Microsoft/Excel/1981_GIC_review_Dresshaus.pdf" TargetMode="External"/><Relationship Id="rId21" Type="http://schemas.openxmlformats.org/officeDocument/2006/relationships/hyperlink" Target="../../../Downloads/2009_High%20Mechanical%20Performance%20Composite%20ConductorMultiwalledCNTsheetBismaleimideNanoComposite.pdf" TargetMode="External"/><Relationship Id="rId63" Type="http://schemas.openxmlformats.org/officeDocument/2006/relationships/hyperlink" Target="../../../AppData/Roaming/Microsoft/2014_Anisotropic%20buckypaper%20through%20shear-inducedMechAlignmentofCNTsinwater.pdf" TargetMode="External"/><Relationship Id="rId159" Type="http://schemas.openxmlformats.org/officeDocument/2006/relationships/hyperlink" Target="../../../AppData/AppData/Roaming/Microsoft/Excel/2010%20transport%20sorted%20CNTs.pdf" TargetMode="External"/><Relationship Id="rId324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366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531" Type="http://schemas.openxmlformats.org/officeDocument/2006/relationships/hyperlink" Target="../../../Downloads/2019_Kumanek%20et%20al._Applied%20Nanoscience_Convenient%20but%20powerful%20method%20to%20dope%20single-walled%20carbon%20nanotube%20films%20with%20iodonium%20salts.pdf" TargetMode="External"/><Relationship Id="rId573" Type="http://schemas.openxmlformats.org/officeDocument/2006/relationships/hyperlink" Target="../../../Downloads/2001_Thermal%20transport%20measurements%20of%20individual%20multiwalled%20nanotubes-annotated.pdf" TargetMode="External"/><Relationship Id="rId629" Type="http://schemas.openxmlformats.org/officeDocument/2006/relationships/hyperlink" Target="../../Adarsh/Downloads/1991_Mechanical%20and%20electrical%20properties%20of%20highly%20oriented%20polyacetylene%20films.pdf" TargetMode="External"/><Relationship Id="rId170" Type="http://schemas.openxmlformats.org/officeDocument/2006/relationships/hyperlink" Target="../../../AppData/Roaming/Microsoft/2004_Effect%20of%20SOCl2%20Treatment%20on%20Electrical%20and%20MechanicalPropertiesofSWCNT.pdf" TargetMode="External"/><Relationship Id="rId226" Type="http://schemas.openxmlformats.org/officeDocument/2006/relationships/hyperlink" Target="../../../AppData/Roaming/Microsoft/Excel/2008%20Measurements%20of%20near-ultimate%20strength%20for%20multiwall%20CNTs.pdf" TargetMode="External"/><Relationship Id="rId433" Type="http://schemas.openxmlformats.org/officeDocument/2006/relationships/hyperlink" Target="../../../Downloads/2017_Three-dimensional%20texture%20analysis%20of%20aligned%20carbon%20nanotube%20structures.pdf" TargetMode="External"/><Relationship Id="rId268" Type="http://schemas.openxmlformats.org/officeDocument/2006/relationships/hyperlink" Target="../../../../../../../AppData/Roaming/Microsoft/Excel/1977_TheElectricalConductivityofGraphiteIntercalatedwithSuperacidFluoridesExperimentswithAntimonyPentaFluouoride.pdf" TargetMode="External"/><Relationship Id="rId475" Type="http://schemas.openxmlformats.org/officeDocument/2006/relationships/hyperlink" Target="../../../Downloads/2017_Influence%20of%20Carbon%20Nanotube%20Characteristics%20on%20Macroscopic%20FiberProperties.pdf" TargetMode="External"/><Relationship Id="rId640" Type="http://schemas.openxmlformats.org/officeDocument/2006/relationships/hyperlink" Target="../../../Downloads/2012_Sharp%20burnout%20failure%20observed%20in%20high%20current%20carrying%20double%20walled%20carbon%20nanotube%20fibers.pdf" TargetMode="External"/><Relationship Id="rId682" Type="http://schemas.openxmlformats.org/officeDocument/2006/relationships/hyperlink" Target="../../Adarsh/Downloads/2019_Millisecond%20tension-annealing%20for%20enhancing%20carbon%20nanotube%20fibers_Song%20et%20al.pdf" TargetMode="External"/><Relationship Id="rId738" Type="http://schemas.openxmlformats.org/officeDocument/2006/relationships/hyperlink" Target="../../../Downloads/1992%20iPAC%20review.pdf" TargetMode="External"/><Relationship Id="rId32" Type="http://schemas.openxmlformats.org/officeDocument/2006/relationships/hyperlink" Target="../../../Downloads/2018_The%20operational%20window%20of%20carbon%20nanotube%20electrical%20wires%20treated%20with%20strong%20acids%20and%20oxidants.pdf" TargetMode="External"/><Relationship Id="rId74" Type="http://schemas.openxmlformats.org/officeDocument/2006/relationships/hyperlink" Target="../../../../../../../AppData/Roaming/Microsoft/2012%20Fabrication%20and%20processing%20of%20high-strength%20densely%20packed%20carbon%20nanotube%20yarns%20without%20solution%20processes.pdf" TargetMode="External"/><Relationship Id="rId128" Type="http://schemas.openxmlformats.org/officeDocument/2006/relationships/hyperlink" Target="../../../../../../../AppData/AppData/Roaming/Microsoft/Excel/2016_High%20electrical%20conductivity%20of%20double-walledCNTswithHydrogenPeroxideTreatments.pdf" TargetMode="External"/><Relationship Id="rId335" Type="http://schemas.openxmlformats.org/officeDocument/2006/relationships/hyperlink" Target="../../../AppData/Roaming/Microsoft/Excel/2011_Meng_Electrical%20conductivity%20of%20pure%20carbon%20nanotube%20yarns.pdf" TargetMode="External"/><Relationship Id="rId377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500" Type="http://schemas.openxmlformats.org/officeDocument/2006/relationships/hyperlink" Target="../../../Downloads/2018_Structure&#8211;Property%20Relations%20in%20Carbon%20Nanotube%20FibersbyDownscalingSolutionProcessing.pdf" TargetMode="External"/><Relationship Id="rId542" Type="http://schemas.openxmlformats.org/officeDocument/2006/relationships/hyperlink" Target="../../../Downloads/2004_Correlation%20of%20properties%20with%20preferred%20orientation%20in%20coagulated%20and%20stretch-aligned%20single-wall%20carbon%20nan(2)-annotated.pdf" TargetMode="External"/><Relationship Id="rId584" Type="http://schemas.openxmlformats.org/officeDocument/2006/relationships/hyperlink" Target="../../../Downloads/1985_ElectricalResistivity_GraphiteIntercalationNitricAndAsF5.pdf" TargetMode="External"/><Relationship Id="rId5" Type="http://schemas.openxmlformats.org/officeDocument/2006/relationships/hyperlink" Target="../../../../../../../AppData/AppData/Roaming/Microsoft/Excel/2007_Structure-Dependent%20Electrical%20Properties%20of%20Carbon%20NanotubeFibers.pdf" TargetMode="External"/><Relationship Id="rId181" Type="http://schemas.openxmlformats.org/officeDocument/2006/relationships/hyperlink" Target="../../../../../../../AppData/AppData/Roaming/Microsoft/Excel/2009_HighlyConductiveMultiwallCNTandEpoxyCompisitesProducedBy3RollMilling.pdf" TargetMode="External"/><Relationship Id="rId237" Type="http://schemas.openxmlformats.org/officeDocument/2006/relationships/hyperlink" Target="../../../Downloads/2010_High%20energy%20density%20lithium-ion%20batteries%20with%20carbon%20nanotube%20anodes.PDF" TargetMode="External"/><Relationship Id="rId402" Type="http://schemas.openxmlformats.org/officeDocument/2006/relationships/hyperlink" Target="../../../Downloads/2010_Double-peak%20mechanical%20properties%20of%20carbon-nanotube%20fibers.pdf" TargetMode="External"/><Relationship Id="rId279" Type="http://schemas.openxmlformats.org/officeDocument/2006/relationships/hyperlink" Target="../../../AppData/Roaming/Microsoft/Excel/1985_Heremans_ELECTRICALCONDUCTIVITYOFVAPOR-GROWNCarbonfiber.pdf" TargetMode="External"/><Relationship Id="rId444" Type="http://schemas.openxmlformats.org/officeDocument/2006/relationships/hyperlink" Target="../../../Downloads/2015_Effects%20of%20CNT%20diameter%20on%20mechanical%20properties%20of%20aligned%20CNT%20sheets.pdf" TargetMode="External"/><Relationship Id="rId486" Type="http://schemas.openxmlformats.org/officeDocument/2006/relationships/hyperlink" Target="../../../Downloads/2018_Structure&#8211;Property%20Relations%20in%20Carbon%20Nanotube%20FibersbyDownscalingSolutionProcessing.pdf" TargetMode="External"/><Relationship Id="rId651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693" Type="http://schemas.openxmlformats.org/officeDocument/2006/relationships/hyperlink" Target="../../../AppData/Roaming/Microsoft/Excel/1981_GIC_review_Dresshaus.pdf" TargetMode="External"/><Relationship Id="rId707" Type="http://schemas.openxmlformats.org/officeDocument/2006/relationships/hyperlink" Target="../../../Downloads/2015_Post-Treatments%20for%20Multifunctional%20Property%20Enhancement%20ofCNTfibersFromFloatingCat.pdf" TargetMode="External"/><Relationship Id="rId43" Type="http://schemas.openxmlformats.org/officeDocument/2006/relationships/hyperlink" Target="../../../../../../../AppData/AppData/Roaming/Microsoft/Excel/2008_Zhang%20et%20al._Solid-state%20spun%20fibers%20and%20yarns%20from%201-mm%20long%20carbon%20nanotube%20forests%20synthesized%20by%20water-assisted%20chemical%20vapor.pdf" TargetMode="External"/><Relationship Id="rId139" Type="http://schemas.openxmlformats.org/officeDocument/2006/relationships/hyperlink" Target="../../../../../../../AppData/AppData/Roaming/Microsoft/Excel/2000_Electrical%20and%20thermal%20transport%20properties%20of%20magnetically%20aligned%20single%20wall%20carbonNT.pdf" TargetMode="External"/><Relationship Id="rId290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304" Type="http://schemas.openxmlformats.org/officeDocument/2006/relationships/hyperlink" Target="../../../../../../../AppData/Roaming/Microsoft/Excel/2019_Ichinose%20et%20al._Solving%20the%20Thermoelectric%20Trade-Off%20Problem%20with%20Metallic%20Carbon%20Nanotubes.pdf" TargetMode="External"/><Relationship Id="rId346" Type="http://schemas.openxmlformats.org/officeDocument/2006/relationships/hyperlink" Target="../../../Downloads/1990_Mechanical%20and%20electrical%20properties%20ofPolyaceteleneFilmsDawnthrough.pdf" TargetMode="External"/><Relationship Id="rId388" Type="http://schemas.openxmlformats.org/officeDocument/2006/relationships/hyperlink" Target="../../../Downloads/2008_The%20relationship%20between%20network%20morphology%20and%20conductivity%20in%20nanotube%20films-annotated.pdf" TargetMode="External"/><Relationship Id="rId511" Type="http://schemas.openxmlformats.org/officeDocument/2006/relationships/hyperlink" Target="../../../../../../../AppData/AppData/Roaming/Microsoft/Excel/2017_High-modulus%20and%20strength%20carbon%20nanotube%20fibers%20using%20molecularCrossLinking.pdf" TargetMode="External"/><Relationship Id="rId553" Type="http://schemas.openxmlformats.org/officeDocument/2006/relationships/hyperlink" Target="../../../Downloads/2020_Systematic%20investigations%20of%20annealing%20and%20functionalization%20of%20carbon%20nanotube%20yarns-annotated.pdf" TargetMode="External"/><Relationship Id="rId609" Type="http://schemas.openxmlformats.org/officeDocument/2006/relationships/hyperlink" Target="../../../../../../../AppData/Roaming/Microsoft/Excel/1984_Murday_AnAssessmentofGraphitizedCarbonFiberUseForElectricalPowerTransmission.pdf" TargetMode="External"/><Relationship Id="rId85" Type="http://schemas.openxmlformats.org/officeDocument/2006/relationships/hyperlink" Target="../../../Downloads/2016_Wafer-scale%20monodomain%20films%20of%20spontaneouslyalignedSWCNT.pdf" TargetMode="External"/><Relationship Id="rId150" Type="http://schemas.openxmlformats.org/officeDocument/2006/relationships/hyperlink" Target="../../../../../../../AppData/AppData/Roaming/Microsoft/Excel/2017_One-step%20purification%20of%20direct-spun%20CNT%20fibers%20by%20post-production.pdf" TargetMode="External"/><Relationship Id="rId192" Type="http://schemas.openxmlformats.org/officeDocument/2006/relationships/hyperlink" Target="../../../Downloads/2018_Roll-to-roll%20continuous%20carbon%20nanotube%20sheetswithHighElectricalConductivity.pdf" TargetMode="External"/><Relationship Id="rId206" Type="http://schemas.openxmlformats.org/officeDocument/2006/relationships/hyperlink" Target="../../../AppData/Roaming/AppData/Roaming/Microsoft/Excel/1992%20iPAC%20review.pdf" TargetMode="External"/><Relationship Id="rId413" Type="http://schemas.openxmlformats.org/officeDocument/2006/relationships/hyperlink" Target="../../../../../../../AppData/AppData/Roaming/Microsoft/Excel/2019_LargeImprovementforelectricicalwireCNTconductivitybyannealinganddoping.pdf" TargetMode="External"/><Relationship Id="rId595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248" Type="http://schemas.openxmlformats.org/officeDocument/2006/relationships/hyperlink" Target="../../../../../../../AppData/Roaming/AppData/Roaming/Microsoft/Excel/2014_High-StrengthCNTFiber-likeRibbonwithHighDuctilityandHighElectricalConductivity.pdf" TargetMode="External"/><Relationship Id="rId455" Type="http://schemas.openxmlformats.org/officeDocument/2006/relationships/hyperlink" Target="../../../Downloads/2005_Charge%20transfer%20and%20Fermi%20level%20shift%20in%20p-doped%20single-walled%20carbon%20nanotubes.pdf" TargetMode="External"/><Relationship Id="rId497" Type="http://schemas.openxmlformats.org/officeDocument/2006/relationships/hyperlink" Target="../../../Downloads/2018_Structure&#8211;Property%20Relations%20in%20Carbon%20Nanotube%20FibersbyDownscalingSolutionProcessing.pdf" TargetMode="External"/><Relationship Id="rId620" Type="http://schemas.openxmlformats.org/officeDocument/2006/relationships/hyperlink" Target="../../../Downloads/2020_Shampoo%20assisted%20aligning%20of%20carbon%20nanotubes%20Toward%20Strong%20Stiff%20and%20conductive%20fibers.pdf" TargetMode="External"/><Relationship Id="rId662" Type="http://schemas.openxmlformats.org/officeDocument/2006/relationships/hyperlink" Target="../../../Downloads/1996%20Eebsen%20individual%20multiwall%20conductivity.pdf" TargetMode="External"/><Relationship Id="rId718" Type="http://schemas.openxmlformats.org/officeDocument/2006/relationships/hyperlink" Target="../../../../../../../AppData/Roaming/Microsoft/Excel/1983_Chieu_High-field_magnetoresistance_measurements_on_highly_ordered_graphitefibers.pdf" TargetMode="External"/><Relationship Id="rId12" Type="http://schemas.openxmlformats.org/officeDocument/2006/relationships/hyperlink" Target="../../../Downloads/2012_InsituCharacterizationofStructuralChangesandtheFractionofAlignedCNTnetworksproducedByStretching.pdf" TargetMode="External"/><Relationship Id="rId108" Type="http://schemas.openxmlformats.org/officeDocument/2006/relationships/hyperlink" Target="../../../Downloads/2017_Extreme%20Magneto-transport%20of%20Bulk%20Carbon%20Nanotubes%20in%20Sorted%20Electronic%20Concentrations%20and%20Aligned%20High%20Performance%20Fiber.pdf" TargetMode="External"/><Relationship Id="rId315" Type="http://schemas.openxmlformats.org/officeDocument/2006/relationships/hyperlink" Target="../../../Downloads/2018%20Nature%20Carbon%20nanotube%20bundles%20with%20tensile%20strength.pdf" TargetMode="External"/><Relationship Id="rId357" Type="http://schemas.openxmlformats.org/officeDocument/2006/relationships/hyperlink" Target="../../../../../../../AppData/Roaming/Microsoft/Excel/2010_StructureandProcessDependentPropertiesofSolid-StateSpunCarbonNanotubeYarns.pdf" TargetMode="External"/><Relationship Id="rId522" Type="http://schemas.openxmlformats.org/officeDocument/2006/relationships/hyperlink" Target="../../../Downloads/2011_Highly%20conductive%20carbon%20nanotube%20buckypapers%20with%20improved%20doping%20stability%20viaConjugatedCrossLinking.pdf" TargetMode="External"/><Relationship Id="rId54" Type="http://schemas.openxmlformats.org/officeDocument/2006/relationships/hyperlink" Target="../../../../../../../AppData/AppData/Roaming/Microsoft/Excel/2007_Structure-Dependent%20Electrical%20Properties%20of%20Carbon%20NanotubeFibers.pdf" TargetMode="External"/><Relationship Id="rId96" Type="http://schemas.openxmlformats.org/officeDocument/2006/relationships/hyperlink" Target="../../../../../../../AppData/AppData/Roaming/Microsoft/Excel/2016_High%20electrical%20conductivity%20of%20double-walledCNTswithHydrogenPeroxideTreatments.pdf" TargetMode="External"/><Relationship Id="rId161" Type="http://schemas.openxmlformats.org/officeDocument/2006/relationships/hyperlink" Target="../../../../../../../AppData/Roaming/Microsoft/2012_Dramatic%20electrical%20conductivity%20improvement%20of%20carbon%20nanotube%20networks_bysilultaniousDebundlinandHoldDopindviaCSA.pdf" TargetMode="External"/><Relationship Id="rId217" Type="http://schemas.openxmlformats.org/officeDocument/2006/relationships/hyperlink" Target="../../../Downloads/1996%20Eebsen%20individual%20multiwall%20conductivity.pdf" TargetMode="External"/><Relationship Id="rId399" Type="http://schemas.openxmlformats.org/officeDocument/2006/relationships/hyperlink" Target="../../../../../../../Downloads/2010_Liu%20et%20al._Carbon%20nanotube%20yarns%20with%20high%20tensile%20strength%20made%20by%20a%20twisting%20and%20shrinking%20method.pdf" TargetMode="External"/><Relationship Id="rId564" Type="http://schemas.openxmlformats.org/officeDocument/2006/relationships/hyperlink" Target="../../../Downloads/2020_Continuous%20synthesis%20of%20double-walled%20carbon%20nanotubes%20with%20water-assisted%20floating%20catalyst%20chemical%20vapor%20deposition.pdf" TargetMode="External"/><Relationship Id="rId259" Type="http://schemas.openxmlformats.org/officeDocument/2006/relationships/hyperlink" Target="https://www.clearwatercomposites.com/resources/properties-of-carbon-fiber/" TargetMode="External"/><Relationship Id="rId424" Type="http://schemas.openxmlformats.org/officeDocument/2006/relationships/hyperlink" Target="../../../Downloads/2015_Strong%20Carbon%20Nanotube%20Fibers%20by%20Drawing%20Inspiration%20from%20Polymer%20Fiber%20Spinning(3)-annotated.pdf" TargetMode="External"/><Relationship Id="rId466" Type="http://schemas.openxmlformats.org/officeDocument/2006/relationships/hyperlink" Target="../../../../../../../Downloads/2019_Carbon%20nanotube%20fibers%20with%20enhanced%20longitudinal%20carrier%20mobility%20for%20high-performance%20all-carbon%20thermoelectric(3)-annotated.pdf" TargetMode="External"/><Relationship Id="rId631" Type="http://schemas.openxmlformats.org/officeDocument/2006/relationships/hyperlink" Target="../../../AppData/Roaming/Microsoft/Excel/1996_Dai_Probing%20Electrical%20Transport%20in%20Nanomaterials.pdf" TargetMode="External"/><Relationship Id="rId673" Type="http://schemas.openxmlformats.org/officeDocument/2006/relationships/hyperlink" Target="../../Adarsh/Downloads/2008_Blackburn_TransparentSWCNTNetworkTunableRatios.pdf" TargetMode="External"/><Relationship Id="rId729" Type="http://schemas.openxmlformats.org/officeDocument/2006/relationships/hyperlink" Target="../../../../../../../AppData/Roaming/Microsoft/Excel/1984_Murday_AnAssessmentofGraphitizedCarbonFiberUseForElectricalPowerTransmission.pdf" TargetMode="External"/><Relationship Id="rId23" Type="http://schemas.openxmlformats.org/officeDocument/2006/relationships/hyperlink" Target="../../../../../../../AppData/AppData/Roaming/Microsoft/Excel/2009_High%20Mechanical%20Performance%20Composite%20ConductorMultiwalledCNTsheetBismaleimideNanoComposite.pdf" TargetMode="External"/><Relationship Id="rId119" Type="http://schemas.openxmlformats.org/officeDocument/2006/relationships/hyperlink" Target="../../../../../../../Downloads/2016_Wu%20et%20al._Relationship%20between%20mechanical%20and%20electrical%20properties%20of%20continuous%20polymer-free%20carbon%20nanotube%20fibers%20by%20wet-spinni.pdf" TargetMode="External"/><Relationship Id="rId270" Type="http://schemas.openxmlformats.org/officeDocument/2006/relationships/hyperlink" Target="../../../AppData/Roaming/Microsoft/Excel/1985_ElectricalResistivity_GraphiteIntercalationNitricAndAsF5.pdf" TargetMode="External"/><Relationship Id="rId326" Type="http://schemas.openxmlformats.org/officeDocument/2006/relationships/hyperlink" Target="../../../Downloads/2011_Meng_Electrical%20conductivity%20of%20pure%20carbon%20nanotube%20yarns.pdf" TargetMode="External"/><Relationship Id="rId533" Type="http://schemas.openxmlformats.org/officeDocument/2006/relationships/hyperlink" Target="../../../../../../../AppData/AppData/Roaming/Microsoft/Excel/2019_Kumanek%20et%20al._Applied%20Nanoscience_Convenient%20but%20powerful%20method%20to%20dope%20single-walled%20carbon%20nanotube%20films%20with%20iodonium%20salts.pdf" TargetMode="External"/><Relationship Id="rId65" Type="http://schemas.openxmlformats.org/officeDocument/2006/relationships/hyperlink" Target="../../../AppData/Roaming/Microsoft/2014_Anisotropic%20buckypaper%20through%20shear-inducedMechAlignmentofCNTsinwater.pdf" TargetMode="External"/><Relationship Id="rId130" Type="http://schemas.openxmlformats.org/officeDocument/2006/relationships/hyperlink" Target="../../../../../../../AppData/AppData/Roaming/Microsoft/Excel/2014_Wang_High-Ampacity%20Power%20Cables%20of%20Tightly-Packed%20and%20Aligned%20Carbon%20Nanotubes.pdf" TargetMode="External"/><Relationship Id="rId368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575" Type="http://schemas.openxmlformats.org/officeDocument/2006/relationships/hyperlink" Target="../../../Downloads/2001_Thermal%20transport%20measurements%20of%20individual%20multiwalled%20nanotubes-annotated.pdf" TargetMode="External"/><Relationship Id="rId740" Type="http://schemas.openxmlformats.org/officeDocument/2006/relationships/hyperlink" Target="../../../../../../../Downloads/2018_Zhao%20et%20al._Materials%20and%20Design_A%20comparison%20of%20the%20twisted%20and%20untwisted%20structures%20for%20one-dimensional%20carbon%20nanotube%20assemblie.pdf" TargetMode="External"/><Relationship Id="rId172" Type="http://schemas.openxmlformats.org/officeDocument/2006/relationships/hyperlink" Target="../../../AppData/Roaming/Microsoft/2004_Effect%20of%20SOCl2%20Treatment%20on%20Electrical%20and%20MechanicalPropertiesofSWCNT.pdf" TargetMode="External"/><Relationship Id="rId228" Type="http://schemas.openxmlformats.org/officeDocument/2006/relationships/hyperlink" Target="../../../AppData/Roaming/Microsoft/Excel/2000%20Strength%20and%20Breaking%20Mechanism%20of%20MWCNT%20under%20tensile%20load.pdf" TargetMode="External"/><Relationship Id="rId435" Type="http://schemas.openxmlformats.org/officeDocument/2006/relationships/hyperlink" Target="../../../Downloads/2014_highlyaligneddensecarbonnanotubesheetsinducedbymultiplestretchingandpressing.pdf" TargetMode="External"/><Relationship Id="rId477" Type="http://schemas.openxmlformats.org/officeDocument/2006/relationships/hyperlink" Target="../../../Downloads/2017_Influence%20of%20Carbon%20Nanotube%20Characteristics%20on%20Macroscopic%20FiberProperties.pdf" TargetMode="External"/><Relationship Id="rId600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642" Type="http://schemas.openxmlformats.org/officeDocument/2006/relationships/hyperlink" Target="../../../Downloads/2018_Electrical%20Transport%20Degradation%20of%20Chemically%20Doped%20Electronic-Type-Separated%20Single-Wall%20Carbon%20Nanotubes%20(2)-annotated.pdf" TargetMode="External"/><Relationship Id="rId684" Type="http://schemas.openxmlformats.org/officeDocument/2006/relationships/hyperlink" Target="../../Adarsh/Downloads/2019_Millisecond%20tension-annealing%20for%20enhancing%20carbon%20nanotube%20fibers_Song%20et%20al.pdf" TargetMode="External"/><Relationship Id="rId281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337" Type="http://schemas.openxmlformats.org/officeDocument/2006/relationships/hyperlink" Target="../../../AppData/Roaming/Microsoft/Excel/2012ThermalandElectricalConductivityOfArraySpunMultiwallCNTs.pdf" TargetMode="External"/><Relationship Id="rId502" Type="http://schemas.openxmlformats.org/officeDocument/2006/relationships/hyperlink" Target="../../../Downloads/2018_Structure&#8211;Property%20Relations%20in%20Carbon%20Nanotube%20FibersbyDownscalingSolutionProcessing.pdf" TargetMode="External"/><Relationship Id="rId34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76" Type="http://schemas.openxmlformats.org/officeDocument/2006/relationships/hyperlink" Target="../../../../../../../AppData/Roaming/Microsoft/2012%20Fabrication%20and%20processing%20of%20high-strength%20densely%20packed%20carbon%20nanotube%20yarns%20without%20solution%20processes.pdf" TargetMode="External"/><Relationship Id="rId141" Type="http://schemas.openxmlformats.org/officeDocument/2006/relationships/hyperlink" Target="../../../../../../../AppData/AppData/Roaming/Microsoft/Excel/2003_Fischer_Magnetically%20aligned%20single%20wall%20carbon%20nanotube%20films_Preferred%20orientation%20and%20anisotropic%20transport%20properties.pdf" TargetMode="External"/><Relationship Id="rId379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544" Type="http://schemas.openxmlformats.org/officeDocument/2006/relationships/hyperlink" Target="../../../Downloads/2020_Controlling%20Electronic%20States%20of%20Few-walled%20Carbon%20Nanotube%20Yarn%20via%20Joule-annealing%20and%20p-type%20Doping%20Towards%20Lar-annotated.pdf" TargetMode="External"/><Relationship Id="rId586" Type="http://schemas.openxmlformats.org/officeDocument/2006/relationships/hyperlink" Target="../../../Downloads/1985_ElectricalResistivity_GraphiteIntercalationNitricAndAsF5.pdf" TargetMode="External"/><Relationship Id="rId7" Type="http://schemas.openxmlformats.org/officeDocument/2006/relationships/hyperlink" Target="../../../Downloads/2011_AnisotropicCNTPApersFabricatedFromMultiwallCNTWEbs.pdf" TargetMode="External"/><Relationship Id="rId183" Type="http://schemas.openxmlformats.org/officeDocument/2006/relationships/hyperlink" Target="../../../../../../../AppData/AppData/Roaming/Microsoft/Excel/2009_HighlyConductiveMultiwallCNTandEpoxyCompisitesProducedBy3RollMilling.pdf" TargetMode="External"/><Relationship Id="rId239" Type="http://schemas.openxmlformats.org/officeDocument/2006/relationships/hyperlink" Target="../../../Downloads/2015_The%20Structural%20and%20Electronic%20Properties.pdf" TargetMode="External"/><Relationship Id="rId390" Type="http://schemas.openxmlformats.org/officeDocument/2006/relationships/hyperlink" Target="../../../../../../../Downloads/Personal/SharedLiteratureDataBase/2017_Large%20n-%20and%20p-Type%20Thermoelectric%20Power%20Factors%20from%20Doped%20Semiconducting%20Single-Walled%20Carbon%20Nanotube%20Thin%20Films.pdf" TargetMode="External"/><Relationship Id="rId404" Type="http://schemas.openxmlformats.org/officeDocument/2006/relationships/hyperlink" Target="../../../Downloads/2010_Double-peak%20mechanical%20properties%20of%20carbon-nanotube%20fibers.pdf" TargetMode="External"/><Relationship Id="rId446" Type="http://schemas.openxmlformats.org/officeDocument/2006/relationships/hyperlink" Target="../../../Downloads/2018_Intrinsically%20ultrastrong%20plasmon&#8211;exciton%20interactions%20in%20crystallized%20films%20of%20carbon%20nanotubes-annotated.pdf" TargetMode="External"/><Relationship Id="rId611" Type="http://schemas.openxmlformats.org/officeDocument/2006/relationships/hyperlink" Target="../../../Downloads/1984_Murday_AnAssessmentofGraphitizedCarbonFiberUseForElectricalPowerTransmission.pdf" TargetMode="External"/><Relationship Id="rId653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250" Type="http://schemas.openxmlformats.org/officeDocument/2006/relationships/hyperlink" Target="../../../../../../../AppData/Roaming/AppData/Roaming/Microsoft/Excel/2014_High-StrengthCNTFiber-likeRibbonwithHighDuctilityandHighElectricalConductivity.pdf" TargetMode="External"/><Relationship Id="rId292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306" Type="http://schemas.openxmlformats.org/officeDocument/2006/relationships/hyperlink" Target="../../../../../../../AppData/Roaming/Microsoft/Excel/2019_Ichinose%20et%20al._Solving%20the%20Thermoelectric%20Trade-Off%20Problem%20with%20Metallic%20Carbon%20Nanotubes.pdf" TargetMode="External"/><Relationship Id="rId488" Type="http://schemas.openxmlformats.org/officeDocument/2006/relationships/hyperlink" Target="../../../Downloads/2018_Structure&#8211;Property%20Relations%20in%20Carbon%20Nanotube%20FibersbyDownscalingSolutionProcessing.pdf" TargetMode="External"/><Relationship Id="rId695" Type="http://schemas.openxmlformats.org/officeDocument/2006/relationships/hyperlink" Target="../../../AppData/Roaming/Microsoft/Excel/1981_GIC_review_Dresshaus.pdf" TargetMode="External"/><Relationship Id="rId709" Type="http://schemas.openxmlformats.org/officeDocument/2006/relationships/hyperlink" Target="../../../Downloads/2018_HierarchicalStructureofCNTFibersandtheChangeofStructureDuringDensificationbyWetStretching.pdf" TargetMode="External"/><Relationship Id="rId45" Type="http://schemas.openxmlformats.org/officeDocument/2006/relationships/hyperlink" Target="../../../../../../../AppData/AppData/Roaming/Microsoft/Excel/2007_Zhang%20et%20al._Strong%20carbon-nanotube%20fibers%20spun%20from%20long%20carbon-nanotube%20arrays.pdf" TargetMode="External"/><Relationship Id="rId87" Type="http://schemas.openxmlformats.org/officeDocument/2006/relationships/hyperlink" Target="../../../Downloads/2016_Lightweight,%20Flexible,%20High-Performance%20Carbon%20Nanotube%20CablesMadebyScalableFlowCoating.pdf" TargetMode="External"/><Relationship Id="rId110" Type="http://schemas.openxmlformats.org/officeDocument/2006/relationships/hyperlink" Target="../../../Downloads/2004_Macroscopic,%20Neat,%20Single-WalledCNTfibers.pdf" TargetMode="External"/><Relationship Id="rId348" Type="http://schemas.openxmlformats.org/officeDocument/2006/relationships/hyperlink" Target="../../../../../../../AppData/Roaming/Microsoft/Excel/1990_Mechanical%20and%20electrical%20properties%20ofPolyaceteleneFilmsDawnthrough.pdf" TargetMode="External"/><Relationship Id="rId513" Type="http://schemas.openxmlformats.org/officeDocument/2006/relationships/hyperlink" Target="../../../Downloads/2016_High-Strength%20Carbon%20Nanotube%20Film%20from%20Improving%20AlignmentAndDensification.pdf" TargetMode="External"/><Relationship Id="rId555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597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720" Type="http://schemas.openxmlformats.org/officeDocument/2006/relationships/hyperlink" Target="../../../../../../../AppData/Roaming/Microsoft/Excel/1983_Chieu_High-field_magnetoresistance_measurements_on_highly_ordered_graphitefibers.pdf" TargetMode="External"/><Relationship Id="rId152" Type="http://schemas.openxmlformats.org/officeDocument/2006/relationships/hyperlink" Target="../../../../../../../AppData/AppData/Roaming/Microsoft/Excel/2005_Vavro_Metal-insulator%20transistion%20in%20doped%20single-wall%20carbon%20nanotubes.pdf" TargetMode="External"/><Relationship Id="rId194" Type="http://schemas.openxmlformats.org/officeDocument/2006/relationships/hyperlink" Target="../../../../../../../AppData/AppData/Roaming/Microsoft/Excel/2018_Roll-to-roll%20continuous%20carbon%20nanotube%20sheetswithHighElectricalConductivity.pdf" TargetMode="External"/><Relationship Id="rId208" Type="http://schemas.openxmlformats.org/officeDocument/2006/relationships/hyperlink" Target="../../Adarsh/Downloads/1988_SYNTHESIS%20AND%20CHARACTERIZATION%20OF%20ORIENTEDPaCFilms.pdf" TargetMode="External"/><Relationship Id="rId415" Type="http://schemas.openxmlformats.org/officeDocument/2006/relationships/hyperlink" Target="../../../../../../../AppData/AppData/Roaming/Microsoft/Excel/2019_LargeImprovementforelectricicalwireCNTconductivitybyannealinganddoping.pdf" TargetMode="External"/><Relationship Id="rId457" Type="http://schemas.openxmlformats.org/officeDocument/2006/relationships/hyperlink" Target="../../../Downloads/2004_Single%20wall%20carbon%20nanotube%20fibers%20extruded%20from%20super-acid%20suspensions.pdf" TargetMode="External"/><Relationship Id="rId622" Type="http://schemas.openxmlformats.org/officeDocument/2006/relationships/hyperlink" Target="../../../Downloads/1991_Mechanical%20and%20electrical%20properties%20of%20highly%20oriented%20polyacetylene%20films.pdf" TargetMode="External"/><Relationship Id="rId261" Type="http://schemas.openxmlformats.org/officeDocument/2006/relationships/hyperlink" Target="https://www.toraycma.com/page.php?id=661" TargetMode="External"/><Relationship Id="rId499" Type="http://schemas.openxmlformats.org/officeDocument/2006/relationships/hyperlink" Target="../../../Downloads/2018_Structure&#8211;Property%20Relations%20in%20Carbon%20Nanotube%20FibersbyDownscalingSolutionProcessing.pdf" TargetMode="External"/><Relationship Id="rId664" Type="http://schemas.openxmlformats.org/officeDocument/2006/relationships/hyperlink" Target="../../../Downloads/2009_Nirmalrag_Electrical%20Connectivity%20in%20Single-Walled%20Carbon%20Nanotube%20Networks.pdf" TargetMode="External"/><Relationship Id="rId14" Type="http://schemas.openxmlformats.org/officeDocument/2006/relationships/hyperlink" Target="../../../Downloads/2018_Enhancement%20of%20the%20twisted%20carbon%20nanotube%20fibers%20properties%20byDrawingProcessAndAcidTreatment.pdf" TargetMode="External"/><Relationship Id="rId56" Type="http://schemas.openxmlformats.org/officeDocument/2006/relationships/hyperlink" Target="../../../../../../../AppData/Roaming/Microsoft/2012_High-Density%20Carbon%20Nanotube%20Buckypapers%20with%20SuperiorTransportandMechProperties.pdf" TargetMode="External"/><Relationship Id="rId317" Type="http://schemas.openxmlformats.org/officeDocument/2006/relationships/hyperlink" Target="../../../Downloads/1987_TOUZAIN,%20BAGGA,%20BLAZEWICZ_Electrical%20conductivity,%20mechanical%20properties%20and%20stability%20of%20intercalated%20graphite%20fibers%20(1).pdf" TargetMode="External"/><Relationship Id="rId359" Type="http://schemas.openxmlformats.org/officeDocument/2006/relationships/hyperlink" Target="../../../../../../../AppData/Roaming/Microsoft/Excel/2010_StructureandProcessDependentPropertiesofSolid-StateSpunCarbonNanotubeYarns.pdf" TargetMode="External"/><Relationship Id="rId524" Type="http://schemas.openxmlformats.org/officeDocument/2006/relationships/hyperlink" Target="../../../Downloads/2011_Highly%20conductive%20carbon%20nanotube%20buckypapers%20with%20improved%20doping%20stability%20viaConjugatedCrossLinking.pdf" TargetMode="External"/><Relationship Id="rId566" Type="http://schemas.openxmlformats.org/officeDocument/2006/relationships/hyperlink" Target="../../../Downloads/2020_Continuous%20synthesis%20of%20double-walled%20carbon%20nanotubes%20with%20water-assisted%20floating%20catalyst%20chemical%20vapor%20deposition.pdf" TargetMode="External"/><Relationship Id="rId731" Type="http://schemas.openxmlformats.org/officeDocument/2006/relationships/hyperlink" Target="../../../../../../../AppData/Roaming/Microsoft/Excel/1984_Murday_AnAssessmentofGraphitizedCarbonFiberUseForElectricalPowerTransmission.pdf" TargetMode="External"/><Relationship Id="rId98" Type="http://schemas.openxmlformats.org/officeDocument/2006/relationships/hyperlink" Target="../../../Downloads/2011_Zhao_Iodine%20doped%20carbon%20nanotube%20cables%20exceeding%20specific%20electrical%20conductivity%20of%20metals.pdf" TargetMode="External"/><Relationship Id="rId121" Type="http://schemas.openxmlformats.org/officeDocument/2006/relationships/hyperlink" Target="../../../../../../../AppData/AppData/Roaming/Microsoft/Excel/2019_Jensen%20et%20al._Carbon_Toward%20Ultralight%20High%20Strength%20Structural%20Materials%20via%20Collapsed%20Carbon%20Nanotube%20Bonding.pdf" TargetMode="External"/><Relationship Id="rId163" Type="http://schemas.openxmlformats.org/officeDocument/2006/relationships/hyperlink" Target="../../../../../../../AppData/Roaming/Microsoft/2012_Dramatic%20electrical%20conductivity%20improvement%20of%20carbon%20nanotube%20networks_bysilultaniousDebundlinandHoldDopindviaCSA.pdf" TargetMode="External"/><Relationship Id="rId219" Type="http://schemas.openxmlformats.org/officeDocument/2006/relationships/hyperlink" Target="../../../../../../../AppData/Roaming/AppData/Roaming/Microsoft/Excel/2001_Reliability%20and%20current%20carrying%20capacity%20of%20carbon%20nanotubes.pdf" TargetMode="External"/><Relationship Id="rId370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426" Type="http://schemas.openxmlformats.org/officeDocument/2006/relationships/hyperlink" Target="../../../Downloads/2015_Strong%20Carbon%20Nanotube%20Fibers%20by%20Drawing%20Inspiration%20from%20Polymer%20Fiber%20Spinning(3)-annotated.pdf" TargetMode="External"/><Relationship Id="rId633" Type="http://schemas.openxmlformats.org/officeDocument/2006/relationships/hyperlink" Target="../../../Downloads/2017_Carbon%20nanotube%20wires%20with%20continuous%20current%20rating%20exceeding%2020%20Amperes-annotated.pdf" TargetMode="External"/><Relationship Id="rId230" Type="http://schemas.openxmlformats.org/officeDocument/2006/relationships/hyperlink" Target="../../../AppData/Roaming/Microsoft/Excel/2000%20Strength%20and%20Breaking%20Mechanism%20of%20MWCNT%20under%20tensile%20load.pdf" TargetMode="External"/><Relationship Id="rId468" Type="http://schemas.openxmlformats.org/officeDocument/2006/relationships/hyperlink" Target="../../../../../../../Downloads/2019_Carbon%20nanotube%20fibers%20with%20enhanced%20longitudinal%20carrier%20mobility%20for%20high-performance%20all-carbon%20thermoelectric(3)-annotated.pdf" TargetMode="External"/><Relationship Id="rId675" Type="http://schemas.openxmlformats.org/officeDocument/2006/relationships/hyperlink" Target="../../Adarsh/Downloads/1987_Bascu_HighConductiveIPAC_Nature.pdf" TargetMode="External"/><Relationship Id="rId25" Type="http://schemas.openxmlformats.org/officeDocument/2006/relationships/hyperlink" Target="../../../Downloads/2010_Liu%20et%20al._Carbon%20nanotube%20yarns%20with%20high%20tensile%20strength%20made%20by%20a%20twisting%20and%20shrinking%20method.pdf" TargetMode="External"/><Relationship Id="rId67" Type="http://schemas.openxmlformats.org/officeDocument/2006/relationships/hyperlink" Target="../../../AppData/Roaming/Microsoft/2014_Anisotropic%20buckypaper%20through%20shear-inducedMechAlignmentofCNTsinwater.pdf" TargetMode="External"/><Relationship Id="rId272" Type="http://schemas.openxmlformats.org/officeDocument/2006/relationships/hyperlink" Target="../../../AppData/Roaming/Microsoft/Excel/1985_ElectricalResistivity_GraphiteIntercalationNitricAndAsF5.pdf" TargetMode="External"/><Relationship Id="rId328" Type="http://schemas.openxmlformats.org/officeDocument/2006/relationships/hyperlink" Target="../../../AppData/Roaming/Microsoft/Excel/2011_Meng_Electrical%20conductivity%20of%20pure%20carbon%20nanotube%20yarns.pdf" TargetMode="External"/><Relationship Id="rId535" Type="http://schemas.openxmlformats.org/officeDocument/2006/relationships/hyperlink" Target="../../../Downloads/2011_Bhatia_Probing%20the%20inter-tube%20transport%20in%20aligned%20and%20random%20multiwall%20carbon%20nanotubes.pdf" TargetMode="External"/><Relationship Id="rId577" Type="http://schemas.openxmlformats.org/officeDocument/2006/relationships/hyperlink" Target="../../../Downloads/2019_One-directional%20thermal%20transport%20in%20densely%20aligned%20single-wall%20carbon%20nanotube%20films-annotated.pdf" TargetMode="External"/><Relationship Id="rId700" Type="http://schemas.openxmlformats.org/officeDocument/2006/relationships/hyperlink" Target="../../../Downloads/2015_Post-Treatments%20for%20Multifunctional%20Property%20Enhancement%20ofCNTfibersFromFloatingCat.pdf" TargetMode="External"/><Relationship Id="rId742" Type="http://schemas.openxmlformats.org/officeDocument/2006/relationships/hyperlink" Target="../../../Downloads/2017_Free-standing%20films%20from%20chirality-controlled%20carbon%20nanotubes.html" TargetMode="External"/><Relationship Id="rId132" Type="http://schemas.openxmlformats.org/officeDocument/2006/relationships/hyperlink" Target="../../../../../../../AppData/AppData/Roaming/Microsoft/Excel/2014_Wang_High-Ampacity%20Power%20Cables%20of%20Tightly-Packed%20and%20Aligned%20Carbon%20Nanotubes.pdf" TargetMode="External"/><Relationship Id="rId174" Type="http://schemas.openxmlformats.org/officeDocument/2006/relationships/hyperlink" Target="../../../AppData/Roaming/Microsoft/2003_Single-wall_carbon_nanotube_films.pdf" TargetMode="External"/><Relationship Id="rId381" Type="http://schemas.openxmlformats.org/officeDocument/2006/relationships/hyperlink" Target="../../../../../../../Downloads/2019_Fabrication%20of%20high-strength%20carbon%20nanotube%20bundles%20using%20iron%20oxides%20co-%20assisted%20chemical%20vapor%20deposition%20Fabrication%20of%20high-s%20(1).pdf" TargetMode="External"/><Relationship Id="rId602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241" Type="http://schemas.openxmlformats.org/officeDocument/2006/relationships/hyperlink" Target="../../../AppData/Roaming/AppData/Roaming/Microsoft/Excel/2002_McEuen_Single-Walled%20Carbon%20Nanotube%20Electronics.pdf" TargetMode="External"/><Relationship Id="rId437" Type="http://schemas.openxmlformats.org/officeDocument/2006/relationships/hyperlink" Target="../../../Downloads/2014_highlyaligneddensecarbonnanotubesheetsinducedbymultiplestretchingandpressing.pdf" TargetMode="External"/><Relationship Id="rId479" Type="http://schemas.openxmlformats.org/officeDocument/2006/relationships/hyperlink" Target="../../../Downloads/2017_Influence%20of%20Carbon%20Nanotube%20Characteristics%20on%20Macroscopic%20FiberProperties.pdf" TargetMode="External"/><Relationship Id="rId644" Type="http://schemas.openxmlformats.org/officeDocument/2006/relationships/hyperlink" Target="../../../Downloads/2018_Electrical%20Transport%20Degradation%20of%20Chemically%20Doped%20Electronic-Type-Separated%20Single-Wall%20Carbon%20Nanotubes%20(2)-annotated.pdf" TargetMode="External"/><Relationship Id="rId686" Type="http://schemas.openxmlformats.org/officeDocument/2006/relationships/hyperlink" Target="../../Adarsh/Downloads/2019_Millisecond%20tension-annealing%20for%20enhancing%20carbon%20nanotube%20fibers_Song%20et%20al.pdf" TargetMode="External"/><Relationship Id="rId36" Type="http://schemas.openxmlformats.org/officeDocument/2006/relationships/hyperlink" Target="../../../../../../../AppData/AppData/Roaming/Microsoft/Excel/2012_Ghemes%20et%20al._Fabrication%20and%20mechanical%20properties%20of%20carbon%20nanotube%20yarns%20spun%20from%20ultra-long%20multi-walled%20carbon%20nanotube%20arra.pdf" TargetMode="External"/><Relationship Id="rId283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339" Type="http://schemas.openxmlformats.org/officeDocument/2006/relationships/hyperlink" Target="../../../AppData/Roaming/Microsoft/Excel/2012ThermalandElectricalConductivityOfArraySpunMultiwallCNTs.pdf" TargetMode="External"/><Relationship Id="rId490" Type="http://schemas.openxmlformats.org/officeDocument/2006/relationships/hyperlink" Target="../../../Downloads/2018_Structure&#8211;Property%20Relations%20in%20Carbon%20Nanotube%20FibersbyDownscalingSolutionProcessing.pdf" TargetMode="External"/><Relationship Id="rId504" Type="http://schemas.openxmlformats.org/officeDocument/2006/relationships/hyperlink" Target="../../../Downloads/2008_Highly%20Dense%20and%20Perfectly%20AlignedSWCNTFabrictatedbyDIamondRollingDies.pdf" TargetMode="External"/><Relationship Id="rId546" Type="http://schemas.openxmlformats.org/officeDocument/2006/relationships/hyperlink" Target="../../../Downloads/2020_Controlling%20Electronic%20States%20of%20Few-walled%20Carbon%20Nanotube%20Yarn%20via%20Joule-annealing%20and%20p-type%20Doping%20Towards%20Lar-annotated.pdf" TargetMode="External"/><Relationship Id="rId711" Type="http://schemas.openxmlformats.org/officeDocument/2006/relationships/hyperlink" Target="../../../Downloads/2018_HierarchicalStructureofCNTFibersandtheChangeofStructureDuringDensificationbyWetStretching.pdf" TargetMode="External"/><Relationship Id="rId78" Type="http://schemas.openxmlformats.org/officeDocument/2006/relationships/hyperlink" Target="../../../../../../../AppData/Roaming/Microsoft/2012%20Fabrication%20and%20processing%20of%20high-strength%20densely%20packed%20carbon%20nanotube%20yarns%20without%20solution%20processes.pdf" TargetMode="External"/><Relationship Id="rId101" Type="http://schemas.openxmlformats.org/officeDocument/2006/relationships/hyperlink" Target="../../../AppData/AppData/Roaming/Microsoft/Excel/2013_Behabtu_StrongLightUtrahighConductivityRice.pdf" TargetMode="External"/><Relationship Id="rId143" Type="http://schemas.openxmlformats.org/officeDocument/2006/relationships/hyperlink" Target="../../../../../../../AppData/AppData/Roaming/Microsoft/Excel/2017_High%20thermal%20conductivities%20of%20carbon%20nanotube%20films%20andMicrofibersandtheirDependenceOnMorphology.pdf" TargetMode="External"/><Relationship Id="rId185" Type="http://schemas.openxmlformats.org/officeDocument/2006/relationships/hyperlink" Target="../../../Downloads/2008_Highly%20oriented%20carbon%20nanotube%20papersMadeofAlignedCNTs.pdf" TargetMode="External"/><Relationship Id="rId350" Type="http://schemas.openxmlformats.org/officeDocument/2006/relationships/hyperlink" Target="../../../../../../../AppData/Roaming/Microsoft/Excel/1990_Mechanical%20and%20electrical%20properties%20ofPolyaceteleneFilmsDawnthrough.pdf" TargetMode="External"/><Relationship Id="rId406" Type="http://schemas.openxmlformats.org/officeDocument/2006/relationships/hyperlink" Target="../../../Downloads/2010_Double-peak%20mechanical%20properties%20of%20carbon-nanotube%20fibers.pdf" TargetMode="External"/><Relationship Id="rId588" Type="http://schemas.openxmlformats.org/officeDocument/2006/relationships/hyperlink" Target="../../../Downloads/1985_ElectricalResistivity_GraphiteIntercalationNitricAndAsF5.pdf" TargetMode="External"/><Relationship Id="rId9" Type="http://schemas.openxmlformats.org/officeDocument/2006/relationships/hyperlink" Target="../../../Downloads/2014_Anisotropic%20buckypaper%20through%20shear-inducedMechAlignmentofCNTsinwater.pdf" TargetMode="External"/><Relationship Id="rId210" Type="http://schemas.openxmlformats.org/officeDocument/2006/relationships/hyperlink" Target="../../../AppData/Roaming/AppData/Roaming/Microsoft/Excel/1986_Amorphous%20carbon.pdf" TargetMode="External"/><Relationship Id="rId392" Type="http://schemas.openxmlformats.org/officeDocument/2006/relationships/hyperlink" Target="../../../Downloads/2017_Strong%20and%20Broadly%20Tunable%20Plasmon%20Resonances%20in%20Thick%20Films%20of%20Aligned%20Carbon%20Nanotubes.pdf" TargetMode="External"/><Relationship Id="rId448" Type="http://schemas.openxmlformats.org/officeDocument/2006/relationships/hyperlink" Target="../../../../../../../Downloads/2016_Thermoelectric%20properties%20of%20single-wall%20carbon%20nanotube%20films%20Effects%20of%20diameter%20and%20wet%20environment-annotated.pdf" TargetMode="External"/><Relationship Id="rId613" Type="http://schemas.openxmlformats.org/officeDocument/2006/relationships/hyperlink" Target="../../Adarsh/Downloads/1989_10to5SperCm.pdf" TargetMode="External"/><Relationship Id="rId655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697" Type="http://schemas.openxmlformats.org/officeDocument/2006/relationships/hyperlink" Target="../../../AppData/Roaming/Microsoft/Excel/1981_GIC_review_Dresshaus.pdf" TargetMode="External"/><Relationship Id="rId252" Type="http://schemas.openxmlformats.org/officeDocument/2006/relationships/hyperlink" Target="../../../../../../../AppData/Roaming/AppData/Roaming/Microsoft/Excel/2014_High-StrengthCNTFiber-likeRibbonwithHighDuctilityandHighElectricalConductivity.pdf" TargetMode="External"/><Relationship Id="rId294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308" Type="http://schemas.openxmlformats.org/officeDocument/2006/relationships/hyperlink" Target="../../../../../../../AppData/Roaming/Microsoft/Excel/2019_Ichinose%20et%20al._Solving%20the%20Thermoelectric%20Trade-Off%20Problem%20with%20Metallic%20Carbon%20Nanotubes.pdf" TargetMode="External"/><Relationship Id="rId515" Type="http://schemas.openxmlformats.org/officeDocument/2006/relationships/hyperlink" Target="../../../Downloads/2016_High-Strength%20Carbon%20Nanotube%20Film%20from%20Improving%20AlignmentAndDensification.pdf" TargetMode="External"/><Relationship Id="rId722" Type="http://schemas.openxmlformats.org/officeDocument/2006/relationships/hyperlink" Target="../../../../../../../AppData/AppData/Roaming/Microsoft/Excel/2005_Vavro_Metal-insulator%20transistion%20in%20doped%20single-wall%20carbon%20nanotubes.pdf" TargetMode="External"/><Relationship Id="rId47" Type="http://schemas.openxmlformats.org/officeDocument/2006/relationships/hyperlink" Target="../../../../../../../AppData/AppData/Roaming/Microsoft/Excel/2007_Zhang%20et%20al._Strong%20carbon-nanotube%20fibers%20spun%20from%20long%20carbon-nanotube%20arrays.pdf" TargetMode="External"/><Relationship Id="rId89" Type="http://schemas.openxmlformats.org/officeDocument/2006/relationships/hyperlink" Target="../../../Downloads/2015_Fabrication%20of%20highly%20conductive%20carbon%20nanotube%20fibers%20for%20electrical%20application.pdf" TargetMode="External"/><Relationship Id="rId112" Type="http://schemas.openxmlformats.org/officeDocument/2006/relationships/hyperlink" Target="../../../Downloads/2017_Purification%20and%20Dissolution%20of%20Carbon%20Nanotube%20Fibers%20Spun%20fromFloatingCatmethod.pdf" TargetMode="External"/><Relationship Id="rId154" Type="http://schemas.openxmlformats.org/officeDocument/2006/relationships/hyperlink" Target="../../../Downloads/2011_High%20conductivity%20transparent%20carbonNT_withSuperAcid.pdf" TargetMode="External"/><Relationship Id="rId361" Type="http://schemas.openxmlformats.org/officeDocument/2006/relationships/hyperlink" Target="../../../../../../../AppData/Roaming/Microsoft/Excel/2010_StructureandProcessDependentPropertiesofSolid-StateSpunCarbonNanotubeYarns.pdf" TargetMode="External"/><Relationship Id="rId557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599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196" Type="http://schemas.openxmlformats.org/officeDocument/2006/relationships/hyperlink" Target="../../../../../../../AppData/AppData/Roaming/Microsoft/Excel/2018_Roll-to-roll%20continuous%20carbon%20nanotube%20sheetswithHighElectricalConductivity.pdf" TargetMode="External"/><Relationship Id="rId417" Type="http://schemas.openxmlformats.org/officeDocument/2006/relationships/hyperlink" Target="../../../Downloads/2018_Powerful%20doping%20of%20chirality-sorted%20carbon%20nanotube%20films(2)-annotated.pdf" TargetMode="External"/><Relationship Id="rId459" Type="http://schemas.openxmlformats.org/officeDocument/2006/relationships/hyperlink" Target="../../../Downloads/2004_Single%20wall%20carbon%20nanotube%20fibers%20extruded%20from%20super-acid%20suspensions.pdf" TargetMode="External"/><Relationship Id="rId624" Type="http://schemas.openxmlformats.org/officeDocument/2006/relationships/hyperlink" Target="../../../Downloads/1991_Mechanical%20and%20electrical%20properties%20of%20highly%20oriented%20polyacetylene%20films.pdf" TargetMode="External"/><Relationship Id="rId666" Type="http://schemas.openxmlformats.org/officeDocument/2006/relationships/hyperlink" Target="../../../Downloads/2009_Nirmalrag_Electrical%20Connectivity%20in%20Single-Walled%20Carbon%20Nanotube%20Networks.pdf" TargetMode="External"/><Relationship Id="rId16" Type="http://schemas.openxmlformats.org/officeDocument/2006/relationships/hyperlink" Target="../../../../../../../AppData/AppData/Roaming/Microsoft/Excel/2017_Ultra-high%20conductivity%20and%20metallic%20conduction%20mechanism%20of%20scaleup%20continuous%20carbon%20nanotube%20sheets%20by%20mechanical%20stretching%20and%20stable%20chemical%20doping.pdf" TargetMode="External"/><Relationship Id="rId221" Type="http://schemas.openxmlformats.org/officeDocument/2006/relationships/hyperlink" Target="../../../Downloads/2008%20Measurements%20of%20near-ultimate%20strength%20for%20multiwall%20CNTs.pdf" TargetMode="External"/><Relationship Id="rId263" Type="http://schemas.openxmlformats.org/officeDocument/2006/relationships/hyperlink" Target="../../../../../../../AppData/Roaming/Microsoft/Excel/1983_Chieu_High-field_magnetoresistance_measurements_on_highly_ordered_graphitefibers.pdf" TargetMode="External"/><Relationship Id="rId319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470" Type="http://schemas.openxmlformats.org/officeDocument/2006/relationships/hyperlink" Target="../../../../../../../Downloads/2019_Carbon%20nanotube%20fibers%20with%20enhanced%20longitudinal%20carrier%20mobility%20for%20high-performance%20all-carbon%20thermoelectric(3)-annotated.pdf" TargetMode="External"/><Relationship Id="rId526" Type="http://schemas.openxmlformats.org/officeDocument/2006/relationships/hyperlink" Target="../../../Downloads/2005_Effect%20of%20Chemical%20Treatment%20on%20Electrical%20Conductivity,%20Infrared%20Absorption,%20and%20Raman.pdf" TargetMode="External"/><Relationship Id="rId58" Type="http://schemas.openxmlformats.org/officeDocument/2006/relationships/hyperlink" Target="../../../../../../../AppData/Roaming/Microsoft/2012_High-Density%20Carbon%20Nanotube%20Buckypapers%20with%20SuperiorTransportandMechProperties.pdf" TargetMode="External"/><Relationship Id="rId123" Type="http://schemas.openxmlformats.org/officeDocument/2006/relationships/hyperlink" Target="../../../../../../../AppData/Roaming/Microsoft/Excel/2019_Jensen%20et%20al._Carbon_Toward%20Ultralight%20High%20Strength%20Structural%20Materials%20via%20Collapsed%20Carbon%20Nanotube%20Bonding.pdf" TargetMode="External"/><Relationship Id="rId330" Type="http://schemas.openxmlformats.org/officeDocument/2006/relationships/hyperlink" Target="../../../AppData/Roaming/Microsoft/Excel/2011_Meng_Electrical%20conductivity%20of%20pure%20carbon%20nanotube%20yarns.pdf" TargetMode="External"/><Relationship Id="rId568" Type="http://schemas.openxmlformats.org/officeDocument/2006/relationships/hyperlink" Target="../../../Downloads/2007_Thermal%20transport%20in%20MWCNT%20sheets%20and%20yarns-annotated.pdf" TargetMode="External"/><Relationship Id="rId733" Type="http://schemas.openxmlformats.org/officeDocument/2006/relationships/hyperlink" Target="../../../../../../../AppData/Roaming/Microsoft/Excel/1984_Murday_AnAssessmentofGraphitizedCarbonFiberUseForElectricalPowerTransmission.pdf" TargetMode="External"/><Relationship Id="rId165" Type="http://schemas.openxmlformats.org/officeDocument/2006/relationships/hyperlink" Target="../../../../../../../AppData/Roaming/Microsoft/2012_Dramatic%20electrical%20conductivity%20improvement%20of%20carbon%20nanotube%20networks_bysilultaniousDebundlinandHoldDopindviaCSA.pdf" TargetMode="External"/><Relationship Id="rId372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428" Type="http://schemas.openxmlformats.org/officeDocument/2006/relationships/hyperlink" Target="../../../Downloads/2017_Three-dimensional%20texture%20analysis%20of%20aligned%20carbon%20nanotube%20structures.pdf" TargetMode="External"/><Relationship Id="rId635" Type="http://schemas.openxmlformats.org/officeDocument/2006/relationships/hyperlink" Target="../../../Downloads/2012_Sharp%20burnout%20failure%20observed%20in%20high%20current%20carrying%20double%20walled%20carbon%20nanotube%20fibers.pdf" TargetMode="External"/><Relationship Id="rId677" Type="http://schemas.openxmlformats.org/officeDocument/2006/relationships/hyperlink" Target="../../Adarsh/Downloads/2001_Kaiser_Electronic%20transport%20properties%20of%20conducting%20polymers%20and%20carbon%20nanotubes.pdf" TargetMode="External"/><Relationship Id="rId232" Type="http://schemas.openxmlformats.org/officeDocument/2006/relationships/hyperlink" Target="../../../AppData/Roaming/Microsoft/Excel/2000%20Strength%20and%20Breaking%20Mechanism%20of%20MWCNT%20under%20tensile%20load.pdf" TargetMode="External"/><Relationship Id="rId274" Type="http://schemas.openxmlformats.org/officeDocument/2006/relationships/hyperlink" Target="../../../AppData/Roaming/Microsoft/Excel/1985_ElectricalResistivity_GraphiteIntercalationNitricAndAsF5.pdf" TargetMode="External"/><Relationship Id="rId481" Type="http://schemas.openxmlformats.org/officeDocument/2006/relationships/hyperlink" Target="../../../Downloads/2017_Extreme%20Magneto-transport%20of%20Bulk%20Carbon%20Nanotubes%20in%20Sorted%20Electronic%20Concentrations%20and%20Aligned%20High%20Performance%20Fiber.pdf" TargetMode="External"/><Relationship Id="rId702" Type="http://schemas.openxmlformats.org/officeDocument/2006/relationships/hyperlink" Target="../../../Downloads/2015_Post-Treatments%20for%20Multifunctional%20Property%20Enhancement%20ofCNTfibersFromFloatingCat.pdf" TargetMode="External"/><Relationship Id="rId27" Type="http://schemas.openxmlformats.org/officeDocument/2006/relationships/hyperlink" Target="../../../../../../../Downloads/2018_Zhao%20et%20al._Materials%20and%20Design_A%20comparison%20of%20the%20twisted%20and%20untwisted%20structures%20for%20one-dimensional%20carbon%20nanotube%20assemblie.pdf" TargetMode="External"/><Relationship Id="rId69" Type="http://schemas.openxmlformats.org/officeDocument/2006/relationships/hyperlink" Target="../../../Downloads/2012%20Fabrication%20and%20processing%20of%20high-strength%20densely%20packed%20carbon%20nanotube%20yarns%20without%20solution%20processes.pdf" TargetMode="External"/><Relationship Id="rId134" Type="http://schemas.openxmlformats.org/officeDocument/2006/relationships/hyperlink" Target="../../../../../../../AppData/AppData/Roaming/Microsoft/Excel/2014_High-StrengthCNTFiber-likeRibbonwithHighDuctilityandHighElectricalConductivity.pdf" TargetMode="External"/><Relationship Id="rId537" Type="http://schemas.openxmlformats.org/officeDocument/2006/relationships/hyperlink" Target="../../../Downloads/2007_Purewal_Scaling%20of%20Resistance%20and%20Electron%20Mean%20Free%20Path%20of%20Single-Walled%20Carbon%20Nanotubes.pdf" TargetMode="External"/><Relationship Id="rId579" Type="http://schemas.openxmlformats.org/officeDocument/2006/relationships/hyperlink" Target="../../../Downloads/2019_One-directional%20thermal%20transport%20in%20densely%20aligned%20single-wall%20carbon%20nanotube%20films-annotated.pdf" TargetMode="External"/><Relationship Id="rId744" Type="http://schemas.openxmlformats.org/officeDocument/2006/relationships/hyperlink" Target="../../../Downloads/2017_Free-standing%20films%20from%20chirality-controlled%20carbon%20nanotubes.html" TargetMode="External"/><Relationship Id="rId80" Type="http://schemas.openxmlformats.org/officeDocument/2006/relationships/hyperlink" Target="../../../../../../../AppData/Roaming/Microsoft/2012_InsituCharacterizationofStructuralChangesandtheFractionofAlignedCNTnetworksproducedByStretching.pdf" TargetMode="External"/><Relationship Id="rId176" Type="http://schemas.openxmlformats.org/officeDocument/2006/relationships/hyperlink" Target="../../../Downloads/2008_Blackburn_TransparentSWCNTNetworkTunableRatios.pdf" TargetMode="External"/><Relationship Id="rId341" Type="http://schemas.openxmlformats.org/officeDocument/2006/relationships/hyperlink" Target="../../../AppData/Roaming/Microsoft/Excel/2012ThermalandElectricalConductivityOfArraySpunMultiwallCNTs.pdf" TargetMode="External"/><Relationship Id="rId383" Type="http://schemas.openxmlformats.org/officeDocument/2006/relationships/hyperlink" Target="../../../Downloads/2019_Thermoelectric%20properties%20of%20sorted%20semiconducting%20single-walled%20carbon%20nanotube%20sheets.pdf" TargetMode="External"/><Relationship Id="rId439" Type="http://schemas.openxmlformats.org/officeDocument/2006/relationships/hyperlink" Target="../../../Downloads/2015_Effects%20of%20CNT%20diameter%20on%20mechanical%20properties%20of%20aligned%20CNT%20sheets.pdf" TargetMode="External"/><Relationship Id="rId590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604" Type="http://schemas.openxmlformats.org/officeDocument/2006/relationships/hyperlink" Target="../../../Downloads/1990_Mechanical%20and%20electrical%20properties%20ofPolyaceteleneFilmsDawnthrough.pdf" TargetMode="External"/><Relationship Id="rId646" Type="http://schemas.openxmlformats.org/officeDocument/2006/relationships/hyperlink" Target="../../../Downloads/2019_Soule%20et%20al._Sustaining%20Enhanced%20Electrical%20Conductivity%20in%20KAuBr%204%20-Doped%20Carbon%20Nanotube%20Wires%20at%20High%20Current%20Densities.pdf" TargetMode="External"/><Relationship Id="rId201" Type="http://schemas.openxmlformats.org/officeDocument/2006/relationships/hyperlink" Target="../../../AppData/Roaming/AppData/Roaming/Microsoft/Excel/1992%20iPAC%20review.pdf" TargetMode="External"/><Relationship Id="rId243" Type="http://schemas.openxmlformats.org/officeDocument/2006/relationships/hyperlink" Target="../../../Downloads/2018%20Nature%20Carbon%20nanotube%20bundles%20with%20tensile%20strength.pdf" TargetMode="External"/><Relationship Id="rId285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450" Type="http://schemas.openxmlformats.org/officeDocument/2006/relationships/hyperlink" Target="../../../../../../../Downloads/2016_Thermoelectric%20properties%20of%20single-wall%20carbon%20nanotube%20films%20Effects%20of%20diameter%20and%20wet%20environment-annotated.pdf" TargetMode="External"/><Relationship Id="rId506" Type="http://schemas.openxmlformats.org/officeDocument/2006/relationships/hyperlink" Target="../../../Downloads/2018_Structure&#8211;Property%20Relations%20in%20Carbon%20Nanotube%20FibersbyDownscalingSolutionProcessing.pdf" TargetMode="External"/><Relationship Id="rId688" Type="http://schemas.openxmlformats.org/officeDocument/2006/relationships/hyperlink" Target="../../../Downloads/2017_High%20thermal%20conductivities%20of%20carbon%20nanotube%20films%20andMicrofibersandtheirDependenceOnMorphology.pdf" TargetMode="External"/><Relationship Id="rId38" Type="http://schemas.openxmlformats.org/officeDocument/2006/relationships/hyperlink" Target="../../../../../../../AppData/AppData/Roaming/Microsoft/Excel/2011_Jia%20et%20al._A%20comparison%20of%20the%20mechanical%20properties%20of%20fibers%20spun%20from%20different%20carbon%20nanotubes.pdf" TargetMode="External"/><Relationship Id="rId103" Type="http://schemas.openxmlformats.org/officeDocument/2006/relationships/hyperlink" Target="../../../../../../../AppData/Roaming/Microsoft/Excel/2010_High%20conductivity%20carbon%20nanotube%20wires%20from%20radial%20densificationIonicDoping.pdf" TargetMode="External"/><Relationship Id="rId310" Type="http://schemas.openxmlformats.org/officeDocument/2006/relationships/hyperlink" Target="../../../../../../../AppData/Roaming/Microsoft/Excel/2019_Ichinose%20et%20al._Solving%20the%20Thermoelectric%20Trade-Off%20Problem%20with%20Metallic%20Carbon%20Nanotubes.pdf" TargetMode="External"/><Relationship Id="rId492" Type="http://schemas.openxmlformats.org/officeDocument/2006/relationships/hyperlink" Target="../../../Downloads/2018_Structure&#8211;Property%20Relations%20in%20Carbon%20Nanotube%20FibersbyDownscalingSolutionProcessing.pdf" TargetMode="External"/><Relationship Id="rId548" Type="http://schemas.openxmlformats.org/officeDocument/2006/relationships/hyperlink" Target="../../../Downloads/2020_Controlling%20Electronic%20States%20of%20Few-walled%20Carbon%20Nanotube%20Yarn%20via%20Joule-annealing%20and%20p-type%20Doping%20Towards%20Lar-annotated.pdf" TargetMode="External"/><Relationship Id="rId713" Type="http://schemas.openxmlformats.org/officeDocument/2006/relationships/hyperlink" Target="../../../AppData/Roaming/Microsoft/Excel/1989_PREPARATION%20AND%20PROPERTIES%20OF%20VAPOR%20GROWN%20GRAPHITE%20.pdf" TargetMode="External"/><Relationship Id="rId91" Type="http://schemas.openxmlformats.org/officeDocument/2006/relationships/hyperlink" Target="../../../Downloads/2017_Performance%20improvement%20of%20continuous%20carbon%20nanotubefibersbyAcidtreatment.pdf" TargetMode="External"/><Relationship Id="rId145" Type="http://schemas.openxmlformats.org/officeDocument/2006/relationships/hyperlink" Target="../../../../../../../AppData/AppData/Roaming/Microsoft/Excel/2017_Performance%20improvement%20of%20continuous%20carbon%20nanotubefibersbyAcidtreatment.pdf" TargetMode="External"/><Relationship Id="rId187" Type="http://schemas.openxmlformats.org/officeDocument/2006/relationships/hyperlink" Target="../../../Downloads/2008_The%20feasibility%20of%20producing%20MWCNT%20paper%20and%20strong%20MWCNTFilmfromVACNTarray.pdf" TargetMode="External"/><Relationship Id="rId352" Type="http://schemas.openxmlformats.org/officeDocument/2006/relationships/hyperlink" Target="../../../../../../../AppData/Roaming/Microsoft/Excel/1990_Mechanical%20and%20electrical%20properties%20ofPolyaceteleneFilmsDawnthrough.pdf" TargetMode="External"/><Relationship Id="rId394" Type="http://schemas.openxmlformats.org/officeDocument/2006/relationships/hyperlink" Target="../../../../../../../AppData/AppData/Roaming/Microsoft/Excel/2017_Ultra-high%20conductivity%20and%20metallic%20conduction%20mechanism%20of%20scaleup%20continuous%20carbon%20nanotube%20sheets%20by%20mechanical%20stretching%20and%20stable%20chemical%20doping.pdf" TargetMode="External"/><Relationship Id="rId408" Type="http://schemas.openxmlformats.org/officeDocument/2006/relationships/hyperlink" Target="../../../Downloads/2010_Double-peak%20mechanical%20properties%20of%20carbon-nanotube%20fibers.pdf" TargetMode="External"/><Relationship Id="rId615" Type="http://schemas.openxmlformats.org/officeDocument/2006/relationships/hyperlink" Target="../../../Downloads/1988_ELECTRICAL%20CONDUCTIVITY%20OF%20HIGHLY-ORIENTED-POLYACETYLENE.pdf" TargetMode="External"/><Relationship Id="rId212" Type="http://schemas.openxmlformats.org/officeDocument/2006/relationships/hyperlink" Target="../../../AppData/Roaming/AppData/Roaming/Microsoft/Excel/1986_Amorphous%20carbon.pdf" TargetMode="External"/><Relationship Id="rId254" Type="http://schemas.openxmlformats.org/officeDocument/2006/relationships/hyperlink" Target="../../../../../../../AppData/Roaming/AppData/Roaming/Microsoft/Excel/2017_High-modulus%20and%20strength%20carbon%20nanotube%20fibers%20using%20molecularCrossLinking.pdf" TargetMode="External"/><Relationship Id="rId657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699" Type="http://schemas.openxmlformats.org/officeDocument/2006/relationships/hyperlink" Target="../../../AppData/Roaming/Microsoft/Excel/1981_GIC_review_Dresshaus.pdf" TargetMode="External"/><Relationship Id="rId49" Type="http://schemas.openxmlformats.org/officeDocument/2006/relationships/hyperlink" Target="../../../AppData/Roaming/Microsoft/2006_The%20effect%20of%20annealing%20on%20the%20electrical%20and%20thermal%20transport.pdf" TargetMode="External"/><Relationship Id="rId114" Type="http://schemas.openxmlformats.org/officeDocument/2006/relationships/hyperlink" Target="../../../Downloads/2017_High-strength%20carbon%20nanotube%20fibers%20by%20twist-induced%20selfstrengthening.pdf" TargetMode="External"/><Relationship Id="rId296" Type="http://schemas.openxmlformats.org/officeDocument/2006/relationships/hyperlink" Target="../../../Downloads/2017_Influence%20of%20Carbon%20Nanotube%20Characteristics%20on%20Macroscopic%20FiberProperties.pdf" TargetMode="External"/><Relationship Id="rId461" Type="http://schemas.openxmlformats.org/officeDocument/2006/relationships/hyperlink" Target="../../../Downloads/2004_Single%20wall%20carbon%20nanotube%20fibers%20extruded%20from%20super-acid%20suspensions.pdf" TargetMode="External"/><Relationship Id="rId517" Type="http://schemas.openxmlformats.org/officeDocument/2006/relationships/hyperlink" Target="../../../Downloads/2011_Highly%20conductive%20carbon%20nanotube%20buckypapers%20with%20improved%20doping%20stability%20viaConjugatedCrossLinking.pdf" TargetMode="External"/><Relationship Id="rId559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724" Type="http://schemas.openxmlformats.org/officeDocument/2006/relationships/hyperlink" Target="../../../AppData/Roaming/Microsoft/Excel/1981_GIC_review_Dresshaus.pdf" TargetMode="External"/><Relationship Id="rId60" Type="http://schemas.openxmlformats.org/officeDocument/2006/relationships/hyperlink" Target="../../../../../../../AppData/Roaming/Microsoft/2012_High-Density%20Carbon%20Nanotube%20Buckypapers%20with%20SuperiorTransportandMechProperties.pdf" TargetMode="External"/><Relationship Id="rId156" Type="http://schemas.openxmlformats.org/officeDocument/2006/relationships/hyperlink" Target="../../../Downloads/2004_Effect%20of%20SOCl2%20Treatment%20on%20Electrical%20and%20MechanicalPropertiesofSWCNT.pdf" TargetMode="External"/><Relationship Id="rId198" Type="http://schemas.openxmlformats.org/officeDocument/2006/relationships/hyperlink" Target="../../../Downloads/1992%20iPAC%20review.pdf" TargetMode="External"/><Relationship Id="rId321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363" Type="http://schemas.openxmlformats.org/officeDocument/2006/relationships/hyperlink" Target="../../../../../../../AppData/Roaming/Microsoft/Excel/2010_StructureandProcessDependentPropertiesofSolid-StateSpunCarbonNanotubeYarns.pdf" TargetMode="External"/><Relationship Id="rId419" Type="http://schemas.openxmlformats.org/officeDocument/2006/relationships/hyperlink" Target="../../../Downloads/2018_Powerful%20doping%20of%20chirality-sorted%20carbon%20nanotube%20films(2)-annotated.pdf" TargetMode="External"/><Relationship Id="rId570" Type="http://schemas.openxmlformats.org/officeDocument/2006/relationships/hyperlink" Target="../../../Downloads/2005_Measuring%20the%20thermal%20conductivity%20of%20a%20single%20carbon%20nanotube-annotated.pdf" TargetMode="External"/><Relationship Id="rId626" Type="http://schemas.openxmlformats.org/officeDocument/2006/relationships/hyperlink" Target="../../../Downloads/1991_Mechanical%20and%20electrical%20properties%20of%20highly%20oriented%20polyacetylene%20films.pdf" TargetMode="External"/><Relationship Id="rId223" Type="http://schemas.openxmlformats.org/officeDocument/2006/relationships/hyperlink" Target="../../../AppData/Roaming/Microsoft/Excel/2008%20Measurements%20of%20near-ultimate%20strength%20for%20multiwall%20CNTs.pdf" TargetMode="External"/><Relationship Id="rId430" Type="http://schemas.openxmlformats.org/officeDocument/2006/relationships/hyperlink" Target="../../../Downloads/2017_Three-dimensional%20texture%20analysis%20of%20aligned%20carbon%20nanotube%20structures.pdf" TargetMode="External"/><Relationship Id="rId668" Type="http://schemas.openxmlformats.org/officeDocument/2006/relationships/hyperlink" Target="../../../Downloads/2008_Highly%20Dense%20and%20Perfectly%20AlignedSWCNTFabrictatedbyDIamondRollingDies.pdf" TargetMode="External"/><Relationship Id="rId18" Type="http://schemas.openxmlformats.org/officeDocument/2006/relationships/hyperlink" Target="../../../../../../../AppData/AppData/Roaming/Microsoft/Excel/2017_Preparation%20of%20carbon%20nanotube%20film%20with%20high%20alignment%20and%20elevatedDensity.pdf" TargetMode="External"/><Relationship Id="rId265" Type="http://schemas.openxmlformats.org/officeDocument/2006/relationships/hyperlink" Target="../../../AppData/Roaming/Microsoft/Excel/1989_Inagaki_Applications%20of%20graphite%20intercalation%20compounds.pdf" TargetMode="External"/><Relationship Id="rId472" Type="http://schemas.openxmlformats.org/officeDocument/2006/relationships/hyperlink" Target="../../../Downloads/2017_Influence%20of%20Carbon%20Nanotube%20Characteristics%20on%20Macroscopic%20FiberProperties.pdf" TargetMode="External"/><Relationship Id="rId528" Type="http://schemas.openxmlformats.org/officeDocument/2006/relationships/hyperlink" Target="../../../../../../../AppData/AppData/Roaming/Microsoft/Excel/2005_Effect%20of%20Chemical%20Treatment%20on%20Electrical%20Conductivity,%20Infrared%20Absorption,%20and%20Raman.pdf" TargetMode="External"/><Relationship Id="rId735" Type="http://schemas.openxmlformats.org/officeDocument/2006/relationships/hyperlink" Target="../../../../../../../AppData/Roaming/Microsoft/Excel/1984_Murday_AnAssessmentofGraphitizedCarbonFiberUseForElectricalPowerTransmission.pdf" TargetMode="External"/><Relationship Id="rId125" Type="http://schemas.openxmlformats.org/officeDocument/2006/relationships/hyperlink" Target="../../../../../../../AppData/AppData/Roaming/Microsoft/Excel/2019_Jensen%20et%20al._Carbon_Toward%20Ultralight%20High%20Strength%20Structural%20Materials%20via%20Collapsed%20Carbon%20Nanotube%20Bonding.pdf" TargetMode="External"/><Relationship Id="rId167" Type="http://schemas.openxmlformats.org/officeDocument/2006/relationships/hyperlink" Target="../../../Downloads/2012_Dramatic%20electrical%20conductivity%20improvement%20of%20carbon%20nanotube%20networks_bysilultaniousDebundlinandHoldDopindviaCSA.pdf" TargetMode="External"/><Relationship Id="rId332" Type="http://schemas.openxmlformats.org/officeDocument/2006/relationships/hyperlink" Target="../../../AppData/Roaming/Microsoft/Excel/2011_Meng_Electrical%20conductivity%20of%20pure%20carbon%20nanotube%20yarns.pdf" TargetMode="External"/><Relationship Id="rId374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581" Type="http://schemas.openxmlformats.org/officeDocument/2006/relationships/hyperlink" Target="../../../Downloads/2008_The%20relationship%20between%20network%20morphology%20and%20conductivity%20in%20nanotube%20films-annotated.pdf" TargetMode="External"/><Relationship Id="rId71" Type="http://schemas.openxmlformats.org/officeDocument/2006/relationships/hyperlink" Target="../../../../../../../AppData/Roaming/Microsoft/2012%20Fabrication%20and%20processing%20of%20high-strength%20densely%20packed%20carbon%20nanotube%20yarns%20without%20solution%20processes.pdf" TargetMode="External"/><Relationship Id="rId234" Type="http://schemas.openxmlformats.org/officeDocument/2006/relationships/hyperlink" Target="../../../Downloads/1997_Fischer_MetallicResistivityinCrystallineRopes0fSWCNT.pdf" TargetMode="External"/><Relationship Id="rId637" Type="http://schemas.openxmlformats.org/officeDocument/2006/relationships/hyperlink" Target="../../../Downloads/2012_Sharp%20burnout%20failure%20observed%20in%20high%20current%20carrying%20double%20walled%20carbon%20nanotube%20fibers.pdf" TargetMode="External"/><Relationship Id="rId679" Type="http://schemas.openxmlformats.org/officeDocument/2006/relationships/hyperlink" Target="../../Adarsh/Downloads/1994_Kaneko_Electrical%20conductance%20in%20metallic%20phases%20of%20fully%20doped%20polyacetylene.pdf" TargetMode="External"/><Relationship Id="rId2" Type="http://schemas.openxmlformats.org/officeDocument/2006/relationships/hyperlink" Target="../../../Downloads/2010_Thermal%20and%20electrical%20conductivity%20of%20tall,%20vertically%20alignedCNTarrays.pdf" TargetMode="External"/><Relationship Id="rId29" Type="http://schemas.openxmlformats.org/officeDocument/2006/relationships/hyperlink" Target="../../../../../../../AppData/AppData/Roaming/Microsoft/Excel/2012_Carbon%20nanotube%20fibers%20for%20electrochemical%20applicationseffect%20of%20enhanced.pdf" TargetMode="External"/><Relationship Id="rId276" Type="http://schemas.openxmlformats.org/officeDocument/2006/relationships/hyperlink" Target="../../../AppData/Roaming/Microsoft/Excel/1985_ElectricalResistivity_GraphiteIntercalationNitricAndAsF5.pdf" TargetMode="External"/><Relationship Id="rId441" Type="http://schemas.openxmlformats.org/officeDocument/2006/relationships/hyperlink" Target="../../../Downloads/2015_Effects%20of%20CNT%20diameter%20on%20mechanical%20properties%20of%20aligned%20CNT%20sheets.pdf" TargetMode="External"/><Relationship Id="rId483" Type="http://schemas.openxmlformats.org/officeDocument/2006/relationships/hyperlink" Target="../../../Downloads/2017_Extreme%20Magneto-transport%20of%20Bulk%20Carbon%20Nanotubes%20in%20Sorted%20Electronic%20Concentrations%20and%20Aligned%20High%20Performance%20Fiber.pdf" TargetMode="External"/><Relationship Id="rId539" Type="http://schemas.openxmlformats.org/officeDocument/2006/relationships/hyperlink" Target="../../../Downloads/2014_Interplay%20of%20wall%20number%20and%20diameter%20on%20the%20electrical%20conductivity%20of%20CNT%20thin%20films.htm" TargetMode="External"/><Relationship Id="rId690" Type="http://schemas.openxmlformats.org/officeDocument/2006/relationships/hyperlink" Target="../../../../../../../AppData/AppData/Roaming/Microsoft/Excel/2017_High%20thermal%20conductivities%20of%20carbon%20nanotube%20films%20andMicrofibersandtheirDependenceOnMorphology.pdf" TargetMode="External"/><Relationship Id="rId704" Type="http://schemas.openxmlformats.org/officeDocument/2006/relationships/hyperlink" Target="../../../Downloads/2015_Post-Treatments%20for%20Multifunctional%20Property%20Enhancement%20ofCNTfibersFromFloatingCat.pdf" TargetMode="External"/><Relationship Id="rId40" Type="http://schemas.openxmlformats.org/officeDocument/2006/relationships/hyperlink" Target="../../../../../../../Downloads/2011_Jia%20et%20al._A%20comparison%20of%20the%20mechanical%20properties%20of%20fibers%20spun%20from%20different%20carbon%20nanotubes.pdf" TargetMode="External"/><Relationship Id="rId136" Type="http://schemas.openxmlformats.org/officeDocument/2006/relationships/hyperlink" Target="../../../../../../../AppData/AppData/Roaming/Microsoft/Excel/2016_Lightweight,%20Flexible,%20High-Performance%20Carbon%20Nanotube%20CablesMadebyScalableFlowCoating.pdf" TargetMode="External"/><Relationship Id="rId178" Type="http://schemas.openxmlformats.org/officeDocument/2006/relationships/hyperlink" Target="../../../Downloads/2011_Bhatia_Probing%20the%20inter-tube%20transport%20in%20aligned%20and%20random%20multiwall%20carbon%20nanotubes.pdf" TargetMode="External"/><Relationship Id="rId301" Type="http://schemas.openxmlformats.org/officeDocument/2006/relationships/hyperlink" Target="../../../Downloads/2012_Matsumoto%20et%20al._Alkali-metal-graphite%20intercalation%20compounds%20prepared%20from%20flexible%20graphite%20sheets%20exhibiting%20high%20air%20stability.pdf" TargetMode="External"/><Relationship Id="rId343" Type="http://schemas.openxmlformats.org/officeDocument/2006/relationships/hyperlink" Target="../../../AppData/Roaming/Microsoft/Excel/2012ThermalandElectricalConductivityOfArraySpunMultiwallCNTs.pdf" TargetMode="External"/><Relationship Id="rId550" Type="http://schemas.openxmlformats.org/officeDocument/2006/relationships/hyperlink" Target="../../../Downloads/2020_Controlling%20Electronic%20States%20of%20Few-walled%20Carbon%20Nanotube%20Yarn%20via%20Joule-annealing%20and%20p-type%20Doping%20Towards%20Lar-annotated.pdf" TargetMode="External"/><Relationship Id="rId82" Type="http://schemas.openxmlformats.org/officeDocument/2006/relationships/hyperlink" Target="../../../../../../../AppData/Roaming/Microsoft/2018_Enhancement%20of%20the%20twisted%20carbon%20nanotube%20fibers%20properties%20byDrawingProcessAndAcidTreatment.pdf" TargetMode="External"/><Relationship Id="rId203" Type="http://schemas.openxmlformats.org/officeDocument/2006/relationships/hyperlink" Target="../../../AppData/Roaming/AppData/Roaming/Microsoft/Excel/1992%20iPAC%20review.pdf" TargetMode="External"/><Relationship Id="rId385" Type="http://schemas.openxmlformats.org/officeDocument/2006/relationships/hyperlink" Target="../../../../../../../Downloads/Personal/SharedLiteratureDataBase/2019_Thermoelectric%20properties%20of%20sorted%20semiconducting%20single-walled%20carbon%20nanotube%20sheets.pdf" TargetMode="External"/><Relationship Id="rId592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606" Type="http://schemas.openxmlformats.org/officeDocument/2006/relationships/hyperlink" Target="../../../Downloads/1983_ELECTRICAL%20AND%20MECHANICAL%20PROPERTIES%20OF%20COPPER.pdf" TargetMode="External"/><Relationship Id="rId648" Type="http://schemas.openxmlformats.org/officeDocument/2006/relationships/hyperlink" Target="../../../Downloads/2019_Soule%20et%20al._Sustaining%20Enhanced%20Electrical%20Conductivity%20in%20KAuBr%204%20-Doped%20Carbon%20Nanotube%20Wires%20at%20High%20Current%20Densities.pdf" TargetMode="External"/><Relationship Id="rId245" Type="http://schemas.openxmlformats.org/officeDocument/2006/relationships/hyperlink" Target="../../../AppData/Roaming/Microsoft/Excel/1986_Shioya_PROPERTIES%20OF%20AsFs-INTERCALATED%20VAPOR-GROWN%20GRAPHITE.pdf" TargetMode="External"/><Relationship Id="rId287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410" Type="http://schemas.openxmlformats.org/officeDocument/2006/relationships/hyperlink" Target="../../../Downloads/2019_LargeImprovementforelectricicalwireCNTconductivitybyannealinganddoping.pdf" TargetMode="External"/><Relationship Id="rId452" Type="http://schemas.openxmlformats.org/officeDocument/2006/relationships/hyperlink" Target="../../../../../../../Downloads/2019_Intrinsic%20and%20Extrinsically%20Limited%20Thermoelectric%20Transport%20within%20Semiconducting%20Single-Walled%20Carbon%20Nanotu-annotated.pdf" TargetMode="External"/><Relationship Id="rId494" Type="http://schemas.openxmlformats.org/officeDocument/2006/relationships/hyperlink" Target="../../../Downloads/2018_Structure&#8211;Property%20Relations%20in%20Carbon%20Nanotube%20FibersbyDownscalingSolutionProcessing.pdf" TargetMode="External"/><Relationship Id="rId508" Type="http://schemas.openxmlformats.org/officeDocument/2006/relationships/hyperlink" Target="../../../../../../../AppData/AppData/Roaming/Microsoft/Excel/2017_High-modulus%20and%20strength%20carbon%20nanotube%20fibers%20using%20molecularCrossLinking.pdf" TargetMode="External"/><Relationship Id="rId715" Type="http://schemas.openxmlformats.org/officeDocument/2006/relationships/hyperlink" Target="../../../AppData/Roaming/Microsoft/Excel/1989_PREPARATION%20AND%20PROPERTIES%20OF%20VAPOR%20GROWN%20GRAPHITE%20.pdf" TargetMode="External"/><Relationship Id="rId105" Type="http://schemas.openxmlformats.org/officeDocument/2006/relationships/hyperlink" Target="../../../Downloads/2007_Directly%20Synthesized%20Strong,%20HighlyConductingTransparentSWCNTfilms.pdf" TargetMode="External"/><Relationship Id="rId147" Type="http://schemas.openxmlformats.org/officeDocument/2006/relationships/hyperlink" Target="../../../../../../../AppData/AppData/Roaming/Microsoft/Excel/2014_Iodine%20monochloride%20as%20a%20powerful%20enhancerofelectricalconductivityofCNTwires.pdf" TargetMode="External"/><Relationship Id="rId312" Type="http://schemas.openxmlformats.org/officeDocument/2006/relationships/hyperlink" Target="../../../../../../../AppData/Roaming/Microsoft/Excel/2019_Ichinose%20et%20al._Solving%20the%20Thermoelectric%20Trade-Off%20Problem%20with%20Metallic%20Carbon%20Nanotubes.pdf" TargetMode="External"/><Relationship Id="rId354" Type="http://schemas.openxmlformats.org/officeDocument/2006/relationships/hyperlink" Target="../../../AppData/Roaming/Microsoft/Excel/2008_Macroscopic%20Fibers%20of%20Well-Aligned%20Carbon%20Nanotubes.pdf" TargetMode="External"/><Relationship Id="rId51" Type="http://schemas.openxmlformats.org/officeDocument/2006/relationships/hyperlink" Target="../../../AppData/Roaming/Microsoft/2006_The%20effect%20of%20annealing%20on%20the%20electrical%20and%20thermal%20transport.pdf" TargetMode="External"/><Relationship Id="rId93" Type="http://schemas.openxmlformats.org/officeDocument/2006/relationships/hyperlink" Target="../../../../../../../AppData/AppData/Roaming/Microsoft/Excel/2005_Vavro_Metal-insulator%20transistion%20in%20doped%20single-wall%20carbon%20nanotubes.pdf" TargetMode="External"/><Relationship Id="rId189" Type="http://schemas.openxmlformats.org/officeDocument/2006/relationships/hyperlink" Target="../../../../../../../AppData/Roaming/Microsoft/2008_The%20feasibility%20of%20producing%20MWCNT%20paper%20and%20strong%20MWCNTFilmfromVACNTarray.pdf" TargetMode="External"/><Relationship Id="rId396" Type="http://schemas.openxmlformats.org/officeDocument/2006/relationships/hyperlink" Target="../../../Downloads/2009_High%20Mechanical%20Performance%20Composite%20ConductorMultiwalledCNTsheetBismaleimideNanoComposite.pdf" TargetMode="External"/><Relationship Id="rId561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617" Type="http://schemas.openxmlformats.org/officeDocument/2006/relationships/hyperlink" Target="../../../Downloads/2018_The%20operational%20window%20of%20carbon%20nanotube%20electrical%20wires%20treated%20with%20strong%20acids%20and%20oxidants.pdf" TargetMode="External"/><Relationship Id="rId659" Type="http://schemas.openxmlformats.org/officeDocument/2006/relationships/hyperlink" Target="../../../Downloads/2005_Measurement%20of%20thermal%20conductivity%20of%20individual%20multiwalled%20carbon%20nanotube%20by%20the%203%20omega%20method.pdf" TargetMode="External"/><Relationship Id="rId214" Type="http://schemas.openxmlformats.org/officeDocument/2006/relationships/hyperlink" Target="../../../Downloads/2009_Density%20measurement%20of%20size%20selected%20multiwalled%20carbon.pdf" TargetMode="External"/><Relationship Id="rId256" Type="http://schemas.openxmlformats.org/officeDocument/2006/relationships/hyperlink" Target="../../../../../../../AppData/Roaming/AppData/Roaming/Microsoft/Excel/1984_Murday_AnAssessmentofGraphitizedCarbonFiberUseForElectricalPowerTransmission.pdf" TargetMode="External"/><Relationship Id="rId298" Type="http://schemas.openxmlformats.org/officeDocument/2006/relationships/hyperlink" Target="../../../AppData/Roaming/Microsoft/Excel/1989_RAMAN%20AND%20X-RAY%20STUDY%20OF%20AsFJVAPOR-%20GROWN%20GRAPHITE%20FIBERS%20.pdf" TargetMode="External"/><Relationship Id="rId421" Type="http://schemas.openxmlformats.org/officeDocument/2006/relationships/hyperlink" Target="../../../Downloads/2018_Powerful%20doping%20of%20chirality-sorted%20carbon%20nanotube%20films(2)-annotated.pdf" TargetMode="External"/><Relationship Id="rId463" Type="http://schemas.openxmlformats.org/officeDocument/2006/relationships/hyperlink" Target="../../../../../../../Downloads/2019_Carbon%20nanotube%20fibers%20with%20enhanced%20longitudinal%20carrier%20mobility%20for%20high-performance%20all-carbon%20thermoelectric(3)-annotated.pdf" TargetMode="External"/><Relationship Id="rId519" Type="http://schemas.openxmlformats.org/officeDocument/2006/relationships/hyperlink" Target="../../../Downloads/2011_Highly%20conductive%20carbon%20nanotube%20buckypapers%20with%20improved%20doping%20stability%20viaConjugatedCrossLinking.pdf" TargetMode="External"/><Relationship Id="rId670" Type="http://schemas.openxmlformats.org/officeDocument/2006/relationships/hyperlink" Target="../../../Downloads/2006_Determination%20of%20carbon%20nanotube%20density%20by%20gradient%20sedimentation-annotated.pdf" TargetMode="External"/><Relationship Id="rId116" Type="http://schemas.openxmlformats.org/officeDocument/2006/relationships/hyperlink" Target="../../../../../../../AppData/AppData/Roaming/Microsoft/Excel/2014_Iodine%20monochloride%20as%20a%20powerful%20enhancerofelectricalconductivityofCNTwires.pdf" TargetMode="External"/><Relationship Id="rId158" Type="http://schemas.openxmlformats.org/officeDocument/2006/relationships/hyperlink" Target="../../../../../../../AppData/AppData/Roaming/Microsoft/Excel/2005_Effect%20of%20Chemical%20Treatment%20on%20Electrical%20Conductivity,%20Infrared%20Absorption,%20and%20Raman.pdf" TargetMode="External"/><Relationship Id="rId323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530" Type="http://schemas.openxmlformats.org/officeDocument/2006/relationships/hyperlink" Target="../../../../../../../AppData/AppData/Roaming/Microsoft/Excel/2019_Kumanek%20et%20al._Applied%20Nanoscience_Convenient%20but%20powerful%20method%20to%20dope%20single-walled%20carbon%20nanotube%20films%20with%20iodonium%20salts.pdf" TargetMode="External"/><Relationship Id="rId726" Type="http://schemas.openxmlformats.org/officeDocument/2006/relationships/hyperlink" Target="../../../AppData/Roaming/Microsoft/Excel/1981_GIC_review_Dresshaus.pdf" TargetMode="External"/><Relationship Id="rId20" Type="http://schemas.openxmlformats.org/officeDocument/2006/relationships/hyperlink" Target="../../../../../../../AppData/AppData/Roaming/Microsoft/Excel/2015_Strong%20and%20Conductive%20Dry%20Carbon%20Nanotube%20FilmsbyMicroCombing.pdf" TargetMode="External"/><Relationship Id="rId62" Type="http://schemas.openxmlformats.org/officeDocument/2006/relationships/hyperlink" Target="../../../../../../../AppData/Roaming/Microsoft/2012_High-Density%20Carbon%20Nanotube%20Buckypapers%20with%20SuperiorTransportandMechProperties.pdf" TargetMode="External"/><Relationship Id="rId365" Type="http://schemas.openxmlformats.org/officeDocument/2006/relationships/hyperlink" Target="../../../../../../../Downloads/2016_Wu%20et%20al._Relationship%20between%20mechanical%20and%20electrical%20properties%20of%20continuous%20polymer-free%20carbon%20nanotube%20fibers%20by%20wet-spinni.pdf" TargetMode="External"/><Relationship Id="rId572" Type="http://schemas.openxmlformats.org/officeDocument/2006/relationships/hyperlink" Target="../../../Downloads/2002_Thermal%20conductivity%20of%20multiwalled%20carbon%20nanotubes-annotated.pdf" TargetMode="External"/><Relationship Id="rId628" Type="http://schemas.openxmlformats.org/officeDocument/2006/relationships/hyperlink" Target="../../../Downloads/1991_Mechanical%20and%20electrical%20properties%20of%20highly%20oriented%20polyacetylene%20films.pdf" TargetMode="External"/><Relationship Id="rId225" Type="http://schemas.openxmlformats.org/officeDocument/2006/relationships/hyperlink" Target="../../../AppData/Roaming/Microsoft/Excel/2008%20Measurements%20of%20near-ultimate%20strength%20for%20multiwall%20CNTs.pdf" TargetMode="External"/><Relationship Id="rId267" Type="http://schemas.openxmlformats.org/officeDocument/2006/relationships/hyperlink" Target="../../../AppData/Roaming/Microsoft/Excel/1989_Inagaki_Applications%20of%20graphite%20intercalation%20compounds.pdf" TargetMode="External"/><Relationship Id="rId432" Type="http://schemas.openxmlformats.org/officeDocument/2006/relationships/hyperlink" Target="../../../Downloads/2017_Three-dimensional%20texture%20analysis%20of%20aligned%20carbon%20nanotube%20structures.pdf" TargetMode="External"/><Relationship Id="rId474" Type="http://schemas.openxmlformats.org/officeDocument/2006/relationships/hyperlink" Target="../../../Downloads/2017_Influence%20of%20Carbon%20Nanotube%20Characteristics%20on%20Macroscopic%20FiberProperties.pdf" TargetMode="External"/><Relationship Id="rId106" Type="http://schemas.openxmlformats.org/officeDocument/2006/relationships/hyperlink" Target="../../../../../../../Downloads/2017_High%20thermal%20conductivities%20of%20carbon%20nanotube%20films%20andMicrofibersandtheirDependenceOnMorphology.pdf" TargetMode="External"/><Relationship Id="rId127" Type="http://schemas.openxmlformats.org/officeDocument/2006/relationships/hyperlink" Target="../../../Downloads/2012_Wu%20et%20al._Electromechanical%20response%20and%20failure%20behaviour%20of%20aerogel-spun%20carbon%20nanotube%20fibres%20under%20tensile%20loading.pdf" TargetMode="External"/><Relationship Id="rId313" Type="http://schemas.openxmlformats.org/officeDocument/2006/relationships/hyperlink" Target="../../../Downloads/2010%20Continious%20Multilayered%20Carbon%20Nanotube%20Yarns.pdf" TargetMode="External"/><Relationship Id="rId495" Type="http://schemas.openxmlformats.org/officeDocument/2006/relationships/hyperlink" Target="../../../Downloads/2018_Structure&#8211;Property%20Relations%20in%20Carbon%20Nanotube%20FibersbyDownscalingSolutionProcessing.pdf" TargetMode="External"/><Relationship Id="rId681" Type="http://schemas.openxmlformats.org/officeDocument/2006/relationships/hyperlink" Target="../../Adarsh/Downloads/1994_Kaneko_Electrical%20conductance%20in%20metallic%20phases%20of%20fully%20doped%20polyacetylene.pdf" TargetMode="External"/><Relationship Id="rId716" Type="http://schemas.openxmlformats.org/officeDocument/2006/relationships/hyperlink" Target="../../../AppData/Roaming/Microsoft/Excel/1989_PREPARATION%20AND%20PROPERTIES%20OF%20VAPOR%20GROWN%20GRAPHITE%20.pdf" TargetMode="External"/><Relationship Id="rId737" Type="http://schemas.openxmlformats.org/officeDocument/2006/relationships/hyperlink" Target="../../../../../../../AppData/Roaming/Microsoft/Excel/1984_Murday_AnAssessmentofGraphitizedCarbonFiberUseForElectricalPowerTransmission.pdf" TargetMode="External"/><Relationship Id="rId10" Type="http://schemas.openxmlformats.org/officeDocument/2006/relationships/hyperlink" Target="../../../Downloads/2015_Impact%20of%20carbon%20nanotube%20length%20on%20electron%20transport%20in%20aligned%20carbon%20nanotubeNetworks.pdf" TargetMode="External"/><Relationship Id="rId31" Type="http://schemas.openxmlformats.org/officeDocument/2006/relationships/hyperlink" Target="../../../../../../../AppData/AppData/Roaming/Microsoft/Excel/2018_Kanakaraj%20et%20al._Improved%20dry%20spinning%20process%20at%20elevated%20temperatures%20for%20making%20uniform%20and%20high%20strength%20CNT%20fibers.pdf" TargetMode="External"/><Relationship Id="rId52" Type="http://schemas.openxmlformats.org/officeDocument/2006/relationships/hyperlink" Target="../../../../../../../AppData/AppData/Roaming/Microsoft/Excel/2007_Structure-Dependent%20Electrical%20Properties%20of%20Carbon%20NanotubeFibers.pdf" TargetMode="External"/><Relationship Id="rId73" Type="http://schemas.openxmlformats.org/officeDocument/2006/relationships/hyperlink" Target="../../../../../../../AppData/Roaming/Microsoft/2012%20Fabrication%20and%20processing%20of%20high-strength%20densely%20packed%20carbon%20nanotube%20yarns%20without%20solution%20processes.pdf" TargetMode="External"/><Relationship Id="rId94" Type="http://schemas.openxmlformats.org/officeDocument/2006/relationships/hyperlink" Target="../../../Downloads/2015_Enhanced%20Electrical%20Conductivity%20in%20Extruded%20Single-Wall%20CarbonNanotubeWires.pdf" TargetMode="External"/><Relationship Id="rId148" Type="http://schemas.openxmlformats.org/officeDocument/2006/relationships/hyperlink" Target="../../../../../../../AppData/AppData/Roaming/Microsoft/Excel/2014_Iodine%20monochloride%20as%20a%20powerful%20enhancerofelectricalconductivityofCNTwires.pdf" TargetMode="External"/><Relationship Id="rId169" Type="http://schemas.openxmlformats.org/officeDocument/2006/relationships/hyperlink" Target="../../../AppData/Roaming/Microsoft/2004_Effect%20of%20SOCl2%20Treatment%20on%20Electrical%20and%20MechanicalPropertiesofSWCNT.pdf" TargetMode="External"/><Relationship Id="rId334" Type="http://schemas.openxmlformats.org/officeDocument/2006/relationships/hyperlink" Target="../../../AppData/Roaming/Microsoft/Excel/2011_Meng_Electrical%20conductivity%20of%20pure%20carbon%20nanotube%20yarns.pdf" TargetMode="External"/><Relationship Id="rId355" Type="http://schemas.openxmlformats.org/officeDocument/2006/relationships/hyperlink" Target="../../../Downloads/2010_StructureandProcessDependentPropertiesofSolid-StateSpunCarbonNanotubeYarns.pdf" TargetMode="External"/><Relationship Id="rId376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397" Type="http://schemas.openxmlformats.org/officeDocument/2006/relationships/hyperlink" Target="../../../AppData/Downloads/2009_High%20Mechanical%20Performance%20Composite%20ConductorMultiwalledCNTsheetBismaleimideNanoComposite.pdf" TargetMode="External"/><Relationship Id="rId520" Type="http://schemas.openxmlformats.org/officeDocument/2006/relationships/hyperlink" Target="../../../Downloads/2011_Highly%20conductive%20carbon%20nanotube%20buckypapers%20with%20improved%20doping%20stability%20viaConjugatedCrossLinking.pdf" TargetMode="External"/><Relationship Id="rId541" Type="http://schemas.openxmlformats.org/officeDocument/2006/relationships/hyperlink" Target="../../../Downloads/2004_Correlation%20of%20properties%20with%20preferred%20orientation%20in%20coagulated%20and%20stretch-aligned%20single-wall%20carbon%20nan(2)-annotated.pdf" TargetMode="External"/><Relationship Id="rId562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583" Type="http://schemas.openxmlformats.org/officeDocument/2006/relationships/hyperlink" Target="../../../Downloads/1985_ElectricalResistivity_GraphiteIntercalationNitricAndAsF5.pdf" TargetMode="External"/><Relationship Id="rId618" Type="http://schemas.openxmlformats.org/officeDocument/2006/relationships/hyperlink" Target="../../../Downloads/2018_The%20operational%20window%20of%20carbon%20nanotube%20electrical%20wires%20treated%20with%20strong%20acids%20and%20oxidants.pdf" TargetMode="External"/><Relationship Id="rId639" Type="http://schemas.openxmlformats.org/officeDocument/2006/relationships/hyperlink" Target="../../../Downloads/2012_Sharp%20burnout%20failure%20observed%20in%20high%20current%20carrying%20double%20walled%20carbon%20nanotube%20fibers.pdf" TargetMode="External"/><Relationship Id="rId4" Type="http://schemas.openxmlformats.org/officeDocument/2006/relationships/hyperlink" Target="../../../Downloads/2007_Structure-Dependent%20Electrical%20Properties%20of%20Carbon%20NanotubeFibers.pdf" TargetMode="External"/><Relationship Id="rId180" Type="http://schemas.openxmlformats.org/officeDocument/2006/relationships/hyperlink" Target="../../../Downloads/2009_HighlyConductiveMultiwallCNTandEpoxyCompisitesProducedBy3RollMilling.pdf" TargetMode="External"/><Relationship Id="rId215" Type="http://schemas.openxmlformats.org/officeDocument/2006/relationships/hyperlink" Target="../../../Downloads/1999_Wei_Electrical%20transport%20in%20pure%20and%20boron-doped%20carbon%20nanotubes.pdf" TargetMode="External"/><Relationship Id="rId236" Type="http://schemas.openxmlformats.org/officeDocument/2006/relationships/hyperlink" Target="../../../Downloads/2009_Nirmalrag_Electrical%20Connectivity%20in%20Single-Walled%20Carbon%20Nanotube%20Networks.pdf" TargetMode="External"/><Relationship Id="rId257" Type="http://schemas.openxmlformats.org/officeDocument/2006/relationships/hyperlink" Target="../../../../../../../AppData/Roaming/AppData/Roaming/Microsoft/Excel/1984_Murday_AnAssessmentofGraphitizedCarbonFiberUseForElectricalPowerTransmission.pdf" TargetMode="External"/><Relationship Id="rId278" Type="http://schemas.openxmlformats.org/officeDocument/2006/relationships/hyperlink" Target="../../../AppData/Roaming/Microsoft/Excel/1985_ElectricalResistivity_GraphiteIntercalationNitricAndAsF5.pdf" TargetMode="External"/><Relationship Id="rId401" Type="http://schemas.openxmlformats.org/officeDocument/2006/relationships/hyperlink" Target="../../../Downloads/2010_Double-peak%20mechanical%20properties%20of%20carbon-nanotube%20fibers.pdf" TargetMode="External"/><Relationship Id="rId422" Type="http://schemas.openxmlformats.org/officeDocument/2006/relationships/hyperlink" Target="../../../Downloads/2018_Powerful%20doping%20of%20chirality-sorted%20carbon%20nanotube%20films(2)-annotated.pdf" TargetMode="External"/><Relationship Id="rId443" Type="http://schemas.openxmlformats.org/officeDocument/2006/relationships/hyperlink" Target="../../../Downloads/2015_Effects%20of%20CNT%20diameter%20on%20mechanical%20properties%20of%20aligned%20CNT%20sheets.pdf" TargetMode="External"/><Relationship Id="rId464" Type="http://schemas.openxmlformats.org/officeDocument/2006/relationships/hyperlink" Target="../../../../../../../Downloads/2019_Carbon%20nanotube%20fibers%20with%20enhanced%20longitudinal%20carrier%20mobility%20for%20high-performance%20all-carbon%20thermoelectric(3)-annotated.pdf" TargetMode="External"/><Relationship Id="rId650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303" Type="http://schemas.openxmlformats.org/officeDocument/2006/relationships/hyperlink" Target="../../../Downloads/2019_Ichinose%20et%20al._Solving%20the%20Thermoelectric%20Trade-Off%20Problem%20with%20Metallic%20Carbon%20Nanotubes.pdf" TargetMode="External"/><Relationship Id="rId485" Type="http://schemas.openxmlformats.org/officeDocument/2006/relationships/hyperlink" Target="../../../Downloads/2017_Extreme%20Magneto-transport%20of%20Bulk%20Carbon%20Nanotubes%20in%20Sorted%20Electronic%20Concentrations%20and%20Aligned%20High%20Performance%20Fiber.pdf" TargetMode="External"/><Relationship Id="rId692" Type="http://schemas.openxmlformats.org/officeDocument/2006/relationships/hyperlink" Target="../../../AppData/Roaming/Microsoft/Excel/1981_GIC_review_Dresshaus.pdf" TargetMode="External"/><Relationship Id="rId706" Type="http://schemas.openxmlformats.org/officeDocument/2006/relationships/hyperlink" Target="../../../Downloads/2015_Post-Treatments%20for%20Multifunctional%20Property%20Enhancement%20ofCNTfibersFromFloatingCat.pdf" TargetMode="External"/><Relationship Id="rId42" Type="http://schemas.openxmlformats.org/officeDocument/2006/relationships/hyperlink" Target="../../../../../../../AppData/AppData/Roaming/Microsoft/Excel/2008_Zhang%20et%20al._Solid-state%20spun%20fibers%20and%20yarns%20from%201-mm%20long%20carbon%20nanotube%20forests%20synthesized%20by%20water-assisted%20chemical%20vapor.pdf" TargetMode="External"/><Relationship Id="rId84" Type="http://schemas.openxmlformats.org/officeDocument/2006/relationships/hyperlink" Target="../../../Downloads/2000_Electrical%20and%20thermal%20transport%20properties%20of%20magnetically%20aligned%20single%20wall%20carbonNT.pdf" TargetMode="External"/><Relationship Id="rId138" Type="http://schemas.openxmlformats.org/officeDocument/2006/relationships/hyperlink" Target="../../../../../../../AppData/AppData/Roaming/Microsoft/Excel/2000_Electrical%20and%20thermal%20transport%20properties%20of%20magnetically%20aligned%20single%20wall%20carbonNT.pdf" TargetMode="External"/><Relationship Id="rId345" Type="http://schemas.openxmlformats.org/officeDocument/2006/relationships/hyperlink" Target="../../../AppData/Roaming/Microsoft/Excel/2012ThermalandElectricalConductivityOfArraySpunMultiwallCNTs.pdf" TargetMode="External"/><Relationship Id="rId387" Type="http://schemas.openxmlformats.org/officeDocument/2006/relationships/hyperlink" Target="../../../AppData/Roaming/Microsoft/Excel/2012ThermalandElectricalConductivityOfArraySpunMultiwallCNTs.pdf" TargetMode="External"/><Relationship Id="rId510" Type="http://schemas.openxmlformats.org/officeDocument/2006/relationships/hyperlink" Target="../../../../../../../AppData/AppData/Roaming/Microsoft/Excel/2017_High-modulus%20and%20strength%20carbon%20nanotube%20fibers%20using%20molecularCrossLinking.pdf" TargetMode="External"/><Relationship Id="rId552" Type="http://schemas.openxmlformats.org/officeDocument/2006/relationships/hyperlink" Target="../../../Downloads/2020_Systematic%20investigations%20of%20annealing%20and%20functionalization%20of%20carbon%20nanotube%20yarns-annotated.pdf" TargetMode="External"/><Relationship Id="rId594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608" Type="http://schemas.openxmlformats.org/officeDocument/2006/relationships/hyperlink" Target="../../../Downloads/1983_ELECTRICAL%20AND%20MECHANICAL%20PROPERTIES%20OF%20COPPER.pdf" TargetMode="External"/><Relationship Id="rId191" Type="http://schemas.openxmlformats.org/officeDocument/2006/relationships/hyperlink" Target="../../../../../../../AppData/Roaming/Microsoft/2008_The%20feasibility%20of%20producing%20MWCNT%20paper%20and%20strong%20MWCNTFilmfromVACNTarray.pdf" TargetMode="External"/><Relationship Id="rId205" Type="http://schemas.openxmlformats.org/officeDocument/2006/relationships/hyperlink" Target="../../../AppData/Roaming/AppData/Roaming/Microsoft/Excel/1992%20iPAC%20review.pdf" TargetMode="External"/><Relationship Id="rId247" Type="http://schemas.openxmlformats.org/officeDocument/2006/relationships/hyperlink" Target="../../Adarsh/Downloads/1987_Bascu_HighConductiveIPAC_Nature.pdf" TargetMode="External"/><Relationship Id="rId412" Type="http://schemas.openxmlformats.org/officeDocument/2006/relationships/hyperlink" Target="../../../../../../../AppData/AppData/Roaming/Microsoft/Excel/2019_LargeImprovementforelectricicalwireCNTconductivitybyannealinganddoping.pdf" TargetMode="External"/><Relationship Id="rId107" Type="http://schemas.openxmlformats.org/officeDocument/2006/relationships/hyperlink" Target="../../../../../../../AppData/AppData/Roaming/Microsoft/Excel/2017_Purification%20and%20Dissolution%20of%20Carbon%20Nanotube%20Fibers%20Spun%20fromFloatingCatmethod.pdf" TargetMode="External"/><Relationship Id="rId289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454" Type="http://schemas.openxmlformats.org/officeDocument/2006/relationships/hyperlink" Target="../../../Downloads/2005_Charge%20transfer%20and%20Fermi%20level%20shift%20in%20p-doped%20single-walled%20carbon%20nanotubes.pdf" TargetMode="External"/><Relationship Id="rId496" Type="http://schemas.openxmlformats.org/officeDocument/2006/relationships/hyperlink" Target="../../../Downloads/2018_Structure&#8211;Property%20Relations%20in%20Carbon%20Nanotube%20FibersbyDownscalingSolutionProcessing.pdf" TargetMode="External"/><Relationship Id="rId661" Type="http://schemas.openxmlformats.org/officeDocument/2006/relationships/hyperlink" Target="../../../Downloads/1996%20Eebsen%20individual%20multiwall%20conductivity.pdf" TargetMode="External"/><Relationship Id="rId717" Type="http://schemas.openxmlformats.org/officeDocument/2006/relationships/hyperlink" Target="../../../AppData/Roaming/Microsoft/Excel/1989_PREPARATION%20AND%20PROPERTIES%20OF%20VAPOR%20GROWN%20GRAPHITE%20.pdf" TargetMode="External"/><Relationship Id="rId11" Type="http://schemas.openxmlformats.org/officeDocument/2006/relationships/hyperlink" Target="../../../../../../../AppData/AppData/Roaming/Microsoft/Excel/2015_Impact%20of%20carbon%20nanotube%20length%20on%20electron%20transport%20in%20aligned%20carbon%20nanotubeNetworks.pdf" TargetMode="External"/><Relationship Id="rId53" Type="http://schemas.openxmlformats.org/officeDocument/2006/relationships/hyperlink" Target="../../../Downloads/2007_Structure-Dependent%20Electrical%20Properties%20of%20Carbon%20NanotubeFibers.pdf" TargetMode="External"/><Relationship Id="rId149" Type="http://schemas.openxmlformats.org/officeDocument/2006/relationships/hyperlink" Target="../../../../../../../AppData/AppData/Roaming/Microsoft/Excel/2017_One-step%20purification%20of%20direct-spun%20CNT%20fibers%20by%20post-production.pdf" TargetMode="External"/><Relationship Id="rId314" Type="http://schemas.openxmlformats.org/officeDocument/2006/relationships/hyperlink" Target="../../../AppData/Roaming/Microsoft/Excel/2018%20Nature%20Carbon%20nanotube%20bundles%20with%20tensile%20strength.pdf" TargetMode="External"/><Relationship Id="rId356" Type="http://schemas.openxmlformats.org/officeDocument/2006/relationships/hyperlink" Target="../../../../../../../AppData/Roaming/Microsoft/Excel/2010_StructureandProcessDependentPropertiesofSolid-StateSpunCarbonNanotubeYarns.pdf" TargetMode="External"/><Relationship Id="rId398" Type="http://schemas.openxmlformats.org/officeDocument/2006/relationships/hyperlink" Target="../../../AppData/Downloads/2009_High%20Mechanical%20Performance%20Composite%20ConductorMultiwalledCNTsheetBismaleimideNanoComposite.pdf" TargetMode="External"/><Relationship Id="rId521" Type="http://schemas.openxmlformats.org/officeDocument/2006/relationships/hyperlink" Target="../../../Downloads/2011_Highly%20conductive%20carbon%20nanotube%20buckypapers%20with%20improved%20doping%20stability%20viaConjugatedCrossLinking.pdf" TargetMode="External"/><Relationship Id="rId563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619" Type="http://schemas.openxmlformats.org/officeDocument/2006/relationships/hyperlink" Target="../../../Downloads/2020_Shampoo%20assisted%20aligning%20of%20carbon%20nanotubes%20Toward%20Strong%20Stiff%20and%20conductive%20fibers.pdf" TargetMode="External"/><Relationship Id="rId95" Type="http://schemas.openxmlformats.org/officeDocument/2006/relationships/hyperlink" Target="../../../Downloads/2016_High%20electrical%20conductivity%20of%20double-walledCNTswithHydrogenPeroxideTreatments.pdf" TargetMode="External"/><Relationship Id="rId160" Type="http://schemas.openxmlformats.org/officeDocument/2006/relationships/hyperlink" Target="../../../Downloads/2010%20transport%20sorted%20CNTs.pdf" TargetMode="External"/><Relationship Id="rId216" Type="http://schemas.openxmlformats.org/officeDocument/2006/relationships/hyperlink" Target="../../../../../../../AppData/Roaming/AppData/Roaming/Microsoft/Excel/1999_Wei_Electrical%20transport%20in%20pure%20and%20boron-doped%20carbon%20nanotubes.pdf" TargetMode="External"/><Relationship Id="rId423" Type="http://schemas.openxmlformats.org/officeDocument/2006/relationships/hyperlink" Target="../../../Downloads/2015_Strong%20Carbon%20Nanotube%20Fibers%20by%20Drawing%20Inspiration%20from%20Polymer%20Fiber%20Spinning(3)-annotated.pdf" TargetMode="External"/><Relationship Id="rId258" Type="http://schemas.openxmlformats.org/officeDocument/2006/relationships/hyperlink" Target="../../../../../../../AppData/Roaming/AppData/Roaming/Microsoft/Excel/1986%20ELASTIC%20PROPERTIES,%20PAPER%20QUALITY,%20AND%20PROCESS%20CONTROL.pdf" TargetMode="External"/><Relationship Id="rId465" Type="http://schemas.openxmlformats.org/officeDocument/2006/relationships/hyperlink" Target="../../../../../../../Downloads/2019_Carbon%20nanotube%20fibers%20with%20enhanced%20longitudinal%20carrier%20mobility%20for%20high-performance%20all-carbon%20thermoelectric(3)-annotated.pdf" TargetMode="External"/><Relationship Id="rId630" Type="http://schemas.openxmlformats.org/officeDocument/2006/relationships/hyperlink" Target="../../../Downloads/1996_Dai_Probing%20Electrical%20Transport%20in%20Nanomaterials.pdf" TargetMode="External"/><Relationship Id="rId672" Type="http://schemas.openxmlformats.org/officeDocument/2006/relationships/hyperlink" Target="../../../Downloads/2006_Determination%20of%20carbon%20nanotube%20density%20by%20gradient%20sedimentation-annotated.pdf" TargetMode="External"/><Relationship Id="rId728" Type="http://schemas.openxmlformats.org/officeDocument/2006/relationships/hyperlink" Target="../../../../../../../AppData/Roaming/Microsoft/Excel/1984_Murday_AnAssessmentofGraphitizedCarbonFiberUseForElectricalPowerTransmission.pdf" TargetMode="External"/><Relationship Id="rId22" Type="http://schemas.openxmlformats.org/officeDocument/2006/relationships/hyperlink" Target="../../../Downloads/2018_HierarchicalStructureofCNTFibersandtheChangeofStructureDuringDensificationbyWetStretching.pdf" TargetMode="External"/><Relationship Id="rId64" Type="http://schemas.openxmlformats.org/officeDocument/2006/relationships/hyperlink" Target="../../../AppData/Roaming/Microsoft/2014_Anisotropic%20buckypaper%20through%20shear-inducedMechAlignmentofCNTsinwater.pdf" TargetMode="External"/><Relationship Id="rId118" Type="http://schemas.openxmlformats.org/officeDocument/2006/relationships/hyperlink" Target="../../../Downloads/2019_Jensen%20et%20al._Carbon_Toward%20Ultralight%20High%20Strength%20Structural%20Materials%20via%20Collapsed%20Carbon%20Nanotube%20Bonding.pdf" TargetMode="External"/><Relationship Id="rId325" Type="http://schemas.openxmlformats.org/officeDocument/2006/relationships/hyperlink" Target="../../../Downloads/1981_Endo,%20Koyama,%20Inagaki_Preparation%20and%20electronic%20properties%20of%20intercalation%20compounds%20of%20graphite%20fibers%20(3).pdf" TargetMode="External"/><Relationship Id="rId367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532" Type="http://schemas.openxmlformats.org/officeDocument/2006/relationships/hyperlink" Target="../../../../../../../AppData/AppData/Roaming/Microsoft/Excel/2019_Kumanek%20et%20al._Applied%20Nanoscience_Convenient%20but%20powerful%20method%20to%20dope%20single-walled%20carbon%20nanotube%20films%20with%20iodonium%20salts.pdf" TargetMode="External"/><Relationship Id="rId574" Type="http://schemas.openxmlformats.org/officeDocument/2006/relationships/hyperlink" Target="../../../Downloads/2001_Thermal%20transport%20measurements%20of%20individual%20multiwalled%20nanotubes-annotated.pdf" TargetMode="External"/><Relationship Id="rId171" Type="http://schemas.openxmlformats.org/officeDocument/2006/relationships/hyperlink" Target="../../../AppData/Roaming/Microsoft/2004_Effect%20of%20SOCl2%20Treatment%20on%20Electrical%20and%20MechanicalPropertiesofSWCNT.pdf" TargetMode="External"/><Relationship Id="rId227" Type="http://schemas.openxmlformats.org/officeDocument/2006/relationships/hyperlink" Target="../../../Downloads/2000%20Strength%20and%20Breaking%20Mechanism%20of%20MWCNT%20under%20tensile%20load.pdf" TargetMode="External"/><Relationship Id="rId269" Type="http://schemas.openxmlformats.org/officeDocument/2006/relationships/hyperlink" Target="../../../AppData/Roaming/Microsoft/Excel/1977_AsF5GIC.pdf" TargetMode="External"/><Relationship Id="rId434" Type="http://schemas.openxmlformats.org/officeDocument/2006/relationships/hyperlink" Target="../../../Downloads/2017_Three-dimensional%20texture%20analysis%20of%20aligned%20carbon%20nanotube%20structures.pdf" TargetMode="External"/><Relationship Id="rId476" Type="http://schemas.openxmlformats.org/officeDocument/2006/relationships/hyperlink" Target="../../../Downloads/2017_Influence%20of%20Carbon%20Nanotube%20Characteristics%20on%20Macroscopic%20FiberProperties.pdf" TargetMode="External"/><Relationship Id="rId641" Type="http://schemas.openxmlformats.org/officeDocument/2006/relationships/hyperlink" Target="../../../Downloads/2018_Electrical%20Transport%20Degradation%20of%20Chemically%20Doped%20Electronic-Type-Separated%20Single-Wall%20Carbon%20Nanotubes%20(2)-annotated.pdf" TargetMode="External"/><Relationship Id="rId683" Type="http://schemas.openxmlformats.org/officeDocument/2006/relationships/hyperlink" Target="../../Adarsh/Downloads/2019_Millisecond%20tension-annealing%20for%20enhancing%20carbon%20nanotube%20fibers_Song%20et%20al.pdf" TargetMode="External"/><Relationship Id="rId739" Type="http://schemas.openxmlformats.org/officeDocument/2006/relationships/hyperlink" Target="../../../AppData/Roaming/AppData/Roaming/Microsoft/Excel/2002_McEuen_Single-Walled%20Carbon%20Nanotube%20Electronics.pdf" TargetMode="External"/><Relationship Id="rId33" Type="http://schemas.openxmlformats.org/officeDocument/2006/relationships/hyperlink" Target="../../../../../../../AppData/AppData/Roaming/Microsoft/Excel/2018_The%20operational%20window%20of%20carbon%20nanotube%20electrical%20wires%20treated%20with%20strong%20acids%20and%20oxidants.pdf" TargetMode="External"/><Relationship Id="rId129" Type="http://schemas.openxmlformats.org/officeDocument/2006/relationships/hyperlink" Target="../../../../../../../AppData/AppData/Roaming/Microsoft/Excel/2016_High%20electrical%20conductivity%20of%20double-walledCNTswithHydrogenPeroxideTreatments.pdf" TargetMode="External"/><Relationship Id="rId280" Type="http://schemas.openxmlformats.org/officeDocument/2006/relationships/hyperlink" Target="../../../Downloads/2019_Strength%20of%20carbon%20nanotubes%20depends%20on%20theirdependenceonChemicalStructure.pdf" TargetMode="External"/><Relationship Id="rId336" Type="http://schemas.openxmlformats.org/officeDocument/2006/relationships/hyperlink" Target="../../../Downloads/2012ThermalandElectricalConductivityOfArraySpunMultiwallCNTs.pdf" TargetMode="External"/><Relationship Id="rId501" Type="http://schemas.openxmlformats.org/officeDocument/2006/relationships/hyperlink" Target="../../../Downloads/2018_Structure&#8211;Property%20Relations%20in%20Carbon%20Nanotube%20FibersbyDownscalingSolutionProcessing.pdf" TargetMode="External"/><Relationship Id="rId543" Type="http://schemas.openxmlformats.org/officeDocument/2006/relationships/hyperlink" Target="../../../Downloads/2000_Transport%20properties%20of%20a%20potassium-doped%20single-wall%20carbon%20nanotube%20rope.pdf" TargetMode="External"/><Relationship Id="rId75" Type="http://schemas.openxmlformats.org/officeDocument/2006/relationships/hyperlink" Target="../../../../../../../AppData/Downloads/2012%20Fabrication%20and%20processing%20of%20high-strength%20densely%20packed%20carbon%20nanotube%20yarns%20without%20solution%20processes.pdf" TargetMode="External"/><Relationship Id="rId140" Type="http://schemas.openxmlformats.org/officeDocument/2006/relationships/hyperlink" Target="../../../../../../../AppData/AppData/Roaming/Microsoft/Excel/2000_Electrical%20and%20thermal%20transport%20properties%20of%20magnetically%20aligned%20single%20wall%20carbonNT.pdf" TargetMode="External"/><Relationship Id="rId182" Type="http://schemas.openxmlformats.org/officeDocument/2006/relationships/hyperlink" Target="../../../../../../../AppData/AppData/Roaming/Microsoft/Excel/2009_HighlyConductiveMultiwallCNTandEpoxyCompisitesProducedBy3RollMilling.pdf" TargetMode="External"/><Relationship Id="rId378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403" Type="http://schemas.openxmlformats.org/officeDocument/2006/relationships/hyperlink" Target="../../../Downloads/2010_Double-peak%20mechanical%20properties%20of%20carbon-nanotube%20fibers.pdf" TargetMode="External"/><Relationship Id="rId585" Type="http://schemas.openxmlformats.org/officeDocument/2006/relationships/hyperlink" Target="../../../Downloads/1985_ElectricalResistivity_GraphiteIntercalationNitricAndAsF5.pdf" TargetMode="External"/><Relationship Id="rId6" Type="http://schemas.openxmlformats.org/officeDocument/2006/relationships/hyperlink" Target="../../../Downloads/2008_Highly%20oriented%20carbon%20nanotube%20papersMadeofAlignedCNTs.pdf" TargetMode="External"/><Relationship Id="rId238" Type="http://schemas.openxmlformats.org/officeDocument/2006/relationships/hyperlink" Target="../../../../../../../AppData/Roaming/AppData/Roaming/Microsoft/Excel/2010_High%20energy%20density%20lithium-ion%20batteries%20with%20carbon%20nanotube%20anodes.PDF" TargetMode="External"/><Relationship Id="rId445" Type="http://schemas.openxmlformats.org/officeDocument/2006/relationships/hyperlink" Target="../../../Downloads/2018_Intrinsically%20ultrastrong%20plasmon&#8211;exciton%20interactions%20in%20crystallized%20films%20of%20carbon%20nanotubes-annotated.pdf" TargetMode="External"/><Relationship Id="rId487" Type="http://schemas.openxmlformats.org/officeDocument/2006/relationships/hyperlink" Target="../../../Downloads/2018_Structure&#8211;Property%20Relations%20in%20Carbon%20Nanotube%20FibersbyDownscalingSolutionProcessing.pdf" TargetMode="External"/><Relationship Id="rId610" Type="http://schemas.openxmlformats.org/officeDocument/2006/relationships/hyperlink" Target="../../../../../../../AppData/Roaming/Microsoft/Excel/1984_Murday_AnAssessmentofGraphitizedCarbonFiberUseForElectricalPowerTransmission.pdf" TargetMode="External"/><Relationship Id="rId652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694" Type="http://schemas.openxmlformats.org/officeDocument/2006/relationships/hyperlink" Target="../../../AppData/Roaming/Microsoft/Excel/1981_GIC_review_Dresshaus.pdf" TargetMode="External"/><Relationship Id="rId708" Type="http://schemas.openxmlformats.org/officeDocument/2006/relationships/hyperlink" Target="../../../Downloads/2018_HierarchicalStructureofCNTFibersandtheChangeofStructureDuringDensificationbyWetStretching.pdf" TargetMode="External"/><Relationship Id="rId291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305" Type="http://schemas.openxmlformats.org/officeDocument/2006/relationships/hyperlink" Target="../../../../../../../AppData/Roaming/Microsoft/Excel/2019_Ichinose%20et%20al._Solving%20the%20Thermoelectric%20Trade-Off%20Problem%20with%20Metallic%20Carbon%20Nanotubes.pdf" TargetMode="External"/><Relationship Id="rId347" Type="http://schemas.openxmlformats.org/officeDocument/2006/relationships/hyperlink" Target="../../../../../../../AppData/Roaming/Microsoft/Excel/1990_Mechanical%20and%20electrical%20properties%20ofPolyaceteleneFilmsDawnthrough.pdf" TargetMode="External"/><Relationship Id="rId512" Type="http://schemas.openxmlformats.org/officeDocument/2006/relationships/hyperlink" Target="../../../Downloads/2017_High-modulus%20and%20strength%20carbon%20nanotube%20fibers%20using%20molecularCrossLinking.pdf" TargetMode="External"/><Relationship Id="rId44" Type="http://schemas.openxmlformats.org/officeDocument/2006/relationships/hyperlink" Target="../../../Downloads/2007_Zhang%20et%20al._Strong%20carbon-nanotube%20fibers%20spun%20from%20long%20carbon-nanotube%20arrays.pdf" TargetMode="External"/><Relationship Id="rId86" Type="http://schemas.openxmlformats.org/officeDocument/2006/relationships/hyperlink" Target="../../../../../../../Downloads/2003_Fischer_Magnetically%20aligned%20single%20wall%20carbon%20nanotube%20films_Preferred%20orientation%20and%20anisotropic%20transport%20properties.pdf" TargetMode="External"/><Relationship Id="rId151" Type="http://schemas.openxmlformats.org/officeDocument/2006/relationships/hyperlink" Target="../../../Downloads/2005_Vavro_Metal-insulator%20transistion%20in%20doped%20single-wall%20carbon%20nanotubes.pdf" TargetMode="External"/><Relationship Id="rId389" Type="http://schemas.openxmlformats.org/officeDocument/2006/relationships/hyperlink" Target="../../../../../../../Downloads/Personal/SharedLiteratureDataBase/2008_The%20relationship%20between%20network%20morphology%20and%20conductivity%20in%20nanotube%20films-annotated.pdf" TargetMode="External"/><Relationship Id="rId554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596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193" Type="http://schemas.openxmlformats.org/officeDocument/2006/relationships/hyperlink" Target="../../../../../../../AppData/AppData/Roaming/Microsoft/Excel/2018_Roll-to-roll%20continuous%20carbon%20nanotube%20sheetswithHighElectricalConductivity.pdf" TargetMode="External"/><Relationship Id="rId207" Type="http://schemas.openxmlformats.org/officeDocument/2006/relationships/hyperlink" Target="../../../AppData/Roaming/AppData/Roaming/Microsoft/Excel/1992%20iPAC%20review.pdf" TargetMode="External"/><Relationship Id="rId249" Type="http://schemas.openxmlformats.org/officeDocument/2006/relationships/hyperlink" Target="../../../../../../../AppData/Roaming/AppData/Roaming/Microsoft/Excel/2014_High-StrengthCNTFiber-likeRibbonwithHighDuctilityandHighElectricalConductivity.pdf" TargetMode="External"/><Relationship Id="rId414" Type="http://schemas.openxmlformats.org/officeDocument/2006/relationships/hyperlink" Target="../../../../../../../AppData/AppData/Roaming/Microsoft/Excel/2019_LargeImprovementforelectricicalwireCNTconductivitybyannealinganddoping.pdf" TargetMode="External"/><Relationship Id="rId456" Type="http://schemas.openxmlformats.org/officeDocument/2006/relationships/hyperlink" Target="../../../Downloads/2004_Single%20wall%20carbon%20nanotube%20fibers%20extruded%20from%20super-acid%20suspensions.pdf" TargetMode="External"/><Relationship Id="rId498" Type="http://schemas.openxmlformats.org/officeDocument/2006/relationships/hyperlink" Target="../../../Downloads/2018_Structure&#8211;Property%20Relations%20in%20Carbon%20Nanotube%20FibersbyDownscalingSolutionProcessing.pdf" TargetMode="External"/><Relationship Id="rId621" Type="http://schemas.openxmlformats.org/officeDocument/2006/relationships/hyperlink" Target="../../../Downloads/1991_Mechanical%20and%20electrical%20properties%20of%20highly%20oriented%20polyacetylene%20films.pdf" TargetMode="External"/><Relationship Id="rId663" Type="http://schemas.openxmlformats.org/officeDocument/2006/relationships/hyperlink" Target="../../../Downloads/1996%20Eebsen%20individual%20multiwall%20conductivity.pdf" TargetMode="External"/><Relationship Id="rId13" Type="http://schemas.openxmlformats.org/officeDocument/2006/relationships/hyperlink" Target="../../../Downloads/2009_Hart_PackingDensityCNTsConductivity.pdf" TargetMode="External"/><Relationship Id="rId109" Type="http://schemas.openxmlformats.org/officeDocument/2006/relationships/hyperlink" Target="../../../Downloads/2017_Photonic%20Sorting%20CNT%20textiles.pdf" TargetMode="External"/><Relationship Id="rId260" Type="http://schemas.openxmlformats.org/officeDocument/2006/relationships/hyperlink" Target="../../../AppData/Roaming/Microsoft/Excel/2016_Processing,%20structure,%20and%20properties%20of%20carbon%20fibers.pdf" TargetMode="External"/><Relationship Id="rId316" Type="http://schemas.openxmlformats.org/officeDocument/2006/relationships/hyperlink" Target="../../../../../../../AppData/Roaming/Microsoft/Excel/1984_Murday_AnAssessmentofGraphitizedCarbonFiberUseForElectricalPowerTransmission.pdf" TargetMode="External"/><Relationship Id="rId523" Type="http://schemas.openxmlformats.org/officeDocument/2006/relationships/hyperlink" Target="../../../Downloads/2011_Highly%20conductive%20carbon%20nanotube%20buckypapers%20with%20improved%20doping%20stability%20viaConjugatedCrossLinking.pdf" TargetMode="External"/><Relationship Id="rId719" Type="http://schemas.openxmlformats.org/officeDocument/2006/relationships/hyperlink" Target="../../../../../../../AppData/Roaming/Microsoft/Excel/1983_Chieu_High-field_magnetoresistance_measurements_on_highly_ordered_graphitefibers.pdf" TargetMode="External"/><Relationship Id="rId55" Type="http://schemas.openxmlformats.org/officeDocument/2006/relationships/hyperlink" Target="../../../../../../../AppData/AppData/Roaming/Microsoft/Excel/2007_Structure-Dependent%20Electrical%20Properties%20of%20Carbon%20NanotubeFibers.pdf" TargetMode="External"/><Relationship Id="rId97" Type="http://schemas.openxmlformats.org/officeDocument/2006/relationships/hyperlink" Target="../../../Downloads/2014_Wang_High-Ampacity%20Power%20Cables%20of%20Tightly-Packed%20and%20Aligned%20Carbon%20Nanotubes.pdf" TargetMode="External"/><Relationship Id="rId120" Type="http://schemas.openxmlformats.org/officeDocument/2006/relationships/hyperlink" Target="../../../../../../../AppData/AppData/Roaming/Microsoft/Excel/2016_Wu%20et%20al._Relationship%20between%20mechanical%20and%20electrical%20properties%20of%20continuous%20polymer-free%20carbon%20nanotube%20fibers%20by%20wet-spinni.pdf" TargetMode="External"/><Relationship Id="rId358" Type="http://schemas.openxmlformats.org/officeDocument/2006/relationships/hyperlink" Target="../../../../../../../AppData/Roaming/Microsoft/Excel/2010_StructureandProcessDependentPropertiesofSolid-StateSpunCarbonNanotubeYarns.pdf" TargetMode="External"/><Relationship Id="rId565" Type="http://schemas.openxmlformats.org/officeDocument/2006/relationships/hyperlink" Target="../../../Downloads/2020_Continuous%20synthesis%20of%20double-walled%20carbon%20nanotubes%20with%20water-assisted%20floating%20catalyst%20chemical%20vapor%20deposition.pdf" TargetMode="External"/><Relationship Id="rId730" Type="http://schemas.openxmlformats.org/officeDocument/2006/relationships/hyperlink" Target="../../../../../../../AppData/Roaming/Microsoft/Excel/1984_Murday_AnAssessmentofGraphitizedCarbonFiberUseForElectricalPowerTransmission.pdf" TargetMode="External"/><Relationship Id="rId162" Type="http://schemas.openxmlformats.org/officeDocument/2006/relationships/hyperlink" Target="../../../../../../../AppData/Roaming/Microsoft/2012_Dramatic%20electrical%20conductivity%20improvement%20of%20carbon%20nanotube%20networks_bysilultaniousDebundlinandHoldDopindviaCSA.pdf" TargetMode="External"/><Relationship Id="rId218" Type="http://schemas.openxmlformats.org/officeDocument/2006/relationships/hyperlink" Target="../../../Downloads/2001_Reliability%20and%20current%20carrying%20capacity%20of%20carbon%20nanotubes.pdf" TargetMode="External"/><Relationship Id="rId425" Type="http://schemas.openxmlformats.org/officeDocument/2006/relationships/hyperlink" Target="../../../Downloads/2015_Strong%20Carbon%20Nanotube%20Fibers%20by%20Drawing%20Inspiration%20from%20Polymer%20Fiber%20Spinning(3)-annotated.pdf" TargetMode="External"/><Relationship Id="rId467" Type="http://schemas.openxmlformats.org/officeDocument/2006/relationships/hyperlink" Target="../../../../../../../Downloads/2019_Carbon%20nanotube%20fibers%20with%20enhanced%20longitudinal%20carrier%20mobility%20for%20high-performance%20all-carbon%20thermoelectric(3)-annotated.pdf" TargetMode="External"/><Relationship Id="rId632" Type="http://schemas.openxmlformats.org/officeDocument/2006/relationships/hyperlink" Target="../../../Downloads/2018_The%20mechanical%20and%20electrical%20properties%20of%20direct-spun%20carbon%20nanotube%20mats-annotated.pdf" TargetMode="External"/><Relationship Id="rId271" Type="http://schemas.openxmlformats.org/officeDocument/2006/relationships/hyperlink" Target="../../../AppData/Roaming/Microsoft/Excel/1985_ElectricalResistivity_GraphiteIntercalationNitricAndAsF5.pdf" TargetMode="External"/><Relationship Id="rId674" Type="http://schemas.openxmlformats.org/officeDocument/2006/relationships/hyperlink" Target="../../Adarsh/Downloads/2008_Blackburn_TransparentSWCNTNetworkTunableRatios.pdf" TargetMode="External"/><Relationship Id="rId24" Type="http://schemas.openxmlformats.org/officeDocument/2006/relationships/hyperlink" Target="../../../Downloads/2010_Liu%20et%20al._Carbon%20nanotube%20yarns%20with%20high%20tensile%20strength%20made%20by%20a%20twisting%20and%20shrinking%20method.pdf" TargetMode="External"/><Relationship Id="rId66" Type="http://schemas.openxmlformats.org/officeDocument/2006/relationships/hyperlink" Target="../../../AppData/Roaming/Microsoft/2014_Anisotropic%20buckypaper%20through%20shear-inducedMechAlignmentofCNTsinwater.pdf" TargetMode="External"/><Relationship Id="rId131" Type="http://schemas.openxmlformats.org/officeDocument/2006/relationships/hyperlink" Target="../../../../../../../AppData/AppData/Roaming/Microsoft/Excel/2014_Wang_High-Ampacity%20Power%20Cables%20of%20Tightly-Packed%20and%20Aligned%20Carbon%20Nanotubes.pdf" TargetMode="External"/><Relationship Id="rId327" Type="http://schemas.openxmlformats.org/officeDocument/2006/relationships/hyperlink" Target="../../../AppData/Roaming/Microsoft/Excel/2011_Meng_Electrical%20conductivity%20of%20pure%20carbon%20nanotube%20yarns.pdf" TargetMode="External"/><Relationship Id="rId369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534" Type="http://schemas.openxmlformats.org/officeDocument/2006/relationships/hyperlink" Target="../../../../../../../AppData/AppData/Roaming/Microsoft/Excel/2019_Kumanek%20et%20al._Applied%20Nanoscience_Convenient%20but%20powerful%20method%20to%20dope%20single-walled%20carbon%20nanotube%20films%20with%20iodonium%20salts.pdf" TargetMode="External"/><Relationship Id="rId576" Type="http://schemas.openxmlformats.org/officeDocument/2006/relationships/hyperlink" Target="../../../Downloads/2008_Thermal%20boundary%20resistance%20and%20thermal%20conductivity%20of%20multiwalled%20carbon%20nanotubes-annotated.pdf" TargetMode="External"/><Relationship Id="rId741" Type="http://schemas.openxmlformats.org/officeDocument/2006/relationships/hyperlink" Target="../../../Downloads/2017_Free-standing%20films%20from%20chirality-controlled%20carbon%20nanotubes.html" TargetMode="External"/><Relationship Id="rId173" Type="http://schemas.openxmlformats.org/officeDocument/2006/relationships/hyperlink" Target="../../../AppData/Roaming/Microsoft/2004_Effect%20of%20SOCl2%20Treatment%20on%20Electrical%20and%20MechanicalPropertiesofSWCNT.pdf" TargetMode="External"/><Relationship Id="rId229" Type="http://schemas.openxmlformats.org/officeDocument/2006/relationships/hyperlink" Target="../../../AppData/Roaming/Microsoft/Excel/2000%20Strength%20and%20Breaking%20Mechanism%20of%20MWCNT%20under%20tensile%20load.pdf" TargetMode="External"/><Relationship Id="rId380" Type="http://schemas.openxmlformats.org/officeDocument/2006/relationships/hyperlink" Target="../../../Downloads/2019_Fabrication%20of%20high-strength%20carbon%20nanotube%20bundles%20using%20iron%20oxides%20co-%20assisted%20chemical%20vapor%20deposition%20Fabrication%20of%20high-s%20(1).pdf" TargetMode="External"/><Relationship Id="rId436" Type="http://schemas.openxmlformats.org/officeDocument/2006/relationships/hyperlink" Target="../../../Downloads/2014_highlyaligneddensecarbonnanotubesheetsinducedbymultiplestretchingandpressing.pdf" TargetMode="External"/><Relationship Id="rId601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643" Type="http://schemas.openxmlformats.org/officeDocument/2006/relationships/hyperlink" Target="../../../Downloads/2018_Electrical%20Transport%20Degradation%20of%20Chemically%20Doped%20Electronic-Type-Separated%20Single-Wall%20Carbon%20Nanotubes%20(2)-annotated.pdf" TargetMode="External"/><Relationship Id="rId240" Type="http://schemas.openxmlformats.org/officeDocument/2006/relationships/hyperlink" Target="../../../AppData/Roaming/AppData/Roaming/Microsoft/Excel/2015_The%20Structural%20and%20Electronic%20Properties.pdf" TargetMode="External"/><Relationship Id="rId478" Type="http://schemas.openxmlformats.org/officeDocument/2006/relationships/hyperlink" Target="../../../Downloads/2017_Influence%20of%20Carbon%20Nanotube%20Characteristics%20on%20Macroscopic%20FiberProperties.pdf" TargetMode="External"/><Relationship Id="rId685" Type="http://schemas.openxmlformats.org/officeDocument/2006/relationships/hyperlink" Target="../../Adarsh/Downloads/2019_Millisecond%20tension-annealing%20for%20enhancing%20carbon%20nanotube%20fibers_Song%20et%20al.pdf" TargetMode="External"/><Relationship Id="rId35" Type="http://schemas.openxmlformats.org/officeDocument/2006/relationships/hyperlink" Target="../../../../../../../AppData/AppData/Roaming/Microsoft/Excel/2012_Ghemes%20et%20al._Fabrication%20and%20mechanical%20properties%20of%20carbon%20nanotube%20yarns%20spun%20from%20ultra-long%20multi-walled%20carbon%20nanotube%20arra.pdf" TargetMode="External"/><Relationship Id="rId77" Type="http://schemas.openxmlformats.org/officeDocument/2006/relationships/hyperlink" Target="../../../../../../../AppData/Roaming/Microsoft/2012%20Fabrication%20and%20processing%20of%20high-strength%20densely%20packed%20carbon%20nanotube%20yarns%20without%20solution%20processes.pdf" TargetMode="External"/><Relationship Id="rId100" Type="http://schemas.openxmlformats.org/officeDocument/2006/relationships/hyperlink" Target="../../../Downloads/2013_Behabtu_StrongLightUtrahighConductivityRice.pdf" TargetMode="External"/><Relationship Id="rId282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338" Type="http://schemas.openxmlformats.org/officeDocument/2006/relationships/hyperlink" Target="../../../Downloads/2012_ThermalandElectricalConductivityOfArraySpunMultiwallCNTs.pdf" TargetMode="External"/><Relationship Id="rId503" Type="http://schemas.openxmlformats.org/officeDocument/2006/relationships/hyperlink" Target="../../../Downloads/2018_Structure&#8211;Property%20Relations%20in%20Carbon%20Nanotube%20FibersbyDownscalingSolutionProcessing.pdf" TargetMode="External"/><Relationship Id="rId545" Type="http://schemas.openxmlformats.org/officeDocument/2006/relationships/hyperlink" Target="../../../Downloads/2020_Controlling%20Electronic%20States%20of%20Few-walled%20Carbon%20Nanotube%20Yarn%20via%20Joule-annealing%20and%20p-type%20Doping%20Towards%20Lar-annotated.pdf" TargetMode="External"/><Relationship Id="rId587" Type="http://schemas.openxmlformats.org/officeDocument/2006/relationships/hyperlink" Target="../../../Downloads/1985_ElectricalResistivity_GraphiteIntercalationNitricAndAsF5.pdf" TargetMode="External"/><Relationship Id="rId710" Type="http://schemas.openxmlformats.org/officeDocument/2006/relationships/hyperlink" Target="../../../Downloads/2018_HierarchicalStructureofCNTFibersandtheChangeofStructureDuringDensificationbyWetStretching.pdf" TargetMode="External"/><Relationship Id="rId8" Type="http://schemas.openxmlformats.org/officeDocument/2006/relationships/hyperlink" Target="../../../Downloads/2012_High-Density%20Carbon%20Nanotube%20Buckypapers%20with%20SuperiorTransportandMechProperties.pdf" TargetMode="External"/><Relationship Id="rId142" Type="http://schemas.openxmlformats.org/officeDocument/2006/relationships/hyperlink" Target="../../../../../../../AppData/AppData/Roaming/Microsoft/Excel/2017_High%20thermal%20conductivities%20of%20carbon%20nanotube%20films%20andMicrofibersandtheirDependenceOnMorphology.pdf" TargetMode="External"/><Relationship Id="rId184" Type="http://schemas.openxmlformats.org/officeDocument/2006/relationships/hyperlink" Target="../../../Downloads/2012_FreeStandingBuckyPaperwithHighStrengthFromMultiwallCNT.pdf" TargetMode="External"/><Relationship Id="rId391" Type="http://schemas.openxmlformats.org/officeDocument/2006/relationships/hyperlink" Target="../../../Downloads/2017_Strong%20and%20Broadly%20Tunable%20Plasmon%20Resonances%20in%20Thick%20Films%20of%20Aligned%20Carbon%20Nanotubes.pdf" TargetMode="External"/><Relationship Id="rId405" Type="http://schemas.openxmlformats.org/officeDocument/2006/relationships/hyperlink" Target="../../../Downloads/2010_Double-peak%20mechanical%20properties%20of%20carbon-nanotube%20fibers.pdf" TargetMode="External"/><Relationship Id="rId447" Type="http://schemas.openxmlformats.org/officeDocument/2006/relationships/hyperlink" Target="../../../Downloads/2016_Thermoelectric%20properties%20of%20single-wall%20carbon%20nanotube%20films%20Effects%20of%20diameter%20and%20wet%20environment-annotated.pdf" TargetMode="External"/><Relationship Id="rId612" Type="http://schemas.openxmlformats.org/officeDocument/2006/relationships/hyperlink" Target="../../../Downloads/1989_10to5SperCm.pdf" TargetMode="External"/><Relationship Id="rId251" Type="http://schemas.openxmlformats.org/officeDocument/2006/relationships/hyperlink" Target="../../../../../../../AppData/Roaming/AppData/Roaming/Microsoft/Excel/2014_High-StrengthCNTFiber-likeRibbonwithHighDuctilityandHighElectricalConductivity.pdf" TargetMode="External"/><Relationship Id="rId489" Type="http://schemas.openxmlformats.org/officeDocument/2006/relationships/hyperlink" Target="../../../Downloads/2018_Structure&#8211;Property%20Relations%20in%20Carbon%20Nanotube%20FibersbyDownscalingSolutionProcessing.pdf" TargetMode="External"/><Relationship Id="rId654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696" Type="http://schemas.openxmlformats.org/officeDocument/2006/relationships/hyperlink" Target="../../../AppData/Roaming/Microsoft/Excel/1981_GIC_review_Dresshaus.pdf" TargetMode="External"/><Relationship Id="rId46" Type="http://schemas.openxmlformats.org/officeDocument/2006/relationships/hyperlink" Target="../../../../../../../AppData/AppData/Roaming/Microsoft/Excel/2007_Zhang%20et%20al._Strong%20carbon-nanotube%20fibers%20spun%20from%20long%20carbon-nanotube%20arrays.pdf" TargetMode="External"/><Relationship Id="rId293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307" Type="http://schemas.openxmlformats.org/officeDocument/2006/relationships/hyperlink" Target="../../../../../../../AppData/Roaming/Microsoft/Excel/2019_Ichinose%20et%20al._Solving%20the%20Thermoelectric%20Trade-Off%20Problem%20with%20Metallic%20Carbon%20Nanotubes.pdf" TargetMode="External"/><Relationship Id="rId349" Type="http://schemas.openxmlformats.org/officeDocument/2006/relationships/hyperlink" Target="../../../../../../../AppData/Roaming/Microsoft/Excel/1990_Mechanical%20and%20electrical%20properties%20ofPolyaceteleneFilmsDawnthrough.pdf" TargetMode="External"/><Relationship Id="rId514" Type="http://schemas.openxmlformats.org/officeDocument/2006/relationships/hyperlink" Target="../../../Downloads/2016_High-Strength%20Carbon%20Nanotube%20Film%20from%20Improving%20AlignmentAndDensification.pdf" TargetMode="External"/><Relationship Id="rId556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721" Type="http://schemas.openxmlformats.org/officeDocument/2006/relationships/hyperlink" Target="../../../../../../../AppData/Roaming/Microsoft/Excel/1983_Chieu_High-field_magnetoresistance_measurements_on_highly_ordered_graphitefibers.pdf" TargetMode="External"/><Relationship Id="rId88" Type="http://schemas.openxmlformats.org/officeDocument/2006/relationships/hyperlink" Target="../../../Downloads/2004_Direct%20Spinning%20of%20Carbon%20Nanotube%20Fibers%20from%20Chemical%20Vapor%20Deposition%20Synthesis.pdf" TargetMode="External"/><Relationship Id="rId111" Type="http://schemas.openxmlformats.org/officeDocument/2006/relationships/hyperlink" Target="../../../Downloads/2018_Structure&#8211;Property%20Relations%20in%20Carbon%20Nanotube%20FibersbyDownscalingSolutionProcessing.pdf" TargetMode="External"/><Relationship Id="rId153" Type="http://schemas.openxmlformats.org/officeDocument/2006/relationships/hyperlink" Target="../../../../../../../AppData/Roaming/Microsoft/2012_Dramatic%20electrical%20conductivity%20improvement%20of%20carbon%20nanotube%20networks_bysilultaniousDebundlinandHoldDopindviaCSA.pdf" TargetMode="External"/><Relationship Id="rId195" Type="http://schemas.openxmlformats.org/officeDocument/2006/relationships/hyperlink" Target="../../../../../../../AppData/AppData/Roaming/Microsoft/Excel/2018_Roll-to-roll%20continuous%20carbon%20nanotube%20sheetswithHighElectricalConductivity.pdf" TargetMode="External"/><Relationship Id="rId209" Type="http://schemas.openxmlformats.org/officeDocument/2006/relationships/hyperlink" Target="../../../../../../../AppData/AppData/Roaming/Microsoft/Excel/2005_Vavro_Metal-insulator%20transistion%20in%20doped%20single-wall%20carbon%20nanotubes.pdf" TargetMode="External"/><Relationship Id="rId360" Type="http://schemas.openxmlformats.org/officeDocument/2006/relationships/hyperlink" Target="../../../../../../../AppData/Roaming/Microsoft/Excel/2010_StructureandProcessDependentPropertiesofSolid-StateSpunCarbonNanotubeYarns.pdf" TargetMode="External"/><Relationship Id="rId416" Type="http://schemas.openxmlformats.org/officeDocument/2006/relationships/hyperlink" Target="../../../../../../../AppData/AppData/Roaming/Microsoft/Excel/2019_LargeImprovementforelectricicalwireCNTconductivitybyannealinganddoping.pdf" TargetMode="External"/><Relationship Id="rId598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220" Type="http://schemas.openxmlformats.org/officeDocument/2006/relationships/hyperlink" Target="../../../Downloads/2005_Multichannel%20Ballistic%20Transport%20in%20Multiwall%20Carbon%20Nanotubes.pdf" TargetMode="External"/><Relationship Id="rId458" Type="http://schemas.openxmlformats.org/officeDocument/2006/relationships/hyperlink" Target="../../../Downloads/2004_Single%20wall%20carbon%20nanotube%20fibers%20extruded%20from%20super-acid%20suspensions.pdf" TargetMode="External"/><Relationship Id="rId623" Type="http://schemas.openxmlformats.org/officeDocument/2006/relationships/hyperlink" Target="../../../Downloads/1991_Mechanical%20and%20electrical%20properties%20of%20highly%20oriented%20polyacetylene%20films.pdf" TargetMode="External"/><Relationship Id="rId665" Type="http://schemas.openxmlformats.org/officeDocument/2006/relationships/hyperlink" Target="../../../Downloads/2009_Nirmalrag_Electrical%20Connectivity%20in%20Single-Walled%20Carbon%20Nanotube%20Networks.pdf" TargetMode="External"/><Relationship Id="rId15" Type="http://schemas.openxmlformats.org/officeDocument/2006/relationships/hyperlink" Target="../../../Downloads/2017_Ultra-high%20conductivity%20and%20metallic%20conduction%20mechanism%20of%20scaleup%20continuous%20carbon%20nanotube%20sheets%20by%20mechanical%20stretching%20and%20stable%20chemical%20doping.pdf" TargetMode="External"/><Relationship Id="rId57" Type="http://schemas.openxmlformats.org/officeDocument/2006/relationships/hyperlink" Target="../../../../../../../AppData/Roaming/Microsoft/2012_High-Density%20Carbon%20Nanotube%20Buckypapers%20with%20SuperiorTransportandMechProperties.pdf" TargetMode="External"/><Relationship Id="rId262" Type="http://schemas.openxmlformats.org/officeDocument/2006/relationships/hyperlink" Target="../../../AppData/Roaming/Microsoft/Excel/2015_The%20Structural%20and%20Electronic%20Properties.pdf" TargetMode="External"/><Relationship Id="rId318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525" Type="http://schemas.openxmlformats.org/officeDocument/2006/relationships/hyperlink" Target="../../../Downloads/2011_Highly%20conductive%20carbon%20nanotube%20buckypapers%20with%20improved%20doping%20stability%20viaConjugatedCrossLinking.pdf" TargetMode="External"/><Relationship Id="rId567" Type="http://schemas.openxmlformats.org/officeDocument/2006/relationships/hyperlink" Target="../../../Downloads/2007_Thermal%20transport%20in%20MWCNT%20sheets%20and%20yarns-annotated.pdf" TargetMode="External"/><Relationship Id="rId732" Type="http://schemas.openxmlformats.org/officeDocument/2006/relationships/hyperlink" Target="../../../../../../../AppData/Roaming/Microsoft/Excel/1984_Murday_AnAssessmentofGraphitizedCarbonFiberUseForElectricalPowerTransmission.pdf" TargetMode="External"/><Relationship Id="rId99" Type="http://schemas.openxmlformats.org/officeDocument/2006/relationships/hyperlink" Target="../../../Downloads/2011_Zhao_Iodine%20doped%20carbon%20nanotube%20cables%20exceeding%20specific%20electrical%20conductivity%20of%20metals.pdf" TargetMode="External"/><Relationship Id="rId122" Type="http://schemas.openxmlformats.org/officeDocument/2006/relationships/hyperlink" Target="../../../../../../../AppData/AppData/Roaming/Microsoft/Excel/2019_Jensen%20et%20al._Carbon_Toward%20Ultralight%20High%20Strength%20Structural%20Materials%20via%20Collapsed%20Carbon%20Nanotube%20Bonding.pdf" TargetMode="External"/><Relationship Id="rId164" Type="http://schemas.openxmlformats.org/officeDocument/2006/relationships/hyperlink" Target="../../../../../../../AppData/Roaming/Microsoft/2012_Dramatic%20electrical%20conductivity%20improvement%20of%20carbon%20nanotube%20networks_bysilultaniousDebundlinandHoldDopindviaCSA.pdf" TargetMode="External"/><Relationship Id="rId371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427" Type="http://schemas.openxmlformats.org/officeDocument/2006/relationships/hyperlink" Target="../../../Downloads/2017_Three-dimensional%20texture%20analysis%20of%20aligned%20carbon%20nanotube%20structures.pdf" TargetMode="External"/><Relationship Id="rId469" Type="http://schemas.openxmlformats.org/officeDocument/2006/relationships/hyperlink" Target="../../../../../../../Downloads/2019_Carbon%20nanotube%20fibers%20with%20enhanced%20longitudinal%20carrier%20mobility%20for%20high-performance%20all-carbon%20thermoelectric(3)-annotated.pdf" TargetMode="External"/><Relationship Id="rId634" Type="http://schemas.openxmlformats.org/officeDocument/2006/relationships/hyperlink" Target="../../../Downloads/2017_Carbon%20nanotube%20wires%20with%20continuous%20current%20rating%20exceeding%2020%20Amperes-annotated.pdf" TargetMode="External"/><Relationship Id="rId676" Type="http://schemas.openxmlformats.org/officeDocument/2006/relationships/hyperlink" Target="../../Adarsh/Downloads/2001_Kaiser_Electronic%20transport%20properties%20of%20conducting%20polymers%20and%20carbon%20nanotubes.pdf" TargetMode="External"/><Relationship Id="rId26" Type="http://schemas.openxmlformats.org/officeDocument/2006/relationships/hyperlink" Target="../../../Downloads/2015_Strong%20and%20Conductive%20Dry%20Carbon%20Nanotube%20FilmsbyMicroCombing.pdf" TargetMode="External"/><Relationship Id="rId231" Type="http://schemas.openxmlformats.org/officeDocument/2006/relationships/hyperlink" Target="../../../AppData/Roaming/Microsoft/Excel/2000%20Strength%20and%20Breaking%20Mechanism%20of%20MWCNT%20under%20tensile%20load.pdf" TargetMode="External"/><Relationship Id="rId273" Type="http://schemas.openxmlformats.org/officeDocument/2006/relationships/hyperlink" Target="../../../AppData/Roaming/Microsoft/Excel/1985_ElectricalResistivity_GraphiteIntercalationNitricAndAsF5.pdf" TargetMode="External"/><Relationship Id="rId329" Type="http://schemas.openxmlformats.org/officeDocument/2006/relationships/hyperlink" Target="../../../AppData/Roaming/Microsoft/Excel/2011_Meng_Electrical%20conductivity%20of%20pure%20carbon%20nanotube%20yarns.pdf" TargetMode="External"/><Relationship Id="rId480" Type="http://schemas.openxmlformats.org/officeDocument/2006/relationships/hyperlink" Target="../../../Downloads/2017_Influence%20of%20Carbon%20Nanotube%20Characteristics%20on%20Macroscopic%20FiberProperties.pdf" TargetMode="External"/><Relationship Id="rId536" Type="http://schemas.openxmlformats.org/officeDocument/2006/relationships/hyperlink" Target="../../../../../../../AppData/Downloads/2012%20Fabrication%20and%20processing%20of%20high-strength%20densely%20packed%20carbon%20nanotube%20yarns%20without%20solution%20processes.pdf" TargetMode="External"/><Relationship Id="rId701" Type="http://schemas.openxmlformats.org/officeDocument/2006/relationships/hyperlink" Target="../../../Downloads/2015_Post-Treatments%20for%20Multifunctional%20Property%20Enhancement%20ofCNTfibersFromFloatingCat.pdf" TargetMode="External"/><Relationship Id="rId68" Type="http://schemas.openxmlformats.org/officeDocument/2006/relationships/hyperlink" Target="../../../AppData/Roaming/Microsoft/2014_Anisotropic%20buckypaper%20through%20shear-inducedMechAlignmentofCNTsinwater.pdf" TargetMode="External"/><Relationship Id="rId133" Type="http://schemas.openxmlformats.org/officeDocument/2006/relationships/hyperlink" Target="../../../Downloads/2014_Wang_High-Ampacity%20Power%20Cables%20of%20Tightly-Packed%20and%20Aligned%20Carbon%20Nanotubes.pdf" TargetMode="External"/><Relationship Id="rId175" Type="http://schemas.openxmlformats.org/officeDocument/2006/relationships/hyperlink" Target="../../../AppData/Roaming/Microsoft/Excel/2008_Blackburn_TransparentSWCNTNetworkTunableRatios.pdf" TargetMode="External"/><Relationship Id="rId340" Type="http://schemas.openxmlformats.org/officeDocument/2006/relationships/hyperlink" Target="../../../AppData/Roaming/Microsoft/Excel/2012ThermalandElectricalConductivityOfArraySpunMultiwallCNTs.pdf" TargetMode="External"/><Relationship Id="rId578" Type="http://schemas.openxmlformats.org/officeDocument/2006/relationships/hyperlink" Target="../../../Downloads/2019_One-directional%20thermal%20transport%20in%20densely%20aligned%20single-wall%20carbon%20nanotube%20films-annotated.pdf" TargetMode="External"/><Relationship Id="rId743" Type="http://schemas.openxmlformats.org/officeDocument/2006/relationships/hyperlink" Target="../../../Downloads/2017_Free-standing%20films%20from%20chirality-controlled%20carbon%20nanotubes.html" TargetMode="External"/><Relationship Id="rId200" Type="http://schemas.openxmlformats.org/officeDocument/2006/relationships/hyperlink" Target="../../../AppData/Roaming/AppData/Roaming/Microsoft/Excel/1992%20iPAC%20review.pdf" TargetMode="External"/><Relationship Id="rId382" Type="http://schemas.openxmlformats.org/officeDocument/2006/relationships/hyperlink" Target="../../../Downloads/2017_Large%20n-%20and%20p-Type%20Thermoelectric%20Power%20Factors%20from%20Doped%20Semiconducting%20Single-Walled%20Carbon%20Nanotube%20Thin%20Films.pdf" TargetMode="External"/><Relationship Id="rId438" Type="http://schemas.openxmlformats.org/officeDocument/2006/relationships/hyperlink" Target="../../../Downloads/2014_highlyaligneddensecarbonnanotubesheetsinducedbymultiplestretchingandpressing.pdf" TargetMode="External"/><Relationship Id="rId603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645" Type="http://schemas.openxmlformats.org/officeDocument/2006/relationships/hyperlink" Target="../../../Downloads/2012_IonIrradiationofElectronicTypeSeperatedSWCNTAmodelforRadiationeffectsInNanostructuredCarbon.pdf" TargetMode="External"/><Relationship Id="rId687" Type="http://schemas.openxmlformats.org/officeDocument/2006/relationships/hyperlink" Target="../../../Downloads/2011_Zhao_Iodine%20doped%20carbon%20nanotube%20cables%20exceeding%20specific%20electrical%20conductivity%20of%20metals.pdf" TargetMode="External"/><Relationship Id="rId242" Type="http://schemas.openxmlformats.org/officeDocument/2006/relationships/hyperlink" Target="../../../AppData/Roaming/AppData/Roaming/Microsoft/Excel/2002_McEuen_Single-Walled%20Carbon%20Nanotube%20Electronics.pdf" TargetMode="External"/><Relationship Id="rId284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491" Type="http://schemas.openxmlformats.org/officeDocument/2006/relationships/hyperlink" Target="../../../Downloads/2018_Structure&#8211;Property%20Relations%20in%20Carbon%20Nanotube%20FibersbyDownscalingSolutionProcessing.pdf" TargetMode="External"/><Relationship Id="rId505" Type="http://schemas.openxmlformats.org/officeDocument/2006/relationships/hyperlink" Target="../../../Downloads/2018_Structure&#8211;Property%20Relations%20in%20Carbon%20Nanotube%20FibersbyDownscalingSolutionProcessing.pdf" TargetMode="External"/><Relationship Id="rId712" Type="http://schemas.openxmlformats.org/officeDocument/2006/relationships/hyperlink" Target="../../../Downloads/2018_HierarchicalStructureofCNTFibersandtheChangeofStructureDuringDensificationbyWetStretching.pdf" TargetMode="External"/><Relationship Id="rId37" Type="http://schemas.openxmlformats.org/officeDocument/2006/relationships/hyperlink" Target="../../../Downloads/2011_Jia%20et%20al._A%20comparison%20of%20the%20mechanical%20properties%20of%20fibers%20spun%20from%20different%20carbon%20nanotubes.pdf" TargetMode="External"/><Relationship Id="rId79" Type="http://schemas.openxmlformats.org/officeDocument/2006/relationships/hyperlink" Target="../../../../../../../AppData/Roaming/Microsoft/2012%20Fabrication%20and%20processing%20of%20high-strength%20densely%20packed%20carbon%20nanotube%20yarns%20without%20solution%20processes.pdf" TargetMode="External"/><Relationship Id="rId102" Type="http://schemas.openxmlformats.org/officeDocument/2006/relationships/hyperlink" Target="../../../Downloads/2010_High%20conductivity%20carbon%20nanotube%20wires%20from%20radial%20densificationIonicDoping.pdf" TargetMode="External"/><Relationship Id="rId144" Type="http://schemas.openxmlformats.org/officeDocument/2006/relationships/hyperlink" Target="../../../../../../../AppData/AppData/Roaming/Microsoft/Excel/2017_Performance%20improvement%20of%20continuous%20carbon%20nanotubefibersbyAcidtreatment.pdf" TargetMode="External"/><Relationship Id="rId547" Type="http://schemas.openxmlformats.org/officeDocument/2006/relationships/hyperlink" Target="../../../Downloads/2020_Controlling%20Electronic%20States%20of%20Few-walled%20Carbon%20Nanotube%20Yarn%20via%20Joule-annealing%20and%20p-type%20Doping%20Towards%20Lar-annotated.pdf" TargetMode="External"/><Relationship Id="rId589" Type="http://schemas.openxmlformats.org/officeDocument/2006/relationships/hyperlink" Target="../../../Downloads/1985_ElectricalResistivity_GraphiteIntercalationNitricAndAsF5.pdf" TargetMode="External"/><Relationship Id="rId90" Type="http://schemas.openxmlformats.org/officeDocument/2006/relationships/hyperlink" Target="../../../../../../../AppData/Roaming/Microsoft/Excel/2017_Performance%20improvement%20of%20continuous%20carbon%20nanotubefibersbyAcidtreatment.pdf" TargetMode="External"/><Relationship Id="rId186" Type="http://schemas.openxmlformats.org/officeDocument/2006/relationships/hyperlink" Target="../../../Downloads/2012_InsituCharacterizationofStructuralChangesandtheFractionofAlignedCNTnetworksproducedByStretching.pdf" TargetMode="External"/><Relationship Id="rId351" Type="http://schemas.openxmlformats.org/officeDocument/2006/relationships/hyperlink" Target="../../../../../../../AppData/Roaming/Microsoft/Excel/1990_Mechanical%20and%20electrical%20properties%20ofPolyaceteleneFilmsDawnthrough.pdf" TargetMode="External"/><Relationship Id="rId393" Type="http://schemas.openxmlformats.org/officeDocument/2006/relationships/hyperlink" Target="../../../Downloads/2017_Ultra-high%20conductivity%20and%20metallic%20conduction%20mechanism%20of%20scaleup%20continuous%20carbon%20nanotube%20sheets%20by%20mechanical%20stretching%20and%20stable%20chemical%20doping.pdf" TargetMode="External"/><Relationship Id="rId407" Type="http://schemas.openxmlformats.org/officeDocument/2006/relationships/hyperlink" Target="../../../Downloads/2010_Double-peak%20mechanical%20properties%20of%20carbon-nanotube%20fibers.pdf" TargetMode="External"/><Relationship Id="rId449" Type="http://schemas.openxmlformats.org/officeDocument/2006/relationships/hyperlink" Target="../../../../../../../Downloads/2016_Thermoelectric%20properties%20of%20single-wall%20carbon%20nanotube%20films%20Effects%20of%20diameter%20and%20wet%20environment-annotated.pdf" TargetMode="External"/><Relationship Id="rId614" Type="http://schemas.openxmlformats.org/officeDocument/2006/relationships/hyperlink" Target="../../Adarsh/Downloads/1988_ELECTRICAL%20CONDUCTIVITY%20OF%20HIGHLY-ORIENTED-POLYACETYLENE.pdf" TargetMode="External"/><Relationship Id="rId656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211" Type="http://schemas.openxmlformats.org/officeDocument/2006/relationships/hyperlink" Target="../../../AppData/Roaming/AppData/Roaming/Microsoft/Excel/1986_Amorphous%20carbon.pdf" TargetMode="External"/><Relationship Id="rId253" Type="http://schemas.openxmlformats.org/officeDocument/2006/relationships/hyperlink" Target="../../../../../../../AppData/Roaming/AppData/Roaming/Microsoft/Excel/2014_High-StrengthCNTFiber-likeRibbonwithHighDuctilityandHighElectricalConductivity.pdf" TargetMode="External"/><Relationship Id="rId295" Type="http://schemas.openxmlformats.org/officeDocument/2006/relationships/hyperlink" Target="../../../Downloads/2019_Strength%20of%20carbon%20nanotubes%20depends%20on%20theirdependenceonChemicalStructure.pdf" TargetMode="External"/><Relationship Id="rId309" Type="http://schemas.openxmlformats.org/officeDocument/2006/relationships/hyperlink" Target="../../../../../../../AppData/Roaming/Microsoft/Excel/2019_Ichinose%20et%20al._Solving%20the%20Thermoelectric%20Trade-Off%20Problem%20with%20Metallic%20Carbon%20Nanotubes.pdf" TargetMode="External"/><Relationship Id="rId460" Type="http://schemas.openxmlformats.org/officeDocument/2006/relationships/hyperlink" Target="../../../Downloads/2004_Single%20wall%20carbon%20nanotube%20fibers%20extruded%20from%20super-acid%20suspensions.pdf" TargetMode="External"/><Relationship Id="rId516" Type="http://schemas.openxmlformats.org/officeDocument/2006/relationships/hyperlink" Target="../../../Downloads/2019_Direct%20spinning%20and%20densification%20method%20forhighperformanceCNTfibers.pdf" TargetMode="External"/><Relationship Id="rId698" Type="http://schemas.openxmlformats.org/officeDocument/2006/relationships/hyperlink" Target="../../../AppData/Roaming/Microsoft/Excel/1981_GIC_review_Dresshaus.pdf" TargetMode="External"/><Relationship Id="rId48" Type="http://schemas.openxmlformats.org/officeDocument/2006/relationships/hyperlink" Target="../../../Downloads/2017_High%20thermal%20conductivities%20of%20carbon%20nanotube%20films%20andMicrofibersandtheirDependenceOnMorphology.pdf" TargetMode="External"/><Relationship Id="rId113" Type="http://schemas.openxmlformats.org/officeDocument/2006/relationships/hyperlink" Target="../../../Downloads/2014_High-StrengthCNTFiber-likeRibbonwithHighDuctilityandHighElectricalConductivity.pdf" TargetMode="External"/><Relationship Id="rId320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558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723" Type="http://schemas.openxmlformats.org/officeDocument/2006/relationships/hyperlink" Target="../../../../../../../AppData/AppData/Roaming/Microsoft/Excel/2005_Vavro_Metal-insulator%20transistion%20in%20doped%20single-wall%20carbon%20nanotubes.pdf" TargetMode="External"/><Relationship Id="rId155" Type="http://schemas.openxmlformats.org/officeDocument/2006/relationships/hyperlink" Target="../../Adarsh/Downloads/2008_Blackburn_TransparentSWCNTNetworkTunableRatios.pdf" TargetMode="External"/><Relationship Id="rId197" Type="http://schemas.openxmlformats.org/officeDocument/2006/relationships/hyperlink" Target="../../../Downloads/2013_Influence%20of%20lengths%20of%20millimeter-scaleSWCNTonmechandelectricalPropertiesofBuckyPaper.pdf" TargetMode="External"/><Relationship Id="rId362" Type="http://schemas.openxmlformats.org/officeDocument/2006/relationships/hyperlink" Target="../../../../../../../AppData/Roaming/Microsoft/Excel/2010_StructureandProcessDependentPropertiesofSolid-StateSpunCarbonNanotubeYarns.pdf" TargetMode="External"/><Relationship Id="rId418" Type="http://schemas.openxmlformats.org/officeDocument/2006/relationships/hyperlink" Target="../../../Downloads/2018_Powerful%20doping%20of%20chirality-sorted%20carbon%20nanotube%20films(2)-annotated.pdf" TargetMode="External"/><Relationship Id="rId625" Type="http://schemas.openxmlformats.org/officeDocument/2006/relationships/hyperlink" Target="../../../Downloads/1991_Mechanical%20and%20electrical%20properties%20of%20highly%20oriented%20polyacetylene%20films.pdf" TargetMode="External"/><Relationship Id="rId222" Type="http://schemas.openxmlformats.org/officeDocument/2006/relationships/hyperlink" Target="../../../AppData/Roaming/Microsoft/Excel/2008%20Measurements%20of%20near-ultimate%20strength%20for%20multiwall%20CNTs.pdf" TargetMode="External"/><Relationship Id="rId264" Type="http://schemas.openxmlformats.org/officeDocument/2006/relationships/hyperlink" Target="../../../AppData/Roaming/Microsoft/Excel/1989_Inagaki_Applications%20of%20graphite%20intercalation%20compounds.pdf" TargetMode="External"/><Relationship Id="rId471" Type="http://schemas.openxmlformats.org/officeDocument/2006/relationships/hyperlink" Target="../../../../../../../Downloads/2019_Carbon%20nanotube%20fibers%20with%20enhanced%20longitudinal%20carrier%20mobility%20for%20high-performance%20all-carbon%20thermoelectric(3)-annotated.pdf" TargetMode="External"/><Relationship Id="rId667" Type="http://schemas.openxmlformats.org/officeDocument/2006/relationships/hyperlink" Target="../../../Downloads/2009_Nirmalrag_Electrical%20Connectivity%20in%20Single-Walled%20Carbon%20Nanotube%20Networks.pdf" TargetMode="External"/><Relationship Id="rId17" Type="http://schemas.openxmlformats.org/officeDocument/2006/relationships/hyperlink" Target="../../../Downloads/2017_Preparation%20of%20carbon%20nanotube%20film%20with%20high%20alignment%20and%20elevatedDensity.pdf" TargetMode="External"/><Relationship Id="rId59" Type="http://schemas.openxmlformats.org/officeDocument/2006/relationships/hyperlink" Target="../../../../../../../AppData/Roaming/Microsoft/2012_High-Density%20Carbon%20Nanotube%20Buckypapers%20with%20SuperiorTransportandMechProperties.pdf" TargetMode="External"/><Relationship Id="rId124" Type="http://schemas.openxmlformats.org/officeDocument/2006/relationships/hyperlink" Target="../../../../../../../AppData/AppData/Roaming/Microsoft/Excel/2019_Jensen%20et%20al._Carbon_Toward%20Ultralight%20High%20Strength%20Structural%20Materials%20via%20Collapsed%20Carbon%20Nanotube%20Bonding.pdf" TargetMode="External"/><Relationship Id="rId527" Type="http://schemas.openxmlformats.org/officeDocument/2006/relationships/hyperlink" Target="../../../../../../../AppData/AppData/Roaming/Microsoft/Excel/2005_Effect%20of%20Chemical%20Treatment%20on%20Electrical%20Conductivity,%20Infrared%20Absorption,%20and%20Raman.pdf" TargetMode="External"/><Relationship Id="rId569" Type="http://schemas.openxmlformats.org/officeDocument/2006/relationships/hyperlink" Target="../../../Downloads/2005_Measuring%20the%20thermal%20conductivity%20of%20a%20single%20carbon%20nanotube-annotated.pdf" TargetMode="External"/><Relationship Id="rId734" Type="http://schemas.openxmlformats.org/officeDocument/2006/relationships/hyperlink" Target="../../../../../../../AppData/Roaming/Microsoft/Excel/1984_Murday_AnAssessmentofGraphitizedCarbonFiberUseForElectricalPowerTransmission.pdf" TargetMode="External"/><Relationship Id="rId70" Type="http://schemas.openxmlformats.org/officeDocument/2006/relationships/hyperlink" Target="../../../../../../../AppData/Roaming/Microsoft/2012%20Fabrication%20and%20processing%20of%20high-strength%20densely%20packed%20carbon%20nanotube%20yarns%20without%20solution%20processes.pdf" TargetMode="External"/><Relationship Id="rId166" Type="http://schemas.openxmlformats.org/officeDocument/2006/relationships/hyperlink" Target="../../../../../../../AppData/Roaming/Microsoft/2012_Dramatic%20electrical%20conductivity%20improvement%20of%20carbon%20nanotube%20networks_bysilultaniousDebundlinandHoldDopindviaCSA.pdf" TargetMode="External"/><Relationship Id="rId331" Type="http://schemas.openxmlformats.org/officeDocument/2006/relationships/hyperlink" Target="../../../AppData/Roaming/Microsoft/Excel/2011_Meng_Electrical%20conductivity%20of%20pure%20carbon%20nanotube%20yarns.pdf" TargetMode="External"/><Relationship Id="rId373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429" Type="http://schemas.openxmlformats.org/officeDocument/2006/relationships/hyperlink" Target="../../../Downloads/2017_Three-dimensional%20texture%20analysis%20of%20aligned%20carbon%20nanotube%20structures.pdf" TargetMode="External"/><Relationship Id="rId580" Type="http://schemas.openxmlformats.org/officeDocument/2006/relationships/hyperlink" Target="../../../Downloads/2004_Macroscopic,%20Neat,%20Single-WalledCNTfibers.pdf" TargetMode="External"/><Relationship Id="rId636" Type="http://schemas.openxmlformats.org/officeDocument/2006/relationships/hyperlink" Target="../../../Downloads/2012_Sharp%20burnout%20failure%20observed%20in%20high%20current%20carrying%20double%20walled%20carbon%20nanotube%20fibers.pdf" TargetMode="External"/><Relationship Id="rId1" Type="http://schemas.openxmlformats.org/officeDocument/2006/relationships/hyperlink" Target="../../../Downloads/2006_The%20effect%20of%20annealing%20on%20the%20electrical%20and%20thermal%20transport.pdf" TargetMode="External"/><Relationship Id="rId233" Type="http://schemas.openxmlformats.org/officeDocument/2006/relationships/hyperlink" Target="../../../AppData/Roaming/Microsoft/Excel/2000%20Strength%20and%20Breaking%20Mechanism%20of%20MWCNT%20under%20tensile%20load.pdf" TargetMode="External"/><Relationship Id="rId440" Type="http://schemas.openxmlformats.org/officeDocument/2006/relationships/hyperlink" Target="../../../Downloads/2015_Effects%20of%20CNT%20diameter%20on%20mechanical%20properties%20of%20aligned%20CNT%20sheets.pdf" TargetMode="External"/><Relationship Id="rId678" Type="http://schemas.openxmlformats.org/officeDocument/2006/relationships/hyperlink" Target="../../Adarsh/Downloads/1994_Kaneko_Electrical%20conductance%20in%20metallic%20phases%20of%20fully%20doped%20polyacetylene.pdf" TargetMode="External"/><Relationship Id="rId28" Type="http://schemas.openxmlformats.org/officeDocument/2006/relationships/hyperlink" Target="../../../Downloads/2012_Carbon%20nanotube%20fibers%20for%20electrochemical%20applicationseffect%20of%20enhanced.pdf" TargetMode="External"/><Relationship Id="rId275" Type="http://schemas.openxmlformats.org/officeDocument/2006/relationships/hyperlink" Target="../../../AppData/Roaming/Microsoft/Excel/1985_ElectricalResistivity_GraphiteIntercalationNitricAndAsF5.pdf" TargetMode="External"/><Relationship Id="rId300" Type="http://schemas.openxmlformats.org/officeDocument/2006/relationships/hyperlink" Target="../../../AppData/Roaming/Microsoft/Excel/1989_PREPARATION%20AND%20PROPERTIES%20OF%20VAPOR%20GROWN%20GRAPHITE%20.pdf" TargetMode="External"/><Relationship Id="rId482" Type="http://schemas.openxmlformats.org/officeDocument/2006/relationships/hyperlink" Target="../../../Downloads/2017_Extreme%20Magneto-transport%20of%20Bulk%20Carbon%20Nanotubes%20in%20Sorted%20Electronic%20Concentrations%20and%20Aligned%20High%20Performance%20Fiber.pdf" TargetMode="External"/><Relationship Id="rId538" Type="http://schemas.openxmlformats.org/officeDocument/2006/relationships/hyperlink" Target="../../../Downloads/2014_Interplay%20of%20wall%20number%20and%20diameter%20on%20the%20electrical%20conductivity%20of%20CNT%20thin%20films.htm" TargetMode="External"/><Relationship Id="rId703" Type="http://schemas.openxmlformats.org/officeDocument/2006/relationships/hyperlink" Target="../../../Downloads/2015_Post-Treatments%20for%20Multifunctional%20Property%20Enhancement%20ofCNTfibersFromFloatingCat.pdf" TargetMode="External"/><Relationship Id="rId745" Type="http://schemas.openxmlformats.org/officeDocument/2006/relationships/printerSettings" Target="../printerSettings/printerSettings1.bin"/><Relationship Id="rId81" Type="http://schemas.openxmlformats.org/officeDocument/2006/relationships/hyperlink" Target="../../../../../../../AppData/Roaming/Microsoft/2018_Enhancement%20of%20the%20twisted%20carbon%20nanotube%20fibers%20properties%20byDrawingProcessAndAcidTreatment.pdf" TargetMode="External"/><Relationship Id="rId135" Type="http://schemas.openxmlformats.org/officeDocument/2006/relationships/hyperlink" Target="../../../../../../../AppData/AppData/Roaming/Microsoft/Excel/2016_Lightweight,%20Flexible,%20High-Performance%20Carbon%20Nanotube%20CablesMadebyScalableFlowCoating.pdf" TargetMode="External"/><Relationship Id="rId177" Type="http://schemas.openxmlformats.org/officeDocument/2006/relationships/hyperlink" Target="../../../AppData/Roaming/Microsoft/2008_Blackburn_TransparentSWCNTNetworkTunableRatios.pdf" TargetMode="External"/><Relationship Id="rId342" Type="http://schemas.openxmlformats.org/officeDocument/2006/relationships/hyperlink" Target="../../../AppData/Roaming/Microsoft/Excel/2012ThermalandElectricalConductivityOfArraySpunMultiwallCNTs.pdf" TargetMode="External"/><Relationship Id="rId384" Type="http://schemas.openxmlformats.org/officeDocument/2006/relationships/hyperlink" Target="../../../../../../../Downloads/Personal/SharedLiteratureDataBase/2019_Thermoelectric%20properties%20of%20sorted%20semiconducting%20single-walled%20carbon%20nanotube%20sheets.pdf" TargetMode="External"/><Relationship Id="rId591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605" Type="http://schemas.openxmlformats.org/officeDocument/2006/relationships/hyperlink" Target="../../Adarsh/Downloads/1990_Mechanical%20and%20electrical%20properties%20ofPolyaceteleneFilmsDawnthrough.pdf" TargetMode="External"/><Relationship Id="rId202" Type="http://schemas.openxmlformats.org/officeDocument/2006/relationships/hyperlink" Target="../../Adarsh/Downloads/1992%20iPAC%20review.pdf" TargetMode="External"/><Relationship Id="rId244" Type="http://schemas.openxmlformats.org/officeDocument/2006/relationships/hyperlink" Target="../../../AppData/Roaming/AppData/Roaming/Microsoft/Excel/1986_Amorphous%20carbon.pdf" TargetMode="External"/><Relationship Id="rId647" Type="http://schemas.openxmlformats.org/officeDocument/2006/relationships/hyperlink" Target="../../../Downloads/2019_Soule%20et%20al._Sustaining%20Enhanced%20Electrical%20Conductivity%20in%20KAuBr%204%20-Doped%20Carbon%20Nanotube%20Wires%20at%20High%20Current%20Densities.pdf" TargetMode="External"/><Relationship Id="rId689" Type="http://schemas.openxmlformats.org/officeDocument/2006/relationships/hyperlink" Target="../../../../../../../AppData/AppData/Roaming/Microsoft/Excel/2017_High%20thermal%20conductivities%20of%20carbon%20nanotube%20films%20andMicrofibersandtheirDependenceOnMorphology.pdf" TargetMode="External"/><Relationship Id="rId39" Type="http://schemas.openxmlformats.org/officeDocument/2006/relationships/hyperlink" Target="../../../../../../../AppData/AppData/Roaming/Microsoft/Excel/2011_Jia%20et%20al._A%20comparison%20of%20the%20mechanical%20properties%20of%20fibers%20spun%20from%20different%20carbon%20nanotubes.pdf" TargetMode="External"/><Relationship Id="rId286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451" Type="http://schemas.openxmlformats.org/officeDocument/2006/relationships/hyperlink" Target="../../../Downloads/2019_Intrinsic%20and%20Extrinsically%20Limited%20Thermoelectric%20Transport%20within%20Semiconducting%20Single-Walled%20Carbon%20Nanotu-annotated.pdf" TargetMode="External"/><Relationship Id="rId493" Type="http://schemas.openxmlformats.org/officeDocument/2006/relationships/hyperlink" Target="../../../Downloads/2018_Structure&#8211;Property%20Relations%20in%20Carbon%20Nanotube%20FibersbyDownscalingSolutionProcessing.pdf" TargetMode="External"/><Relationship Id="rId507" Type="http://schemas.openxmlformats.org/officeDocument/2006/relationships/hyperlink" Target="../../../Downloads/2018_Structure&#8211;Property%20Relations%20in%20Carbon%20Nanotube%20FibersbyDownscalingSolutionProcessing.pdf" TargetMode="External"/><Relationship Id="rId549" Type="http://schemas.openxmlformats.org/officeDocument/2006/relationships/hyperlink" Target="../../../Downloads/2020_Controlling%20Electronic%20States%20of%20Few-walled%20Carbon%20Nanotube%20Yarn%20via%20Joule-annealing%20and%20p-type%20Doping%20Towards%20Lar-annotated.pdf" TargetMode="External"/><Relationship Id="rId714" Type="http://schemas.openxmlformats.org/officeDocument/2006/relationships/hyperlink" Target="../../../AppData/Roaming/Microsoft/Excel/1989_PREPARATION%20AND%20PROPERTIES%20OF%20VAPOR%20GROWN%20GRAPHITE%20.pdf" TargetMode="External"/><Relationship Id="rId50" Type="http://schemas.openxmlformats.org/officeDocument/2006/relationships/hyperlink" Target="../../../AppData/Roaming/Microsoft/2006_The%20effect%20of%20annealing%20on%20the%20electrical%20and%20thermal%20transport.pdf" TargetMode="External"/><Relationship Id="rId104" Type="http://schemas.openxmlformats.org/officeDocument/2006/relationships/hyperlink" Target="../../../../../../../AppData/AppData/Roaming/Microsoft/Excel/2010_High%20conductivity%20carbon%20nanotube%20wires%20from%20radial%20densificationIonicDoping.pdf" TargetMode="External"/><Relationship Id="rId146" Type="http://schemas.openxmlformats.org/officeDocument/2006/relationships/hyperlink" Target="../../../Downloads/2014_Iodine%20monochloride%20as%20a%20powerful%20enhancerofelectricalconductivityofCNTwires.pdf" TargetMode="External"/><Relationship Id="rId188" Type="http://schemas.openxmlformats.org/officeDocument/2006/relationships/hyperlink" Target="../../../../../../../AppData/Roaming/Microsoft/2008_The%20feasibility%20of%20producing%20MWCNT%20paper%20and%20strong%20MWCNTFilmfromVACNTarray.pdf" TargetMode="External"/><Relationship Id="rId311" Type="http://schemas.openxmlformats.org/officeDocument/2006/relationships/hyperlink" Target="../../../../../../../AppData/Roaming/Microsoft/Excel/2019_Ichinose%20et%20al._Solving%20the%20Thermoelectric%20Trade-Off%20Problem%20with%20Metallic%20Carbon%20Nanotubes.pdf" TargetMode="External"/><Relationship Id="rId353" Type="http://schemas.openxmlformats.org/officeDocument/2006/relationships/hyperlink" Target="../../../Downloads/2008_Macroscopic%20Fibers%20of%20Well-Aligned%20Carbon%20Nanotubes.pdf" TargetMode="External"/><Relationship Id="rId395" Type="http://schemas.openxmlformats.org/officeDocument/2006/relationships/hyperlink" Target="../../../AppData/Downloads/2009_High%20Mechanical%20Performance%20Composite%20ConductorMultiwalledCNTsheetBismaleimideNanoComposite.pdf" TargetMode="External"/><Relationship Id="rId409" Type="http://schemas.openxmlformats.org/officeDocument/2006/relationships/hyperlink" Target="../../../Downloads/2010_Double-peak%20mechanical%20properties%20of%20carbon-nanotube%20fibers.pdf" TargetMode="External"/><Relationship Id="rId560" Type="http://schemas.openxmlformats.org/officeDocument/2006/relationships/hyperlink" Target="../../../Downloads/2019_How%20to%20overcome%20the%20electrical%20conductivity%20limitation%20of%20carbon%20nanotube%20yarns%20drawn%20from%20carbon%20na-annotated.pdf" TargetMode="External"/><Relationship Id="rId92" Type="http://schemas.openxmlformats.org/officeDocument/2006/relationships/hyperlink" Target="../../../Downloads/2005_Vavro_Metal-insulator%20transistion%20in%20doped%20single-wall%20carbon%20nanotubes.pdf" TargetMode="External"/><Relationship Id="rId213" Type="http://schemas.openxmlformats.org/officeDocument/2006/relationships/hyperlink" Target="../../../AppData/Roaming/AppData/Roaming/Microsoft/Excel/1986_Amorphous%20carbon.pdf" TargetMode="External"/><Relationship Id="rId420" Type="http://schemas.openxmlformats.org/officeDocument/2006/relationships/hyperlink" Target="../../../Downloads/2018_Powerful%20doping%20of%20chirality-sorted%20carbon%20nanotube%20films(2)-annotated.pdf" TargetMode="External"/><Relationship Id="rId616" Type="http://schemas.openxmlformats.org/officeDocument/2006/relationships/hyperlink" Target="../../../Downloads/1988_ELECTRICAL%20CONDUCTIVITY%20OF%20HIGHLY-ORIENTED-POLYACETYLENE.pdf" TargetMode="External"/><Relationship Id="rId658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255" Type="http://schemas.openxmlformats.org/officeDocument/2006/relationships/hyperlink" Target="https://www.christinedemerchant.com/aramid_characteristics.html" TargetMode="External"/><Relationship Id="rId297" Type="http://schemas.openxmlformats.org/officeDocument/2006/relationships/hyperlink" Target="../../../../../../../AppData/Roaming/Microsoft/Excel/2016_Wu%20et%20al._Relationship%20between%20mechanical%20and%20electrical%20properties%20of%20continuous%20polymer-free%20carbon%20nanotube%20fibers%20by%20wet-spinni.pdf" TargetMode="External"/><Relationship Id="rId462" Type="http://schemas.openxmlformats.org/officeDocument/2006/relationships/hyperlink" Target="../../../Downloads/2019_Carbon%20nanotube%20fibers%20with%20enhanced%20longitudinal%20carrier%20mobility%20for%20high-performance%20all-carbon%20thermoelectric(3)-annotated.pdf" TargetMode="External"/><Relationship Id="rId518" Type="http://schemas.openxmlformats.org/officeDocument/2006/relationships/hyperlink" Target="../../../Downloads/2011_Highly%20conductive%20carbon%20nanotube%20buckypapers%20with%20improved%20doping%20stability%20viaConjugatedCrossLinking.pdf" TargetMode="External"/><Relationship Id="rId725" Type="http://schemas.openxmlformats.org/officeDocument/2006/relationships/hyperlink" Target="../../../AppData/Roaming/Microsoft/Excel/1981_GIC_review_Dresshaus.pdf" TargetMode="External"/><Relationship Id="rId115" Type="http://schemas.openxmlformats.org/officeDocument/2006/relationships/hyperlink" Target="../../../Downloads/2016_High-Strength%20Carbon%20Nanotube%20Film%20from%20Improving%20AlignmentAndDensification.pdf" TargetMode="External"/><Relationship Id="rId157" Type="http://schemas.openxmlformats.org/officeDocument/2006/relationships/hyperlink" Target="../../../Downloads/2003_Single-wall_carbon_nanotube_films.pdf" TargetMode="External"/><Relationship Id="rId322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364" Type="http://schemas.openxmlformats.org/officeDocument/2006/relationships/hyperlink" Target="../../../Downloads/2015_Post-Treatments%20for%20Multifunctional%20Property%20Enhancement%20ofCNTfibersFromFloatingCat.pdf" TargetMode="External"/><Relationship Id="rId61" Type="http://schemas.openxmlformats.org/officeDocument/2006/relationships/hyperlink" Target="../../../../../../../AppData/Roaming/Microsoft/2012_High-Density%20Carbon%20Nanotube%20Buckypapers%20with%20SuperiorTransportandMechProperties.pdf" TargetMode="External"/><Relationship Id="rId199" Type="http://schemas.openxmlformats.org/officeDocument/2006/relationships/hyperlink" Target="../../../AppData/Roaming/AppData/Roaming/Microsoft/Excel/1992%20iPAC%20review.pdf" TargetMode="External"/><Relationship Id="rId571" Type="http://schemas.openxmlformats.org/officeDocument/2006/relationships/hyperlink" Target="../../../Downloads/2005_Measuring%20the%20thermal%20conductivity%20of%20a%20single%20carbon%20nanotube-annotated.pdf" TargetMode="External"/><Relationship Id="rId627" Type="http://schemas.openxmlformats.org/officeDocument/2006/relationships/hyperlink" Target="../../../Downloads/1991_Mechanical%20and%20electrical%20properties%20of%20highly%20oriented%20polyacetylene%20films.pdf" TargetMode="External"/><Relationship Id="rId669" Type="http://schemas.openxmlformats.org/officeDocument/2006/relationships/hyperlink" Target="../../../Downloads/2006_Determination%20of%20carbon%20nanotube%20density%20by%20gradient%20sedimentation-annotated.pdf" TargetMode="External"/><Relationship Id="rId19" Type="http://schemas.openxmlformats.org/officeDocument/2006/relationships/hyperlink" Target="../../../Downloads/2012%20Fabrication%20and%20processing%20of%20high-strength%20densely%20packed%20carbon%20nanotube%20yarns%20without%20solution%20processes.pdf" TargetMode="External"/><Relationship Id="rId224" Type="http://schemas.openxmlformats.org/officeDocument/2006/relationships/hyperlink" Target="../../../AppData/Roaming/Microsoft/Excel/2008%20Measurements%20of%20near-ultimate%20strength%20for%20multiwall%20CNTs.pdf" TargetMode="External"/><Relationship Id="rId266" Type="http://schemas.openxmlformats.org/officeDocument/2006/relationships/hyperlink" Target="../../../AppData/Roaming/Microsoft/Excel/1989_Inagaki_Applications%20of%20graphite%20intercalation%20compounds.pdf" TargetMode="External"/><Relationship Id="rId431" Type="http://schemas.openxmlformats.org/officeDocument/2006/relationships/hyperlink" Target="../../../Downloads/2017_Three-dimensional%20texture%20analysis%20of%20aligned%20carbon%20nanotube%20structures.pdf" TargetMode="External"/><Relationship Id="rId473" Type="http://schemas.openxmlformats.org/officeDocument/2006/relationships/hyperlink" Target="../../../Downloads/2017_Influence%20of%20Carbon%20Nanotube%20Characteristics%20on%20Macroscopic%20FiberProperties.pdf" TargetMode="External"/><Relationship Id="rId529" Type="http://schemas.openxmlformats.org/officeDocument/2006/relationships/hyperlink" Target="../../../../../../../AppData/AppData/Roaming/Microsoft/Excel/2005_Effect%20of%20Chemical%20Treatment%20on%20Electrical%20Conductivity,%20Infrared%20Absorption,%20and%20Raman.pdf" TargetMode="External"/><Relationship Id="rId680" Type="http://schemas.openxmlformats.org/officeDocument/2006/relationships/hyperlink" Target="../../Adarsh/Downloads/1994_Kaneko_Electrical%20conductance%20in%20metallic%20phases%20of%20fully%20doped%20polyacetylene.pdf" TargetMode="External"/><Relationship Id="rId736" Type="http://schemas.openxmlformats.org/officeDocument/2006/relationships/hyperlink" Target="../../../../../../../AppData/Roaming/Microsoft/Excel/1984_Murday_AnAssessmentofGraphitizedCarbonFiberUseForElectricalPowerTransmission.pdf" TargetMode="External"/><Relationship Id="rId30" Type="http://schemas.openxmlformats.org/officeDocument/2006/relationships/hyperlink" Target="../../../Downloads/2018_Kanakaraj%20et%20al._Improved%20dry%20spinning%20process%20at%20elevated%20temperatures%20for%20making%20uniform%20and%20high%20strength%20CNT%20fibers.pdf" TargetMode="External"/><Relationship Id="rId126" Type="http://schemas.openxmlformats.org/officeDocument/2006/relationships/hyperlink" Target="../../../../../../../AppData/AppData/Roaming/Microsoft/Excel/2019_Jensen%20et%20al._Carbon_Toward%20Ultralight%20High%20Strength%20Structural%20Materials%20via%20Collapsed%20Carbon%20Nanotube%20Bonding.pdf" TargetMode="External"/><Relationship Id="rId168" Type="http://schemas.openxmlformats.org/officeDocument/2006/relationships/hyperlink" Target="../../../../../../../AppData/Roaming/Microsoft/2013_Influence%20of%20lengths%20of%20millimeter-scaleSWCNTonmechandelectricalPropertiesofBuckyPaper.pdf" TargetMode="External"/><Relationship Id="rId333" Type="http://schemas.openxmlformats.org/officeDocument/2006/relationships/hyperlink" Target="../../../AppData/Roaming/Microsoft/Excel/2011_Meng_Electrical%20conductivity%20of%20pure%20carbon%20nanotube%20yarns.pdf" TargetMode="External"/><Relationship Id="rId540" Type="http://schemas.openxmlformats.org/officeDocument/2006/relationships/hyperlink" Target="../../../Downloads/2004_Correlation%20of%20properties%20with%20preferred%20orientation%20in%20coagulated%20and%20stretch-aligned%20single-wall%20carbon%20nan(2)-annotated.pdf" TargetMode="External"/><Relationship Id="rId72" Type="http://schemas.openxmlformats.org/officeDocument/2006/relationships/hyperlink" Target="../../../../../../../AppData/Roaming/Microsoft/2012%20Fabrication%20and%20processing%20of%20high-strength%20densely%20packed%20carbon%20nanotube%20yarns%20without%20solution%20processes.pdf" TargetMode="External"/><Relationship Id="rId375" Type="http://schemas.openxmlformats.org/officeDocument/2006/relationships/hyperlink" Target="../../../../../../../Downloads/2012_Ghemes%20et%20al._Fabrication%20and%20mechanical%20properties%20of%20carbon%20nanotube%20yarns%20spun%20from%20ultra-long%20multi-walled%20carbon%20nanotube%20arra.pdf" TargetMode="External"/><Relationship Id="rId582" Type="http://schemas.openxmlformats.org/officeDocument/2006/relationships/hyperlink" Target="../../../Downloads/1999_thermalConductivityofsinglewalledcarbonnanotubes.pdf" TargetMode="External"/><Relationship Id="rId638" Type="http://schemas.openxmlformats.org/officeDocument/2006/relationships/hyperlink" Target="../../../Downloads/2012_Sharp%20burnout%20failure%20observed%20in%20high%20current%20carrying%20double%20walled%20carbon%20nanotube%20fibers.pdf" TargetMode="External"/><Relationship Id="rId3" Type="http://schemas.openxmlformats.org/officeDocument/2006/relationships/hyperlink" Target="../../../Downloads/2012_Pohls_PhysicalPropertiesofCNTsheetsDrawnfromnanotubeArrays.pdf" TargetMode="External"/><Relationship Id="rId235" Type="http://schemas.openxmlformats.org/officeDocument/2006/relationships/hyperlink" Target="../../../../../../../AppData/Roaming/AppData/Roaming/Microsoft/Excel/1997_Fischer_MetallicResistivityinCrystallineRopes0fSWCNT.pdf" TargetMode="External"/><Relationship Id="rId277" Type="http://schemas.openxmlformats.org/officeDocument/2006/relationships/hyperlink" Target="../../../AppData/Roaming/Microsoft/Excel/1985_ElectricalResistivity_GraphiteIntercalationNitricAndAsF5.pdf" TargetMode="External"/><Relationship Id="rId400" Type="http://schemas.openxmlformats.org/officeDocument/2006/relationships/hyperlink" Target="../../../Downloads/2010_Double-peak%20mechanical%20properties%20of%20carbon-nanotube%20fibers.pdf" TargetMode="External"/><Relationship Id="rId442" Type="http://schemas.openxmlformats.org/officeDocument/2006/relationships/hyperlink" Target="../../../Downloads/2015_Effects%20of%20CNT%20diameter%20on%20mechanical%20properties%20of%20aligned%20CNT%20sheets.pdf" TargetMode="External"/><Relationship Id="rId484" Type="http://schemas.openxmlformats.org/officeDocument/2006/relationships/hyperlink" Target="../../../Downloads/2017_Extreme%20Magneto-transport%20of%20Bulk%20Carbon%20Nanotubes%20in%20Sorted%20Electronic%20Concentrations%20and%20Aligned%20High%20Performance%20Fiber.pdf" TargetMode="External"/><Relationship Id="rId705" Type="http://schemas.openxmlformats.org/officeDocument/2006/relationships/hyperlink" Target="../../../Downloads/2015_Post-Treatments%20for%20Multifunctional%20Property%20Enhancement%20ofCNTfibersFromFloatingCat.pdf" TargetMode="External"/><Relationship Id="rId137" Type="http://schemas.openxmlformats.org/officeDocument/2006/relationships/hyperlink" Target="../../../AppData/AppData/Roaming/Microsoft/Excel/2013_Behabtu_StrongLightUtrahighConductivityRice.pdf" TargetMode="External"/><Relationship Id="rId302" Type="http://schemas.openxmlformats.org/officeDocument/2006/relationships/hyperlink" Target="../../../../../../../AppData/Roaming/Microsoft/Excel/2012_Matsumoto%20et%20al._Alkali-metal-graphite%20intercalation%20compounds%20prepared%20from%20flexible%20graphite%20sheets%20exhibiting%20high%20air%20stability.pdf" TargetMode="External"/><Relationship Id="rId344" Type="http://schemas.openxmlformats.org/officeDocument/2006/relationships/hyperlink" Target="../../../AppData/Roaming/Microsoft/Excel/2012ThermalandElectricalConductivityOfArraySpunMultiwallCNTs.pdf" TargetMode="External"/><Relationship Id="rId691" Type="http://schemas.openxmlformats.org/officeDocument/2006/relationships/hyperlink" Target="../../../AppData/Roaming/Microsoft/Excel/1981_GIC_review_Dresshaus.pdf" TargetMode="External"/><Relationship Id="rId41" Type="http://schemas.openxmlformats.org/officeDocument/2006/relationships/hyperlink" Target="../../../../../../../Downloads/2008_Zhang%20et%20al._Solid-state%20spun%20fibers%20and%20yarns%20from%201-mm%20long%20carbon%20nanotube%20forests%20synthesized%20by%20water-assisted%20chemical%20vapor.pdf" TargetMode="External"/><Relationship Id="rId83" Type="http://schemas.openxmlformats.org/officeDocument/2006/relationships/hyperlink" Target="../../../../../../../AppData/Roaming/Microsoft/2018_Enhancement%20of%20the%20twisted%20carbon%20nanotube%20fibers%20properties%20byDrawingProcessAndAcidTreatment.pdf" TargetMode="External"/><Relationship Id="rId179" Type="http://schemas.openxmlformats.org/officeDocument/2006/relationships/hyperlink" Target="../../../Downloads/2009_Li_TransportofHotPressedMultwallCNTSinteredbyArc.pdf" TargetMode="External"/><Relationship Id="rId386" Type="http://schemas.openxmlformats.org/officeDocument/2006/relationships/hyperlink" Target="../../../AppData/Roaming/Microsoft/Excel/2012ThermalandElectricalConductivityOfArraySpunMultiwallCNTs.pdf" TargetMode="External"/><Relationship Id="rId551" Type="http://schemas.openxmlformats.org/officeDocument/2006/relationships/hyperlink" Target="../../../Downloads/2020_Systematic%20investigations%20of%20annealing%20and%20functionalization%20of%20carbon%20nanotube%20yarns-annotated.pdf" TargetMode="External"/><Relationship Id="rId593" Type="http://schemas.openxmlformats.org/officeDocument/2006/relationships/hyperlink" Target="../../../../../../../AppData/Roaming/Microsoft/Excel/1987_TOUZAIN,%20BAGGA,%20BLAZEWICZ_Electrical%20conductivity,%20mechanical%20properties%20and%20stability%20of%20intercalated%20graphite%20fibers%20(1).pdf" TargetMode="External"/><Relationship Id="rId607" Type="http://schemas.openxmlformats.org/officeDocument/2006/relationships/hyperlink" Target="../../../Downloads/1983_ELECTRICAL%20AND%20MECHANICAL%20PROPERTIES%20OF%20COPPER.pdf" TargetMode="External"/><Relationship Id="rId649" Type="http://schemas.openxmlformats.org/officeDocument/2006/relationships/hyperlink" Target="../../../Downloads/2015_Mechanism%20of%20chemical%20doping%20in%20electronic-type-separated%20single%20wall%20carbon%20nanotubes%20towards%20high%20electric(3)-annotated.pdf" TargetMode="External"/><Relationship Id="rId190" Type="http://schemas.openxmlformats.org/officeDocument/2006/relationships/hyperlink" Target="../../../../../../../AppData/Roaming/Microsoft/2008_The%20feasibility%20of%20producing%20MWCNT%20paper%20and%20strong%20MWCNTFilmfromVACNTarray.pdf" TargetMode="External"/><Relationship Id="rId204" Type="http://schemas.openxmlformats.org/officeDocument/2006/relationships/hyperlink" Target="../../../AppData/Roaming/AppData/Roaming/Microsoft/Excel/1992%20iPAC%20review.pdf" TargetMode="External"/><Relationship Id="rId246" Type="http://schemas.openxmlformats.org/officeDocument/2006/relationships/hyperlink" Target="../../../../../../../AppData/Roaming/Microsoft/Excel/1984_Murday_AnAssessmentofGraphitizedCarbonFiberUseForElectricalPowerTransmission.pdf" TargetMode="External"/><Relationship Id="rId288" Type="http://schemas.openxmlformats.org/officeDocument/2006/relationships/hyperlink" Target="../../../../../../../AppData/Roaming/Microsoft/Excel/2019_Strength%20of%20carbon%20nanotubes%20depends%20on%20theirdependenceonChemicalStructure.pdf" TargetMode="External"/><Relationship Id="rId411" Type="http://schemas.openxmlformats.org/officeDocument/2006/relationships/hyperlink" Target="../../../Downloads/2019_LargeImprovementforelectricicalwireCNTconductivitybyannealinganddoping.pdf" TargetMode="External"/><Relationship Id="rId453" Type="http://schemas.openxmlformats.org/officeDocument/2006/relationships/hyperlink" Target="../../../Downloads/2005_Charge%20transfer%20and%20Fermi%20level%20shift%20in%20p-doped%20single-walled%20carbon%20nanotubes.pdf" TargetMode="External"/><Relationship Id="rId509" Type="http://schemas.openxmlformats.org/officeDocument/2006/relationships/hyperlink" Target="../../../Downloads/2017_High-modulus%20and%20strength%20carbon%20nanotube%20fibers%20using%20molecularCrossLinking.pdf" TargetMode="External"/><Relationship Id="rId660" Type="http://schemas.openxmlformats.org/officeDocument/2006/relationships/hyperlink" Target="../../../Downloads/2005_Measurement%20of%20thermal%20conductivity%20of%20individual%20multiwalled%20carbon%20nanotube%20by%20the%203%20omega%20method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305"/>
  <sheetViews>
    <sheetView tabSelected="1" zoomScaleNormal="100" workbookViewId="0">
      <pane ySplit="1" topLeftCell="A1121" activePane="bottomLeft" state="frozen"/>
      <selection pane="bottomLeft" activeCell="P1307" sqref="P1307"/>
    </sheetView>
  </sheetViews>
  <sheetFormatPr defaultColWidth="23.7109375" defaultRowHeight="15" x14ac:dyDescent="0.25"/>
  <cols>
    <col min="1" max="1" width="23.7109375" customWidth="1"/>
    <col min="2" max="2" width="11.28515625" style="41" customWidth="1"/>
    <col min="3" max="3" width="14.140625" style="41" customWidth="1"/>
    <col min="4" max="4" width="31.5703125" style="41" customWidth="1"/>
    <col min="5" max="5" width="20" style="41" customWidth="1"/>
    <col min="6" max="6" width="24.28515625" customWidth="1"/>
    <col min="7" max="7" width="19.28515625" customWidth="1"/>
    <col min="8" max="8" width="20.28515625" customWidth="1"/>
    <col min="9" max="9" width="13.5703125" customWidth="1"/>
    <col min="10" max="10" width="11.28515625" style="41" customWidth="1"/>
    <col min="11" max="11" width="20.5703125" customWidth="1"/>
    <col min="12" max="12" width="16.85546875" style="41" customWidth="1"/>
    <col min="13" max="13" width="30.140625" customWidth="1"/>
    <col min="14" max="14" width="21" style="41" customWidth="1"/>
    <col min="15" max="15" width="22" style="41" customWidth="1"/>
    <col min="16" max="16" width="21.140625" style="41" customWidth="1"/>
    <col min="17" max="17" width="22.28515625" style="41" customWidth="1"/>
    <col min="18" max="18" width="16.28515625" style="41" customWidth="1"/>
    <col min="19" max="19" width="23.85546875" style="41" customWidth="1"/>
    <col min="20" max="20" width="17.42578125" style="41" customWidth="1"/>
    <col min="21" max="21" width="25.7109375" style="41" customWidth="1"/>
    <col min="22" max="22" width="24" customWidth="1"/>
    <col min="23" max="23" width="38.140625" style="16" customWidth="1"/>
    <col min="24" max="24" width="12.28515625" customWidth="1"/>
    <col min="25" max="25" width="25.5703125" customWidth="1"/>
    <col min="26" max="26" width="16.85546875" customWidth="1"/>
    <col min="27" max="27" width="34.42578125" customWidth="1"/>
    <col min="28" max="28" width="25.7109375" style="41" customWidth="1"/>
    <col min="29" max="29" width="14.140625" customWidth="1"/>
    <col min="30" max="30" width="28.7109375" style="41" customWidth="1"/>
    <col min="31" max="31" width="20.85546875" style="41" customWidth="1"/>
    <col min="32" max="32" width="27.7109375" style="41" customWidth="1"/>
    <col min="33" max="33" width="9.42578125" style="41" customWidth="1"/>
    <col min="34" max="34" width="20.5703125" style="41" customWidth="1"/>
    <col min="35" max="35" width="13.7109375" style="41" customWidth="1"/>
    <col min="36" max="36" width="13.5703125" style="41" customWidth="1"/>
    <col min="37" max="37" width="14.28515625" style="41" customWidth="1"/>
    <col min="38" max="38" width="15.7109375" style="41" customWidth="1"/>
    <col min="39" max="40" width="15.85546875" style="41" customWidth="1"/>
    <col min="41" max="41" width="111.5703125" style="6" customWidth="1"/>
    <col min="42" max="42" width="5.85546875" customWidth="1"/>
    <col min="43" max="43" width="3.42578125" customWidth="1"/>
    <col min="44" max="44" width="4.28515625" customWidth="1"/>
    <col min="45" max="45" width="2.7109375" customWidth="1"/>
    <col min="46" max="46" width="7.28515625" style="18" customWidth="1"/>
    <col min="47" max="60" width="23.7109375" style="46"/>
    <col min="61" max="61" width="23.7109375" style="41"/>
    <col min="64" max="64" width="23.7109375" style="7"/>
    <col min="65" max="70" width="23.7109375" style="41"/>
    <col min="73" max="77" width="23.7109375" style="41"/>
    <col min="78" max="78" width="41.28515625" style="41" customWidth="1"/>
    <col min="79" max="79" width="23.7109375" style="41"/>
    <col min="83" max="88" width="23.7109375" style="41"/>
    <col min="90" max="90" width="23.7109375" style="9"/>
    <col min="91" max="91" width="23.7109375" style="52"/>
    <col min="92" max="92" width="23.7109375" style="54"/>
    <col min="93" max="93" width="23.7109375" style="52"/>
  </cols>
  <sheetData>
    <row r="1" spans="1:93" x14ac:dyDescent="0.25">
      <c r="A1" s="1" t="s">
        <v>140</v>
      </c>
      <c r="B1" s="40" t="s">
        <v>0</v>
      </c>
      <c r="C1" s="40" t="s">
        <v>1</v>
      </c>
      <c r="D1" s="40" t="s">
        <v>2</v>
      </c>
      <c r="E1" s="40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0" t="s">
        <v>8</v>
      </c>
      <c r="K1" s="1" t="s">
        <v>9</v>
      </c>
      <c r="L1" s="40" t="s">
        <v>489</v>
      </c>
      <c r="M1" s="1" t="s">
        <v>10</v>
      </c>
      <c r="N1" s="40" t="s">
        <v>11</v>
      </c>
      <c r="O1" s="40" t="s">
        <v>12</v>
      </c>
      <c r="P1" s="40" t="s">
        <v>13</v>
      </c>
      <c r="Q1" s="40"/>
      <c r="R1" s="40" t="s">
        <v>14</v>
      </c>
      <c r="S1" s="40" t="s">
        <v>15</v>
      </c>
      <c r="T1" s="40" t="s">
        <v>16</v>
      </c>
      <c r="U1" s="40" t="s">
        <v>482</v>
      </c>
      <c r="V1" s="1" t="s">
        <v>17</v>
      </c>
      <c r="W1" s="4" t="s">
        <v>18</v>
      </c>
      <c r="X1" s="1" t="s">
        <v>19</v>
      </c>
      <c r="Y1" s="1" t="s">
        <v>957</v>
      </c>
      <c r="Z1" s="1" t="s">
        <v>20</v>
      </c>
      <c r="AA1" s="1" t="s">
        <v>741</v>
      </c>
      <c r="AB1" s="40" t="s">
        <v>745</v>
      </c>
      <c r="AC1" s="1" t="s">
        <v>314</v>
      </c>
      <c r="AD1" s="40" t="s">
        <v>491</v>
      </c>
      <c r="AE1" s="40" t="s">
        <v>490</v>
      </c>
      <c r="AF1" s="40" t="s">
        <v>758</v>
      </c>
      <c r="AG1" s="40" t="s">
        <v>546</v>
      </c>
      <c r="AH1" s="40" t="s">
        <v>608</v>
      </c>
      <c r="AI1" s="40" t="s">
        <v>609</v>
      </c>
      <c r="AJ1" s="40" t="s">
        <v>610</v>
      </c>
      <c r="AK1" s="40" t="s">
        <v>611</v>
      </c>
      <c r="AL1" s="40" t="s">
        <v>612</v>
      </c>
      <c r="AM1" s="40" t="s">
        <v>789</v>
      </c>
      <c r="AN1" s="40" t="s">
        <v>790</v>
      </c>
      <c r="AO1" s="4" t="s">
        <v>21</v>
      </c>
      <c r="AU1" s="44" t="s">
        <v>483</v>
      </c>
      <c r="AV1" s="44" t="s">
        <v>484</v>
      </c>
      <c r="AW1" s="44" t="s">
        <v>485</v>
      </c>
      <c r="AX1" s="44" t="s">
        <v>759</v>
      </c>
      <c r="AY1" s="44" t="s">
        <v>486</v>
      </c>
      <c r="AZ1" s="44" t="s">
        <v>487</v>
      </c>
      <c r="BA1" s="44" t="s">
        <v>488</v>
      </c>
      <c r="BB1" s="44" t="s">
        <v>493</v>
      </c>
      <c r="BC1" s="44" t="s">
        <v>509</v>
      </c>
      <c r="BD1" s="44" t="s">
        <v>510</v>
      </c>
      <c r="BE1" s="44" t="s">
        <v>760</v>
      </c>
      <c r="BF1" s="44" t="s">
        <v>812</v>
      </c>
      <c r="BG1" s="44" t="s">
        <v>813</v>
      </c>
      <c r="BH1" s="44" t="s">
        <v>1130</v>
      </c>
      <c r="BI1" s="40" t="s">
        <v>1131</v>
      </c>
      <c r="BJ1" s="17" t="s">
        <v>978</v>
      </c>
      <c r="BK1" s="17" t="s">
        <v>971</v>
      </c>
      <c r="BL1" s="17" t="s">
        <v>870</v>
      </c>
      <c r="BM1" s="40" t="s">
        <v>519</v>
      </c>
      <c r="BN1" s="40" t="s">
        <v>515</v>
      </c>
      <c r="BO1" s="40" t="s">
        <v>517</v>
      </c>
      <c r="BP1" s="40" t="s">
        <v>516</v>
      </c>
      <c r="BQ1" s="40" t="s">
        <v>518</v>
      </c>
      <c r="BR1" s="40" t="s">
        <v>523</v>
      </c>
      <c r="BS1" s="17" t="s">
        <v>973</v>
      </c>
      <c r="BT1" s="17" t="s">
        <v>972</v>
      </c>
      <c r="BU1" s="40" t="s">
        <v>519</v>
      </c>
      <c r="BV1" s="40" t="s">
        <v>515</v>
      </c>
      <c r="BW1" s="40" t="s">
        <v>517</v>
      </c>
      <c r="BX1" s="40" t="s">
        <v>516</v>
      </c>
      <c r="BY1" s="40" t="s">
        <v>518</v>
      </c>
      <c r="BZ1" s="40" t="s">
        <v>865</v>
      </c>
      <c r="CA1" s="40" t="s">
        <v>864</v>
      </c>
      <c r="CB1" s="1" t="s">
        <v>1015</v>
      </c>
      <c r="CC1" s="1" t="s">
        <v>1012</v>
      </c>
      <c r="CD1" s="1" t="s">
        <v>1013</v>
      </c>
      <c r="CE1" s="40" t="s">
        <v>1033</v>
      </c>
      <c r="CF1" s="40" t="s">
        <v>1034</v>
      </c>
      <c r="CG1" s="40" t="s">
        <v>1029</v>
      </c>
      <c r="CH1" s="40" t="s">
        <v>1030</v>
      </c>
      <c r="CI1" s="40" t="s">
        <v>1031</v>
      </c>
      <c r="CJ1" s="40" t="s">
        <v>1032</v>
      </c>
      <c r="CK1" s="1" t="s">
        <v>1037</v>
      </c>
      <c r="CL1" s="40" t="s">
        <v>1266</v>
      </c>
      <c r="CM1" s="51" t="s">
        <v>1280</v>
      </c>
      <c r="CN1" s="53" t="s">
        <v>1282</v>
      </c>
      <c r="CO1" s="51" t="s">
        <v>1281</v>
      </c>
    </row>
    <row r="2" spans="1:93" x14ac:dyDescent="0.25">
      <c r="A2" s="2" t="s">
        <v>407</v>
      </c>
      <c r="B2" s="43" t="s">
        <v>22</v>
      </c>
      <c r="C2" s="43">
        <v>8.9</v>
      </c>
      <c r="D2" s="43" t="s">
        <v>22</v>
      </c>
      <c r="E2" s="43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43" t="s">
        <v>22</v>
      </c>
      <c r="K2" s="2" t="s">
        <v>22</v>
      </c>
      <c r="L2" s="43" t="s">
        <v>22</v>
      </c>
      <c r="M2" s="2" t="s">
        <v>23</v>
      </c>
      <c r="N2" s="43" t="s">
        <v>22</v>
      </c>
      <c r="O2" s="43" t="s">
        <v>22</v>
      </c>
      <c r="P2" s="43" t="s">
        <v>22</v>
      </c>
      <c r="Q2" s="43"/>
      <c r="R2" s="43" t="s">
        <v>22</v>
      </c>
      <c r="S2" s="43" t="s">
        <v>22</v>
      </c>
      <c r="T2" s="43" t="s">
        <v>22</v>
      </c>
      <c r="U2" s="43" t="s">
        <v>22</v>
      </c>
      <c r="V2" s="2">
        <v>20200508</v>
      </c>
      <c r="W2" s="2" t="s">
        <v>823</v>
      </c>
      <c r="X2" s="2">
        <v>1888</v>
      </c>
      <c r="Y2" s="2" t="s">
        <v>22</v>
      </c>
      <c r="Z2" s="2" t="s">
        <v>32</v>
      </c>
      <c r="AA2" s="2" t="s">
        <v>22</v>
      </c>
      <c r="AB2" s="43" t="s">
        <v>22</v>
      </c>
      <c r="AC2" s="2" t="s">
        <v>22</v>
      </c>
      <c r="AD2" s="43">
        <v>203.20000000000002</v>
      </c>
      <c r="AE2" s="43" t="s">
        <v>22</v>
      </c>
      <c r="AF2" s="43" t="s">
        <v>22</v>
      </c>
      <c r="AG2" s="43" t="s">
        <v>22</v>
      </c>
      <c r="AH2" s="43" t="s">
        <v>22</v>
      </c>
      <c r="AI2" s="43" t="s">
        <v>22</v>
      </c>
      <c r="AJ2" s="43" t="s">
        <v>22</v>
      </c>
      <c r="AK2" s="43" t="s">
        <v>22</v>
      </c>
      <c r="AL2" s="43" t="s">
        <v>22</v>
      </c>
      <c r="AM2" s="43" t="e">
        <f t="shared" ref="AM2:AM65" si="0">AL2/AI2</f>
        <v>#VALUE!</v>
      </c>
      <c r="AN2" s="43" t="e">
        <f t="shared" ref="AN2:AN65" si="1">AL2/AJ2</f>
        <v>#VALUE!</v>
      </c>
      <c r="AO2" s="2" t="s">
        <v>824</v>
      </c>
      <c r="AP2" s="2"/>
      <c r="AQ2" s="2"/>
      <c r="AR2" s="2"/>
      <c r="AS2" s="2"/>
      <c r="AT2" s="2">
        <f t="shared" ref="AT2:AT65" si="2">COUNTIF($AO$2:$AO$1400,AO2)</f>
        <v>12</v>
      </c>
      <c r="AU2" s="45" t="e">
        <f t="shared" ref="AU2:AU65" si="3">LOG10(B2)</f>
        <v>#VALUE!</v>
      </c>
      <c r="AV2" s="45">
        <f t="shared" ref="AV2:AV65" si="4">LOG10(C2)</f>
        <v>0.9493900066449128</v>
      </c>
      <c r="AW2" s="45" t="e">
        <f t="shared" ref="AW2:AW65" si="5">LOG10(D2)</f>
        <v>#VALUE!</v>
      </c>
      <c r="AX2" s="45" t="e">
        <f t="shared" ref="AX2:AX65" si="6">LOG10(N2)</f>
        <v>#VALUE!</v>
      </c>
      <c r="AY2" s="45" t="e">
        <f t="shared" ref="AY2:AY65" si="7">LOG10(O2)</f>
        <v>#VALUE!</v>
      </c>
      <c r="AZ2" s="45" t="e">
        <f t="shared" ref="AZ2:AZ65" si="8">LOG10(P2)</f>
        <v>#VALUE!</v>
      </c>
      <c r="BA2" s="45" t="e">
        <f t="shared" ref="BA2:BA65" si="9">LOG10(J2)</f>
        <v>#VALUE!</v>
      </c>
      <c r="BB2" s="45" t="e">
        <f t="shared" ref="BB2:BB65" si="10">LOG10(L2)</f>
        <v>#VALUE!</v>
      </c>
      <c r="BC2" s="45" t="e">
        <f t="shared" ref="BC2:BC65" si="11">LOG10(U2)</f>
        <v>#VALUE!</v>
      </c>
      <c r="BD2" s="45">
        <f t="shared" ref="BD2:BD65" si="12">LOG10(AD2)</f>
        <v>2.3079237036118818</v>
      </c>
      <c r="BE2" s="45" t="e">
        <f t="shared" ref="BE2:BE65" si="13">LOG10(AF2)</f>
        <v>#VALUE!</v>
      </c>
      <c r="BF2" s="45" t="e">
        <f t="shared" ref="BF2:BF65" si="14">LOG10(AM2)</f>
        <v>#VALUE!</v>
      </c>
      <c r="BG2" s="45" t="e">
        <f t="shared" ref="BG2:BG65" si="15">LOG10(AN2)</f>
        <v>#VALUE!</v>
      </c>
      <c r="BH2" s="45" t="e">
        <f t="shared" ref="BH2:BH65" si="16">LOG10(AB2)</f>
        <v>#VALUE!</v>
      </c>
      <c r="BI2" s="43" t="e">
        <f t="shared" ref="BI2:BI65" si="17">LOG10(AF2)</f>
        <v>#VALUE!</v>
      </c>
      <c r="BJ2" s="2" t="s">
        <v>520</v>
      </c>
      <c r="BK2" s="2" t="s">
        <v>521</v>
      </c>
      <c r="BL2" s="2" t="s">
        <v>22</v>
      </c>
      <c r="BM2" s="43">
        <v>3849</v>
      </c>
      <c r="BN2" s="43">
        <v>118689041.47046955</v>
      </c>
      <c r="BO2" s="43">
        <f t="shared" ref="BO2:BO13" si="18">BN2/(C2*1000000)</f>
        <v>13.335847356232534</v>
      </c>
      <c r="BP2" s="43" t="s">
        <v>22</v>
      </c>
      <c r="BQ2" s="43" t="s">
        <v>22</v>
      </c>
      <c r="BR2" s="43" t="s">
        <v>22</v>
      </c>
      <c r="BS2" s="2" t="s">
        <v>22</v>
      </c>
      <c r="BT2" s="2" t="s">
        <v>22</v>
      </c>
      <c r="BU2" s="43" t="s">
        <v>22</v>
      </c>
      <c r="BV2" s="43" t="s">
        <v>22</v>
      </c>
      <c r="BW2" s="43" t="s">
        <v>22</v>
      </c>
      <c r="BX2" s="43" t="s">
        <v>22</v>
      </c>
      <c r="BY2" s="43" t="s">
        <v>22</v>
      </c>
      <c r="BZ2" s="43" t="s">
        <v>22</v>
      </c>
      <c r="CA2" s="43" t="s">
        <v>22</v>
      </c>
      <c r="CB2" s="2"/>
      <c r="CC2" t="s">
        <v>1008</v>
      </c>
      <c r="CE2" s="41">
        <f t="shared" ref="CE2:CE13" si="19">LOG10(BN2)</f>
        <v>8.0744106225046561</v>
      </c>
      <c r="CF2" s="41" t="e">
        <f t="shared" ref="CF2:CF13" si="20">LOG10(BV2)</f>
        <v>#VALUE!</v>
      </c>
      <c r="CG2" s="41">
        <f t="shared" ref="CG2:CG13" si="21">AD2*1000</f>
        <v>203200.00000000003</v>
      </c>
      <c r="CH2" s="41">
        <f t="shared" ref="CH2:CH13" si="22">LOG10(CG2)</f>
        <v>5.3079237036118814</v>
      </c>
      <c r="CI2" s="41">
        <f t="shared" ref="CI2:CI13" si="23">IF(ISNUMBER(CG2),CG2,U2)</f>
        <v>203200.00000000003</v>
      </c>
      <c r="CJ2" s="41">
        <f t="shared" ref="CJ2:CJ17" si="24">LOG10(CI2)</f>
        <v>5.3079237036118814</v>
      </c>
      <c r="CL2" s="9" t="s">
        <v>407</v>
      </c>
      <c r="CM2" s="18" t="s">
        <v>1283</v>
      </c>
      <c r="CN2" s="54" t="s">
        <v>1284</v>
      </c>
      <c r="CO2" s="18" t="s">
        <v>1284</v>
      </c>
    </row>
    <row r="3" spans="1:93" x14ac:dyDescent="0.25">
      <c r="A3" s="2" t="s">
        <v>407</v>
      </c>
      <c r="B3" s="43" t="s">
        <v>22</v>
      </c>
      <c r="C3" s="43">
        <v>8.9</v>
      </c>
      <c r="D3" s="43" t="s">
        <v>22</v>
      </c>
      <c r="E3" s="43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43" t="s">
        <v>22</v>
      </c>
      <c r="K3" s="2" t="s">
        <v>22</v>
      </c>
      <c r="L3" s="43" t="s">
        <v>22</v>
      </c>
      <c r="M3" s="2" t="s">
        <v>23</v>
      </c>
      <c r="N3" s="43" t="s">
        <v>22</v>
      </c>
      <c r="O3" s="43" t="s">
        <v>22</v>
      </c>
      <c r="P3" s="43" t="s">
        <v>22</v>
      </c>
      <c r="Q3" s="43"/>
      <c r="R3" s="43" t="s">
        <v>22</v>
      </c>
      <c r="S3" s="43" t="s">
        <v>22</v>
      </c>
      <c r="T3" s="43" t="s">
        <v>22</v>
      </c>
      <c r="U3" s="43" t="s">
        <v>22</v>
      </c>
      <c r="V3" s="2">
        <v>20200508</v>
      </c>
      <c r="W3" s="2" t="s">
        <v>823</v>
      </c>
      <c r="X3" s="2">
        <v>1888</v>
      </c>
      <c r="Y3" s="2" t="s">
        <v>22</v>
      </c>
      <c r="Z3" s="2" t="s">
        <v>32</v>
      </c>
      <c r="AA3" s="2" t="s">
        <v>22</v>
      </c>
      <c r="AB3" s="43" t="s">
        <v>22</v>
      </c>
      <c r="AC3" s="2" t="s">
        <v>22</v>
      </c>
      <c r="AD3" s="43">
        <v>355.6</v>
      </c>
      <c r="AE3" s="43" t="s">
        <v>22</v>
      </c>
      <c r="AF3" s="43" t="s">
        <v>22</v>
      </c>
      <c r="AG3" s="43" t="s">
        <v>22</v>
      </c>
      <c r="AH3" s="43" t="s">
        <v>22</v>
      </c>
      <c r="AI3" s="43" t="s">
        <v>22</v>
      </c>
      <c r="AJ3" s="43" t="s">
        <v>22</v>
      </c>
      <c r="AK3" s="43" t="s">
        <v>22</v>
      </c>
      <c r="AL3" s="43" t="s">
        <v>22</v>
      </c>
      <c r="AM3" s="43" t="e">
        <f t="shared" si="0"/>
        <v>#VALUE!</v>
      </c>
      <c r="AN3" s="43" t="e">
        <f t="shared" si="1"/>
        <v>#VALUE!</v>
      </c>
      <c r="AO3" s="2" t="s">
        <v>824</v>
      </c>
      <c r="AP3" s="2"/>
      <c r="AQ3" s="2"/>
      <c r="AR3" s="2"/>
      <c r="AS3" s="2"/>
      <c r="AT3" s="2">
        <f t="shared" si="2"/>
        <v>12</v>
      </c>
      <c r="AU3" s="45" t="e">
        <f t="shared" si="3"/>
        <v>#VALUE!</v>
      </c>
      <c r="AV3" s="45">
        <f t="shared" si="4"/>
        <v>0.9493900066449128</v>
      </c>
      <c r="AW3" s="45" t="e">
        <f t="shared" si="5"/>
        <v>#VALUE!</v>
      </c>
      <c r="AX3" s="45" t="e">
        <f t="shared" si="6"/>
        <v>#VALUE!</v>
      </c>
      <c r="AY3" s="45" t="e">
        <f t="shared" si="7"/>
        <v>#VALUE!</v>
      </c>
      <c r="AZ3" s="45" t="e">
        <f t="shared" si="8"/>
        <v>#VALUE!</v>
      </c>
      <c r="BA3" s="45" t="e">
        <f t="shared" si="9"/>
        <v>#VALUE!</v>
      </c>
      <c r="BB3" s="45" t="e">
        <f t="shared" si="10"/>
        <v>#VALUE!</v>
      </c>
      <c r="BC3" s="45" t="e">
        <f t="shared" si="11"/>
        <v>#VALUE!</v>
      </c>
      <c r="BD3" s="45">
        <f t="shared" si="12"/>
        <v>2.5509617522981762</v>
      </c>
      <c r="BE3" s="45" t="e">
        <f t="shared" si="13"/>
        <v>#VALUE!</v>
      </c>
      <c r="BF3" s="45" t="e">
        <f t="shared" si="14"/>
        <v>#VALUE!</v>
      </c>
      <c r="BG3" s="45" t="e">
        <f t="shared" si="15"/>
        <v>#VALUE!</v>
      </c>
      <c r="BH3" s="45" t="e">
        <f t="shared" si="16"/>
        <v>#VALUE!</v>
      </c>
      <c r="BI3" s="43" t="e">
        <f t="shared" si="17"/>
        <v>#VALUE!</v>
      </c>
      <c r="BJ3" s="2" t="s">
        <v>520</v>
      </c>
      <c r="BK3" s="2" t="s">
        <v>521</v>
      </c>
      <c r="BL3" s="2" t="s">
        <v>22</v>
      </c>
      <c r="BM3" s="43">
        <v>7654</v>
      </c>
      <c r="BN3" s="43">
        <v>77068174.477545634</v>
      </c>
      <c r="BO3" s="43">
        <f t="shared" si="18"/>
        <v>8.6593454469152391</v>
      </c>
      <c r="BP3" s="43" t="s">
        <v>22</v>
      </c>
      <c r="BQ3" s="43" t="s">
        <v>22</v>
      </c>
      <c r="BR3" s="43" t="s">
        <v>22</v>
      </c>
      <c r="BS3" s="2" t="s">
        <v>22</v>
      </c>
      <c r="BT3" s="2" t="s">
        <v>22</v>
      </c>
      <c r="BU3" s="43" t="s">
        <v>22</v>
      </c>
      <c r="BV3" s="43" t="s">
        <v>22</v>
      </c>
      <c r="BW3" s="43" t="s">
        <v>22</v>
      </c>
      <c r="BX3" s="43" t="s">
        <v>22</v>
      </c>
      <c r="BY3" s="43" t="s">
        <v>22</v>
      </c>
      <c r="BZ3" s="43" t="s">
        <v>22</v>
      </c>
      <c r="CA3" s="43" t="s">
        <v>22</v>
      </c>
      <c r="CB3" s="2"/>
      <c r="CC3" t="s">
        <v>1008</v>
      </c>
      <c r="CE3" s="41">
        <f t="shared" si="19"/>
        <v>7.8868750719259566</v>
      </c>
      <c r="CF3" s="41" t="e">
        <f t="shared" si="20"/>
        <v>#VALUE!</v>
      </c>
      <c r="CG3" s="41">
        <f t="shared" si="21"/>
        <v>355600</v>
      </c>
      <c r="CH3" s="41">
        <f t="shared" si="22"/>
        <v>5.5509617522981758</v>
      </c>
      <c r="CI3" s="41">
        <f t="shared" si="23"/>
        <v>355600</v>
      </c>
      <c r="CJ3" s="41">
        <f t="shared" si="24"/>
        <v>5.5509617522981758</v>
      </c>
      <c r="CL3" s="9" t="s">
        <v>407</v>
      </c>
      <c r="CM3" s="18" t="s">
        <v>1283</v>
      </c>
      <c r="CN3" s="54" t="s">
        <v>1284</v>
      </c>
      <c r="CO3" s="18" t="s">
        <v>1284</v>
      </c>
    </row>
    <row r="4" spans="1:93" x14ac:dyDescent="0.25">
      <c r="A4" s="2" t="s">
        <v>407</v>
      </c>
      <c r="B4" s="43" t="s">
        <v>22</v>
      </c>
      <c r="C4" s="43">
        <v>8.9</v>
      </c>
      <c r="D4" s="43" t="s">
        <v>22</v>
      </c>
      <c r="E4" s="43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43" t="s">
        <v>22</v>
      </c>
      <c r="K4" s="2" t="s">
        <v>22</v>
      </c>
      <c r="L4" s="43" t="s">
        <v>22</v>
      </c>
      <c r="M4" s="2" t="s">
        <v>23</v>
      </c>
      <c r="N4" s="43" t="s">
        <v>22</v>
      </c>
      <c r="O4" s="43" t="s">
        <v>22</v>
      </c>
      <c r="P4" s="43" t="s">
        <v>22</v>
      </c>
      <c r="Q4" s="43"/>
      <c r="R4" s="43" t="s">
        <v>22</v>
      </c>
      <c r="S4" s="43" t="s">
        <v>22</v>
      </c>
      <c r="T4" s="43" t="s">
        <v>22</v>
      </c>
      <c r="U4" s="43" t="s">
        <v>22</v>
      </c>
      <c r="V4" s="2">
        <v>20200510</v>
      </c>
      <c r="W4" s="2" t="s">
        <v>823</v>
      </c>
      <c r="X4" s="2">
        <v>1888</v>
      </c>
      <c r="Y4" s="2" t="s">
        <v>22</v>
      </c>
      <c r="Z4" s="2" t="s">
        <v>32</v>
      </c>
      <c r="AA4" s="2" t="s">
        <v>22</v>
      </c>
      <c r="AB4" s="43" t="s">
        <v>22</v>
      </c>
      <c r="AC4" s="2" t="s">
        <v>22</v>
      </c>
      <c r="AD4" s="43">
        <v>457.2</v>
      </c>
      <c r="AE4" s="43" t="s">
        <v>22</v>
      </c>
      <c r="AF4" s="43" t="s">
        <v>22</v>
      </c>
      <c r="AG4" s="43" t="s">
        <v>22</v>
      </c>
      <c r="AH4" s="43" t="s">
        <v>22</v>
      </c>
      <c r="AI4" s="43" t="s">
        <v>22</v>
      </c>
      <c r="AJ4" s="43" t="s">
        <v>22</v>
      </c>
      <c r="AK4" s="43" t="s">
        <v>22</v>
      </c>
      <c r="AL4" s="43" t="s">
        <v>22</v>
      </c>
      <c r="AM4" s="43" t="e">
        <f t="shared" si="0"/>
        <v>#VALUE!</v>
      </c>
      <c r="AN4" s="43" t="e">
        <f t="shared" si="1"/>
        <v>#VALUE!</v>
      </c>
      <c r="AO4" s="2" t="s">
        <v>824</v>
      </c>
      <c r="AP4" s="2"/>
      <c r="AQ4" s="2"/>
      <c r="AR4" s="2"/>
      <c r="AS4" s="2"/>
      <c r="AT4" s="2">
        <f t="shared" si="2"/>
        <v>12</v>
      </c>
      <c r="AU4" s="45" t="e">
        <f t="shared" si="3"/>
        <v>#VALUE!</v>
      </c>
      <c r="AV4" s="45">
        <f t="shared" si="4"/>
        <v>0.9493900066449128</v>
      </c>
      <c r="AW4" s="45" t="e">
        <f t="shared" si="5"/>
        <v>#VALUE!</v>
      </c>
      <c r="AX4" s="45" t="e">
        <f t="shared" si="6"/>
        <v>#VALUE!</v>
      </c>
      <c r="AY4" s="45" t="e">
        <f t="shared" si="7"/>
        <v>#VALUE!</v>
      </c>
      <c r="AZ4" s="45" t="e">
        <f t="shared" si="8"/>
        <v>#VALUE!</v>
      </c>
      <c r="BA4" s="45" t="e">
        <f t="shared" si="9"/>
        <v>#VALUE!</v>
      </c>
      <c r="BB4" s="45" t="e">
        <f t="shared" si="10"/>
        <v>#VALUE!</v>
      </c>
      <c r="BC4" s="45" t="e">
        <f t="shared" si="11"/>
        <v>#VALUE!</v>
      </c>
      <c r="BD4" s="45">
        <f t="shared" si="12"/>
        <v>2.6601062217232441</v>
      </c>
      <c r="BE4" s="45" t="e">
        <f t="shared" si="13"/>
        <v>#VALUE!</v>
      </c>
      <c r="BF4" s="45" t="e">
        <f t="shared" si="14"/>
        <v>#VALUE!</v>
      </c>
      <c r="BG4" s="45" t="e">
        <f t="shared" si="15"/>
        <v>#VALUE!</v>
      </c>
      <c r="BH4" s="45" t="e">
        <f t="shared" si="16"/>
        <v>#VALUE!</v>
      </c>
      <c r="BI4" s="43" t="e">
        <f t="shared" si="17"/>
        <v>#VALUE!</v>
      </c>
      <c r="BJ4" s="2" t="s">
        <v>520</v>
      </c>
      <c r="BK4" s="2" t="s">
        <v>521</v>
      </c>
      <c r="BL4" s="2" t="s">
        <v>22</v>
      </c>
      <c r="BM4" s="43">
        <v>11269</v>
      </c>
      <c r="BN4" s="43">
        <v>68640913.411184385</v>
      </c>
      <c r="BO4" s="43">
        <f t="shared" si="18"/>
        <v>7.7124621810319534</v>
      </c>
      <c r="BP4" s="43" t="s">
        <v>22</v>
      </c>
      <c r="BQ4" s="43" t="s">
        <v>22</v>
      </c>
      <c r="BR4" s="43" t="s">
        <v>22</v>
      </c>
      <c r="BS4" s="2" t="s">
        <v>22</v>
      </c>
      <c r="BT4" s="2" t="s">
        <v>22</v>
      </c>
      <c r="BU4" s="43" t="s">
        <v>22</v>
      </c>
      <c r="BV4" s="43" t="s">
        <v>22</v>
      </c>
      <c r="BW4" s="43" t="s">
        <v>22</v>
      </c>
      <c r="BX4" s="43" t="s">
        <v>22</v>
      </c>
      <c r="BY4" s="43" t="s">
        <v>22</v>
      </c>
      <c r="BZ4" s="43" t="s">
        <v>22</v>
      </c>
      <c r="CA4" s="43" t="s">
        <v>22</v>
      </c>
      <c r="CB4" s="2"/>
      <c r="CC4" t="s">
        <v>1008</v>
      </c>
      <c r="CE4" s="41">
        <f t="shared" si="19"/>
        <v>7.8365830540772121</v>
      </c>
      <c r="CF4" s="41" t="e">
        <f t="shared" si="20"/>
        <v>#VALUE!</v>
      </c>
      <c r="CG4" s="41">
        <f t="shared" si="21"/>
        <v>457200</v>
      </c>
      <c r="CH4" s="41">
        <f t="shared" si="22"/>
        <v>5.6601062217232441</v>
      </c>
      <c r="CI4" s="41">
        <f t="shared" si="23"/>
        <v>457200</v>
      </c>
      <c r="CJ4" s="41">
        <f t="shared" si="24"/>
        <v>5.6601062217232441</v>
      </c>
      <c r="CL4" s="9" t="s">
        <v>407</v>
      </c>
      <c r="CM4" s="18" t="s">
        <v>1283</v>
      </c>
      <c r="CN4" s="54" t="s">
        <v>1284</v>
      </c>
      <c r="CO4" s="18" t="s">
        <v>1284</v>
      </c>
    </row>
    <row r="5" spans="1:93" x14ac:dyDescent="0.25">
      <c r="A5" s="2" t="s">
        <v>407</v>
      </c>
      <c r="B5" s="43" t="s">
        <v>22</v>
      </c>
      <c r="C5" s="43">
        <v>8.9</v>
      </c>
      <c r="D5" s="43" t="s">
        <v>22</v>
      </c>
      <c r="E5" s="43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43" t="s">
        <v>22</v>
      </c>
      <c r="K5" s="2" t="s">
        <v>22</v>
      </c>
      <c r="L5" s="43" t="s">
        <v>22</v>
      </c>
      <c r="M5" s="2" t="s">
        <v>23</v>
      </c>
      <c r="N5" s="43" t="s">
        <v>22</v>
      </c>
      <c r="O5" s="43" t="s">
        <v>22</v>
      </c>
      <c r="P5" s="43" t="s">
        <v>22</v>
      </c>
      <c r="Q5" s="43"/>
      <c r="R5" s="43" t="s">
        <v>22</v>
      </c>
      <c r="S5" s="43" t="s">
        <v>22</v>
      </c>
      <c r="T5" s="43" t="s">
        <v>22</v>
      </c>
      <c r="U5" s="43" t="s">
        <v>22</v>
      </c>
      <c r="V5" s="2">
        <v>20200510</v>
      </c>
      <c r="W5" s="2" t="s">
        <v>823</v>
      </c>
      <c r="X5" s="2">
        <v>1888</v>
      </c>
      <c r="Y5" s="2" t="s">
        <v>22</v>
      </c>
      <c r="Z5" s="2" t="s">
        <v>32</v>
      </c>
      <c r="AA5" s="2" t="s">
        <v>22</v>
      </c>
      <c r="AB5" s="43" t="s">
        <v>22</v>
      </c>
      <c r="AC5" s="2" t="s">
        <v>22</v>
      </c>
      <c r="AD5" s="43">
        <v>508</v>
      </c>
      <c r="AE5" s="43" t="s">
        <v>22</v>
      </c>
      <c r="AF5" s="43" t="s">
        <v>22</v>
      </c>
      <c r="AG5" s="43" t="s">
        <v>22</v>
      </c>
      <c r="AH5" s="43" t="s">
        <v>22</v>
      </c>
      <c r="AI5" s="43" t="s">
        <v>22</v>
      </c>
      <c r="AJ5" s="43" t="s">
        <v>22</v>
      </c>
      <c r="AK5" s="43" t="s">
        <v>22</v>
      </c>
      <c r="AL5" s="43" t="s">
        <v>22</v>
      </c>
      <c r="AM5" s="43" t="e">
        <f t="shared" si="0"/>
        <v>#VALUE!</v>
      </c>
      <c r="AN5" s="43" t="e">
        <f t="shared" si="1"/>
        <v>#VALUE!</v>
      </c>
      <c r="AO5" s="2" t="s">
        <v>824</v>
      </c>
      <c r="AP5" s="2"/>
      <c r="AQ5" s="2"/>
      <c r="AR5" s="2"/>
      <c r="AS5" s="2"/>
      <c r="AT5" s="2">
        <f t="shared" si="2"/>
        <v>12</v>
      </c>
      <c r="AU5" s="45" t="e">
        <f t="shared" si="3"/>
        <v>#VALUE!</v>
      </c>
      <c r="AV5" s="45">
        <f t="shared" si="4"/>
        <v>0.9493900066449128</v>
      </c>
      <c r="AW5" s="45" t="e">
        <f t="shared" si="5"/>
        <v>#VALUE!</v>
      </c>
      <c r="AX5" s="45" t="e">
        <f t="shared" si="6"/>
        <v>#VALUE!</v>
      </c>
      <c r="AY5" s="45" t="e">
        <f t="shared" si="7"/>
        <v>#VALUE!</v>
      </c>
      <c r="AZ5" s="45" t="e">
        <f t="shared" si="8"/>
        <v>#VALUE!</v>
      </c>
      <c r="BA5" s="45" t="e">
        <f t="shared" si="9"/>
        <v>#VALUE!</v>
      </c>
      <c r="BB5" s="45" t="e">
        <f t="shared" si="10"/>
        <v>#VALUE!</v>
      </c>
      <c r="BC5" s="45" t="e">
        <f t="shared" si="11"/>
        <v>#VALUE!</v>
      </c>
      <c r="BD5" s="45">
        <f t="shared" si="12"/>
        <v>2.7058637122839193</v>
      </c>
      <c r="BE5" s="45" t="e">
        <f t="shared" si="13"/>
        <v>#VALUE!</v>
      </c>
      <c r="BF5" s="45" t="e">
        <f t="shared" si="14"/>
        <v>#VALUE!</v>
      </c>
      <c r="BG5" s="45" t="e">
        <f t="shared" si="15"/>
        <v>#VALUE!</v>
      </c>
      <c r="BH5" s="45" t="e">
        <f t="shared" si="16"/>
        <v>#VALUE!</v>
      </c>
      <c r="BI5" s="43" t="e">
        <f t="shared" si="17"/>
        <v>#VALUE!</v>
      </c>
      <c r="BJ5" s="2" t="s">
        <v>520</v>
      </c>
      <c r="BK5" s="2" t="s">
        <v>521</v>
      </c>
      <c r="BL5" s="2" t="s">
        <v>22</v>
      </c>
      <c r="BM5" s="43">
        <v>13711</v>
      </c>
      <c r="BN5" s="43">
        <v>67647511.461745217</v>
      </c>
      <c r="BO5" s="43">
        <f t="shared" si="18"/>
        <v>7.6008439844657545</v>
      </c>
      <c r="BP5" s="43" t="s">
        <v>22</v>
      </c>
      <c r="BQ5" s="43" t="s">
        <v>22</v>
      </c>
      <c r="BR5" s="43" t="s">
        <v>22</v>
      </c>
      <c r="BS5" s="2" t="s">
        <v>22</v>
      </c>
      <c r="BT5" s="2" t="s">
        <v>22</v>
      </c>
      <c r="BU5" s="43" t="s">
        <v>22</v>
      </c>
      <c r="BV5" s="43" t="s">
        <v>22</v>
      </c>
      <c r="BW5" s="43" t="s">
        <v>22</v>
      </c>
      <c r="BX5" s="43" t="s">
        <v>22</v>
      </c>
      <c r="BY5" s="43" t="s">
        <v>22</v>
      </c>
      <c r="BZ5" s="43" t="s">
        <v>22</v>
      </c>
      <c r="CA5" s="43" t="s">
        <v>22</v>
      </c>
      <c r="CB5" s="2"/>
      <c r="CC5" t="s">
        <v>1008</v>
      </c>
      <c r="CE5" s="41">
        <f t="shared" si="19"/>
        <v>7.8302518249053987</v>
      </c>
      <c r="CF5" s="41" t="e">
        <f t="shared" si="20"/>
        <v>#VALUE!</v>
      </c>
      <c r="CG5" s="41">
        <f t="shared" si="21"/>
        <v>508000</v>
      </c>
      <c r="CH5" s="41">
        <f t="shared" si="22"/>
        <v>5.7058637122839189</v>
      </c>
      <c r="CI5" s="41">
        <f t="shared" si="23"/>
        <v>508000</v>
      </c>
      <c r="CJ5" s="41">
        <f t="shared" si="24"/>
        <v>5.7058637122839189</v>
      </c>
      <c r="CL5" s="9" t="s">
        <v>407</v>
      </c>
      <c r="CM5" s="18" t="s">
        <v>1283</v>
      </c>
      <c r="CN5" s="54" t="s">
        <v>1284</v>
      </c>
      <c r="CO5" s="18" t="s">
        <v>1284</v>
      </c>
    </row>
    <row r="6" spans="1:93" x14ac:dyDescent="0.25">
      <c r="A6" s="2" t="s">
        <v>407</v>
      </c>
      <c r="B6" s="43" t="s">
        <v>22</v>
      </c>
      <c r="C6" s="43">
        <v>8.9</v>
      </c>
      <c r="D6" s="43" t="s">
        <v>22</v>
      </c>
      <c r="E6" s="43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43" t="s">
        <v>22</v>
      </c>
      <c r="K6" s="2" t="s">
        <v>22</v>
      </c>
      <c r="L6" s="43" t="s">
        <v>22</v>
      </c>
      <c r="M6" s="2" t="s">
        <v>23</v>
      </c>
      <c r="N6" s="43" t="s">
        <v>22</v>
      </c>
      <c r="O6" s="43" t="s">
        <v>22</v>
      </c>
      <c r="P6" s="43" t="s">
        <v>22</v>
      </c>
      <c r="Q6" s="43"/>
      <c r="R6" s="43" t="s">
        <v>22</v>
      </c>
      <c r="S6" s="43" t="s">
        <v>22</v>
      </c>
      <c r="T6" s="43" t="s">
        <v>22</v>
      </c>
      <c r="U6" s="43" t="s">
        <v>22</v>
      </c>
      <c r="V6" s="2">
        <v>20200512</v>
      </c>
      <c r="W6" s="2" t="s">
        <v>823</v>
      </c>
      <c r="X6" s="2">
        <v>1888</v>
      </c>
      <c r="Y6" s="2" t="s">
        <v>22</v>
      </c>
      <c r="Z6" s="2" t="s">
        <v>32</v>
      </c>
      <c r="AA6" s="2" t="s">
        <v>22</v>
      </c>
      <c r="AB6" s="43" t="s">
        <v>22</v>
      </c>
      <c r="AC6" s="2" t="s">
        <v>22</v>
      </c>
      <c r="AD6" s="43">
        <v>609.6</v>
      </c>
      <c r="AE6" s="43" t="s">
        <v>22</v>
      </c>
      <c r="AF6" s="43" t="s">
        <v>22</v>
      </c>
      <c r="AG6" s="43" t="s">
        <v>22</v>
      </c>
      <c r="AH6" s="43" t="s">
        <v>22</v>
      </c>
      <c r="AI6" s="43" t="s">
        <v>22</v>
      </c>
      <c r="AJ6" s="43" t="s">
        <v>22</v>
      </c>
      <c r="AK6" s="43" t="s">
        <v>22</v>
      </c>
      <c r="AL6" s="43" t="s">
        <v>22</v>
      </c>
      <c r="AM6" s="43" t="e">
        <f t="shared" si="0"/>
        <v>#VALUE!</v>
      </c>
      <c r="AN6" s="43" t="e">
        <f t="shared" si="1"/>
        <v>#VALUE!</v>
      </c>
      <c r="AO6" s="2" t="s">
        <v>824</v>
      </c>
      <c r="AP6" s="2"/>
      <c r="AQ6" s="2"/>
      <c r="AR6" s="2"/>
      <c r="AS6" s="2"/>
      <c r="AT6" s="2">
        <f t="shared" si="2"/>
        <v>12</v>
      </c>
      <c r="AU6" s="45" t="e">
        <f t="shared" si="3"/>
        <v>#VALUE!</v>
      </c>
      <c r="AV6" s="45">
        <f t="shared" si="4"/>
        <v>0.9493900066449128</v>
      </c>
      <c r="AW6" s="45" t="e">
        <f t="shared" si="5"/>
        <v>#VALUE!</v>
      </c>
      <c r="AX6" s="45" t="e">
        <f t="shared" si="6"/>
        <v>#VALUE!</v>
      </c>
      <c r="AY6" s="45" t="e">
        <f t="shared" si="7"/>
        <v>#VALUE!</v>
      </c>
      <c r="AZ6" s="45" t="e">
        <f t="shared" si="8"/>
        <v>#VALUE!</v>
      </c>
      <c r="BA6" s="45" t="e">
        <f t="shared" si="9"/>
        <v>#VALUE!</v>
      </c>
      <c r="BB6" s="45" t="e">
        <f t="shared" si="10"/>
        <v>#VALUE!</v>
      </c>
      <c r="BC6" s="45" t="e">
        <f t="shared" si="11"/>
        <v>#VALUE!</v>
      </c>
      <c r="BD6" s="45">
        <f t="shared" si="12"/>
        <v>2.785044958331544</v>
      </c>
      <c r="BE6" s="45" t="e">
        <f t="shared" si="13"/>
        <v>#VALUE!</v>
      </c>
      <c r="BF6" s="45" t="e">
        <f t="shared" si="14"/>
        <v>#VALUE!</v>
      </c>
      <c r="BG6" s="45" t="e">
        <f t="shared" si="15"/>
        <v>#VALUE!</v>
      </c>
      <c r="BH6" s="45" t="e">
        <f t="shared" si="16"/>
        <v>#VALUE!</v>
      </c>
      <c r="BI6" s="43" t="e">
        <f t="shared" si="17"/>
        <v>#VALUE!</v>
      </c>
      <c r="BJ6" s="2" t="s">
        <v>520</v>
      </c>
      <c r="BK6" s="2" t="s">
        <v>521</v>
      </c>
      <c r="BL6" s="2" t="s">
        <v>22</v>
      </c>
      <c r="BM6" s="43">
        <v>16832</v>
      </c>
      <c r="BN6" s="43">
        <v>57670793.165062889</v>
      </c>
      <c r="BO6" s="43">
        <f t="shared" si="18"/>
        <v>6.4798644005688644</v>
      </c>
      <c r="BP6" s="43" t="s">
        <v>22</v>
      </c>
      <c r="BQ6" s="43" t="s">
        <v>22</v>
      </c>
      <c r="BR6" s="43" t="s">
        <v>22</v>
      </c>
      <c r="BS6" s="2" t="s">
        <v>22</v>
      </c>
      <c r="BT6" s="2" t="s">
        <v>22</v>
      </c>
      <c r="BU6" s="43" t="s">
        <v>22</v>
      </c>
      <c r="BV6" s="43" t="s">
        <v>22</v>
      </c>
      <c r="BW6" s="43" t="s">
        <v>22</v>
      </c>
      <c r="BX6" s="43" t="s">
        <v>22</v>
      </c>
      <c r="BY6" s="43" t="s">
        <v>22</v>
      </c>
      <c r="BZ6" s="43" t="s">
        <v>22</v>
      </c>
      <c r="CA6" s="43" t="s">
        <v>22</v>
      </c>
      <c r="CB6" s="2"/>
      <c r="CC6" t="s">
        <v>1008</v>
      </c>
      <c r="CE6" s="41">
        <f t="shared" si="19"/>
        <v>7.7609559244443851</v>
      </c>
      <c r="CF6" s="41" t="e">
        <f t="shared" si="20"/>
        <v>#VALUE!</v>
      </c>
      <c r="CG6" s="41">
        <f t="shared" si="21"/>
        <v>609600</v>
      </c>
      <c r="CH6" s="41">
        <f t="shared" si="22"/>
        <v>5.785044958331544</v>
      </c>
      <c r="CI6" s="41">
        <f t="shared" si="23"/>
        <v>609600</v>
      </c>
      <c r="CJ6" s="41">
        <f t="shared" si="24"/>
        <v>5.785044958331544</v>
      </c>
      <c r="CL6" s="9" t="s">
        <v>407</v>
      </c>
      <c r="CM6" s="18" t="s">
        <v>1283</v>
      </c>
      <c r="CN6" s="54" t="s">
        <v>1284</v>
      </c>
      <c r="CO6" s="18" t="s">
        <v>1284</v>
      </c>
    </row>
    <row r="7" spans="1:93" x14ac:dyDescent="0.25">
      <c r="A7" s="2" t="s">
        <v>407</v>
      </c>
      <c r="B7" s="43" t="s">
        <v>22</v>
      </c>
      <c r="C7" s="43">
        <v>8.9</v>
      </c>
      <c r="D7" s="43" t="s">
        <v>22</v>
      </c>
      <c r="E7" s="43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43" t="s">
        <v>22</v>
      </c>
      <c r="K7" s="2" t="s">
        <v>22</v>
      </c>
      <c r="L7" s="43" t="s">
        <v>22</v>
      </c>
      <c r="M7" s="2" t="s">
        <v>23</v>
      </c>
      <c r="N7" s="43" t="s">
        <v>22</v>
      </c>
      <c r="O7" s="43" t="s">
        <v>22</v>
      </c>
      <c r="P7" s="43" t="s">
        <v>22</v>
      </c>
      <c r="Q7" s="43"/>
      <c r="R7" s="43" t="s">
        <v>22</v>
      </c>
      <c r="S7" s="43" t="s">
        <v>22</v>
      </c>
      <c r="T7" s="43" t="s">
        <v>22</v>
      </c>
      <c r="U7" s="43" t="s">
        <v>22</v>
      </c>
      <c r="V7" s="2">
        <v>20200512</v>
      </c>
      <c r="W7" s="2" t="s">
        <v>823</v>
      </c>
      <c r="X7" s="2">
        <v>1888</v>
      </c>
      <c r="Y7" s="2" t="s">
        <v>22</v>
      </c>
      <c r="Z7" s="2" t="s">
        <v>32</v>
      </c>
      <c r="AA7" s="2" t="s">
        <v>22</v>
      </c>
      <c r="AB7" s="43" t="s">
        <v>22</v>
      </c>
      <c r="AC7" s="2" t="s">
        <v>22</v>
      </c>
      <c r="AD7" s="43">
        <v>762</v>
      </c>
      <c r="AE7" s="43" t="s">
        <v>22</v>
      </c>
      <c r="AF7" s="43" t="s">
        <v>22</v>
      </c>
      <c r="AG7" s="43" t="s">
        <v>22</v>
      </c>
      <c r="AH7" s="43" t="s">
        <v>22</v>
      </c>
      <c r="AI7" s="43" t="s">
        <v>22</v>
      </c>
      <c r="AJ7" s="43" t="s">
        <v>22</v>
      </c>
      <c r="AK7" s="43" t="s">
        <v>22</v>
      </c>
      <c r="AL7" s="43" t="s">
        <v>22</v>
      </c>
      <c r="AM7" s="43" t="e">
        <f t="shared" si="0"/>
        <v>#VALUE!</v>
      </c>
      <c r="AN7" s="43" t="e">
        <f t="shared" si="1"/>
        <v>#VALUE!</v>
      </c>
      <c r="AO7" s="2" t="s">
        <v>824</v>
      </c>
      <c r="AP7" s="2"/>
      <c r="AQ7" s="2"/>
      <c r="AR7" s="2"/>
      <c r="AS7" s="2"/>
      <c r="AT7" s="2">
        <f t="shared" si="2"/>
        <v>12</v>
      </c>
      <c r="AU7" s="45" t="e">
        <f t="shared" si="3"/>
        <v>#VALUE!</v>
      </c>
      <c r="AV7" s="45">
        <f t="shared" si="4"/>
        <v>0.9493900066449128</v>
      </c>
      <c r="AW7" s="45" t="e">
        <f t="shared" si="5"/>
        <v>#VALUE!</v>
      </c>
      <c r="AX7" s="45" t="e">
        <f t="shared" si="6"/>
        <v>#VALUE!</v>
      </c>
      <c r="AY7" s="45" t="e">
        <f t="shared" si="7"/>
        <v>#VALUE!</v>
      </c>
      <c r="AZ7" s="45" t="e">
        <f t="shared" si="8"/>
        <v>#VALUE!</v>
      </c>
      <c r="BA7" s="45" t="e">
        <f t="shared" si="9"/>
        <v>#VALUE!</v>
      </c>
      <c r="BB7" s="45" t="e">
        <f t="shared" si="10"/>
        <v>#VALUE!</v>
      </c>
      <c r="BC7" s="45" t="e">
        <f t="shared" si="11"/>
        <v>#VALUE!</v>
      </c>
      <c r="BD7" s="45">
        <f t="shared" si="12"/>
        <v>2.8819549713396007</v>
      </c>
      <c r="BE7" s="45" t="e">
        <f t="shared" si="13"/>
        <v>#VALUE!</v>
      </c>
      <c r="BF7" s="45" t="e">
        <f t="shared" si="14"/>
        <v>#VALUE!</v>
      </c>
      <c r="BG7" s="45" t="e">
        <f t="shared" si="15"/>
        <v>#VALUE!</v>
      </c>
      <c r="BH7" s="45" t="e">
        <f t="shared" si="16"/>
        <v>#VALUE!</v>
      </c>
      <c r="BI7" s="43" t="e">
        <f t="shared" si="17"/>
        <v>#VALUE!</v>
      </c>
      <c r="BJ7" s="2" t="s">
        <v>520</v>
      </c>
      <c r="BK7" s="2" t="s">
        <v>521</v>
      </c>
      <c r="BL7" s="2" t="s">
        <v>22</v>
      </c>
      <c r="BM7" s="43">
        <v>23969</v>
      </c>
      <c r="BN7" s="43">
        <v>52559362.789862841</v>
      </c>
      <c r="BO7" s="43">
        <f t="shared" si="18"/>
        <v>5.9055463808834654</v>
      </c>
      <c r="BP7" s="43" t="s">
        <v>22</v>
      </c>
      <c r="BQ7" s="43" t="s">
        <v>22</v>
      </c>
      <c r="BR7" s="43" t="s">
        <v>22</v>
      </c>
      <c r="BS7" s="2" t="s">
        <v>22</v>
      </c>
      <c r="BT7" s="2" t="s">
        <v>22</v>
      </c>
      <c r="BU7" s="43" t="s">
        <v>22</v>
      </c>
      <c r="BV7" s="43" t="s">
        <v>22</v>
      </c>
      <c r="BW7" s="43" t="s">
        <v>22</v>
      </c>
      <c r="BX7" s="43" t="s">
        <v>22</v>
      </c>
      <c r="BY7" s="43" t="s">
        <v>22</v>
      </c>
      <c r="BZ7" s="43" t="s">
        <v>22</v>
      </c>
      <c r="CA7" s="43" t="s">
        <v>22</v>
      </c>
      <c r="CB7" s="2"/>
      <c r="CC7" t="s">
        <v>1008</v>
      </c>
      <c r="CE7" s="41">
        <f t="shared" si="19"/>
        <v>7.7206500913591078</v>
      </c>
      <c r="CF7" s="41" t="e">
        <f t="shared" si="20"/>
        <v>#VALUE!</v>
      </c>
      <c r="CG7" s="41">
        <f t="shared" si="21"/>
        <v>762000</v>
      </c>
      <c r="CH7" s="41">
        <f t="shared" si="22"/>
        <v>5.8819549713396002</v>
      </c>
      <c r="CI7" s="41">
        <f t="shared" si="23"/>
        <v>762000</v>
      </c>
      <c r="CJ7" s="41">
        <f t="shared" si="24"/>
        <v>5.8819549713396002</v>
      </c>
      <c r="CL7" s="9" t="s">
        <v>407</v>
      </c>
      <c r="CM7" s="18" t="s">
        <v>1283</v>
      </c>
      <c r="CN7" s="54" t="s">
        <v>1284</v>
      </c>
      <c r="CO7" s="18" t="s">
        <v>1284</v>
      </c>
    </row>
    <row r="8" spans="1:93" x14ac:dyDescent="0.25">
      <c r="A8" s="2" t="s">
        <v>407</v>
      </c>
      <c r="B8" s="43" t="s">
        <v>22</v>
      </c>
      <c r="C8" s="43">
        <v>21.45</v>
      </c>
      <c r="D8" s="43" t="s">
        <v>22</v>
      </c>
      <c r="E8" s="43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43" t="s">
        <v>22</v>
      </c>
      <c r="K8" s="2" t="s">
        <v>22</v>
      </c>
      <c r="L8" s="43" t="s">
        <v>22</v>
      </c>
      <c r="M8" s="2" t="s">
        <v>23</v>
      </c>
      <c r="N8" s="43" t="s">
        <v>22</v>
      </c>
      <c r="O8" s="43" t="s">
        <v>22</v>
      </c>
      <c r="P8" s="43" t="s">
        <v>22</v>
      </c>
      <c r="Q8" s="43"/>
      <c r="R8" s="43" t="s">
        <v>22</v>
      </c>
      <c r="S8" s="43" t="s">
        <v>22</v>
      </c>
      <c r="T8" s="43" t="s">
        <v>22</v>
      </c>
      <c r="U8" s="43" t="s">
        <v>22</v>
      </c>
      <c r="V8" s="2">
        <v>20200516</v>
      </c>
      <c r="W8" s="2" t="s">
        <v>825</v>
      </c>
      <c r="X8" s="2">
        <v>1888</v>
      </c>
      <c r="Y8" s="2" t="s">
        <v>22</v>
      </c>
      <c r="Z8" s="2" t="s">
        <v>32</v>
      </c>
      <c r="AA8" s="2" t="s">
        <v>22</v>
      </c>
      <c r="AB8" s="43" t="s">
        <v>22</v>
      </c>
      <c r="AC8" s="2" t="s">
        <v>22</v>
      </c>
      <c r="AD8" s="43">
        <v>965.2</v>
      </c>
      <c r="AE8" s="43" t="s">
        <v>22</v>
      </c>
      <c r="AF8" s="43" t="s">
        <v>22</v>
      </c>
      <c r="AG8" s="43" t="s">
        <v>22</v>
      </c>
      <c r="AH8" s="43" t="s">
        <v>22</v>
      </c>
      <c r="AI8" s="43" t="s">
        <v>22</v>
      </c>
      <c r="AJ8" s="43" t="s">
        <v>22</v>
      </c>
      <c r="AK8" s="43" t="s">
        <v>22</v>
      </c>
      <c r="AL8" s="43" t="s">
        <v>22</v>
      </c>
      <c r="AM8" s="43" t="e">
        <f t="shared" si="0"/>
        <v>#VALUE!</v>
      </c>
      <c r="AN8" s="43" t="e">
        <f t="shared" si="1"/>
        <v>#VALUE!</v>
      </c>
      <c r="AO8" s="2" t="s">
        <v>824</v>
      </c>
      <c r="AP8" s="2"/>
      <c r="AQ8" s="2"/>
      <c r="AR8" s="2"/>
      <c r="AS8" s="2"/>
      <c r="AT8" s="2">
        <f t="shared" si="2"/>
        <v>12</v>
      </c>
      <c r="AU8" s="45" t="e">
        <f t="shared" si="3"/>
        <v>#VALUE!</v>
      </c>
      <c r="AV8" s="45">
        <f t="shared" si="4"/>
        <v>1.331427296520743</v>
      </c>
      <c r="AW8" s="45" t="e">
        <f t="shared" si="5"/>
        <v>#VALUE!</v>
      </c>
      <c r="AX8" s="45" t="e">
        <f t="shared" si="6"/>
        <v>#VALUE!</v>
      </c>
      <c r="AY8" s="45" t="e">
        <f t="shared" si="7"/>
        <v>#VALUE!</v>
      </c>
      <c r="AZ8" s="45" t="e">
        <f t="shared" si="8"/>
        <v>#VALUE!</v>
      </c>
      <c r="BA8" s="45" t="e">
        <f t="shared" si="9"/>
        <v>#VALUE!</v>
      </c>
      <c r="BB8" s="45" t="e">
        <f t="shared" si="10"/>
        <v>#VALUE!</v>
      </c>
      <c r="BC8" s="45" t="e">
        <f t="shared" si="11"/>
        <v>#VALUE!</v>
      </c>
      <c r="BD8" s="45">
        <f t="shared" si="12"/>
        <v>2.9846173132367482</v>
      </c>
      <c r="BE8" s="45" t="e">
        <f t="shared" si="13"/>
        <v>#VALUE!</v>
      </c>
      <c r="BF8" s="45" t="e">
        <f t="shared" si="14"/>
        <v>#VALUE!</v>
      </c>
      <c r="BG8" s="45" t="e">
        <f t="shared" si="15"/>
        <v>#VALUE!</v>
      </c>
      <c r="BH8" s="45" t="e">
        <f t="shared" si="16"/>
        <v>#VALUE!</v>
      </c>
      <c r="BI8" s="43" t="e">
        <f t="shared" si="17"/>
        <v>#VALUE!</v>
      </c>
      <c r="BJ8" s="2" t="s">
        <v>520</v>
      </c>
      <c r="BK8" s="2" t="s">
        <v>521</v>
      </c>
      <c r="BL8" s="2" t="s">
        <v>22</v>
      </c>
      <c r="BM8" s="43">
        <v>13461</v>
      </c>
      <c r="BN8" s="43">
        <v>18397246.034868829</v>
      </c>
      <c r="BO8" s="43">
        <f t="shared" si="18"/>
        <v>0.85768046782605267</v>
      </c>
      <c r="BP8" s="43" t="s">
        <v>22</v>
      </c>
      <c r="BQ8" s="43" t="s">
        <v>22</v>
      </c>
      <c r="BR8" s="43" t="s">
        <v>22</v>
      </c>
      <c r="BS8" s="2" t="s">
        <v>22</v>
      </c>
      <c r="BT8" s="2" t="s">
        <v>22</v>
      </c>
      <c r="BU8" s="43" t="s">
        <v>22</v>
      </c>
      <c r="BV8" s="43" t="s">
        <v>22</v>
      </c>
      <c r="BW8" s="43" t="s">
        <v>22</v>
      </c>
      <c r="BX8" s="43" t="s">
        <v>22</v>
      </c>
      <c r="BY8" s="43" t="s">
        <v>22</v>
      </c>
      <c r="BZ8" s="43" t="s">
        <v>22</v>
      </c>
      <c r="CA8" s="43" t="s">
        <v>22</v>
      </c>
      <c r="CB8" s="2"/>
      <c r="CC8" t="s">
        <v>1008</v>
      </c>
      <c r="CE8" s="41">
        <f t="shared" si="19"/>
        <v>7.2647528164130692</v>
      </c>
      <c r="CF8" s="41" t="e">
        <f t="shared" si="20"/>
        <v>#VALUE!</v>
      </c>
      <c r="CG8" s="41">
        <f t="shared" si="21"/>
        <v>965200</v>
      </c>
      <c r="CH8" s="41">
        <f t="shared" si="22"/>
        <v>5.9846173132367486</v>
      </c>
      <c r="CI8" s="41">
        <f t="shared" si="23"/>
        <v>965200</v>
      </c>
      <c r="CJ8" s="41">
        <f t="shared" si="24"/>
        <v>5.9846173132367486</v>
      </c>
      <c r="CL8" s="9" t="s">
        <v>407</v>
      </c>
      <c r="CM8" s="18" t="s">
        <v>1283</v>
      </c>
      <c r="CN8" s="54" t="s">
        <v>1284</v>
      </c>
      <c r="CO8" s="18" t="s">
        <v>1284</v>
      </c>
    </row>
    <row r="9" spans="1:93" x14ac:dyDescent="0.25">
      <c r="A9" s="2" t="s">
        <v>407</v>
      </c>
      <c r="B9" s="43" t="s">
        <v>22</v>
      </c>
      <c r="C9" s="43">
        <v>21.45</v>
      </c>
      <c r="D9" s="43" t="s">
        <v>22</v>
      </c>
      <c r="E9" s="43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43" t="s">
        <v>22</v>
      </c>
      <c r="K9" s="2" t="s">
        <v>22</v>
      </c>
      <c r="L9" s="43" t="s">
        <v>22</v>
      </c>
      <c r="M9" s="2" t="s">
        <v>23</v>
      </c>
      <c r="N9" s="43" t="s">
        <v>22</v>
      </c>
      <c r="O9" s="43" t="s">
        <v>22</v>
      </c>
      <c r="P9" s="43" t="s">
        <v>22</v>
      </c>
      <c r="Q9" s="43"/>
      <c r="R9" s="43" t="s">
        <v>22</v>
      </c>
      <c r="S9" s="43" t="s">
        <v>22</v>
      </c>
      <c r="T9" s="43" t="s">
        <v>22</v>
      </c>
      <c r="U9" s="43" t="s">
        <v>22</v>
      </c>
      <c r="V9" s="2">
        <v>20200516</v>
      </c>
      <c r="W9" s="2" t="s">
        <v>825</v>
      </c>
      <c r="X9" s="2">
        <v>1888</v>
      </c>
      <c r="Y9" s="2" t="s">
        <v>22</v>
      </c>
      <c r="Z9" s="2" t="s">
        <v>32</v>
      </c>
      <c r="AA9" s="2" t="s">
        <v>22</v>
      </c>
      <c r="AB9" s="43" t="s">
        <v>22</v>
      </c>
      <c r="AC9" s="2" t="s">
        <v>22</v>
      </c>
      <c r="AD9" s="43">
        <v>508</v>
      </c>
      <c r="AE9" s="43" t="s">
        <v>22</v>
      </c>
      <c r="AF9" s="43" t="s">
        <v>22</v>
      </c>
      <c r="AG9" s="43" t="s">
        <v>22</v>
      </c>
      <c r="AH9" s="43" t="s">
        <v>22</v>
      </c>
      <c r="AI9" s="43" t="s">
        <v>22</v>
      </c>
      <c r="AJ9" s="43" t="s">
        <v>22</v>
      </c>
      <c r="AK9" s="43" t="s">
        <v>22</v>
      </c>
      <c r="AL9" s="43" t="s">
        <v>22</v>
      </c>
      <c r="AM9" s="43" t="e">
        <f t="shared" si="0"/>
        <v>#VALUE!</v>
      </c>
      <c r="AN9" s="43" t="e">
        <f t="shared" si="1"/>
        <v>#VALUE!</v>
      </c>
      <c r="AO9" s="2" t="s">
        <v>824</v>
      </c>
      <c r="AP9" s="2"/>
      <c r="AQ9" s="2"/>
      <c r="AR9" s="2"/>
      <c r="AS9" s="2"/>
      <c r="AT9" s="2">
        <f t="shared" si="2"/>
        <v>12</v>
      </c>
      <c r="AU9" s="45" t="e">
        <f t="shared" si="3"/>
        <v>#VALUE!</v>
      </c>
      <c r="AV9" s="45">
        <f t="shared" si="4"/>
        <v>1.331427296520743</v>
      </c>
      <c r="AW9" s="45" t="e">
        <f t="shared" si="5"/>
        <v>#VALUE!</v>
      </c>
      <c r="AX9" s="45" t="e">
        <f t="shared" si="6"/>
        <v>#VALUE!</v>
      </c>
      <c r="AY9" s="45" t="e">
        <f t="shared" si="7"/>
        <v>#VALUE!</v>
      </c>
      <c r="AZ9" s="45" t="e">
        <f t="shared" si="8"/>
        <v>#VALUE!</v>
      </c>
      <c r="BA9" s="45" t="e">
        <f t="shared" si="9"/>
        <v>#VALUE!</v>
      </c>
      <c r="BB9" s="45" t="e">
        <f t="shared" si="10"/>
        <v>#VALUE!</v>
      </c>
      <c r="BC9" s="45" t="e">
        <f t="shared" si="11"/>
        <v>#VALUE!</v>
      </c>
      <c r="BD9" s="45">
        <f t="shared" si="12"/>
        <v>2.7058637122839193</v>
      </c>
      <c r="BE9" s="45" t="e">
        <f t="shared" si="13"/>
        <v>#VALUE!</v>
      </c>
      <c r="BF9" s="45" t="e">
        <f t="shared" si="14"/>
        <v>#VALUE!</v>
      </c>
      <c r="BG9" s="45" t="e">
        <f t="shared" si="15"/>
        <v>#VALUE!</v>
      </c>
      <c r="BH9" s="45" t="e">
        <f t="shared" si="16"/>
        <v>#VALUE!</v>
      </c>
      <c r="BI9" s="43" t="e">
        <f t="shared" si="17"/>
        <v>#VALUE!</v>
      </c>
      <c r="BJ9" s="2" t="s">
        <v>520</v>
      </c>
      <c r="BK9" s="2" t="s">
        <v>521</v>
      </c>
      <c r="BL9" s="2" t="s">
        <v>22</v>
      </c>
      <c r="BM9" s="43">
        <v>6841</v>
      </c>
      <c r="BN9" s="43">
        <v>33752215.440872222</v>
      </c>
      <c r="BO9" s="43">
        <f t="shared" si="18"/>
        <v>1.5735298573833203</v>
      </c>
      <c r="BP9" s="43" t="s">
        <v>22</v>
      </c>
      <c r="BQ9" s="43" t="s">
        <v>22</v>
      </c>
      <c r="BR9" s="43" t="s">
        <v>22</v>
      </c>
      <c r="BS9" s="2" t="s">
        <v>22</v>
      </c>
      <c r="BT9" s="2" t="s">
        <v>22</v>
      </c>
      <c r="BU9" s="43" t="s">
        <v>22</v>
      </c>
      <c r="BV9" s="43" t="s">
        <v>22</v>
      </c>
      <c r="BW9" s="43" t="s">
        <v>22</v>
      </c>
      <c r="BX9" s="43" t="s">
        <v>22</v>
      </c>
      <c r="BY9" s="43" t="s">
        <v>22</v>
      </c>
      <c r="BZ9" s="43" t="s">
        <v>22</v>
      </c>
      <c r="CA9" s="43" t="s">
        <v>22</v>
      </c>
      <c r="CB9" s="2"/>
      <c r="CC9" t="s">
        <v>1008</v>
      </c>
      <c r="CE9" s="41">
        <f t="shared" si="19"/>
        <v>7.5283022844905396</v>
      </c>
      <c r="CF9" s="41" t="e">
        <f t="shared" si="20"/>
        <v>#VALUE!</v>
      </c>
      <c r="CG9" s="41">
        <f t="shared" si="21"/>
        <v>508000</v>
      </c>
      <c r="CH9" s="41">
        <f t="shared" si="22"/>
        <v>5.7058637122839189</v>
      </c>
      <c r="CI9" s="41">
        <f t="shared" si="23"/>
        <v>508000</v>
      </c>
      <c r="CJ9" s="41">
        <f t="shared" si="24"/>
        <v>5.7058637122839189</v>
      </c>
      <c r="CL9" s="9" t="s">
        <v>407</v>
      </c>
      <c r="CM9" s="18" t="s">
        <v>1283</v>
      </c>
      <c r="CN9" s="54" t="s">
        <v>1284</v>
      </c>
      <c r="CO9" s="18" t="s">
        <v>1284</v>
      </c>
    </row>
    <row r="10" spans="1:93" x14ac:dyDescent="0.25">
      <c r="A10" s="2" t="s">
        <v>407</v>
      </c>
      <c r="B10" s="43" t="s">
        <v>22</v>
      </c>
      <c r="C10" s="43">
        <v>21.45</v>
      </c>
      <c r="D10" s="43" t="s">
        <v>22</v>
      </c>
      <c r="E10" s="43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43" t="s">
        <v>22</v>
      </c>
      <c r="K10" s="2" t="s">
        <v>22</v>
      </c>
      <c r="L10" s="43" t="s">
        <v>22</v>
      </c>
      <c r="M10" s="2" t="s">
        <v>23</v>
      </c>
      <c r="N10" s="43" t="s">
        <v>22</v>
      </c>
      <c r="O10" s="43" t="s">
        <v>22</v>
      </c>
      <c r="P10" s="43" t="s">
        <v>22</v>
      </c>
      <c r="Q10" s="43"/>
      <c r="R10" s="43" t="s">
        <v>22</v>
      </c>
      <c r="S10" s="43" t="s">
        <v>22</v>
      </c>
      <c r="T10" s="43" t="s">
        <v>22</v>
      </c>
      <c r="U10" s="43" t="s">
        <v>22</v>
      </c>
      <c r="V10" s="2">
        <v>20200516</v>
      </c>
      <c r="W10" s="2" t="s">
        <v>825</v>
      </c>
      <c r="X10" s="2">
        <v>1888</v>
      </c>
      <c r="Y10" s="2" t="s">
        <v>22</v>
      </c>
      <c r="Z10" s="2" t="s">
        <v>32</v>
      </c>
      <c r="AA10" s="2" t="s">
        <v>22</v>
      </c>
      <c r="AB10" s="43" t="s">
        <v>22</v>
      </c>
      <c r="AC10" s="2" t="s">
        <v>22</v>
      </c>
      <c r="AD10" s="43">
        <v>457.2</v>
      </c>
      <c r="AE10" s="43" t="s">
        <v>22</v>
      </c>
      <c r="AF10" s="43" t="s">
        <v>22</v>
      </c>
      <c r="AG10" s="43" t="s">
        <v>22</v>
      </c>
      <c r="AH10" s="43" t="s">
        <v>22</v>
      </c>
      <c r="AI10" s="43" t="s">
        <v>22</v>
      </c>
      <c r="AJ10" s="43" t="s">
        <v>22</v>
      </c>
      <c r="AK10" s="43" t="s">
        <v>22</v>
      </c>
      <c r="AL10" s="43" t="s">
        <v>22</v>
      </c>
      <c r="AM10" s="43" t="e">
        <f t="shared" si="0"/>
        <v>#VALUE!</v>
      </c>
      <c r="AN10" s="43" t="e">
        <f t="shared" si="1"/>
        <v>#VALUE!</v>
      </c>
      <c r="AO10" s="2" t="s">
        <v>824</v>
      </c>
      <c r="AP10" s="2"/>
      <c r="AQ10" s="2"/>
      <c r="AR10" s="2"/>
      <c r="AS10" s="2"/>
      <c r="AT10" s="2">
        <f t="shared" si="2"/>
        <v>12</v>
      </c>
      <c r="AU10" s="45" t="e">
        <f t="shared" si="3"/>
        <v>#VALUE!</v>
      </c>
      <c r="AV10" s="45">
        <f t="shared" si="4"/>
        <v>1.331427296520743</v>
      </c>
      <c r="AW10" s="45" t="e">
        <f t="shared" si="5"/>
        <v>#VALUE!</v>
      </c>
      <c r="AX10" s="45" t="e">
        <f t="shared" si="6"/>
        <v>#VALUE!</v>
      </c>
      <c r="AY10" s="45" t="e">
        <f t="shared" si="7"/>
        <v>#VALUE!</v>
      </c>
      <c r="AZ10" s="45" t="e">
        <f t="shared" si="8"/>
        <v>#VALUE!</v>
      </c>
      <c r="BA10" s="45" t="e">
        <f t="shared" si="9"/>
        <v>#VALUE!</v>
      </c>
      <c r="BB10" s="45" t="e">
        <f t="shared" si="10"/>
        <v>#VALUE!</v>
      </c>
      <c r="BC10" s="45" t="e">
        <f t="shared" si="11"/>
        <v>#VALUE!</v>
      </c>
      <c r="BD10" s="45">
        <f t="shared" si="12"/>
        <v>2.6601062217232441</v>
      </c>
      <c r="BE10" s="45" t="e">
        <f t="shared" si="13"/>
        <v>#VALUE!</v>
      </c>
      <c r="BF10" s="45" t="e">
        <f t="shared" si="14"/>
        <v>#VALUE!</v>
      </c>
      <c r="BG10" s="45" t="e">
        <f t="shared" si="15"/>
        <v>#VALUE!</v>
      </c>
      <c r="BH10" s="45" t="e">
        <f t="shared" si="16"/>
        <v>#VALUE!</v>
      </c>
      <c r="BI10" s="43" t="e">
        <f t="shared" si="17"/>
        <v>#VALUE!</v>
      </c>
      <c r="BJ10" s="2" t="s">
        <v>520</v>
      </c>
      <c r="BK10" s="2" t="s">
        <v>521</v>
      </c>
      <c r="BL10" s="2" t="s">
        <v>22</v>
      </c>
      <c r="BM10" s="43">
        <v>5785</v>
      </c>
      <c r="BN10" s="43">
        <v>35237171.362472415</v>
      </c>
      <c r="BO10" s="43">
        <f t="shared" si="18"/>
        <v>1.6427585716770357</v>
      </c>
      <c r="BP10" s="43" t="s">
        <v>22</v>
      </c>
      <c r="BQ10" s="43" t="s">
        <v>22</v>
      </c>
      <c r="BR10" s="43" t="s">
        <v>22</v>
      </c>
      <c r="BS10" s="2" t="s">
        <v>22</v>
      </c>
      <c r="BT10" s="2" t="s">
        <v>22</v>
      </c>
      <c r="BU10" s="43" t="s">
        <v>22</v>
      </c>
      <c r="BV10" s="43" t="s">
        <v>22</v>
      </c>
      <c r="BW10" s="43" t="s">
        <v>22</v>
      </c>
      <c r="BX10" s="43" t="s">
        <v>22</v>
      </c>
      <c r="BY10" s="43" t="s">
        <v>22</v>
      </c>
      <c r="BZ10" s="43" t="s">
        <v>22</v>
      </c>
      <c r="CA10" s="43" t="s">
        <v>22</v>
      </c>
      <c r="CB10" s="2"/>
      <c r="CC10" t="s">
        <v>1008</v>
      </c>
      <c r="CE10" s="41">
        <f t="shared" si="19"/>
        <v>7.5470010384751083</v>
      </c>
      <c r="CF10" s="41" t="e">
        <f t="shared" si="20"/>
        <v>#VALUE!</v>
      </c>
      <c r="CG10" s="41">
        <f t="shared" si="21"/>
        <v>457200</v>
      </c>
      <c r="CH10" s="41">
        <f t="shared" si="22"/>
        <v>5.6601062217232441</v>
      </c>
      <c r="CI10" s="41">
        <f t="shared" si="23"/>
        <v>457200</v>
      </c>
      <c r="CJ10" s="41">
        <f t="shared" si="24"/>
        <v>5.6601062217232441</v>
      </c>
      <c r="CL10" s="9" t="s">
        <v>407</v>
      </c>
      <c r="CM10" s="18" t="s">
        <v>1283</v>
      </c>
      <c r="CN10" s="54" t="s">
        <v>1284</v>
      </c>
      <c r="CO10" s="18" t="s">
        <v>1284</v>
      </c>
    </row>
    <row r="11" spans="1:93" x14ac:dyDescent="0.25">
      <c r="A11" s="2" t="s">
        <v>407</v>
      </c>
      <c r="B11" s="43" t="s">
        <v>22</v>
      </c>
      <c r="C11" s="43">
        <v>21.45</v>
      </c>
      <c r="D11" s="43" t="s">
        <v>22</v>
      </c>
      <c r="E11" s="43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43" t="s">
        <v>22</v>
      </c>
      <c r="K11" s="2" t="s">
        <v>22</v>
      </c>
      <c r="L11" s="43" t="s">
        <v>22</v>
      </c>
      <c r="M11" s="2" t="s">
        <v>23</v>
      </c>
      <c r="N11" s="43" t="s">
        <v>22</v>
      </c>
      <c r="O11" s="43" t="s">
        <v>22</v>
      </c>
      <c r="P11" s="43" t="s">
        <v>22</v>
      </c>
      <c r="Q11" s="43"/>
      <c r="R11" s="43" t="s">
        <v>22</v>
      </c>
      <c r="S11" s="43" t="s">
        <v>22</v>
      </c>
      <c r="T11" s="43" t="s">
        <v>22</v>
      </c>
      <c r="U11" s="43" t="s">
        <v>22</v>
      </c>
      <c r="V11" s="2">
        <v>20200516</v>
      </c>
      <c r="W11" s="2" t="s">
        <v>825</v>
      </c>
      <c r="X11" s="2">
        <v>1888</v>
      </c>
      <c r="Y11" s="2" t="s">
        <v>22</v>
      </c>
      <c r="Z11" s="2" t="s">
        <v>32</v>
      </c>
      <c r="AA11" s="2" t="s">
        <v>22</v>
      </c>
      <c r="AB11" s="43" t="s">
        <v>22</v>
      </c>
      <c r="AC11" s="2" t="s">
        <v>22</v>
      </c>
      <c r="AD11" s="43">
        <v>355.6</v>
      </c>
      <c r="AE11" s="43" t="s">
        <v>22</v>
      </c>
      <c r="AF11" s="43" t="s">
        <v>22</v>
      </c>
      <c r="AG11" s="43" t="s">
        <v>22</v>
      </c>
      <c r="AH11" s="43" t="s">
        <v>22</v>
      </c>
      <c r="AI11" s="43" t="s">
        <v>22</v>
      </c>
      <c r="AJ11" s="43" t="s">
        <v>22</v>
      </c>
      <c r="AK11" s="43" t="s">
        <v>22</v>
      </c>
      <c r="AL11" s="43" t="s">
        <v>22</v>
      </c>
      <c r="AM11" s="43" t="e">
        <f t="shared" si="0"/>
        <v>#VALUE!</v>
      </c>
      <c r="AN11" s="43" t="e">
        <f t="shared" si="1"/>
        <v>#VALUE!</v>
      </c>
      <c r="AO11" s="2" t="s">
        <v>824</v>
      </c>
      <c r="AP11" s="2"/>
      <c r="AQ11" s="2"/>
      <c r="AR11" s="2"/>
      <c r="AS11" s="2"/>
      <c r="AT11" s="2">
        <f t="shared" si="2"/>
        <v>12</v>
      </c>
      <c r="AU11" s="45" t="e">
        <f t="shared" si="3"/>
        <v>#VALUE!</v>
      </c>
      <c r="AV11" s="45">
        <f t="shared" si="4"/>
        <v>1.331427296520743</v>
      </c>
      <c r="AW11" s="45" t="e">
        <f t="shared" si="5"/>
        <v>#VALUE!</v>
      </c>
      <c r="AX11" s="45" t="e">
        <f t="shared" si="6"/>
        <v>#VALUE!</v>
      </c>
      <c r="AY11" s="45" t="e">
        <f t="shared" si="7"/>
        <v>#VALUE!</v>
      </c>
      <c r="AZ11" s="45" t="e">
        <f t="shared" si="8"/>
        <v>#VALUE!</v>
      </c>
      <c r="BA11" s="45" t="e">
        <f t="shared" si="9"/>
        <v>#VALUE!</v>
      </c>
      <c r="BB11" s="45" t="e">
        <f t="shared" si="10"/>
        <v>#VALUE!</v>
      </c>
      <c r="BC11" s="45" t="e">
        <f t="shared" si="11"/>
        <v>#VALUE!</v>
      </c>
      <c r="BD11" s="45">
        <f t="shared" si="12"/>
        <v>2.5509617522981762</v>
      </c>
      <c r="BE11" s="45" t="e">
        <f t="shared" si="13"/>
        <v>#VALUE!</v>
      </c>
      <c r="BF11" s="45" t="e">
        <f t="shared" si="14"/>
        <v>#VALUE!</v>
      </c>
      <c r="BG11" s="45" t="e">
        <f t="shared" si="15"/>
        <v>#VALUE!</v>
      </c>
      <c r="BH11" s="45" t="e">
        <f t="shared" si="16"/>
        <v>#VALUE!</v>
      </c>
      <c r="BI11" s="43" t="e">
        <f t="shared" si="17"/>
        <v>#VALUE!</v>
      </c>
      <c r="BJ11" s="2" t="s">
        <v>520</v>
      </c>
      <c r="BK11" s="2" t="s">
        <v>521</v>
      </c>
      <c r="BL11" s="2" t="s">
        <v>22</v>
      </c>
      <c r="BM11" s="43">
        <v>4739</v>
      </c>
      <c r="BN11" s="43">
        <v>47717021.015036419</v>
      </c>
      <c r="BO11" s="43">
        <f t="shared" si="18"/>
        <v>2.2245697442907422</v>
      </c>
      <c r="BP11" s="43" t="s">
        <v>22</v>
      </c>
      <c r="BQ11" s="43" t="s">
        <v>22</v>
      </c>
      <c r="BR11" s="43" t="s">
        <v>22</v>
      </c>
      <c r="BS11" s="2" t="s">
        <v>22</v>
      </c>
      <c r="BT11" s="2" t="s">
        <v>22</v>
      </c>
      <c r="BU11" s="43" t="s">
        <v>22</v>
      </c>
      <c r="BV11" s="43" t="s">
        <v>22</v>
      </c>
      <c r="BW11" s="43" t="s">
        <v>22</v>
      </c>
      <c r="BX11" s="43" t="s">
        <v>22</v>
      </c>
      <c r="BY11" s="43" t="s">
        <v>22</v>
      </c>
      <c r="BZ11" s="43" t="s">
        <v>22</v>
      </c>
      <c r="CA11" s="43" t="s">
        <v>22</v>
      </c>
      <c r="CB11" s="2"/>
      <c r="CC11" t="s">
        <v>1008</v>
      </c>
      <c r="CE11" s="41">
        <f t="shared" si="19"/>
        <v>7.6786733227368771</v>
      </c>
      <c r="CF11" s="41" t="e">
        <f t="shared" si="20"/>
        <v>#VALUE!</v>
      </c>
      <c r="CG11" s="41">
        <f t="shared" si="21"/>
        <v>355600</v>
      </c>
      <c r="CH11" s="41">
        <f t="shared" si="22"/>
        <v>5.5509617522981758</v>
      </c>
      <c r="CI11" s="41">
        <f t="shared" si="23"/>
        <v>355600</v>
      </c>
      <c r="CJ11" s="41">
        <f t="shared" si="24"/>
        <v>5.5509617522981758</v>
      </c>
      <c r="CL11" s="9" t="s">
        <v>407</v>
      </c>
      <c r="CM11" s="18" t="s">
        <v>1283</v>
      </c>
      <c r="CN11" s="54" t="s">
        <v>1284</v>
      </c>
      <c r="CO11" s="18" t="s">
        <v>1284</v>
      </c>
    </row>
    <row r="12" spans="1:93" x14ac:dyDescent="0.25">
      <c r="A12" s="2" t="s">
        <v>407</v>
      </c>
      <c r="B12" s="43" t="s">
        <v>22</v>
      </c>
      <c r="C12" s="43">
        <v>21.45</v>
      </c>
      <c r="D12" s="43" t="s">
        <v>22</v>
      </c>
      <c r="E12" s="43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43" t="s">
        <v>22</v>
      </c>
      <c r="K12" s="2" t="s">
        <v>22</v>
      </c>
      <c r="L12" s="43" t="s">
        <v>22</v>
      </c>
      <c r="M12" s="2" t="s">
        <v>23</v>
      </c>
      <c r="N12" s="43" t="s">
        <v>22</v>
      </c>
      <c r="O12" s="43" t="s">
        <v>22</v>
      </c>
      <c r="P12" s="43" t="s">
        <v>22</v>
      </c>
      <c r="Q12" s="43"/>
      <c r="R12" s="43" t="s">
        <v>22</v>
      </c>
      <c r="S12" s="43" t="s">
        <v>22</v>
      </c>
      <c r="T12" s="43" t="s">
        <v>22</v>
      </c>
      <c r="U12" s="43" t="s">
        <v>22</v>
      </c>
      <c r="V12" s="2">
        <v>20200516</v>
      </c>
      <c r="W12" s="2" t="s">
        <v>825</v>
      </c>
      <c r="X12" s="2">
        <v>1888</v>
      </c>
      <c r="Y12" s="2" t="s">
        <v>22</v>
      </c>
      <c r="Z12" s="2" t="s">
        <v>32</v>
      </c>
      <c r="AA12" s="2" t="s">
        <v>22</v>
      </c>
      <c r="AB12" s="43" t="s">
        <v>22</v>
      </c>
      <c r="AC12" s="2" t="s">
        <v>22</v>
      </c>
      <c r="AD12" s="43">
        <v>279.40000000000003</v>
      </c>
      <c r="AE12" s="43" t="s">
        <v>22</v>
      </c>
      <c r="AF12" s="43" t="s">
        <v>22</v>
      </c>
      <c r="AG12" s="43" t="s">
        <v>22</v>
      </c>
      <c r="AH12" s="43" t="s">
        <v>22</v>
      </c>
      <c r="AI12" s="43" t="s">
        <v>22</v>
      </c>
      <c r="AJ12" s="43" t="s">
        <v>22</v>
      </c>
      <c r="AK12" s="43" t="s">
        <v>22</v>
      </c>
      <c r="AL12" s="43" t="s">
        <v>22</v>
      </c>
      <c r="AM12" s="43" t="e">
        <f t="shared" si="0"/>
        <v>#VALUE!</v>
      </c>
      <c r="AN12" s="43" t="e">
        <f t="shared" si="1"/>
        <v>#VALUE!</v>
      </c>
      <c r="AO12" s="2" t="s">
        <v>824</v>
      </c>
      <c r="AP12" s="2"/>
      <c r="AQ12" s="2"/>
      <c r="AR12" s="2"/>
      <c r="AS12" s="2"/>
      <c r="AT12" s="2">
        <f t="shared" si="2"/>
        <v>12</v>
      </c>
      <c r="AU12" s="45" t="e">
        <f t="shared" si="3"/>
        <v>#VALUE!</v>
      </c>
      <c r="AV12" s="45">
        <f t="shared" si="4"/>
        <v>1.331427296520743</v>
      </c>
      <c r="AW12" s="45" t="e">
        <f t="shared" si="5"/>
        <v>#VALUE!</v>
      </c>
      <c r="AX12" s="45" t="e">
        <f t="shared" si="6"/>
        <v>#VALUE!</v>
      </c>
      <c r="AY12" s="45" t="e">
        <f t="shared" si="7"/>
        <v>#VALUE!</v>
      </c>
      <c r="AZ12" s="45" t="e">
        <f t="shared" si="8"/>
        <v>#VALUE!</v>
      </c>
      <c r="BA12" s="45" t="e">
        <f t="shared" si="9"/>
        <v>#VALUE!</v>
      </c>
      <c r="BB12" s="45" t="e">
        <f t="shared" si="10"/>
        <v>#VALUE!</v>
      </c>
      <c r="BC12" s="45" t="e">
        <f t="shared" si="11"/>
        <v>#VALUE!</v>
      </c>
      <c r="BD12" s="45">
        <f t="shared" si="12"/>
        <v>2.446226401778163</v>
      </c>
      <c r="BE12" s="45" t="e">
        <f t="shared" si="13"/>
        <v>#VALUE!</v>
      </c>
      <c r="BF12" s="45" t="e">
        <f t="shared" si="14"/>
        <v>#VALUE!</v>
      </c>
      <c r="BG12" s="45" t="e">
        <f t="shared" si="15"/>
        <v>#VALUE!</v>
      </c>
      <c r="BH12" s="45" t="e">
        <f t="shared" si="16"/>
        <v>#VALUE!</v>
      </c>
      <c r="BI12" s="43" t="e">
        <f t="shared" si="17"/>
        <v>#VALUE!</v>
      </c>
      <c r="BJ12" s="2" t="s">
        <v>520</v>
      </c>
      <c r="BK12" s="2" t="s">
        <v>521</v>
      </c>
      <c r="BL12" s="2" t="s">
        <v>22</v>
      </c>
      <c r="BM12" s="43">
        <v>3337</v>
      </c>
      <c r="BN12" s="43">
        <v>54426890.334862635</v>
      </c>
      <c r="BO12" s="43">
        <f t="shared" si="18"/>
        <v>2.5373841647954607</v>
      </c>
      <c r="BP12" s="43" t="s">
        <v>22</v>
      </c>
      <c r="BQ12" s="43" t="s">
        <v>22</v>
      </c>
      <c r="BR12" s="43" t="s">
        <v>22</v>
      </c>
      <c r="BS12" s="2" t="s">
        <v>22</v>
      </c>
      <c r="BT12" s="2" t="s">
        <v>22</v>
      </c>
      <c r="BU12" s="43" t="s">
        <v>22</v>
      </c>
      <c r="BV12" s="43" t="s">
        <v>22</v>
      </c>
      <c r="BW12" s="43" t="s">
        <v>22</v>
      </c>
      <c r="BX12" s="43" t="s">
        <v>22</v>
      </c>
      <c r="BY12" s="43" t="s">
        <v>22</v>
      </c>
      <c r="BZ12" s="43" t="s">
        <v>22</v>
      </c>
      <c r="CA12" s="43" t="s">
        <v>22</v>
      </c>
      <c r="CB12" s="2"/>
      <c r="CC12" t="s">
        <v>1008</v>
      </c>
      <c r="CE12" s="41">
        <f t="shared" si="19"/>
        <v>7.735813521732295</v>
      </c>
      <c r="CF12" s="41" t="e">
        <f t="shared" si="20"/>
        <v>#VALUE!</v>
      </c>
      <c r="CG12" s="41">
        <f t="shared" si="21"/>
        <v>279400.00000000006</v>
      </c>
      <c r="CH12" s="41">
        <f t="shared" si="22"/>
        <v>5.446226401778163</v>
      </c>
      <c r="CI12" s="41">
        <f t="shared" si="23"/>
        <v>279400.00000000006</v>
      </c>
      <c r="CJ12" s="41">
        <f t="shared" si="24"/>
        <v>5.446226401778163</v>
      </c>
      <c r="CL12" s="9" t="s">
        <v>407</v>
      </c>
      <c r="CM12" s="18" t="s">
        <v>1283</v>
      </c>
      <c r="CN12" s="54" t="s">
        <v>1284</v>
      </c>
      <c r="CO12" s="18" t="s">
        <v>1284</v>
      </c>
    </row>
    <row r="13" spans="1:93" x14ac:dyDescent="0.25">
      <c r="A13" s="2" t="s">
        <v>407</v>
      </c>
      <c r="B13" s="43" t="s">
        <v>22</v>
      </c>
      <c r="C13" s="43">
        <v>21.45</v>
      </c>
      <c r="D13" s="43" t="s">
        <v>22</v>
      </c>
      <c r="E13" s="43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43" t="s">
        <v>22</v>
      </c>
      <c r="K13" s="2" t="s">
        <v>22</v>
      </c>
      <c r="L13" s="43" t="s">
        <v>22</v>
      </c>
      <c r="M13" s="2" t="s">
        <v>23</v>
      </c>
      <c r="N13" s="43" t="s">
        <v>22</v>
      </c>
      <c r="O13" s="43" t="s">
        <v>22</v>
      </c>
      <c r="P13" s="43" t="s">
        <v>22</v>
      </c>
      <c r="Q13" s="43"/>
      <c r="R13" s="43" t="s">
        <v>22</v>
      </c>
      <c r="S13" s="43" t="s">
        <v>22</v>
      </c>
      <c r="T13" s="43" t="s">
        <v>22</v>
      </c>
      <c r="U13" s="43" t="s">
        <v>22</v>
      </c>
      <c r="V13" s="2">
        <v>20200516</v>
      </c>
      <c r="W13" s="2" t="s">
        <v>825</v>
      </c>
      <c r="X13" s="2">
        <v>1888</v>
      </c>
      <c r="Y13" s="2" t="s">
        <v>22</v>
      </c>
      <c r="Z13" s="2" t="s">
        <v>32</v>
      </c>
      <c r="AA13" s="2" t="s">
        <v>22</v>
      </c>
      <c r="AB13" s="43" t="s">
        <v>22</v>
      </c>
      <c r="AC13" s="2" t="s">
        <v>22</v>
      </c>
      <c r="AD13" s="43">
        <v>203.20000000000002</v>
      </c>
      <c r="AE13" s="43" t="s">
        <v>22</v>
      </c>
      <c r="AF13" s="43" t="s">
        <v>22</v>
      </c>
      <c r="AG13" s="43" t="s">
        <v>22</v>
      </c>
      <c r="AH13" s="43" t="s">
        <v>22</v>
      </c>
      <c r="AI13" s="43" t="s">
        <v>22</v>
      </c>
      <c r="AJ13" s="43" t="s">
        <v>22</v>
      </c>
      <c r="AK13" s="43" t="s">
        <v>22</v>
      </c>
      <c r="AL13" s="43" t="s">
        <v>22</v>
      </c>
      <c r="AM13" s="43" t="e">
        <f t="shared" si="0"/>
        <v>#VALUE!</v>
      </c>
      <c r="AN13" s="43" t="e">
        <f t="shared" si="1"/>
        <v>#VALUE!</v>
      </c>
      <c r="AO13" s="2" t="s">
        <v>824</v>
      </c>
      <c r="AP13" s="2"/>
      <c r="AQ13" s="2"/>
      <c r="AR13" s="2"/>
      <c r="AS13" s="2"/>
      <c r="AT13" s="2">
        <f t="shared" si="2"/>
        <v>12</v>
      </c>
      <c r="AU13" s="45" t="e">
        <f t="shared" si="3"/>
        <v>#VALUE!</v>
      </c>
      <c r="AV13" s="45">
        <f t="shared" si="4"/>
        <v>1.331427296520743</v>
      </c>
      <c r="AW13" s="45" t="e">
        <f t="shared" si="5"/>
        <v>#VALUE!</v>
      </c>
      <c r="AX13" s="45" t="e">
        <f t="shared" si="6"/>
        <v>#VALUE!</v>
      </c>
      <c r="AY13" s="45" t="e">
        <f t="shared" si="7"/>
        <v>#VALUE!</v>
      </c>
      <c r="AZ13" s="45" t="e">
        <f t="shared" si="8"/>
        <v>#VALUE!</v>
      </c>
      <c r="BA13" s="45" t="e">
        <f t="shared" si="9"/>
        <v>#VALUE!</v>
      </c>
      <c r="BB13" s="45" t="e">
        <f t="shared" si="10"/>
        <v>#VALUE!</v>
      </c>
      <c r="BC13" s="45" t="e">
        <f t="shared" si="11"/>
        <v>#VALUE!</v>
      </c>
      <c r="BD13" s="45">
        <f t="shared" si="12"/>
        <v>2.3079237036118818</v>
      </c>
      <c r="BE13" s="45" t="e">
        <f t="shared" si="13"/>
        <v>#VALUE!</v>
      </c>
      <c r="BF13" s="45" t="e">
        <f t="shared" si="14"/>
        <v>#VALUE!</v>
      </c>
      <c r="BG13" s="45" t="e">
        <f t="shared" si="15"/>
        <v>#VALUE!</v>
      </c>
      <c r="BH13" s="45" t="e">
        <f t="shared" si="16"/>
        <v>#VALUE!</v>
      </c>
      <c r="BI13" s="43" t="e">
        <f t="shared" si="17"/>
        <v>#VALUE!</v>
      </c>
      <c r="BJ13" s="2" t="s">
        <v>520</v>
      </c>
      <c r="BK13" s="2" t="s">
        <v>521</v>
      </c>
      <c r="BL13" s="2" t="s">
        <v>22</v>
      </c>
      <c r="BM13" s="43">
        <v>2536</v>
      </c>
      <c r="BN13" s="43">
        <v>78200937.690078139</v>
      </c>
      <c r="BO13" s="43">
        <f t="shared" si="18"/>
        <v>3.6457313608428037</v>
      </c>
      <c r="BP13" s="43" t="s">
        <v>22</v>
      </c>
      <c r="BQ13" s="43" t="s">
        <v>22</v>
      </c>
      <c r="BR13" s="43" t="s">
        <v>22</v>
      </c>
      <c r="BS13" s="2" t="s">
        <v>22</v>
      </c>
      <c r="BT13" s="2" t="s">
        <v>22</v>
      </c>
      <c r="BU13" s="43" t="s">
        <v>22</v>
      </c>
      <c r="BV13" s="43" t="s">
        <v>22</v>
      </c>
      <c r="BW13" s="43" t="s">
        <v>22</v>
      </c>
      <c r="BX13" s="43" t="s">
        <v>22</v>
      </c>
      <c r="BY13" s="43" t="s">
        <v>22</v>
      </c>
      <c r="BZ13" s="43" t="s">
        <v>22</v>
      </c>
      <c r="CA13" s="43" t="s">
        <v>22</v>
      </c>
      <c r="CB13" s="2"/>
      <c r="CC13" t="s">
        <v>1008</v>
      </c>
      <c r="CE13" s="41">
        <f t="shared" si="19"/>
        <v>7.8932119606197606</v>
      </c>
      <c r="CF13" s="41" t="e">
        <f t="shared" si="20"/>
        <v>#VALUE!</v>
      </c>
      <c r="CG13" s="41">
        <f t="shared" si="21"/>
        <v>203200.00000000003</v>
      </c>
      <c r="CH13" s="41">
        <f t="shared" si="22"/>
        <v>5.3079237036118814</v>
      </c>
      <c r="CI13" s="41">
        <f t="shared" si="23"/>
        <v>203200.00000000003</v>
      </c>
      <c r="CJ13" s="41">
        <f t="shared" si="24"/>
        <v>5.3079237036118814</v>
      </c>
      <c r="CL13" s="9" t="s">
        <v>407</v>
      </c>
      <c r="CM13" s="18" t="s">
        <v>1283</v>
      </c>
      <c r="CN13" s="54" t="s">
        <v>1284</v>
      </c>
      <c r="CO13" s="18" t="s">
        <v>1284</v>
      </c>
    </row>
    <row r="14" spans="1:93" s="9" customFormat="1" x14ac:dyDescent="0.25">
      <c r="A14" s="9" t="s">
        <v>369</v>
      </c>
      <c r="B14" s="50" t="s">
        <v>22</v>
      </c>
      <c r="C14" s="50" t="s">
        <v>22</v>
      </c>
      <c r="D14" s="50" t="s">
        <v>22</v>
      </c>
      <c r="E14" s="50" t="s">
        <v>22</v>
      </c>
      <c r="F14" s="9" t="s">
        <v>22</v>
      </c>
      <c r="G14" s="9" t="s">
        <v>22</v>
      </c>
      <c r="H14" s="9" t="s">
        <v>22</v>
      </c>
      <c r="I14" s="9" t="s">
        <v>22</v>
      </c>
      <c r="J14" s="50" t="s">
        <v>22</v>
      </c>
      <c r="K14" s="9" t="s">
        <v>22</v>
      </c>
      <c r="L14" s="50" t="e">
        <f>IF((10^-12)*J14*K14^4=0,"",(10^-12)*J14*K14^4)</f>
        <v>#VALUE!</v>
      </c>
      <c r="M14" s="9" t="s">
        <v>23</v>
      </c>
      <c r="N14" s="50" t="s">
        <v>22</v>
      </c>
      <c r="O14" s="50" t="s">
        <v>22</v>
      </c>
      <c r="P14" s="50" t="s">
        <v>22</v>
      </c>
      <c r="Q14" s="50"/>
      <c r="R14" s="50" t="s">
        <v>22</v>
      </c>
      <c r="S14" s="50" t="s">
        <v>22</v>
      </c>
      <c r="T14" s="50" t="s">
        <v>22</v>
      </c>
      <c r="U14" s="50" t="s">
        <v>22</v>
      </c>
      <c r="V14" s="9">
        <v>20200716</v>
      </c>
      <c r="W14" s="21"/>
      <c r="X14" s="21">
        <v>1954</v>
      </c>
      <c r="Y14" s="9" t="s">
        <v>369</v>
      </c>
      <c r="Z14" s="9" t="s">
        <v>32</v>
      </c>
      <c r="AB14" s="50"/>
      <c r="AC14" s="9" t="s">
        <v>22</v>
      </c>
      <c r="AD14" s="50" t="s">
        <v>22</v>
      </c>
      <c r="AE14" s="50" t="s">
        <v>22</v>
      </c>
      <c r="AF14" s="50">
        <f>1.25*4.184*100</f>
        <v>523</v>
      </c>
      <c r="AG14" s="50" t="s">
        <v>22</v>
      </c>
      <c r="AH14" s="50" t="s">
        <v>22</v>
      </c>
      <c r="AI14" s="50" t="s">
        <v>22</v>
      </c>
      <c r="AJ14" s="50" t="s">
        <v>22</v>
      </c>
      <c r="AK14" s="50" t="s">
        <v>22</v>
      </c>
      <c r="AL14" s="50" t="s">
        <v>22</v>
      </c>
      <c r="AM14" s="43" t="e">
        <f t="shared" si="0"/>
        <v>#VALUE!</v>
      </c>
      <c r="AN14" s="43" t="e">
        <f t="shared" si="1"/>
        <v>#VALUE!</v>
      </c>
      <c r="AO14" s="21" t="s">
        <v>1078</v>
      </c>
      <c r="AT14" s="2">
        <f t="shared" si="2"/>
        <v>1</v>
      </c>
      <c r="AU14" s="45" t="e">
        <f t="shared" si="3"/>
        <v>#VALUE!</v>
      </c>
      <c r="AV14" s="45" t="e">
        <f t="shared" si="4"/>
        <v>#VALUE!</v>
      </c>
      <c r="AW14" s="45" t="e">
        <f t="shared" si="5"/>
        <v>#VALUE!</v>
      </c>
      <c r="AX14" s="45" t="e">
        <f t="shared" si="6"/>
        <v>#VALUE!</v>
      </c>
      <c r="AY14" s="45" t="e">
        <f t="shared" si="7"/>
        <v>#VALUE!</v>
      </c>
      <c r="AZ14" s="45" t="e">
        <f t="shared" si="8"/>
        <v>#VALUE!</v>
      </c>
      <c r="BA14" s="45" t="e">
        <f t="shared" si="9"/>
        <v>#VALUE!</v>
      </c>
      <c r="BB14" s="45" t="e">
        <f t="shared" si="10"/>
        <v>#VALUE!</v>
      </c>
      <c r="BC14" s="45" t="e">
        <f t="shared" si="11"/>
        <v>#VALUE!</v>
      </c>
      <c r="BD14" s="45" t="e">
        <f t="shared" si="12"/>
        <v>#VALUE!</v>
      </c>
      <c r="BE14" s="45">
        <f t="shared" si="13"/>
        <v>2.7185016888672742</v>
      </c>
      <c r="BF14" s="45" t="e">
        <f t="shared" si="14"/>
        <v>#VALUE!</v>
      </c>
      <c r="BG14" s="45" t="e">
        <f t="shared" si="15"/>
        <v>#VALUE!</v>
      </c>
      <c r="BH14" s="45" t="e">
        <f t="shared" si="16"/>
        <v>#NUM!</v>
      </c>
      <c r="BI14" s="43">
        <f t="shared" si="17"/>
        <v>2.7185016888672742</v>
      </c>
      <c r="BL14" s="20"/>
      <c r="BM14" s="50"/>
      <c r="BN14" s="50"/>
      <c r="BO14" s="50"/>
      <c r="BP14" s="50"/>
      <c r="BQ14" s="50"/>
      <c r="BR14" s="50"/>
      <c r="BU14" s="50"/>
      <c r="BV14" s="50"/>
      <c r="BW14" s="50"/>
      <c r="BX14" s="50"/>
      <c r="BY14" s="50"/>
      <c r="BZ14" s="50"/>
      <c r="CA14" s="43" t="s">
        <v>22</v>
      </c>
      <c r="CE14" s="50"/>
      <c r="CF14" s="50"/>
      <c r="CG14" s="50"/>
      <c r="CH14" s="50"/>
      <c r="CI14" s="50" t="s">
        <v>22</v>
      </c>
      <c r="CJ14" s="50" t="e">
        <f t="shared" si="24"/>
        <v>#VALUE!</v>
      </c>
      <c r="CL14" s="9" t="s">
        <v>1268</v>
      </c>
      <c r="CM14" s="9" t="s">
        <v>1284</v>
      </c>
      <c r="CN14" s="55" t="s">
        <v>1284</v>
      </c>
      <c r="CO14" s="9" t="s">
        <v>1284</v>
      </c>
    </row>
    <row r="15" spans="1:93" s="9" customFormat="1" x14ac:dyDescent="0.25">
      <c r="A15" s="9" t="s">
        <v>345</v>
      </c>
      <c r="B15" s="50">
        <f>13.07*2.69</f>
        <v>35.158299999999997</v>
      </c>
      <c r="C15" s="50" t="s">
        <v>22</v>
      </c>
      <c r="D15" s="50" t="s">
        <v>22</v>
      </c>
      <c r="E15" s="50">
        <f>B15/((((8.87*10^-4)*1.57)^-1)*10^-6)</f>
        <v>48961.096996999993</v>
      </c>
      <c r="F15" s="9" t="s">
        <v>22</v>
      </c>
      <c r="G15" s="9" t="s">
        <v>22</v>
      </c>
      <c r="H15" s="9" t="s">
        <v>22</v>
      </c>
      <c r="I15" s="9" t="s">
        <v>22</v>
      </c>
      <c r="J15" s="50" t="s">
        <v>22</v>
      </c>
      <c r="K15" s="9" t="s">
        <v>22</v>
      </c>
      <c r="L15" s="50"/>
      <c r="M15" s="9" t="s">
        <v>45</v>
      </c>
      <c r="N15" s="50" t="s">
        <v>22</v>
      </c>
      <c r="O15" s="50" t="s">
        <v>22</v>
      </c>
      <c r="P15" s="50" t="s">
        <v>22</v>
      </c>
      <c r="Q15" s="50"/>
      <c r="R15" s="50" t="s">
        <v>22</v>
      </c>
      <c r="S15" s="50" t="s">
        <v>22</v>
      </c>
      <c r="T15" s="50" t="s">
        <v>22</v>
      </c>
      <c r="U15" s="50" t="s">
        <v>22</v>
      </c>
      <c r="V15" s="9">
        <v>20210320</v>
      </c>
      <c r="W15" s="21"/>
      <c r="X15" s="21">
        <v>1972</v>
      </c>
      <c r="Z15" s="9" t="s">
        <v>124</v>
      </c>
      <c r="AA15" s="9" t="s">
        <v>747</v>
      </c>
      <c r="AB15" s="50">
        <v>2.69</v>
      </c>
      <c r="AC15" s="9" t="s">
        <v>22</v>
      </c>
      <c r="AD15" s="50" t="s">
        <v>22</v>
      </c>
      <c r="AE15" s="50" t="s">
        <v>22</v>
      </c>
      <c r="AF15" s="50" t="s">
        <v>22</v>
      </c>
      <c r="AG15" s="50" t="s">
        <v>22</v>
      </c>
      <c r="AH15" s="50" t="s">
        <v>22</v>
      </c>
      <c r="AI15" s="50" t="s">
        <v>22</v>
      </c>
      <c r="AJ15" s="50" t="s">
        <v>22</v>
      </c>
      <c r="AK15" s="50" t="s">
        <v>22</v>
      </c>
      <c r="AL15" s="50" t="s">
        <v>22</v>
      </c>
      <c r="AM15" s="43" t="e">
        <f t="shared" si="0"/>
        <v>#VALUE!</v>
      </c>
      <c r="AN15" s="43" t="e">
        <f t="shared" si="1"/>
        <v>#VALUE!</v>
      </c>
      <c r="AO15" s="21" t="s">
        <v>1222</v>
      </c>
      <c r="AT15" s="2">
        <f t="shared" si="2"/>
        <v>3</v>
      </c>
      <c r="AU15" s="45">
        <f t="shared" si="3"/>
        <v>1.5460278675829522</v>
      </c>
      <c r="AV15" s="45" t="e">
        <f t="shared" si="4"/>
        <v>#VALUE!</v>
      </c>
      <c r="AW15" s="45" t="e">
        <f t="shared" si="5"/>
        <v>#VALUE!</v>
      </c>
      <c r="AX15" s="45" t="e">
        <f t="shared" si="6"/>
        <v>#VALUE!</v>
      </c>
      <c r="AY15" s="45" t="e">
        <f t="shared" si="7"/>
        <v>#VALUE!</v>
      </c>
      <c r="AZ15" s="45" t="e">
        <f t="shared" si="8"/>
        <v>#VALUE!</v>
      </c>
      <c r="BA15" s="45" t="e">
        <f t="shared" si="9"/>
        <v>#VALUE!</v>
      </c>
      <c r="BB15" s="45" t="e">
        <f t="shared" si="10"/>
        <v>#NUM!</v>
      </c>
      <c r="BC15" s="45" t="e">
        <f t="shared" si="11"/>
        <v>#VALUE!</v>
      </c>
      <c r="BD15" s="45" t="e">
        <f t="shared" si="12"/>
        <v>#VALUE!</v>
      </c>
      <c r="BE15" s="45" t="e">
        <f t="shared" si="13"/>
        <v>#VALUE!</v>
      </c>
      <c r="BF15" s="45" t="e">
        <f t="shared" si="14"/>
        <v>#VALUE!</v>
      </c>
      <c r="BG15" s="45" t="e">
        <f t="shared" si="15"/>
        <v>#VALUE!</v>
      </c>
      <c r="BH15" s="45">
        <f t="shared" si="16"/>
        <v>0.42975228000240795</v>
      </c>
      <c r="BI15" s="43" t="e">
        <f t="shared" si="17"/>
        <v>#VALUE!</v>
      </c>
      <c r="BL15" s="20"/>
      <c r="BM15" s="50"/>
      <c r="BN15" s="50"/>
      <c r="BO15" s="50"/>
      <c r="BP15" s="50"/>
      <c r="BQ15" s="50"/>
      <c r="BR15" s="50"/>
      <c r="BU15" s="50"/>
      <c r="BV15" s="50"/>
      <c r="BW15" s="50"/>
      <c r="BX15" s="50"/>
      <c r="BY15" s="50"/>
      <c r="BZ15" s="50"/>
      <c r="CA15" s="43" t="s">
        <v>22</v>
      </c>
      <c r="CE15" s="50"/>
      <c r="CF15" s="50"/>
      <c r="CG15" s="50"/>
      <c r="CH15" s="50"/>
      <c r="CI15" s="50" t="s">
        <v>22</v>
      </c>
      <c r="CJ15" s="50" t="e">
        <f t="shared" si="24"/>
        <v>#VALUE!</v>
      </c>
      <c r="CL15" s="9" t="s">
        <v>1268</v>
      </c>
      <c r="CM15" s="9" t="s">
        <v>1284</v>
      </c>
      <c r="CN15" s="55" t="s">
        <v>1284</v>
      </c>
      <c r="CO15" s="9" t="s">
        <v>1284</v>
      </c>
    </row>
    <row r="16" spans="1:93" s="9" customFormat="1" x14ac:dyDescent="0.25">
      <c r="A16" s="9" t="s">
        <v>345</v>
      </c>
      <c r="B16" s="50">
        <f>8.31*2.69</f>
        <v>22.353899999999999</v>
      </c>
      <c r="C16" s="50" t="s">
        <v>22</v>
      </c>
      <c r="D16" s="50" t="s">
        <v>22</v>
      </c>
      <c r="E16" s="50">
        <f>B15/((((8.87*10^-4)*10.8)^-1)*10^-6)</f>
        <v>336802.45068000001</v>
      </c>
      <c r="F16" s="9" t="s">
        <v>22</v>
      </c>
      <c r="G16" s="9" t="s">
        <v>22</v>
      </c>
      <c r="H16" s="9" t="s">
        <v>22</v>
      </c>
      <c r="I16" s="9" t="s">
        <v>22</v>
      </c>
      <c r="J16" s="50" t="s">
        <v>22</v>
      </c>
      <c r="K16" s="9" t="s">
        <v>22</v>
      </c>
      <c r="L16" s="50"/>
      <c r="M16" s="9" t="s">
        <v>45</v>
      </c>
      <c r="N16" s="50" t="s">
        <v>22</v>
      </c>
      <c r="O16" s="50" t="s">
        <v>22</v>
      </c>
      <c r="P16" s="50" t="s">
        <v>22</v>
      </c>
      <c r="Q16" s="50"/>
      <c r="R16" s="50" t="s">
        <v>22</v>
      </c>
      <c r="S16" s="50" t="s">
        <v>22</v>
      </c>
      <c r="T16" s="50" t="s">
        <v>22</v>
      </c>
      <c r="U16" s="50" t="s">
        <v>22</v>
      </c>
      <c r="V16" s="9">
        <v>20210320</v>
      </c>
      <c r="W16" s="21"/>
      <c r="X16" s="21">
        <v>1972</v>
      </c>
      <c r="Z16" s="9" t="s">
        <v>124</v>
      </c>
      <c r="AA16" s="9" t="s">
        <v>783</v>
      </c>
      <c r="AB16" s="50">
        <v>2.69</v>
      </c>
      <c r="AC16" s="9" t="s">
        <v>22</v>
      </c>
      <c r="AD16" s="50" t="s">
        <v>22</v>
      </c>
      <c r="AE16" s="50" t="s">
        <v>22</v>
      </c>
      <c r="AF16" s="50" t="s">
        <v>22</v>
      </c>
      <c r="AG16" s="50" t="s">
        <v>22</v>
      </c>
      <c r="AH16" s="50" t="s">
        <v>22</v>
      </c>
      <c r="AI16" s="50" t="s">
        <v>22</v>
      </c>
      <c r="AJ16" s="50" t="s">
        <v>22</v>
      </c>
      <c r="AK16" s="50" t="s">
        <v>22</v>
      </c>
      <c r="AL16" s="50" t="s">
        <v>22</v>
      </c>
      <c r="AM16" s="43" t="e">
        <f t="shared" si="0"/>
        <v>#VALUE!</v>
      </c>
      <c r="AN16" s="43" t="e">
        <f t="shared" si="1"/>
        <v>#VALUE!</v>
      </c>
      <c r="AO16" s="21" t="s">
        <v>1222</v>
      </c>
      <c r="AT16" s="2">
        <f t="shared" si="2"/>
        <v>3</v>
      </c>
      <c r="AU16" s="45">
        <f t="shared" si="3"/>
        <v>1.3493533037865189</v>
      </c>
      <c r="AV16" s="45" t="e">
        <f t="shared" si="4"/>
        <v>#VALUE!</v>
      </c>
      <c r="AW16" s="45" t="e">
        <f t="shared" si="5"/>
        <v>#VALUE!</v>
      </c>
      <c r="AX16" s="45" t="e">
        <f t="shared" si="6"/>
        <v>#VALUE!</v>
      </c>
      <c r="AY16" s="45" t="e">
        <f t="shared" si="7"/>
        <v>#VALUE!</v>
      </c>
      <c r="AZ16" s="45" t="e">
        <f t="shared" si="8"/>
        <v>#VALUE!</v>
      </c>
      <c r="BA16" s="45" t="e">
        <f t="shared" si="9"/>
        <v>#VALUE!</v>
      </c>
      <c r="BB16" s="45" t="e">
        <f t="shared" si="10"/>
        <v>#NUM!</v>
      </c>
      <c r="BC16" s="45" t="e">
        <f t="shared" si="11"/>
        <v>#VALUE!</v>
      </c>
      <c r="BD16" s="45" t="e">
        <f t="shared" si="12"/>
        <v>#VALUE!</v>
      </c>
      <c r="BE16" s="45" t="e">
        <f t="shared" si="13"/>
        <v>#VALUE!</v>
      </c>
      <c r="BF16" s="45" t="e">
        <f t="shared" si="14"/>
        <v>#VALUE!</v>
      </c>
      <c r="BG16" s="45" t="e">
        <f t="shared" si="15"/>
        <v>#VALUE!</v>
      </c>
      <c r="BH16" s="45">
        <f t="shared" si="16"/>
        <v>0.42975228000240795</v>
      </c>
      <c r="BI16" s="43" t="e">
        <f t="shared" si="17"/>
        <v>#VALUE!</v>
      </c>
      <c r="BL16" s="20"/>
      <c r="BM16" s="50"/>
      <c r="BN16" s="50"/>
      <c r="BO16" s="50"/>
      <c r="BP16" s="50"/>
      <c r="BQ16" s="50"/>
      <c r="BR16" s="50"/>
      <c r="BU16" s="50"/>
      <c r="BV16" s="50"/>
      <c r="BW16" s="50"/>
      <c r="BX16" s="50"/>
      <c r="BY16" s="50"/>
      <c r="BZ16" s="50"/>
      <c r="CA16" s="43" t="s">
        <v>22</v>
      </c>
      <c r="CE16" s="50"/>
      <c r="CF16" s="50"/>
      <c r="CG16" s="50"/>
      <c r="CH16" s="50"/>
      <c r="CI16" s="50" t="s">
        <v>22</v>
      </c>
      <c r="CJ16" s="50" t="e">
        <f t="shared" si="24"/>
        <v>#VALUE!</v>
      </c>
      <c r="CL16" s="9" t="s">
        <v>1268</v>
      </c>
      <c r="CM16" s="9" t="s">
        <v>1284</v>
      </c>
      <c r="CN16" s="55" t="s">
        <v>1284</v>
      </c>
      <c r="CO16" s="9" t="s">
        <v>1284</v>
      </c>
    </row>
    <row r="17" spans="1:93" s="9" customFormat="1" x14ac:dyDescent="0.25">
      <c r="A17" s="9" t="s">
        <v>345</v>
      </c>
      <c r="B17" s="50">
        <f>4.07*2.69</f>
        <v>10.9483</v>
      </c>
      <c r="C17" s="50" t="s">
        <v>22</v>
      </c>
      <c r="D17" s="50" t="s">
        <v>22</v>
      </c>
      <c r="E17" s="50">
        <f>B16/((((8.87*10^-4)*(3.47*10^-3))^-1)*10^-6)</f>
        <v>68.80284527100001</v>
      </c>
      <c r="F17" s="9" t="s">
        <v>22</v>
      </c>
      <c r="G17" s="9" t="s">
        <v>22</v>
      </c>
      <c r="H17" s="9" t="s">
        <v>22</v>
      </c>
      <c r="I17" s="9" t="s">
        <v>22</v>
      </c>
      <c r="J17" s="50" t="s">
        <v>22</v>
      </c>
      <c r="K17" s="9" t="s">
        <v>22</v>
      </c>
      <c r="L17" s="50"/>
      <c r="M17" s="9" t="s">
        <v>45</v>
      </c>
      <c r="N17" s="50" t="s">
        <v>22</v>
      </c>
      <c r="O17" s="50" t="s">
        <v>22</v>
      </c>
      <c r="P17" s="50" t="s">
        <v>22</v>
      </c>
      <c r="Q17" s="50"/>
      <c r="R17" s="50" t="s">
        <v>22</v>
      </c>
      <c r="S17" s="50" t="s">
        <v>22</v>
      </c>
      <c r="T17" s="50" t="s">
        <v>22</v>
      </c>
      <c r="U17" s="50" t="s">
        <v>22</v>
      </c>
      <c r="V17" s="9">
        <v>20210320</v>
      </c>
      <c r="W17" s="21"/>
      <c r="X17" s="21">
        <v>1972</v>
      </c>
      <c r="Z17" s="9" t="s">
        <v>124</v>
      </c>
      <c r="AA17" s="9" t="s">
        <v>1086</v>
      </c>
      <c r="AB17" s="50">
        <v>2.69</v>
      </c>
      <c r="AC17" s="9" t="s">
        <v>22</v>
      </c>
      <c r="AD17" s="50" t="s">
        <v>22</v>
      </c>
      <c r="AE17" s="50" t="s">
        <v>22</v>
      </c>
      <c r="AF17" s="50" t="s">
        <v>22</v>
      </c>
      <c r="AG17" s="50" t="s">
        <v>22</v>
      </c>
      <c r="AH17" s="50" t="s">
        <v>22</v>
      </c>
      <c r="AI17" s="50" t="s">
        <v>22</v>
      </c>
      <c r="AJ17" s="50"/>
      <c r="AK17" s="50" t="s">
        <v>22</v>
      </c>
      <c r="AL17" s="50" t="s">
        <v>22</v>
      </c>
      <c r="AM17" s="43" t="e">
        <f t="shared" si="0"/>
        <v>#VALUE!</v>
      </c>
      <c r="AN17" s="43" t="e">
        <f t="shared" si="1"/>
        <v>#VALUE!</v>
      </c>
      <c r="AO17" s="21" t="s">
        <v>1222</v>
      </c>
      <c r="AT17" s="2">
        <f t="shared" si="2"/>
        <v>3</v>
      </c>
      <c r="AU17" s="45">
        <f t="shared" si="3"/>
        <v>1.039346689227628</v>
      </c>
      <c r="AV17" s="45" t="e">
        <f t="shared" si="4"/>
        <v>#VALUE!</v>
      </c>
      <c r="AW17" s="45" t="e">
        <f t="shared" si="5"/>
        <v>#VALUE!</v>
      </c>
      <c r="AX17" s="45" t="e">
        <f t="shared" si="6"/>
        <v>#VALUE!</v>
      </c>
      <c r="AY17" s="45" t="e">
        <f t="shared" si="7"/>
        <v>#VALUE!</v>
      </c>
      <c r="AZ17" s="45" t="e">
        <f t="shared" si="8"/>
        <v>#VALUE!</v>
      </c>
      <c r="BA17" s="45" t="e">
        <f t="shared" si="9"/>
        <v>#VALUE!</v>
      </c>
      <c r="BB17" s="45" t="e">
        <f t="shared" si="10"/>
        <v>#NUM!</v>
      </c>
      <c r="BC17" s="45" t="e">
        <f t="shared" si="11"/>
        <v>#VALUE!</v>
      </c>
      <c r="BD17" s="45" t="e">
        <f t="shared" si="12"/>
        <v>#VALUE!</v>
      </c>
      <c r="BE17" s="45" t="e">
        <f t="shared" si="13"/>
        <v>#VALUE!</v>
      </c>
      <c r="BF17" s="45" t="e">
        <f t="shared" si="14"/>
        <v>#VALUE!</v>
      </c>
      <c r="BG17" s="45" t="e">
        <f t="shared" si="15"/>
        <v>#VALUE!</v>
      </c>
      <c r="BH17" s="45">
        <f t="shared" si="16"/>
        <v>0.42975228000240795</v>
      </c>
      <c r="BI17" s="43" t="e">
        <f t="shared" si="17"/>
        <v>#VALUE!</v>
      </c>
      <c r="BL17" s="20"/>
      <c r="BM17" s="50"/>
      <c r="BN17" s="50"/>
      <c r="BO17" s="50"/>
      <c r="BP17" s="50"/>
      <c r="BQ17" s="50"/>
      <c r="BR17" s="50"/>
      <c r="BU17" s="50"/>
      <c r="BV17" s="50"/>
      <c r="BW17" s="50"/>
      <c r="BX17" s="50"/>
      <c r="BY17" s="50"/>
      <c r="BZ17" s="50"/>
      <c r="CA17" s="43" t="s">
        <v>22</v>
      </c>
      <c r="CE17" s="50"/>
      <c r="CF17" s="50"/>
      <c r="CG17" s="50"/>
      <c r="CH17" s="50"/>
      <c r="CI17" s="50" t="s">
        <v>22</v>
      </c>
      <c r="CJ17" s="50" t="e">
        <f t="shared" si="24"/>
        <v>#VALUE!</v>
      </c>
      <c r="CL17" s="9" t="s">
        <v>1268</v>
      </c>
      <c r="CM17" s="9" t="s">
        <v>1284</v>
      </c>
      <c r="CN17" s="55" t="s">
        <v>1284</v>
      </c>
      <c r="CO17" s="9" t="s">
        <v>1284</v>
      </c>
    </row>
    <row r="18" spans="1:93" x14ac:dyDescent="0.25">
      <c r="A18" t="s">
        <v>345</v>
      </c>
      <c r="B18" s="41">
        <v>63</v>
      </c>
      <c r="C18" s="43" t="s">
        <v>22</v>
      </c>
      <c r="D18" s="43" t="s">
        <v>22</v>
      </c>
      <c r="E18" s="41">
        <f>10^6</f>
        <v>1000000</v>
      </c>
      <c r="F18" s="2" t="s">
        <v>22</v>
      </c>
      <c r="G18" s="2" t="s">
        <v>22</v>
      </c>
      <c r="H18" s="2" t="s">
        <v>22</v>
      </c>
      <c r="I18" s="2" t="s">
        <v>22</v>
      </c>
      <c r="J18" s="43" t="s">
        <v>22</v>
      </c>
      <c r="K18" s="2" t="s">
        <v>22</v>
      </c>
      <c r="L18" s="41" t="e">
        <f>IF((10^-12)*J18*K18^4=0,"",(10^-12)*J18*K18^4)</f>
        <v>#VALUE!</v>
      </c>
      <c r="M18" t="s">
        <v>45</v>
      </c>
      <c r="N18" s="43" t="s">
        <v>22</v>
      </c>
      <c r="O18" s="43" t="s">
        <v>22</v>
      </c>
      <c r="P18" s="43" t="s">
        <v>22</v>
      </c>
      <c r="Q18" s="43"/>
      <c r="R18" s="43" t="s">
        <v>22</v>
      </c>
      <c r="S18" s="43" t="s">
        <v>22</v>
      </c>
      <c r="T18" s="43" t="s">
        <v>22</v>
      </c>
      <c r="U18" s="43" t="s">
        <v>22</v>
      </c>
      <c r="V18">
        <v>20200101</v>
      </c>
      <c r="W18" s="16" t="s">
        <v>424</v>
      </c>
      <c r="X18">
        <v>1977</v>
      </c>
      <c r="Y18" s="2" t="s">
        <v>1102</v>
      </c>
      <c r="Z18" s="2" t="s">
        <v>124</v>
      </c>
      <c r="AA18" s="2" t="s">
        <v>424</v>
      </c>
      <c r="AB18" s="43" t="s">
        <v>22</v>
      </c>
      <c r="AC18" s="2" t="s">
        <v>22</v>
      </c>
      <c r="AD18" s="43" t="s">
        <v>22</v>
      </c>
      <c r="AE18" s="43" t="s">
        <v>22</v>
      </c>
      <c r="AF18" s="43" t="s">
        <v>22</v>
      </c>
      <c r="AG18" s="43" t="s">
        <v>22</v>
      </c>
      <c r="AH18" s="43" t="s">
        <v>22</v>
      </c>
      <c r="AI18" s="43" t="s">
        <v>22</v>
      </c>
      <c r="AJ18" s="43" t="s">
        <v>22</v>
      </c>
      <c r="AK18" s="43" t="s">
        <v>22</v>
      </c>
      <c r="AL18" s="43" t="s">
        <v>22</v>
      </c>
      <c r="AM18" s="43" t="e">
        <f t="shared" si="0"/>
        <v>#VALUE!</v>
      </c>
      <c r="AN18" s="43" t="e">
        <f t="shared" si="1"/>
        <v>#VALUE!</v>
      </c>
      <c r="AO18" s="19" t="s">
        <v>425</v>
      </c>
      <c r="AT18" s="2">
        <f t="shared" si="2"/>
        <v>1</v>
      </c>
      <c r="AU18" s="45">
        <f t="shared" si="3"/>
        <v>1.7993405494535817</v>
      </c>
      <c r="AV18" s="45" t="e">
        <f t="shared" si="4"/>
        <v>#VALUE!</v>
      </c>
      <c r="AW18" s="45" t="e">
        <f t="shared" si="5"/>
        <v>#VALUE!</v>
      </c>
      <c r="AX18" s="45" t="e">
        <f t="shared" si="6"/>
        <v>#VALUE!</v>
      </c>
      <c r="AY18" s="45" t="e">
        <f t="shared" si="7"/>
        <v>#VALUE!</v>
      </c>
      <c r="AZ18" s="45" t="e">
        <f t="shared" si="8"/>
        <v>#VALUE!</v>
      </c>
      <c r="BA18" s="45" t="e">
        <f t="shared" si="9"/>
        <v>#VALUE!</v>
      </c>
      <c r="BB18" s="45" t="e">
        <f t="shared" si="10"/>
        <v>#VALUE!</v>
      </c>
      <c r="BC18" s="45" t="e">
        <f t="shared" si="11"/>
        <v>#VALUE!</v>
      </c>
      <c r="BD18" s="45" t="e">
        <f t="shared" si="12"/>
        <v>#VALUE!</v>
      </c>
      <c r="BE18" s="45" t="e">
        <f t="shared" si="13"/>
        <v>#VALUE!</v>
      </c>
      <c r="BF18" s="45" t="e">
        <f t="shared" si="14"/>
        <v>#VALUE!</v>
      </c>
      <c r="BG18" s="45" t="e">
        <f t="shared" si="15"/>
        <v>#VALUE!</v>
      </c>
      <c r="BH18" s="45" t="e">
        <f t="shared" si="16"/>
        <v>#VALUE!</v>
      </c>
      <c r="BI18" s="43" t="e">
        <f t="shared" si="17"/>
        <v>#VALUE!</v>
      </c>
      <c r="CA18" s="43" t="s">
        <v>22</v>
      </c>
      <c r="CC18" t="s">
        <v>22</v>
      </c>
      <c r="CE18" s="41" t="s">
        <v>22</v>
      </c>
      <c r="CF18" s="41" t="s">
        <v>22</v>
      </c>
      <c r="CG18" s="41" t="s">
        <v>22</v>
      </c>
      <c r="CH18" s="41" t="s">
        <v>22</v>
      </c>
      <c r="CI18" s="41" t="s">
        <v>22</v>
      </c>
      <c r="CJ18" s="41" t="e">
        <f>LOG10(CI18)</f>
        <v>#VALUE!</v>
      </c>
      <c r="CL18" s="9" t="s">
        <v>1268</v>
      </c>
      <c r="CM18" s="18" t="s">
        <v>1284</v>
      </c>
      <c r="CN18" s="54" t="s">
        <v>1284</v>
      </c>
      <c r="CO18" s="18" t="s">
        <v>1284</v>
      </c>
    </row>
    <row r="19" spans="1:93" x14ac:dyDescent="0.25">
      <c r="A19" t="s">
        <v>345</v>
      </c>
      <c r="B19" s="41">
        <v>100</v>
      </c>
      <c r="C19" s="43" t="s">
        <v>22</v>
      </c>
      <c r="D19" s="43" t="s">
        <v>22</v>
      </c>
      <c r="E19" s="43" t="s">
        <v>22</v>
      </c>
      <c r="F19" s="2" t="s">
        <v>22</v>
      </c>
      <c r="G19" s="2" t="s">
        <v>22</v>
      </c>
      <c r="H19" s="2" t="s">
        <v>22</v>
      </c>
      <c r="I19" s="2" t="s">
        <v>22</v>
      </c>
      <c r="J19" s="43" t="s">
        <v>22</v>
      </c>
      <c r="K19" s="2" t="s">
        <v>22</v>
      </c>
      <c r="L19" s="41" t="e">
        <f>IF((10^-12)*J19*K19^4=0,"",(10^-12)*J19*K19^4)</f>
        <v>#VALUE!</v>
      </c>
      <c r="M19" t="s">
        <v>45</v>
      </c>
      <c r="N19" s="43" t="s">
        <v>22</v>
      </c>
      <c r="O19" s="43" t="s">
        <v>22</v>
      </c>
      <c r="P19" s="43" t="s">
        <v>22</v>
      </c>
      <c r="R19" s="43" t="s">
        <v>22</v>
      </c>
      <c r="S19" s="43" t="s">
        <v>22</v>
      </c>
      <c r="T19" s="43" t="s">
        <v>22</v>
      </c>
      <c r="U19" s="43" t="s">
        <v>22</v>
      </c>
      <c r="V19">
        <v>20200101</v>
      </c>
      <c r="W19" s="16" t="s">
        <v>423</v>
      </c>
      <c r="X19">
        <v>1977</v>
      </c>
      <c r="Y19" s="2" t="s">
        <v>1101</v>
      </c>
      <c r="Z19" s="2" t="s">
        <v>124</v>
      </c>
      <c r="AA19" s="2" t="s">
        <v>423</v>
      </c>
      <c r="AB19" s="43" t="s">
        <v>22</v>
      </c>
      <c r="AC19" s="2" t="s">
        <v>22</v>
      </c>
      <c r="AD19" s="43" t="s">
        <v>22</v>
      </c>
      <c r="AE19" s="43" t="s">
        <v>22</v>
      </c>
      <c r="AF19" s="43" t="s">
        <v>22</v>
      </c>
      <c r="AG19" s="43" t="s">
        <v>22</v>
      </c>
      <c r="AH19" s="43" t="s">
        <v>22</v>
      </c>
      <c r="AI19" s="43" t="s">
        <v>22</v>
      </c>
      <c r="AJ19" s="43" t="s">
        <v>22</v>
      </c>
      <c r="AK19" s="43" t="s">
        <v>22</v>
      </c>
      <c r="AL19" s="43" t="s">
        <v>22</v>
      </c>
      <c r="AM19" s="43" t="e">
        <f t="shared" si="0"/>
        <v>#VALUE!</v>
      </c>
      <c r="AN19" s="43" t="e">
        <f t="shared" si="1"/>
        <v>#VALUE!</v>
      </c>
      <c r="AO19" s="19" t="s">
        <v>422</v>
      </c>
      <c r="AT19" s="2">
        <f t="shared" si="2"/>
        <v>1</v>
      </c>
      <c r="AU19" s="45">
        <f t="shared" si="3"/>
        <v>2</v>
      </c>
      <c r="AV19" s="45" t="e">
        <f t="shared" si="4"/>
        <v>#VALUE!</v>
      </c>
      <c r="AW19" s="45" t="e">
        <f t="shared" si="5"/>
        <v>#VALUE!</v>
      </c>
      <c r="AX19" s="45" t="e">
        <f t="shared" si="6"/>
        <v>#VALUE!</v>
      </c>
      <c r="AY19" s="45" t="e">
        <f t="shared" si="7"/>
        <v>#VALUE!</v>
      </c>
      <c r="AZ19" s="45" t="e">
        <f t="shared" si="8"/>
        <v>#VALUE!</v>
      </c>
      <c r="BA19" s="45" t="e">
        <f t="shared" si="9"/>
        <v>#VALUE!</v>
      </c>
      <c r="BB19" s="45" t="e">
        <f t="shared" si="10"/>
        <v>#VALUE!</v>
      </c>
      <c r="BC19" s="45" t="e">
        <f t="shared" si="11"/>
        <v>#VALUE!</v>
      </c>
      <c r="BD19" s="45" t="e">
        <f t="shared" si="12"/>
        <v>#VALUE!</v>
      </c>
      <c r="BE19" s="45" t="e">
        <f t="shared" si="13"/>
        <v>#VALUE!</v>
      </c>
      <c r="BF19" s="45" t="e">
        <f t="shared" si="14"/>
        <v>#VALUE!</v>
      </c>
      <c r="BG19" s="45" t="e">
        <f t="shared" si="15"/>
        <v>#VALUE!</v>
      </c>
      <c r="BH19" s="45" t="e">
        <f t="shared" si="16"/>
        <v>#VALUE!</v>
      </c>
      <c r="BI19" s="43" t="e">
        <f t="shared" si="17"/>
        <v>#VALUE!</v>
      </c>
      <c r="CA19" s="43" t="s">
        <v>22</v>
      </c>
      <c r="CC19" t="s">
        <v>22</v>
      </c>
      <c r="CE19" s="41" t="s">
        <v>22</v>
      </c>
      <c r="CF19" s="41" t="s">
        <v>22</v>
      </c>
      <c r="CG19" s="41" t="s">
        <v>22</v>
      </c>
      <c r="CH19" s="41" t="s">
        <v>22</v>
      </c>
      <c r="CI19" s="41" t="s">
        <v>22</v>
      </c>
      <c r="CJ19" s="41" t="e">
        <f>LOG10(CI19)</f>
        <v>#VALUE!</v>
      </c>
      <c r="CL19" s="9" t="s">
        <v>1268</v>
      </c>
      <c r="CM19" s="18" t="s">
        <v>1284</v>
      </c>
      <c r="CN19" s="54" t="s">
        <v>1284</v>
      </c>
      <c r="CO19" s="18" t="s">
        <v>1284</v>
      </c>
    </row>
    <row r="20" spans="1:93" x14ac:dyDescent="0.25">
      <c r="A20" s="1" t="s">
        <v>345</v>
      </c>
      <c r="B20" s="41">
        <v>63</v>
      </c>
      <c r="C20" s="41" t="s">
        <v>22</v>
      </c>
      <c r="D20" s="41" t="s">
        <v>22</v>
      </c>
      <c r="E20" s="41" t="s">
        <v>22</v>
      </c>
      <c r="F20" t="s">
        <v>22</v>
      </c>
      <c r="G20" t="s">
        <v>22</v>
      </c>
      <c r="H20" t="s">
        <v>22</v>
      </c>
      <c r="I20" t="s">
        <v>22</v>
      </c>
      <c r="J20" s="41" t="s">
        <v>22</v>
      </c>
      <c r="K20" t="s">
        <v>22</v>
      </c>
      <c r="M20" t="s">
        <v>45</v>
      </c>
      <c r="N20" s="41" t="s">
        <v>22</v>
      </c>
      <c r="O20" s="41" t="s">
        <v>22</v>
      </c>
      <c r="P20" s="41" t="s">
        <v>22</v>
      </c>
      <c r="R20" s="41" t="s">
        <v>22</v>
      </c>
      <c r="S20" s="41" t="s">
        <v>22</v>
      </c>
      <c r="T20" s="41" t="s">
        <v>22</v>
      </c>
      <c r="U20" s="41" t="s">
        <v>22</v>
      </c>
      <c r="V20">
        <v>20210319</v>
      </c>
      <c r="W20" s="16" t="s">
        <v>1208</v>
      </c>
      <c r="X20" s="21">
        <v>1977</v>
      </c>
      <c r="Z20" s="1" t="s">
        <v>124</v>
      </c>
      <c r="AA20" t="s">
        <v>424</v>
      </c>
      <c r="AB20" s="41">
        <v>2.6</v>
      </c>
      <c r="AC20" t="s">
        <v>22</v>
      </c>
      <c r="AD20" s="41" t="s">
        <v>22</v>
      </c>
      <c r="AE20" s="41" t="s">
        <v>22</v>
      </c>
      <c r="AF20" s="41" t="s">
        <v>22</v>
      </c>
      <c r="AG20" s="41" t="s">
        <v>22</v>
      </c>
      <c r="AH20" s="41" t="s">
        <v>22</v>
      </c>
      <c r="AI20" s="41" t="s">
        <v>22</v>
      </c>
      <c r="AJ20" s="41" t="s">
        <v>22</v>
      </c>
      <c r="AK20" s="41" t="s">
        <v>22</v>
      </c>
      <c r="AL20" s="41" t="s">
        <v>22</v>
      </c>
      <c r="AM20" s="43" t="e">
        <f t="shared" si="0"/>
        <v>#VALUE!</v>
      </c>
      <c r="AN20" s="43" t="e">
        <f t="shared" si="1"/>
        <v>#VALUE!</v>
      </c>
      <c r="AO20" s="6" t="s">
        <v>1205</v>
      </c>
      <c r="AT20" s="2">
        <f t="shared" si="2"/>
        <v>1</v>
      </c>
      <c r="AU20" s="45">
        <f t="shared" si="3"/>
        <v>1.7993405494535817</v>
      </c>
      <c r="AV20" s="45" t="e">
        <f t="shared" si="4"/>
        <v>#VALUE!</v>
      </c>
      <c r="AW20" s="45" t="e">
        <f t="shared" si="5"/>
        <v>#VALUE!</v>
      </c>
      <c r="AX20" s="45" t="e">
        <f t="shared" si="6"/>
        <v>#VALUE!</v>
      </c>
      <c r="AY20" s="45" t="e">
        <f t="shared" si="7"/>
        <v>#VALUE!</v>
      </c>
      <c r="AZ20" s="45" t="e">
        <f t="shared" si="8"/>
        <v>#VALUE!</v>
      </c>
      <c r="BA20" s="45" t="e">
        <f t="shared" si="9"/>
        <v>#VALUE!</v>
      </c>
      <c r="BB20" s="45" t="e">
        <f t="shared" si="10"/>
        <v>#NUM!</v>
      </c>
      <c r="BC20" s="45" t="e">
        <f t="shared" si="11"/>
        <v>#VALUE!</v>
      </c>
      <c r="BD20" s="45" t="e">
        <f t="shared" si="12"/>
        <v>#VALUE!</v>
      </c>
      <c r="BE20" s="45" t="e">
        <f t="shared" si="13"/>
        <v>#VALUE!</v>
      </c>
      <c r="BF20" s="45" t="e">
        <f t="shared" si="14"/>
        <v>#VALUE!</v>
      </c>
      <c r="BG20" s="45" t="e">
        <f t="shared" si="15"/>
        <v>#VALUE!</v>
      </c>
      <c r="BH20" s="45">
        <f t="shared" si="16"/>
        <v>0.41497334797081797</v>
      </c>
      <c r="BI20" s="43" t="e">
        <f t="shared" si="17"/>
        <v>#VALUE!</v>
      </c>
      <c r="CA20" s="43" t="s">
        <v>22</v>
      </c>
      <c r="CI20" s="41" t="s">
        <v>22</v>
      </c>
      <c r="CJ20" s="41" t="e">
        <f>LOG10(CI20)</f>
        <v>#VALUE!</v>
      </c>
      <c r="CL20" s="9" t="s">
        <v>1268</v>
      </c>
      <c r="CM20" s="18" t="s">
        <v>1284</v>
      </c>
      <c r="CN20" s="54" t="s">
        <v>1284</v>
      </c>
      <c r="CO20" s="18" t="s">
        <v>1284</v>
      </c>
    </row>
    <row r="21" spans="1:93" x14ac:dyDescent="0.25">
      <c r="A21" t="s">
        <v>345</v>
      </c>
      <c r="B21" s="41">
        <f>(10^-6)*(11*10^-8)^-1</f>
        <v>9.0909090909090899</v>
      </c>
      <c r="C21" s="41" t="s">
        <v>22</v>
      </c>
      <c r="D21" s="41" t="s">
        <v>22</v>
      </c>
      <c r="E21" s="41" t="s">
        <v>22</v>
      </c>
      <c r="F21" t="s">
        <v>22</v>
      </c>
      <c r="G21" t="s">
        <v>22</v>
      </c>
      <c r="H21" t="s">
        <v>22</v>
      </c>
      <c r="I21" t="s">
        <v>22</v>
      </c>
      <c r="J21" s="41" t="s">
        <v>22</v>
      </c>
      <c r="K21" t="s">
        <v>22</v>
      </c>
      <c r="L21" s="41" t="e">
        <f>IF((10^-12)*J21*K21^4=0,"",(10^-12)*J21*K21^4)</f>
        <v>#VALUE!</v>
      </c>
      <c r="M21" t="s">
        <v>45</v>
      </c>
      <c r="N21" s="41">
        <v>2224</v>
      </c>
      <c r="O21" s="41" t="s">
        <v>22</v>
      </c>
      <c r="P21" s="41">
        <v>294</v>
      </c>
      <c r="R21" s="41">
        <f>N21*B21</f>
        <v>20218.181818181816</v>
      </c>
      <c r="S21" s="41" t="s">
        <v>22</v>
      </c>
      <c r="T21" s="41" t="s">
        <v>22</v>
      </c>
      <c r="U21" s="41" t="s">
        <v>22</v>
      </c>
      <c r="V21">
        <v>20200518</v>
      </c>
      <c r="W21" s="16" t="s">
        <v>480</v>
      </c>
      <c r="X21">
        <v>1980</v>
      </c>
      <c r="Y21" t="s">
        <v>375</v>
      </c>
      <c r="Z21" t="s">
        <v>22</v>
      </c>
      <c r="AA21" t="s">
        <v>737</v>
      </c>
      <c r="AB21" s="41">
        <v>1.25</v>
      </c>
      <c r="AC21" t="s">
        <v>22</v>
      </c>
      <c r="AD21" s="41" t="s">
        <v>22</v>
      </c>
      <c r="AE21" s="41" t="s">
        <v>22</v>
      </c>
      <c r="AF21" s="41" t="s">
        <v>22</v>
      </c>
      <c r="AG21" s="41" t="s">
        <v>22</v>
      </c>
      <c r="AH21" s="41" t="s">
        <v>22</v>
      </c>
      <c r="AI21" s="41" t="s">
        <v>22</v>
      </c>
      <c r="AJ21" s="41" t="s">
        <v>22</v>
      </c>
      <c r="AK21" s="41" t="s">
        <v>22</v>
      </c>
      <c r="AL21" s="41" t="s">
        <v>22</v>
      </c>
      <c r="AM21" s="43" t="e">
        <f t="shared" si="0"/>
        <v>#VALUE!</v>
      </c>
      <c r="AN21" s="43" t="e">
        <f t="shared" si="1"/>
        <v>#VALUE!</v>
      </c>
      <c r="AO21" s="19" t="s">
        <v>481</v>
      </c>
      <c r="AT21" s="2">
        <f t="shared" si="2"/>
        <v>1</v>
      </c>
      <c r="AU21" s="45">
        <f t="shared" si="3"/>
        <v>0.95860731484177486</v>
      </c>
      <c r="AV21" s="45" t="e">
        <f t="shared" si="4"/>
        <v>#VALUE!</v>
      </c>
      <c r="AW21" s="45" t="e">
        <f t="shared" si="5"/>
        <v>#VALUE!</v>
      </c>
      <c r="AX21" s="45">
        <f t="shared" si="6"/>
        <v>3.34713478291002</v>
      </c>
      <c r="AY21" s="45" t="e">
        <f t="shared" si="7"/>
        <v>#VALUE!</v>
      </c>
      <c r="AZ21" s="45">
        <f t="shared" si="8"/>
        <v>2.4683473304121573</v>
      </c>
      <c r="BA21" s="45" t="e">
        <f t="shared" si="9"/>
        <v>#VALUE!</v>
      </c>
      <c r="BB21" s="45" t="e">
        <f t="shared" si="10"/>
        <v>#VALUE!</v>
      </c>
      <c r="BC21" s="45" t="e">
        <f t="shared" si="11"/>
        <v>#VALUE!</v>
      </c>
      <c r="BD21" s="45" t="e">
        <f t="shared" si="12"/>
        <v>#VALUE!</v>
      </c>
      <c r="BE21" s="45" t="e">
        <f t="shared" si="13"/>
        <v>#VALUE!</v>
      </c>
      <c r="BF21" s="45" t="e">
        <f t="shared" si="14"/>
        <v>#VALUE!</v>
      </c>
      <c r="BG21" s="45" t="e">
        <f t="shared" si="15"/>
        <v>#VALUE!</v>
      </c>
      <c r="BH21" s="45">
        <f t="shared" si="16"/>
        <v>9.691001300805642E-2</v>
      </c>
      <c r="BI21" s="43" t="e">
        <f t="shared" si="17"/>
        <v>#VALUE!</v>
      </c>
      <c r="CA21" s="43" t="s">
        <v>22</v>
      </c>
      <c r="CC21" t="s">
        <v>22</v>
      </c>
      <c r="CE21" s="41" t="s">
        <v>22</v>
      </c>
      <c r="CF21" s="41" t="s">
        <v>22</v>
      </c>
      <c r="CG21" s="41" t="s">
        <v>22</v>
      </c>
      <c r="CH21" s="41" t="s">
        <v>22</v>
      </c>
      <c r="CI21" s="41" t="str">
        <f>IF(ISNUMBER(CG21),CG21,U21)</f>
        <v>Not Reported/ Can not calculate</v>
      </c>
      <c r="CJ21" s="41" t="e">
        <f t="shared" ref="CJ21:CJ38" si="25">LOG10(CI21)</f>
        <v>#VALUE!</v>
      </c>
      <c r="CL21" s="9" t="s">
        <v>1268</v>
      </c>
      <c r="CM21" s="18" t="s">
        <v>1284</v>
      </c>
      <c r="CN21" s="54" t="s">
        <v>1284</v>
      </c>
      <c r="CO21" s="18" t="s">
        <v>1284</v>
      </c>
    </row>
    <row r="22" spans="1:93" x14ac:dyDescent="0.25">
      <c r="A22" t="s">
        <v>345</v>
      </c>
      <c r="B22" s="41">
        <v>60</v>
      </c>
      <c r="C22" s="41">
        <f>0.25*8.96</f>
        <v>2.2400000000000002</v>
      </c>
      <c r="D22" s="41">
        <f>0.001*(B22*10^6)/(C22*0.001*100^3)</f>
        <v>26.785714285714281</v>
      </c>
      <c r="E22" s="41" t="s">
        <v>22</v>
      </c>
      <c r="F22" t="s">
        <v>22</v>
      </c>
      <c r="G22" t="s">
        <v>22</v>
      </c>
      <c r="H22" t="s">
        <v>22</v>
      </c>
      <c r="I22" t="s">
        <v>22</v>
      </c>
      <c r="J22" s="41" t="s">
        <v>22</v>
      </c>
      <c r="K22" t="s">
        <v>22</v>
      </c>
      <c r="L22" s="41" t="e">
        <f>IF((10^-12)*J22*K22^4=0,"",(10^-12)*J22*K22^4)</f>
        <v>#VALUE!</v>
      </c>
      <c r="M22" t="s">
        <v>45</v>
      </c>
      <c r="N22" s="41" t="s">
        <v>22</v>
      </c>
      <c r="O22" s="41" t="s">
        <v>22</v>
      </c>
      <c r="P22" s="41" t="s">
        <v>22</v>
      </c>
      <c r="R22" s="41" t="s">
        <v>22</v>
      </c>
      <c r="S22" s="41" t="s">
        <v>22</v>
      </c>
      <c r="T22" s="41" t="s">
        <v>22</v>
      </c>
      <c r="U22" s="41" t="s">
        <v>22</v>
      </c>
      <c r="V22">
        <v>20191229</v>
      </c>
      <c r="W22" s="16" t="s">
        <v>1103</v>
      </c>
      <c r="X22">
        <v>1981</v>
      </c>
      <c r="Y22" t="s">
        <v>22</v>
      </c>
      <c r="Z22" t="s">
        <v>22</v>
      </c>
      <c r="AA22" t="s">
        <v>22</v>
      </c>
      <c r="AB22" s="41" t="s">
        <v>22</v>
      </c>
      <c r="AC22" t="s">
        <v>22</v>
      </c>
      <c r="AD22" s="41" t="s">
        <v>22</v>
      </c>
      <c r="AE22" s="41" t="s">
        <v>22</v>
      </c>
      <c r="AF22" s="41" t="s">
        <v>22</v>
      </c>
      <c r="AG22" s="41" t="s">
        <v>22</v>
      </c>
      <c r="AH22" s="41" t="s">
        <v>22</v>
      </c>
      <c r="AI22" s="41" t="s">
        <v>22</v>
      </c>
      <c r="AJ22" s="41" t="s">
        <v>22</v>
      </c>
      <c r="AK22" s="41" t="s">
        <v>22</v>
      </c>
      <c r="AL22" s="41" t="s">
        <v>22</v>
      </c>
      <c r="AM22" s="43" t="e">
        <f t="shared" si="0"/>
        <v>#VALUE!</v>
      </c>
      <c r="AN22" s="43" t="e">
        <f t="shared" si="1"/>
        <v>#VALUE!</v>
      </c>
      <c r="AO22" s="3" t="s">
        <v>1081</v>
      </c>
      <c r="AT22" s="2">
        <f t="shared" si="2"/>
        <v>13</v>
      </c>
      <c r="AU22" s="45">
        <f t="shared" si="3"/>
        <v>1.7781512503836436</v>
      </c>
      <c r="AV22" s="45">
        <f t="shared" si="4"/>
        <v>0.35024801833416286</v>
      </c>
      <c r="AW22" s="45">
        <f t="shared" si="5"/>
        <v>1.4279032320494807</v>
      </c>
      <c r="AX22" s="45" t="e">
        <f t="shared" si="6"/>
        <v>#VALUE!</v>
      </c>
      <c r="AY22" s="45" t="e">
        <f t="shared" si="7"/>
        <v>#VALUE!</v>
      </c>
      <c r="AZ22" s="45" t="e">
        <f t="shared" si="8"/>
        <v>#VALUE!</v>
      </c>
      <c r="BA22" s="45" t="e">
        <f t="shared" si="9"/>
        <v>#VALUE!</v>
      </c>
      <c r="BB22" s="45" t="e">
        <f t="shared" si="10"/>
        <v>#VALUE!</v>
      </c>
      <c r="BC22" s="45" t="e">
        <f t="shared" si="11"/>
        <v>#VALUE!</v>
      </c>
      <c r="BD22" s="45" t="e">
        <f t="shared" si="12"/>
        <v>#VALUE!</v>
      </c>
      <c r="BE22" s="45" t="e">
        <f t="shared" si="13"/>
        <v>#VALUE!</v>
      </c>
      <c r="BF22" s="45" t="e">
        <f t="shared" si="14"/>
        <v>#VALUE!</v>
      </c>
      <c r="BG22" s="45" t="e">
        <f t="shared" si="15"/>
        <v>#VALUE!</v>
      </c>
      <c r="BH22" s="45" t="e">
        <f t="shared" si="16"/>
        <v>#VALUE!</v>
      </c>
      <c r="BI22" s="43" t="e">
        <f t="shared" si="17"/>
        <v>#VALUE!</v>
      </c>
      <c r="CA22" s="43" t="s">
        <v>22</v>
      </c>
      <c r="CC22" t="s">
        <v>22</v>
      </c>
      <c r="CE22" s="41" t="s">
        <v>22</v>
      </c>
      <c r="CF22" s="41" t="s">
        <v>22</v>
      </c>
      <c r="CG22" s="41" t="s">
        <v>22</v>
      </c>
      <c r="CH22" s="41" t="s">
        <v>22</v>
      </c>
      <c r="CI22" s="41" t="s">
        <v>22</v>
      </c>
      <c r="CJ22" s="41" t="e">
        <f t="shared" si="25"/>
        <v>#VALUE!</v>
      </c>
      <c r="CL22" s="9" t="s">
        <v>1268</v>
      </c>
      <c r="CM22" s="18" t="s">
        <v>1284</v>
      </c>
      <c r="CN22" s="54" t="s">
        <v>1284</v>
      </c>
      <c r="CO22" s="18" t="s">
        <v>1284</v>
      </c>
    </row>
    <row r="23" spans="1:93" x14ac:dyDescent="0.25">
      <c r="A23" s="18" t="s">
        <v>345</v>
      </c>
      <c r="B23" s="41">
        <v>38.145539906103451</v>
      </c>
      <c r="C23" s="41" t="s">
        <v>22</v>
      </c>
      <c r="D23" s="41" t="s">
        <v>22</v>
      </c>
      <c r="E23" s="41" t="s">
        <v>22</v>
      </c>
      <c r="F23" s="18" t="s">
        <v>22</v>
      </c>
      <c r="G23" s="18" t="s">
        <v>22</v>
      </c>
      <c r="H23" s="18" t="s">
        <v>22</v>
      </c>
      <c r="I23" s="18" t="s">
        <v>22</v>
      </c>
      <c r="J23" s="41" t="s">
        <v>22</v>
      </c>
      <c r="K23" s="18" t="s">
        <v>22</v>
      </c>
      <c r="L23" s="41" t="s">
        <v>22</v>
      </c>
      <c r="M23" t="s">
        <v>45</v>
      </c>
      <c r="N23" s="41" t="s">
        <v>22</v>
      </c>
      <c r="O23" s="41" t="s">
        <v>22</v>
      </c>
      <c r="P23" s="41" t="s">
        <v>22</v>
      </c>
      <c r="R23" s="41" t="s">
        <v>22</v>
      </c>
      <c r="S23" s="41" t="s">
        <v>22</v>
      </c>
      <c r="T23" s="41" t="s">
        <v>22</v>
      </c>
      <c r="U23" s="41" t="s">
        <v>22</v>
      </c>
      <c r="V23">
        <v>20200518</v>
      </c>
      <c r="W23" s="16" t="s">
        <v>761</v>
      </c>
      <c r="X23">
        <v>1981</v>
      </c>
      <c r="Y23" s="18" t="s">
        <v>22</v>
      </c>
      <c r="Z23" t="s">
        <v>22</v>
      </c>
      <c r="AA23" t="s">
        <v>424</v>
      </c>
      <c r="AB23" s="41" t="s">
        <v>22</v>
      </c>
      <c r="AC23" s="18" t="s">
        <v>22</v>
      </c>
      <c r="AD23" s="41" t="s">
        <v>22</v>
      </c>
      <c r="AE23" s="41" t="s">
        <v>22</v>
      </c>
      <c r="AF23" s="41" t="s">
        <v>22</v>
      </c>
      <c r="AG23" s="41" t="s">
        <v>22</v>
      </c>
      <c r="AH23" s="41">
        <v>0.54461538461538395</v>
      </c>
      <c r="AI23" s="41">
        <v>0.54461538461538395</v>
      </c>
      <c r="AJ23" s="41">
        <v>0.54461538461538395</v>
      </c>
      <c r="AK23" s="41">
        <v>0.77076923076922998</v>
      </c>
      <c r="AL23" s="41">
        <v>2.6215384615384498</v>
      </c>
      <c r="AM23" s="43">
        <f t="shared" si="0"/>
        <v>4.8135593220338828</v>
      </c>
      <c r="AN23" s="43">
        <f t="shared" si="1"/>
        <v>4.8135593220338828</v>
      </c>
      <c r="AO23" s="3" t="s">
        <v>1081</v>
      </c>
      <c r="AT23" s="2">
        <f t="shared" si="2"/>
        <v>13</v>
      </c>
      <c r="AU23" s="45">
        <f t="shared" si="3"/>
        <v>1.5814437662121761</v>
      </c>
      <c r="AV23" s="45" t="e">
        <f t="shared" si="4"/>
        <v>#VALUE!</v>
      </c>
      <c r="AW23" s="45" t="e">
        <f t="shared" si="5"/>
        <v>#VALUE!</v>
      </c>
      <c r="AX23" s="45" t="e">
        <f t="shared" si="6"/>
        <v>#VALUE!</v>
      </c>
      <c r="AY23" s="45" t="e">
        <f t="shared" si="7"/>
        <v>#VALUE!</v>
      </c>
      <c r="AZ23" s="45" t="e">
        <f t="shared" si="8"/>
        <v>#VALUE!</v>
      </c>
      <c r="BA23" s="45" t="e">
        <f t="shared" si="9"/>
        <v>#VALUE!</v>
      </c>
      <c r="BB23" s="45" t="e">
        <f t="shared" si="10"/>
        <v>#VALUE!</v>
      </c>
      <c r="BC23" s="45" t="e">
        <f t="shared" si="11"/>
        <v>#VALUE!</v>
      </c>
      <c r="BD23" s="45" t="e">
        <f t="shared" si="12"/>
        <v>#VALUE!</v>
      </c>
      <c r="BE23" s="45" t="e">
        <f t="shared" si="13"/>
        <v>#VALUE!</v>
      </c>
      <c r="BF23" s="45">
        <f t="shared" si="14"/>
        <v>0.68246632840489208</v>
      </c>
      <c r="BG23" s="45">
        <f t="shared" si="15"/>
        <v>0.68246632840489208</v>
      </c>
      <c r="BH23" s="45" t="e">
        <f t="shared" si="16"/>
        <v>#VALUE!</v>
      </c>
      <c r="BI23" s="43" t="e">
        <f t="shared" si="17"/>
        <v>#VALUE!</v>
      </c>
      <c r="CA23" s="43" t="s">
        <v>22</v>
      </c>
      <c r="CC23" t="s">
        <v>22</v>
      </c>
      <c r="CE23" s="41" t="s">
        <v>22</v>
      </c>
      <c r="CF23" s="41" t="s">
        <v>22</v>
      </c>
      <c r="CG23" s="41" t="s">
        <v>22</v>
      </c>
      <c r="CH23" s="41" t="s">
        <v>22</v>
      </c>
      <c r="CI23" s="41" t="str">
        <f t="shared" ref="CI23:CI38" si="26">IF(ISNUMBER(CG23),CG23,U23)</f>
        <v>Not Reported/ Can not calculate</v>
      </c>
      <c r="CJ23" s="41" t="e">
        <f t="shared" si="25"/>
        <v>#VALUE!</v>
      </c>
      <c r="CL23" s="9" t="s">
        <v>1268</v>
      </c>
      <c r="CM23" s="18" t="s">
        <v>1284</v>
      </c>
      <c r="CN23" s="54" t="s">
        <v>1284</v>
      </c>
      <c r="CO23" s="18" t="s">
        <v>1284</v>
      </c>
    </row>
    <row r="24" spans="1:93" s="18" customFormat="1" x14ac:dyDescent="0.25">
      <c r="A24" s="18" t="s">
        <v>369</v>
      </c>
      <c r="B24" s="41">
        <v>2.2522086409294473</v>
      </c>
      <c r="C24" s="41" t="s">
        <v>22</v>
      </c>
      <c r="D24" s="41" t="s">
        <v>22</v>
      </c>
      <c r="E24" s="41" t="s">
        <v>22</v>
      </c>
      <c r="F24" s="18" t="s">
        <v>22</v>
      </c>
      <c r="G24" s="18" t="s">
        <v>22</v>
      </c>
      <c r="H24" s="18" t="s">
        <v>22</v>
      </c>
      <c r="I24" s="18" t="s">
        <v>22</v>
      </c>
      <c r="J24" s="41" t="s">
        <v>22</v>
      </c>
      <c r="K24" s="18" t="s">
        <v>22</v>
      </c>
      <c r="L24" s="41" t="s">
        <v>22</v>
      </c>
      <c r="M24" s="18" t="s">
        <v>23</v>
      </c>
      <c r="N24" s="41" t="s">
        <v>22</v>
      </c>
      <c r="O24" s="41" t="s">
        <v>22</v>
      </c>
      <c r="P24" s="41" t="s">
        <v>22</v>
      </c>
      <c r="Q24" s="41"/>
      <c r="R24" s="41" t="s">
        <v>22</v>
      </c>
      <c r="S24" s="41" t="s">
        <v>22</v>
      </c>
      <c r="T24" s="41" t="s">
        <v>22</v>
      </c>
      <c r="U24" s="41" t="s">
        <v>22</v>
      </c>
      <c r="V24" s="18">
        <v>20200518</v>
      </c>
      <c r="W24" s="21" t="s">
        <v>762</v>
      </c>
      <c r="X24" s="18">
        <v>1981</v>
      </c>
      <c r="Y24" s="18" t="s">
        <v>22</v>
      </c>
      <c r="Z24" s="18" t="s">
        <v>22</v>
      </c>
      <c r="AB24" s="41" t="s">
        <v>22</v>
      </c>
      <c r="AC24" s="18" t="s">
        <v>22</v>
      </c>
      <c r="AD24" s="41" t="s">
        <v>22</v>
      </c>
      <c r="AE24" s="41" t="s">
        <v>22</v>
      </c>
      <c r="AF24" s="41" t="s">
        <v>22</v>
      </c>
      <c r="AG24" s="41" t="s">
        <v>22</v>
      </c>
      <c r="AH24" s="41">
        <v>2.43954862976892</v>
      </c>
      <c r="AI24" s="41">
        <v>2.43954862976892</v>
      </c>
      <c r="AJ24" s="41">
        <v>4.5513164965072601</v>
      </c>
      <c r="AK24" s="41">
        <v>22.528210639441099</v>
      </c>
      <c r="AL24" s="41">
        <v>44.400859752820999</v>
      </c>
      <c r="AM24" s="43">
        <f t="shared" si="0"/>
        <v>18.200440528634495</v>
      </c>
      <c r="AN24" s="43">
        <f t="shared" si="1"/>
        <v>9.7556080283352742</v>
      </c>
      <c r="AO24" s="19" t="s">
        <v>1081</v>
      </c>
      <c r="AT24" s="2">
        <f t="shared" si="2"/>
        <v>13</v>
      </c>
      <c r="AU24" s="45">
        <f t="shared" si="3"/>
        <v>0.35260862037432328</v>
      </c>
      <c r="AV24" s="45" t="e">
        <f t="shared" si="4"/>
        <v>#VALUE!</v>
      </c>
      <c r="AW24" s="45" t="e">
        <f t="shared" si="5"/>
        <v>#VALUE!</v>
      </c>
      <c r="AX24" s="45" t="e">
        <f t="shared" si="6"/>
        <v>#VALUE!</v>
      </c>
      <c r="AY24" s="45" t="e">
        <f t="shared" si="7"/>
        <v>#VALUE!</v>
      </c>
      <c r="AZ24" s="45" t="e">
        <f t="shared" si="8"/>
        <v>#VALUE!</v>
      </c>
      <c r="BA24" s="45" t="e">
        <f t="shared" si="9"/>
        <v>#VALUE!</v>
      </c>
      <c r="BB24" s="45" t="e">
        <f t="shared" si="10"/>
        <v>#VALUE!</v>
      </c>
      <c r="BC24" s="45" t="e">
        <f t="shared" si="11"/>
        <v>#VALUE!</v>
      </c>
      <c r="BD24" s="45" t="e">
        <f t="shared" si="12"/>
        <v>#VALUE!</v>
      </c>
      <c r="BE24" s="45" t="e">
        <f t="shared" si="13"/>
        <v>#VALUE!</v>
      </c>
      <c r="BF24" s="45">
        <f t="shared" si="14"/>
        <v>1.2600818998993435</v>
      </c>
      <c r="BG24" s="45">
        <f t="shared" si="15"/>
        <v>0.98925434242573618</v>
      </c>
      <c r="BH24" s="45" t="e">
        <f t="shared" si="16"/>
        <v>#VALUE!</v>
      </c>
      <c r="BI24" s="43" t="e">
        <f t="shared" si="17"/>
        <v>#VALUE!</v>
      </c>
      <c r="BL24" s="20"/>
      <c r="BM24" s="41"/>
      <c r="BN24" s="41"/>
      <c r="BO24" s="41"/>
      <c r="BP24" s="41"/>
      <c r="BQ24" s="41"/>
      <c r="BR24" s="41"/>
      <c r="BU24" s="41"/>
      <c r="BV24" s="41"/>
      <c r="BW24" s="41"/>
      <c r="BX24" s="41"/>
      <c r="BY24" s="41"/>
      <c r="BZ24" s="41"/>
      <c r="CA24" s="43" t="s">
        <v>22</v>
      </c>
      <c r="CC24" s="18" t="s">
        <v>22</v>
      </c>
      <c r="CE24" s="41" t="s">
        <v>22</v>
      </c>
      <c r="CF24" s="41" t="s">
        <v>22</v>
      </c>
      <c r="CG24" s="41" t="s">
        <v>22</v>
      </c>
      <c r="CH24" s="41" t="s">
        <v>22</v>
      </c>
      <c r="CI24" s="41" t="str">
        <f t="shared" si="26"/>
        <v>Not Reported/ Can not calculate</v>
      </c>
      <c r="CJ24" s="41" t="e">
        <f t="shared" si="25"/>
        <v>#VALUE!</v>
      </c>
      <c r="CL24" s="9" t="s">
        <v>1268</v>
      </c>
      <c r="CM24" s="18" t="s">
        <v>1284</v>
      </c>
      <c r="CN24" s="54" t="s">
        <v>1284</v>
      </c>
      <c r="CO24" s="18" t="s">
        <v>1284</v>
      </c>
    </row>
    <row r="25" spans="1:93" s="18" customFormat="1" x14ac:dyDescent="0.25">
      <c r="A25" s="18" t="s">
        <v>345</v>
      </c>
      <c r="B25" s="41">
        <v>2.4900000000000002</v>
      </c>
      <c r="C25" s="41"/>
      <c r="D25" s="41"/>
      <c r="E25" s="41">
        <v>3000</v>
      </c>
      <c r="J25" s="41"/>
      <c r="L25" s="41" t="str">
        <f t="shared" ref="L25:L34" si="27">IF((10^-12)*J25*K25^4=0,"",(10^-12)*J25*K25^4)</f>
        <v/>
      </c>
      <c r="M25" s="18" t="s">
        <v>45</v>
      </c>
      <c r="N25" s="41"/>
      <c r="O25" s="41"/>
      <c r="P25" s="41"/>
      <c r="Q25" s="41"/>
      <c r="R25" s="41"/>
      <c r="S25" s="41"/>
      <c r="T25" s="41"/>
      <c r="U25" s="41" t="s">
        <v>22</v>
      </c>
      <c r="V25" s="18">
        <v>20191229</v>
      </c>
      <c r="W25" s="21"/>
      <c r="X25" s="18">
        <v>1981</v>
      </c>
      <c r="AB25" s="41"/>
      <c r="AD25" s="41" t="s">
        <v>22</v>
      </c>
      <c r="AE25" s="41"/>
      <c r="AF25" s="41"/>
      <c r="AG25" s="41"/>
      <c r="AH25" s="41"/>
      <c r="AI25" s="41"/>
      <c r="AJ25" s="41"/>
      <c r="AK25" s="41"/>
      <c r="AL25" s="41"/>
      <c r="AM25" s="43" t="e">
        <f t="shared" si="0"/>
        <v>#DIV/0!</v>
      </c>
      <c r="AN25" s="43" t="e">
        <f t="shared" si="1"/>
        <v>#DIV/0!</v>
      </c>
      <c r="AO25" s="19" t="s">
        <v>1081</v>
      </c>
      <c r="AT25" s="2">
        <f t="shared" si="2"/>
        <v>13</v>
      </c>
      <c r="AU25" s="45">
        <f t="shared" si="3"/>
        <v>0.3961993470957364</v>
      </c>
      <c r="AV25" s="45" t="e">
        <f t="shared" si="4"/>
        <v>#NUM!</v>
      </c>
      <c r="AW25" s="45" t="e">
        <f t="shared" si="5"/>
        <v>#NUM!</v>
      </c>
      <c r="AX25" s="45" t="e">
        <f t="shared" si="6"/>
        <v>#NUM!</v>
      </c>
      <c r="AY25" s="45" t="e">
        <f t="shared" si="7"/>
        <v>#NUM!</v>
      </c>
      <c r="AZ25" s="45" t="e">
        <f t="shared" si="8"/>
        <v>#NUM!</v>
      </c>
      <c r="BA25" s="45" t="e">
        <f t="shared" si="9"/>
        <v>#NUM!</v>
      </c>
      <c r="BB25" s="45" t="e">
        <f t="shared" si="10"/>
        <v>#VALUE!</v>
      </c>
      <c r="BC25" s="45" t="e">
        <f t="shared" si="11"/>
        <v>#VALUE!</v>
      </c>
      <c r="BD25" s="45" t="e">
        <f t="shared" si="12"/>
        <v>#VALUE!</v>
      </c>
      <c r="BE25" s="45" t="e">
        <f t="shared" si="13"/>
        <v>#NUM!</v>
      </c>
      <c r="BF25" s="45" t="e">
        <f t="shared" si="14"/>
        <v>#DIV/0!</v>
      </c>
      <c r="BG25" s="45" t="e">
        <f t="shared" si="15"/>
        <v>#DIV/0!</v>
      </c>
      <c r="BH25" s="45" t="e">
        <f t="shared" si="16"/>
        <v>#NUM!</v>
      </c>
      <c r="BI25" s="43" t="e">
        <f t="shared" si="17"/>
        <v>#NUM!</v>
      </c>
      <c r="BL25" s="20"/>
      <c r="BM25" s="41"/>
      <c r="BN25" s="41"/>
      <c r="BO25" s="41"/>
      <c r="BP25" s="41"/>
      <c r="BQ25" s="41"/>
      <c r="BR25" s="41"/>
      <c r="BU25" s="41"/>
      <c r="BV25" s="41"/>
      <c r="BW25" s="41"/>
      <c r="BX25" s="41"/>
      <c r="BY25" s="41"/>
      <c r="BZ25" s="41"/>
      <c r="CA25" s="43" t="s">
        <v>22</v>
      </c>
      <c r="CC25" s="18" t="s">
        <v>22</v>
      </c>
      <c r="CE25" s="41" t="s">
        <v>22</v>
      </c>
      <c r="CF25" s="41" t="s">
        <v>22</v>
      </c>
      <c r="CG25" s="41" t="e">
        <f t="shared" ref="CG25:CG34" si="28">AD25*1000</f>
        <v>#VALUE!</v>
      </c>
      <c r="CH25" s="41" t="e">
        <f t="shared" ref="CH25:CH34" si="29">LOG10(CG25)</f>
        <v>#VALUE!</v>
      </c>
      <c r="CI25" s="41" t="str">
        <f t="shared" si="26"/>
        <v>Not Reported/ Can not calculate</v>
      </c>
      <c r="CJ25" s="41" t="e">
        <f t="shared" si="25"/>
        <v>#VALUE!</v>
      </c>
      <c r="CL25" s="9" t="s">
        <v>1268</v>
      </c>
      <c r="CM25" s="18" t="s">
        <v>1284</v>
      </c>
      <c r="CN25" s="54" t="s">
        <v>1284</v>
      </c>
      <c r="CO25" s="18" t="s">
        <v>1284</v>
      </c>
    </row>
    <row r="26" spans="1:93" s="18" customFormat="1" x14ac:dyDescent="0.25">
      <c r="A26" s="18" t="s">
        <v>345</v>
      </c>
      <c r="B26" s="41">
        <v>10.863999999999999</v>
      </c>
      <c r="C26" s="41"/>
      <c r="D26" s="41"/>
      <c r="E26" s="41">
        <v>56</v>
      </c>
      <c r="J26" s="41"/>
      <c r="L26" s="41" t="str">
        <f t="shared" si="27"/>
        <v/>
      </c>
      <c r="M26" s="18" t="s">
        <v>45</v>
      </c>
      <c r="N26" s="41"/>
      <c r="O26" s="41"/>
      <c r="P26" s="41"/>
      <c r="Q26" s="41"/>
      <c r="R26" s="41"/>
      <c r="S26" s="41"/>
      <c r="T26" s="41"/>
      <c r="U26" s="41" t="s">
        <v>22</v>
      </c>
      <c r="V26" s="18">
        <v>20191229</v>
      </c>
      <c r="W26" s="21"/>
      <c r="X26" s="18">
        <v>1981</v>
      </c>
      <c r="AB26" s="41"/>
      <c r="AD26" s="41" t="s">
        <v>22</v>
      </c>
      <c r="AE26" s="41"/>
      <c r="AF26" s="41"/>
      <c r="AG26" s="41"/>
      <c r="AH26" s="41"/>
      <c r="AI26" s="41"/>
      <c r="AJ26" s="41"/>
      <c r="AK26" s="41"/>
      <c r="AL26" s="41"/>
      <c r="AM26" s="43" t="e">
        <f t="shared" si="0"/>
        <v>#DIV/0!</v>
      </c>
      <c r="AN26" s="43" t="e">
        <f t="shared" si="1"/>
        <v>#DIV/0!</v>
      </c>
      <c r="AO26" s="19" t="s">
        <v>1081</v>
      </c>
      <c r="AT26" s="2">
        <f t="shared" si="2"/>
        <v>13</v>
      </c>
      <c r="AU26" s="45">
        <f t="shared" si="3"/>
        <v>1.0359897569364265</v>
      </c>
      <c r="AV26" s="45" t="e">
        <f t="shared" si="4"/>
        <v>#NUM!</v>
      </c>
      <c r="AW26" s="45" t="e">
        <f t="shared" si="5"/>
        <v>#NUM!</v>
      </c>
      <c r="AX26" s="45" t="e">
        <f t="shared" si="6"/>
        <v>#NUM!</v>
      </c>
      <c r="AY26" s="45" t="e">
        <f t="shared" si="7"/>
        <v>#NUM!</v>
      </c>
      <c r="AZ26" s="45" t="e">
        <f t="shared" si="8"/>
        <v>#NUM!</v>
      </c>
      <c r="BA26" s="45" t="e">
        <f t="shared" si="9"/>
        <v>#NUM!</v>
      </c>
      <c r="BB26" s="45" t="e">
        <f t="shared" si="10"/>
        <v>#VALUE!</v>
      </c>
      <c r="BC26" s="45" t="e">
        <f t="shared" si="11"/>
        <v>#VALUE!</v>
      </c>
      <c r="BD26" s="45" t="e">
        <f t="shared" si="12"/>
        <v>#VALUE!</v>
      </c>
      <c r="BE26" s="45" t="e">
        <f t="shared" si="13"/>
        <v>#NUM!</v>
      </c>
      <c r="BF26" s="45" t="e">
        <f t="shared" si="14"/>
        <v>#DIV/0!</v>
      </c>
      <c r="BG26" s="45" t="e">
        <f t="shared" si="15"/>
        <v>#DIV/0!</v>
      </c>
      <c r="BH26" s="45" t="e">
        <f t="shared" si="16"/>
        <v>#NUM!</v>
      </c>
      <c r="BI26" s="43" t="e">
        <f t="shared" si="17"/>
        <v>#NUM!</v>
      </c>
      <c r="BL26" s="20"/>
      <c r="BM26" s="41"/>
      <c r="BN26" s="41"/>
      <c r="BO26" s="41"/>
      <c r="BP26" s="41"/>
      <c r="BQ26" s="41"/>
      <c r="BR26" s="41"/>
      <c r="BU26" s="41"/>
      <c r="BV26" s="41"/>
      <c r="BW26" s="41"/>
      <c r="BX26" s="41"/>
      <c r="BY26" s="41"/>
      <c r="BZ26" s="41"/>
      <c r="CA26" s="43" t="s">
        <v>22</v>
      </c>
      <c r="CC26" s="18" t="s">
        <v>22</v>
      </c>
      <c r="CE26" s="41" t="s">
        <v>22</v>
      </c>
      <c r="CF26" s="41" t="s">
        <v>22</v>
      </c>
      <c r="CG26" s="41" t="e">
        <f t="shared" si="28"/>
        <v>#VALUE!</v>
      </c>
      <c r="CH26" s="41" t="e">
        <f t="shared" si="29"/>
        <v>#VALUE!</v>
      </c>
      <c r="CI26" s="41" t="str">
        <f t="shared" si="26"/>
        <v>Not Reported/ Can not calculate</v>
      </c>
      <c r="CJ26" s="41" t="e">
        <f t="shared" si="25"/>
        <v>#VALUE!</v>
      </c>
      <c r="CL26" s="9" t="s">
        <v>1268</v>
      </c>
      <c r="CM26" s="18" t="s">
        <v>1284</v>
      </c>
      <c r="CN26" s="54" t="s">
        <v>1284</v>
      </c>
      <c r="CO26" s="18" t="s">
        <v>1284</v>
      </c>
    </row>
    <row r="27" spans="1:93" s="18" customFormat="1" x14ac:dyDescent="0.25">
      <c r="A27" s="18" t="s">
        <v>345</v>
      </c>
      <c r="B27" s="41">
        <v>16.942</v>
      </c>
      <c r="C27" s="41"/>
      <c r="D27" s="41"/>
      <c r="E27" s="41">
        <v>860</v>
      </c>
      <c r="J27" s="41"/>
      <c r="L27" s="41" t="str">
        <f t="shared" si="27"/>
        <v/>
      </c>
      <c r="M27" s="18" t="s">
        <v>45</v>
      </c>
      <c r="N27" s="41"/>
      <c r="O27" s="41"/>
      <c r="P27" s="41"/>
      <c r="Q27" s="41"/>
      <c r="R27" s="41"/>
      <c r="S27" s="41"/>
      <c r="T27" s="41"/>
      <c r="U27" s="41" t="s">
        <v>22</v>
      </c>
      <c r="V27" s="18">
        <v>20191229</v>
      </c>
      <c r="W27" s="21"/>
      <c r="X27" s="18">
        <v>1981</v>
      </c>
      <c r="AB27" s="41"/>
      <c r="AD27" s="41" t="s">
        <v>22</v>
      </c>
      <c r="AE27" s="41"/>
      <c r="AF27" s="41"/>
      <c r="AG27" s="41"/>
      <c r="AH27" s="41"/>
      <c r="AI27" s="41"/>
      <c r="AJ27" s="41"/>
      <c r="AK27" s="41"/>
      <c r="AL27" s="41"/>
      <c r="AM27" s="43" t="e">
        <f t="shared" si="0"/>
        <v>#DIV/0!</v>
      </c>
      <c r="AN27" s="43" t="e">
        <f t="shared" si="1"/>
        <v>#DIV/0!</v>
      </c>
      <c r="AO27" s="19" t="s">
        <v>1081</v>
      </c>
      <c r="AT27" s="2">
        <f t="shared" si="2"/>
        <v>13</v>
      </c>
      <c r="AU27" s="45">
        <f t="shared" si="3"/>
        <v>1.2289646774051606</v>
      </c>
      <c r="AV27" s="45" t="e">
        <f t="shared" si="4"/>
        <v>#NUM!</v>
      </c>
      <c r="AW27" s="45" t="e">
        <f t="shared" si="5"/>
        <v>#NUM!</v>
      </c>
      <c r="AX27" s="45" t="e">
        <f t="shared" si="6"/>
        <v>#NUM!</v>
      </c>
      <c r="AY27" s="45" t="e">
        <f t="shared" si="7"/>
        <v>#NUM!</v>
      </c>
      <c r="AZ27" s="45" t="e">
        <f t="shared" si="8"/>
        <v>#NUM!</v>
      </c>
      <c r="BA27" s="45" t="e">
        <f t="shared" si="9"/>
        <v>#NUM!</v>
      </c>
      <c r="BB27" s="45" t="e">
        <f t="shared" si="10"/>
        <v>#VALUE!</v>
      </c>
      <c r="BC27" s="45" t="e">
        <f t="shared" si="11"/>
        <v>#VALUE!</v>
      </c>
      <c r="BD27" s="45" t="e">
        <f t="shared" si="12"/>
        <v>#VALUE!</v>
      </c>
      <c r="BE27" s="45" t="e">
        <f t="shared" si="13"/>
        <v>#NUM!</v>
      </c>
      <c r="BF27" s="45" t="e">
        <f t="shared" si="14"/>
        <v>#DIV/0!</v>
      </c>
      <c r="BG27" s="45" t="e">
        <f t="shared" si="15"/>
        <v>#DIV/0!</v>
      </c>
      <c r="BH27" s="45" t="e">
        <f t="shared" si="16"/>
        <v>#NUM!</v>
      </c>
      <c r="BI27" s="43" t="e">
        <f t="shared" si="17"/>
        <v>#NUM!</v>
      </c>
      <c r="BL27" s="20"/>
      <c r="BM27" s="41"/>
      <c r="BN27" s="41"/>
      <c r="BO27" s="41"/>
      <c r="BP27" s="41"/>
      <c r="BQ27" s="41"/>
      <c r="BR27" s="41"/>
      <c r="BU27" s="41"/>
      <c r="BV27" s="41"/>
      <c r="BW27" s="41"/>
      <c r="BX27" s="41"/>
      <c r="BY27" s="41"/>
      <c r="BZ27" s="41"/>
      <c r="CA27" s="43" t="s">
        <v>22</v>
      </c>
      <c r="CC27" s="18" t="s">
        <v>22</v>
      </c>
      <c r="CE27" s="41" t="s">
        <v>22</v>
      </c>
      <c r="CF27" s="41" t="s">
        <v>22</v>
      </c>
      <c r="CG27" s="41" t="e">
        <f t="shared" si="28"/>
        <v>#VALUE!</v>
      </c>
      <c r="CH27" s="41" t="e">
        <f t="shared" si="29"/>
        <v>#VALUE!</v>
      </c>
      <c r="CI27" s="41" t="str">
        <f t="shared" si="26"/>
        <v>Not Reported/ Can not calculate</v>
      </c>
      <c r="CJ27" s="41" t="e">
        <f t="shared" si="25"/>
        <v>#VALUE!</v>
      </c>
      <c r="CL27" s="9" t="s">
        <v>1268</v>
      </c>
      <c r="CM27" s="18" t="s">
        <v>1284</v>
      </c>
      <c r="CN27" s="54" t="s">
        <v>1284</v>
      </c>
      <c r="CO27" s="18" t="s">
        <v>1284</v>
      </c>
    </row>
    <row r="28" spans="1:93" x14ac:dyDescent="0.25">
      <c r="A28" t="s">
        <v>345</v>
      </c>
      <c r="B28" s="41">
        <v>25.2</v>
      </c>
      <c r="E28" s="41">
        <v>14</v>
      </c>
      <c r="F28" s="18"/>
      <c r="G28" s="18"/>
      <c r="H28" s="18"/>
      <c r="I28" s="18"/>
      <c r="K28" s="18"/>
      <c r="L28" s="41" t="str">
        <f t="shared" si="27"/>
        <v/>
      </c>
      <c r="M28" t="s">
        <v>45</v>
      </c>
      <c r="U28" s="41" t="s">
        <v>22</v>
      </c>
      <c r="V28">
        <v>20191229</v>
      </c>
      <c r="X28">
        <v>1981</v>
      </c>
      <c r="Y28" s="18"/>
      <c r="Z28" s="18"/>
      <c r="AA28" s="18"/>
      <c r="AC28" s="18"/>
      <c r="AD28" s="41" t="s">
        <v>22</v>
      </c>
      <c r="AM28" s="43" t="e">
        <f t="shared" si="0"/>
        <v>#DIV/0!</v>
      </c>
      <c r="AN28" s="43" t="e">
        <f t="shared" si="1"/>
        <v>#DIV/0!</v>
      </c>
      <c r="AO28" s="3" t="s">
        <v>1081</v>
      </c>
      <c r="AT28" s="2">
        <f t="shared" si="2"/>
        <v>13</v>
      </c>
      <c r="AU28" s="45">
        <f t="shared" si="3"/>
        <v>1.4014005407815442</v>
      </c>
      <c r="AV28" s="45" t="e">
        <f t="shared" si="4"/>
        <v>#NUM!</v>
      </c>
      <c r="AW28" s="45" t="e">
        <f t="shared" si="5"/>
        <v>#NUM!</v>
      </c>
      <c r="AX28" s="45" t="e">
        <f t="shared" si="6"/>
        <v>#NUM!</v>
      </c>
      <c r="AY28" s="45" t="e">
        <f t="shared" si="7"/>
        <v>#NUM!</v>
      </c>
      <c r="AZ28" s="45" t="e">
        <f t="shared" si="8"/>
        <v>#NUM!</v>
      </c>
      <c r="BA28" s="45" t="e">
        <f t="shared" si="9"/>
        <v>#NUM!</v>
      </c>
      <c r="BB28" s="45" t="e">
        <f t="shared" si="10"/>
        <v>#VALUE!</v>
      </c>
      <c r="BC28" s="45" t="e">
        <f t="shared" si="11"/>
        <v>#VALUE!</v>
      </c>
      <c r="BD28" s="45" t="e">
        <f t="shared" si="12"/>
        <v>#VALUE!</v>
      </c>
      <c r="BE28" s="45" t="e">
        <f t="shared" si="13"/>
        <v>#NUM!</v>
      </c>
      <c r="BF28" s="45" t="e">
        <f t="shared" si="14"/>
        <v>#DIV/0!</v>
      </c>
      <c r="BG28" s="45" t="e">
        <f t="shared" si="15"/>
        <v>#DIV/0!</v>
      </c>
      <c r="BH28" s="45" t="e">
        <f t="shared" si="16"/>
        <v>#NUM!</v>
      </c>
      <c r="BI28" s="43" t="e">
        <f t="shared" si="17"/>
        <v>#NUM!</v>
      </c>
      <c r="CA28" s="43" t="s">
        <v>22</v>
      </c>
      <c r="CC28" t="s">
        <v>22</v>
      </c>
      <c r="CE28" s="41" t="s">
        <v>22</v>
      </c>
      <c r="CF28" s="41" t="s">
        <v>22</v>
      </c>
      <c r="CG28" s="41" t="e">
        <f t="shared" si="28"/>
        <v>#VALUE!</v>
      </c>
      <c r="CH28" s="41" t="e">
        <f t="shared" si="29"/>
        <v>#VALUE!</v>
      </c>
      <c r="CI28" s="41" t="str">
        <f t="shared" si="26"/>
        <v>Not Reported/ Can not calculate</v>
      </c>
      <c r="CJ28" s="41" t="e">
        <f t="shared" si="25"/>
        <v>#VALUE!</v>
      </c>
      <c r="CL28" s="9" t="s">
        <v>1268</v>
      </c>
      <c r="CM28" s="18" t="s">
        <v>1284</v>
      </c>
      <c r="CN28" s="54" t="s">
        <v>1284</v>
      </c>
      <c r="CO28" s="18" t="s">
        <v>1284</v>
      </c>
    </row>
    <row r="29" spans="1:93" x14ac:dyDescent="0.25">
      <c r="A29" s="18" t="s">
        <v>345</v>
      </c>
      <c r="B29" s="41">
        <v>15.86</v>
      </c>
      <c r="E29" s="41">
        <v>26000</v>
      </c>
      <c r="F29" s="18"/>
      <c r="G29" s="18"/>
      <c r="H29" s="18"/>
      <c r="I29" s="18"/>
      <c r="K29" s="18"/>
      <c r="L29" s="41" t="str">
        <f t="shared" si="27"/>
        <v/>
      </c>
      <c r="M29" t="s">
        <v>45</v>
      </c>
      <c r="U29" s="41" t="s">
        <v>22</v>
      </c>
      <c r="V29">
        <v>20191229</v>
      </c>
      <c r="X29">
        <v>1981</v>
      </c>
      <c r="Y29" s="18"/>
      <c r="Z29" s="18"/>
      <c r="AA29" s="18"/>
      <c r="AC29" s="18"/>
      <c r="AD29" s="41" t="s">
        <v>22</v>
      </c>
      <c r="AM29" s="43" t="e">
        <f t="shared" si="0"/>
        <v>#DIV/0!</v>
      </c>
      <c r="AN29" s="43" t="e">
        <f t="shared" si="1"/>
        <v>#DIV/0!</v>
      </c>
      <c r="AO29" s="3" t="s">
        <v>1081</v>
      </c>
      <c r="AT29" s="2">
        <f t="shared" si="2"/>
        <v>13</v>
      </c>
      <c r="AU29" s="45">
        <f t="shared" si="3"/>
        <v>1.2003031829815849</v>
      </c>
      <c r="AV29" s="45" t="e">
        <f t="shared" si="4"/>
        <v>#NUM!</v>
      </c>
      <c r="AW29" s="45" t="e">
        <f t="shared" si="5"/>
        <v>#NUM!</v>
      </c>
      <c r="AX29" s="45" t="e">
        <f t="shared" si="6"/>
        <v>#NUM!</v>
      </c>
      <c r="AY29" s="45" t="e">
        <f t="shared" si="7"/>
        <v>#NUM!</v>
      </c>
      <c r="AZ29" s="45" t="e">
        <f t="shared" si="8"/>
        <v>#NUM!</v>
      </c>
      <c r="BA29" s="45" t="e">
        <f t="shared" si="9"/>
        <v>#NUM!</v>
      </c>
      <c r="BB29" s="45" t="e">
        <f t="shared" si="10"/>
        <v>#VALUE!</v>
      </c>
      <c r="BC29" s="45" t="e">
        <f t="shared" si="11"/>
        <v>#VALUE!</v>
      </c>
      <c r="BD29" s="45" t="e">
        <f t="shared" si="12"/>
        <v>#VALUE!</v>
      </c>
      <c r="BE29" s="45" t="e">
        <f t="shared" si="13"/>
        <v>#NUM!</v>
      </c>
      <c r="BF29" s="45" t="e">
        <f t="shared" si="14"/>
        <v>#DIV/0!</v>
      </c>
      <c r="BG29" s="45" t="e">
        <f t="shared" si="15"/>
        <v>#DIV/0!</v>
      </c>
      <c r="BH29" s="45" t="e">
        <f t="shared" si="16"/>
        <v>#NUM!</v>
      </c>
      <c r="BI29" s="43" t="e">
        <f t="shared" si="17"/>
        <v>#NUM!</v>
      </c>
      <c r="CA29" s="43" t="s">
        <v>22</v>
      </c>
      <c r="CC29" t="s">
        <v>22</v>
      </c>
      <c r="CE29" s="41" t="s">
        <v>22</v>
      </c>
      <c r="CF29" s="41" t="s">
        <v>22</v>
      </c>
      <c r="CG29" s="41" t="e">
        <f t="shared" si="28"/>
        <v>#VALUE!</v>
      </c>
      <c r="CH29" s="41" t="e">
        <f t="shared" si="29"/>
        <v>#VALUE!</v>
      </c>
      <c r="CI29" s="41" t="str">
        <f t="shared" si="26"/>
        <v>Not Reported/ Can not calculate</v>
      </c>
      <c r="CJ29" s="41" t="e">
        <f t="shared" si="25"/>
        <v>#VALUE!</v>
      </c>
      <c r="CL29" s="9" t="s">
        <v>1268</v>
      </c>
      <c r="CM29" s="18" t="s">
        <v>1284</v>
      </c>
      <c r="CN29" s="54" t="s">
        <v>1284</v>
      </c>
      <c r="CO29" s="18" t="s">
        <v>1284</v>
      </c>
    </row>
    <row r="30" spans="1:93" x14ac:dyDescent="0.25">
      <c r="A30" s="18" t="s">
        <v>345</v>
      </c>
      <c r="B30" s="41">
        <v>22.4</v>
      </c>
      <c r="E30" s="41">
        <v>140000</v>
      </c>
      <c r="F30" s="18"/>
      <c r="G30" s="18"/>
      <c r="H30" s="18"/>
      <c r="I30" s="18"/>
      <c r="K30" s="18"/>
      <c r="L30" s="41" t="str">
        <f t="shared" si="27"/>
        <v/>
      </c>
      <c r="M30" t="s">
        <v>45</v>
      </c>
      <c r="U30" s="41" t="s">
        <v>22</v>
      </c>
      <c r="V30">
        <v>20191229</v>
      </c>
      <c r="X30">
        <v>1981</v>
      </c>
      <c r="Y30" s="18"/>
      <c r="Z30" s="18"/>
      <c r="AA30" s="18"/>
      <c r="AC30" s="18"/>
      <c r="AD30" s="41" t="s">
        <v>22</v>
      </c>
      <c r="AM30" s="43" t="e">
        <f t="shared" si="0"/>
        <v>#DIV/0!</v>
      </c>
      <c r="AN30" s="43" t="e">
        <f t="shared" si="1"/>
        <v>#DIV/0!</v>
      </c>
      <c r="AO30" s="3" t="s">
        <v>1081</v>
      </c>
      <c r="AT30" s="2">
        <f t="shared" si="2"/>
        <v>13</v>
      </c>
      <c r="AU30" s="45">
        <f t="shared" si="3"/>
        <v>1.3502480183341627</v>
      </c>
      <c r="AV30" s="45" t="e">
        <f t="shared" si="4"/>
        <v>#NUM!</v>
      </c>
      <c r="AW30" s="45" t="e">
        <f t="shared" si="5"/>
        <v>#NUM!</v>
      </c>
      <c r="AX30" s="45" t="e">
        <f t="shared" si="6"/>
        <v>#NUM!</v>
      </c>
      <c r="AY30" s="45" t="e">
        <f t="shared" si="7"/>
        <v>#NUM!</v>
      </c>
      <c r="AZ30" s="45" t="e">
        <f t="shared" si="8"/>
        <v>#NUM!</v>
      </c>
      <c r="BA30" s="45" t="e">
        <f t="shared" si="9"/>
        <v>#NUM!</v>
      </c>
      <c r="BB30" s="45" t="e">
        <f t="shared" si="10"/>
        <v>#VALUE!</v>
      </c>
      <c r="BC30" s="45" t="e">
        <f t="shared" si="11"/>
        <v>#VALUE!</v>
      </c>
      <c r="BD30" s="45" t="e">
        <f t="shared" si="12"/>
        <v>#VALUE!</v>
      </c>
      <c r="BE30" s="45" t="e">
        <f t="shared" si="13"/>
        <v>#NUM!</v>
      </c>
      <c r="BF30" s="45" t="e">
        <f t="shared" si="14"/>
        <v>#DIV/0!</v>
      </c>
      <c r="BG30" s="45" t="e">
        <f t="shared" si="15"/>
        <v>#DIV/0!</v>
      </c>
      <c r="BH30" s="45" t="e">
        <f t="shared" si="16"/>
        <v>#NUM!</v>
      </c>
      <c r="BI30" s="43" t="e">
        <f t="shared" si="17"/>
        <v>#NUM!</v>
      </c>
      <c r="CA30" s="43" t="s">
        <v>22</v>
      </c>
      <c r="CC30" t="s">
        <v>22</v>
      </c>
      <c r="CE30" s="41" t="s">
        <v>22</v>
      </c>
      <c r="CF30" s="41" t="s">
        <v>22</v>
      </c>
      <c r="CG30" s="41" t="e">
        <f t="shared" si="28"/>
        <v>#VALUE!</v>
      </c>
      <c r="CH30" s="41" t="e">
        <f t="shared" si="29"/>
        <v>#VALUE!</v>
      </c>
      <c r="CI30" s="41" t="str">
        <f t="shared" si="26"/>
        <v>Not Reported/ Can not calculate</v>
      </c>
      <c r="CJ30" s="41" t="e">
        <f t="shared" si="25"/>
        <v>#VALUE!</v>
      </c>
      <c r="CL30" s="9" t="s">
        <v>1268</v>
      </c>
      <c r="CM30" s="18" t="s">
        <v>1284</v>
      </c>
      <c r="CN30" s="54" t="s">
        <v>1284</v>
      </c>
      <c r="CO30" s="18" t="s">
        <v>1284</v>
      </c>
    </row>
    <row r="31" spans="1:93" x14ac:dyDescent="0.25">
      <c r="A31" t="s">
        <v>345</v>
      </c>
      <c r="B31" s="41">
        <v>30.599999999999998</v>
      </c>
      <c r="E31" s="41">
        <v>170000</v>
      </c>
      <c r="L31" s="41" t="str">
        <f t="shared" si="27"/>
        <v/>
      </c>
      <c r="M31" t="s">
        <v>45</v>
      </c>
      <c r="U31" s="41" t="s">
        <v>22</v>
      </c>
      <c r="V31">
        <v>20191229</v>
      </c>
      <c r="X31">
        <v>1981</v>
      </c>
      <c r="AD31" s="41" t="s">
        <v>22</v>
      </c>
      <c r="AM31" s="43" t="e">
        <f t="shared" si="0"/>
        <v>#DIV/0!</v>
      </c>
      <c r="AN31" s="43" t="e">
        <f t="shared" si="1"/>
        <v>#DIV/0!</v>
      </c>
      <c r="AO31" s="3" t="s">
        <v>1081</v>
      </c>
      <c r="AT31" s="2">
        <f t="shared" si="2"/>
        <v>13</v>
      </c>
      <c r="AU31" s="45">
        <f t="shared" si="3"/>
        <v>1.4857214264815799</v>
      </c>
      <c r="AV31" s="45" t="e">
        <f t="shared" si="4"/>
        <v>#NUM!</v>
      </c>
      <c r="AW31" s="45" t="e">
        <f t="shared" si="5"/>
        <v>#NUM!</v>
      </c>
      <c r="AX31" s="45" t="e">
        <f t="shared" si="6"/>
        <v>#NUM!</v>
      </c>
      <c r="AY31" s="45" t="e">
        <f t="shared" si="7"/>
        <v>#NUM!</v>
      </c>
      <c r="AZ31" s="45" t="e">
        <f t="shared" si="8"/>
        <v>#NUM!</v>
      </c>
      <c r="BA31" s="45" t="e">
        <f t="shared" si="9"/>
        <v>#NUM!</v>
      </c>
      <c r="BB31" s="45" t="e">
        <f t="shared" si="10"/>
        <v>#VALUE!</v>
      </c>
      <c r="BC31" s="45" t="e">
        <f t="shared" si="11"/>
        <v>#VALUE!</v>
      </c>
      <c r="BD31" s="45" t="e">
        <f t="shared" si="12"/>
        <v>#VALUE!</v>
      </c>
      <c r="BE31" s="45" t="e">
        <f t="shared" si="13"/>
        <v>#NUM!</v>
      </c>
      <c r="BF31" s="45" t="e">
        <f t="shared" si="14"/>
        <v>#DIV/0!</v>
      </c>
      <c r="BG31" s="45" t="e">
        <f t="shared" si="15"/>
        <v>#DIV/0!</v>
      </c>
      <c r="BH31" s="45" t="e">
        <f t="shared" si="16"/>
        <v>#NUM!</v>
      </c>
      <c r="BI31" s="43" t="e">
        <f t="shared" si="17"/>
        <v>#NUM!</v>
      </c>
      <c r="CA31" s="43" t="s">
        <v>22</v>
      </c>
      <c r="CC31" t="s">
        <v>22</v>
      </c>
      <c r="CE31" s="41" t="s">
        <v>22</v>
      </c>
      <c r="CF31" s="41" t="s">
        <v>22</v>
      </c>
      <c r="CG31" s="41" t="e">
        <f t="shared" si="28"/>
        <v>#VALUE!</v>
      </c>
      <c r="CH31" s="41" t="e">
        <f t="shared" si="29"/>
        <v>#VALUE!</v>
      </c>
      <c r="CI31" s="41" t="str">
        <f t="shared" si="26"/>
        <v>Not Reported/ Can not calculate</v>
      </c>
      <c r="CJ31" s="41" t="e">
        <f t="shared" si="25"/>
        <v>#VALUE!</v>
      </c>
      <c r="CL31" s="9" t="s">
        <v>1268</v>
      </c>
      <c r="CM31" s="18" t="s">
        <v>1284</v>
      </c>
      <c r="CN31" s="54" t="s">
        <v>1284</v>
      </c>
      <c r="CO31" s="18" t="s">
        <v>1284</v>
      </c>
    </row>
    <row r="32" spans="1:93" x14ac:dyDescent="0.25">
      <c r="A32" t="s">
        <v>345</v>
      </c>
      <c r="B32" s="41">
        <v>16.2</v>
      </c>
      <c r="E32" s="41">
        <v>180000</v>
      </c>
      <c r="L32" s="41" t="str">
        <f t="shared" si="27"/>
        <v/>
      </c>
      <c r="M32" t="s">
        <v>45</v>
      </c>
      <c r="U32" s="41" t="s">
        <v>22</v>
      </c>
      <c r="V32">
        <v>20191229</v>
      </c>
      <c r="X32">
        <v>1981</v>
      </c>
      <c r="AD32" s="41" t="s">
        <v>22</v>
      </c>
      <c r="AM32" s="43" t="e">
        <f t="shared" si="0"/>
        <v>#DIV/0!</v>
      </c>
      <c r="AN32" s="43" t="e">
        <f t="shared" si="1"/>
        <v>#DIV/0!</v>
      </c>
      <c r="AO32" s="3" t="s">
        <v>1081</v>
      </c>
      <c r="AT32" s="2">
        <f t="shared" si="2"/>
        <v>13</v>
      </c>
      <c r="AU32" s="45">
        <f t="shared" si="3"/>
        <v>1.209515014542631</v>
      </c>
      <c r="AV32" s="45" t="e">
        <f t="shared" si="4"/>
        <v>#NUM!</v>
      </c>
      <c r="AW32" s="45" t="e">
        <f t="shared" si="5"/>
        <v>#NUM!</v>
      </c>
      <c r="AX32" s="45" t="e">
        <f t="shared" si="6"/>
        <v>#NUM!</v>
      </c>
      <c r="AY32" s="45" t="e">
        <f t="shared" si="7"/>
        <v>#NUM!</v>
      </c>
      <c r="AZ32" s="45" t="e">
        <f t="shared" si="8"/>
        <v>#NUM!</v>
      </c>
      <c r="BA32" s="45" t="e">
        <f t="shared" si="9"/>
        <v>#NUM!</v>
      </c>
      <c r="BB32" s="45" t="e">
        <f t="shared" si="10"/>
        <v>#VALUE!</v>
      </c>
      <c r="BC32" s="45" t="e">
        <f t="shared" si="11"/>
        <v>#VALUE!</v>
      </c>
      <c r="BD32" s="45" t="e">
        <f t="shared" si="12"/>
        <v>#VALUE!</v>
      </c>
      <c r="BE32" s="45" t="e">
        <f t="shared" si="13"/>
        <v>#NUM!</v>
      </c>
      <c r="BF32" s="45" t="e">
        <f t="shared" si="14"/>
        <v>#DIV/0!</v>
      </c>
      <c r="BG32" s="45" t="e">
        <f t="shared" si="15"/>
        <v>#DIV/0!</v>
      </c>
      <c r="BH32" s="45" t="e">
        <f t="shared" si="16"/>
        <v>#NUM!</v>
      </c>
      <c r="BI32" s="43" t="e">
        <f t="shared" si="17"/>
        <v>#NUM!</v>
      </c>
      <c r="CA32" s="43" t="s">
        <v>22</v>
      </c>
      <c r="CC32" t="s">
        <v>22</v>
      </c>
      <c r="CE32" s="41" t="s">
        <v>22</v>
      </c>
      <c r="CF32" s="41" t="s">
        <v>22</v>
      </c>
      <c r="CG32" s="41" t="e">
        <f t="shared" si="28"/>
        <v>#VALUE!</v>
      </c>
      <c r="CH32" s="41" t="e">
        <f t="shared" si="29"/>
        <v>#VALUE!</v>
      </c>
      <c r="CI32" s="41" t="str">
        <f t="shared" si="26"/>
        <v>Not Reported/ Can not calculate</v>
      </c>
      <c r="CJ32" s="41" t="e">
        <f t="shared" si="25"/>
        <v>#VALUE!</v>
      </c>
      <c r="CL32" s="9" t="s">
        <v>1268</v>
      </c>
      <c r="CM32" s="18" t="s">
        <v>1284</v>
      </c>
      <c r="CN32" s="54" t="s">
        <v>1284</v>
      </c>
      <c r="CO32" s="18" t="s">
        <v>1284</v>
      </c>
    </row>
    <row r="33" spans="1:93" x14ac:dyDescent="0.25">
      <c r="A33" t="s">
        <v>345</v>
      </c>
      <c r="B33" s="41">
        <v>64.8</v>
      </c>
      <c r="E33" s="41">
        <v>2700000</v>
      </c>
      <c r="L33" s="41" t="str">
        <f t="shared" si="27"/>
        <v/>
      </c>
      <c r="M33" t="s">
        <v>45</v>
      </c>
      <c r="U33" s="41" t="s">
        <v>22</v>
      </c>
      <c r="V33">
        <v>20191229</v>
      </c>
      <c r="X33">
        <v>1981</v>
      </c>
      <c r="AD33" s="41" t="s">
        <v>22</v>
      </c>
      <c r="AM33" s="43" t="e">
        <f t="shared" si="0"/>
        <v>#DIV/0!</v>
      </c>
      <c r="AN33" s="43" t="e">
        <f t="shared" si="1"/>
        <v>#DIV/0!</v>
      </c>
      <c r="AO33" s="3" t="s">
        <v>1081</v>
      </c>
      <c r="AT33" s="2">
        <f t="shared" si="2"/>
        <v>13</v>
      </c>
      <c r="AU33" s="45">
        <f t="shared" si="3"/>
        <v>1.8115750058705933</v>
      </c>
      <c r="AV33" s="45" t="e">
        <f t="shared" si="4"/>
        <v>#NUM!</v>
      </c>
      <c r="AW33" s="45" t="e">
        <f t="shared" si="5"/>
        <v>#NUM!</v>
      </c>
      <c r="AX33" s="45" t="e">
        <f t="shared" si="6"/>
        <v>#NUM!</v>
      </c>
      <c r="AY33" s="45" t="e">
        <f t="shared" si="7"/>
        <v>#NUM!</v>
      </c>
      <c r="AZ33" s="45" t="e">
        <f t="shared" si="8"/>
        <v>#NUM!</v>
      </c>
      <c r="BA33" s="45" t="e">
        <f t="shared" si="9"/>
        <v>#NUM!</v>
      </c>
      <c r="BB33" s="45" t="e">
        <f t="shared" si="10"/>
        <v>#VALUE!</v>
      </c>
      <c r="BC33" s="45" t="e">
        <f t="shared" si="11"/>
        <v>#VALUE!</v>
      </c>
      <c r="BD33" s="45" t="e">
        <f t="shared" si="12"/>
        <v>#VALUE!</v>
      </c>
      <c r="BE33" s="45" t="e">
        <f t="shared" si="13"/>
        <v>#NUM!</v>
      </c>
      <c r="BF33" s="45" t="e">
        <f t="shared" si="14"/>
        <v>#DIV/0!</v>
      </c>
      <c r="BG33" s="45" t="e">
        <f t="shared" si="15"/>
        <v>#DIV/0!</v>
      </c>
      <c r="BH33" s="45" t="e">
        <f t="shared" si="16"/>
        <v>#NUM!</v>
      </c>
      <c r="BI33" s="43" t="e">
        <f t="shared" si="17"/>
        <v>#NUM!</v>
      </c>
      <c r="CA33" s="43" t="s">
        <v>22</v>
      </c>
      <c r="CC33" t="s">
        <v>22</v>
      </c>
      <c r="CE33" s="41" t="s">
        <v>22</v>
      </c>
      <c r="CF33" s="41" t="s">
        <v>22</v>
      </c>
      <c r="CG33" s="41" t="e">
        <f t="shared" si="28"/>
        <v>#VALUE!</v>
      </c>
      <c r="CH33" s="41" t="e">
        <f t="shared" si="29"/>
        <v>#VALUE!</v>
      </c>
      <c r="CI33" s="41" t="str">
        <f t="shared" si="26"/>
        <v>Not Reported/ Can not calculate</v>
      </c>
      <c r="CJ33" s="41" t="e">
        <f t="shared" si="25"/>
        <v>#VALUE!</v>
      </c>
      <c r="CL33" s="9" t="s">
        <v>1268</v>
      </c>
      <c r="CM33" s="18" t="s">
        <v>1284</v>
      </c>
      <c r="CN33" s="54" t="s">
        <v>1284</v>
      </c>
      <c r="CO33" s="18" t="s">
        <v>1284</v>
      </c>
    </row>
    <row r="34" spans="1:93" x14ac:dyDescent="0.25">
      <c r="A34" s="18" t="s">
        <v>345</v>
      </c>
      <c r="B34" s="41">
        <v>11</v>
      </c>
      <c r="E34" s="41">
        <v>11000</v>
      </c>
      <c r="L34" s="41" t="str">
        <f t="shared" si="27"/>
        <v/>
      </c>
      <c r="M34" t="s">
        <v>45</v>
      </c>
      <c r="U34" s="41" t="s">
        <v>22</v>
      </c>
      <c r="V34">
        <v>20191229</v>
      </c>
      <c r="X34">
        <v>1981</v>
      </c>
      <c r="AD34" s="41" t="s">
        <v>22</v>
      </c>
      <c r="AM34" s="43" t="e">
        <f t="shared" si="0"/>
        <v>#DIV/0!</v>
      </c>
      <c r="AN34" s="43" t="e">
        <f t="shared" si="1"/>
        <v>#DIV/0!</v>
      </c>
      <c r="AO34" s="3" t="s">
        <v>1081</v>
      </c>
      <c r="AT34" s="2">
        <f t="shared" si="2"/>
        <v>13</v>
      </c>
      <c r="AU34" s="45">
        <f t="shared" si="3"/>
        <v>1.0413926851582251</v>
      </c>
      <c r="AV34" s="45" t="e">
        <f t="shared" si="4"/>
        <v>#NUM!</v>
      </c>
      <c r="AW34" s="45" t="e">
        <f t="shared" si="5"/>
        <v>#NUM!</v>
      </c>
      <c r="AX34" s="45" t="e">
        <f t="shared" si="6"/>
        <v>#NUM!</v>
      </c>
      <c r="AY34" s="45" t="e">
        <f t="shared" si="7"/>
        <v>#NUM!</v>
      </c>
      <c r="AZ34" s="45" t="e">
        <f t="shared" si="8"/>
        <v>#NUM!</v>
      </c>
      <c r="BA34" s="45" t="e">
        <f t="shared" si="9"/>
        <v>#NUM!</v>
      </c>
      <c r="BB34" s="45" t="e">
        <f t="shared" si="10"/>
        <v>#VALUE!</v>
      </c>
      <c r="BC34" s="45" t="e">
        <f t="shared" si="11"/>
        <v>#VALUE!</v>
      </c>
      <c r="BD34" s="45" t="e">
        <f t="shared" si="12"/>
        <v>#VALUE!</v>
      </c>
      <c r="BE34" s="45" t="e">
        <f t="shared" si="13"/>
        <v>#NUM!</v>
      </c>
      <c r="BF34" s="45" t="e">
        <f t="shared" si="14"/>
        <v>#DIV/0!</v>
      </c>
      <c r="BG34" s="45" t="e">
        <f t="shared" si="15"/>
        <v>#DIV/0!</v>
      </c>
      <c r="BH34" s="45" t="e">
        <f t="shared" si="16"/>
        <v>#NUM!</v>
      </c>
      <c r="BI34" s="43" t="e">
        <f t="shared" si="17"/>
        <v>#NUM!</v>
      </c>
      <c r="CA34" s="43" t="s">
        <v>22</v>
      </c>
      <c r="CC34" t="s">
        <v>22</v>
      </c>
      <c r="CE34" s="41" t="s">
        <v>22</v>
      </c>
      <c r="CF34" s="41" t="s">
        <v>22</v>
      </c>
      <c r="CG34" s="41" t="e">
        <f t="shared" si="28"/>
        <v>#VALUE!</v>
      </c>
      <c r="CH34" s="41" t="e">
        <f t="shared" si="29"/>
        <v>#VALUE!</v>
      </c>
      <c r="CI34" s="41" t="str">
        <f t="shared" si="26"/>
        <v>Not Reported/ Can not calculate</v>
      </c>
      <c r="CJ34" s="41" t="e">
        <f t="shared" si="25"/>
        <v>#VALUE!</v>
      </c>
      <c r="CL34" s="9" t="s">
        <v>1268</v>
      </c>
      <c r="CM34" s="18" t="s">
        <v>1284</v>
      </c>
      <c r="CN34" s="54" t="s">
        <v>1284</v>
      </c>
      <c r="CO34" s="18" t="s">
        <v>1284</v>
      </c>
    </row>
    <row r="35" spans="1:93" s="9" customFormat="1" x14ac:dyDescent="0.25">
      <c r="A35" s="9" t="s">
        <v>345</v>
      </c>
      <c r="B35" s="50">
        <f>((3*10^-8)^-1)*10^-6</f>
        <v>33.333333333333329</v>
      </c>
      <c r="C35" s="50" t="s">
        <v>22</v>
      </c>
      <c r="D35" s="50" t="s">
        <v>22</v>
      </c>
      <c r="E35" s="50" t="s">
        <v>22</v>
      </c>
      <c r="F35" s="9" t="s">
        <v>22</v>
      </c>
      <c r="G35" s="9" t="s">
        <v>22</v>
      </c>
      <c r="H35" s="9" t="s">
        <v>22</v>
      </c>
      <c r="I35" s="9" t="s">
        <v>22</v>
      </c>
      <c r="J35" s="50" t="s">
        <v>22</v>
      </c>
      <c r="K35" s="9" t="s">
        <v>22</v>
      </c>
      <c r="L35" s="50"/>
      <c r="M35" s="9" t="s">
        <v>45</v>
      </c>
      <c r="N35" s="50" t="s">
        <v>22</v>
      </c>
      <c r="O35" s="50" t="s">
        <v>22</v>
      </c>
      <c r="P35" s="50" t="s">
        <v>22</v>
      </c>
      <c r="Q35" s="50"/>
      <c r="R35" s="50" t="s">
        <v>22</v>
      </c>
      <c r="S35" s="50" t="s">
        <v>22</v>
      </c>
      <c r="T35" s="50" t="s">
        <v>22</v>
      </c>
      <c r="U35" s="50" t="s">
        <v>22</v>
      </c>
      <c r="V35" s="9">
        <v>20210319</v>
      </c>
      <c r="W35" s="21" t="s">
        <v>1220</v>
      </c>
      <c r="X35" s="21">
        <v>1981</v>
      </c>
      <c r="Z35" s="9" t="s">
        <v>124</v>
      </c>
      <c r="AA35" s="9" t="s">
        <v>424</v>
      </c>
      <c r="AB35" s="50">
        <f>((59*10^-8)^-1)*10^-6</f>
        <v>1.6949152542372881</v>
      </c>
      <c r="AC35" s="9" t="s">
        <v>22</v>
      </c>
      <c r="AD35" s="50" t="s">
        <v>22</v>
      </c>
      <c r="AE35" s="50" t="s">
        <v>22</v>
      </c>
      <c r="AF35" s="50" t="s">
        <v>22</v>
      </c>
      <c r="AG35" s="50" t="s">
        <v>22</v>
      </c>
      <c r="AH35" s="50" t="s">
        <v>22</v>
      </c>
      <c r="AI35" s="50" t="s">
        <v>22</v>
      </c>
      <c r="AJ35" s="50" t="s">
        <v>22</v>
      </c>
      <c r="AK35" s="50" t="s">
        <v>22</v>
      </c>
      <c r="AL35" s="50" t="s">
        <v>22</v>
      </c>
      <c r="AM35" s="43" t="e">
        <f t="shared" si="0"/>
        <v>#VALUE!</v>
      </c>
      <c r="AN35" s="43" t="e">
        <f t="shared" si="1"/>
        <v>#VALUE!</v>
      </c>
      <c r="AO35" s="21" t="s">
        <v>1221</v>
      </c>
      <c r="AT35" s="2">
        <f t="shared" si="2"/>
        <v>4</v>
      </c>
      <c r="AU35" s="45">
        <f t="shared" si="3"/>
        <v>1.5228787452803374</v>
      </c>
      <c r="AV35" s="45" t="e">
        <f t="shared" si="4"/>
        <v>#VALUE!</v>
      </c>
      <c r="AW35" s="45" t="e">
        <f t="shared" si="5"/>
        <v>#VALUE!</v>
      </c>
      <c r="AX35" s="45" t="e">
        <f t="shared" si="6"/>
        <v>#VALUE!</v>
      </c>
      <c r="AY35" s="45" t="e">
        <f t="shared" si="7"/>
        <v>#VALUE!</v>
      </c>
      <c r="AZ35" s="45" t="e">
        <f t="shared" si="8"/>
        <v>#VALUE!</v>
      </c>
      <c r="BA35" s="45" t="e">
        <f t="shared" si="9"/>
        <v>#VALUE!</v>
      </c>
      <c r="BB35" s="45" t="e">
        <f t="shared" si="10"/>
        <v>#NUM!</v>
      </c>
      <c r="BC35" s="45" t="e">
        <f t="shared" si="11"/>
        <v>#VALUE!</v>
      </c>
      <c r="BD35" s="45" t="e">
        <f t="shared" si="12"/>
        <v>#VALUE!</v>
      </c>
      <c r="BE35" s="45" t="e">
        <f t="shared" si="13"/>
        <v>#VALUE!</v>
      </c>
      <c r="BF35" s="45" t="e">
        <f t="shared" si="14"/>
        <v>#VALUE!</v>
      </c>
      <c r="BG35" s="45" t="e">
        <f t="shared" si="15"/>
        <v>#VALUE!</v>
      </c>
      <c r="BH35" s="45">
        <f t="shared" si="16"/>
        <v>0.2291479883578558</v>
      </c>
      <c r="BI35" s="43" t="e">
        <f t="shared" si="17"/>
        <v>#VALUE!</v>
      </c>
      <c r="BL35" s="20"/>
      <c r="BM35" s="50"/>
      <c r="BN35" s="50"/>
      <c r="BO35" s="50"/>
      <c r="BP35" s="50"/>
      <c r="BQ35" s="50"/>
      <c r="BR35" s="50"/>
      <c r="BU35" s="50"/>
      <c r="BV35" s="50"/>
      <c r="BW35" s="50"/>
      <c r="BX35" s="50"/>
      <c r="BY35" s="50"/>
      <c r="BZ35" s="50"/>
      <c r="CA35" s="43" t="s">
        <v>22</v>
      </c>
      <c r="CE35" s="50"/>
      <c r="CF35" s="50"/>
      <c r="CG35" s="50"/>
      <c r="CH35" s="50"/>
      <c r="CI35" s="50" t="str">
        <f t="shared" si="26"/>
        <v>Not Reported/ Can not calculate</v>
      </c>
      <c r="CJ35" s="50" t="e">
        <f t="shared" si="25"/>
        <v>#VALUE!</v>
      </c>
      <c r="CL35" s="9" t="s">
        <v>1268</v>
      </c>
      <c r="CM35" s="9" t="s">
        <v>1284</v>
      </c>
      <c r="CN35" s="55" t="s">
        <v>1284</v>
      </c>
      <c r="CO35" s="9" t="s">
        <v>1284</v>
      </c>
    </row>
    <row r="36" spans="1:93" s="9" customFormat="1" x14ac:dyDescent="0.25">
      <c r="A36" s="9" t="s">
        <v>345</v>
      </c>
      <c r="B36" s="50">
        <f>((11.2*10^-8)^-1)*10^-6</f>
        <v>8.9285714285714288</v>
      </c>
      <c r="C36" s="50" t="s">
        <v>22</v>
      </c>
      <c r="D36" s="50" t="s">
        <v>22</v>
      </c>
      <c r="E36" s="50" t="s">
        <v>22</v>
      </c>
      <c r="F36" s="9" t="s">
        <v>22</v>
      </c>
      <c r="G36" s="9" t="s">
        <v>22</v>
      </c>
      <c r="H36" s="9" t="s">
        <v>22</v>
      </c>
      <c r="I36" s="9" t="s">
        <v>22</v>
      </c>
      <c r="J36" s="50" t="s">
        <v>22</v>
      </c>
      <c r="K36" s="9" t="s">
        <v>22</v>
      </c>
      <c r="L36" s="50"/>
      <c r="M36" s="9" t="s">
        <v>45</v>
      </c>
      <c r="N36" s="50" t="s">
        <v>22</v>
      </c>
      <c r="O36" s="50" t="s">
        <v>22</v>
      </c>
      <c r="P36" s="50" t="s">
        <v>22</v>
      </c>
      <c r="Q36" s="50"/>
      <c r="R36" s="50" t="s">
        <v>22</v>
      </c>
      <c r="S36" s="50" t="s">
        <v>22</v>
      </c>
      <c r="T36" s="50" t="s">
        <v>22</v>
      </c>
      <c r="U36" s="50" t="s">
        <v>22</v>
      </c>
      <c r="V36" s="9">
        <v>20210319</v>
      </c>
      <c r="W36" s="21" t="s">
        <v>1220</v>
      </c>
      <c r="X36" s="21">
        <v>1981</v>
      </c>
      <c r="Z36" s="9" t="s">
        <v>124</v>
      </c>
      <c r="AA36" s="9" t="s">
        <v>737</v>
      </c>
      <c r="AB36" s="50">
        <f>((113*10^-8)^-1)*10^-6</f>
        <v>0.88495575221238931</v>
      </c>
      <c r="AC36" s="9" t="s">
        <v>22</v>
      </c>
      <c r="AD36" s="50" t="s">
        <v>22</v>
      </c>
      <c r="AE36" s="50" t="s">
        <v>22</v>
      </c>
      <c r="AF36" s="50" t="s">
        <v>22</v>
      </c>
      <c r="AG36" s="50" t="s">
        <v>22</v>
      </c>
      <c r="AH36" s="50" t="s">
        <v>22</v>
      </c>
      <c r="AI36" s="50" t="s">
        <v>22</v>
      </c>
      <c r="AJ36" s="50" t="s">
        <v>22</v>
      </c>
      <c r="AK36" s="50" t="s">
        <v>22</v>
      </c>
      <c r="AL36" s="50" t="s">
        <v>22</v>
      </c>
      <c r="AM36" s="43" t="e">
        <f t="shared" si="0"/>
        <v>#VALUE!</v>
      </c>
      <c r="AN36" s="43" t="e">
        <f t="shared" si="1"/>
        <v>#VALUE!</v>
      </c>
      <c r="AO36" s="21" t="s">
        <v>1221</v>
      </c>
      <c r="AT36" s="2">
        <f t="shared" si="2"/>
        <v>4</v>
      </c>
      <c r="AU36" s="45">
        <f t="shared" si="3"/>
        <v>0.9507819773298184</v>
      </c>
      <c r="AV36" s="45" t="e">
        <f t="shared" si="4"/>
        <v>#VALUE!</v>
      </c>
      <c r="AW36" s="45" t="e">
        <f t="shared" si="5"/>
        <v>#VALUE!</v>
      </c>
      <c r="AX36" s="45" t="e">
        <f t="shared" si="6"/>
        <v>#VALUE!</v>
      </c>
      <c r="AY36" s="45" t="e">
        <f t="shared" si="7"/>
        <v>#VALUE!</v>
      </c>
      <c r="AZ36" s="45" t="e">
        <f t="shared" si="8"/>
        <v>#VALUE!</v>
      </c>
      <c r="BA36" s="45" t="e">
        <f t="shared" si="9"/>
        <v>#VALUE!</v>
      </c>
      <c r="BB36" s="45" t="e">
        <f t="shared" si="10"/>
        <v>#NUM!</v>
      </c>
      <c r="BC36" s="45" t="e">
        <f t="shared" si="11"/>
        <v>#VALUE!</v>
      </c>
      <c r="BD36" s="45" t="e">
        <f t="shared" si="12"/>
        <v>#VALUE!</v>
      </c>
      <c r="BE36" s="45" t="e">
        <f t="shared" si="13"/>
        <v>#VALUE!</v>
      </c>
      <c r="BF36" s="45" t="e">
        <f t="shared" si="14"/>
        <v>#VALUE!</v>
      </c>
      <c r="BG36" s="45" t="e">
        <f t="shared" si="15"/>
        <v>#VALUE!</v>
      </c>
      <c r="BH36" s="45">
        <f t="shared" si="16"/>
        <v>-5.3078443483419759E-2</v>
      </c>
      <c r="BI36" s="43" t="e">
        <f t="shared" si="17"/>
        <v>#VALUE!</v>
      </c>
      <c r="BL36" s="20"/>
      <c r="BM36" s="50"/>
      <c r="BN36" s="50"/>
      <c r="BO36" s="50"/>
      <c r="BP36" s="50"/>
      <c r="BQ36" s="50"/>
      <c r="BR36" s="50"/>
      <c r="BU36" s="50"/>
      <c r="BV36" s="50"/>
      <c r="BW36" s="50"/>
      <c r="BX36" s="50"/>
      <c r="BY36" s="50"/>
      <c r="BZ36" s="50"/>
      <c r="CA36" s="43" t="s">
        <v>22</v>
      </c>
      <c r="CE36" s="50"/>
      <c r="CF36" s="50"/>
      <c r="CG36" s="50"/>
      <c r="CH36" s="50"/>
      <c r="CI36" s="50" t="str">
        <f t="shared" si="26"/>
        <v>Not Reported/ Can not calculate</v>
      </c>
      <c r="CJ36" s="50" t="e">
        <f t="shared" si="25"/>
        <v>#VALUE!</v>
      </c>
      <c r="CL36" s="9" t="s">
        <v>1268</v>
      </c>
      <c r="CM36" s="9" t="s">
        <v>1284</v>
      </c>
      <c r="CN36" s="55" t="s">
        <v>1284</v>
      </c>
      <c r="CO36" s="9" t="s">
        <v>1284</v>
      </c>
    </row>
    <row r="37" spans="1:93" s="9" customFormat="1" x14ac:dyDescent="0.25">
      <c r="A37" s="9" t="s">
        <v>345</v>
      </c>
      <c r="B37" s="50">
        <f>((3.4*10^-8)^-1)*10^-6</f>
        <v>29.411764705882351</v>
      </c>
      <c r="C37" s="50" t="s">
        <v>22</v>
      </c>
      <c r="D37" s="50" t="s">
        <v>22</v>
      </c>
      <c r="E37" s="50" t="s">
        <v>22</v>
      </c>
      <c r="F37" s="9" t="s">
        <v>22</v>
      </c>
      <c r="G37" s="9" t="s">
        <v>22</v>
      </c>
      <c r="H37" s="9" t="s">
        <v>22</v>
      </c>
      <c r="I37" s="9" t="s">
        <v>22</v>
      </c>
      <c r="J37" s="50" t="s">
        <v>22</v>
      </c>
      <c r="K37" s="9" t="s">
        <v>22</v>
      </c>
      <c r="L37" s="50"/>
      <c r="M37" s="9" t="s">
        <v>45</v>
      </c>
      <c r="N37" s="50" t="s">
        <v>22</v>
      </c>
      <c r="O37" s="50" t="s">
        <v>22</v>
      </c>
      <c r="P37" s="50" t="s">
        <v>22</v>
      </c>
      <c r="Q37" s="50"/>
      <c r="R37" s="50" t="s">
        <v>22</v>
      </c>
      <c r="S37" s="50" t="s">
        <v>22</v>
      </c>
      <c r="T37" s="50" t="s">
        <v>22</v>
      </c>
      <c r="U37" s="50" t="s">
        <v>22</v>
      </c>
      <c r="V37" s="9">
        <v>20210319</v>
      </c>
      <c r="W37" s="21" t="s">
        <v>1217</v>
      </c>
      <c r="X37" s="21">
        <v>1981</v>
      </c>
      <c r="Z37" s="9" t="s">
        <v>124</v>
      </c>
      <c r="AA37" s="9" t="s">
        <v>424</v>
      </c>
      <c r="AB37" s="50">
        <f>((78*10^-8)^-1)*10^-6</f>
        <v>1.2820512820512819</v>
      </c>
      <c r="AC37" s="9" t="s">
        <v>22</v>
      </c>
      <c r="AD37" s="50" t="s">
        <v>22</v>
      </c>
      <c r="AE37" s="50" t="s">
        <v>22</v>
      </c>
      <c r="AF37" s="50" t="s">
        <v>22</v>
      </c>
      <c r="AG37" s="50" t="s">
        <v>22</v>
      </c>
      <c r="AH37" s="50" t="s">
        <v>22</v>
      </c>
      <c r="AI37" s="50" t="s">
        <v>22</v>
      </c>
      <c r="AJ37" s="50" t="s">
        <v>22</v>
      </c>
      <c r="AK37" s="50" t="s">
        <v>22</v>
      </c>
      <c r="AL37" s="50" t="s">
        <v>22</v>
      </c>
      <c r="AM37" s="43" t="e">
        <f t="shared" si="0"/>
        <v>#VALUE!</v>
      </c>
      <c r="AN37" s="43" t="e">
        <f t="shared" si="1"/>
        <v>#VALUE!</v>
      </c>
      <c r="AO37" s="21" t="s">
        <v>1221</v>
      </c>
      <c r="AT37" s="2">
        <f t="shared" si="2"/>
        <v>4</v>
      </c>
      <c r="AU37" s="45">
        <f t="shared" si="3"/>
        <v>1.4685210829577449</v>
      </c>
      <c r="AV37" s="45" t="e">
        <f t="shared" si="4"/>
        <v>#VALUE!</v>
      </c>
      <c r="AW37" s="45" t="e">
        <f t="shared" si="5"/>
        <v>#VALUE!</v>
      </c>
      <c r="AX37" s="45" t="e">
        <f t="shared" si="6"/>
        <v>#VALUE!</v>
      </c>
      <c r="AY37" s="45" t="e">
        <f t="shared" si="7"/>
        <v>#VALUE!</v>
      </c>
      <c r="AZ37" s="45" t="e">
        <f t="shared" si="8"/>
        <v>#VALUE!</v>
      </c>
      <c r="BA37" s="45" t="e">
        <f t="shared" si="9"/>
        <v>#VALUE!</v>
      </c>
      <c r="BB37" s="45" t="e">
        <f t="shared" si="10"/>
        <v>#NUM!</v>
      </c>
      <c r="BC37" s="45" t="e">
        <f t="shared" si="11"/>
        <v>#VALUE!</v>
      </c>
      <c r="BD37" s="45" t="e">
        <f t="shared" si="12"/>
        <v>#VALUE!</v>
      </c>
      <c r="BE37" s="45" t="e">
        <f t="shared" si="13"/>
        <v>#VALUE!</v>
      </c>
      <c r="BF37" s="45" t="e">
        <f t="shared" si="14"/>
        <v>#VALUE!</v>
      </c>
      <c r="BG37" s="45" t="e">
        <f t="shared" si="15"/>
        <v>#VALUE!</v>
      </c>
      <c r="BH37" s="45">
        <f t="shared" si="16"/>
        <v>0.10790539730951956</v>
      </c>
      <c r="BI37" s="43" t="e">
        <f t="shared" si="17"/>
        <v>#VALUE!</v>
      </c>
      <c r="BL37" s="20"/>
      <c r="BM37" s="50"/>
      <c r="BN37" s="50"/>
      <c r="BO37" s="50"/>
      <c r="BP37" s="50"/>
      <c r="BQ37" s="50"/>
      <c r="BR37" s="50"/>
      <c r="BU37" s="50"/>
      <c r="BV37" s="50"/>
      <c r="BW37" s="50"/>
      <c r="BX37" s="50"/>
      <c r="BY37" s="50"/>
      <c r="BZ37" s="50"/>
      <c r="CA37" s="43" t="s">
        <v>22</v>
      </c>
      <c r="CE37" s="50"/>
      <c r="CF37" s="50"/>
      <c r="CG37" s="50"/>
      <c r="CH37" s="50"/>
      <c r="CI37" s="50" t="str">
        <f t="shared" si="26"/>
        <v>Not Reported/ Can not calculate</v>
      </c>
      <c r="CJ37" s="50" t="e">
        <f t="shared" si="25"/>
        <v>#VALUE!</v>
      </c>
      <c r="CL37" s="9" t="s">
        <v>1268</v>
      </c>
      <c r="CM37" s="9" t="s">
        <v>1284</v>
      </c>
      <c r="CN37" s="55" t="s">
        <v>1284</v>
      </c>
      <c r="CO37" s="9" t="s">
        <v>1284</v>
      </c>
    </row>
    <row r="38" spans="1:93" s="9" customFormat="1" x14ac:dyDescent="0.25">
      <c r="A38" s="9" t="s">
        <v>345</v>
      </c>
      <c r="B38" s="50">
        <f>((7.2*10^-8)^-1)*10^-6</f>
        <v>13.888888888888886</v>
      </c>
      <c r="C38" s="50" t="s">
        <v>22</v>
      </c>
      <c r="D38" s="50" t="s">
        <v>22</v>
      </c>
      <c r="E38" s="50" t="s">
        <v>22</v>
      </c>
      <c r="F38" s="9" t="s">
        <v>22</v>
      </c>
      <c r="G38" s="9" t="s">
        <v>22</v>
      </c>
      <c r="H38" s="9" t="s">
        <v>22</v>
      </c>
      <c r="I38" s="9" t="s">
        <v>22</v>
      </c>
      <c r="J38" s="50" t="s">
        <v>22</v>
      </c>
      <c r="K38" s="9" t="s">
        <v>22</v>
      </c>
      <c r="L38" s="50"/>
      <c r="M38" s="9" t="s">
        <v>45</v>
      </c>
      <c r="N38" s="50" t="s">
        <v>22</v>
      </c>
      <c r="O38" s="50" t="s">
        <v>22</v>
      </c>
      <c r="P38" s="50" t="s">
        <v>22</v>
      </c>
      <c r="Q38" s="50"/>
      <c r="R38" s="50" t="s">
        <v>22</v>
      </c>
      <c r="S38" s="50" t="s">
        <v>22</v>
      </c>
      <c r="T38" s="50" t="s">
        <v>22</v>
      </c>
      <c r="U38" s="50" t="s">
        <v>22</v>
      </c>
      <c r="V38" s="9">
        <v>20210319</v>
      </c>
      <c r="W38" s="21" t="s">
        <v>1217</v>
      </c>
      <c r="X38" s="21">
        <v>1981</v>
      </c>
      <c r="Z38" s="9" t="s">
        <v>124</v>
      </c>
      <c r="AA38" s="9" t="s">
        <v>424</v>
      </c>
      <c r="AB38" s="50">
        <f>((97*10^-8)^-1)*10^-6</f>
        <v>1.0309278350515463</v>
      </c>
      <c r="AC38" s="9" t="s">
        <v>22</v>
      </c>
      <c r="AD38" s="50" t="s">
        <v>22</v>
      </c>
      <c r="AE38" s="50" t="s">
        <v>22</v>
      </c>
      <c r="AF38" s="50" t="s">
        <v>22</v>
      </c>
      <c r="AG38" s="50" t="s">
        <v>22</v>
      </c>
      <c r="AH38" s="50" t="s">
        <v>22</v>
      </c>
      <c r="AI38" s="50" t="s">
        <v>22</v>
      </c>
      <c r="AJ38" s="50" t="s">
        <v>22</v>
      </c>
      <c r="AK38" s="50" t="s">
        <v>22</v>
      </c>
      <c r="AL38" s="50" t="s">
        <v>22</v>
      </c>
      <c r="AM38" s="43" t="e">
        <f t="shared" si="0"/>
        <v>#VALUE!</v>
      </c>
      <c r="AN38" s="43" t="e">
        <f t="shared" si="1"/>
        <v>#VALUE!</v>
      </c>
      <c r="AO38" s="21" t="s">
        <v>1221</v>
      </c>
      <c r="AT38" s="2">
        <f t="shared" si="2"/>
        <v>4</v>
      </c>
      <c r="AU38" s="45">
        <f t="shared" si="3"/>
        <v>1.1426675035687315</v>
      </c>
      <c r="AV38" s="45" t="e">
        <f t="shared" si="4"/>
        <v>#VALUE!</v>
      </c>
      <c r="AW38" s="45" t="e">
        <f t="shared" si="5"/>
        <v>#VALUE!</v>
      </c>
      <c r="AX38" s="45" t="e">
        <f t="shared" si="6"/>
        <v>#VALUE!</v>
      </c>
      <c r="AY38" s="45" t="e">
        <f t="shared" si="7"/>
        <v>#VALUE!</v>
      </c>
      <c r="AZ38" s="45" t="e">
        <f t="shared" si="8"/>
        <v>#VALUE!</v>
      </c>
      <c r="BA38" s="45" t="e">
        <f t="shared" si="9"/>
        <v>#VALUE!</v>
      </c>
      <c r="BB38" s="45" t="e">
        <f t="shared" si="10"/>
        <v>#NUM!</v>
      </c>
      <c r="BC38" s="45" t="e">
        <f t="shared" si="11"/>
        <v>#VALUE!</v>
      </c>
      <c r="BD38" s="45" t="e">
        <f t="shared" si="12"/>
        <v>#VALUE!</v>
      </c>
      <c r="BE38" s="45" t="e">
        <f t="shared" si="13"/>
        <v>#VALUE!</v>
      </c>
      <c r="BF38" s="45" t="e">
        <f t="shared" si="14"/>
        <v>#VALUE!</v>
      </c>
      <c r="BG38" s="45" t="e">
        <f t="shared" si="15"/>
        <v>#VALUE!</v>
      </c>
      <c r="BH38" s="45">
        <f t="shared" si="16"/>
        <v>1.3228265733755101E-2</v>
      </c>
      <c r="BI38" s="43" t="e">
        <f t="shared" si="17"/>
        <v>#VALUE!</v>
      </c>
      <c r="BL38" s="20"/>
      <c r="BM38" s="50"/>
      <c r="BN38" s="50"/>
      <c r="BO38" s="50"/>
      <c r="BP38" s="50"/>
      <c r="BQ38" s="50"/>
      <c r="BR38" s="50"/>
      <c r="BU38" s="50"/>
      <c r="BV38" s="50"/>
      <c r="BW38" s="50"/>
      <c r="BX38" s="50"/>
      <c r="BY38" s="50"/>
      <c r="BZ38" s="50"/>
      <c r="CA38" s="43" t="s">
        <v>22</v>
      </c>
      <c r="CE38" s="50"/>
      <c r="CF38" s="50"/>
      <c r="CG38" s="50"/>
      <c r="CH38" s="50"/>
      <c r="CI38" s="50" t="str">
        <f t="shared" si="26"/>
        <v>Not Reported/ Can not calculate</v>
      </c>
      <c r="CJ38" s="50" t="e">
        <f t="shared" si="25"/>
        <v>#VALUE!</v>
      </c>
      <c r="CL38" s="9" t="s">
        <v>1268</v>
      </c>
      <c r="CM38" s="9" t="s">
        <v>1284</v>
      </c>
      <c r="CN38" s="55" t="s">
        <v>1284</v>
      </c>
      <c r="CO38" s="9" t="s">
        <v>1284</v>
      </c>
    </row>
    <row r="39" spans="1:93" x14ac:dyDescent="0.25">
      <c r="A39" s="18" t="s">
        <v>345</v>
      </c>
      <c r="B39" s="41">
        <v>7.7519379844961236</v>
      </c>
      <c r="C39" s="41" t="s">
        <v>22</v>
      </c>
      <c r="D39" s="41" t="s">
        <v>22</v>
      </c>
      <c r="E39" s="41" t="s">
        <v>22</v>
      </c>
      <c r="F39" t="s">
        <v>22</v>
      </c>
      <c r="G39" t="s">
        <v>22</v>
      </c>
      <c r="H39" t="s">
        <v>22</v>
      </c>
      <c r="I39" t="s">
        <v>22</v>
      </c>
      <c r="J39" s="41" t="s">
        <v>22</v>
      </c>
      <c r="K39" t="s">
        <v>22</v>
      </c>
      <c r="L39" s="41" t="s">
        <v>22</v>
      </c>
      <c r="M39" t="s">
        <v>45</v>
      </c>
      <c r="N39" s="41" t="s">
        <v>22</v>
      </c>
      <c r="O39" s="41" t="s">
        <v>22</v>
      </c>
      <c r="P39" s="41" t="s">
        <v>22</v>
      </c>
      <c r="R39" s="41" t="s">
        <v>22</v>
      </c>
      <c r="S39" s="41" t="s">
        <v>22</v>
      </c>
      <c r="T39" s="41" t="s">
        <v>22</v>
      </c>
      <c r="U39" s="41" t="s">
        <v>22</v>
      </c>
      <c r="V39">
        <v>20200518</v>
      </c>
      <c r="X39">
        <v>1981</v>
      </c>
      <c r="Y39" t="s">
        <v>375</v>
      </c>
      <c r="Z39" t="s">
        <v>22</v>
      </c>
      <c r="AA39" t="s">
        <v>772</v>
      </c>
      <c r="AB39" s="41">
        <v>0.92284976005906227</v>
      </c>
      <c r="AC39" t="s">
        <v>22</v>
      </c>
      <c r="AD39" s="41">
        <v>13.5</v>
      </c>
      <c r="AE39" s="41" t="s">
        <v>22</v>
      </c>
      <c r="AF39" s="41" t="s">
        <v>22</v>
      </c>
      <c r="AG39" s="41" t="s">
        <v>22</v>
      </c>
      <c r="AH39" s="41" t="s">
        <v>22</v>
      </c>
      <c r="AI39" s="41" t="s">
        <v>22</v>
      </c>
      <c r="AJ39" s="41" t="s">
        <v>22</v>
      </c>
      <c r="AK39" s="41" t="s">
        <v>22</v>
      </c>
      <c r="AL39" s="41" t="s">
        <v>22</v>
      </c>
      <c r="AM39" s="43" t="e">
        <f t="shared" si="0"/>
        <v>#VALUE!</v>
      </c>
      <c r="AN39" s="43" t="e">
        <f t="shared" si="1"/>
        <v>#VALUE!</v>
      </c>
      <c r="AO39" s="3" t="s">
        <v>470</v>
      </c>
      <c r="AT39" s="2">
        <f t="shared" si="2"/>
        <v>3</v>
      </c>
      <c r="AU39" s="45">
        <f t="shared" si="3"/>
        <v>0.88941028970075098</v>
      </c>
      <c r="AV39" s="45" t="e">
        <f t="shared" si="4"/>
        <v>#VALUE!</v>
      </c>
      <c r="AW39" s="45" t="e">
        <f t="shared" si="5"/>
        <v>#VALUE!</v>
      </c>
      <c r="AX39" s="45" t="e">
        <f t="shared" si="6"/>
        <v>#VALUE!</v>
      </c>
      <c r="AY39" s="45" t="e">
        <f t="shared" si="7"/>
        <v>#VALUE!</v>
      </c>
      <c r="AZ39" s="45" t="e">
        <f t="shared" si="8"/>
        <v>#VALUE!</v>
      </c>
      <c r="BA39" s="45" t="e">
        <f t="shared" si="9"/>
        <v>#VALUE!</v>
      </c>
      <c r="BB39" s="45" t="e">
        <f t="shared" si="10"/>
        <v>#VALUE!</v>
      </c>
      <c r="BC39" s="45" t="e">
        <f t="shared" si="11"/>
        <v>#VALUE!</v>
      </c>
      <c r="BD39" s="45">
        <f t="shared" si="12"/>
        <v>1.1303337684950061</v>
      </c>
      <c r="BE39" s="45" t="e">
        <f t="shared" si="13"/>
        <v>#VALUE!</v>
      </c>
      <c r="BF39" s="45" t="e">
        <f t="shared" si="14"/>
        <v>#VALUE!</v>
      </c>
      <c r="BG39" s="45" t="e">
        <f t="shared" si="15"/>
        <v>#VALUE!</v>
      </c>
      <c r="BH39" s="45">
        <f t="shared" si="16"/>
        <v>-3.4868996361130673E-2</v>
      </c>
      <c r="BI39" s="43" t="e">
        <f t="shared" si="17"/>
        <v>#VALUE!</v>
      </c>
      <c r="CA39" s="43" t="s">
        <v>22</v>
      </c>
      <c r="CC39" t="s">
        <v>22</v>
      </c>
      <c r="CE39" s="41" t="s">
        <v>22</v>
      </c>
      <c r="CF39" s="41" t="s">
        <v>22</v>
      </c>
      <c r="CG39" s="41">
        <f>AD39*1000</f>
        <v>13500</v>
      </c>
      <c r="CH39" s="41">
        <f>LOG10(CG39)</f>
        <v>4.1303337684950066</v>
      </c>
      <c r="CI39" s="41">
        <f>IF(ISNUMBER(CG39),CG39,U39)</f>
        <v>13500</v>
      </c>
      <c r="CJ39" s="41">
        <f>LOG10(CI39)</f>
        <v>4.1303337684950066</v>
      </c>
      <c r="CL39" s="9" t="s">
        <v>1268</v>
      </c>
      <c r="CM39" s="18" t="s">
        <v>1283</v>
      </c>
      <c r="CN39" s="54" t="s">
        <v>1284</v>
      </c>
      <c r="CO39" s="18" t="s">
        <v>1284</v>
      </c>
    </row>
    <row r="40" spans="1:93" x14ac:dyDescent="0.25">
      <c r="A40" s="18" t="s">
        <v>375</v>
      </c>
      <c r="B40" s="41">
        <v>0.34482758620689652</v>
      </c>
      <c r="C40" s="41" t="s">
        <v>22</v>
      </c>
      <c r="D40" s="41" t="s">
        <v>22</v>
      </c>
      <c r="E40" s="41" t="s">
        <v>22</v>
      </c>
      <c r="F40" t="s">
        <v>22</v>
      </c>
      <c r="G40" t="s">
        <v>22</v>
      </c>
      <c r="H40" t="s">
        <v>22</v>
      </c>
      <c r="I40" t="s">
        <v>22</v>
      </c>
      <c r="J40" s="41" t="s">
        <v>22</v>
      </c>
      <c r="K40" t="s">
        <v>22</v>
      </c>
      <c r="L40" s="41" t="s">
        <v>22</v>
      </c>
      <c r="M40" t="s">
        <v>23</v>
      </c>
      <c r="N40" s="41">
        <v>1992.5</v>
      </c>
      <c r="O40" s="41" t="s">
        <v>22</v>
      </c>
      <c r="P40" s="41">
        <v>634</v>
      </c>
      <c r="R40" s="41">
        <f>N40*B40</f>
        <v>687.06896551724128</v>
      </c>
      <c r="S40" s="41" t="s">
        <v>22</v>
      </c>
      <c r="T40" s="41" t="s">
        <v>22</v>
      </c>
      <c r="U40" s="41" t="s">
        <v>22</v>
      </c>
      <c r="V40">
        <v>20200518</v>
      </c>
      <c r="W40" s="21"/>
      <c r="X40">
        <v>1981</v>
      </c>
      <c r="Y40" t="s">
        <v>375</v>
      </c>
      <c r="Z40" t="s">
        <v>22</v>
      </c>
      <c r="AA40" t="s">
        <v>22</v>
      </c>
      <c r="AB40" s="41" t="s">
        <v>22</v>
      </c>
      <c r="AC40" t="s">
        <v>22</v>
      </c>
      <c r="AD40" s="41" t="s">
        <v>22</v>
      </c>
      <c r="AE40" s="41" t="s">
        <v>22</v>
      </c>
      <c r="AF40" s="41" t="s">
        <v>22</v>
      </c>
      <c r="AG40" s="41" t="s">
        <v>22</v>
      </c>
      <c r="AH40" s="41" t="s">
        <v>22</v>
      </c>
      <c r="AI40" s="41" t="s">
        <v>22</v>
      </c>
      <c r="AJ40" s="41" t="s">
        <v>22</v>
      </c>
      <c r="AK40" s="41" t="s">
        <v>22</v>
      </c>
      <c r="AL40" s="41" t="s">
        <v>22</v>
      </c>
      <c r="AM40" s="43" t="e">
        <f t="shared" si="0"/>
        <v>#VALUE!</v>
      </c>
      <c r="AN40" s="43" t="e">
        <f t="shared" si="1"/>
        <v>#VALUE!</v>
      </c>
      <c r="AO40" s="3" t="s">
        <v>470</v>
      </c>
      <c r="AT40" s="2">
        <f t="shared" si="2"/>
        <v>3</v>
      </c>
      <c r="AU40" s="45">
        <f t="shared" si="3"/>
        <v>-0.46239799789895614</v>
      </c>
      <c r="AV40" s="45" t="e">
        <f t="shared" si="4"/>
        <v>#VALUE!</v>
      </c>
      <c r="AW40" s="45" t="e">
        <f t="shared" si="5"/>
        <v>#VALUE!</v>
      </c>
      <c r="AX40" s="45">
        <f t="shared" si="6"/>
        <v>3.2993983300681498</v>
      </c>
      <c r="AY40" s="45" t="e">
        <f t="shared" si="7"/>
        <v>#VALUE!</v>
      </c>
      <c r="AZ40" s="45">
        <f t="shared" si="8"/>
        <v>2.8020892578817329</v>
      </c>
      <c r="BA40" s="45" t="e">
        <f t="shared" si="9"/>
        <v>#VALUE!</v>
      </c>
      <c r="BB40" s="45" t="e">
        <f t="shared" si="10"/>
        <v>#VALUE!</v>
      </c>
      <c r="BC40" s="45" t="e">
        <f t="shared" si="11"/>
        <v>#VALUE!</v>
      </c>
      <c r="BD40" s="45" t="e">
        <f t="shared" si="12"/>
        <v>#VALUE!</v>
      </c>
      <c r="BE40" s="45" t="e">
        <f t="shared" si="13"/>
        <v>#VALUE!</v>
      </c>
      <c r="BF40" s="45" t="e">
        <f t="shared" si="14"/>
        <v>#VALUE!</v>
      </c>
      <c r="BG40" s="45" t="e">
        <f t="shared" si="15"/>
        <v>#VALUE!</v>
      </c>
      <c r="BH40" s="45" t="e">
        <f t="shared" si="16"/>
        <v>#VALUE!</v>
      </c>
      <c r="BI40" s="43" t="e">
        <f t="shared" si="17"/>
        <v>#VALUE!</v>
      </c>
      <c r="CA40" s="43" t="s">
        <v>22</v>
      </c>
      <c r="CC40" t="s">
        <v>22</v>
      </c>
      <c r="CE40" s="41" t="s">
        <v>22</v>
      </c>
      <c r="CF40" s="41" t="s">
        <v>22</v>
      </c>
      <c r="CG40" s="41" t="s">
        <v>22</v>
      </c>
      <c r="CH40" s="41" t="s">
        <v>22</v>
      </c>
      <c r="CI40" s="41" t="str">
        <f>IF(ISNUMBER(CG40),CG40,U40)</f>
        <v>Not Reported/ Can not calculate</v>
      </c>
      <c r="CJ40" s="41" t="e">
        <f>LOG10(CI40)</f>
        <v>#VALUE!</v>
      </c>
      <c r="CL40" s="9" t="s">
        <v>1268</v>
      </c>
      <c r="CM40" s="18" t="s">
        <v>1284</v>
      </c>
      <c r="CN40" s="54" t="s">
        <v>1284</v>
      </c>
      <c r="CO40" s="18" t="s">
        <v>1284</v>
      </c>
    </row>
    <row r="41" spans="1:93" x14ac:dyDescent="0.25">
      <c r="A41" s="18" t="s">
        <v>345</v>
      </c>
      <c r="B41" s="41">
        <v>4.3478260869565215</v>
      </c>
      <c r="C41" s="41" t="s">
        <v>22</v>
      </c>
      <c r="D41" s="41" t="s">
        <v>22</v>
      </c>
      <c r="E41" s="41" t="s">
        <v>22</v>
      </c>
      <c r="F41" t="s">
        <v>22</v>
      </c>
      <c r="G41" t="s">
        <v>22</v>
      </c>
      <c r="H41" t="s">
        <v>22</v>
      </c>
      <c r="I41" t="s">
        <v>22</v>
      </c>
      <c r="J41" s="41" t="s">
        <v>22</v>
      </c>
      <c r="K41" t="s">
        <v>22</v>
      </c>
      <c r="L41" s="41" t="s">
        <v>22</v>
      </c>
      <c r="M41" t="s">
        <v>45</v>
      </c>
      <c r="N41" s="41">
        <v>1089</v>
      </c>
      <c r="O41" s="41" t="s">
        <v>22</v>
      </c>
      <c r="P41" s="41">
        <v>172</v>
      </c>
      <c r="R41" s="41">
        <f>N41*B41</f>
        <v>4734.782608695652</v>
      </c>
      <c r="S41" s="41" t="s">
        <v>22</v>
      </c>
      <c r="T41" s="41" t="s">
        <v>22</v>
      </c>
      <c r="U41" s="41" t="s">
        <v>22</v>
      </c>
      <c r="V41">
        <v>20200518</v>
      </c>
      <c r="W41" s="21"/>
      <c r="X41">
        <v>1981</v>
      </c>
      <c r="Y41" t="s">
        <v>375</v>
      </c>
      <c r="Z41" t="s">
        <v>22</v>
      </c>
      <c r="AA41" t="s">
        <v>772</v>
      </c>
      <c r="AB41" s="41" t="s">
        <v>22</v>
      </c>
      <c r="AC41" t="s">
        <v>22</v>
      </c>
      <c r="AD41" s="41" t="s">
        <v>22</v>
      </c>
      <c r="AE41" s="41" t="s">
        <v>22</v>
      </c>
      <c r="AF41" s="41" t="s">
        <v>22</v>
      </c>
      <c r="AG41" s="41" t="s">
        <v>22</v>
      </c>
      <c r="AH41" s="41" t="s">
        <v>22</v>
      </c>
      <c r="AI41" s="41" t="s">
        <v>22</v>
      </c>
      <c r="AJ41" s="41" t="s">
        <v>22</v>
      </c>
      <c r="AK41" s="41" t="s">
        <v>22</v>
      </c>
      <c r="AL41" s="41" t="s">
        <v>22</v>
      </c>
      <c r="AM41" s="43" t="e">
        <f t="shared" si="0"/>
        <v>#VALUE!</v>
      </c>
      <c r="AN41" s="43" t="e">
        <f t="shared" si="1"/>
        <v>#VALUE!</v>
      </c>
      <c r="AO41" s="3" t="s">
        <v>470</v>
      </c>
      <c r="AT41" s="2">
        <f t="shared" si="2"/>
        <v>3</v>
      </c>
      <c r="AU41" s="45">
        <f t="shared" si="3"/>
        <v>0.63827216398240705</v>
      </c>
      <c r="AV41" s="45" t="e">
        <f t="shared" si="4"/>
        <v>#VALUE!</v>
      </c>
      <c r="AW41" s="45" t="e">
        <f t="shared" si="5"/>
        <v>#VALUE!</v>
      </c>
      <c r="AX41" s="45">
        <f t="shared" si="6"/>
        <v>3.037027879755775</v>
      </c>
      <c r="AY41" s="45" t="e">
        <f t="shared" si="7"/>
        <v>#VALUE!</v>
      </c>
      <c r="AZ41" s="45">
        <f t="shared" si="8"/>
        <v>2.2355284469075487</v>
      </c>
      <c r="BA41" s="45" t="e">
        <f t="shared" si="9"/>
        <v>#VALUE!</v>
      </c>
      <c r="BB41" s="45" t="e">
        <f t="shared" si="10"/>
        <v>#VALUE!</v>
      </c>
      <c r="BC41" s="45" t="e">
        <f t="shared" si="11"/>
        <v>#VALUE!</v>
      </c>
      <c r="BD41" s="45" t="e">
        <f t="shared" si="12"/>
        <v>#VALUE!</v>
      </c>
      <c r="BE41" s="45" t="e">
        <f t="shared" si="13"/>
        <v>#VALUE!</v>
      </c>
      <c r="BF41" s="45" t="e">
        <f t="shared" si="14"/>
        <v>#VALUE!</v>
      </c>
      <c r="BG41" s="45" t="e">
        <f t="shared" si="15"/>
        <v>#VALUE!</v>
      </c>
      <c r="BH41" s="45" t="e">
        <f t="shared" si="16"/>
        <v>#VALUE!</v>
      </c>
      <c r="BI41" s="43" t="e">
        <f t="shared" si="17"/>
        <v>#VALUE!</v>
      </c>
      <c r="CA41" s="43" t="s">
        <v>22</v>
      </c>
      <c r="CC41" t="s">
        <v>22</v>
      </c>
      <c r="CE41" s="41" t="s">
        <v>22</v>
      </c>
      <c r="CF41" s="41" t="s">
        <v>22</v>
      </c>
      <c r="CG41" s="41" t="s">
        <v>22</v>
      </c>
      <c r="CH41" s="41" t="s">
        <v>22</v>
      </c>
      <c r="CI41" s="41" t="str">
        <f>IF(ISNUMBER(CG41),CG41,U41)</f>
        <v>Not Reported/ Can not calculate</v>
      </c>
      <c r="CJ41" s="41" t="e">
        <f>LOG10(CI41)</f>
        <v>#VALUE!</v>
      </c>
      <c r="CL41" s="9" t="s">
        <v>1268</v>
      </c>
      <c r="CM41" s="18" t="s">
        <v>1284</v>
      </c>
      <c r="CN41" s="54" t="s">
        <v>1284</v>
      </c>
      <c r="CO41" s="18" t="s">
        <v>1284</v>
      </c>
    </row>
    <row r="42" spans="1:93" x14ac:dyDescent="0.25">
      <c r="A42" s="6" t="s">
        <v>345</v>
      </c>
      <c r="B42" s="41">
        <f>(10^-6)*(7*10^-8)^-1</f>
        <v>14.285714285714285</v>
      </c>
      <c r="C42" s="41" t="s">
        <v>22</v>
      </c>
      <c r="D42" s="41" t="s">
        <v>22</v>
      </c>
      <c r="E42" s="41" t="s">
        <v>22</v>
      </c>
      <c r="F42" t="s">
        <v>22</v>
      </c>
      <c r="G42" t="s">
        <v>22</v>
      </c>
      <c r="H42" t="s">
        <v>22</v>
      </c>
      <c r="I42" t="s">
        <v>22</v>
      </c>
      <c r="J42" s="41" t="s">
        <v>22</v>
      </c>
      <c r="K42" t="s">
        <v>22</v>
      </c>
      <c r="L42" s="41" t="e">
        <f>IF((10^-12)*J42*K42^4=0,"",(10^-12)*J42*K42^4)</f>
        <v>#VALUE!</v>
      </c>
      <c r="M42" t="s">
        <v>45</v>
      </c>
      <c r="N42" s="41" t="s">
        <v>22</v>
      </c>
      <c r="O42" s="41" t="s">
        <v>22</v>
      </c>
      <c r="P42" s="41" t="s">
        <v>22</v>
      </c>
      <c r="R42" s="41" t="s">
        <v>22</v>
      </c>
      <c r="S42" s="41" t="s">
        <v>22</v>
      </c>
      <c r="T42" s="41" t="s">
        <v>22</v>
      </c>
      <c r="U42" s="41" t="s">
        <v>22</v>
      </c>
      <c r="V42">
        <v>20191231</v>
      </c>
      <c r="W42" s="16" t="s">
        <v>409</v>
      </c>
      <c r="X42">
        <v>1983</v>
      </c>
      <c r="Y42" t="s">
        <v>1092</v>
      </c>
      <c r="Z42" s="18" t="s">
        <v>1090</v>
      </c>
      <c r="AA42" t="s">
        <v>773</v>
      </c>
      <c r="AB42" s="41">
        <f>((0.0000655815485830962*0.01)^-1)*10^-6</f>
        <v>1.5248191322181621</v>
      </c>
      <c r="AC42" t="s">
        <v>22</v>
      </c>
      <c r="AD42" s="41" t="s">
        <v>22</v>
      </c>
      <c r="AE42" s="41" t="s">
        <v>22</v>
      </c>
      <c r="AF42" s="41" t="s">
        <v>22</v>
      </c>
      <c r="AG42" s="41" t="s">
        <v>22</v>
      </c>
      <c r="AH42" s="41">
        <v>1.31043098592925E-6</v>
      </c>
      <c r="AI42" s="41">
        <v>1.3285702289055101E-6</v>
      </c>
      <c r="AJ42" s="41">
        <v>1.3467665321079199E-6</v>
      </c>
      <c r="AK42" s="41">
        <v>1.5211030100514101E-6</v>
      </c>
      <c r="AL42" s="41">
        <v>6.4593784437947797E-6</v>
      </c>
      <c r="AM42" s="43">
        <f t="shared" si="0"/>
        <v>4.8619021435668346</v>
      </c>
      <c r="AN42" s="43">
        <f t="shared" si="1"/>
        <v>4.796212476177848</v>
      </c>
      <c r="AO42" s="3" t="s">
        <v>1096</v>
      </c>
      <c r="AT42" s="2">
        <f t="shared" si="2"/>
        <v>5</v>
      </c>
      <c r="AU42" s="45">
        <f t="shared" si="3"/>
        <v>1.1549019599857431</v>
      </c>
      <c r="AV42" s="45" t="e">
        <f t="shared" si="4"/>
        <v>#VALUE!</v>
      </c>
      <c r="AW42" s="45" t="e">
        <f t="shared" si="5"/>
        <v>#VALUE!</v>
      </c>
      <c r="AX42" s="45" t="e">
        <f t="shared" si="6"/>
        <v>#VALUE!</v>
      </c>
      <c r="AY42" s="45" t="e">
        <f t="shared" si="7"/>
        <v>#VALUE!</v>
      </c>
      <c r="AZ42" s="45" t="e">
        <f t="shared" si="8"/>
        <v>#VALUE!</v>
      </c>
      <c r="BA42" s="45" t="e">
        <f t="shared" si="9"/>
        <v>#VALUE!</v>
      </c>
      <c r="BB42" s="45" t="e">
        <f t="shared" si="10"/>
        <v>#VALUE!</v>
      </c>
      <c r="BC42" s="45" t="e">
        <f t="shared" si="11"/>
        <v>#VALUE!</v>
      </c>
      <c r="BD42" s="45" t="e">
        <f t="shared" si="12"/>
        <v>#VALUE!</v>
      </c>
      <c r="BE42" s="45" t="e">
        <f t="shared" si="13"/>
        <v>#VALUE!</v>
      </c>
      <c r="BF42" s="45">
        <f t="shared" si="14"/>
        <v>0.68680621346728665</v>
      </c>
      <c r="BG42" s="45">
        <f t="shared" si="15"/>
        <v>0.6808984144575797</v>
      </c>
      <c r="BH42" s="45">
        <f t="shared" si="16"/>
        <v>0.18321833251031014</v>
      </c>
      <c r="BI42" s="43" t="e">
        <f t="shared" si="17"/>
        <v>#VALUE!</v>
      </c>
      <c r="CA42" s="43" t="s">
        <v>22</v>
      </c>
      <c r="CC42" t="s">
        <v>22</v>
      </c>
      <c r="CE42" s="41" t="s">
        <v>22</v>
      </c>
      <c r="CF42" s="41" t="s">
        <v>22</v>
      </c>
      <c r="CG42" s="41" t="s">
        <v>22</v>
      </c>
      <c r="CH42" s="41" t="s">
        <v>22</v>
      </c>
      <c r="CI42" s="41" t="s">
        <v>22</v>
      </c>
      <c r="CJ42" s="41" t="e">
        <f>LOG10(CI42)</f>
        <v>#VALUE!</v>
      </c>
      <c r="CL42" s="9" t="s">
        <v>1268</v>
      </c>
      <c r="CM42" s="18" t="s">
        <v>1284</v>
      </c>
      <c r="CN42" s="54" t="s">
        <v>1284</v>
      </c>
      <c r="CO42" s="18" t="s">
        <v>1284</v>
      </c>
    </row>
    <row r="43" spans="1:93" x14ac:dyDescent="0.25">
      <c r="A43" s="6" t="s">
        <v>345</v>
      </c>
      <c r="B43" s="41">
        <f>((7.16769608690002E-06*0.01)^-1)*10^-6</f>
        <v>13.951484380422343</v>
      </c>
      <c r="C43" s="41" t="s">
        <v>22</v>
      </c>
      <c r="D43" s="41" t="s">
        <v>22</v>
      </c>
      <c r="E43" s="41" t="s">
        <v>22</v>
      </c>
      <c r="F43" t="s">
        <v>22</v>
      </c>
      <c r="G43" t="s">
        <v>22</v>
      </c>
      <c r="H43" t="s">
        <v>22</v>
      </c>
      <c r="I43" t="s">
        <v>22</v>
      </c>
      <c r="J43" s="41" t="s">
        <v>22</v>
      </c>
      <c r="K43" t="s">
        <v>22</v>
      </c>
      <c r="M43" t="s">
        <v>45</v>
      </c>
      <c r="N43" s="41" t="s">
        <v>22</v>
      </c>
      <c r="O43" s="41" t="s">
        <v>22</v>
      </c>
      <c r="P43" s="41" t="s">
        <v>22</v>
      </c>
      <c r="R43" s="41" t="s">
        <v>22</v>
      </c>
      <c r="S43" s="41" t="s">
        <v>22</v>
      </c>
      <c r="T43" s="41" t="s">
        <v>22</v>
      </c>
      <c r="U43" s="41" t="s">
        <v>22</v>
      </c>
      <c r="V43">
        <v>20200719</v>
      </c>
      <c r="X43">
        <v>1983</v>
      </c>
      <c r="Y43" t="s">
        <v>1092</v>
      </c>
      <c r="Z43" s="18" t="s">
        <v>1090</v>
      </c>
      <c r="AA43" t="s">
        <v>1099</v>
      </c>
      <c r="AB43" s="41">
        <f>((0.0000655815485830962*0.01)^-1)*10^-6</f>
        <v>1.5248191322181621</v>
      </c>
      <c r="AC43" t="s">
        <v>22</v>
      </c>
      <c r="AD43" s="41" t="s">
        <v>22</v>
      </c>
      <c r="AE43" s="41" t="s">
        <v>22</v>
      </c>
      <c r="AF43" s="41" t="s">
        <v>22</v>
      </c>
      <c r="AG43" s="41" t="s">
        <v>22</v>
      </c>
      <c r="AH43" s="41">
        <v>1.1974523127597E-6</v>
      </c>
      <c r="AI43" s="41">
        <v>1.1973044623250199E-6</v>
      </c>
      <c r="AJ43" s="41">
        <v>1.2053145682477301E-6</v>
      </c>
      <c r="AK43" s="41">
        <v>1.64168777284596E-6</v>
      </c>
      <c r="AL43" s="41">
        <v>7.1676960869000204E-6</v>
      </c>
      <c r="AM43" s="43">
        <f t="shared" si="0"/>
        <v>5.9865274977604486</v>
      </c>
      <c r="AN43" s="43">
        <f t="shared" si="1"/>
        <v>5.9467430957217413</v>
      </c>
      <c r="AO43" s="3" t="s">
        <v>1096</v>
      </c>
      <c r="AT43" s="2">
        <f t="shared" si="2"/>
        <v>5</v>
      </c>
      <c r="AU43" s="45">
        <f t="shared" si="3"/>
        <v>1.144620417210388</v>
      </c>
      <c r="AV43" s="45" t="e">
        <f t="shared" si="4"/>
        <v>#VALUE!</v>
      </c>
      <c r="AW43" s="45" t="e">
        <f t="shared" si="5"/>
        <v>#VALUE!</v>
      </c>
      <c r="AX43" s="45" t="e">
        <f t="shared" si="6"/>
        <v>#VALUE!</v>
      </c>
      <c r="AY43" s="45" t="e">
        <f t="shared" si="7"/>
        <v>#VALUE!</v>
      </c>
      <c r="AZ43" s="45" t="e">
        <f t="shared" si="8"/>
        <v>#VALUE!</v>
      </c>
      <c r="BA43" s="45" t="e">
        <f t="shared" si="9"/>
        <v>#VALUE!</v>
      </c>
      <c r="BB43" s="45" t="e">
        <f t="shared" si="10"/>
        <v>#NUM!</v>
      </c>
      <c r="BC43" s="45" t="e">
        <f t="shared" si="11"/>
        <v>#VALUE!</v>
      </c>
      <c r="BD43" s="45" t="e">
        <f t="shared" si="12"/>
        <v>#VALUE!</v>
      </c>
      <c r="BE43" s="45" t="e">
        <f t="shared" si="13"/>
        <v>#VALUE!</v>
      </c>
      <c r="BF43" s="45">
        <f t="shared" si="14"/>
        <v>0.77717498167779031</v>
      </c>
      <c r="BG43" s="45">
        <f t="shared" si="15"/>
        <v>0.77427917701947335</v>
      </c>
      <c r="BH43" s="45">
        <f t="shared" si="16"/>
        <v>0.18321833251031014</v>
      </c>
      <c r="BI43" s="43" t="e">
        <f t="shared" si="17"/>
        <v>#VALUE!</v>
      </c>
      <c r="CA43" s="43" t="s">
        <v>22</v>
      </c>
      <c r="CI43" s="41" t="s">
        <v>22</v>
      </c>
      <c r="CJ43" s="41" t="e">
        <f t="shared" ref="CJ43:CJ48" si="30">LOG10(CI43)</f>
        <v>#VALUE!</v>
      </c>
      <c r="CL43" s="9" t="s">
        <v>1268</v>
      </c>
      <c r="CM43" s="18" t="s">
        <v>1284</v>
      </c>
      <c r="CN43" s="54" t="s">
        <v>1284</v>
      </c>
      <c r="CO43" s="18" t="s">
        <v>1284</v>
      </c>
    </row>
    <row r="44" spans="1:93" x14ac:dyDescent="0.25">
      <c r="A44" s="6" t="s">
        <v>345</v>
      </c>
      <c r="B44" s="41">
        <f>((0.01*7.90400557634619E-06)^-1)*10^-6</f>
        <v>12.651812936375395</v>
      </c>
      <c r="C44" s="41" t="s">
        <v>22</v>
      </c>
      <c r="D44" s="41" t="s">
        <v>22</v>
      </c>
      <c r="E44" s="41" t="s">
        <v>22</v>
      </c>
      <c r="F44" t="s">
        <v>22</v>
      </c>
      <c r="G44" t="s">
        <v>22</v>
      </c>
      <c r="H44" t="s">
        <v>22</v>
      </c>
      <c r="I44" t="s">
        <v>22</v>
      </c>
      <c r="J44" s="41" t="s">
        <v>22</v>
      </c>
      <c r="K44" t="s">
        <v>22</v>
      </c>
      <c r="M44" t="s">
        <v>45</v>
      </c>
      <c r="N44" s="41" t="s">
        <v>22</v>
      </c>
      <c r="O44" s="41" t="s">
        <v>22</v>
      </c>
      <c r="P44" s="41" t="s">
        <v>22</v>
      </c>
      <c r="R44" s="41" t="s">
        <v>22</v>
      </c>
      <c r="S44" s="41" t="s">
        <v>22</v>
      </c>
      <c r="T44" s="41" t="s">
        <v>22</v>
      </c>
      <c r="U44" s="41" t="s">
        <v>22</v>
      </c>
      <c r="V44">
        <v>20200719</v>
      </c>
      <c r="X44">
        <v>1983</v>
      </c>
      <c r="Y44" t="s">
        <v>1092</v>
      </c>
      <c r="Z44" s="18" t="s">
        <v>1090</v>
      </c>
      <c r="AA44" t="s">
        <v>1100</v>
      </c>
      <c r="AB44" s="41">
        <f>((0.0000655815485830962*0.01)^-1)*10^-6</f>
        <v>1.5248191322181621</v>
      </c>
      <c r="AC44" t="s">
        <v>22</v>
      </c>
      <c r="AD44" s="41" t="s">
        <v>22</v>
      </c>
      <c r="AE44" s="41" t="s">
        <v>22</v>
      </c>
      <c r="AF44" s="41" t="s">
        <v>22</v>
      </c>
      <c r="AG44" s="41" t="s">
        <v>22</v>
      </c>
      <c r="AH44" s="41">
        <v>2.168605470912E-6</v>
      </c>
      <c r="AI44" s="41">
        <v>2.168605470912E-6</v>
      </c>
      <c r="AJ44" s="41">
        <v>2.1979251198402799E-6</v>
      </c>
      <c r="AK44" s="41">
        <v>2.7867621111721298E-6</v>
      </c>
      <c r="AL44" s="41">
        <v>7.9040055763461908E-6</v>
      </c>
      <c r="AM44" s="43">
        <f t="shared" si="0"/>
        <v>3.6447411400388043</v>
      </c>
      <c r="AN44" s="43">
        <f t="shared" si="1"/>
        <v>3.596121407866963</v>
      </c>
      <c r="AO44" s="3" t="s">
        <v>1096</v>
      </c>
      <c r="AT44" s="2">
        <f t="shared" si="2"/>
        <v>5</v>
      </c>
      <c r="AU44" s="45">
        <f t="shared" si="3"/>
        <v>1.1021527620217029</v>
      </c>
      <c r="AV44" s="45" t="e">
        <f t="shared" si="4"/>
        <v>#VALUE!</v>
      </c>
      <c r="AW44" s="45" t="e">
        <f t="shared" si="5"/>
        <v>#VALUE!</v>
      </c>
      <c r="AX44" s="45" t="e">
        <f t="shared" si="6"/>
        <v>#VALUE!</v>
      </c>
      <c r="AY44" s="45" t="e">
        <f t="shared" si="7"/>
        <v>#VALUE!</v>
      </c>
      <c r="AZ44" s="45" t="e">
        <f t="shared" si="8"/>
        <v>#VALUE!</v>
      </c>
      <c r="BA44" s="45" t="e">
        <f t="shared" si="9"/>
        <v>#VALUE!</v>
      </c>
      <c r="BB44" s="45" t="e">
        <f t="shared" si="10"/>
        <v>#NUM!</v>
      </c>
      <c r="BC44" s="45" t="e">
        <f t="shared" si="11"/>
        <v>#VALUE!</v>
      </c>
      <c r="BD44" s="45" t="e">
        <f t="shared" si="12"/>
        <v>#VALUE!</v>
      </c>
      <c r="BE44" s="45" t="e">
        <f t="shared" si="13"/>
        <v>#VALUE!</v>
      </c>
      <c r="BF44" s="45">
        <f t="shared" si="14"/>
        <v>0.56166668891054061</v>
      </c>
      <c r="BG44" s="45">
        <f t="shared" si="15"/>
        <v>0.55583434542955135</v>
      </c>
      <c r="BH44" s="45">
        <f t="shared" si="16"/>
        <v>0.18321833251031014</v>
      </c>
      <c r="BI44" s="43" t="e">
        <f t="shared" si="17"/>
        <v>#VALUE!</v>
      </c>
      <c r="CA44" s="43" t="s">
        <v>22</v>
      </c>
      <c r="CI44" s="41" t="s">
        <v>22</v>
      </c>
      <c r="CJ44" s="41" t="e">
        <f t="shared" si="30"/>
        <v>#VALUE!</v>
      </c>
      <c r="CL44" s="9" t="s">
        <v>1268</v>
      </c>
      <c r="CM44" s="18" t="s">
        <v>1284</v>
      </c>
      <c r="CN44" s="54" t="s">
        <v>1284</v>
      </c>
      <c r="CO44" s="18" t="s">
        <v>1284</v>
      </c>
    </row>
    <row r="45" spans="1:93" x14ac:dyDescent="0.25">
      <c r="A45" t="s">
        <v>375</v>
      </c>
      <c r="B45" s="41">
        <f>((0.0000655815485830962*0.01)^-1)*10^-6</f>
        <v>1.5248191322181621</v>
      </c>
      <c r="C45" s="41" t="s">
        <v>22</v>
      </c>
      <c r="D45" s="41" t="s">
        <v>22</v>
      </c>
      <c r="E45" s="41" t="s">
        <v>22</v>
      </c>
      <c r="F45" s="18" t="s">
        <v>22</v>
      </c>
      <c r="G45" s="18" t="s">
        <v>22</v>
      </c>
      <c r="H45" s="18" t="s">
        <v>22</v>
      </c>
      <c r="I45" s="18" t="s">
        <v>22</v>
      </c>
      <c r="J45" s="41" t="s">
        <v>22</v>
      </c>
      <c r="K45" s="18" t="s">
        <v>22</v>
      </c>
      <c r="M45" t="s">
        <v>23</v>
      </c>
      <c r="N45" s="41" t="s">
        <v>22</v>
      </c>
      <c r="O45" s="41" t="s">
        <v>22</v>
      </c>
      <c r="P45" s="41" t="s">
        <v>22</v>
      </c>
      <c r="R45" s="41" t="s">
        <v>22</v>
      </c>
      <c r="S45" s="41" t="s">
        <v>22</v>
      </c>
      <c r="T45" s="41" t="s">
        <v>22</v>
      </c>
      <c r="U45" s="41" t="s">
        <v>22</v>
      </c>
      <c r="V45">
        <v>20200719</v>
      </c>
      <c r="W45" s="16" t="s">
        <v>1097</v>
      </c>
      <c r="X45">
        <v>1983</v>
      </c>
      <c r="Y45" s="18" t="s">
        <v>1092</v>
      </c>
      <c r="Z45" s="18" t="s">
        <v>27</v>
      </c>
      <c r="AA45" t="s">
        <v>22</v>
      </c>
      <c r="AB45" s="41" t="s">
        <v>22</v>
      </c>
      <c r="AC45" s="18" t="s">
        <v>22</v>
      </c>
      <c r="AD45" s="41" t="s">
        <v>22</v>
      </c>
      <c r="AE45" s="41" t="s">
        <v>22</v>
      </c>
      <c r="AF45" s="41" t="s">
        <v>22</v>
      </c>
      <c r="AG45" s="41" t="s">
        <v>22</v>
      </c>
      <c r="AH45" s="41">
        <v>3.9852090303414503E-5</v>
      </c>
      <c r="AI45" s="41">
        <v>3.9852090303414503E-5</v>
      </c>
      <c r="AJ45" s="41">
        <v>4.1522337513691501E-5</v>
      </c>
      <c r="AK45" s="41">
        <v>6.3017060222593293E-5</v>
      </c>
      <c r="AL45" s="41">
        <v>6.5581548583096194E-5</v>
      </c>
      <c r="AM45" s="43">
        <f t="shared" si="0"/>
        <v>1.6456238075290421</v>
      </c>
      <c r="AN45" s="43">
        <f t="shared" si="1"/>
        <v>1.5794281466324349</v>
      </c>
      <c r="AO45" s="3" t="s">
        <v>1096</v>
      </c>
      <c r="AT45" s="2">
        <f t="shared" si="2"/>
        <v>5</v>
      </c>
      <c r="AU45" s="45">
        <f t="shared" si="3"/>
        <v>0.18321833251031014</v>
      </c>
      <c r="AV45" s="45" t="e">
        <f t="shared" si="4"/>
        <v>#VALUE!</v>
      </c>
      <c r="AW45" s="45" t="e">
        <f t="shared" si="5"/>
        <v>#VALUE!</v>
      </c>
      <c r="AX45" s="45" t="e">
        <f t="shared" si="6"/>
        <v>#VALUE!</v>
      </c>
      <c r="AY45" s="45" t="e">
        <f t="shared" si="7"/>
        <v>#VALUE!</v>
      </c>
      <c r="AZ45" s="45" t="e">
        <f t="shared" si="8"/>
        <v>#VALUE!</v>
      </c>
      <c r="BA45" s="45" t="e">
        <f t="shared" si="9"/>
        <v>#VALUE!</v>
      </c>
      <c r="BB45" s="45" t="e">
        <f t="shared" si="10"/>
        <v>#NUM!</v>
      </c>
      <c r="BC45" s="45" t="e">
        <f t="shared" si="11"/>
        <v>#VALUE!</v>
      </c>
      <c r="BD45" s="45" t="e">
        <f t="shared" si="12"/>
        <v>#VALUE!</v>
      </c>
      <c r="BE45" s="45" t="e">
        <f t="shared" si="13"/>
        <v>#VALUE!</v>
      </c>
      <c r="BF45" s="45">
        <f t="shared" si="14"/>
        <v>0.21633056174676657</v>
      </c>
      <c r="BG45" s="45">
        <f t="shared" si="15"/>
        <v>0.1984998732099239</v>
      </c>
      <c r="BH45" s="45" t="e">
        <f t="shared" si="16"/>
        <v>#VALUE!</v>
      </c>
      <c r="BI45" s="43" t="e">
        <f t="shared" si="17"/>
        <v>#VALUE!</v>
      </c>
      <c r="CA45" s="43" t="s">
        <v>22</v>
      </c>
      <c r="CI45" s="41" t="s">
        <v>22</v>
      </c>
      <c r="CJ45" s="41" t="e">
        <f t="shared" si="30"/>
        <v>#VALUE!</v>
      </c>
      <c r="CL45" s="9" t="s">
        <v>1268</v>
      </c>
      <c r="CM45" s="18" t="s">
        <v>1284</v>
      </c>
      <c r="CN45" s="54" t="s">
        <v>1284</v>
      </c>
      <c r="CO45" s="18" t="s">
        <v>1284</v>
      </c>
    </row>
    <row r="46" spans="1:93" x14ac:dyDescent="0.25">
      <c r="A46" s="18" t="s">
        <v>375</v>
      </c>
      <c r="B46" s="41">
        <f>((0.0000490522471740106*0.01)^-1)*10^-6</f>
        <v>2.0386425854304813</v>
      </c>
      <c r="C46" s="41" t="s">
        <v>22</v>
      </c>
      <c r="D46" s="41" t="s">
        <v>22</v>
      </c>
      <c r="E46" s="41" t="s">
        <v>22</v>
      </c>
      <c r="F46" s="18" t="s">
        <v>22</v>
      </c>
      <c r="G46" s="18" t="s">
        <v>22</v>
      </c>
      <c r="H46" s="18" t="s">
        <v>22</v>
      </c>
      <c r="I46" s="18" t="s">
        <v>22</v>
      </c>
      <c r="J46" s="41" t="s">
        <v>22</v>
      </c>
      <c r="K46" s="18" t="s">
        <v>22</v>
      </c>
      <c r="M46" t="s">
        <v>23</v>
      </c>
      <c r="N46" s="41" t="s">
        <v>22</v>
      </c>
      <c r="O46" s="41" t="s">
        <v>22</v>
      </c>
      <c r="P46" s="41" t="s">
        <v>22</v>
      </c>
      <c r="R46" s="41" t="s">
        <v>22</v>
      </c>
      <c r="S46" s="41" t="s">
        <v>22</v>
      </c>
      <c r="T46" s="41" t="s">
        <v>22</v>
      </c>
      <c r="U46" s="41" t="s">
        <v>22</v>
      </c>
      <c r="V46">
        <v>20200719</v>
      </c>
      <c r="W46" s="16" t="s">
        <v>1098</v>
      </c>
      <c r="X46">
        <v>1983</v>
      </c>
      <c r="Y46" s="18" t="s">
        <v>1092</v>
      </c>
      <c r="Z46" s="18" t="s">
        <v>27</v>
      </c>
      <c r="AA46" s="18" t="s">
        <v>22</v>
      </c>
      <c r="AB46" s="41" t="s">
        <v>22</v>
      </c>
      <c r="AC46" s="18" t="s">
        <v>22</v>
      </c>
      <c r="AD46" s="41" t="s">
        <v>22</v>
      </c>
      <c r="AE46" s="41" t="s">
        <v>22</v>
      </c>
      <c r="AF46" s="41" t="s">
        <v>22</v>
      </c>
      <c r="AG46" s="41" t="s">
        <v>22</v>
      </c>
      <c r="AH46" s="41">
        <v>2.0102118187914101E-5</v>
      </c>
      <c r="AI46" s="41">
        <v>2.0377656794111199E-5</v>
      </c>
      <c r="AJ46" s="41">
        <v>2.1827800193656101E-5</v>
      </c>
      <c r="AK46" s="41">
        <v>4.2785288024195197E-5</v>
      </c>
      <c r="AL46" s="41">
        <v>4.9052247174010599E-5</v>
      </c>
      <c r="AM46" s="43">
        <f t="shared" si="0"/>
        <v>2.4071583729973249</v>
      </c>
      <c r="AN46" s="43">
        <f t="shared" si="1"/>
        <v>2.2472373184113552</v>
      </c>
      <c r="AO46" s="19" t="s">
        <v>1096</v>
      </c>
      <c r="AT46" s="2">
        <f t="shared" si="2"/>
        <v>5</v>
      </c>
      <c r="AU46" s="45">
        <f t="shared" si="3"/>
        <v>0.30934109199621124</v>
      </c>
      <c r="AV46" s="45" t="e">
        <f t="shared" si="4"/>
        <v>#VALUE!</v>
      </c>
      <c r="AW46" s="45" t="e">
        <f t="shared" si="5"/>
        <v>#VALUE!</v>
      </c>
      <c r="AX46" s="45" t="e">
        <f t="shared" si="6"/>
        <v>#VALUE!</v>
      </c>
      <c r="AY46" s="45" t="e">
        <f t="shared" si="7"/>
        <v>#VALUE!</v>
      </c>
      <c r="AZ46" s="45" t="e">
        <f t="shared" si="8"/>
        <v>#VALUE!</v>
      </c>
      <c r="BA46" s="45" t="e">
        <f t="shared" si="9"/>
        <v>#VALUE!</v>
      </c>
      <c r="BB46" s="45" t="e">
        <f t="shared" si="10"/>
        <v>#NUM!</v>
      </c>
      <c r="BC46" s="45" t="e">
        <f t="shared" si="11"/>
        <v>#VALUE!</v>
      </c>
      <c r="BD46" s="45" t="e">
        <f t="shared" si="12"/>
        <v>#VALUE!</v>
      </c>
      <c r="BE46" s="45" t="e">
        <f t="shared" si="13"/>
        <v>#VALUE!</v>
      </c>
      <c r="BF46" s="45">
        <f t="shared" si="14"/>
        <v>0.38150466454015236</v>
      </c>
      <c r="BG46" s="45">
        <f t="shared" si="15"/>
        <v>0.35164893829994442</v>
      </c>
      <c r="BH46" s="45" t="e">
        <f t="shared" si="16"/>
        <v>#VALUE!</v>
      </c>
      <c r="BI46" s="43" t="e">
        <f t="shared" si="17"/>
        <v>#VALUE!</v>
      </c>
      <c r="CA46" s="43" t="s">
        <v>22</v>
      </c>
      <c r="CI46" s="41" t="s">
        <v>22</v>
      </c>
      <c r="CJ46" s="41" t="e">
        <f t="shared" si="30"/>
        <v>#VALUE!</v>
      </c>
      <c r="CL46" s="9" t="s">
        <v>1268</v>
      </c>
      <c r="CM46" s="18" t="s">
        <v>1284</v>
      </c>
      <c r="CN46" s="54" t="s">
        <v>1284</v>
      </c>
      <c r="CO46" s="18" t="s">
        <v>1284</v>
      </c>
    </row>
    <row r="47" spans="1:93" s="9" customFormat="1" x14ac:dyDescent="0.25">
      <c r="A47" s="9" t="s">
        <v>345</v>
      </c>
      <c r="B47" s="50">
        <v>20</v>
      </c>
      <c r="C47" s="50" t="s">
        <v>22</v>
      </c>
      <c r="D47" s="50" t="s">
        <v>22</v>
      </c>
      <c r="E47" s="50" t="s">
        <v>22</v>
      </c>
      <c r="F47" s="9" t="s">
        <v>22</v>
      </c>
      <c r="G47" s="9" t="s">
        <v>22</v>
      </c>
      <c r="H47" s="9" t="s">
        <v>22</v>
      </c>
      <c r="I47" s="9" t="s">
        <v>22</v>
      </c>
      <c r="J47" s="50" t="s">
        <v>22</v>
      </c>
      <c r="K47" s="9" t="s">
        <v>22</v>
      </c>
      <c r="L47" s="50"/>
      <c r="M47" s="9" t="s">
        <v>45</v>
      </c>
      <c r="N47" s="50" t="s">
        <v>22</v>
      </c>
      <c r="O47" s="50" t="s">
        <v>22</v>
      </c>
      <c r="P47" s="50" t="s">
        <v>22</v>
      </c>
      <c r="Q47" s="50"/>
      <c r="R47" s="50" t="s">
        <v>22</v>
      </c>
      <c r="S47" s="50" t="s">
        <v>22</v>
      </c>
      <c r="T47" s="50" t="s">
        <v>22</v>
      </c>
      <c r="U47" s="50" t="s">
        <v>22</v>
      </c>
      <c r="V47" s="9">
        <v>20210320</v>
      </c>
      <c r="W47" s="21" t="s">
        <v>1235</v>
      </c>
      <c r="X47" s="21">
        <v>1983</v>
      </c>
      <c r="Z47" s="9" t="s">
        <v>124</v>
      </c>
      <c r="AA47" s="9" t="s">
        <v>1233</v>
      </c>
      <c r="AB47" s="50">
        <v>1.7</v>
      </c>
      <c r="AC47" s="9" t="s">
        <v>22</v>
      </c>
      <c r="AD47" s="50" t="s">
        <v>22</v>
      </c>
      <c r="AE47" s="50" t="s">
        <v>22</v>
      </c>
      <c r="AF47" s="50" t="s">
        <v>22</v>
      </c>
      <c r="AG47" s="50" t="s">
        <v>22</v>
      </c>
      <c r="AH47" s="50" t="s">
        <v>22</v>
      </c>
      <c r="AI47" s="50" t="s">
        <v>22</v>
      </c>
      <c r="AJ47" s="50" t="s">
        <v>22</v>
      </c>
      <c r="AK47" s="50" t="s">
        <v>22</v>
      </c>
      <c r="AL47" s="50" t="s">
        <v>22</v>
      </c>
      <c r="AM47" s="43" t="e">
        <f t="shared" si="0"/>
        <v>#VALUE!</v>
      </c>
      <c r="AN47" s="43" t="e">
        <f t="shared" si="1"/>
        <v>#VALUE!</v>
      </c>
      <c r="AO47" s="21" t="s">
        <v>1234</v>
      </c>
      <c r="AT47" s="2">
        <f t="shared" si="2"/>
        <v>2</v>
      </c>
      <c r="AU47" s="45">
        <f t="shared" si="3"/>
        <v>1.3010299956639813</v>
      </c>
      <c r="AV47" s="45" t="e">
        <f t="shared" si="4"/>
        <v>#VALUE!</v>
      </c>
      <c r="AW47" s="45" t="e">
        <f t="shared" si="5"/>
        <v>#VALUE!</v>
      </c>
      <c r="AX47" s="45" t="e">
        <f t="shared" si="6"/>
        <v>#VALUE!</v>
      </c>
      <c r="AY47" s="45" t="e">
        <f t="shared" si="7"/>
        <v>#VALUE!</v>
      </c>
      <c r="AZ47" s="45" t="e">
        <f t="shared" si="8"/>
        <v>#VALUE!</v>
      </c>
      <c r="BA47" s="45" t="e">
        <f t="shared" si="9"/>
        <v>#VALUE!</v>
      </c>
      <c r="BB47" s="45" t="e">
        <f t="shared" si="10"/>
        <v>#NUM!</v>
      </c>
      <c r="BC47" s="45" t="e">
        <f t="shared" si="11"/>
        <v>#VALUE!</v>
      </c>
      <c r="BD47" s="45" t="e">
        <f t="shared" si="12"/>
        <v>#VALUE!</v>
      </c>
      <c r="BE47" s="45" t="e">
        <f t="shared" si="13"/>
        <v>#VALUE!</v>
      </c>
      <c r="BF47" s="45" t="e">
        <f t="shared" si="14"/>
        <v>#VALUE!</v>
      </c>
      <c r="BG47" s="45" t="e">
        <f t="shared" si="15"/>
        <v>#VALUE!</v>
      </c>
      <c r="BH47" s="45">
        <f t="shared" si="16"/>
        <v>0.23044892137827391</v>
      </c>
      <c r="BI47" s="43" t="e">
        <f t="shared" si="17"/>
        <v>#VALUE!</v>
      </c>
      <c r="BL47" s="20"/>
      <c r="BM47" s="50"/>
      <c r="BN47" s="50"/>
      <c r="BO47" s="50"/>
      <c r="BP47" s="50"/>
      <c r="BQ47" s="50"/>
      <c r="BR47" s="50"/>
      <c r="BU47" s="50"/>
      <c r="BV47" s="50"/>
      <c r="BW47" s="50"/>
      <c r="BX47" s="50"/>
      <c r="BY47" s="50"/>
      <c r="BZ47" s="50"/>
      <c r="CA47" s="43" t="s">
        <v>22</v>
      </c>
      <c r="CE47" s="50"/>
      <c r="CF47" s="50"/>
      <c r="CG47" s="50"/>
      <c r="CH47" s="50"/>
      <c r="CI47" s="50" t="s">
        <v>22</v>
      </c>
      <c r="CJ47" s="50" t="e">
        <f t="shared" si="30"/>
        <v>#VALUE!</v>
      </c>
      <c r="CL47" s="9" t="s">
        <v>1268</v>
      </c>
      <c r="CM47" s="9" t="s">
        <v>1284</v>
      </c>
      <c r="CN47" s="55" t="s">
        <v>1284</v>
      </c>
      <c r="CO47" s="9" t="s">
        <v>1284</v>
      </c>
    </row>
    <row r="48" spans="1:93" s="9" customFormat="1" x14ac:dyDescent="0.25">
      <c r="A48" s="9" t="s">
        <v>345</v>
      </c>
      <c r="B48" s="50">
        <v>0.9</v>
      </c>
      <c r="C48" s="50" t="s">
        <v>22</v>
      </c>
      <c r="D48" s="50" t="s">
        <v>22</v>
      </c>
      <c r="E48" s="50" t="s">
        <v>22</v>
      </c>
      <c r="F48" s="9" t="s">
        <v>22</v>
      </c>
      <c r="G48" s="9" t="s">
        <v>22</v>
      </c>
      <c r="H48" s="9" t="s">
        <v>22</v>
      </c>
      <c r="I48" s="9" t="s">
        <v>22</v>
      </c>
      <c r="J48" s="50" t="s">
        <v>22</v>
      </c>
      <c r="K48" s="9" t="s">
        <v>22</v>
      </c>
      <c r="L48" s="50"/>
      <c r="M48" s="9" t="s">
        <v>45</v>
      </c>
      <c r="N48" s="50" t="s">
        <v>22</v>
      </c>
      <c r="O48" s="50" t="s">
        <v>22</v>
      </c>
      <c r="P48" s="50" t="s">
        <v>22</v>
      </c>
      <c r="Q48" s="50"/>
      <c r="R48" s="50" t="s">
        <v>22</v>
      </c>
      <c r="S48" s="50" t="s">
        <v>22</v>
      </c>
      <c r="T48" s="50" t="s">
        <v>22</v>
      </c>
      <c r="U48" s="50" t="s">
        <v>22</v>
      </c>
      <c r="V48" s="9">
        <v>20210320</v>
      </c>
      <c r="W48" s="21" t="s">
        <v>1236</v>
      </c>
      <c r="X48" s="21">
        <v>1983</v>
      </c>
      <c r="Z48" s="9" t="s">
        <v>124</v>
      </c>
      <c r="AA48" s="9" t="s">
        <v>1233</v>
      </c>
      <c r="AB48" s="50">
        <v>0.14000000000000001</v>
      </c>
      <c r="AC48" s="9" t="s">
        <v>22</v>
      </c>
      <c r="AD48" s="50" t="s">
        <v>22</v>
      </c>
      <c r="AE48" s="50" t="s">
        <v>22</v>
      </c>
      <c r="AF48" s="50" t="s">
        <v>22</v>
      </c>
      <c r="AG48" s="50" t="s">
        <v>22</v>
      </c>
      <c r="AH48" s="50" t="s">
        <v>22</v>
      </c>
      <c r="AI48" s="50" t="s">
        <v>22</v>
      </c>
      <c r="AJ48" s="50" t="s">
        <v>22</v>
      </c>
      <c r="AK48" s="50" t="s">
        <v>22</v>
      </c>
      <c r="AL48" s="50" t="s">
        <v>22</v>
      </c>
      <c r="AM48" s="43" t="e">
        <f t="shared" si="0"/>
        <v>#VALUE!</v>
      </c>
      <c r="AN48" s="43" t="e">
        <f t="shared" si="1"/>
        <v>#VALUE!</v>
      </c>
      <c r="AO48" s="21" t="s">
        <v>1234</v>
      </c>
      <c r="AT48" s="2">
        <f t="shared" si="2"/>
        <v>2</v>
      </c>
      <c r="AU48" s="45">
        <f t="shared" si="3"/>
        <v>-4.5757490560675115E-2</v>
      </c>
      <c r="AV48" s="45" t="e">
        <f t="shared" si="4"/>
        <v>#VALUE!</v>
      </c>
      <c r="AW48" s="45" t="e">
        <f t="shared" si="5"/>
        <v>#VALUE!</v>
      </c>
      <c r="AX48" s="45" t="e">
        <f t="shared" si="6"/>
        <v>#VALUE!</v>
      </c>
      <c r="AY48" s="45" t="e">
        <f t="shared" si="7"/>
        <v>#VALUE!</v>
      </c>
      <c r="AZ48" s="45" t="e">
        <f t="shared" si="8"/>
        <v>#VALUE!</v>
      </c>
      <c r="BA48" s="45" t="e">
        <f t="shared" si="9"/>
        <v>#VALUE!</v>
      </c>
      <c r="BB48" s="45" t="e">
        <f t="shared" si="10"/>
        <v>#NUM!</v>
      </c>
      <c r="BC48" s="45" t="e">
        <f t="shared" si="11"/>
        <v>#VALUE!</v>
      </c>
      <c r="BD48" s="45" t="e">
        <f t="shared" si="12"/>
        <v>#VALUE!</v>
      </c>
      <c r="BE48" s="45" t="e">
        <f t="shared" si="13"/>
        <v>#VALUE!</v>
      </c>
      <c r="BF48" s="45" t="e">
        <f t="shared" si="14"/>
        <v>#VALUE!</v>
      </c>
      <c r="BG48" s="45" t="e">
        <f t="shared" si="15"/>
        <v>#VALUE!</v>
      </c>
      <c r="BH48" s="45">
        <f t="shared" si="16"/>
        <v>-0.85387196432176193</v>
      </c>
      <c r="BI48" s="43" t="e">
        <f t="shared" si="17"/>
        <v>#VALUE!</v>
      </c>
      <c r="BL48" s="20"/>
      <c r="BM48" s="50"/>
      <c r="BN48" s="50"/>
      <c r="BO48" s="50"/>
      <c r="BP48" s="50"/>
      <c r="BQ48" s="50"/>
      <c r="BR48" s="50"/>
      <c r="BU48" s="50"/>
      <c r="BV48" s="50"/>
      <c r="BW48" s="50"/>
      <c r="BX48" s="50"/>
      <c r="BY48" s="50"/>
      <c r="BZ48" s="50"/>
      <c r="CA48" s="43" t="s">
        <v>22</v>
      </c>
      <c r="CE48" s="50"/>
      <c r="CF48" s="50"/>
      <c r="CG48" s="50"/>
      <c r="CH48" s="50"/>
      <c r="CI48" s="50" t="s">
        <v>22</v>
      </c>
      <c r="CJ48" s="50" t="e">
        <f t="shared" si="30"/>
        <v>#VALUE!</v>
      </c>
      <c r="CL48" s="9" t="s">
        <v>1268</v>
      </c>
      <c r="CM48" s="9" t="s">
        <v>1284</v>
      </c>
      <c r="CN48" s="55" t="s">
        <v>1284</v>
      </c>
      <c r="CO48" s="9" t="s">
        <v>1284</v>
      </c>
    </row>
    <row r="49" spans="1:93" x14ac:dyDescent="0.25">
      <c r="A49" s="18" t="s">
        <v>345</v>
      </c>
      <c r="B49" s="41" t="s">
        <v>22</v>
      </c>
      <c r="C49" s="41">
        <f>0.25*8.96</f>
        <v>2.2400000000000002</v>
      </c>
      <c r="D49" s="41" t="s">
        <v>22</v>
      </c>
      <c r="E49" s="41" t="s">
        <v>22</v>
      </c>
      <c r="F49" s="18" t="s">
        <v>22</v>
      </c>
      <c r="G49" s="18" t="s">
        <v>22</v>
      </c>
      <c r="H49" s="18" t="s">
        <v>22</v>
      </c>
      <c r="I49" s="18" t="s">
        <v>22</v>
      </c>
      <c r="J49" s="41" t="s">
        <v>22</v>
      </c>
      <c r="K49" s="18" t="s">
        <v>22</v>
      </c>
      <c r="L49" s="41" t="e">
        <f>IF((10^-12)*J49*K49^4=0,"",(10^-12)*J49*K49^4)</f>
        <v>#VALUE!</v>
      </c>
      <c r="M49" t="s">
        <v>45</v>
      </c>
      <c r="N49" s="41" t="s">
        <v>22</v>
      </c>
      <c r="O49" s="41" t="s">
        <v>22</v>
      </c>
      <c r="P49" s="41" t="s">
        <v>22</v>
      </c>
      <c r="R49" s="41" t="s">
        <v>22</v>
      </c>
      <c r="S49" s="41" t="s">
        <v>22</v>
      </c>
      <c r="T49" s="41" t="s">
        <v>22</v>
      </c>
      <c r="U49" s="41" t="s">
        <v>22</v>
      </c>
      <c r="V49">
        <v>20191229</v>
      </c>
      <c r="W49" s="16" t="s">
        <v>370</v>
      </c>
      <c r="X49">
        <v>1984</v>
      </c>
      <c r="Y49" s="18" t="s">
        <v>22</v>
      </c>
      <c r="Z49" s="18" t="s">
        <v>22</v>
      </c>
      <c r="AA49" t="s">
        <v>22</v>
      </c>
      <c r="AB49" s="41" t="s">
        <v>22</v>
      </c>
      <c r="AC49" s="18" t="s">
        <v>22</v>
      </c>
      <c r="AD49" s="41" t="s">
        <v>22</v>
      </c>
      <c r="AE49" s="41" t="s">
        <v>22</v>
      </c>
      <c r="AF49" s="41" t="s">
        <v>22</v>
      </c>
      <c r="AG49" s="41" t="s">
        <v>22</v>
      </c>
      <c r="AH49" s="41" t="s">
        <v>22</v>
      </c>
      <c r="AI49" s="41" t="s">
        <v>22</v>
      </c>
      <c r="AJ49" s="41" t="s">
        <v>22</v>
      </c>
      <c r="AK49" s="41" t="s">
        <v>22</v>
      </c>
      <c r="AL49" s="41" t="s">
        <v>22</v>
      </c>
      <c r="AM49" s="43" t="e">
        <f t="shared" si="0"/>
        <v>#VALUE!</v>
      </c>
      <c r="AN49" s="43" t="e">
        <f t="shared" si="1"/>
        <v>#VALUE!</v>
      </c>
      <c r="AO49" s="19" t="s">
        <v>373</v>
      </c>
      <c r="AT49" s="2">
        <f t="shared" si="2"/>
        <v>17</v>
      </c>
      <c r="AU49" s="45" t="e">
        <f t="shared" si="3"/>
        <v>#VALUE!</v>
      </c>
      <c r="AV49" s="45">
        <f t="shared" si="4"/>
        <v>0.35024801833416286</v>
      </c>
      <c r="AW49" s="45" t="e">
        <f t="shared" si="5"/>
        <v>#VALUE!</v>
      </c>
      <c r="AX49" s="45" t="e">
        <f t="shared" si="6"/>
        <v>#VALUE!</v>
      </c>
      <c r="AY49" s="45" t="e">
        <f t="shared" si="7"/>
        <v>#VALUE!</v>
      </c>
      <c r="AZ49" s="45" t="e">
        <f t="shared" si="8"/>
        <v>#VALUE!</v>
      </c>
      <c r="BA49" s="45" t="e">
        <f t="shared" si="9"/>
        <v>#VALUE!</v>
      </c>
      <c r="BB49" s="45" t="e">
        <f t="shared" si="10"/>
        <v>#VALUE!</v>
      </c>
      <c r="BC49" s="45" t="e">
        <f t="shared" si="11"/>
        <v>#VALUE!</v>
      </c>
      <c r="BD49" s="45" t="e">
        <f t="shared" si="12"/>
        <v>#VALUE!</v>
      </c>
      <c r="BE49" s="45" t="e">
        <f t="shared" si="13"/>
        <v>#VALUE!</v>
      </c>
      <c r="BF49" s="45" t="e">
        <f t="shared" si="14"/>
        <v>#VALUE!</v>
      </c>
      <c r="BG49" s="45" t="e">
        <f t="shared" si="15"/>
        <v>#VALUE!</v>
      </c>
      <c r="BH49" s="45" t="e">
        <f t="shared" si="16"/>
        <v>#VALUE!</v>
      </c>
      <c r="BI49" s="43" t="e">
        <f t="shared" si="17"/>
        <v>#VALUE!</v>
      </c>
      <c r="CA49" s="43" t="s">
        <v>22</v>
      </c>
      <c r="CC49" t="s">
        <v>22</v>
      </c>
      <c r="CE49" s="41" t="s">
        <v>22</v>
      </c>
      <c r="CF49" s="41" t="s">
        <v>22</v>
      </c>
      <c r="CG49" s="41" t="s">
        <v>22</v>
      </c>
      <c r="CH49" s="41" t="s">
        <v>22</v>
      </c>
      <c r="CI49" s="41" t="s">
        <v>22</v>
      </c>
      <c r="CJ49" s="41" t="e">
        <f t="shared" ref="CJ49:CJ81" si="31">LOG10(CI49)</f>
        <v>#VALUE!</v>
      </c>
      <c r="CL49" s="9" t="s">
        <v>1268</v>
      </c>
      <c r="CM49" s="18" t="s">
        <v>1284</v>
      </c>
      <c r="CN49" s="54" t="s">
        <v>1284</v>
      </c>
      <c r="CO49" s="18" t="s">
        <v>1284</v>
      </c>
    </row>
    <row r="50" spans="1:93" x14ac:dyDescent="0.25">
      <c r="A50" s="6" t="s">
        <v>369</v>
      </c>
      <c r="B50" s="41">
        <v>2.5</v>
      </c>
      <c r="C50" s="41">
        <v>2.2599999999999998</v>
      </c>
      <c r="D50" s="41">
        <v>1.1061946902654867</v>
      </c>
      <c r="E50" s="41" t="s">
        <v>22</v>
      </c>
      <c r="F50" s="18" t="s">
        <v>22</v>
      </c>
      <c r="G50" s="18" t="s">
        <v>22</v>
      </c>
      <c r="H50" s="18" t="s">
        <v>22</v>
      </c>
      <c r="I50" s="18" t="s">
        <v>22</v>
      </c>
      <c r="J50" s="41" t="s">
        <v>22</v>
      </c>
      <c r="K50" s="18" t="s">
        <v>22</v>
      </c>
      <c r="L50" s="41" t="e">
        <f>IF((10^-12)*J50*K50^4=0,"",(10^-12)*J50*K50^4)</f>
        <v>#VALUE!</v>
      </c>
      <c r="M50" t="s">
        <v>23</v>
      </c>
      <c r="N50" s="41">
        <v>20000</v>
      </c>
      <c r="O50" s="41">
        <v>8.8495575221238951</v>
      </c>
      <c r="P50" s="41">
        <v>1000</v>
      </c>
      <c r="R50" s="41">
        <v>50000</v>
      </c>
      <c r="S50" s="41">
        <v>9.7893335421724501</v>
      </c>
      <c r="T50" s="41" t="s">
        <v>22</v>
      </c>
      <c r="U50" s="41" t="s">
        <v>22</v>
      </c>
      <c r="V50">
        <v>20191229</v>
      </c>
      <c r="W50" s="16" t="s">
        <v>391</v>
      </c>
      <c r="X50">
        <v>1984</v>
      </c>
      <c r="Y50" s="18" t="s">
        <v>22</v>
      </c>
      <c r="Z50" s="18" t="s">
        <v>22</v>
      </c>
      <c r="AA50" t="s">
        <v>22</v>
      </c>
      <c r="AB50" s="41" t="s">
        <v>22</v>
      </c>
      <c r="AC50" s="18" t="s">
        <v>22</v>
      </c>
      <c r="AD50" s="41" t="s">
        <v>22</v>
      </c>
      <c r="AE50" s="41" t="s">
        <v>22</v>
      </c>
      <c r="AF50" s="41" t="s">
        <v>22</v>
      </c>
      <c r="AG50" s="41" t="s">
        <v>22</v>
      </c>
      <c r="AH50" s="41" t="s">
        <v>22</v>
      </c>
      <c r="AI50" s="41" t="s">
        <v>22</v>
      </c>
      <c r="AJ50" s="41" t="s">
        <v>22</v>
      </c>
      <c r="AK50" s="41" t="s">
        <v>22</v>
      </c>
      <c r="AL50" s="41" t="s">
        <v>22</v>
      </c>
      <c r="AM50" s="43" t="e">
        <f t="shared" si="0"/>
        <v>#VALUE!</v>
      </c>
      <c r="AN50" s="43" t="e">
        <f t="shared" si="1"/>
        <v>#VALUE!</v>
      </c>
      <c r="AO50" s="19" t="s">
        <v>373</v>
      </c>
      <c r="AT50" s="2">
        <f t="shared" si="2"/>
        <v>17</v>
      </c>
      <c r="AU50" s="45">
        <f t="shared" si="3"/>
        <v>0.3979400086720376</v>
      </c>
      <c r="AV50" s="45">
        <f t="shared" si="4"/>
        <v>0.35410843914740087</v>
      </c>
      <c r="AW50" s="45">
        <f t="shared" si="5"/>
        <v>4.3831569524636668E-2</v>
      </c>
      <c r="AX50" s="45">
        <f t="shared" si="6"/>
        <v>4.3010299956639813</v>
      </c>
      <c r="AY50" s="45">
        <f t="shared" si="7"/>
        <v>0.94692155651658039</v>
      </c>
      <c r="AZ50" s="45">
        <f t="shared" si="8"/>
        <v>3</v>
      </c>
      <c r="BA50" s="45" t="e">
        <f t="shared" si="9"/>
        <v>#VALUE!</v>
      </c>
      <c r="BB50" s="45" t="e">
        <f t="shared" si="10"/>
        <v>#VALUE!</v>
      </c>
      <c r="BC50" s="45" t="e">
        <f t="shared" si="11"/>
        <v>#VALUE!</v>
      </c>
      <c r="BD50" s="45" t="e">
        <f t="shared" si="12"/>
        <v>#VALUE!</v>
      </c>
      <c r="BE50" s="45" t="e">
        <f t="shared" si="13"/>
        <v>#VALUE!</v>
      </c>
      <c r="BF50" s="45" t="e">
        <f t="shared" si="14"/>
        <v>#VALUE!</v>
      </c>
      <c r="BG50" s="45" t="e">
        <f t="shared" si="15"/>
        <v>#VALUE!</v>
      </c>
      <c r="BH50" s="45" t="e">
        <f t="shared" si="16"/>
        <v>#VALUE!</v>
      </c>
      <c r="BI50" s="43" t="e">
        <f t="shared" si="17"/>
        <v>#VALUE!</v>
      </c>
      <c r="CA50" s="43" t="s">
        <v>22</v>
      </c>
      <c r="CC50" t="s">
        <v>22</v>
      </c>
      <c r="CE50" s="41" t="s">
        <v>22</v>
      </c>
      <c r="CF50" s="41" t="s">
        <v>22</v>
      </c>
      <c r="CG50" s="41" t="s">
        <v>22</v>
      </c>
      <c r="CH50" s="41" t="s">
        <v>22</v>
      </c>
      <c r="CI50" s="41" t="s">
        <v>22</v>
      </c>
      <c r="CJ50" s="41" t="e">
        <f t="shared" si="31"/>
        <v>#VALUE!</v>
      </c>
      <c r="CL50" s="9" t="s">
        <v>1268</v>
      </c>
      <c r="CM50" s="18" t="s">
        <v>1284</v>
      </c>
      <c r="CN50" s="54" t="s">
        <v>1284</v>
      </c>
      <c r="CO50" s="18" t="s">
        <v>1284</v>
      </c>
    </row>
    <row r="51" spans="1:93" x14ac:dyDescent="0.25">
      <c r="A51" s="6" t="s">
        <v>375</v>
      </c>
      <c r="B51" s="41">
        <v>1.25</v>
      </c>
      <c r="C51" s="41">
        <v>2</v>
      </c>
      <c r="D51" s="41">
        <v>0.625</v>
      </c>
      <c r="E51" s="41" t="s">
        <v>22</v>
      </c>
      <c r="F51" s="18" t="s">
        <v>22</v>
      </c>
      <c r="G51" s="18" t="s">
        <v>22</v>
      </c>
      <c r="H51" s="18" t="s">
        <v>22</v>
      </c>
      <c r="I51" s="18" t="s">
        <v>22</v>
      </c>
      <c r="J51" s="41" t="s">
        <v>22</v>
      </c>
      <c r="K51" s="18" t="s">
        <v>22</v>
      </c>
      <c r="L51" s="41" t="e">
        <f>IF((10^-12)*J51*K51^4=0,"",(10^-12)*J51*K51^4)</f>
        <v>#VALUE!</v>
      </c>
      <c r="M51" t="s">
        <v>23</v>
      </c>
      <c r="N51" s="41">
        <v>4400</v>
      </c>
      <c r="O51" s="41">
        <v>2.2000000000000002</v>
      </c>
      <c r="P51" s="41">
        <v>180</v>
      </c>
      <c r="R51" s="41">
        <v>5500</v>
      </c>
      <c r="S51" s="41">
        <v>1.375</v>
      </c>
      <c r="T51" s="41" t="s">
        <v>22</v>
      </c>
      <c r="U51" s="41" t="s">
        <v>22</v>
      </c>
      <c r="V51">
        <v>20191229</v>
      </c>
      <c r="W51" s="21" t="s">
        <v>392</v>
      </c>
      <c r="Y51" s="18" t="s">
        <v>22</v>
      </c>
      <c r="Z51" s="18" t="s">
        <v>22</v>
      </c>
      <c r="AA51" s="18" t="s">
        <v>22</v>
      </c>
      <c r="AB51" s="41" t="s">
        <v>22</v>
      </c>
      <c r="AC51" s="18" t="s">
        <v>22</v>
      </c>
      <c r="AD51" s="41" t="s">
        <v>22</v>
      </c>
      <c r="AE51" s="41" t="s">
        <v>22</v>
      </c>
      <c r="AF51" s="41" t="s">
        <v>22</v>
      </c>
      <c r="AG51" s="41" t="s">
        <v>22</v>
      </c>
      <c r="AH51" s="41" t="s">
        <v>22</v>
      </c>
      <c r="AI51" s="41" t="s">
        <v>22</v>
      </c>
      <c r="AJ51" s="41" t="s">
        <v>22</v>
      </c>
      <c r="AK51" s="41" t="s">
        <v>22</v>
      </c>
      <c r="AL51" s="41" t="s">
        <v>22</v>
      </c>
      <c r="AM51" s="43" t="e">
        <f t="shared" si="0"/>
        <v>#VALUE!</v>
      </c>
      <c r="AN51" s="43" t="e">
        <f t="shared" si="1"/>
        <v>#VALUE!</v>
      </c>
      <c r="AO51" s="19" t="s">
        <v>373</v>
      </c>
      <c r="AT51" s="2">
        <f t="shared" si="2"/>
        <v>17</v>
      </c>
      <c r="AU51" s="45">
        <f t="shared" si="3"/>
        <v>9.691001300805642E-2</v>
      </c>
      <c r="AV51" s="45">
        <f t="shared" si="4"/>
        <v>0.3010299956639812</v>
      </c>
      <c r="AW51" s="45">
        <f t="shared" si="5"/>
        <v>-0.20411998265592479</v>
      </c>
      <c r="AX51" s="45">
        <f t="shared" si="6"/>
        <v>3.6434526764861874</v>
      </c>
      <c r="AY51" s="45">
        <f t="shared" si="7"/>
        <v>0.34242268082220628</v>
      </c>
      <c r="AZ51" s="45">
        <f t="shared" si="8"/>
        <v>2.255272505103306</v>
      </c>
      <c r="BA51" s="45" t="e">
        <f t="shared" si="9"/>
        <v>#VALUE!</v>
      </c>
      <c r="BB51" s="45" t="e">
        <f t="shared" si="10"/>
        <v>#VALUE!</v>
      </c>
      <c r="BC51" s="45" t="e">
        <f t="shared" si="11"/>
        <v>#VALUE!</v>
      </c>
      <c r="BD51" s="45" t="e">
        <f t="shared" si="12"/>
        <v>#VALUE!</v>
      </c>
      <c r="BE51" s="45" t="e">
        <f t="shared" si="13"/>
        <v>#VALUE!</v>
      </c>
      <c r="BF51" s="45" t="e">
        <f t="shared" si="14"/>
        <v>#VALUE!</v>
      </c>
      <c r="BG51" s="45" t="e">
        <f t="shared" si="15"/>
        <v>#VALUE!</v>
      </c>
      <c r="BH51" s="45" t="e">
        <f t="shared" si="16"/>
        <v>#VALUE!</v>
      </c>
      <c r="BI51" s="43" t="e">
        <f t="shared" si="17"/>
        <v>#VALUE!</v>
      </c>
      <c r="CA51" s="43" t="s">
        <v>22</v>
      </c>
      <c r="CC51" t="s">
        <v>22</v>
      </c>
      <c r="CE51" s="41" t="s">
        <v>22</v>
      </c>
      <c r="CF51" s="41" t="s">
        <v>22</v>
      </c>
      <c r="CG51" s="41" t="s">
        <v>22</v>
      </c>
      <c r="CH51" s="41" t="s">
        <v>22</v>
      </c>
      <c r="CI51" s="41" t="s">
        <v>22</v>
      </c>
      <c r="CJ51" s="41" t="e">
        <f t="shared" si="31"/>
        <v>#VALUE!</v>
      </c>
      <c r="CL51" s="9" t="s">
        <v>1268</v>
      </c>
      <c r="CM51" s="18" t="s">
        <v>1284</v>
      </c>
      <c r="CN51" s="54" t="s">
        <v>1284</v>
      </c>
      <c r="CO51" s="18" t="s">
        <v>1284</v>
      </c>
    </row>
    <row r="52" spans="1:93" x14ac:dyDescent="0.25">
      <c r="A52" s="18" t="s">
        <v>407</v>
      </c>
      <c r="B52" s="41">
        <f>((96.1*10^-9)^-1)*10^-6</f>
        <v>10.40582726326743</v>
      </c>
      <c r="C52" s="41">
        <v>7.8739999999999997</v>
      </c>
      <c r="D52" s="41">
        <f>0.001*(B52*10^6)/(C52*0.001*100^3)</f>
        <v>1.3215427055203746</v>
      </c>
      <c r="E52" s="41" t="s">
        <v>22</v>
      </c>
      <c r="F52" s="18" t="s">
        <v>22</v>
      </c>
      <c r="G52" s="18" t="s">
        <v>22</v>
      </c>
      <c r="H52" s="18" t="s">
        <v>22</v>
      </c>
      <c r="I52" s="18" t="s">
        <v>22</v>
      </c>
      <c r="J52" s="41" t="s">
        <v>22</v>
      </c>
      <c r="K52" s="18" t="s">
        <v>22</v>
      </c>
      <c r="L52" s="41" t="e">
        <f>IF((10^-12)*J52*K52^4=0,"",(10^-12)*J52*K52^4)</f>
        <v>#VALUE!</v>
      </c>
      <c r="M52" t="s">
        <v>23</v>
      </c>
      <c r="N52" s="41" t="s">
        <v>22</v>
      </c>
      <c r="O52" s="41" t="s">
        <v>22</v>
      </c>
      <c r="P52" s="41" t="s">
        <v>22</v>
      </c>
      <c r="R52" s="41" t="s">
        <v>22</v>
      </c>
      <c r="S52" s="41" t="s">
        <v>22</v>
      </c>
      <c r="T52" s="41" t="s">
        <v>22</v>
      </c>
      <c r="U52" s="41" t="s">
        <v>22</v>
      </c>
      <c r="V52">
        <v>20200518</v>
      </c>
      <c r="W52" s="21" t="s">
        <v>453</v>
      </c>
      <c r="X52">
        <v>1984</v>
      </c>
      <c r="Y52" s="18" t="s">
        <v>22</v>
      </c>
      <c r="Z52" s="18" t="s">
        <v>22</v>
      </c>
      <c r="AA52" s="18" t="s">
        <v>22</v>
      </c>
      <c r="AB52" s="41" t="s">
        <v>22</v>
      </c>
      <c r="AC52" s="18" t="s">
        <v>22</v>
      </c>
      <c r="AD52" s="41" t="s">
        <v>22</v>
      </c>
      <c r="AE52" s="41" t="s">
        <v>22</v>
      </c>
      <c r="AF52" s="41" t="s">
        <v>22</v>
      </c>
      <c r="AG52" s="41" t="s">
        <v>22</v>
      </c>
      <c r="AH52" s="41" t="s">
        <v>22</v>
      </c>
      <c r="AI52" s="41" t="s">
        <v>22</v>
      </c>
      <c r="AJ52" s="41" t="s">
        <v>22</v>
      </c>
      <c r="AK52" s="41" t="s">
        <v>22</v>
      </c>
      <c r="AL52" s="41" t="s">
        <v>22</v>
      </c>
      <c r="AM52" s="43" t="e">
        <f t="shared" si="0"/>
        <v>#VALUE!</v>
      </c>
      <c r="AN52" s="43" t="e">
        <f t="shared" si="1"/>
        <v>#VALUE!</v>
      </c>
      <c r="AO52" s="19" t="s">
        <v>373</v>
      </c>
      <c r="AT52" s="2">
        <f t="shared" si="2"/>
        <v>17</v>
      </c>
      <c r="AU52" s="45">
        <f t="shared" si="3"/>
        <v>1.0172766123314547</v>
      </c>
      <c r="AV52" s="45">
        <f t="shared" si="4"/>
        <v>0.89619541045421069</v>
      </c>
      <c r="AW52" s="45">
        <f t="shared" si="5"/>
        <v>0.12108120187724389</v>
      </c>
      <c r="AX52" s="45" t="e">
        <f t="shared" si="6"/>
        <v>#VALUE!</v>
      </c>
      <c r="AY52" s="45" t="e">
        <f t="shared" si="7"/>
        <v>#VALUE!</v>
      </c>
      <c r="AZ52" s="45" t="e">
        <f t="shared" si="8"/>
        <v>#VALUE!</v>
      </c>
      <c r="BA52" s="45" t="e">
        <f t="shared" si="9"/>
        <v>#VALUE!</v>
      </c>
      <c r="BB52" s="45" t="e">
        <f t="shared" si="10"/>
        <v>#VALUE!</v>
      </c>
      <c r="BC52" s="45" t="e">
        <f t="shared" si="11"/>
        <v>#VALUE!</v>
      </c>
      <c r="BD52" s="45" t="e">
        <f t="shared" si="12"/>
        <v>#VALUE!</v>
      </c>
      <c r="BE52" s="45" t="e">
        <f t="shared" si="13"/>
        <v>#VALUE!</v>
      </c>
      <c r="BF52" s="45" t="e">
        <f t="shared" si="14"/>
        <v>#VALUE!</v>
      </c>
      <c r="BG52" s="45" t="e">
        <f t="shared" si="15"/>
        <v>#VALUE!</v>
      </c>
      <c r="BH52" s="45" t="e">
        <f t="shared" si="16"/>
        <v>#VALUE!</v>
      </c>
      <c r="BI52" s="43" t="e">
        <f t="shared" si="17"/>
        <v>#VALUE!</v>
      </c>
      <c r="CA52" s="43" t="s">
        <v>22</v>
      </c>
      <c r="CC52" t="s">
        <v>22</v>
      </c>
      <c r="CE52" s="41" t="s">
        <v>22</v>
      </c>
      <c r="CF52" s="41" t="s">
        <v>22</v>
      </c>
      <c r="CG52" s="41" t="s">
        <v>22</v>
      </c>
      <c r="CH52" s="41" t="s">
        <v>22</v>
      </c>
      <c r="CI52" s="41" t="str">
        <f t="shared" ref="CI52:CI65" si="32">IF(ISNUMBER(CG52),CG52,U52)</f>
        <v>Not Reported/ Can not calculate</v>
      </c>
      <c r="CJ52" s="41" t="e">
        <f t="shared" si="31"/>
        <v>#VALUE!</v>
      </c>
      <c r="CL52" s="9" t="s">
        <v>407</v>
      </c>
      <c r="CM52" s="18" t="s">
        <v>1284</v>
      </c>
      <c r="CN52" s="54" t="s">
        <v>1284</v>
      </c>
      <c r="CO52" s="18" t="s">
        <v>1284</v>
      </c>
    </row>
    <row r="53" spans="1:93" x14ac:dyDescent="0.25">
      <c r="A53" s="18" t="s">
        <v>345</v>
      </c>
      <c r="B53" s="41" t="s">
        <v>22</v>
      </c>
      <c r="C53" s="41" t="s">
        <v>22</v>
      </c>
      <c r="D53" s="41">
        <v>2.0622152970138798</v>
      </c>
      <c r="E53" s="41" t="s">
        <v>22</v>
      </c>
      <c r="F53" s="18" t="s">
        <v>22</v>
      </c>
      <c r="G53" s="18" t="s">
        <v>22</v>
      </c>
      <c r="H53" s="18" t="s">
        <v>22</v>
      </c>
      <c r="I53" s="18" t="s">
        <v>22</v>
      </c>
      <c r="J53" s="41" t="s">
        <v>22</v>
      </c>
      <c r="K53" s="18" t="s">
        <v>22</v>
      </c>
      <c r="L53" s="41" t="s">
        <v>22</v>
      </c>
      <c r="M53" t="s">
        <v>45</v>
      </c>
      <c r="N53" s="41" t="s">
        <v>22</v>
      </c>
      <c r="O53" s="41">
        <v>1.0950567327768499</v>
      </c>
      <c r="P53" s="41" t="s">
        <v>22</v>
      </c>
      <c r="R53" s="41" t="s">
        <v>22</v>
      </c>
      <c r="S53" s="41">
        <f t="shared" ref="S53:S65" si="33">O53*D53</f>
        <v>2.2582427454304606</v>
      </c>
      <c r="T53" s="41" t="s">
        <v>22</v>
      </c>
      <c r="U53" s="41" t="s">
        <v>22</v>
      </c>
      <c r="V53">
        <v>20200518</v>
      </c>
      <c r="W53" s="16" t="s">
        <v>469</v>
      </c>
      <c r="X53">
        <v>1984</v>
      </c>
      <c r="Y53" s="18" t="s">
        <v>375</v>
      </c>
      <c r="Z53" s="18" t="s">
        <v>22</v>
      </c>
      <c r="AA53" s="18" t="s">
        <v>783</v>
      </c>
      <c r="AB53" s="41" t="s">
        <v>22</v>
      </c>
      <c r="AC53" s="18" t="s">
        <v>22</v>
      </c>
      <c r="AD53" s="41" t="s">
        <v>22</v>
      </c>
      <c r="AE53" s="41" t="s">
        <v>22</v>
      </c>
      <c r="AF53" s="41" t="s">
        <v>22</v>
      </c>
      <c r="AG53" s="41" t="s">
        <v>22</v>
      </c>
      <c r="AH53" s="41" t="s">
        <v>22</v>
      </c>
      <c r="AI53" s="41" t="s">
        <v>22</v>
      </c>
      <c r="AJ53" s="41" t="s">
        <v>22</v>
      </c>
      <c r="AK53" s="41" t="s">
        <v>22</v>
      </c>
      <c r="AL53" s="41" t="s">
        <v>22</v>
      </c>
      <c r="AM53" s="43" t="e">
        <f t="shared" si="0"/>
        <v>#VALUE!</v>
      </c>
      <c r="AN53" s="43" t="e">
        <f t="shared" si="1"/>
        <v>#VALUE!</v>
      </c>
      <c r="AO53" s="19" t="s">
        <v>373</v>
      </c>
      <c r="AT53" s="2">
        <f t="shared" si="2"/>
        <v>17</v>
      </c>
      <c r="AU53" s="45" t="e">
        <f t="shared" si="3"/>
        <v>#VALUE!</v>
      </c>
      <c r="AV53" s="45" t="e">
        <f t="shared" si="4"/>
        <v>#VALUE!</v>
      </c>
      <c r="AW53" s="45">
        <f t="shared" si="5"/>
        <v>0.31433400402415568</v>
      </c>
      <c r="AX53" s="45" t="e">
        <f t="shared" si="6"/>
        <v>#VALUE!</v>
      </c>
      <c r="AY53" s="45">
        <f t="shared" si="7"/>
        <v>3.9436619718306413E-2</v>
      </c>
      <c r="AZ53" s="45" t="e">
        <f t="shared" si="8"/>
        <v>#VALUE!</v>
      </c>
      <c r="BA53" s="45" t="e">
        <f t="shared" si="9"/>
        <v>#VALUE!</v>
      </c>
      <c r="BB53" s="45" t="e">
        <f t="shared" si="10"/>
        <v>#VALUE!</v>
      </c>
      <c r="BC53" s="45" t="e">
        <f t="shared" si="11"/>
        <v>#VALUE!</v>
      </c>
      <c r="BD53" s="45" t="e">
        <f t="shared" si="12"/>
        <v>#VALUE!</v>
      </c>
      <c r="BE53" s="45" t="e">
        <f t="shared" si="13"/>
        <v>#VALUE!</v>
      </c>
      <c r="BF53" s="45" t="e">
        <f t="shared" si="14"/>
        <v>#VALUE!</v>
      </c>
      <c r="BG53" s="45" t="e">
        <f t="shared" si="15"/>
        <v>#VALUE!</v>
      </c>
      <c r="BH53" s="45" t="e">
        <f t="shared" si="16"/>
        <v>#VALUE!</v>
      </c>
      <c r="BI53" s="43" t="e">
        <f t="shared" si="17"/>
        <v>#VALUE!</v>
      </c>
      <c r="CA53" s="43" t="s">
        <v>22</v>
      </c>
      <c r="CC53" t="s">
        <v>22</v>
      </c>
      <c r="CE53" s="41" t="s">
        <v>22</v>
      </c>
      <c r="CF53" s="41" t="s">
        <v>22</v>
      </c>
      <c r="CG53" s="41" t="s">
        <v>22</v>
      </c>
      <c r="CH53" s="41" t="s">
        <v>22</v>
      </c>
      <c r="CI53" s="41" t="str">
        <f t="shared" si="32"/>
        <v>Not Reported/ Can not calculate</v>
      </c>
      <c r="CJ53" s="41" t="e">
        <f t="shared" si="31"/>
        <v>#VALUE!</v>
      </c>
      <c r="CL53" s="9" t="s">
        <v>1268</v>
      </c>
      <c r="CM53" s="18" t="s">
        <v>1284</v>
      </c>
      <c r="CN53" s="54" t="s">
        <v>1284</v>
      </c>
      <c r="CO53" s="18" t="s">
        <v>1284</v>
      </c>
    </row>
    <row r="54" spans="1:93" x14ac:dyDescent="0.25">
      <c r="A54" s="18" t="s">
        <v>375</v>
      </c>
      <c r="B54" s="41" t="s">
        <v>22</v>
      </c>
      <c r="C54" s="41" t="s">
        <v>22</v>
      </c>
      <c r="D54" s="41">
        <v>0.56889688664531701</v>
      </c>
      <c r="E54" s="41" t="s">
        <v>22</v>
      </c>
      <c r="F54" t="s">
        <v>22</v>
      </c>
      <c r="G54" t="s">
        <v>22</v>
      </c>
      <c r="H54" t="s">
        <v>22</v>
      </c>
      <c r="I54" t="s">
        <v>22</v>
      </c>
      <c r="J54" s="41" t="s">
        <v>22</v>
      </c>
      <c r="K54" t="s">
        <v>22</v>
      </c>
      <c r="L54" s="41" t="s">
        <v>22</v>
      </c>
      <c r="M54" t="s">
        <v>23</v>
      </c>
      <c r="N54" s="41" t="s">
        <v>22</v>
      </c>
      <c r="O54" s="41">
        <v>1.9490000000000001</v>
      </c>
      <c r="P54" s="41" t="s">
        <v>22</v>
      </c>
      <c r="R54" s="41" t="s">
        <v>22</v>
      </c>
      <c r="S54" s="41">
        <f t="shared" si="33"/>
        <v>1.1087800320717229</v>
      </c>
      <c r="T54" s="41" t="s">
        <v>22</v>
      </c>
      <c r="U54" s="41" t="s">
        <v>22</v>
      </c>
      <c r="V54">
        <v>20200518</v>
      </c>
      <c r="X54">
        <v>1984</v>
      </c>
      <c r="Y54" s="18" t="s">
        <v>375</v>
      </c>
      <c r="Z54" t="s">
        <v>22</v>
      </c>
      <c r="AA54" t="s">
        <v>22</v>
      </c>
      <c r="AB54" s="41" t="s">
        <v>22</v>
      </c>
      <c r="AC54" t="s">
        <v>22</v>
      </c>
      <c r="AD54" s="41" t="s">
        <v>22</v>
      </c>
      <c r="AE54" s="41" t="s">
        <v>22</v>
      </c>
      <c r="AF54" s="41" t="s">
        <v>22</v>
      </c>
      <c r="AG54" s="41" t="s">
        <v>22</v>
      </c>
      <c r="AH54" s="41" t="s">
        <v>22</v>
      </c>
      <c r="AI54" s="41" t="s">
        <v>22</v>
      </c>
      <c r="AJ54" s="41" t="s">
        <v>22</v>
      </c>
      <c r="AK54" s="41" t="s">
        <v>22</v>
      </c>
      <c r="AL54" s="41" t="s">
        <v>22</v>
      </c>
      <c r="AM54" s="43" t="e">
        <f t="shared" si="0"/>
        <v>#VALUE!</v>
      </c>
      <c r="AN54" s="43" t="e">
        <f t="shared" si="1"/>
        <v>#VALUE!</v>
      </c>
      <c r="AO54" s="19" t="s">
        <v>373</v>
      </c>
      <c r="AT54" s="2">
        <f t="shared" si="2"/>
        <v>17</v>
      </c>
      <c r="AU54" s="45" t="e">
        <f t="shared" si="3"/>
        <v>#VALUE!</v>
      </c>
      <c r="AV54" s="45" t="e">
        <f t="shared" si="4"/>
        <v>#VALUE!</v>
      </c>
      <c r="AW54" s="45">
        <f t="shared" si="5"/>
        <v>-0.24496644295302092</v>
      </c>
      <c r="AX54" s="45" t="e">
        <f t="shared" si="6"/>
        <v>#VALUE!</v>
      </c>
      <c r="AY54" s="45">
        <f t="shared" si="7"/>
        <v>0.28981183911762143</v>
      </c>
      <c r="AZ54" s="45" t="e">
        <f t="shared" si="8"/>
        <v>#VALUE!</v>
      </c>
      <c r="BA54" s="45" t="e">
        <f t="shared" si="9"/>
        <v>#VALUE!</v>
      </c>
      <c r="BB54" s="45" t="e">
        <f t="shared" si="10"/>
        <v>#VALUE!</v>
      </c>
      <c r="BC54" s="45" t="e">
        <f t="shared" si="11"/>
        <v>#VALUE!</v>
      </c>
      <c r="BD54" s="45" t="e">
        <f t="shared" si="12"/>
        <v>#VALUE!</v>
      </c>
      <c r="BE54" s="45" t="e">
        <f t="shared" si="13"/>
        <v>#VALUE!</v>
      </c>
      <c r="BF54" s="45" t="e">
        <f t="shared" si="14"/>
        <v>#VALUE!</v>
      </c>
      <c r="BG54" s="45" t="e">
        <f t="shared" si="15"/>
        <v>#VALUE!</v>
      </c>
      <c r="BH54" s="45" t="e">
        <f t="shared" si="16"/>
        <v>#VALUE!</v>
      </c>
      <c r="BI54" s="43" t="e">
        <f t="shared" si="17"/>
        <v>#VALUE!</v>
      </c>
      <c r="CA54" s="43" t="s">
        <v>22</v>
      </c>
      <c r="CC54" t="s">
        <v>22</v>
      </c>
      <c r="CE54" s="41" t="s">
        <v>22</v>
      </c>
      <c r="CF54" s="41" t="s">
        <v>22</v>
      </c>
      <c r="CG54" s="41" t="s">
        <v>22</v>
      </c>
      <c r="CH54" s="41" t="s">
        <v>22</v>
      </c>
      <c r="CI54" s="41" t="str">
        <f t="shared" si="32"/>
        <v>Not Reported/ Can not calculate</v>
      </c>
      <c r="CJ54" s="41" t="e">
        <f t="shared" si="31"/>
        <v>#VALUE!</v>
      </c>
      <c r="CL54" s="9" t="s">
        <v>1268</v>
      </c>
      <c r="CM54" s="18" t="s">
        <v>1284</v>
      </c>
      <c r="CN54" s="54" t="s">
        <v>1284</v>
      </c>
      <c r="CO54" s="18" t="s">
        <v>1284</v>
      </c>
    </row>
    <row r="55" spans="1:93" x14ac:dyDescent="0.25">
      <c r="A55" s="18" t="s">
        <v>375</v>
      </c>
      <c r="B55" s="41" t="s">
        <v>22</v>
      </c>
      <c r="C55" s="41" t="s">
        <v>22</v>
      </c>
      <c r="D55" s="41">
        <v>0.25470660000000001</v>
      </c>
      <c r="E55" s="41" t="s">
        <v>22</v>
      </c>
      <c r="F55" t="s">
        <v>22</v>
      </c>
      <c r="G55" t="s">
        <v>22</v>
      </c>
      <c r="H55" t="s">
        <v>22</v>
      </c>
      <c r="I55" t="s">
        <v>22</v>
      </c>
      <c r="J55" s="41" t="s">
        <v>22</v>
      </c>
      <c r="K55" t="s">
        <v>22</v>
      </c>
      <c r="L55" s="41" t="s">
        <v>22</v>
      </c>
      <c r="M55" t="s">
        <v>23</v>
      </c>
      <c r="N55" s="41" t="s">
        <v>22</v>
      </c>
      <c r="O55" s="41">
        <v>1.0900000000000001</v>
      </c>
      <c r="P55" s="41" t="s">
        <v>22</v>
      </c>
      <c r="R55" s="41" t="s">
        <v>22</v>
      </c>
      <c r="S55" s="41">
        <f t="shared" si="33"/>
        <v>0.27763019400000005</v>
      </c>
      <c r="T55" s="41" t="s">
        <v>22</v>
      </c>
      <c r="U55" s="41" t="s">
        <v>22</v>
      </c>
      <c r="V55">
        <v>20200518</v>
      </c>
      <c r="X55">
        <v>1984</v>
      </c>
      <c r="Y55" s="18"/>
      <c r="Z55" s="18" t="s">
        <v>22</v>
      </c>
      <c r="AA55" t="s">
        <v>22</v>
      </c>
      <c r="AB55" s="41" t="s">
        <v>22</v>
      </c>
      <c r="AC55" t="s">
        <v>22</v>
      </c>
      <c r="AD55" s="41" t="s">
        <v>22</v>
      </c>
      <c r="AE55" s="41" t="s">
        <v>22</v>
      </c>
      <c r="AF55" s="41" t="s">
        <v>22</v>
      </c>
      <c r="AG55" s="41" t="s">
        <v>22</v>
      </c>
      <c r="AH55" s="41" t="s">
        <v>22</v>
      </c>
      <c r="AI55" s="41" t="s">
        <v>22</v>
      </c>
      <c r="AJ55" s="41" t="s">
        <v>22</v>
      </c>
      <c r="AK55" s="41" t="s">
        <v>22</v>
      </c>
      <c r="AL55" s="41" t="s">
        <v>22</v>
      </c>
      <c r="AM55" s="43" t="e">
        <f t="shared" si="0"/>
        <v>#VALUE!</v>
      </c>
      <c r="AN55" s="43" t="e">
        <f t="shared" si="1"/>
        <v>#VALUE!</v>
      </c>
      <c r="AO55" s="19" t="s">
        <v>373</v>
      </c>
      <c r="AT55" s="2">
        <f t="shared" si="2"/>
        <v>17</v>
      </c>
      <c r="AU55" s="45" t="e">
        <f t="shared" si="3"/>
        <v>#VALUE!</v>
      </c>
      <c r="AV55" s="45" t="e">
        <f t="shared" si="4"/>
        <v>#VALUE!</v>
      </c>
      <c r="AW55" s="45">
        <f t="shared" si="5"/>
        <v>-0.59395980137936233</v>
      </c>
      <c r="AX55" s="45" t="e">
        <f t="shared" si="6"/>
        <v>#VALUE!</v>
      </c>
      <c r="AY55" s="45">
        <f t="shared" si="7"/>
        <v>3.7426497940623665E-2</v>
      </c>
      <c r="AZ55" s="45" t="e">
        <f t="shared" si="8"/>
        <v>#VALUE!</v>
      </c>
      <c r="BA55" s="45" t="e">
        <f t="shared" si="9"/>
        <v>#VALUE!</v>
      </c>
      <c r="BB55" s="45" t="e">
        <f t="shared" si="10"/>
        <v>#VALUE!</v>
      </c>
      <c r="BC55" s="45" t="e">
        <f t="shared" si="11"/>
        <v>#VALUE!</v>
      </c>
      <c r="BD55" s="45" t="e">
        <f t="shared" si="12"/>
        <v>#VALUE!</v>
      </c>
      <c r="BE55" s="45" t="e">
        <f t="shared" si="13"/>
        <v>#VALUE!</v>
      </c>
      <c r="BF55" s="45" t="e">
        <f t="shared" si="14"/>
        <v>#VALUE!</v>
      </c>
      <c r="BG55" s="45" t="e">
        <f t="shared" si="15"/>
        <v>#VALUE!</v>
      </c>
      <c r="BH55" s="45" t="e">
        <f t="shared" si="16"/>
        <v>#VALUE!</v>
      </c>
      <c r="BI55" s="43" t="e">
        <f t="shared" si="17"/>
        <v>#VALUE!</v>
      </c>
      <c r="CA55" s="43" t="s">
        <v>22</v>
      </c>
      <c r="CC55" t="s">
        <v>22</v>
      </c>
      <c r="CE55" s="41" t="s">
        <v>22</v>
      </c>
      <c r="CF55" s="41" t="s">
        <v>22</v>
      </c>
      <c r="CG55" s="41" t="s">
        <v>22</v>
      </c>
      <c r="CH55" s="41" t="s">
        <v>22</v>
      </c>
      <c r="CI55" s="41" t="str">
        <f t="shared" si="32"/>
        <v>Not Reported/ Can not calculate</v>
      </c>
      <c r="CJ55" s="41" t="e">
        <f t="shared" si="31"/>
        <v>#VALUE!</v>
      </c>
      <c r="CL55" s="9" t="s">
        <v>1268</v>
      </c>
      <c r="CM55" s="18" t="s">
        <v>1284</v>
      </c>
      <c r="CN55" s="54" t="s">
        <v>1284</v>
      </c>
      <c r="CO55" s="18" t="s">
        <v>1284</v>
      </c>
    </row>
    <row r="56" spans="1:93" x14ac:dyDescent="0.25">
      <c r="A56" s="6" t="s">
        <v>407</v>
      </c>
      <c r="B56" s="41">
        <f>(10^-6)*(1.7*10^-8)^-1</f>
        <v>58.823529411764703</v>
      </c>
      <c r="C56" s="41">
        <v>8.9</v>
      </c>
      <c r="D56" s="41">
        <f>B56/C56</f>
        <v>6.6093853271645733</v>
      </c>
      <c r="E56" s="41" t="s">
        <v>22</v>
      </c>
      <c r="F56" t="s">
        <v>22</v>
      </c>
      <c r="G56" t="s">
        <v>22</v>
      </c>
      <c r="H56" t="s">
        <v>22</v>
      </c>
      <c r="I56" t="s">
        <v>22</v>
      </c>
      <c r="J56" s="41" t="s">
        <v>22</v>
      </c>
      <c r="K56" t="s">
        <v>22</v>
      </c>
      <c r="L56" s="41" t="e">
        <f t="shared" ref="L56:L74" si="34">IF((10^-12)*J56*K56^4=0,"",(10^-12)*J56*K56^4)</f>
        <v>#VALUE!</v>
      </c>
      <c r="M56" t="s">
        <v>23</v>
      </c>
      <c r="N56" s="41">
        <v>300</v>
      </c>
      <c r="O56" s="41">
        <f>0.001*N56/C56</f>
        <v>3.3707865168539325E-2</v>
      </c>
      <c r="P56" s="41">
        <v>120</v>
      </c>
      <c r="R56" s="41">
        <f>N56*B56</f>
        <v>17647.058823529413</v>
      </c>
      <c r="S56" s="41">
        <f t="shared" si="33"/>
        <v>0.22278826945498562</v>
      </c>
      <c r="T56" s="41" t="s">
        <v>22</v>
      </c>
      <c r="U56" s="41" t="s">
        <v>22</v>
      </c>
      <c r="V56">
        <v>20200518</v>
      </c>
      <c r="W56" s="16" t="s">
        <v>410</v>
      </c>
      <c r="X56">
        <v>1984</v>
      </c>
      <c r="Y56" s="18"/>
      <c r="Z56" s="18"/>
      <c r="AA56" t="s">
        <v>22</v>
      </c>
      <c r="AB56" s="41" t="s">
        <v>22</v>
      </c>
      <c r="AC56" t="s">
        <v>22</v>
      </c>
      <c r="AD56" s="41" t="s">
        <v>22</v>
      </c>
      <c r="AE56" s="41" t="s">
        <v>22</v>
      </c>
      <c r="AF56" s="41" t="s">
        <v>22</v>
      </c>
      <c r="AG56" s="41" t="s">
        <v>22</v>
      </c>
      <c r="AH56" s="41" t="s">
        <v>22</v>
      </c>
      <c r="AI56" s="41" t="s">
        <v>22</v>
      </c>
      <c r="AJ56" s="41" t="s">
        <v>22</v>
      </c>
      <c r="AK56" s="41" t="s">
        <v>22</v>
      </c>
      <c r="AL56" s="41" t="s">
        <v>22</v>
      </c>
      <c r="AM56" s="43" t="e">
        <f t="shared" si="0"/>
        <v>#VALUE!</v>
      </c>
      <c r="AN56" s="43" t="e">
        <f t="shared" si="1"/>
        <v>#VALUE!</v>
      </c>
      <c r="AO56" s="3" t="s">
        <v>373</v>
      </c>
      <c r="AT56" s="2">
        <f t="shared" si="2"/>
        <v>17</v>
      </c>
      <c r="AU56" s="45">
        <f t="shared" si="3"/>
        <v>1.7695510786217261</v>
      </c>
      <c r="AV56" s="45">
        <f t="shared" si="4"/>
        <v>0.9493900066449128</v>
      </c>
      <c r="AW56" s="45">
        <f t="shared" si="5"/>
        <v>0.82016107197681321</v>
      </c>
      <c r="AX56" s="45">
        <f t="shared" si="6"/>
        <v>2.4771212547196626</v>
      </c>
      <c r="AY56" s="45">
        <f t="shared" si="7"/>
        <v>-1.4722687519252504</v>
      </c>
      <c r="AZ56" s="45">
        <f t="shared" si="8"/>
        <v>2.0791812460476247</v>
      </c>
      <c r="BA56" s="45" t="e">
        <f t="shared" si="9"/>
        <v>#VALUE!</v>
      </c>
      <c r="BB56" s="45" t="e">
        <f t="shared" si="10"/>
        <v>#VALUE!</v>
      </c>
      <c r="BC56" s="45" t="e">
        <f t="shared" si="11"/>
        <v>#VALUE!</v>
      </c>
      <c r="BD56" s="45" t="e">
        <f t="shared" si="12"/>
        <v>#VALUE!</v>
      </c>
      <c r="BE56" s="45" t="e">
        <f t="shared" si="13"/>
        <v>#VALUE!</v>
      </c>
      <c r="BF56" s="45" t="e">
        <f t="shared" si="14"/>
        <v>#VALUE!</v>
      </c>
      <c r="BG56" s="45" t="e">
        <f t="shared" si="15"/>
        <v>#VALUE!</v>
      </c>
      <c r="BH56" s="45" t="e">
        <f t="shared" si="16"/>
        <v>#VALUE!</v>
      </c>
      <c r="BI56" s="43" t="e">
        <f t="shared" si="17"/>
        <v>#VALUE!</v>
      </c>
      <c r="CA56" s="43" t="s">
        <v>22</v>
      </c>
      <c r="CC56" t="s">
        <v>22</v>
      </c>
      <c r="CE56" s="41" t="s">
        <v>22</v>
      </c>
      <c r="CF56" s="41" t="s">
        <v>22</v>
      </c>
      <c r="CG56" s="41" t="s">
        <v>22</v>
      </c>
      <c r="CH56" s="41" t="s">
        <v>22</v>
      </c>
      <c r="CI56" s="41" t="str">
        <f t="shared" si="32"/>
        <v>Not Reported/ Can not calculate</v>
      </c>
      <c r="CJ56" s="41" t="e">
        <f t="shared" si="31"/>
        <v>#VALUE!</v>
      </c>
      <c r="CL56" s="9" t="s">
        <v>407</v>
      </c>
      <c r="CM56" s="18" t="s">
        <v>1284</v>
      </c>
      <c r="CN56" s="54" t="s">
        <v>1284</v>
      </c>
      <c r="CO56" s="18" t="s">
        <v>1284</v>
      </c>
    </row>
    <row r="57" spans="1:93" x14ac:dyDescent="0.25">
      <c r="A57" s="6" t="s">
        <v>407</v>
      </c>
      <c r="B57" s="41">
        <f>(10^-6)*(2.8*10^-8)^-1</f>
        <v>35.714285714285715</v>
      </c>
      <c r="C57" s="41">
        <v>2.7</v>
      </c>
      <c r="D57" s="41">
        <f>B57/C57</f>
        <v>13.227513227513228</v>
      </c>
      <c r="E57" s="41" t="s">
        <v>22</v>
      </c>
      <c r="F57" t="s">
        <v>22</v>
      </c>
      <c r="G57" t="s">
        <v>22</v>
      </c>
      <c r="H57" t="s">
        <v>22</v>
      </c>
      <c r="I57" t="s">
        <v>22</v>
      </c>
      <c r="J57" s="41" t="s">
        <v>22</v>
      </c>
      <c r="K57" t="s">
        <v>22</v>
      </c>
      <c r="L57" s="41" t="e">
        <f t="shared" si="34"/>
        <v>#VALUE!</v>
      </c>
      <c r="M57" t="s">
        <v>23</v>
      </c>
      <c r="N57" s="41">
        <v>200</v>
      </c>
      <c r="O57" s="41">
        <f>0.001*N57/C57</f>
        <v>7.407407407407407E-2</v>
      </c>
      <c r="P57" s="41">
        <v>70</v>
      </c>
      <c r="R57" s="41">
        <f>N57*B57</f>
        <v>7142.8571428571431</v>
      </c>
      <c r="S57" s="41">
        <f t="shared" si="33"/>
        <v>0.97981579463060942</v>
      </c>
      <c r="T57" s="41" t="s">
        <v>22</v>
      </c>
      <c r="U57" s="41" t="s">
        <v>22</v>
      </c>
      <c r="V57">
        <v>20200518</v>
      </c>
      <c r="W57" s="16" t="s">
        <v>411</v>
      </c>
      <c r="X57">
        <v>1984</v>
      </c>
      <c r="Y57" s="18"/>
      <c r="Z57" s="18"/>
      <c r="AA57" t="s">
        <v>22</v>
      </c>
      <c r="AB57" s="41" t="s">
        <v>22</v>
      </c>
      <c r="AC57" t="s">
        <v>22</v>
      </c>
      <c r="AD57" s="41" t="s">
        <v>22</v>
      </c>
      <c r="AE57" s="41" t="s">
        <v>22</v>
      </c>
      <c r="AF57" s="41" t="s">
        <v>22</v>
      </c>
      <c r="AG57" s="41" t="s">
        <v>22</v>
      </c>
      <c r="AH57" s="41" t="s">
        <v>22</v>
      </c>
      <c r="AI57" s="41" t="s">
        <v>22</v>
      </c>
      <c r="AJ57" s="41" t="s">
        <v>22</v>
      </c>
      <c r="AK57" s="41" t="s">
        <v>22</v>
      </c>
      <c r="AL57" s="41" t="s">
        <v>22</v>
      </c>
      <c r="AM57" s="43" t="e">
        <f t="shared" si="0"/>
        <v>#VALUE!</v>
      </c>
      <c r="AN57" s="43" t="e">
        <f t="shared" si="1"/>
        <v>#VALUE!</v>
      </c>
      <c r="AO57" s="3" t="s">
        <v>373</v>
      </c>
      <c r="AT57" s="2">
        <f t="shared" si="2"/>
        <v>17</v>
      </c>
      <c r="AU57" s="45">
        <f t="shared" si="3"/>
        <v>1.5528419686577808</v>
      </c>
      <c r="AV57" s="45">
        <f t="shared" si="4"/>
        <v>0.43136376415898736</v>
      </c>
      <c r="AW57" s="45">
        <f t="shared" si="5"/>
        <v>1.1214782044987934</v>
      </c>
      <c r="AX57" s="45">
        <f t="shared" si="6"/>
        <v>2.3010299956639813</v>
      </c>
      <c r="AY57" s="45">
        <f t="shared" si="7"/>
        <v>-1.1303337684950061</v>
      </c>
      <c r="AZ57" s="45">
        <f t="shared" si="8"/>
        <v>1.8450980400142569</v>
      </c>
      <c r="BA57" s="45" t="e">
        <f t="shared" si="9"/>
        <v>#VALUE!</v>
      </c>
      <c r="BB57" s="45" t="e">
        <f t="shared" si="10"/>
        <v>#VALUE!</v>
      </c>
      <c r="BC57" s="45" t="e">
        <f t="shared" si="11"/>
        <v>#VALUE!</v>
      </c>
      <c r="BD57" s="45" t="e">
        <f t="shared" si="12"/>
        <v>#VALUE!</v>
      </c>
      <c r="BE57" s="45" t="e">
        <f t="shared" si="13"/>
        <v>#VALUE!</v>
      </c>
      <c r="BF57" s="45" t="e">
        <f t="shared" si="14"/>
        <v>#VALUE!</v>
      </c>
      <c r="BG57" s="45" t="e">
        <f t="shared" si="15"/>
        <v>#VALUE!</v>
      </c>
      <c r="BH57" s="45" t="e">
        <f t="shared" si="16"/>
        <v>#VALUE!</v>
      </c>
      <c r="BI57" s="43" t="e">
        <f t="shared" si="17"/>
        <v>#VALUE!</v>
      </c>
      <c r="CA57" s="43" t="s">
        <v>22</v>
      </c>
      <c r="CC57" t="s">
        <v>22</v>
      </c>
      <c r="CE57" s="41" t="s">
        <v>22</v>
      </c>
      <c r="CF57" s="41" t="s">
        <v>22</v>
      </c>
      <c r="CG57" s="41" t="s">
        <v>22</v>
      </c>
      <c r="CH57" s="41" t="s">
        <v>22</v>
      </c>
      <c r="CI57" s="41" t="str">
        <f t="shared" si="32"/>
        <v>Not Reported/ Can not calculate</v>
      </c>
      <c r="CJ57" s="41" t="e">
        <f t="shared" si="31"/>
        <v>#VALUE!</v>
      </c>
      <c r="CL57" s="9" t="s">
        <v>407</v>
      </c>
      <c r="CM57" s="18" t="s">
        <v>1284</v>
      </c>
      <c r="CN57" s="54" t="s">
        <v>1284</v>
      </c>
      <c r="CO57" s="18" t="s">
        <v>1284</v>
      </c>
    </row>
    <row r="58" spans="1:93" x14ac:dyDescent="0.25">
      <c r="A58" s="6" t="s">
        <v>407</v>
      </c>
      <c r="B58" s="41">
        <f>(10^-6)*(3.2*10^-8)^-1</f>
        <v>31.249999999999996</v>
      </c>
      <c r="C58" s="41">
        <v>2.7</v>
      </c>
      <c r="D58" s="41">
        <f>B58/C58</f>
        <v>11.574074074074073</v>
      </c>
      <c r="E58" s="41" t="s">
        <v>22</v>
      </c>
      <c r="F58" t="s">
        <v>22</v>
      </c>
      <c r="G58" t="s">
        <v>22</v>
      </c>
      <c r="H58" t="s">
        <v>22</v>
      </c>
      <c r="I58" t="s">
        <v>22</v>
      </c>
      <c r="J58" s="41" t="s">
        <v>22</v>
      </c>
      <c r="K58" t="s">
        <v>22</v>
      </c>
      <c r="L58" s="41" t="e">
        <f t="shared" si="34"/>
        <v>#VALUE!</v>
      </c>
      <c r="M58" t="s">
        <v>23</v>
      </c>
      <c r="N58" s="41">
        <v>300</v>
      </c>
      <c r="O58" s="41">
        <f>0.001*N58/C58</f>
        <v>0.1111111111111111</v>
      </c>
      <c r="R58" s="41">
        <f>N58*B58</f>
        <v>9374.9999999999982</v>
      </c>
      <c r="S58" s="41">
        <f t="shared" si="33"/>
        <v>1.2860082304526748</v>
      </c>
      <c r="T58" s="41" t="s">
        <v>22</v>
      </c>
      <c r="U58" s="41" t="s">
        <v>22</v>
      </c>
      <c r="V58">
        <v>20200518</v>
      </c>
      <c r="W58" s="16" t="s">
        <v>412</v>
      </c>
      <c r="X58">
        <v>1984</v>
      </c>
      <c r="Y58" s="18"/>
      <c r="Z58" s="18"/>
      <c r="AA58" t="s">
        <v>22</v>
      </c>
      <c r="AB58" s="41" t="s">
        <v>22</v>
      </c>
      <c r="AC58" t="s">
        <v>22</v>
      </c>
      <c r="AD58" s="41" t="s">
        <v>22</v>
      </c>
      <c r="AE58" s="41" t="s">
        <v>22</v>
      </c>
      <c r="AF58" s="41" t="s">
        <v>22</v>
      </c>
      <c r="AG58" s="41" t="s">
        <v>22</v>
      </c>
      <c r="AH58" s="41" t="s">
        <v>22</v>
      </c>
      <c r="AI58" s="41" t="s">
        <v>22</v>
      </c>
      <c r="AJ58" s="41" t="s">
        <v>22</v>
      </c>
      <c r="AK58" s="41" t="s">
        <v>22</v>
      </c>
      <c r="AL58" s="41" t="s">
        <v>22</v>
      </c>
      <c r="AM58" s="43" t="e">
        <f t="shared" si="0"/>
        <v>#VALUE!</v>
      </c>
      <c r="AN58" s="43" t="e">
        <f t="shared" si="1"/>
        <v>#VALUE!</v>
      </c>
      <c r="AO58" s="3" t="s">
        <v>373</v>
      </c>
      <c r="AT58" s="2">
        <f t="shared" si="2"/>
        <v>17</v>
      </c>
      <c r="AU58" s="45">
        <f t="shared" si="3"/>
        <v>1.494850021680094</v>
      </c>
      <c r="AV58" s="45">
        <f t="shared" si="4"/>
        <v>0.43136376415898736</v>
      </c>
      <c r="AW58" s="45">
        <f t="shared" si="5"/>
        <v>1.0634862575211066</v>
      </c>
      <c r="AX58" s="45">
        <f t="shared" si="6"/>
        <v>2.4771212547196626</v>
      </c>
      <c r="AY58" s="45">
        <f t="shared" si="7"/>
        <v>-0.95424250943932487</v>
      </c>
      <c r="AZ58" s="45" t="e">
        <f t="shared" si="8"/>
        <v>#NUM!</v>
      </c>
      <c r="BA58" s="45" t="e">
        <f t="shared" si="9"/>
        <v>#VALUE!</v>
      </c>
      <c r="BB58" s="45" t="e">
        <f t="shared" si="10"/>
        <v>#VALUE!</v>
      </c>
      <c r="BC58" s="45" t="e">
        <f t="shared" si="11"/>
        <v>#VALUE!</v>
      </c>
      <c r="BD58" s="45" t="e">
        <f t="shared" si="12"/>
        <v>#VALUE!</v>
      </c>
      <c r="BE58" s="45" t="e">
        <f t="shared" si="13"/>
        <v>#VALUE!</v>
      </c>
      <c r="BF58" s="45" t="e">
        <f t="shared" si="14"/>
        <v>#VALUE!</v>
      </c>
      <c r="BG58" s="45" t="e">
        <f t="shared" si="15"/>
        <v>#VALUE!</v>
      </c>
      <c r="BH58" s="45" t="e">
        <f t="shared" si="16"/>
        <v>#VALUE!</v>
      </c>
      <c r="BI58" s="43" t="e">
        <f t="shared" si="17"/>
        <v>#VALUE!</v>
      </c>
      <c r="CA58" s="43" t="s">
        <v>22</v>
      </c>
      <c r="CC58" t="s">
        <v>22</v>
      </c>
      <c r="CE58" s="41" t="s">
        <v>22</v>
      </c>
      <c r="CF58" s="41" t="s">
        <v>22</v>
      </c>
      <c r="CG58" s="41" t="s">
        <v>22</v>
      </c>
      <c r="CH58" s="41" t="s">
        <v>22</v>
      </c>
      <c r="CI58" s="41" t="str">
        <f t="shared" si="32"/>
        <v>Not Reported/ Can not calculate</v>
      </c>
      <c r="CJ58" s="41" t="e">
        <f t="shared" si="31"/>
        <v>#VALUE!</v>
      </c>
      <c r="CL58" s="9" t="s">
        <v>407</v>
      </c>
      <c r="CM58" s="18" t="s">
        <v>1284</v>
      </c>
      <c r="CN58" s="54" t="s">
        <v>1284</v>
      </c>
      <c r="CO58" s="18" t="s">
        <v>1284</v>
      </c>
    </row>
    <row r="59" spans="1:93" x14ac:dyDescent="0.25">
      <c r="A59" s="6" t="s">
        <v>407</v>
      </c>
      <c r="B59" s="41">
        <f>(10^-6)*(19*10^-8)^-1</f>
        <v>5.2631578947368416</v>
      </c>
      <c r="C59" s="41">
        <v>7.8</v>
      </c>
      <c r="D59" s="41">
        <f>B59/C59</f>
        <v>0.67476383265856943</v>
      </c>
      <c r="E59" s="41" t="s">
        <v>22</v>
      </c>
      <c r="F59" t="s">
        <v>22</v>
      </c>
      <c r="G59" t="s">
        <v>22</v>
      </c>
      <c r="H59" t="s">
        <v>22</v>
      </c>
      <c r="I59" t="s">
        <v>22</v>
      </c>
      <c r="J59" s="41" t="s">
        <v>22</v>
      </c>
      <c r="K59" t="s">
        <v>22</v>
      </c>
      <c r="L59" s="41" t="e">
        <f t="shared" si="34"/>
        <v>#VALUE!</v>
      </c>
      <c r="M59" t="s">
        <v>23</v>
      </c>
      <c r="N59" s="41">
        <v>1000</v>
      </c>
      <c r="O59" s="41">
        <f>0.001*N59/C59</f>
        <v>0.12820512820512822</v>
      </c>
      <c r="P59" s="41">
        <v>200</v>
      </c>
      <c r="R59" s="41">
        <f>N59*B59</f>
        <v>5263.1578947368416</v>
      </c>
      <c r="S59" s="41">
        <f t="shared" si="33"/>
        <v>8.6508183674175579E-2</v>
      </c>
      <c r="T59" s="41" t="s">
        <v>22</v>
      </c>
      <c r="U59" s="41" t="s">
        <v>22</v>
      </c>
      <c r="V59">
        <v>20200518</v>
      </c>
      <c r="W59" s="16" t="s">
        <v>413</v>
      </c>
      <c r="X59">
        <v>1984</v>
      </c>
      <c r="Y59" s="18"/>
      <c r="Z59" s="18"/>
      <c r="AA59" t="s">
        <v>22</v>
      </c>
      <c r="AB59" s="41" t="s">
        <v>22</v>
      </c>
      <c r="AC59" t="s">
        <v>22</v>
      </c>
      <c r="AD59" s="41" t="s">
        <v>22</v>
      </c>
      <c r="AE59" s="41" t="s">
        <v>22</v>
      </c>
      <c r="AF59" s="41" t="s">
        <v>22</v>
      </c>
      <c r="AG59" s="41" t="s">
        <v>22</v>
      </c>
      <c r="AH59" s="41" t="s">
        <v>22</v>
      </c>
      <c r="AI59" s="41" t="s">
        <v>22</v>
      </c>
      <c r="AJ59" s="41" t="s">
        <v>22</v>
      </c>
      <c r="AK59" s="41" t="s">
        <v>22</v>
      </c>
      <c r="AL59" s="41" t="s">
        <v>22</v>
      </c>
      <c r="AM59" s="43" t="e">
        <f t="shared" si="0"/>
        <v>#VALUE!</v>
      </c>
      <c r="AN59" s="43" t="e">
        <f t="shared" si="1"/>
        <v>#VALUE!</v>
      </c>
      <c r="AO59" s="3" t="s">
        <v>373</v>
      </c>
      <c r="AT59" s="2">
        <f t="shared" si="2"/>
        <v>17</v>
      </c>
      <c r="AU59" s="45">
        <f t="shared" si="3"/>
        <v>0.72124639904717103</v>
      </c>
      <c r="AV59" s="45">
        <f t="shared" si="4"/>
        <v>0.89209460269048035</v>
      </c>
      <c r="AW59" s="45">
        <f t="shared" si="5"/>
        <v>-0.17084820364330941</v>
      </c>
      <c r="AX59" s="45">
        <f t="shared" si="6"/>
        <v>3</v>
      </c>
      <c r="AY59" s="45">
        <f t="shared" si="7"/>
        <v>-0.89209460269048035</v>
      </c>
      <c r="AZ59" s="45">
        <f t="shared" si="8"/>
        <v>2.3010299956639813</v>
      </c>
      <c r="BA59" s="45" t="e">
        <f t="shared" si="9"/>
        <v>#VALUE!</v>
      </c>
      <c r="BB59" s="45" t="e">
        <f t="shared" si="10"/>
        <v>#VALUE!</v>
      </c>
      <c r="BC59" s="45" t="e">
        <f t="shared" si="11"/>
        <v>#VALUE!</v>
      </c>
      <c r="BD59" s="45" t="e">
        <f t="shared" si="12"/>
        <v>#VALUE!</v>
      </c>
      <c r="BE59" s="45" t="e">
        <f t="shared" si="13"/>
        <v>#VALUE!</v>
      </c>
      <c r="BF59" s="45" t="e">
        <f t="shared" si="14"/>
        <v>#VALUE!</v>
      </c>
      <c r="BG59" s="45" t="e">
        <f t="shared" si="15"/>
        <v>#VALUE!</v>
      </c>
      <c r="BH59" s="45" t="e">
        <f t="shared" si="16"/>
        <v>#VALUE!</v>
      </c>
      <c r="BI59" s="43" t="e">
        <f t="shared" si="17"/>
        <v>#VALUE!</v>
      </c>
      <c r="CA59" s="43" t="s">
        <v>22</v>
      </c>
      <c r="CC59" t="s">
        <v>22</v>
      </c>
      <c r="CE59" s="41" t="s">
        <v>22</v>
      </c>
      <c r="CF59" s="41" t="s">
        <v>22</v>
      </c>
      <c r="CG59" s="41" t="s">
        <v>22</v>
      </c>
      <c r="CH59" s="41" t="s">
        <v>22</v>
      </c>
      <c r="CI59" s="41" t="str">
        <f t="shared" si="32"/>
        <v>Not Reported/ Can not calculate</v>
      </c>
      <c r="CJ59" s="41" t="e">
        <f t="shared" si="31"/>
        <v>#VALUE!</v>
      </c>
      <c r="CL59" s="9" t="s">
        <v>407</v>
      </c>
      <c r="CM59" s="18" t="s">
        <v>1284</v>
      </c>
      <c r="CN59" s="54" t="s">
        <v>1284</v>
      </c>
      <c r="CO59" s="18" t="s">
        <v>1284</v>
      </c>
    </row>
    <row r="60" spans="1:93" x14ac:dyDescent="0.25">
      <c r="A60" s="6" t="s">
        <v>369</v>
      </c>
      <c r="B60" s="41">
        <f>(10^-6)*(40*10^-8)^-1</f>
        <v>2.5</v>
      </c>
      <c r="C60" s="41">
        <v>2.2599999999999998</v>
      </c>
      <c r="D60" s="41">
        <f>B60/C60</f>
        <v>1.1061946902654869</v>
      </c>
      <c r="E60" s="41" t="s">
        <v>22</v>
      </c>
      <c r="F60" t="s">
        <v>22</v>
      </c>
      <c r="G60" t="s">
        <v>22</v>
      </c>
      <c r="H60" t="s">
        <v>22</v>
      </c>
      <c r="I60" t="s">
        <v>22</v>
      </c>
      <c r="J60" s="41" t="s">
        <v>22</v>
      </c>
      <c r="K60" t="s">
        <v>22</v>
      </c>
      <c r="L60" s="41" t="e">
        <f t="shared" si="34"/>
        <v>#VALUE!</v>
      </c>
      <c r="M60" t="s">
        <v>23</v>
      </c>
      <c r="N60" s="41">
        <v>20000</v>
      </c>
      <c r="O60" s="41">
        <f>0.001*N60/C60</f>
        <v>8.8495575221238951</v>
      </c>
      <c r="P60" s="41">
        <v>1000</v>
      </c>
      <c r="R60" s="41">
        <f>N60*B60</f>
        <v>50000</v>
      </c>
      <c r="S60" s="41">
        <f t="shared" si="33"/>
        <v>9.7893335421724519</v>
      </c>
      <c r="T60" s="41" t="s">
        <v>22</v>
      </c>
      <c r="U60" s="41" t="s">
        <v>22</v>
      </c>
      <c r="V60">
        <v>20200518</v>
      </c>
      <c r="W60" s="16" t="s">
        <v>391</v>
      </c>
      <c r="X60">
        <v>1984</v>
      </c>
      <c r="Y60" s="18"/>
      <c r="Z60" s="18"/>
      <c r="AA60" t="s">
        <v>22</v>
      </c>
      <c r="AB60" s="41" t="s">
        <v>22</v>
      </c>
      <c r="AC60" t="s">
        <v>22</v>
      </c>
      <c r="AD60" s="41" t="s">
        <v>22</v>
      </c>
      <c r="AE60" s="41" t="s">
        <v>22</v>
      </c>
      <c r="AF60" s="41" t="s">
        <v>22</v>
      </c>
      <c r="AG60" s="41" t="s">
        <v>22</v>
      </c>
      <c r="AH60" s="41" t="s">
        <v>22</v>
      </c>
      <c r="AI60" s="41" t="s">
        <v>22</v>
      </c>
      <c r="AJ60" s="41" t="s">
        <v>22</v>
      </c>
      <c r="AK60" s="41" t="s">
        <v>22</v>
      </c>
      <c r="AL60" s="41" t="s">
        <v>22</v>
      </c>
      <c r="AM60" s="43" t="e">
        <f t="shared" si="0"/>
        <v>#VALUE!</v>
      </c>
      <c r="AN60" s="43" t="e">
        <f t="shared" si="1"/>
        <v>#VALUE!</v>
      </c>
      <c r="AO60" s="3" t="s">
        <v>373</v>
      </c>
      <c r="AT60" s="2">
        <f t="shared" si="2"/>
        <v>17</v>
      </c>
      <c r="AU60" s="45">
        <f t="shared" si="3"/>
        <v>0.3979400086720376</v>
      </c>
      <c r="AV60" s="45">
        <f t="shared" si="4"/>
        <v>0.35410843914740087</v>
      </c>
      <c r="AW60" s="45">
        <f t="shared" si="5"/>
        <v>4.3831569524636758E-2</v>
      </c>
      <c r="AX60" s="45">
        <f t="shared" si="6"/>
        <v>4.3010299956639813</v>
      </c>
      <c r="AY60" s="45">
        <f t="shared" si="7"/>
        <v>0.94692155651658039</v>
      </c>
      <c r="AZ60" s="45">
        <f t="shared" si="8"/>
        <v>3</v>
      </c>
      <c r="BA60" s="45" t="e">
        <f t="shared" si="9"/>
        <v>#VALUE!</v>
      </c>
      <c r="BB60" s="45" t="e">
        <f t="shared" si="10"/>
        <v>#VALUE!</v>
      </c>
      <c r="BC60" s="45" t="e">
        <f t="shared" si="11"/>
        <v>#VALUE!</v>
      </c>
      <c r="BD60" s="45" t="e">
        <f t="shared" si="12"/>
        <v>#VALUE!</v>
      </c>
      <c r="BE60" s="45" t="e">
        <f t="shared" si="13"/>
        <v>#VALUE!</v>
      </c>
      <c r="BF60" s="45" t="e">
        <f t="shared" si="14"/>
        <v>#VALUE!</v>
      </c>
      <c r="BG60" s="45" t="e">
        <f t="shared" si="15"/>
        <v>#VALUE!</v>
      </c>
      <c r="BH60" s="45" t="e">
        <f t="shared" si="16"/>
        <v>#VALUE!</v>
      </c>
      <c r="BI60" s="43" t="e">
        <f t="shared" si="17"/>
        <v>#VALUE!</v>
      </c>
      <c r="CA60" s="43" t="s">
        <v>22</v>
      </c>
      <c r="CC60" t="s">
        <v>22</v>
      </c>
      <c r="CE60" s="41" t="s">
        <v>22</v>
      </c>
      <c r="CF60" s="41" t="s">
        <v>22</v>
      </c>
      <c r="CG60" s="41" t="s">
        <v>22</v>
      </c>
      <c r="CH60" s="41" t="s">
        <v>22</v>
      </c>
      <c r="CI60" s="41" t="str">
        <f t="shared" si="32"/>
        <v>Not Reported/ Can not calculate</v>
      </c>
      <c r="CJ60" s="41" t="e">
        <f t="shared" si="31"/>
        <v>#VALUE!</v>
      </c>
      <c r="CL60" s="9" t="s">
        <v>1268</v>
      </c>
      <c r="CM60" s="18" t="s">
        <v>1284</v>
      </c>
      <c r="CN60" s="54" t="s">
        <v>1284</v>
      </c>
      <c r="CO60" s="18" t="s">
        <v>1284</v>
      </c>
    </row>
    <row r="61" spans="1:93" x14ac:dyDescent="0.25">
      <c r="A61" s="6" t="s">
        <v>375</v>
      </c>
      <c r="B61" s="41" t="s">
        <v>22</v>
      </c>
      <c r="D61" s="41">
        <v>0.54612722600459196</v>
      </c>
      <c r="E61" s="41" t="s">
        <v>22</v>
      </c>
      <c r="F61" t="s">
        <v>22</v>
      </c>
      <c r="G61" t="s">
        <v>22</v>
      </c>
      <c r="H61" t="s">
        <v>22</v>
      </c>
      <c r="I61" t="s">
        <v>22</v>
      </c>
      <c r="J61" s="41" t="s">
        <v>22</v>
      </c>
      <c r="K61" t="s">
        <v>22</v>
      </c>
      <c r="L61" s="41" t="e">
        <f t="shared" si="34"/>
        <v>#VALUE!</v>
      </c>
      <c r="M61" t="s">
        <v>23</v>
      </c>
      <c r="O61" s="41">
        <v>1.9207854911879698</v>
      </c>
      <c r="P61" s="41" t="s">
        <v>22</v>
      </c>
      <c r="R61" s="41" t="s">
        <v>22</v>
      </c>
      <c r="S61" s="41">
        <f t="shared" si="33"/>
        <v>1.0489932520523535</v>
      </c>
      <c r="T61" s="41" t="s">
        <v>22</v>
      </c>
      <c r="U61" s="41" t="s">
        <v>22</v>
      </c>
      <c r="V61">
        <v>20200518</v>
      </c>
      <c r="W61" s="9" t="s">
        <v>414</v>
      </c>
      <c r="X61">
        <v>1984</v>
      </c>
      <c r="Y61" t="s">
        <v>375</v>
      </c>
      <c r="Z61" t="s">
        <v>22</v>
      </c>
      <c r="AA61" t="s">
        <v>22</v>
      </c>
      <c r="AB61" s="41" t="s">
        <v>22</v>
      </c>
      <c r="AC61" t="s">
        <v>22</v>
      </c>
      <c r="AD61" s="41" t="s">
        <v>22</v>
      </c>
      <c r="AE61" s="41" t="s">
        <v>22</v>
      </c>
      <c r="AF61" s="41" t="s">
        <v>22</v>
      </c>
      <c r="AG61" s="41" t="s">
        <v>22</v>
      </c>
      <c r="AH61" s="41" t="s">
        <v>22</v>
      </c>
      <c r="AI61" s="41" t="s">
        <v>22</v>
      </c>
      <c r="AJ61" s="41" t="s">
        <v>22</v>
      </c>
      <c r="AK61" s="41" t="s">
        <v>22</v>
      </c>
      <c r="AL61" s="41" t="s">
        <v>22</v>
      </c>
      <c r="AM61" s="43" t="e">
        <f t="shared" si="0"/>
        <v>#VALUE!</v>
      </c>
      <c r="AN61" s="43" t="e">
        <f t="shared" si="1"/>
        <v>#VALUE!</v>
      </c>
      <c r="AO61" s="3" t="s">
        <v>373</v>
      </c>
      <c r="AT61" s="2">
        <f t="shared" si="2"/>
        <v>17</v>
      </c>
      <c r="AU61" s="45" t="e">
        <f t="shared" si="3"/>
        <v>#VALUE!</v>
      </c>
      <c r="AV61" s="45" t="e">
        <f t="shared" si="4"/>
        <v>#NUM!</v>
      </c>
      <c r="AW61" s="45">
        <f t="shared" si="5"/>
        <v>-0.26270617210239661</v>
      </c>
      <c r="AX61" s="45" t="e">
        <f t="shared" si="6"/>
        <v>#NUM!</v>
      </c>
      <c r="AY61" s="45">
        <f t="shared" si="7"/>
        <v>0.28347886658208132</v>
      </c>
      <c r="AZ61" s="45" t="e">
        <f t="shared" si="8"/>
        <v>#VALUE!</v>
      </c>
      <c r="BA61" s="45" t="e">
        <f t="shared" si="9"/>
        <v>#VALUE!</v>
      </c>
      <c r="BB61" s="45" t="e">
        <f t="shared" si="10"/>
        <v>#VALUE!</v>
      </c>
      <c r="BC61" s="45" t="e">
        <f t="shared" si="11"/>
        <v>#VALUE!</v>
      </c>
      <c r="BD61" s="45" t="e">
        <f t="shared" si="12"/>
        <v>#VALUE!</v>
      </c>
      <c r="BE61" s="45" t="e">
        <f t="shared" si="13"/>
        <v>#VALUE!</v>
      </c>
      <c r="BF61" s="45" t="e">
        <f t="shared" si="14"/>
        <v>#VALUE!</v>
      </c>
      <c r="BG61" s="45" t="e">
        <f t="shared" si="15"/>
        <v>#VALUE!</v>
      </c>
      <c r="BH61" s="45" t="e">
        <f t="shared" si="16"/>
        <v>#VALUE!</v>
      </c>
      <c r="BI61" s="43" t="e">
        <f t="shared" si="17"/>
        <v>#VALUE!</v>
      </c>
      <c r="CA61" s="43" t="s">
        <v>22</v>
      </c>
      <c r="CC61" t="s">
        <v>22</v>
      </c>
      <c r="CE61" s="41" t="s">
        <v>22</v>
      </c>
      <c r="CF61" s="41" t="s">
        <v>22</v>
      </c>
      <c r="CG61" s="41" t="s">
        <v>22</v>
      </c>
      <c r="CH61" s="41" t="s">
        <v>22</v>
      </c>
      <c r="CI61" s="41" t="str">
        <f t="shared" si="32"/>
        <v>Not Reported/ Can not calculate</v>
      </c>
      <c r="CJ61" s="41" t="e">
        <f t="shared" si="31"/>
        <v>#VALUE!</v>
      </c>
      <c r="CL61" s="9" t="s">
        <v>1268</v>
      </c>
      <c r="CM61" s="18" t="s">
        <v>1284</v>
      </c>
      <c r="CN61" s="54" t="s">
        <v>1284</v>
      </c>
      <c r="CO61" s="18" t="s">
        <v>1284</v>
      </c>
    </row>
    <row r="62" spans="1:93" x14ac:dyDescent="0.25">
      <c r="A62" s="6" t="s">
        <v>345</v>
      </c>
      <c r="B62" s="41" t="s">
        <v>22</v>
      </c>
      <c r="D62" s="41">
        <v>0.61576095226949801</v>
      </c>
      <c r="E62" s="41" t="s">
        <v>22</v>
      </c>
      <c r="F62" t="s">
        <v>22</v>
      </c>
      <c r="G62" t="s">
        <v>22</v>
      </c>
      <c r="H62" t="s">
        <v>22</v>
      </c>
      <c r="I62" t="s">
        <v>22</v>
      </c>
      <c r="J62" s="41" t="s">
        <v>22</v>
      </c>
      <c r="K62" t="s">
        <v>22</v>
      </c>
      <c r="L62" s="41" t="e">
        <f t="shared" si="34"/>
        <v>#VALUE!</v>
      </c>
      <c r="M62" t="s">
        <v>45</v>
      </c>
      <c r="O62" s="41">
        <v>0.81645776989863494</v>
      </c>
      <c r="P62" s="41" t="s">
        <v>22</v>
      </c>
      <c r="R62" s="41" t="s">
        <v>22</v>
      </c>
      <c r="S62" s="41">
        <f t="shared" si="33"/>
        <v>0.50274281388061415</v>
      </c>
      <c r="T62" s="41" t="s">
        <v>22</v>
      </c>
      <c r="U62" s="41" t="s">
        <v>22</v>
      </c>
      <c r="V62">
        <v>20200518</v>
      </c>
      <c r="W62" s="9" t="s">
        <v>415</v>
      </c>
      <c r="X62">
        <v>1984</v>
      </c>
      <c r="Y62" t="s">
        <v>375</v>
      </c>
      <c r="Z62" t="s">
        <v>124</v>
      </c>
      <c r="AA62" t="s">
        <v>783</v>
      </c>
      <c r="AB62" s="41" t="s">
        <v>22</v>
      </c>
      <c r="AC62" t="s">
        <v>22</v>
      </c>
      <c r="AD62" s="41" t="s">
        <v>22</v>
      </c>
      <c r="AE62" s="41" t="s">
        <v>22</v>
      </c>
      <c r="AF62" s="41" t="s">
        <v>22</v>
      </c>
      <c r="AG62" s="41" t="s">
        <v>22</v>
      </c>
      <c r="AH62" s="41" t="s">
        <v>22</v>
      </c>
      <c r="AI62" s="41" t="s">
        <v>22</v>
      </c>
      <c r="AJ62" s="41" t="s">
        <v>22</v>
      </c>
      <c r="AK62" s="41" t="s">
        <v>22</v>
      </c>
      <c r="AL62" s="41" t="s">
        <v>22</v>
      </c>
      <c r="AM62" s="43" t="e">
        <f t="shared" si="0"/>
        <v>#VALUE!</v>
      </c>
      <c r="AN62" s="43" t="e">
        <f t="shared" si="1"/>
        <v>#VALUE!</v>
      </c>
      <c r="AO62" s="3" t="s">
        <v>373</v>
      </c>
      <c r="AT62" s="2">
        <f t="shared" si="2"/>
        <v>17</v>
      </c>
      <c r="AU62" s="45" t="e">
        <f t="shared" si="3"/>
        <v>#VALUE!</v>
      </c>
      <c r="AV62" s="45" t="e">
        <f t="shared" si="4"/>
        <v>#NUM!</v>
      </c>
      <c r="AW62" s="45">
        <f t="shared" si="5"/>
        <v>-0.21058785481503689</v>
      </c>
      <c r="AX62" s="45" t="e">
        <f t="shared" si="6"/>
        <v>#NUM!</v>
      </c>
      <c r="AY62" s="45">
        <f t="shared" si="7"/>
        <v>-8.8066273602509196E-2</v>
      </c>
      <c r="AZ62" s="45" t="e">
        <f t="shared" si="8"/>
        <v>#VALUE!</v>
      </c>
      <c r="BA62" s="45" t="e">
        <f t="shared" si="9"/>
        <v>#VALUE!</v>
      </c>
      <c r="BB62" s="45" t="e">
        <f t="shared" si="10"/>
        <v>#VALUE!</v>
      </c>
      <c r="BC62" s="45" t="e">
        <f t="shared" si="11"/>
        <v>#VALUE!</v>
      </c>
      <c r="BD62" s="45" t="e">
        <f t="shared" si="12"/>
        <v>#VALUE!</v>
      </c>
      <c r="BE62" s="45" t="e">
        <f t="shared" si="13"/>
        <v>#VALUE!</v>
      </c>
      <c r="BF62" s="45" t="e">
        <f t="shared" si="14"/>
        <v>#VALUE!</v>
      </c>
      <c r="BG62" s="45" t="e">
        <f t="shared" si="15"/>
        <v>#VALUE!</v>
      </c>
      <c r="BH62" s="45" t="e">
        <f t="shared" si="16"/>
        <v>#VALUE!</v>
      </c>
      <c r="BI62" s="43" t="e">
        <f t="shared" si="17"/>
        <v>#VALUE!</v>
      </c>
      <c r="CA62" s="43" t="s">
        <v>22</v>
      </c>
      <c r="CC62" t="s">
        <v>22</v>
      </c>
      <c r="CE62" s="41" t="s">
        <v>22</v>
      </c>
      <c r="CF62" s="41" t="s">
        <v>22</v>
      </c>
      <c r="CG62" s="41" t="s">
        <v>22</v>
      </c>
      <c r="CH62" s="41" t="s">
        <v>22</v>
      </c>
      <c r="CI62" s="41" t="str">
        <f t="shared" si="32"/>
        <v>Not Reported/ Can not calculate</v>
      </c>
      <c r="CJ62" s="41" t="e">
        <f t="shared" si="31"/>
        <v>#VALUE!</v>
      </c>
      <c r="CL62" s="9" t="s">
        <v>1268</v>
      </c>
      <c r="CM62" s="18" t="s">
        <v>1284</v>
      </c>
      <c r="CN62" s="54" t="s">
        <v>1284</v>
      </c>
      <c r="CO62" s="18" t="s">
        <v>1284</v>
      </c>
    </row>
    <row r="63" spans="1:93" x14ac:dyDescent="0.25">
      <c r="A63" s="6" t="s">
        <v>345</v>
      </c>
      <c r="B63" s="41" t="s">
        <v>22</v>
      </c>
      <c r="D63" s="41">
        <v>1.9558707404873801</v>
      </c>
      <c r="E63" s="41" t="s">
        <v>22</v>
      </c>
      <c r="F63" t="s">
        <v>22</v>
      </c>
      <c r="G63" t="s">
        <v>22</v>
      </c>
      <c r="H63" t="s">
        <v>22</v>
      </c>
      <c r="I63" t="s">
        <v>22</v>
      </c>
      <c r="J63" s="41" t="s">
        <v>22</v>
      </c>
      <c r="K63" t="s">
        <v>22</v>
      </c>
      <c r="L63" s="41" t="e">
        <f t="shared" si="34"/>
        <v>#VALUE!</v>
      </c>
      <c r="M63" t="s">
        <v>45</v>
      </c>
      <c r="O63" s="41">
        <v>1.0672368577432598</v>
      </c>
      <c r="P63" s="41" t="s">
        <v>22</v>
      </c>
      <c r="R63" s="41" t="s">
        <v>22</v>
      </c>
      <c r="S63" s="41">
        <f t="shared" si="33"/>
        <v>2.0873773432297344</v>
      </c>
      <c r="T63" s="41" t="s">
        <v>22</v>
      </c>
      <c r="U63" s="41" t="s">
        <v>22</v>
      </c>
      <c r="V63">
        <v>20200518</v>
      </c>
      <c r="W63" s="16" t="s">
        <v>416</v>
      </c>
      <c r="X63">
        <v>1984</v>
      </c>
      <c r="Y63" t="s">
        <v>375</v>
      </c>
      <c r="Z63" t="s">
        <v>124</v>
      </c>
      <c r="AA63" t="s">
        <v>783</v>
      </c>
      <c r="AB63" s="41" t="s">
        <v>22</v>
      </c>
      <c r="AC63" t="s">
        <v>22</v>
      </c>
      <c r="AD63" s="41" t="s">
        <v>22</v>
      </c>
      <c r="AE63" s="41" t="s">
        <v>22</v>
      </c>
      <c r="AF63" s="41" t="s">
        <v>22</v>
      </c>
      <c r="AG63" s="41" t="s">
        <v>22</v>
      </c>
      <c r="AH63" s="41" t="s">
        <v>22</v>
      </c>
      <c r="AI63" s="41" t="s">
        <v>22</v>
      </c>
      <c r="AJ63" s="41" t="s">
        <v>22</v>
      </c>
      <c r="AK63" s="41" t="s">
        <v>22</v>
      </c>
      <c r="AL63" s="41" t="s">
        <v>22</v>
      </c>
      <c r="AM63" s="43" t="e">
        <f t="shared" si="0"/>
        <v>#VALUE!</v>
      </c>
      <c r="AN63" s="43" t="e">
        <f t="shared" si="1"/>
        <v>#VALUE!</v>
      </c>
      <c r="AO63" s="3" t="s">
        <v>373</v>
      </c>
      <c r="AT63" s="2">
        <f t="shared" si="2"/>
        <v>17</v>
      </c>
      <c r="AU63" s="45" t="e">
        <f t="shared" si="3"/>
        <v>#VALUE!</v>
      </c>
      <c r="AV63" s="45" t="e">
        <f t="shared" si="4"/>
        <v>#NUM!</v>
      </c>
      <c r="AW63" s="45">
        <f t="shared" si="5"/>
        <v>0.2913401497624194</v>
      </c>
      <c r="AX63" s="45" t="e">
        <f t="shared" si="6"/>
        <v>#NUM!</v>
      </c>
      <c r="AY63" s="45">
        <f t="shared" si="7"/>
        <v>2.8260815483738485E-2</v>
      </c>
      <c r="AZ63" s="45" t="e">
        <f t="shared" si="8"/>
        <v>#VALUE!</v>
      </c>
      <c r="BA63" s="45" t="e">
        <f t="shared" si="9"/>
        <v>#VALUE!</v>
      </c>
      <c r="BB63" s="45" t="e">
        <f t="shared" si="10"/>
        <v>#VALUE!</v>
      </c>
      <c r="BC63" s="45" t="e">
        <f t="shared" si="11"/>
        <v>#VALUE!</v>
      </c>
      <c r="BD63" s="45" t="e">
        <f t="shared" si="12"/>
        <v>#VALUE!</v>
      </c>
      <c r="BE63" s="45" t="e">
        <f t="shared" si="13"/>
        <v>#VALUE!</v>
      </c>
      <c r="BF63" s="45" t="e">
        <f t="shared" si="14"/>
        <v>#VALUE!</v>
      </c>
      <c r="BG63" s="45" t="e">
        <f t="shared" si="15"/>
        <v>#VALUE!</v>
      </c>
      <c r="BH63" s="45" t="e">
        <f t="shared" si="16"/>
        <v>#VALUE!</v>
      </c>
      <c r="BI63" s="43" t="e">
        <f t="shared" si="17"/>
        <v>#VALUE!</v>
      </c>
      <c r="CA63" s="43" t="s">
        <v>22</v>
      </c>
      <c r="CC63" t="s">
        <v>22</v>
      </c>
      <c r="CE63" s="41" t="s">
        <v>22</v>
      </c>
      <c r="CF63" s="41" t="s">
        <v>22</v>
      </c>
      <c r="CG63" s="41" t="s">
        <v>22</v>
      </c>
      <c r="CH63" s="41" t="s">
        <v>22</v>
      </c>
      <c r="CI63" s="41" t="str">
        <f t="shared" si="32"/>
        <v>Not Reported/ Can not calculate</v>
      </c>
      <c r="CJ63" s="41" t="e">
        <f t="shared" si="31"/>
        <v>#VALUE!</v>
      </c>
      <c r="CL63" s="9" t="s">
        <v>1268</v>
      </c>
      <c r="CM63" s="18" t="s">
        <v>1284</v>
      </c>
      <c r="CN63" s="54" t="s">
        <v>1284</v>
      </c>
      <c r="CO63" s="18" t="s">
        <v>1284</v>
      </c>
    </row>
    <row r="64" spans="1:93" x14ac:dyDescent="0.25">
      <c r="A64" s="6" t="s">
        <v>345</v>
      </c>
      <c r="B64" s="41" t="s">
        <v>22</v>
      </c>
      <c r="D64" s="41">
        <v>2.36095409963005</v>
      </c>
      <c r="E64" s="41" t="s">
        <v>22</v>
      </c>
      <c r="F64" t="s">
        <v>22</v>
      </c>
      <c r="G64" t="s">
        <v>22</v>
      </c>
      <c r="H64" t="s">
        <v>22</v>
      </c>
      <c r="I64" t="s">
        <v>22</v>
      </c>
      <c r="J64" s="41" t="s">
        <v>22</v>
      </c>
      <c r="K64" t="s">
        <v>22</v>
      </c>
      <c r="L64" s="41" t="e">
        <f t="shared" si="34"/>
        <v>#VALUE!</v>
      </c>
      <c r="M64" t="s">
        <v>45</v>
      </c>
      <c r="O64" s="41">
        <v>0.57614181010712406</v>
      </c>
      <c r="P64" s="41" t="s">
        <v>22</v>
      </c>
      <c r="R64" s="41" t="s">
        <v>22</v>
      </c>
      <c r="S64" s="41">
        <f t="shared" si="33"/>
        <v>1.3602443685406924</v>
      </c>
      <c r="T64" s="41" t="s">
        <v>22</v>
      </c>
      <c r="U64" s="41" t="s">
        <v>22</v>
      </c>
      <c r="V64">
        <v>20200518</v>
      </c>
      <c r="W64" s="16" t="s">
        <v>417</v>
      </c>
      <c r="X64">
        <v>1984</v>
      </c>
      <c r="Y64" t="s">
        <v>375</v>
      </c>
      <c r="Z64" t="s">
        <v>124</v>
      </c>
      <c r="AA64" t="s">
        <v>781</v>
      </c>
      <c r="AB64" s="41" t="s">
        <v>22</v>
      </c>
      <c r="AC64" t="s">
        <v>22</v>
      </c>
      <c r="AD64" s="41" t="s">
        <v>22</v>
      </c>
      <c r="AE64" s="41" t="s">
        <v>22</v>
      </c>
      <c r="AF64" s="41" t="s">
        <v>22</v>
      </c>
      <c r="AG64" s="41" t="s">
        <v>22</v>
      </c>
      <c r="AH64" s="41" t="s">
        <v>22</v>
      </c>
      <c r="AI64" s="41" t="s">
        <v>22</v>
      </c>
      <c r="AJ64" s="41" t="s">
        <v>22</v>
      </c>
      <c r="AK64" s="41" t="s">
        <v>22</v>
      </c>
      <c r="AL64" s="41" t="s">
        <v>22</v>
      </c>
      <c r="AM64" s="43" t="e">
        <f t="shared" si="0"/>
        <v>#VALUE!</v>
      </c>
      <c r="AN64" s="43" t="e">
        <f t="shared" si="1"/>
        <v>#VALUE!</v>
      </c>
      <c r="AO64" s="3" t="s">
        <v>373</v>
      </c>
      <c r="AT64" s="2">
        <f t="shared" si="2"/>
        <v>17</v>
      </c>
      <c r="AU64" s="45" t="e">
        <f t="shared" si="3"/>
        <v>#VALUE!</v>
      </c>
      <c r="AV64" s="45" t="e">
        <f t="shared" si="4"/>
        <v>#NUM!</v>
      </c>
      <c r="AW64" s="45">
        <f t="shared" si="5"/>
        <v>0.37308754384655379</v>
      </c>
      <c r="AX64" s="45" t="e">
        <f t="shared" si="6"/>
        <v>#NUM!</v>
      </c>
      <c r="AY64" s="45">
        <f t="shared" si="7"/>
        <v>-0.2394706072592494</v>
      </c>
      <c r="AZ64" s="45" t="e">
        <f t="shared" si="8"/>
        <v>#VALUE!</v>
      </c>
      <c r="BA64" s="45" t="e">
        <f t="shared" si="9"/>
        <v>#VALUE!</v>
      </c>
      <c r="BB64" s="45" t="e">
        <f t="shared" si="10"/>
        <v>#VALUE!</v>
      </c>
      <c r="BC64" s="45" t="e">
        <f t="shared" si="11"/>
        <v>#VALUE!</v>
      </c>
      <c r="BD64" s="45" t="e">
        <f t="shared" si="12"/>
        <v>#VALUE!</v>
      </c>
      <c r="BE64" s="45" t="e">
        <f t="shared" si="13"/>
        <v>#VALUE!</v>
      </c>
      <c r="BF64" s="45" t="e">
        <f t="shared" si="14"/>
        <v>#VALUE!</v>
      </c>
      <c r="BG64" s="45" t="e">
        <f t="shared" si="15"/>
        <v>#VALUE!</v>
      </c>
      <c r="BH64" s="45" t="e">
        <f t="shared" si="16"/>
        <v>#VALUE!</v>
      </c>
      <c r="BI64" s="43" t="e">
        <f t="shared" si="17"/>
        <v>#VALUE!</v>
      </c>
      <c r="CA64" s="43" t="s">
        <v>22</v>
      </c>
      <c r="CC64" t="s">
        <v>22</v>
      </c>
      <c r="CE64" s="41" t="s">
        <v>22</v>
      </c>
      <c r="CF64" s="41" t="s">
        <v>22</v>
      </c>
      <c r="CG64" s="41" t="s">
        <v>22</v>
      </c>
      <c r="CH64" s="41" t="s">
        <v>22</v>
      </c>
      <c r="CI64" s="41" t="str">
        <f t="shared" si="32"/>
        <v>Not Reported/ Can not calculate</v>
      </c>
      <c r="CJ64" s="41" t="e">
        <f t="shared" si="31"/>
        <v>#VALUE!</v>
      </c>
      <c r="CL64" s="9" t="s">
        <v>1268</v>
      </c>
      <c r="CM64" s="18" t="s">
        <v>1284</v>
      </c>
      <c r="CN64" s="54" t="s">
        <v>1284</v>
      </c>
      <c r="CO64" s="18" t="s">
        <v>1284</v>
      </c>
    </row>
    <row r="65" spans="1:93" x14ac:dyDescent="0.25">
      <c r="A65" s="6" t="s">
        <v>345</v>
      </c>
      <c r="B65" s="41" t="s">
        <v>22</v>
      </c>
      <c r="D65" s="41">
        <v>3.6251029716560601</v>
      </c>
      <c r="E65" s="41" t="s">
        <v>22</v>
      </c>
      <c r="F65" t="s">
        <v>22</v>
      </c>
      <c r="G65" t="s">
        <v>22</v>
      </c>
      <c r="H65" t="s">
        <v>22</v>
      </c>
      <c r="I65" t="s">
        <v>22</v>
      </c>
      <c r="J65" s="41" t="s">
        <v>22</v>
      </c>
      <c r="K65" t="s">
        <v>22</v>
      </c>
      <c r="L65" s="41" t="e">
        <f t="shared" si="34"/>
        <v>#VALUE!</v>
      </c>
      <c r="M65" t="s">
        <v>45</v>
      </c>
      <c r="O65" s="41">
        <v>0.50141983261664602</v>
      </c>
      <c r="P65" s="41" t="s">
        <v>22</v>
      </c>
      <c r="R65" s="41" t="s">
        <v>22</v>
      </c>
      <c r="S65" s="41">
        <f t="shared" si="33"/>
        <v>1.8176985252658877</v>
      </c>
      <c r="T65" s="41" t="s">
        <v>22</v>
      </c>
      <c r="U65" s="41" t="s">
        <v>22</v>
      </c>
      <c r="V65">
        <v>20200518</v>
      </c>
      <c r="W65" s="16" t="s">
        <v>418</v>
      </c>
      <c r="X65">
        <v>1984</v>
      </c>
      <c r="Z65" t="s">
        <v>124</v>
      </c>
      <c r="AA65" t="s">
        <v>772</v>
      </c>
      <c r="AB65" s="41" t="s">
        <v>22</v>
      </c>
      <c r="AC65" t="s">
        <v>22</v>
      </c>
      <c r="AD65" s="41" t="s">
        <v>22</v>
      </c>
      <c r="AE65" s="41" t="s">
        <v>22</v>
      </c>
      <c r="AF65" s="41" t="s">
        <v>22</v>
      </c>
      <c r="AG65" s="41" t="s">
        <v>22</v>
      </c>
      <c r="AH65" s="41" t="s">
        <v>22</v>
      </c>
      <c r="AI65" s="41" t="s">
        <v>22</v>
      </c>
      <c r="AJ65" s="41" t="s">
        <v>22</v>
      </c>
      <c r="AK65" s="41" t="s">
        <v>22</v>
      </c>
      <c r="AL65" s="41" t="s">
        <v>22</v>
      </c>
      <c r="AM65" s="43" t="e">
        <f t="shared" si="0"/>
        <v>#VALUE!</v>
      </c>
      <c r="AN65" s="43" t="e">
        <f t="shared" si="1"/>
        <v>#VALUE!</v>
      </c>
      <c r="AO65" s="3" t="s">
        <v>373</v>
      </c>
      <c r="AT65" s="2">
        <f t="shared" si="2"/>
        <v>17</v>
      </c>
      <c r="AU65" s="45" t="e">
        <f t="shared" si="3"/>
        <v>#VALUE!</v>
      </c>
      <c r="AV65" s="45" t="e">
        <f t="shared" si="4"/>
        <v>#NUM!</v>
      </c>
      <c r="AW65" s="45">
        <f t="shared" si="5"/>
        <v>0.55932034728959834</v>
      </c>
      <c r="AX65" s="45" t="e">
        <f t="shared" si="6"/>
        <v>#NUM!</v>
      </c>
      <c r="AY65" s="45">
        <f t="shared" si="7"/>
        <v>-0.29979849242481005</v>
      </c>
      <c r="AZ65" s="45" t="e">
        <f t="shared" si="8"/>
        <v>#VALUE!</v>
      </c>
      <c r="BA65" s="45" t="e">
        <f t="shared" si="9"/>
        <v>#VALUE!</v>
      </c>
      <c r="BB65" s="45" t="e">
        <f t="shared" si="10"/>
        <v>#VALUE!</v>
      </c>
      <c r="BC65" s="45" t="e">
        <f t="shared" si="11"/>
        <v>#VALUE!</v>
      </c>
      <c r="BD65" s="45" t="e">
        <f t="shared" si="12"/>
        <v>#VALUE!</v>
      </c>
      <c r="BE65" s="45" t="e">
        <f t="shared" si="13"/>
        <v>#VALUE!</v>
      </c>
      <c r="BF65" s="45" t="e">
        <f t="shared" si="14"/>
        <v>#VALUE!</v>
      </c>
      <c r="BG65" s="45" t="e">
        <f t="shared" si="15"/>
        <v>#VALUE!</v>
      </c>
      <c r="BH65" s="45" t="e">
        <f t="shared" si="16"/>
        <v>#VALUE!</v>
      </c>
      <c r="BI65" s="43" t="e">
        <f t="shared" si="17"/>
        <v>#VALUE!</v>
      </c>
      <c r="CA65" s="43" t="s">
        <v>22</v>
      </c>
      <c r="CC65" t="s">
        <v>22</v>
      </c>
      <c r="CE65" s="41" t="s">
        <v>22</v>
      </c>
      <c r="CF65" s="41" t="s">
        <v>22</v>
      </c>
      <c r="CG65" s="41" t="s">
        <v>22</v>
      </c>
      <c r="CH65" s="41" t="s">
        <v>22</v>
      </c>
      <c r="CI65" s="41" t="str">
        <f t="shared" si="32"/>
        <v>Not Reported/ Can not calculate</v>
      </c>
      <c r="CJ65" s="41" t="e">
        <f t="shared" si="31"/>
        <v>#VALUE!</v>
      </c>
      <c r="CL65" s="9" t="s">
        <v>1268</v>
      </c>
      <c r="CM65" s="18" t="s">
        <v>1284</v>
      </c>
      <c r="CN65" s="54" t="s">
        <v>1284</v>
      </c>
      <c r="CO65" s="18" t="s">
        <v>1284</v>
      </c>
    </row>
    <row r="66" spans="1:93" x14ac:dyDescent="0.25">
      <c r="A66" s="18" t="s">
        <v>345</v>
      </c>
      <c r="B66" s="41">
        <f>(10^-6)*(38.9*10^-8)^-1</f>
        <v>2.5706940874035991</v>
      </c>
      <c r="C66" s="41" t="s">
        <v>22</v>
      </c>
      <c r="D66" s="41" t="s">
        <v>22</v>
      </c>
      <c r="E66" s="41" t="s">
        <v>22</v>
      </c>
      <c r="F66" t="s">
        <v>22</v>
      </c>
      <c r="G66" t="s">
        <v>22</v>
      </c>
      <c r="H66" t="s">
        <v>22</v>
      </c>
      <c r="I66" t="s">
        <v>22</v>
      </c>
      <c r="J66" s="41" t="s">
        <v>22</v>
      </c>
      <c r="K66" t="s">
        <v>22</v>
      </c>
      <c r="L66" s="41" t="e">
        <f t="shared" si="34"/>
        <v>#VALUE!</v>
      </c>
      <c r="M66" t="s">
        <v>45</v>
      </c>
      <c r="N66" s="41" t="s">
        <v>22</v>
      </c>
      <c r="O66" s="41" t="s">
        <v>22</v>
      </c>
      <c r="P66" s="41" t="s">
        <v>22</v>
      </c>
      <c r="R66" s="41" t="s">
        <v>22</v>
      </c>
      <c r="S66" s="41" t="s">
        <v>22</v>
      </c>
      <c r="T66" s="41" t="s">
        <v>22</v>
      </c>
      <c r="U66" s="41" t="s">
        <v>22</v>
      </c>
      <c r="V66">
        <v>20200101</v>
      </c>
      <c r="W66" s="16" t="s">
        <v>431</v>
      </c>
      <c r="X66">
        <v>1985</v>
      </c>
      <c r="Y66" t="s">
        <v>375</v>
      </c>
      <c r="Z66" t="s">
        <v>124</v>
      </c>
      <c r="AA66" t="s">
        <v>737</v>
      </c>
      <c r="AB66" s="41">
        <v>0.24199999999999999</v>
      </c>
      <c r="AC66" t="s">
        <v>22</v>
      </c>
      <c r="AD66" s="41">
        <v>5</v>
      </c>
      <c r="AE66" s="41" t="s">
        <v>22</v>
      </c>
      <c r="AF66" s="41" t="s">
        <v>22</v>
      </c>
      <c r="AG66" s="41" t="s">
        <v>22</v>
      </c>
      <c r="AH66" s="41" t="s">
        <v>22</v>
      </c>
      <c r="AI66" s="41" t="s">
        <v>22</v>
      </c>
      <c r="AJ66" s="41" t="s">
        <v>22</v>
      </c>
      <c r="AK66" s="41" t="s">
        <v>22</v>
      </c>
      <c r="AL66" s="41" t="s">
        <v>22</v>
      </c>
      <c r="AM66" s="43" t="e">
        <f t="shared" ref="AM66:AM129" si="35">AL66/AI66</f>
        <v>#VALUE!</v>
      </c>
      <c r="AN66" s="43" t="e">
        <f t="shared" ref="AN66:AN129" si="36">AL66/AJ66</f>
        <v>#VALUE!</v>
      </c>
      <c r="AO66" s="3" t="s">
        <v>435</v>
      </c>
      <c r="AT66" s="2">
        <f t="shared" ref="AT66:AT129" si="37">COUNTIF($AO$2:$AO$1400,AO66)</f>
        <v>16</v>
      </c>
      <c r="AU66" s="45">
        <f t="shared" ref="AU66:AU129" si="38">LOG10(B66)</f>
        <v>0.41005039867429227</v>
      </c>
      <c r="AV66" s="45" t="e">
        <f t="shared" ref="AV66:AV129" si="39">LOG10(C66)</f>
        <v>#VALUE!</v>
      </c>
      <c r="AW66" s="45" t="e">
        <f t="shared" ref="AW66:AW129" si="40">LOG10(D66)</f>
        <v>#VALUE!</v>
      </c>
      <c r="AX66" s="45" t="e">
        <f t="shared" ref="AX66:AX129" si="41">LOG10(N66)</f>
        <v>#VALUE!</v>
      </c>
      <c r="AY66" s="45" t="e">
        <f t="shared" ref="AY66:AY129" si="42">LOG10(O66)</f>
        <v>#VALUE!</v>
      </c>
      <c r="AZ66" s="45" t="e">
        <f t="shared" ref="AZ66:AZ129" si="43">LOG10(P66)</f>
        <v>#VALUE!</v>
      </c>
      <c r="BA66" s="45" t="e">
        <f t="shared" ref="BA66:BA129" si="44">LOG10(J66)</f>
        <v>#VALUE!</v>
      </c>
      <c r="BB66" s="45" t="e">
        <f t="shared" ref="BB66:BB129" si="45">LOG10(L66)</f>
        <v>#VALUE!</v>
      </c>
      <c r="BC66" s="45" t="e">
        <f t="shared" ref="BC66:BC129" si="46">LOG10(U66)</f>
        <v>#VALUE!</v>
      </c>
      <c r="BD66" s="45">
        <f t="shared" ref="BD66:BD129" si="47">LOG10(AD66)</f>
        <v>0.69897000433601886</v>
      </c>
      <c r="BE66" s="45" t="e">
        <f t="shared" ref="BE66:BE129" si="48">LOG10(AF66)</f>
        <v>#VALUE!</v>
      </c>
      <c r="BF66" s="45" t="e">
        <f t="shared" ref="BF66:BF129" si="49">LOG10(AM66)</f>
        <v>#VALUE!</v>
      </c>
      <c r="BG66" s="45" t="e">
        <f t="shared" ref="BG66:BG129" si="50">LOG10(AN66)</f>
        <v>#VALUE!</v>
      </c>
      <c r="BH66" s="45">
        <f t="shared" ref="BH66:BH129" si="51">LOG10(AB66)</f>
        <v>-0.61618463401956869</v>
      </c>
      <c r="BI66" s="43" t="e">
        <f t="shared" ref="BI66:BI129" si="52">LOG10(AF66)</f>
        <v>#VALUE!</v>
      </c>
      <c r="CA66" s="43" t="s">
        <v>22</v>
      </c>
      <c r="CC66" t="s">
        <v>22</v>
      </c>
      <c r="CE66" s="41" t="s">
        <v>22</v>
      </c>
      <c r="CF66" s="41" t="s">
        <v>22</v>
      </c>
      <c r="CG66" s="41" t="s">
        <v>22</v>
      </c>
      <c r="CH66" s="41" t="s">
        <v>22</v>
      </c>
      <c r="CI66" s="41" t="s">
        <v>22</v>
      </c>
      <c r="CJ66" s="41" t="e">
        <f t="shared" si="31"/>
        <v>#VALUE!</v>
      </c>
      <c r="CL66" s="9" t="s">
        <v>1268</v>
      </c>
      <c r="CM66" s="18" t="s">
        <v>1284</v>
      </c>
      <c r="CN66" s="54" t="s">
        <v>1284</v>
      </c>
      <c r="CO66" s="18" t="s">
        <v>1284</v>
      </c>
    </row>
    <row r="67" spans="1:93" x14ac:dyDescent="0.25">
      <c r="A67" t="s">
        <v>345</v>
      </c>
      <c r="B67" s="41">
        <f>(10^-6)*(151*10^-8)^-1</f>
        <v>0.66225165562913901</v>
      </c>
      <c r="C67" s="41" t="s">
        <v>22</v>
      </c>
      <c r="D67" s="41" t="s">
        <v>22</v>
      </c>
      <c r="E67" s="41" t="s">
        <v>22</v>
      </c>
      <c r="F67" s="18" t="s">
        <v>22</v>
      </c>
      <c r="G67" s="18" t="s">
        <v>22</v>
      </c>
      <c r="H67" s="18" t="s">
        <v>22</v>
      </c>
      <c r="I67" s="18" t="s">
        <v>22</v>
      </c>
      <c r="J67" s="41" t="s">
        <v>22</v>
      </c>
      <c r="K67" s="18" t="s">
        <v>22</v>
      </c>
      <c r="L67" s="41" t="e">
        <f t="shared" si="34"/>
        <v>#VALUE!</v>
      </c>
      <c r="M67" t="s">
        <v>45</v>
      </c>
      <c r="N67" s="41" t="s">
        <v>22</v>
      </c>
      <c r="O67" s="41" t="s">
        <v>22</v>
      </c>
      <c r="P67" s="41" t="s">
        <v>22</v>
      </c>
      <c r="R67" s="41" t="s">
        <v>22</v>
      </c>
      <c r="S67" s="41" t="s">
        <v>22</v>
      </c>
      <c r="T67" s="41" t="s">
        <v>22</v>
      </c>
      <c r="U67" s="41" t="s">
        <v>22</v>
      </c>
      <c r="V67">
        <v>20200101</v>
      </c>
      <c r="W67" s="16" t="s">
        <v>431</v>
      </c>
      <c r="X67">
        <v>1985</v>
      </c>
      <c r="Y67" t="s">
        <v>375</v>
      </c>
      <c r="Z67" t="s">
        <v>124</v>
      </c>
      <c r="AA67" t="s">
        <v>737</v>
      </c>
      <c r="AB67" s="41">
        <v>0.33</v>
      </c>
      <c r="AC67" s="18" t="s">
        <v>22</v>
      </c>
      <c r="AD67" s="41">
        <v>5</v>
      </c>
      <c r="AE67" s="41" t="s">
        <v>22</v>
      </c>
      <c r="AF67" s="41" t="s">
        <v>22</v>
      </c>
      <c r="AG67" s="41" t="s">
        <v>22</v>
      </c>
      <c r="AH67" s="41" t="s">
        <v>22</v>
      </c>
      <c r="AI67" s="41" t="s">
        <v>22</v>
      </c>
      <c r="AJ67" s="41" t="s">
        <v>22</v>
      </c>
      <c r="AK67" s="41" t="s">
        <v>22</v>
      </c>
      <c r="AL67" s="41" t="s">
        <v>22</v>
      </c>
      <c r="AM67" s="43" t="e">
        <f t="shared" si="35"/>
        <v>#VALUE!</v>
      </c>
      <c r="AN67" s="43" t="e">
        <f t="shared" si="36"/>
        <v>#VALUE!</v>
      </c>
      <c r="AO67" s="3" t="s">
        <v>435</v>
      </c>
      <c r="AT67" s="2">
        <f t="shared" si="37"/>
        <v>16</v>
      </c>
      <c r="AU67" s="45">
        <f t="shared" si="38"/>
        <v>-0.17897694729316949</v>
      </c>
      <c r="AV67" s="45" t="e">
        <f t="shared" si="39"/>
        <v>#VALUE!</v>
      </c>
      <c r="AW67" s="45" t="e">
        <f t="shared" si="40"/>
        <v>#VALUE!</v>
      </c>
      <c r="AX67" s="45" t="e">
        <f t="shared" si="41"/>
        <v>#VALUE!</v>
      </c>
      <c r="AY67" s="45" t="e">
        <f t="shared" si="42"/>
        <v>#VALUE!</v>
      </c>
      <c r="AZ67" s="45" t="e">
        <f t="shared" si="43"/>
        <v>#VALUE!</v>
      </c>
      <c r="BA67" s="45" t="e">
        <f t="shared" si="44"/>
        <v>#VALUE!</v>
      </c>
      <c r="BB67" s="45" t="e">
        <f t="shared" si="45"/>
        <v>#VALUE!</v>
      </c>
      <c r="BC67" s="45" t="e">
        <f t="shared" si="46"/>
        <v>#VALUE!</v>
      </c>
      <c r="BD67" s="45">
        <f t="shared" si="47"/>
        <v>0.69897000433601886</v>
      </c>
      <c r="BE67" s="45" t="e">
        <f t="shared" si="48"/>
        <v>#VALUE!</v>
      </c>
      <c r="BF67" s="45" t="e">
        <f t="shared" si="49"/>
        <v>#VALUE!</v>
      </c>
      <c r="BG67" s="45" t="e">
        <f t="shared" si="50"/>
        <v>#VALUE!</v>
      </c>
      <c r="BH67" s="45">
        <f t="shared" si="51"/>
        <v>-0.48148606012211248</v>
      </c>
      <c r="BI67" s="43" t="e">
        <f t="shared" si="52"/>
        <v>#VALUE!</v>
      </c>
      <c r="CA67" s="43" t="s">
        <v>22</v>
      </c>
      <c r="CC67" t="s">
        <v>22</v>
      </c>
      <c r="CE67" s="41" t="s">
        <v>22</v>
      </c>
      <c r="CF67" s="41" t="s">
        <v>22</v>
      </c>
      <c r="CG67" s="41" t="s">
        <v>22</v>
      </c>
      <c r="CH67" s="41" t="s">
        <v>22</v>
      </c>
      <c r="CI67" s="41" t="s">
        <v>22</v>
      </c>
      <c r="CJ67" s="41" t="e">
        <f t="shared" si="31"/>
        <v>#VALUE!</v>
      </c>
      <c r="CL67" s="9" t="s">
        <v>1268</v>
      </c>
      <c r="CM67" s="18" t="s">
        <v>1284</v>
      </c>
      <c r="CN67" s="54" t="s">
        <v>1284</v>
      </c>
      <c r="CO67" s="18" t="s">
        <v>1284</v>
      </c>
    </row>
    <row r="68" spans="1:93" x14ac:dyDescent="0.25">
      <c r="A68" t="s">
        <v>345</v>
      </c>
      <c r="B68" s="41">
        <f>(10^-6)*(41*10^-8)^-1</f>
        <v>2.4390243902439024</v>
      </c>
      <c r="C68" s="41" t="s">
        <v>22</v>
      </c>
      <c r="D68" s="41" t="s">
        <v>22</v>
      </c>
      <c r="E68" s="41" t="s">
        <v>22</v>
      </c>
      <c r="F68" t="s">
        <v>22</v>
      </c>
      <c r="G68" t="s">
        <v>22</v>
      </c>
      <c r="H68" t="s">
        <v>22</v>
      </c>
      <c r="I68" t="s">
        <v>22</v>
      </c>
      <c r="J68" s="41" t="s">
        <v>22</v>
      </c>
      <c r="K68" t="s">
        <v>22</v>
      </c>
      <c r="L68" s="41" t="e">
        <f t="shared" si="34"/>
        <v>#VALUE!</v>
      </c>
      <c r="M68" t="s">
        <v>45</v>
      </c>
      <c r="N68" s="41" t="s">
        <v>22</v>
      </c>
      <c r="O68" s="41" t="s">
        <v>22</v>
      </c>
      <c r="P68" s="41" t="s">
        <v>22</v>
      </c>
      <c r="R68" s="41" t="s">
        <v>22</v>
      </c>
      <c r="S68" s="41" t="s">
        <v>22</v>
      </c>
      <c r="T68" s="41" t="s">
        <v>22</v>
      </c>
      <c r="U68" s="41" t="s">
        <v>22</v>
      </c>
      <c r="V68">
        <v>20200101</v>
      </c>
      <c r="W68" s="16" t="s">
        <v>431</v>
      </c>
      <c r="X68">
        <v>1985</v>
      </c>
      <c r="Y68" t="s">
        <v>375</v>
      </c>
      <c r="Z68" t="s">
        <v>124</v>
      </c>
      <c r="AA68" t="s">
        <v>737</v>
      </c>
      <c r="AB68" s="41">
        <v>0.14899999999999999</v>
      </c>
      <c r="AC68" t="s">
        <v>22</v>
      </c>
      <c r="AD68" s="41">
        <v>8.5</v>
      </c>
      <c r="AE68" s="41" t="s">
        <v>22</v>
      </c>
      <c r="AF68" s="41" t="s">
        <v>22</v>
      </c>
      <c r="AG68" s="41" t="s">
        <v>22</v>
      </c>
      <c r="AH68" s="41" t="s">
        <v>22</v>
      </c>
      <c r="AI68" s="41" t="s">
        <v>22</v>
      </c>
      <c r="AJ68" s="41" t="s">
        <v>22</v>
      </c>
      <c r="AK68" s="41" t="s">
        <v>22</v>
      </c>
      <c r="AL68" s="41" t="s">
        <v>22</v>
      </c>
      <c r="AM68" s="43" t="e">
        <f t="shared" si="35"/>
        <v>#VALUE!</v>
      </c>
      <c r="AN68" s="43" t="e">
        <f t="shared" si="36"/>
        <v>#VALUE!</v>
      </c>
      <c r="AO68" s="3" t="s">
        <v>435</v>
      </c>
      <c r="AT68" s="2">
        <f t="shared" si="37"/>
        <v>16</v>
      </c>
      <c r="AU68" s="45">
        <f t="shared" si="38"/>
        <v>0.38721614328026449</v>
      </c>
      <c r="AV68" s="45" t="e">
        <f t="shared" si="39"/>
        <v>#VALUE!</v>
      </c>
      <c r="AW68" s="45" t="e">
        <f t="shared" si="40"/>
        <v>#VALUE!</v>
      </c>
      <c r="AX68" s="45" t="e">
        <f t="shared" si="41"/>
        <v>#VALUE!</v>
      </c>
      <c r="AY68" s="45" t="e">
        <f t="shared" si="42"/>
        <v>#VALUE!</v>
      </c>
      <c r="AZ68" s="45" t="e">
        <f t="shared" si="43"/>
        <v>#VALUE!</v>
      </c>
      <c r="BA68" s="45" t="e">
        <f t="shared" si="44"/>
        <v>#VALUE!</v>
      </c>
      <c r="BB68" s="45" t="e">
        <f t="shared" si="45"/>
        <v>#VALUE!</v>
      </c>
      <c r="BC68" s="45" t="e">
        <f t="shared" si="46"/>
        <v>#VALUE!</v>
      </c>
      <c r="BD68" s="45">
        <f t="shared" si="47"/>
        <v>0.92941892571429274</v>
      </c>
      <c r="BE68" s="45" t="e">
        <f t="shared" si="48"/>
        <v>#VALUE!</v>
      </c>
      <c r="BF68" s="45" t="e">
        <f t="shared" si="49"/>
        <v>#VALUE!</v>
      </c>
      <c r="BG68" s="45" t="e">
        <f t="shared" si="50"/>
        <v>#VALUE!</v>
      </c>
      <c r="BH68" s="45">
        <f t="shared" si="51"/>
        <v>-0.82681373158772598</v>
      </c>
      <c r="BI68" s="43" t="e">
        <f t="shared" si="52"/>
        <v>#VALUE!</v>
      </c>
      <c r="CA68" s="43" t="s">
        <v>22</v>
      </c>
      <c r="CC68" t="s">
        <v>22</v>
      </c>
      <c r="CE68" s="41" t="s">
        <v>22</v>
      </c>
      <c r="CF68" s="41" t="s">
        <v>22</v>
      </c>
      <c r="CG68" s="41" t="s">
        <v>22</v>
      </c>
      <c r="CH68" s="41" t="s">
        <v>22</v>
      </c>
      <c r="CI68" s="41" t="s">
        <v>22</v>
      </c>
      <c r="CJ68" s="41" t="e">
        <f t="shared" si="31"/>
        <v>#VALUE!</v>
      </c>
      <c r="CL68" s="9" t="s">
        <v>1268</v>
      </c>
      <c r="CM68" s="18" t="s">
        <v>1284</v>
      </c>
      <c r="CN68" s="54" t="s">
        <v>1284</v>
      </c>
      <c r="CO68" s="18" t="s">
        <v>1284</v>
      </c>
    </row>
    <row r="69" spans="1:93" x14ac:dyDescent="0.25">
      <c r="A69" t="s">
        <v>345</v>
      </c>
      <c r="B69" s="41">
        <f>(10^-6)*(18.4*10^-8)^-1</f>
        <v>5.4347826086956523</v>
      </c>
      <c r="C69" s="41" t="s">
        <v>22</v>
      </c>
      <c r="D69" s="41" t="s">
        <v>22</v>
      </c>
      <c r="E69" s="41" t="s">
        <v>22</v>
      </c>
      <c r="F69" t="s">
        <v>22</v>
      </c>
      <c r="G69" t="s">
        <v>22</v>
      </c>
      <c r="H69" t="s">
        <v>22</v>
      </c>
      <c r="I69" t="s">
        <v>22</v>
      </c>
      <c r="J69" s="41" t="s">
        <v>22</v>
      </c>
      <c r="K69" t="s">
        <v>22</v>
      </c>
      <c r="L69" s="41" t="e">
        <f t="shared" si="34"/>
        <v>#VALUE!</v>
      </c>
      <c r="M69" t="s">
        <v>45</v>
      </c>
      <c r="N69" s="41" t="s">
        <v>22</v>
      </c>
      <c r="O69" s="41" t="s">
        <v>22</v>
      </c>
      <c r="P69" s="41" t="s">
        <v>22</v>
      </c>
      <c r="R69" s="41" t="s">
        <v>22</v>
      </c>
      <c r="S69" s="41" t="s">
        <v>22</v>
      </c>
      <c r="T69" s="41" t="s">
        <v>22</v>
      </c>
      <c r="U69" s="41" t="s">
        <v>22</v>
      </c>
      <c r="V69">
        <v>20200101</v>
      </c>
      <c r="W69" s="16" t="s">
        <v>431</v>
      </c>
      <c r="X69">
        <v>1985</v>
      </c>
      <c r="Y69" t="s">
        <v>375</v>
      </c>
      <c r="Z69" t="s">
        <v>124</v>
      </c>
      <c r="AA69" t="s">
        <v>737</v>
      </c>
      <c r="AB69" s="41">
        <v>0.33</v>
      </c>
      <c r="AC69" t="s">
        <v>22</v>
      </c>
      <c r="AD69" s="41">
        <v>19</v>
      </c>
      <c r="AE69" s="41" t="s">
        <v>22</v>
      </c>
      <c r="AF69" s="41" t="s">
        <v>22</v>
      </c>
      <c r="AG69" s="41" t="s">
        <v>22</v>
      </c>
      <c r="AH69" s="41" t="s">
        <v>22</v>
      </c>
      <c r="AI69" s="41" t="s">
        <v>22</v>
      </c>
      <c r="AJ69" s="41" t="s">
        <v>22</v>
      </c>
      <c r="AK69" s="41" t="s">
        <v>22</v>
      </c>
      <c r="AL69" s="41" t="s">
        <v>22</v>
      </c>
      <c r="AM69" s="43" t="e">
        <f t="shared" si="35"/>
        <v>#VALUE!</v>
      </c>
      <c r="AN69" s="43" t="e">
        <f t="shared" si="36"/>
        <v>#VALUE!</v>
      </c>
      <c r="AO69" s="3" t="s">
        <v>435</v>
      </c>
      <c r="AT69" s="2">
        <f t="shared" si="37"/>
        <v>16</v>
      </c>
      <c r="AU69" s="45">
        <f t="shared" si="38"/>
        <v>0.73518217699046351</v>
      </c>
      <c r="AV69" s="45" t="e">
        <f t="shared" si="39"/>
        <v>#VALUE!</v>
      </c>
      <c r="AW69" s="45" t="e">
        <f t="shared" si="40"/>
        <v>#VALUE!</v>
      </c>
      <c r="AX69" s="45" t="e">
        <f t="shared" si="41"/>
        <v>#VALUE!</v>
      </c>
      <c r="AY69" s="45" t="e">
        <f t="shared" si="42"/>
        <v>#VALUE!</v>
      </c>
      <c r="AZ69" s="45" t="e">
        <f t="shared" si="43"/>
        <v>#VALUE!</v>
      </c>
      <c r="BA69" s="45" t="e">
        <f t="shared" si="44"/>
        <v>#VALUE!</v>
      </c>
      <c r="BB69" s="45" t="e">
        <f t="shared" si="45"/>
        <v>#VALUE!</v>
      </c>
      <c r="BC69" s="45" t="e">
        <f t="shared" si="46"/>
        <v>#VALUE!</v>
      </c>
      <c r="BD69" s="45">
        <f t="shared" si="47"/>
        <v>1.2787536009528289</v>
      </c>
      <c r="BE69" s="45" t="e">
        <f t="shared" si="48"/>
        <v>#VALUE!</v>
      </c>
      <c r="BF69" s="45" t="e">
        <f t="shared" si="49"/>
        <v>#VALUE!</v>
      </c>
      <c r="BG69" s="45" t="e">
        <f t="shared" si="50"/>
        <v>#VALUE!</v>
      </c>
      <c r="BH69" s="45">
        <f t="shared" si="51"/>
        <v>-0.48148606012211248</v>
      </c>
      <c r="BI69" s="43" t="e">
        <f t="shared" si="52"/>
        <v>#VALUE!</v>
      </c>
      <c r="CA69" s="43" t="s">
        <v>22</v>
      </c>
      <c r="CC69" t="s">
        <v>22</v>
      </c>
      <c r="CE69" s="41" t="s">
        <v>22</v>
      </c>
      <c r="CF69" s="41" t="s">
        <v>22</v>
      </c>
      <c r="CG69" s="41" t="s">
        <v>22</v>
      </c>
      <c r="CH69" s="41" t="s">
        <v>22</v>
      </c>
      <c r="CI69" s="41" t="s">
        <v>22</v>
      </c>
      <c r="CJ69" s="41" t="e">
        <f t="shared" si="31"/>
        <v>#VALUE!</v>
      </c>
      <c r="CL69" s="9" t="s">
        <v>1268</v>
      </c>
      <c r="CM69" s="18" t="s">
        <v>1284</v>
      </c>
      <c r="CN69" s="54" t="s">
        <v>1284</v>
      </c>
      <c r="CO69" s="18" t="s">
        <v>1284</v>
      </c>
    </row>
    <row r="70" spans="1:93" x14ac:dyDescent="0.25">
      <c r="A70" t="s">
        <v>345</v>
      </c>
      <c r="B70" s="41">
        <f>(10^-6)*(9.4*10^-8)^-1</f>
        <v>10.638297872340424</v>
      </c>
      <c r="C70" s="41" t="s">
        <v>22</v>
      </c>
      <c r="D70" s="41" t="s">
        <v>22</v>
      </c>
      <c r="E70" s="41" t="s">
        <v>22</v>
      </c>
      <c r="F70" t="s">
        <v>22</v>
      </c>
      <c r="G70" t="s">
        <v>22</v>
      </c>
      <c r="H70" t="s">
        <v>22</v>
      </c>
      <c r="I70" t="s">
        <v>22</v>
      </c>
      <c r="J70" s="41" t="s">
        <v>22</v>
      </c>
      <c r="K70" t="s">
        <v>22</v>
      </c>
      <c r="L70" s="41" t="e">
        <f t="shared" si="34"/>
        <v>#VALUE!</v>
      </c>
      <c r="M70" t="s">
        <v>45</v>
      </c>
      <c r="N70" s="41" t="s">
        <v>22</v>
      </c>
      <c r="O70" s="41" t="s">
        <v>22</v>
      </c>
      <c r="P70" s="41" t="s">
        <v>22</v>
      </c>
      <c r="R70" s="41" t="s">
        <v>22</v>
      </c>
      <c r="S70" s="41" t="s">
        <v>22</v>
      </c>
      <c r="T70" s="41" t="s">
        <v>22</v>
      </c>
      <c r="U70" s="41" t="s">
        <v>22</v>
      </c>
      <c r="V70">
        <v>20200101</v>
      </c>
      <c r="W70" s="16" t="s">
        <v>432</v>
      </c>
      <c r="X70">
        <v>1985</v>
      </c>
      <c r="Y70" t="s">
        <v>375</v>
      </c>
      <c r="Z70" t="s">
        <v>124</v>
      </c>
      <c r="AA70" t="s">
        <v>432</v>
      </c>
      <c r="AB70" s="41">
        <v>0.53200000000000003</v>
      </c>
      <c r="AC70" t="s">
        <v>22</v>
      </c>
      <c r="AD70" s="41">
        <v>19.899999999999999</v>
      </c>
      <c r="AE70" s="41" t="s">
        <v>22</v>
      </c>
      <c r="AF70" s="41" t="s">
        <v>22</v>
      </c>
      <c r="AG70" s="41" t="s">
        <v>22</v>
      </c>
      <c r="AH70" s="41" t="s">
        <v>22</v>
      </c>
      <c r="AI70" s="41" t="s">
        <v>22</v>
      </c>
      <c r="AJ70" s="41" t="s">
        <v>22</v>
      </c>
      <c r="AK70" s="41" t="s">
        <v>22</v>
      </c>
      <c r="AL70" s="41" t="s">
        <v>22</v>
      </c>
      <c r="AM70" s="43" t="e">
        <f t="shared" si="35"/>
        <v>#VALUE!</v>
      </c>
      <c r="AN70" s="43" t="e">
        <f t="shared" si="36"/>
        <v>#VALUE!</v>
      </c>
      <c r="AO70" s="3" t="s">
        <v>435</v>
      </c>
      <c r="AT70" s="2">
        <f t="shared" si="37"/>
        <v>16</v>
      </c>
      <c r="AU70" s="45">
        <f t="shared" si="38"/>
        <v>1.0268721464003012</v>
      </c>
      <c r="AV70" s="45" t="e">
        <f t="shared" si="39"/>
        <v>#VALUE!</v>
      </c>
      <c r="AW70" s="45" t="e">
        <f t="shared" si="40"/>
        <v>#VALUE!</v>
      </c>
      <c r="AX70" s="45" t="e">
        <f t="shared" si="41"/>
        <v>#VALUE!</v>
      </c>
      <c r="AY70" s="45" t="e">
        <f t="shared" si="42"/>
        <v>#VALUE!</v>
      </c>
      <c r="AZ70" s="45" t="e">
        <f t="shared" si="43"/>
        <v>#VALUE!</v>
      </c>
      <c r="BA70" s="45" t="e">
        <f t="shared" si="44"/>
        <v>#VALUE!</v>
      </c>
      <c r="BB70" s="45" t="e">
        <f t="shared" si="45"/>
        <v>#VALUE!</v>
      </c>
      <c r="BC70" s="45" t="e">
        <f t="shared" si="46"/>
        <v>#VALUE!</v>
      </c>
      <c r="BD70" s="45">
        <f t="shared" si="47"/>
        <v>1.2988530764097066</v>
      </c>
      <c r="BE70" s="45" t="e">
        <f t="shared" si="48"/>
        <v>#VALUE!</v>
      </c>
      <c r="BF70" s="45" t="e">
        <f t="shared" si="49"/>
        <v>#VALUE!</v>
      </c>
      <c r="BG70" s="45" t="e">
        <f t="shared" si="50"/>
        <v>#VALUE!</v>
      </c>
      <c r="BH70" s="45">
        <f t="shared" si="51"/>
        <v>-0.27408836770495182</v>
      </c>
      <c r="BI70" s="43" t="e">
        <f t="shared" si="52"/>
        <v>#VALUE!</v>
      </c>
      <c r="CA70" s="43" t="s">
        <v>22</v>
      </c>
      <c r="CC70" t="s">
        <v>22</v>
      </c>
      <c r="CE70" s="41" t="s">
        <v>22</v>
      </c>
      <c r="CF70" s="41" t="s">
        <v>22</v>
      </c>
      <c r="CG70" s="41" t="s">
        <v>22</v>
      </c>
      <c r="CH70" s="41" t="s">
        <v>22</v>
      </c>
      <c r="CI70" s="41" t="s">
        <v>22</v>
      </c>
      <c r="CJ70" s="41" t="e">
        <f t="shared" si="31"/>
        <v>#VALUE!</v>
      </c>
      <c r="CL70" s="9" t="s">
        <v>1268</v>
      </c>
      <c r="CM70" s="18" t="s">
        <v>1284</v>
      </c>
      <c r="CN70" s="54" t="s">
        <v>1284</v>
      </c>
      <c r="CO70" s="18" t="s">
        <v>1284</v>
      </c>
    </row>
    <row r="71" spans="1:93" x14ac:dyDescent="0.25">
      <c r="A71" t="s">
        <v>345</v>
      </c>
      <c r="B71" s="41">
        <f>(10^-6)*(13.4*10^-8)^-1</f>
        <v>7.4626865671641784</v>
      </c>
      <c r="C71" s="41" t="s">
        <v>22</v>
      </c>
      <c r="D71" s="41" t="s">
        <v>22</v>
      </c>
      <c r="E71" s="41" t="s">
        <v>22</v>
      </c>
      <c r="F71" t="s">
        <v>22</v>
      </c>
      <c r="G71" t="s">
        <v>22</v>
      </c>
      <c r="H71" t="s">
        <v>22</v>
      </c>
      <c r="I71" t="s">
        <v>22</v>
      </c>
      <c r="J71" s="41" t="s">
        <v>22</v>
      </c>
      <c r="K71" t="s">
        <v>22</v>
      </c>
      <c r="L71" s="41" t="e">
        <f t="shared" si="34"/>
        <v>#VALUE!</v>
      </c>
      <c r="M71" t="s">
        <v>45</v>
      </c>
      <c r="N71" s="41" t="s">
        <v>22</v>
      </c>
      <c r="O71" s="41" t="s">
        <v>22</v>
      </c>
      <c r="P71" s="41" t="s">
        <v>22</v>
      </c>
      <c r="R71" s="41" t="s">
        <v>22</v>
      </c>
      <c r="S71" s="41" t="s">
        <v>22</v>
      </c>
      <c r="T71" s="41" t="s">
        <v>22</v>
      </c>
      <c r="U71" s="41" t="s">
        <v>22</v>
      </c>
      <c r="V71">
        <v>20200101</v>
      </c>
      <c r="W71" s="16" t="s">
        <v>433</v>
      </c>
      <c r="X71">
        <v>1985</v>
      </c>
      <c r="Y71" t="s">
        <v>375</v>
      </c>
      <c r="Z71" t="s">
        <v>124</v>
      </c>
      <c r="AA71" t="s">
        <v>737</v>
      </c>
      <c r="AB71" s="41">
        <v>0.439</v>
      </c>
      <c r="AC71" t="s">
        <v>22</v>
      </c>
      <c r="AD71" s="41">
        <v>19.899999999999999</v>
      </c>
      <c r="AE71" s="41" t="s">
        <v>22</v>
      </c>
      <c r="AF71" s="41" t="s">
        <v>22</v>
      </c>
      <c r="AG71" s="41" t="s">
        <v>22</v>
      </c>
      <c r="AH71" s="41" t="s">
        <v>22</v>
      </c>
      <c r="AI71" s="41" t="s">
        <v>22</v>
      </c>
      <c r="AJ71" s="41" t="s">
        <v>22</v>
      </c>
      <c r="AK71" s="41" t="s">
        <v>22</v>
      </c>
      <c r="AL71" s="41" t="s">
        <v>22</v>
      </c>
      <c r="AM71" s="43" t="e">
        <f t="shared" si="35"/>
        <v>#VALUE!</v>
      </c>
      <c r="AN71" s="43" t="e">
        <f t="shared" si="36"/>
        <v>#VALUE!</v>
      </c>
      <c r="AO71" s="3" t="s">
        <v>435</v>
      </c>
      <c r="AT71" s="2">
        <f t="shared" si="37"/>
        <v>16</v>
      </c>
      <c r="AU71" s="45">
        <f t="shared" si="38"/>
        <v>0.8728952016351923</v>
      </c>
      <c r="AV71" s="45" t="e">
        <f t="shared" si="39"/>
        <v>#VALUE!</v>
      </c>
      <c r="AW71" s="45" t="e">
        <f t="shared" si="40"/>
        <v>#VALUE!</v>
      </c>
      <c r="AX71" s="45" t="e">
        <f t="shared" si="41"/>
        <v>#VALUE!</v>
      </c>
      <c r="AY71" s="45" t="e">
        <f t="shared" si="42"/>
        <v>#VALUE!</v>
      </c>
      <c r="AZ71" s="45" t="e">
        <f t="shared" si="43"/>
        <v>#VALUE!</v>
      </c>
      <c r="BA71" s="45" t="e">
        <f t="shared" si="44"/>
        <v>#VALUE!</v>
      </c>
      <c r="BB71" s="45" t="e">
        <f t="shared" si="45"/>
        <v>#VALUE!</v>
      </c>
      <c r="BC71" s="45" t="e">
        <f t="shared" si="46"/>
        <v>#VALUE!</v>
      </c>
      <c r="BD71" s="45">
        <f t="shared" si="47"/>
        <v>1.2988530764097066</v>
      </c>
      <c r="BE71" s="45" t="e">
        <f t="shared" si="48"/>
        <v>#VALUE!</v>
      </c>
      <c r="BF71" s="45" t="e">
        <f t="shared" si="49"/>
        <v>#VALUE!</v>
      </c>
      <c r="BG71" s="45" t="e">
        <f t="shared" si="50"/>
        <v>#VALUE!</v>
      </c>
      <c r="BH71" s="45">
        <f t="shared" si="51"/>
        <v>-0.35753547975787864</v>
      </c>
      <c r="BI71" s="43" t="e">
        <f t="shared" si="52"/>
        <v>#VALUE!</v>
      </c>
      <c r="CA71" s="43" t="s">
        <v>22</v>
      </c>
      <c r="CC71" t="s">
        <v>22</v>
      </c>
      <c r="CE71" s="41" t="s">
        <v>22</v>
      </c>
      <c r="CF71" s="41" t="s">
        <v>22</v>
      </c>
      <c r="CG71" s="41" t="s">
        <v>22</v>
      </c>
      <c r="CH71" s="41" t="s">
        <v>22</v>
      </c>
      <c r="CI71" s="41" t="s">
        <v>22</v>
      </c>
      <c r="CJ71" s="41" t="e">
        <f t="shared" si="31"/>
        <v>#VALUE!</v>
      </c>
      <c r="CL71" s="9" t="s">
        <v>1268</v>
      </c>
      <c r="CM71" s="18" t="s">
        <v>1284</v>
      </c>
      <c r="CN71" s="54" t="s">
        <v>1284</v>
      </c>
      <c r="CO71" s="18" t="s">
        <v>1284</v>
      </c>
    </row>
    <row r="72" spans="1:93" x14ac:dyDescent="0.25">
      <c r="A72" s="18" t="s">
        <v>345</v>
      </c>
      <c r="B72" s="41">
        <f>(10^-6)*(24*10^-8)^-1</f>
        <v>4.1666666666666661</v>
      </c>
      <c r="C72" s="41" t="s">
        <v>22</v>
      </c>
      <c r="D72" s="41" t="s">
        <v>22</v>
      </c>
      <c r="E72" s="41" t="s">
        <v>22</v>
      </c>
      <c r="F72" s="18" t="s">
        <v>22</v>
      </c>
      <c r="G72" s="18" t="s">
        <v>22</v>
      </c>
      <c r="H72" s="18" t="s">
        <v>22</v>
      </c>
      <c r="I72" s="18" t="s">
        <v>22</v>
      </c>
      <c r="J72" s="41" t="s">
        <v>22</v>
      </c>
      <c r="K72" s="18" t="s">
        <v>22</v>
      </c>
      <c r="L72" s="41" t="e">
        <f t="shared" si="34"/>
        <v>#VALUE!</v>
      </c>
      <c r="M72" s="18" t="s">
        <v>45</v>
      </c>
      <c r="N72" s="41" t="s">
        <v>22</v>
      </c>
      <c r="O72" s="41" t="s">
        <v>22</v>
      </c>
      <c r="P72" s="41" t="s">
        <v>22</v>
      </c>
      <c r="R72" s="41" t="s">
        <v>22</v>
      </c>
      <c r="S72" s="41" t="s">
        <v>22</v>
      </c>
      <c r="T72" s="41" t="s">
        <v>22</v>
      </c>
      <c r="U72" s="41" t="s">
        <v>22</v>
      </c>
      <c r="V72" s="18">
        <v>20200101</v>
      </c>
      <c r="W72" s="21" t="s">
        <v>431</v>
      </c>
      <c r="X72" s="18">
        <v>1985</v>
      </c>
      <c r="Y72" s="18" t="s">
        <v>375</v>
      </c>
      <c r="Z72" s="18" t="s">
        <v>124</v>
      </c>
      <c r="AA72" s="18" t="s">
        <v>737</v>
      </c>
      <c r="AB72" s="41">
        <v>0.56799999999999995</v>
      </c>
      <c r="AC72" s="18" t="s">
        <v>22</v>
      </c>
      <c r="AD72" s="41">
        <v>19.899999999999999</v>
      </c>
      <c r="AE72" s="41" t="s">
        <v>22</v>
      </c>
      <c r="AF72" s="41" t="s">
        <v>22</v>
      </c>
      <c r="AG72" s="41" t="s">
        <v>22</v>
      </c>
      <c r="AH72" s="41" t="s">
        <v>22</v>
      </c>
      <c r="AI72" s="41" t="s">
        <v>22</v>
      </c>
      <c r="AJ72" s="41" t="s">
        <v>22</v>
      </c>
      <c r="AK72" s="41" t="s">
        <v>22</v>
      </c>
      <c r="AL72" s="41" t="s">
        <v>22</v>
      </c>
      <c r="AM72" s="43" t="e">
        <f t="shared" si="35"/>
        <v>#VALUE!</v>
      </c>
      <c r="AN72" s="43" t="e">
        <f t="shared" si="36"/>
        <v>#VALUE!</v>
      </c>
      <c r="AO72" s="19" t="s">
        <v>435</v>
      </c>
      <c r="AP72" s="18"/>
      <c r="AQ72" s="18"/>
      <c r="AR72" s="18"/>
      <c r="AS72" s="18"/>
      <c r="AT72" s="2">
        <f t="shared" si="37"/>
        <v>16</v>
      </c>
      <c r="AU72" s="45">
        <f t="shared" si="38"/>
        <v>0.61978875828839397</v>
      </c>
      <c r="AV72" s="45" t="e">
        <f t="shared" si="39"/>
        <v>#VALUE!</v>
      </c>
      <c r="AW72" s="45" t="e">
        <f t="shared" si="40"/>
        <v>#VALUE!</v>
      </c>
      <c r="AX72" s="45" t="e">
        <f t="shared" si="41"/>
        <v>#VALUE!</v>
      </c>
      <c r="AY72" s="45" t="e">
        <f t="shared" si="42"/>
        <v>#VALUE!</v>
      </c>
      <c r="AZ72" s="45" t="e">
        <f t="shared" si="43"/>
        <v>#VALUE!</v>
      </c>
      <c r="BA72" s="45" t="e">
        <f t="shared" si="44"/>
        <v>#VALUE!</v>
      </c>
      <c r="BB72" s="45" t="e">
        <f t="shared" si="45"/>
        <v>#VALUE!</v>
      </c>
      <c r="BC72" s="45" t="e">
        <f t="shared" si="46"/>
        <v>#VALUE!</v>
      </c>
      <c r="BD72" s="45">
        <f t="shared" si="47"/>
        <v>1.2988530764097066</v>
      </c>
      <c r="BE72" s="45" t="e">
        <f t="shared" si="48"/>
        <v>#VALUE!</v>
      </c>
      <c r="BF72" s="45" t="e">
        <f t="shared" si="49"/>
        <v>#VALUE!</v>
      </c>
      <c r="BG72" s="45" t="e">
        <f t="shared" si="50"/>
        <v>#VALUE!</v>
      </c>
      <c r="BH72" s="45">
        <f t="shared" si="51"/>
        <v>-0.24565166428898116</v>
      </c>
      <c r="BI72" s="43" t="e">
        <f t="shared" si="52"/>
        <v>#VALUE!</v>
      </c>
      <c r="BJ72" s="18"/>
      <c r="BK72" s="18"/>
      <c r="BL72" s="20"/>
      <c r="BS72" s="18"/>
      <c r="BT72" s="18"/>
      <c r="CA72" s="43" t="s">
        <v>22</v>
      </c>
      <c r="CB72" s="18"/>
      <c r="CC72" s="18" t="s">
        <v>22</v>
      </c>
      <c r="CD72" s="18"/>
      <c r="CE72" s="41" t="s">
        <v>22</v>
      </c>
      <c r="CF72" s="41" t="s">
        <v>22</v>
      </c>
      <c r="CG72" s="41" t="s">
        <v>22</v>
      </c>
      <c r="CH72" s="41" t="s">
        <v>22</v>
      </c>
      <c r="CI72" s="41" t="s">
        <v>22</v>
      </c>
      <c r="CJ72" s="41" t="e">
        <f t="shared" si="31"/>
        <v>#VALUE!</v>
      </c>
      <c r="CK72" s="18"/>
      <c r="CL72" s="9" t="s">
        <v>1268</v>
      </c>
      <c r="CM72" s="18" t="s">
        <v>1284</v>
      </c>
      <c r="CN72" s="54" t="s">
        <v>1284</v>
      </c>
      <c r="CO72" s="18" t="s">
        <v>1284</v>
      </c>
    </row>
    <row r="73" spans="1:93" x14ac:dyDescent="0.25">
      <c r="A73" s="18" t="s">
        <v>345</v>
      </c>
      <c r="B73" s="41">
        <f>(10^-6)*(8*10^-8)^-1</f>
        <v>12.5</v>
      </c>
      <c r="C73" s="41" t="s">
        <v>22</v>
      </c>
      <c r="D73" s="41" t="s">
        <v>22</v>
      </c>
      <c r="E73" s="41" t="s">
        <v>22</v>
      </c>
      <c r="F73" s="18" t="s">
        <v>22</v>
      </c>
      <c r="G73" s="18" t="s">
        <v>22</v>
      </c>
      <c r="H73" s="18" t="s">
        <v>22</v>
      </c>
      <c r="I73" s="18" t="s">
        <v>22</v>
      </c>
      <c r="J73" s="41" t="s">
        <v>22</v>
      </c>
      <c r="K73" s="18" t="s">
        <v>22</v>
      </c>
      <c r="L73" s="41" t="e">
        <f t="shared" si="34"/>
        <v>#VALUE!</v>
      </c>
      <c r="M73" s="18" t="s">
        <v>45</v>
      </c>
      <c r="N73" s="41" t="s">
        <v>22</v>
      </c>
      <c r="O73" s="41" t="s">
        <v>22</v>
      </c>
      <c r="P73" s="41" t="s">
        <v>22</v>
      </c>
      <c r="R73" s="41" t="s">
        <v>22</v>
      </c>
      <c r="S73" s="41" t="s">
        <v>22</v>
      </c>
      <c r="T73" s="41" t="s">
        <v>22</v>
      </c>
      <c r="U73" s="41" t="s">
        <v>22</v>
      </c>
      <c r="V73" s="18">
        <v>20200101</v>
      </c>
      <c r="W73" s="21" t="s">
        <v>434</v>
      </c>
      <c r="X73" s="18">
        <v>1985</v>
      </c>
      <c r="Y73" s="18" t="s">
        <v>375</v>
      </c>
      <c r="Z73" s="18" t="s">
        <v>124</v>
      </c>
      <c r="AA73" s="18" t="s">
        <v>763</v>
      </c>
      <c r="AB73" s="41">
        <v>0.432</v>
      </c>
      <c r="AC73" s="18" t="s">
        <v>22</v>
      </c>
      <c r="AD73" s="41">
        <v>19.899999999999999</v>
      </c>
      <c r="AE73" s="41" t="s">
        <v>22</v>
      </c>
      <c r="AF73" s="41" t="s">
        <v>22</v>
      </c>
      <c r="AG73" s="41" t="s">
        <v>22</v>
      </c>
      <c r="AH73" s="41" t="s">
        <v>22</v>
      </c>
      <c r="AI73" s="41" t="s">
        <v>22</v>
      </c>
      <c r="AJ73" s="41" t="s">
        <v>22</v>
      </c>
      <c r="AK73" s="41" t="s">
        <v>22</v>
      </c>
      <c r="AL73" s="41" t="s">
        <v>22</v>
      </c>
      <c r="AM73" s="43" t="e">
        <f t="shared" si="35"/>
        <v>#VALUE!</v>
      </c>
      <c r="AN73" s="43" t="e">
        <f t="shared" si="36"/>
        <v>#VALUE!</v>
      </c>
      <c r="AO73" s="19" t="s">
        <v>435</v>
      </c>
      <c r="AP73" s="18"/>
      <c r="AQ73" s="18"/>
      <c r="AR73" s="18"/>
      <c r="AS73" s="18"/>
      <c r="AT73" s="2">
        <f t="shared" si="37"/>
        <v>16</v>
      </c>
      <c r="AU73" s="45">
        <f t="shared" si="38"/>
        <v>1.0969100130080565</v>
      </c>
      <c r="AV73" s="45" t="e">
        <f t="shared" si="39"/>
        <v>#VALUE!</v>
      </c>
      <c r="AW73" s="45" t="e">
        <f t="shared" si="40"/>
        <v>#VALUE!</v>
      </c>
      <c r="AX73" s="45" t="e">
        <f t="shared" si="41"/>
        <v>#VALUE!</v>
      </c>
      <c r="AY73" s="45" t="e">
        <f t="shared" si="42"/>
        <v>#VALUE!</v>
      </c>
      <c r="AZ73" s="45" t="e">
        <f t="shared" si="43"/>
        <v>#VALUE!</v>
      </c>
      <c r="BA73" s="45" t="e">
        <f t="shared" si="44"/>
        <v>#VALUE!</v>
      </c>
      <c r="BB73" s="45" t="e">
        <f t="shared" si="45"/>
        <v>#VALUE!</v>
      </c>
      <c r="BC73" s="45" t="e">
        <f t="shared" si="46"/>
        <v>#VALUE!</v>
      </c>
      <c r="BD73" s="45">
        <f t="shared" si="47"/>
        <v>1.2988530764097066</v>
      </c>
      <c r="BE73" s="45" t="e">
        <f t="shared" si="48"/>
        <v>#VALUE!</v>
      </c>
      <c r="BF73" s="45" t="e">
        <f t="shared" si="49"/>
        <v>#VALUE!</v>
      </c>
      <c r="BG73" s="45" t="e">
        <f t="shared" si="50"/>
        <v>#VALUE!</v>
      </c>
      <c r="BH73" s="45">
        <f t="shared" si="51"/>
        <v>-0.3645162531850879</v>
      </c>
      <c r="BI73" s="43" t="e">
        <f t="shared" si="52"/>
        <v>#VALUE!</v>
      </c>
      <c r="BJ73" s="18"/>
      <c r="BK73" s="18"/>
      <c r="BL73" s="20"/>
      <c r="BS73" s="18"/>
      <c r="BT73" s="18"/>
      <c r="CA73" s="43" t="s">
        <v>22</v>
      </c>
      <c r="CB73" s="18"/>
      <c r="CC73" s="18" t="s">
        <v>22</v>
      </c>
      <c r="CD73" s="18"/>
      <c r="CE73" s="41" t="s">
        <v>22</v>
      </c>
      <c r="CF73" s="41" t="s">
        <v>22</v>
      </c>
      <c r="CG73" s="41" t="s">
        <v>22</v>
      </c>
      <c r="CH73" s="41" t="s">
        <v>22</v>
      </c>
      <c r="CI73" s="41" t="s">
        <v>22</v>
      </c>
      <c r="CJ73" s="41" t="e">
        <f t="shared" si="31"/>
        <v>#VALUE!</v>
      </c>
      <c r="CK73" s="18"/>
      <c r="CL73" s="9" t="s">
        <v>1268</v>
      </c>
      <c r="CM73" s="18" t="s">
        <v>1284</v>
      </c>
      <c r="CN73" s="54" t="s">
        <v>1284</v>
      </c>
      <c r="CO73" s="18" t="s">
        <v>1284</v>
      </c>
    </row>
    <row r="74" spans="1:93" x14ac:dyDescent="0.25">
      <c r="A74" s="18" t="s">
        <v>345</v>
      </c>
      <c r="B74" s="41">
        <f>(10^-6)*(8.7*10^-8)^-1</f>
        <v>11.494252873563218</v>
      </c>
      <c r="C74" s="41" t="s">
        <v>22</v>
      </c>
      <c r="D74" s="41" t="s">
        <v>22</v>
      </c>
      <c r="E74" s="41" t="s">
        <v>22</v>
      </c>
      <c r="F74" s="18" t="s">
        <v>22</v>
      </c>
      <c r="G74" s="18" t="s">
        <v>22</v>
      </c>
      <c r="H74" s="18" t="s">
        <v>22</v>
      </c>
      <c r="I74" s="18" t="s">
        <v>22</v>
      </c>
      <c r="J74" s="41" t="s">
        <v>22</v>
      </c>
      <c r="K74" s="18" t="s">
        <v>22</v>
      </c>
      <c r="L74" s="41" t="e">
        <f t="shared" si="34"/>
        <v>#VALUE!</v>
      </c>
      <c r="M74" s="18" t="s">
        <v>45</v>
      </c>
      <c r="N74" s="41" t="s">
        <v>22</v>
      </c>
      <c r="O74" s="41" t="s">
        <v>22</v>
      </c>
      <c r="P74" s="41" t="s">
        <v>22</v>
      </c>
      <c r="R74" s="41" t="s">
        <v>22</v>
      </c>
      <c r="S74" s="41" t="s">
        <v>22</v>
      </c>
      <c r="T74" s="41" t="s">
        <v>22</v>
      </c>
      <c r="U74" s="41" t="s">
        <v>22</v>
      </c>
      <c r="V74" s="18">
        <v>20200101</v>
      </c>
      <c r="W74" s="21" t="s">
        <v>434</v>
      </c>
      <c r="X74" s="18">
        <v>1985</v>
      </c>
      <c r="Y74" s="18" t="s">
        <v>375</v>
      </c>
      <c r="Z74" s="18" t="s">
        <v>124</v>
      </c>
      <c r="AA74" s="18" t="s">
        <v>763</v>
      </c>
      <c r="AB74" s="41">
        <v>0.52400000000000002</v>
      </c>
      <c r="AC74" s="18" t="s">
        <v>22</v>
      </c>
      <c r="AD74" s="41">
        <v>19.899999999999999</v>
      </c>
      <c r="AE74" s="41" t="s">
        <v>22</v>
      </c>
      <c r="AF74" s="41" t="s">
        <v>22</v>
      </c>
      <c r="AG74" s="41" t="s">
        <v>22</v>
      </c>
      <c r="AH74" s="41" t="s">
        <v>22</v>
      </c>
      <c r="AI74" s="41" t="s">
        <v>22</v>
      </c>
      <c r="AJ74" s="41" t="s">
        <v>22</v>
      </c>
      <c r="AK74" s="41" t="s">
        <v>22</v>
      </c>
      <c r="AL74" s="41" t="s">
        <v>22</v>
      </c>
      <c r="AM74" s="43" t="e">
        <f t="shared" si="35"/>
        <v>#VALUE!</v>
      </c>
      <c r="AN74" s="43" t="e">
        <f t="shared" si="36"/>
        <v>#VALUE!</v>
      </c>
      <c r="AO74" s="19" t="s">
        <v>435</v>
      </c>
      <c r="AP74" s="18"/>
      <c r="AQ74" s="18"/>
      <c r="AR74" s="18"/>
      <c r="AS74" s="18"/>
      <c r="AT74" s="2">
        <f t="shared" si="37"/>
        <v>16</v>
      </c>
      <c r="AU74" s="45">
        <f t="shared" si="38"/>
        <v>1.0604807473813815</v>
      </c>
      <c r="AV74" s="45" t="e">
        <f t="shared" si="39"/>
        <v>#VALUE!</v>
      </c>
      <c r="AW74" s="45" t="e">
        <f t="shared" si="40"/>
        <v>#VALUE!</v>
      </c>
      <c r="AX74" s="45" t="e">
        <f t="shared" si="41"/>
        <v>#VALUE!</v>
      </c>
      <c r="AY74" s="45" t="e">
        <f t="shared" si="42"/>
        <v>#VALUE!</v>
      </c>
      <c r="AZ74" s="45" t="e">
        <f t="shared" si="43"/>
        <v>#VALUE!</v>
      </c>
      <c r="BA74" s="45" t="e">
        <f t="shared" si="44"/>
        <v>#VALUE!</v>
      </c>
      <c r="BB74" s="45" t="e">
        <f t="shared" si="45"/>
        <v>#VALUE!</v>
      </c>
      <c r="BC74" s="45" t="e">
        <f t="shared" si="46"/>
        <v>#VALUE!</v>
      </c>
      <c r="BD74" s="45">
        <f t="shared" si="47"/>
        <v>1.2988530764097066</v>
      </c>
      <c r="BE74" s="45" t="e">
        <f t="shared" si="48"/>
        <v>#VALUE!</v>
      </c>
      <c r="BF74" s="45" t="e">
        <f t="shared" si="49"/>
        <v>#VALUE!</v>
      </c>
      <c r="BG74" s="45" t="e">
        <f t="shared" si="50"/>
        <v>#VALUE!</v>
      </c>
      <c r="BH74" s="45">
        <f t="shared" si="51"/>
        <v>-0.28066871301627333</v>
      </c>
      <c r="BI74" s="43" t="e">
        <f t="shared" si="52"/>
        <v>#VALUE!</v>
      </c>
      <c r="BJ74" s="18"/>
      <c r="BK74" s="18"/>
      <c r="BL74" s="20"/>
      <c r="BS74" s="18"/>
      <c r="BT74" s="18"/>
      <c r="CA74" s="43" t="s">
        <v>22</v>
      </c>
      <c r="CB74" s="18"/>
      <c r="CC74" s="18" t="s">
        <v>22</v>
      </c>
      <c r="CD74" s="18"/>
      <c r="CE74" s="41" t="s">
        <v>22</v>
      </c>
      <c r="CF74" s="41" t="s">
        <v>22</v>
      </c>
      <c r="CG74" s="41" t="s">
        <v>22</v>
      </c>
      <c r="CH74" s="41" t="s">
        <v>22</v>
      </c>
      <c r="CI74" s="41" t="s">
        <v>22</v>
      </c>
      <c r="CJ74" s="41" t="e">
        <f t="shared" si="31"/>
        <v>#VALUE!</v>
      </c>
      <c r="CK74" s="18"/>
      <c r="CL74" s="9" t="s">
        <v>1268</v>
      </c>
      <c r="CM74" s="18" t="s">
        <v>1284</v>
      </c>
      <c r="CN74" s="54" t="s">
        <v>1284</v>
      </c>
      <c r="CO74" s="18" t="s">
        <v>1284</v>
      </c>
    </row>
    <row r="75" spans="1:93" x14ac:dyDescent="0.25">
      <c r="A75" t="s">
        <v>345</v>
      </c>
      <c r="B75" s="41">
        <v>14.283693961250179</v>
      </c>
      <c r="C75" s="41" t="s">
        <v>22</v>
      </c>
      <c r="D75" s="41" t="s">
        <v>22</v>
      </c>
      <c r="E75" s="41" t="s">
        <v>22</v>
      </c>
      <c r="F75" t="s">
        <v>22</v>
      </c>
      <c r="G75" t="s">
        <v>22</v>
      </c>
      <c r="H75" t="s">
        <v>22</v>
      </c>
      <c r="I75" t="s">
        <v>22</v>
      </c>
      <c r="J75" s="41" t="s">
        <v>22</v>
      </c>
      <c r="K75" t="s">
        <v>22</v>
      </c>
      <c r="L75" s="41" t="s">
        <v>22</v>
      </c>
      <c r="M75" t="s">
        <v>45</v>
      </c>
      <c r="N75" s="41" t="s">
        <v>22</v>
      </c>
      <c r="O75" s="41" t="s">
        <v>22</v>
      </c>
      <c r="P75" s="41" t="s">
        <v>22</v>
      </c>
      <c r="R75" s="41" t="s">
        <v>22</v>
      </c>
      <c r="S75" s="41" t="s">
        <v>22</v>
      </c>
      <c r="T75" s="41" t="s">
        <v>22</v>
      </c>
      <c r="U75" s="41" t="s">
        <v>22</v>
      </c>
      <c r="V75">
        <v>20200518</v>
      </c>
      <c r="W75" s="16" t="s">
        <v>765</v>
      </c>
      <c r="X75">
        <v>1985</v>
      </c>
      <c r="Y75" t="s">
        <v>375</v>
      </c>
      <c r="Z75" t="s">
        <v>124</v>
      </c>
      <c r="AA75" t="s">
        <v>763</v>
      </c>
      <c r="AB75" s="41">
        <v>0.40459860062603686</v>
      </c>
      <c r="AC75" t="s">
        <v>22</v>
      </c>
      <c r="AD75" s="41" t="s">
        <v>22</v>
      </c>
      <c r="AE75" s="41" t="s">
        <v>22</v>
      </c>
      <c r="AF75" s="41" t="s">
        <v>22</v>
      </c>
      <c r="AG75" s="41" t="s">
        <v>22</v>
      </c>
      <c r="AH75" s="41">
        <v>5.0985148514851302</v>
      </c>
      <c r="AI75" s="41">
        <v>5.0955445544554498</v>
      </c>
      <c r="AJ75" s="41">
        <v>5.0985148514851302</v>
      </c>
      <c r="AK75" s="41">
        <v>5.0227722772277099</v>
      </c>
      <c r="AL75" s="41">
        <v>7.0009900990098997</v>
      </c>
      <c r="AM75" s="43">
        <f t="shared" si="35"/>
        <v>1.3739434567181565</v>
      </c>
      <c r="AN75" s="43">
        <f t="shared" si="36"/>
        <v>1.3731430235945283</v>
      </c>
      <c r="AO75" s="3" t="s">
        <v>435</v>
      </c>
      <c r="AT75" s="2">
        <f t="shared" si="37"/>
        <v>16</v>
      </c>
      <c r="AU75" s="45">
        <f t="shared" si="38"/>
        <v>1.1548405365386565</v>
      </c>
      <c r="AV75" s="45" t="e">
        <f t="shared" si="39"/>
        <v>#VALUE!</v>
      </c>
      <c r="AW75" s="45" t="e">
        <f t="shared" si="40"/>
        <v>#VALUE!</v>
      </c>
      <c r="AX75" s="45" t="e">
        <f t="shared" si="41"/>
        <v>#VALUE!</v>
      </c>
      <c r="AY75" s="45" t="e">
        <f t="shared" si="42"/>
        <v>#VALUE!</v>
      </c>
      <c r="AZ75" s="45" t="e">
        <f t="shared" si="43"/>
        <v>#VALUE!</v>
      </c>
      <c r="BA75" s="45" t="e">
        <f t="shared" si="44"/>
        <v>#VALUE!</v>
      </c>
      <c r="BB75" s="45" t="e">
        <f t="shared" si="45"/>
        <v>#VALUE!</v>
      </c>
      <c r="BC75" s="45" t="e">
        <f t="shared" si="46"/>
        <v>#VALUE!</v>
      </c>
      <c r="BD75" s="45" t="e">
        <f t="shared" si="47"/>
        <v>#VALUE!</v>
      </c>
      <c r="BE75" s="45" t="e">
        <f t="shared" si="48"/>
        <v>#VALUE!</v>
      </c>
      <c r="BF75" s="45">
        <f t="shared" si="49"/>
        <v>0.13796886013213114</v>
      </c>
      <c r="BG75" s="45">
        <f t="shared" si="50"/>
        <v>0.13771577476255628</v>
      </c>
      <c r="BH75" s="45">
        <f t="shared" si="51"/>
        <v>-0.39297562364490096</v>
      </c>
      <c r="BI75" s="43" t="e">
        <f t="shared" si="52"/>
        <v>#VALUE!</v>
      </c>
      <c r="CA75" s="43" t="s">
        <v>22</v>
      </c>
      <c r="CC75" t="s">
        <v>22</v>
      </c>
      <c r="CE75" s="41" t="s">
        <v>22</v>
      </c>
      <c r="CF75" s="41" t="s">
        <v>22</v>
      </c>
      <c r="CG75" s="41" t="s">
        <v>22</v>
      </c>
      <c r="CH75" s="41" t="s">
        <v>22</v>
      </c>
      <c r="CI75" s="41" t="str">
        <f t="shared" ref="CI75:CI81" si="53">IF(ISNUMBER(CG75),CG75,U75)</f>
        <v>Not Reported/ Can not calculate</v>
      </c>
      <c r="CJ75" s="41" t="e">
        <f t="shared" si="31"/>
        <v>#VALUE!</v>
      </c>
      <c r="CL75" s="9" t="s">
        <v>1268</v>
      </c>
      <c r="CM75" s="18" t="s">
        <v>1284</v>
      </c>
      <c r="CN75" s="54" t="s">
        <v>1284</v>
      </c>
      <c r="CO75" s="18" t="s">
        <v>1284</v>
      </c>
    </row>
    <row r="76" spans="1:93" x14ac:dyDescent="0.25">
      <c r="A76" t="s">
        <v>375</v>
      </c>
      <c r="B76" s="41">
        <v>0.40459860062603686</v>
      </c>
      <c r="C76" s="41" t="s">
        <v>22</v>
      </c>
      <c r="D76" s="41" t="s">
        <v>22</v>
      </c>
      <c r="E76" s="41" t="s">
        <v>22</v>
      </c>
      <c r="F76" t="s">
        <v>22</v>
      </c>
      <c r="G76" t="s">
        <v>22</v>
      </c>
      <c r="H76" t="s">
        <v>22</v>
      </c>
      <c r="I76" t="s">
        <v>22</v>
      </c>
      <c r="J76" s="41" t="s">
        <v>22</v>
      </c>
      <c r="K76" t="s">
        <v>22</v>
      </c>
      <c r="L76" s="41" t="s">
        <v>22</v>
      </c>
      <c r="M76" t="s">
        <v>23</v>
      </c>
      <c r="N76" s="41" t="s">
        <v>22</v>
      </c>
      <c r="O76" s="41" t="s">
        <v>22</v>
      </c>
      <c r="P76" s="41" t="s">
        <v>22</v>
      </c>
      <c r="R76" s="41" t="s">
        <v>22</v>
      </c>
      <c r="S76" s="41" t="s">
        <v>22</v>
      </c>
      <c r="T76" s="41" t="s">
        <v>22</v>
      </c>
      <c r="U76" s="41" t="s">
        <v>22</v>
      </c>
      <c r="V76">
        <v>20200518</v>
      </c>
      <c r="W76" s="16" t="s">
        <v>764</v>
      </c>
      <c r="X76">
        <v>1985</v>
      </c>
      <c r="Y76" t="s">
        <v>375</v>
      </c>
      <c r="AB76" s="41" t="s">
        <v>22</v>
      </c>
      <c r="AC76" t="s">
        <v>22</v>
      </c>
      <c r="AD76" s="41">
        <v>19.899999999999999</v>
      </c>
      <c r="AE76" s="41" t="s">
        <v>22</v>
      </c>
      <c r="AF76" s="41" t="s">
        <v>22</v>
      </c>
      <c r="AG76" s="41" t="s">
        <v>22</v>
      </c>
      <c r="AH76" s="41">
        <v>485.078787189259</v>
      </c>
      <c r="AI76" s="41">
        <v>485.078787189259</v>
      </c>
      <c r="AJ76" s="41">
        <v>482.86591956311503</v>
      </c>
      <c r="AK76" s="41">
        <v>431.98134137322899</v>
      </c>
      <c r="AL76" s="41">
        <v>247.15854144149199</v>
      </c>
      <c r="AM76" s="43">
        <f t="shared" si="35"/>
        <v>0.50952246927479072</v>
      </c>
      <c r="AN76" s="43">
        <f t="shared" si="36"/>
        <v>0.51185749796778957</v>
      </c>
      <c r="AO76" s="3" t="s">
        <v>435</v>
      </c>
      <c r="AT76" s="2">
        <f t="shared" si="37"/>
        <v>16</v>
      </c>
      <c r="AU76" s="45">
        <f t="shared" si="38"/>
        <v>-0.39297562364490096</v>
      </c>
      <c r="AV76" s="45" t="e">
        <f t="shared" si="39"/>
        <v>#VALUE!</v>
      </c>
      <c r="AW76" s="45" t="e">
        <f t="shared" si="40"/>
        <v>#VALUE!</v>
      </c>
      <c r="AX76" s="45" t="e">
        <f t="shared" si="41"/>
        <v>#VALUE!</v>
      </c>
      <c r="AY76" s="45" t="e">
        <f t="shared" si="42"/>
        <v>#VALUE!</v>
      </c>
      <c r="AZ76" s="45" t="e">
        <f t="shared" si="43"/>
        <v>#VALUE!</v>
      </c>
      <c r="BA76" s="45" t="e">
        <f t="shared" si="44"/>
        <v>#VALUE!</v>
      </c>
      <c r="BB76" s="45" t="e">
        <f t="shared" si="45"/>
        <v>#VALUE!</v>
      </c>
      <c r="BC76" s="45" t="e">
        <f t="shared" si="46"/>
        <v>#VALUE!</v>
      </c>
      <c r="BD76" s="45">
        <f t="shared" si="47"/>
        <v>1.2988530764097066</v>
      </c>
      <c r="BE76" s="45" t="e">
        <f t="shared" si="48"/>
        <v>#VALUE!</v>
      </c>
      <c r="BF76" s="45">
        <f t="shared" si="49"/>
        <v>-0.29283665941636328</v>
      </c>
      <c r="BG76" s="45">
        <f t="shared" si="50"/>
        <v>-0.29085093054817812</v>
      </c>
      <c r="BH76" s="45" t="e">
        <f t="shared" si="51"/>
        <v>#VALUE!</v>
      </c>
      <c r="BI76" s="43" t="e">
        <f t="shared" si="52"/>
        <v>#VALUE!</v>
      </c>
      <c r="CA76" s="43" t="s">
        <v>22</v>
      </c>
      <c r="CC76" t="s">
        <v>22</v>
      </c>
      <c r="CE76" s="41" t="s">
        <v>22</v>
      </c>
      <c r="CF76" s="41" t="s">
        <v>22</v>
      </c>
      <c r="CG76" s="41">
        <f>AD76*1000</f>
        <v>19900</v>
      </c>
      <c r="CH76" s="41">
        <f>LOG10(CG76)</f>
        <v>4.2988530764097064</v>
      </c>
      <c r="CI76" s="41">
        <f t="shared" si="53"/>
        <v>19900</v>
      </c>
      <c r="CJ76" s="41">
        <f t="shared" si="31"/>
        <v>4.2988530764097064</v>
      </c>
      <c r="CL76" s="9" t="s">
        <v>1268</v>
      </c>
      <c r="CM76" s="18" t="s">
        <v>1283</v>
      </c>
      <c r="CN76" s="54" t="s">
        <v>1284</v>
      </c>
      <c r="CO76" s="18" t="s">
        <v>1284</v>
      </c>
    </row>
    <row r="77" spans="1:93" x14ac:dyDescent="0.25">
      <c r="A77" t="s">
        <v>345</v>
      </c>
      <c r="B77" s="41">
        <v>3.4126513676009917</v>
      </c>
      <c r="C77" s="41" t="s">
        <v>22</v>
      </c>
      <c r="D77" s="41" t="s">
        <v>22</v>
      </c>
      <c r="E77" s="41" t="s">
        <v>22</v>
      </c>
      <c r="F77" t="s">
        <v>22</v>
      </c>
      <c r="G77" t="s">
        <v>22</v>
      </c>
      <c r="H77" t="s">
        <v>22</v>
      </c>
      <c r="I77" t="s">
        <v>22</v>
      </c>
      <c r="J77" s="41" t="s">
        <v>22</v>
      </c>
      <c r="K77" t="s">
        <v>22</v>
      </c>
      <c r="L77" s="41" t="s">
        <v>22</v>
      </c>
      <c r="M77" t="s">
        <v>45</v>
      </c>
      <c r="N77" s="41" t="s">
        <v>22</v>
      </c>
      <c r="O77" s="41" t="s">
        <v>22</v>
      </c>
      <c r="P77" s="41" t="s">
        <v>22</v>
      </c>
      <c r="R77" s="41" t="s">
        <v>22</v>
      </c>
      <c r="S77" s="41" t="s">
        <v>22</v>
      </c>
      <c r="T77" s="41" t="s">
        <v>22</v>
      </c>
      <c r="U77" s="41" t="s">
        <v>22</v>
      </c>
      <c r="V77">
        <v>20200518</v>
      </c>
      <c r="W77" s="16" t="s">
        <v>768</v>
      </c>
      <c r="X77">
        <v>1985</v>
      </c>
      <c r="Y77" t="s">
        <v>375</v>
      </c>
      <c r="Z77" t="s">
        <v>124</v>
      </c>
      <c r="AA77" t="s">
        <v>737</v>
      </c>
      <c r="AB77" s="41" t="s">
        <v>22</v>
      </c>
      <c r="AC77" t="s">
        <v>22</v>
      </c>
      <c r="AD77" s="41" t="s">
        <v>22</v>
      </c>
      <c r="AE77" s="41" t="s">
        <v>22</v>
      </c>
      <c r="AF77" s="41" t="s">
        <v>22</v>
      </c>
      <c r="AG77" s="41" t="s">
        <v>22</v>
      </c>
      <c r="AH77" s="41">
        <v>25.195037220843599</v>
      </c>
      <c r="AI77" s="41">
        <v>25.195037220843599</v>
      </c>
      <c r="AJ77" s="41">
        <v>25.189081885856002</v>
      </c>
      <c r="AK77" s="41">
        <v>25.522084367245601</v>
      </c>
      <c r="AL77" s="41">
        <v>29.302729528535899</v>
      </c>
      <c r="AM77" s="43">
        <f t="shared" si="35"/>
        <v>1.163035770564135</v>
      </c>
      <c r="AN77" s="43">
        <f t="shared" si="36"/>
        <v>1.1633107415872019</v>
      </c>
      <c r="AO77" s="3" t="s">
        <v>435</v>
      </c>
      <c r="AT77" s="2">
        <f t="shared" si="37"/>
        <v>16</v>
      </c>
      <c r="AU77" s="45">
        <f t="shared" si="38"/>
        <v>0.53309192353772861</v>
      </c>
      <c r="AV77" s="45" t="e">
        <f t="shared" si="39"/>
        <v>#VALUE!</v>
      </c>
      <c r="AW77" s="45" t="e">
        <f t="shared" si="40"/>
        <v>#VALUE!</v>
      </c>
      <c r="AX77" s="45" t="e">
        <f t="shared" si="41"/>
        <v>#VALUE!</v>
      </c>
      <c r="AY77" s="45" t="e">
        <f t="shared" si="42"/>
        <v>#VALUE!</v>
      </c>
      <c r="AZ77" s="45" t="e">
        <f t="shared" si="43"/>
        <v>#VALUE!</v>
      </c>
      <c r="BA77" s="45" t="e">
        <f t="shared" si="44"/>
        <v>#VALUE!</v>
      </c>
      <c r="BB77" s="45" t="e">
        <f t="shared" si="45"/>
        <v>#VALUE!</v>
      </c>
      <c r="BC77" s="45" t="e">
        <f t="shared" si="46"/>
        <v>#VALUE!</v>
      </c>
      <c r="BD77" s="45" t="e">
        <f t="shared" si="47"/>
        <v>#VALUE!</v>
      </c>
      <c r="BE77" s="45" t="e">
        <f t="shared" si="48"/>
        <v>#VALUE!</v>
      </c>
      <c r="BF77" s="45">
        <f t="shared" si="49"/>
        <v>6.5593072183063858E-2</v>
      </c>
      <c r="BG77" s="45">
        <f t="shared" si="50"/>
        <v>6.5695738228671113E-2</v>
      </c>
      <c r="BH77" s="45" t="e">
        <f t="shared" si="51"/>
        <v>#VALUE!</v>
      </c>
      <c r="BI77" s="43" t="e">
        <f t="shared" si="52"/>
        <v>#VALUE!</v>
      </c>
      <c r="CA77" s="43" t="s">
        <v>22</v>
      </c>
      <c r="CC77" t="s">
        <v>22</v>
      </c>
      <c r="CE77" s="41" t="s">
        <v>22</v>
      </c>
      <c r="CF77" s="41" t="s">
        <v>22</v>
      </c>
      <c r="CG77" s="41" t="s">
        <v>22</v>
      </c>
      <c r="CH77" s="41" t="s">
        <v>22</v>
      </c>
      <c r="CI77" s="41" t="str">
        <f t="shared" si="53"/>
        <v>Not Reported/ Can not calculate</v>
      </c>
      <c r="CJ77" s="41" t="e">
        <f t="shared" si="31"/>
        <v>#VALUE!</v>
      </c>
      <c r="CL77" s="9" t="s">
        <v>1268</v>
      </c>
      <c r="CM77" s="18" t="s">
        <v>1284</v>
      </c>
      <c r="CN77" s="54" t="s">
        <v>1284</v>
      </c>
      <c r="CO77" s="18" t="s">
        <v>1284</v>
      </c>
    </row>
    <row r="78" spans="1:93" x14ac:dyDescent="0.25">
      <c r="A78" t="s">
        <v>345</v>
      </c>
      <c r="B78" s="41">
        <v>3.1348206229192028</v>
      </c>
      <c r="C78" s="41" t="s">
        <v>22</v>
      </c>
      <c r="D78" s="41" t="s">
        <v>22</v>
      </c>
      <c r="E78" s="41" t="s">
        <v>22</v>
      </c>
      <c r="F78" t="s">
        <v>22</v>
      </c>
      <c r="G78" t="s">
        <v>22</v>
      </c>
      <c r="H78" t="s">
        <v>22</v>
      </c>
      <c r="I78" t="s">
        <v>22</v>
      </c>
      <c r="J78" s="41" t="s">
        <v>22</v>
      </c>
      <c r="K78" t="s">
        <v>22</v>
      </c>
      <c r="L78" s="41" t="s">
        <v>22</v>
      </c>
      <c r="M78" t="s">
        <v>45</v>
      </c>
      <c r="N78" s="41" t="s">
        <v>22</v>
      </c>
      <c r="O78" s="41" t="s">
        <v>22</v>
      </c>
      <c r="P78" s="41" t="s">
        <v>22</v>
      </c>
      <c r="R78" s="41" t="s">
        <v>22</v>
      </c>
      <c r="S78" s="41" t="s">
        <v>22</v>
      </c>
      <c r="T78" s="41" t="s">
        <v>22</v>
      </c>
      <c r="U78" s="41" t="s">
        <v>22</v>
      </c>
      <c r="V78">
        <v>20200518</v>
      </c>
      <c r="W78" s="16" t="s">
        <v>770</v>
      </c>
      <c r="X78">
        <v>1985</v>
      </c>
      <c r="Y78" t="s">
        <v>375</v>
      </c>
      <c r="Z78" t="s">
        <v>124</v>
      </c>
      <c r="AA78" t="s">
        <v>737</v>
      </c>
      <c r="AC78" t="s">
        <v>22</v>
      </c>
      <c r="AD78" s="41" t="s">
        <v>22</v>
      </c>
      <c r="AE78" s="41" t="s">
        <v>22</v>
      </c>
      <c r="AF78" s="41" t="s">
        <v>22</v>
      </c>
      <c r="AG78" s="41" t="s">
        <v>22</v>
      </c>
      <c r="AH78" s="41">
        <v>26.695037220843599</v>
      </c>
      <c r="AI78" s="41">
        <v>26.695037220843599</v>
      </c>
      <c r="AJ78" s="41">
        <v>26.289081885856</v>
      </c>
      <c r="AK78" s="41">
        <v>26.822084367245601</v>
      </c>
      <c r="AL78" s="41">
        <v>31.899751861042098</v>
      </c>
      <c r="AM78" s="43">
        <f t="shared" si="35"/>
        <v>1.1949693719151153</v>
      </c>
      <c r="AN78" s="43">
        <f t="shared" si="36"/>
        <v>1.2134220586153197</v>
      </c>
      <c r="AO78" s="3" t="s">
        <v>435</v>
      </c>
      <c r="AT78" s="2">
        <f t="shared" si="37"/>
        <v>16</v>
      </c>
      <c r="AU78" s="45">
        <f t="shared" si="38"/>
        <v>0.49621269518104139</v>
      </c>
      <c r="AV78" s="45" t="e">
        <f t="shared" si="39"/>
        <v>#VALUE!</v>
      </c>
      <c r="AW78" s="45" t="e">
        <f t="shared" si="40"/>
        <v>#VALUE!</v>
      </c>
      <c r="AX78" s="45" t="e">
        <f t="shared" si="41"/>
        <v>#VALUE!</v>
      </c>
      <c r="AY78" s="45" t="e">
        <f t="shared" si="42"/>
        <v>#VALUE!</v>
      </c>
      <c r="AZ78" s="45" t="e">
        <f t="shared" si="43"/>
        <v>#VALUE!</v>
      </c>
      <c r="BA78" s="45" t="e">
        <f t="shared" si="44"/>
        <v>#VALUE!</v>
      </c>
      <c r="BB78" s="45" t="e">
        <f t="shared" si="45"/>
        <v>#VALUE!</v>
      </c>
      <c r="BC78" s="45" t="e">
        <f t="shared" si="46"/>
        <v>#VALUE!</v>
      </c>
      <c r="BD78" s="45" t="e">
        <f t="shared" si="47"/>
        <v>#VALUE!</v>
      </c>
      <c r="BE78" s="45" t="e">
        <f t="shared" si="48"/>
        <v>#VALUE!</v>
      </c>
      <c r="BF78" s="45">
        <f t="shared" si="49"/>
        <v>7.7356774088574054E-2</v>
      </c>
      <c r="BG78" s="45">
        <f t="shared" si="50"/>
        <v>8.4011885653220778E-2</v>
      </c>
      <c r="BH78" s="45" t="e">
        <f t="shared" si="51"/>
        <v>#NUM!</v>
      </c>
      <c r="BI78" s="43" t="e">
        <f t="shared" si="52"/>
        <v>#VALUE!</v>
      </c>
      <c r="CA78" s="43" t="s">
        <v>22</v>
      </c>
      <c r="CC78" t="s">
        <v>22</v>
      </c>
      <c r="CE78" s="41" t="s">
        <v>22</v>
      </c>
      <c r="CF78" s="41" t="s">
        <v>22</v>
      </c>
      <c r="CG78" s="41" t="s">
        <v>22</v>
      </c>
      <c r="CH78" s="41" t="s">
        <v>22</v>
      </c>
      <c r="CI78" s="41" t="str">
        <f t="shared" si="53"/>
        <v>Not Reported/ Can not calculate</v>
      </c>
      <c r="CJ78" s="41" t="e">
        <f t="shared" si="31"/>
        <v>#VALUE!</v>
      </c>
      <c r="CL78" s="9" t="s">
        <v>1268</v>
      </c>
      <c r="CM78" s="18" t="s">
        <v>1284</v>
      </c>
      <c r="CN78" s="54" t="s">
        <v>1284</v>
      </c>
      <c r="CO78" s="18" t="s">
        <v>1284</v>
      </c>
    </row>
    <row r="79" spans="1:93" x14ac:dyDescent="0.25">
      <c r="A79" t="s">
        <v>345</v>
      </c>
      <c r="B79" s="41">
        <v>1.0700174189644474</v>
      </c>
      <c r="C79" s="41" t="s">
        <v>22</v>
      </c>
      <c r="D79" s="41" t="s">
        <v>22</v>
      </c>
      <c r="E79" s="41" t="s">
        <v>22</v>
      </c>
      <c r="F79" t="s">
        <v>22</v>
      </c>
      <c r="G79" t="s">
        <v>22</v>
      </c>
      <c r="H79" t="s">
        <v>22</v>
      </c>
      <c r="I79" t="s">
        <v>22</v>
      </c>
      <c r="J79" s="41" t="s">
        <v>22</v>
      </c>
      <c r="K79" t="s">
        <v>22</v>
      </c>
      <c r="L79" s="41" t="s">
        <v>22</v>
      </c>
      <c r="M79" t="s">
        <v>45</v>
      </c>
      <c r="N79" s="41" t="s">
        <v>22</v>
      </c>
      <c r="O79" s="41" t="s">
        <v>22</v>
      </c>
      <c r="P79" s="41" t="s">
        <v>22</v>
      </c>
      <c r="R79" s="41" t="s">
        <v>22</v>
      </c>
      <c r="S79" s="41" t="s">
        <v>22</v>
      </c>
      <c r="T79" s="41" t="s">
        <v>22</v>
      </c>
      <c r="U79" s="41" t="s">
        <v>22</v>
      </c>
      <c r="V79">
        <v>20200518</v>
      </c>
      <c r="W79" s="16" t="s">
        <v>766</v>
      </c>
      <c r="X79">
        <v>1985</v>
      </c>
      <c r="Y79" t="s">
        <v>375</v>
      </c>
      <c r="Z79" t="s">
        <v>124</v>
      </c>
      <c r="AA79" t="s">
        <v>737</v>
      </c>
      <c r="AB79" s="41">
        <v>0.20508183907509597</v>
      </c>
      <c r="AC79" t="s">
        <v>22</v>
      </c>
      <c r="AD79" s="41" t="s">
        <v>22</v>
      </c>
      <c r="AE79" s="41" t="s">
        <v>22</v>
      </c>
      <c r="AF79" s="41" t="s">
        <v>22</v>
      </c>
      <c r="AG79" s="41" t="s">
        <v>22</v>
      </c>
      <c r="AH79" s="41">
        <v>95.083723922433506</v>
      </c>
      <c r="AI79" s="41">
        <v>95.083723922433506</v>
      </c>
      <c r="AJ79" s="41">
        <v>95.031400300217499</v>
      </c>
      <c r="AK79" s="41">
        <v>94.257574365101206</v>
      </c>
      <c r="AL79" s="41">
        <v>93.456422510185902</v>
      </c>
      <c r="AM79" s="43">
        <f t="shared" si="35"/>
        <v>0.98288559445173695</v>
      </c>
      <c r="AN79" s="43">
        <f t="shared" si="36"/>
        <v>0.9834267643636101</v>
      </c>
      <c r="AO79" s="3" t="s">
        <v>435</v>
      </c>
      <c r="AT79" s="2">
        <f t="shared" si="37"/>
        <v>16</v>
      </c>
      <c r="AU79" s="45">
        <f t="shared" si="38"/>
        <v>2.9390847683867672E-2</v>
      </c>
      <c r="AV79" s="45" t="e">
        <f t="shared" si="39"/>
        <v>#VALUE!</v>
      </c>
      <c r="AW79" s="45" t="e">
        <f t="shared" si="40"/>
        <v>#VALUE!</v>
      </c>
      <c r="AX79" s="45" t="e">
        <f t="shared" si="41"/>
        <v>#VALUE!</v>
      </c>
      <c r="AY79" s="45" t="e">
        <f t="shared" si="42"/>
        <v>#VALUE!</v>
      </c>
      <c r="AZ79" s="45" t="e">
        <f t="shared" si="43"/>
        <v>#VALUE!</v>
      </c>
      <c r="BA79" s="45" t="e">
        <f t="shared" si="44"/>
        <v>#VALUE!</v>
      </c>
      <c r="BB79" s="45" t="e">
        <f t="shared" si="45"/>
        <v>#VALUE!</v>
      </c>
      <c r="BC79" s="45" t="e">
        <f t="shared" si="46"/>
        <v>#VALUE!</v>
      </c>
      <c r="BD79" s="45" t="e">
        <f t="shared" si="47"/>
        <v>#VALUE!</v>
      </c>
      <c r="BE79" s="45" t="e">
        <f t="shared" si="48"/>
        <v>#VALUE!</v>
      </c>
      <c r="BF79" s="45">
        <f t="shared" si="49"/>
        <v>-7.4970300720822768E-3</v>
      </c>
      <c r="BG79" s="45">
        <f t="shared" si="50"/>
        <v>-7.2579763821849826E-3</v>
      </c>
      <c r="BH79" s="45">
        <f t="shared" si="51"/>
        <v>-0.68807279667056565</v>
      </c>
      <c r="BI79" s="43" t="e">
        <f t="shared" si="52"/>
        <v>#VALUE!</v>
      </c>
      <c r="CA79" s="43" t="s">
        <v>22</v>
      </c>
      <c r="CC79" t="s">
        <v>22</v>
      </c>
      <c r="CE79" s="41" t="s">
        <v>22</v>
      </c>
      <c r="CF79" s="41" t="s">
        <v>22</v>
      </c>
      <c r="CG79" s="41" t="s">
        <v>22</v>
      </c>
      <c r="CH79" s="41" t="s">
        <v>22</v>
      </c>
      <c r="CI79" s="41" t="str">
        <f t="shared" si="53"/>
        <v>Not Reported/ Can not calculate</v>
      </c>
      <c r="CJ79" s="41" t="e">
        <f t="shared" si="31"/>
        <v>#VALUE!</v>
      </c>
      <c r="CL79" s="9" t="s">
        <v>1268</v>
      </c>
      <c r="CM79" s="18" t="s">
        <v>1284</v>
      </c>
      <c r="CN79" s="54" t="s">
        <v>1284</v>
      </c>
      <c r="CO79" s="18" t="s">
        <v>1284</v>
      </c>
    </row>
    <row r="80" spans="1:93" x14ac:dyDescent="0.25">
      <c r="A80" s="18" t="s">
        <v>375</v>
      </c>
      <c r="B80" s="41">
        <v>0.20508183907509597</v>
      </c>
      <c r="C80" s="41" t="s">
        <v>22</v>
      </c>
      <c r="D80" s="41" t="s">
        <v>22</v>
      </c>
      <c r="E80" s="41" t="s">
        <v>22</v>
      </c>
      <c r="F80" t="s">
        <v>22</v>
      </c>
      <c r="G80" t="s">
        <v>22</v>
      </c>
      <c r="H80" t="s">
        <v>22</v>
      </c>
      <c r="I80" t="s">
        <v>22</v>
      </c>
      <c r="J80" s="41" t="s">
        <v>22</v>
      </c>
      <c r="K80" t="s">
        <v>22</v>
      </c>
      <c r="L80" s="41" t="s">
        <v>22</v>
      </c>
      <c r="M80" t="s">
        <v>23</v>
      </c>
      <c r="N80" s="41" t="s">
        <v>22</v>
      </c>
      <c r="O80" s="41" t="s">
        <v>22</v>
      </c>
      <c r="P80" s="41" t="s">
        <v>22</v>
      </c>
      <c r="R80" s="41" t="s">
        <v>22</v>
      </c>
      <c r="S80" s="41" t="s">
        <v>22</v>
      </c>
      <c r="T80" s="41" t="s">
        <v>22</v>
      </c>
      <c r="U80" s="41" t="s">
        <v>22</v>
      </c>
      <c r="V80">
        <v>20200518</v>
      </c>
      <c r="W80" s="16" t="s">
        <v>767</v>
      </c>
      <c r="X80">
        <v>1985</v>
      </c>
      <c r="Y80" t="s">
        <v>375</v>
      </c>
      <c r="AB80" s="41" t="s">
        <v>22</v>
      </c>
      <c r="AC80" t="s">
        <v>22</v>
      </c>
      <c r="AD80" s="41">
        <v>8.5</v>
      </c>
      <c r="AE80" s="41" t="s">
        <v>22</v>
      </c>
      <c r="AF80" s="41" t="s">
        <v>22</v>
      </c>
      <c r="AG80" s="41" t="s">
        <v>22</v>
      </c>
      <c r="AH80" s="41">
        <v>846.78309346379206</v>
      </c>
      <c r="AI80" s="41">
        <v>846.78309346379206</v>
      </c>
      <c r="AJ80" s="41">
        <v>843.51214517321796</v>
      </c>
      <c r="AK80" s="41">
        <v>756.45372319244495</v>
      </c>
      <c r="AL80" s="41">
        <v>487.610216735878</v>
      </c>
      <c r="AM80" s="43">
        <f t="shared" si="35"/>
        <v>0.57583839415273819</v>
      </c>
      <c r="AN80" s="43">
        <f t="shared" si="36"/>
        <v>0.57807136450388119</v>
      </c>
      <c r="AO80" s="3" t="s">
        <v>435</v>
      </c>
      <c r="AT80" s="2">
        <f t="shared" si="37"/>
        <v>16</v>
      </c>
      <c r="AU80" s="45">
        <f t="shared" si="38"/>
        <v>-0.68807279667056565</v>
      </c>
      <c r="AV80" s="45" t="e">
        <f t="shared" si="39"/>
        <v>#VALUE!</v>
      </c>
      <c r="AW80" s="45" t="e">
        <f t="shared" si="40"/>
        <v>#VALUE!</v>
      </c>
      <c r="AX80" s="45" t="e">
        <f t="shared" si="41"/>
        <v>#VALUE!</v>
      </c>
      <c r="AY80" s="45" t="e">
        <f t="shared" si="42"/>
        <v>#VALUE!</v>
      </c>
      <c r="AZ80" s="45" t="e">
        <f t="shared" si="43"/>
        <v>#VALUE!</v>
      </c>
      <c r="BA80" s="45" t="e">
        <f t="shared" si="44"/>
        <v>#VALUE!</v>
      </c>
      <c r="BB80" s="45" t="e">
        <f t="shared" si="45"/>
        <v>#VALUE!</v>
      </c>
      <c r="BC80" s="45" t="e">
        <f t="shared" si="46"/>
        <v>#VALUE!</v>
      </c>
      <c r="BD80" s="45">
        <f t="shared" si="47"/>
        <v>0.92941892571429274</v>
      </c>
      <c r="BE80" s="45" t="e">
        <f t="shared" si="48"/>
        <v>#VALUE!</v>
      </c>
      <c r="BF80" s="45">
        <f t="shared" si="49"/>
        <v>-0.23969938181157421</v>
      </c>
      <c r="BG80" s="45">
        <f t="shared" si="50"/>
        <v>-0.23801854341846401</v>
      </c>
      <c r="BH80" s="45" t="e">
        <f t="shared" si="51"/>
        <v>#VALUE!</v>
      </c>
      <c r="BI80" s="43" t="e">
        <f t="shared" si="52"/>
        <v>#VALUE!</v>
      </c>
      <c r="CA80" s="43" t="s">
        <v>22</v>
      </c>
      <c r="CC80" t="s">
        <v>22</v>
      </c>
      <c r="CE80" s="41" t="s">
        <v>22</v>
      </c>
      <c r="CF80" s="41" t="s">
        <v>22</v>
      </c>
      <c r="CG80" s="41">
        <f>AD80*1000</f>
        <v>8500</v>
      </c>
      <c r="CH80" s="41">
        <f>LOG10(CG80)</f>
        <v>3.9294189257142929</v>
      </c>
      <c r="CI80" s="41">
        <f t="shared" si="53"/>
        <v>8500</v>
      </c>
      <c r="CJ80" s="41">
        <f t="shared" si="31"/>
        <v>3.9294189257142929</v>
      </c>
      <c r="CL80" s="9" t="s">
        <v>1268</v>
      </c>
      <c r="CM80" s="18" t="s">
        <v>1283</v>
      </c>
      <c r="CN80" s="54" t="s">
        <v>1284</v>
      </c>
      <c r="CO80" s="18" t="s">
        <v>1284</v>
      </c>
    </row>
    <row r="81" spans="1:93" x14ac:dyDescent="0.25">
      <c r="A81" t="s">
        <v>345</v>
      </c>
      <c r="B81" s="41">
        <v>0.64491936339011524</v>
      </c>
      <c r="C81" s="41" t="s">
        <v>22</v>
      </c>
      <c r="D81" s="41" t="s">
        <v>22</v>
      </c>
      <c r="E81" s="41" t="s">
        <v>22</v>
      </c>
      <c r="F81" t="s">
        <v>22</v>
      </c>
      <c r="G81" t="s">
        <v>22</v>
      </c>
      <c r="H81" t="s">
        <v>22</v>
      </c>
      <c r="I81" t="s">
        <v>22</v>
      </c>
      <c r="J81" s="41" t="s">
        <v>22</v>
      </c>
      <c r="K81" t="s">
        <v>22</v>
      </c>
      <c r="L81" s="41" t="s">
        <v>22</v>
      </c>
      <c r="M81" t="s">
        <v>45</v>
      </c>
      <c r="N81" s="41" t="s">
        <v>22</v>
      </c>
      <c r="O81" s="41" t="s">
        <v>22</v>
      </c>
      <c r="P81" s="41" t="s">
        <v>22</v>
      </c>
      <c r="R81" s="41" t="s">
        <v>22</v>
      </c>
      <c r="S81" s="41" t="s">
        <v>22</v>
      </c>
      <c r="T81" s="41" t="s">
        <v>22</v>
      </c>
      <c r="U81" s="41" t="s">
        <v>22</v>
      </c>
      <c r="V81">
        <v>20200518</v>
      </c>
      <c r="W81" s="16" t="s">
        <v>769</v>
      </c>
      <c r="X81">
        <v>1985</v>
      </c>
      <c r="Y81" t="s">
        <v>375</v>
      </c>
      <c r="Z81" t="s">
        <v>124</v>
      </c>
      <c r="AA81" t="s">
        <v>737</v>
      </c>
      <c r="AB81" s="41" t="s">
        <v>22</v>
      </c>
      <c r="AC81" t="s">
        <v>22</v>
      </c>
      <c r="AD81" s="41" t="s">
        <v>22</v>
      </c>
      <c r="AE81" s="41" t="s">
        <v>22</v>
      </c>
      <c r="AF81" s="41" t="s">
        <v>22</v>
      </c>
      <c r="AG81" s="41" t="s">
        <v>22</v>
      </c>
      <c r="AH81" s="41">
        <v>171.68066724462599</v>
      </c>
      <c r="AI81" s="41">
        <v>171.68066724462599</v>
      </c>
      <c r="AJ81" s="41">
        <v>171.184419000926</v>
      </c>
      <c r="AK81" s="41">
        <v>167.40755134375601</v>
      </c>
      <c r="AL81" s="41">
        <v>155.05814474903499</v>
      </c>
      <c r="AM81" s="43">
        <f t="shared" si="35"/>
        <v>0.90317766838647162</v>
      </c>
      <c r="AN81" s="43">
        <f t="shared" si="36"/>
        <v>0.90579589926461845</v>
      </c>
      <c r="AO81" s="3" t="s">
        <v>435</v>
      </c>
      <c r="AT81" s="2">
        <f t="shared" si="37"/>
        <v>16</v>
      </c>
      <c r="AU81" s="45">
        <f t="shared" si="38"/>
        <v>-0.19049458338637898</v>
      </c>
      <c r="AV81" s="45" t="e">
        <f t="shared" si="39"/>
        <v>#VALUE!</v>
      </c>
      <c r="AW81" s="45" t="e">
        <f t="shared" si="40"/>
        <v>#VALUE!</v>
      </c>
      <c r="AX81" s="45" t="e">
        <f t="shared" si="41"/>
        <v>#VALUE!</v>
      </c>
      <c r="AY81" s="45" t="e">
        <f t="shared" si="42"/>
        <v>#VALUE!</v>
      </c>
      <c r="AZ81" s="45" t="e">
        <f t="shared" si="43"/>
        <v>#VALUE!</v>
      </c>
      <c r="BA81" s="45" t="e">
        <f t="shared" si="44"/>
        <v>#VALUE!</v>
      </c>
      <c r="BB81" s="45" t="e">
        <f t="shared" si="45"/>
        <v>#VALUE!</v>
      </c>
      <c r="BC81" s="45" t="e">
        <f t="shared" si="46"/>
        <v>#VALUE!</v>
      </c>
      <c r="BD81" s="45" t="e">
        <f t="shared" si="47"/>
        <v>#VALUE!</v>
      </c>
      <c r="BE81" s="45" t="e">
        <f t="shared" si="48"/>
        <v>#VALUE!</v>
      </c>
      <c r="BF81" s="45">
        <f t="shared" si="49"/>
        <v>-4.4226809143791582E-2</v>
      </c>
      <c r="BG81" s="45">
        <f t="shared" si="50"/>
        <v>-4.2969649794350251E-2</v>
      </c>
      <c r="BH81" s="45" t="e">
        <f t="shared" si="51"/>
        <v>#VALUE!</v>
      </c>
      <c r="BI81" s="43" t="e">
        <f t="shared" si="52"/>
        <v>#VALUE!</v>
      </c>
      <c r="CA81" s="43" t="s">
        <v>22</v>
      </c>
      <c r="CC81" t="s">
        <v>22</v>
      </c>
      <c r="CE81" s="41" t="s">
        <v>22</v>
      </c>
      <c r="CF81" s="41" t="s">
        <v>22</v>
      </c>
      <c r="CG81" s="41" t="s">
        <v>22</v>
      </c>
      <c r="CH81" s="41" t="s">
        <v>22</v>
      </c>
      <c r="CI81" s="41" t="str">
        <f t="shared" si="53"/>
        <v>Not Reported/ Can not calculate</v>
      </c>
      <c r="CJ81" s="41" t="e">
        <f t="shared" si="31"/>
        <v>#VALUE!</v>
      </c>
      <c r="CL81" s="9" t="s">
        <v>1268</v>
      </c>
      <c r="CM81" s="18" t="s">
        <v>1284</v>
      </c>
      <c r="CN81" s="54" t="s">
        <v>1284</v>
      </c>
      <c r="CO81" s="18" t="s">
        <v>1284</v>
      </c>
    </row>
    <row r="82" spans="1:93" s="9" customFormat="1" x14ac:dyDescent="0.25">
      <c r="A82" s="9" t="s">
        <v>369</v>
      </c>
      <c r="B82" s="50" t="s">
        <v>22</v>
      </c>
      <c r="C82" s="50" t="s">
        <v>22</v>
      </c>
      <c r="D82" s="50" t="s">
        <v>22</v>
      </c>
      <c r="E82" s="50" t="s">
        <v>22</v>
      </c>
      <c r="F82" s="9" t="s">
        <v>22</v>
      </c>
      <c r="G82" s="9" t="s">
        <v>22</v>
      </c>
      <c r="H82" s="9" t="s">
        <v>22</v>
      </c>
      <c r="I82" s="9" t="s">
        <v>22</v>
      </c>
      <c r="J82" s="50" t="s">
        <v>22</v>
      </c>
      <c r="K82" s="9" t="s">
        <v>22</v>
      </c>
      <c r="L82" s="50" t="e">
        <f>IF((10^-12)*J82*K82^4=0,"",(10^-12)*J82*K82^4)</f>
        <v>#VALUE!</v>
      </c>
      <c r="M82" s="9" t="s">
        <v>23</v>
      </c>
      <c r="N82" s="50" t="s">
        <v>22</v>
      </c>
      <c r="O82" s="50" t="s">
        <v>22</v>
      </c>
      <c r="P82" s="50" t="s">
        <v>22</v>
      </c>
      <c r="Q82" s="50"/>
      <c r="R82" s="50" t="s">
        <v>22</v>
      </c>
      <c r="S82" s="50" t="s">
        <v>22</v>
      </c>
      <c r="T82" s="50" t="s">
        <v>22</v>
      </c>
      <c r="U82" s="50" t="s">
        <v>22</v>
      </c>
      <c r="V82" s="9">
        <v>20200716</v>
      </c>
      <c r="W82" s="21"/>
      <c r="X82" s="21">
        <v>1985</v>
      </c>
      <c r="Y82" s="9" t="s">
        <v>369</v>
      </c>
      <c r="Z82" s="9" t="s">
        <v>32</v>
      </c>
      <c r="AB82" s="50"/>
      <c r="AC82" s="9" t="s">
        <v>22</v>
      </c>
      <c r="AD82" s="50" t="s">
        <v>22</v>
      </c>
      <c r="AE82" s="50" t="s">
        <v>22</v>
      </c>
      <c r="AF82" s="50">
        <v>2000</v>
      </c>
      <c r="AG82" s="50" t="s">
        <v>22</v>
      </c>
      <c r="AH82" s="50" t="s">
        <v>22</v>
      </c>
      <c r="AI82" s="50" t="s">
        <v>22</v>
      </c>
      <c r="AJ82" s="50" t="s">
        <v>22</v>
      </c>
      <c r="AK82" s="50" t="s">
        <v>22</v>
      </c>
      <c r="AL82" s="50" t="s">
        <v>22</v>
      </c>
      <c r="AM82" s="43" t="e">
        <f t="shared" si="35"/>
        <v>#VALUE!</v>
      </c>
      <c r="AN82" s="43" t="e">
        <f t="shared" si="36"/>
        <v>#VALUE!</v>
      </c>
      <c r="AO82" s="21" t="s">
        <v>1080</v>
      </c>
      <c r="AT82" s="2">
        <f t="shared" si="37"/>
        <v>3</v>
      </c>
      <c r="AU82" s="45" t="e">
        <f t="shared" si="38"/>
        <v>#VALUE!</v>
      </c>
      <c r="AV82" s="45" t="e">
        <f t="shared" si="39"/>
        <v>#VALUE!</v>
      </c>
      <c r="AW82" s="45" t="e">
        <f t="shared" si="40"/>
        <v>#VALUE!</v>
      </c>
      <c r="AX82" s="45" t="e">
        <f t="shared" si="41"/>
        <v>#VALUE!</v>
      </c>
      <c r="AY82" s="45" t="e">
        <f t="shared" si="42"/>
        <v>#VALUE!</v>
      </c>
      <c r="AZ82" s="45" t="e">
        <f t="shared" si="43"/>
        <v>#VALUE!</v>
      </c>
      <c r="BA82" s="45" t="e">
        <f t="shared" si="44"/>
        <v>#VALUE!</v>
      </c>
      <c r="BB82" s="45" t="e">
        <f t="shared" si="45"/>
        <v>#VALUE!</v>
      </c>
      <c r="BC82" s="45" t="e">
        <f t="shared" si="46"/>
        <v>#VALUE!</v>
      </c>
      <c r="BD82" s="45" t="e">
        <f t="shared" si="47"/>
        <v>#VALUE!</v>
      </c>
      <c r="BE82" s="45">
        <f t="shared" si="48"/>
        <v>3.3010299956639813</v>
      </c>
      <c r="BF82" s="45" t="e">
        <f t="shared" si="49"/>
        <v>#VALUE!</v>
      </c>
      <c r="BG82" s="45" t="e">
        <f t="shared" si="50"/>
        <v>#VALUE!</v>
      </c>
      <c r="BH82" s="45" t="e">
        <f t="shared" si="51"/>
        <v>#NUM!</v>
      </c>
      <c r="BI82" s="43">
        <f t="shared" si="52"/>
        <v>3.3010299956639813</v>
      </c>
      <c r="BL82" s="20"/>
      <c r="BM82" s="50"/>
      <c r="BN82" s="50"/>
      <c r="BO82" s="50"/>
      <c r="BP82" s="50"/>
      <c r="BQ82" s="50"/>
      <c r="BR82" s="50"/>
      <c r="BU82" s="50"/>
      <c r="BV82" s="50"/>
      <c r="BW82" s="50"/>
      <c r="BX82" s="50"/>
      <c r="BY82" s="50"/>
      <c r="BZ82" s="50"/>
      <c r="CA82" s="43" t="s">
        <v>22</v>
      </c>
      <c r="CE82" s="50"/>
      <c r="CF82" s="50"/>
      <c r="CG82" s="50"/>
      <c r="CH82" s="50"/>
      <c r="CI82" s="50" t="str">
        <f t="shared" ref="CI82:CI86" si="54">IF(ISNUMBER(CG82),CG82,U82)</f>
        <v>Not Reported/ Can not calculate</v>
      </c>
      <c r="CJ82" s="50" t="e">
        <f t="shared" ref="CJ82:CJ86" si="55">LOG10(CI82)</f>
        <v>#VALUE!</v>
      </c>
      <c r="CL82" s="9" t="s">
        <v>1268</v>
      </c>
      <c r="CM82" s="9" t="s">
        <v>1284</v>
      </c>
      <c r="CN82" s="55" t="s">
        <v>1284</v>
      </c>
      <c r="CO82" s="9" t="s">
        <v>1284</v>
      </c>
    </row>
    <row r="83" spans="1:93" s="9" customFormat="1" x14ac:dyDescent="0.25">
      <c r="A83" s="9" t="s">
        <v>375</v>
      </c>
      <c r="B83" s="50">
        <f>((1.02*10^-5)^-1)*10^-6</f>
        <v>9.8039215686274495E-2</v>
      </c>
      <c r="C83" s="50" t="s">
        <v>22</v>
      </c>
      <c r="D83" s="50" t="s">
        <v>22</v>
      </c>
      <c r="E83" s="50" t="s">
        <v>22</v>
      </c>
      <c r="F83" s="9" t="s">
        <v>22</v>
      </c>
      <c r="G83" s="9" t="s">
        <v>22</v>
      </c>
      <c r="H83" s="9" t="s">
        <v>22</v>
      </c>
      <c r="I83" s="9" t="s">
        <v>22</v>
      </c>
      <c r="J83" s="50" t="s">
        <v>22</v>
      </c>
      <c r="K83" s="9" t="s">
        <v>22</v>
      </c>
      <c r="L83" s="50" t="e">
        <f>IF((10^-12)*J83*K83^4=0,"",(10^-12)*J83*K83^4)</f>
        <v>#VALUE!</v>
      </c>
      <c r="M83" s="9" t="s">
        <v>23</v>
      </c>
      <c r="N83" s="50" t="s">
        <v>22</v>
      </c>
      <c r="O83" s="50" t="s">
        <v>22</v>
      </c>
      <c r="P83" s="50" t="s">
        <v>22</v>
      </c>
      <c r="Q83" s="50"/>
      <c r="R83" s="50" t="s">
        <v>22</v>
      </c>
      <c r="S83" s="50" t="s">
        <v>22</v>
      </c>
      <c r="T83" s="50" t="s">
        <v>22</v>
      </c>
      <c r="U83" s="50" t="s">
        <v>22</v>
      </c>
      <c r="V83" s="9">
        <v>20200716</v>
      </c>
      <c r="W83" s="21"/>
      <c r="X83" s="21">
        <v>1985</v>
      </c>
      <c r="Y83" s="9" t="s">
        <v>1092</v>
      </c>
      <c r="Z83" s="9" t="s">
        <v>32</v>
      </c>
      <c r="AB83" s="50"/>
      <c r="AC83" s="9" t="s">
        <v>22</v>
      </c>
      <c r="AD83" s="50" t="s">
        <v>22</v>
      </c>
      <c r="AE83" s="50" t="s">
        <v>22</v>
      </c>
      <c r="AF83" s="50">
        <v>36.307805477010199</v>
      </c>
      <c r="AG83" s="50" t="s">
        <v>22</v>
      </c>
      <c r="AH83" s="50" t="s">
        <v>22</v>
      </c>
      <c r="AI83" s="50" t="s">
        <v>22</v>
      </c>
      <c r="AJ83" s="50" t="s">
        <v>22</v>
      </c>
      <c r="AK83" s="50" t="s">
        <v>22</v>
      </c>
      <c r="AL83" s="50" t="s">
        <v>22</v>
      </c>
      <c r="AM83" s="43" t="e">
        <f t="shared" si="35"/>
        <v>#VALUE!</v>
      </c>
      <c r="AN83" s="43" t="e">
        <f t="shared" si="36"/>
        <v>#VALUE!</v>
      </c>
      <c r="AO83" s="21" t="s">
        <v>1080</v>
      </c>
      <c r="AT83" s="2">
        <f t="shared" si="37"/>
        <v>3</v>
      </c>
      <c r="AU83" s="45">
        <f t="shared" si="38"/>
        <v>-1.0086001717619175</v>
      </c>
      <c r="AV83" s="45" t="e">
        <f t="shared" si="39"/>
        <v>#VALUE!</v>
      </c>
      <c r="AW83" s="45" t="e">
        <f t="shared" si="40"/>
        <v>#VALUE!</v>
      </c>
      <c r="AX83" s="45" t="e">
        <f t="shared" si="41"/>
        <v>#VALUE!</v>
      </c>
      <c r="AY83" s="45" t="e">
        <f t="shared" si="42"/>
        <v>#VALUE!</v>
      </c>
      <c r="AZ83" s="45" t="e">
        <f t="shared" si="43"/>
        <v>#VALUE!</v>
      </c>
      <c r="BA83" s="45" t="e">
        <f t="shared" si="44"/>
        <v>#VALUE!</v>
      </c>
      <c r="BB83" s="45" t="e">
        <f t="shared" si="45"/>
        <v>#VALUE!</v>
      </c>
      <c r="BC83" s="45" t="e">
        <f t="shared" si="46"/>
        <v>#VALUE!</v>
      </c>
      <c r="BD83" s="45" t="e">
        <f t="shared" si="47"/>
        <v>#VALUE!</v>
      </c>
      <c r="BE83" s="45">
        <f t="shared" si="48"/>
        <v>1.5600000000000007</v>
      </c>
      <c r="BF83" s="45" t="e">
        <f t="shared" si="49"/>
        <v>#VALUE!</v>
      </c>
      <c r="BG83" s="45" t="e">
        <f t="shared" si="50"/>
        <v>#VALUE!</v>
      </c>
      <c r="BH83" s="45" t="e">
        <f t="shared" si="51"/>
        <v>#NUM!</v>
      </c>
      <c r="BI83" s="43">
        <f t="shared" si="52"/>
        <v>1.5600000000000007</v>
      </c>
      <c r="BL83" s="20"/>
      <c r="BM83" s="50"/>
      <c r="BN83" s="50"/>
      <c r="BO83" s="50"/>
      <c r="BP83" s="50"/>
      <c r="BQ83" s="50"/>
      <c r="BR83" s="50"/>
      <c r="BU83" s="50"/>
      <c r="BV83" s="50"/>
      <c r="BW83" s="50"/>
      <c r="BX83" s="50"/>
      <c r="BY83" s="50"/>
      <c r="BZ83" s="50"/>
      <c r="CA83" s="43" t="s">
        <v>22</v>
      </c>
      <c r="CE83" s="50"/>
      <c r="CF83" s="50"/>
      <c r="CG83" s="50"/>
      <c r="CH83" s="50"/>
      <c r="CI83" s="50" t="str">
        <f t="shared" si="54"/>
        <v>Not Reported/ Can not calculate</v>
      </c>
      <c r="CJ83" s="50" t="e">
        <f t="shared" si="55"/>
        <v>#VALUE!</v>
      </c>
      <c r="CL83" s="9" t="s">
        <v>1268</v>
      </c>
      <c r="CM83" s="9" t="s">
        <v>1284</v>
      </c>
      <c r="CN83" s="55" t="s">
        <v>1284</v>
      </c>
      <c r="CO83" s="9" t="s">
        <v>1284</v>
      </c>
    </row>
    <row r="84" spans="1:93" s="9" customFormat="1" x14ac:dyDescent="0.25">
      <c r="A84" s="9" t="s">
        <v>375</v>
      </c>
      <c r="B84" s="50">
        <f>((7.15*10^-7)^-1)*10^-6</f>
        <v>1.3986013986013985</v>
      </c>
      <c r="C84" s="50" t="s">
        <v>22</v>
      </c>
      <c r="D84" s="50" t="s">
        <v>22</v>
      </c>
      <c r="E84" s="50" t="s">
        <v>22</v>
      </c>
      <c r="F84" s="9" t="s">
        <v>22</v>
      </c>
      <c r="G84" s="9" t="s">
        <v>22</v>
      </c>
      <c r="H84" s="9" t="s">
        <v>22</v>
      </c>
      <c r="I84" s="9" t="s">
        <v>22</v>
      </c>
      <c r="J84" s="50" t="s">
        <v>22</v>
      </c>
      <c r="K84" s="9" t="s">
        <v>22</v>
      </c>
      <c r="L84" s="50" t="e">
        <f>IF((10^-12)*J84*K84^4=0,"",(10^-12)*J84*K84^4)</f>
        <v>#VALUE!</v>
      </c>
      <c r="M84" s="9" t="s">
        <v>23</v>
      </c>
      <c r="N84" s="50" t="s">
        <v>22</v>
      </c>
      <c r="O84" s="50" t="s">
        <v>22</v>
      </c>
      <c r="P84" s="50" t="s">
        <v>22</v>
      </c>
      <c r="Q84" s="50"/>
      <c r="R84" s="50" t="s">
        <v>22</v>
      </c>
      <c r="S84" s="50" t="s">
        <v>22</v>
      </c>
      <c r="T84" s="50" t="s">
        <v>22</v>
      </c>
      <c r="U84" s="50" t="s">
        <v>22</v>
      </c>
      <c r="V84" s="9">
        <v>20200716</v>
      </c>
      <c r="W84" s="21" t="s">
        <v>1079</v>
      </c>
      <c r="X84" s="21">
        <v>1985</v>
      </c>
      <c r="Y84" s="9" t="s">
        <v>1092</v>
      </c>
      <c r="Z84" s="9" t="s">
        <v>907</v>
      </c>
      <c r="AB84" s="50"/>
      <c r="AC84" s="9" t="s">
        <v>22</v>
      </c>
      <c r="AD84" s="50" t="s">
        <v>22</v>
      </c>
      <c r="AE84" s="50" t="s">
        <v>22</v>
      </c>
      <c r="AF84" s="50">
        <v>1934.93627539094</v>
      </c>
      <c r="AG84" s="50" t="s">
        <v>22</v>
      </c>
      <c r="AH84" s="50" t="s">
        <v>22</v>
      </c>
      <c r="AI84" s="50" t="s">
        <v>22</v>
      </c>
      <c r="AJ84" s="50" t="s">
        <v>22</v>
      </c>
      <c r="AK84" s="50" t="s">
        <v>22</v>
      </c>
      <c r="AL84" s="50" t="s">
        <v>22</v>
      </c>
      <c r="AM84" s="43" t="e">
        <f t="shared" si="35"/>
        <v>#VALUE!</v>
      </c>
      <c r="AN84" s="43" t="e">
        <f t="shared" si="36"/>
        <v>#VALUE!</v>
      </c>
      <c r="AO84" s="21" t="s">
        <v>1080</v>
      </c>
      <c r="AT84" s="2">
        <f t="shared" si="37"/>
        <v>3</v>
      </c>
      <c r="AU84" s="45">
        <f t="shared" si="38"/>
        <v>0.14569395819891937</v>
      </c>
      <c r="AV84" s="45" t="e">
        <f t="shared" si="39"/>
        <v>#VALUE!</v>
      </c>
      <c r="AW84" s="45" t="e">
        <f t="shared" si="40"/>
        <v>#VALUE!</v>
      </c>
      <c r="AX84" s="45" t="e">
        <f t="shared" si="41"/>
        <v>#VALUE!</v>
      </c>
      <c r="AY84" s="45" t="e">
        <f t="shared" si="42"/>
        <v>#VALUE!</v>
      </c>
      <c r="AZ84" s="45" t="e">
        <f t="shared" si="43"/>
        <v>#VALUE!</v>
      </c>
      <c r="BA84" s="45" t="e">
        <f t="shared" si="44"/>
        <v>#VALUE!</v>
      </c>
      <c r="BB84" s="45" t="e">
        <f t="shared" si="45"/>
        <v>#VALUE!</v>
      </c>
      <c r="BC84" s="45" t="e">
        <f t="shared" si="46"/>
        <v>#VALUE!</v>
      </c>
      <c r="BD84" s="45" t="e">
        <f t="shared" si="47"/>
        <v>#VALUE!</v>
      </c>
      <c r="BE84" s="45">
        <f t="shared" si="48"/>
        <v>3.286666666666664</v>
      </c>
      <c r="BF84" s="45" t="e">
        <f t="shared" si="49"/>
        <v>#VALUE!</v>
      </c>
      <c r="BG84" s="45" t="e">
        <f t="shared" si="50"/>
        <v>#VALUE!</v>
      </c>
      <c r="BH84" s="45" t="e">
        <f t="shared" si="51"/>
        <v>#NUM!</v>
      </c>
      <c r="BI84" s="43">
        <f t="shared" si="52"/>
        <v>3.286666666666664</v>
      </c>
      <c r="BL84" s="20"/>
      <c r="BM84" s="50"/>
      <c r="BN84" s="50"/>
      <c r="BO84" s="50"/>
      <c r="BP84" s="50"/>
      <c r="BQ84" s="50"/>
      <c r="BR84" s="50"/>
      <c r="BU84" s="50"/>
      <c r="BV84" s="50"/>
      <c r="BW84" s="50"/>
      <c r="BX84" s="50"/>
      <c r="BY84" s="50"/>
      <c r="BZ84" s="50"/>
      <c r="CA84" s="43" t="s">
        <v>22</v>
      </c>
      <c r="CE84" s="50"/>
      <c r="CF84" s="50"/>
      <c r="CG84" s="50"/>
      <c r="CH84" s="50"/>
      <c r="CI84" s="50" t="str">
        <f t="shared" si="54"/>
        <v>Not Reported/ Can not calculate</v>
      </c>
      <c r="CJ84" s="50" t="e">
        <f t="shared" si="55"/>
        <v>#VALUE!</v>
      </c>
      <c r="CL84" s="9" t="s">
        <v>1268</v>
      </c>
      <c r="CM84" s="9" t="s">
        <v>1284</v>
      </c>
      <c r="CN84" s="55" t="s">
        <v>1284</v>
      </c>
      <c r="CO84" s="9" t="s">
        <v>1284</v>
      </c>
    </row>
    <row r="85" spans="1:93" s="9" customFormat="1" x14ac:dyDescent="0.25">
      <c r="A85" s="9" t="s">
        <v>375</v>
      </c>
      <c r="B85" s="50">
        <f>((0.000267916832481904*10^-2)^-1)*10^-6</f>
        <v>0.37325015779571946</v>
      </c>
      <c r="C85" s="50" t="s">
        <v>22</v>
      </c>
      <c r="D85" s="50" t="s">
        <v>22</v>
      </c>
      <c r="E85" s="50" t="s">
        <v>22</v>
      </c>
      <c r="F85" s="9" t="s">
        <v>22</v>
      </c>
      <c r="G85" s="9" t="s">
        <v>22</v>
      </c>
      <c r="H85" s="9" t="s">
        <v>22</v>
      </c>
      <c r="I85" s="9" t="s">
        <v>22</v>
      </c>
      <c r="J85" s="50" t="s">
        <v>22</v>
      </c>
      <c r="K85" s="9" t="s">
        <v>22</v>
      </c>
      <c r="L85" s="50"/>
      <c r="M85" s="9" t="s">
        <v>23</v>
      </c>
      <c r="N85" s="50" t="s">
        <v>22</v>
      </c>
      <c r="O85" s="50" t="s">
        <v>22</v>
      </c>
      <c r="P85" s="50" t="s">
        <v>22</v>
      </c>
      <c r="Q85" s="50"/>
      <c r="R85" s="50" t="s">
        <v>22</v>
      </c>
      <c r="S85" s="50" t="s">
        <v>22</v>
      </c>
      <c r="T85" s="50" t="s">
        <v>22</v>
      </c>
      <c r="U85" s="50" t="s">
        <v>22</v>
      </c>
      <c r="V85" s="9">
        <v>20210320</v>
      </c>
      <c r="W85" s="21" t="s">
        <v>1225</v>
      </c>
      <c r="X85" s="21">
        <v>1985</v>
      </c>
      <c r="Z85" s="9" t="s">
        <v>27</v>
      </c>
      <c r="AB85" s="50"/>
      <c r="AC85" s="9" t="s">
        <v>22</v>
      </c>
      <c r="AD85" s="50" t="s">
        <v>22</v>
      </c>
      <c r="AE85" s="50" t="s">
        <v>22</v>
      </c>
      <c r="AF85" s="50">
        <v>500.06807121025298</v>
      </c>
      <c r="AG85" s="50" t="s">
        <v>22</v>
      </c>
      <c r="AH85" s="50" t="s">
        <v>22</v>
      </c>
      <c r="AI85" s="50" t="s">
        <v>22</v>
      </c>
      <c r="AJ85" s="50" t="s">
        <v>22</v>
      </c>
      <c r="AK85" s="50" t="s">
        <v>22</v>
      </c>
      <c r="AL85" s="50" t="s">
        <v>22</v>
      </c>
      <c r="AM85" s="43" t="e">
        <f t="shared" si="35"/>
        <v>#VALUE!</v>
      </c>
      <c r="AN85" s="43" t="e">
        <f t="shared" si="36"/>
        <v>#VALUE!</v>
      </c>
      <c r="AO85" s="21" t="s">
        <v>1226</v>
      </c>
      <c r="AT85" s="2">
        <f t="shared" si="37"/>
        <v>2</v>
      </c>
      <c r="AU85" s="45">
        <f t="shared" si="38"/>
        <v>-0.42800000000000132</v>
      </c>
      <c r="AV85" s="45" t="e">
        <f t="shared" si="39"/>
        <v>#VALUE!</v>
      </c>
      <c r="AW85" s="45" t="e">
        <f t="shared" si="40"/>
        <v>#VALUE!</v>
      </c>
      <c r="AX85" s="45" t="e">
        <f t="shared" si="41"/>
        <v>#VALUE!</v>
      </c>
      <c r="AY85" s="45" t="e">
        <f t="shared" si="42"/>
        <v>#VALUE!</v>
      </c>
      <c r="AZ85" s="45" t="e">
        <f t="shared" si="43"/>
        <v>#VALUE!</v>
      </c>
      <c r="BA85" s="45" t="e">
        <f t="shared" si="44"/>
        <v>#VALUE!</v>
      </c>
      <c r="BB85" s="45" t="e">
        <f t="shared" si="45"/>
        <v>#NUM!</v>
      </c>
      <c r="BC85" s="45" t="e">
        <f t="shared" si="46"/>
        <v>#VALUE!</v>
      </c>
      <c r="BD85" s="45" t="e">
        <f t="shared" si="47"/>
        <v>#VALUE!</v>
      </c>
      <c r="BE85" s="45">
        <f t="shared" si="48"/>
        <v>2.699029126213591</v>
      </c>
      <c r="BF85" s="45" t="e">
        <f t="shared" si="49"/>
        <v>#VALUE!</v>
      </c>
      <c r="BG85" s="45" t="e">
        <f t="shared" si="50"/>
        <v>#VALUE!</v>
      </c>
      <c r="BH85" s="45" t="e">
        <f t="shared" si="51"/>
        <v>#NUM!</v>
      </c>
      <c r="BI85" s="43">
        <f t="shared" si="52"/>
        <v>2.699029126213591</v>
      </c>
      <c r="BL85" s="20"/>
      <c r="BM85" s="50"/>
      <c r="BN85" s="50"/>
      <c r="BO85" s="50"/>
      <c r="BP85" s="50"/>
      <c r="BQ85" s="50"/>
      <c r="BR85" s="50"/>
      <c r="BU85" s="50"/>
      <c r="BV85" s="50"/>
      <c r="BW85" s="50"/>
      <c r="BX85" s="50"/>
      <c r="BY85" s="50"/>
      <c r="BZ85" s="50"/>
      <c r="CA85" s="43" t="s">
        <v>22</v>
      </c>
      <c r="CE85" s="50"/>
      <c r="CF85" s="50"/>
      <c r="CG85" s="50"/>
      <c r="CH85" s="50"/>
      <c r="CI85" s="50" t="str">
        <f t="shared" si="54"/>
        <v>Not Reported/ Can not calculate</v>
      </c>
      <c r="CJ85" s="50" t="e">
        <f t="shared" si="55"/>
        <v>#VALUE!</v>
      </c>
      <c r="CL85" s="9" t="s">
        <v>1268</v>
      </c>
      <c r="CM85" s="9" t="s">
        <v>1284</v>
      </c>
      <c r="CN85" s="55" t="s">
        <v>1284</v>
      </c>
      <c r="CO85" s="9" t="s">
        <v>1284</v>
      </c>
    </row>
    <row r="86" spans="1:93" s="9" customFormat="1" x14ac:dyDescent="0.25">
      <c r="A86" s="9" t="s">
        <v>375</v>
      </c>
      <c r="B86" s="50">
        <f>((0.0000765596606911258*10^-2)^-1)*10^-6</f>
        <v>1.3061708881318386</v>
      </c>
      <c r="C86" s="50" t="s">
        <v>22</v>
      </c>
      <c r="D86" s="50" t="s">
        <v>22</v>
      </c>
      <c r="E86" s="50" t="s">
        <v>22</v>
      </c>
      <c r="F86" s="9" t="s">
        <v>22</v>
      </c>
      <c r="G86" s="9" t="s">
        <v>22</v>
      </c>
      <c r="H86" s="9" t="s">
        <v>22</v>
      </c>
      <c r="I86" s="9" t="s">
        <v>22</v>
      </c>
      <c r="J86" s="50" t="s">
        <v>22</v>
      </c>
      <c r="K86" s="9" t="s">
        <v>22</v>
      </c>
      <c r="L86" s="50"/>
      <c r="M86" s="9" t="s">
        <v>23</v>
      </c>
      <c r="N86" s="50" t="s">
        <v>22</v>
      </c>
      <c r="O86" s="50" t="s">
        <v>22</v>
      </c>
      <c r="P86" s="50" t="s">
        <v>22</v>
      </c>
      <c r="Q86" s="50"/>
      <c r="R86" s="50" t="s">
        <v>22</v>
      </c>
      <c r="S86" s="50" t="s">
        <v>22</v>
      </c>
      <c r="T86" s="50" t="s">
        <v>22</v>
      </c>
      <c r="U86" s="50" t="s">
        <v>22</v>
      </c>
      <c r="V86" s="9">
        <v>20210320</v>
      </c>
      <c r="W86" s="21" t="s">
        <v>1224</v>
      </c>
      <c r="X86" s="21">
        <v>1985</v>
      </c>
      <c r="Z86" s="9" t="s">
        <v>27</v>
      </c>
      <c r="AB86" s="50"/>
      <c r="AC86" s="9" t="s">
        <v>22</v>
      </c>
      <c r="AD86" s="50" t="s">
        <v>22</v>
      </c>
      <c r="AE86" s="50" t="s">
        <v>22</v>
      </c>
      <c r="AF86" s="50">
        <v>1352.28416067126</v>
      </c>
      <c r="AG86" s="50" t="s">
        <v>22</v>
      </c>
      <c r="AH86" s="50" t="s">
        <v>22</v>
      </c>
      <c r="AI86" s="50" t="s">
        <v>22</v>
      </c>
      <c r="AJ86" s="50" t="s">
        <v>22</v>
      </c>
      <c r="AK86" s="50" t="s">
        <v>22</v>
      </c>
      <c r="AL86" s="50" t="s">
        <v>22</v>
      </c>
      <c r="AM86" s="43" t="e">
        <f t="shared" si="35"/>
        <v>#VALUE!</v>
      </c>
      <c r="AN86" s="43" t="e">
        <f t="shared" si="36"/>
        <v>#VALUE!</v>
      </c>
      <c r="AO86" s="21" t="s">
        <v>1226</v>
      </c>
      <c r="AT86" s="2">
        <f t="shared" si="37"/>
        <v>2</v>
      </c>
      <c r="AU86" s="45">
        <f t="shared" si="38"/>
        <v>0.11599999999999903</v>
      </c>
      <c r="AV86" s="45" t="e">
        <f t="shared" si="39"/>
        <v>#VALUE!</v>
      </c>
      <c r="AW86" s="45" t="e">
        <f t="shared" si="40"/>
        <v>#VALUE!</v>
      </c>
      <c r="AX86" s="45" t="e">
        <f t="shared" si="41"/>
        <v>#VALUE!</v>
      </c>
      <c r="AY86" s="45" t="e">
        <f t="shared" si="42"/>
        <v>#VALUE!</v>
      </c>
      <c r="AZ86" s="45" t="e">
        <f t="shared" si="43"/>
        <v>#VALUE!</v>
      </c>
      <c r="BA86" s="45" t="e">
        <f t="shared" si="44"/>
        <v>#VALUE!</v>
      </c>
      <c r="BB86" s="45" t="e">
        <f t="shared" si="45"/>
        <v>#NUM!</v>
      </c>
      <c r="BC86" s="45" t="e">
        <f t="shared" si="46"/>
        <v>#VALUE!</v>
      </c>
      <c r="BD86" s="45" t="e">
        <f t="shared" si="47"/>
        <v>#VALUE!</v>
      </c>
      <c r="BE86" s="45">
        <f t="shared" si="48"/>
        <v>3.1310679611650452</v>
      </c>
      <c r="BF86" s="45" t="e">
        <f t="shared" si="49"/>
        <v>#VALUE!</v>
      </c>
      <c r="BG86" s="45" t="e">
        <f t="shared" si="50"/>
        <v>#VALUE!</v>
      </c>
      <c r="BH86" s="45" t="e">
        <f t="shared" si="51"/>
        <v>#NUM!</v>
      </c>
      <c r="BI86" s="43">
        <f t="shared" si="52"/>
        <v>3.1310679611650452</v>
      </c>
      <c r="BL86" s="20"/>
      <c r="BM86" s="50"/>
      <c r="BN86" s="50"/>
      <c r="BO86" s="50"/>
      <c r="BP86" s="50"/>
      <c r="BQ86" s="50"/>
      <c r="BR86" s="50"/>
      <c r="BU86" s="50"/>
      <c r="BV86" s="50"/>
      <c r="BW86" s="50"/>
      <c r="BX86" s="50"/>
      <c r="BY86" s="50"/>
      <c r="BZ86" s="50"/>
      <c r="CA86" s="43" t="s">
        <v>22</v>
      </c>
      <c r="CE86" s="50"/>
      <c r="CF86" s="50"/>
      <c r="CG86" s="50"/>
      <c r="CH86" s="50"/>
      <c r="CI86" s="50" t="str">
        <f t="shared" si="54"/>
        <v>Not Reported/ Can not calculate</v>
      </c>
      <c r="CJ86" s="50" t="e">
        <f t="shared" si="55"/>
        <v>#VALUE!</v>
      </c>
      <c r="CL86" s="9" t="s">
        <v>1268</v>
      </c>
      <c r="CM86" s="9" t="s">
        <v>1284</v>
      </c>
      <c r="CN86" s="55" t="s">
        <v>1284</v>
      </c>
      <c r="CO86" s="9" t="s">
        <v>1284</v>
      </c>
    </row>
    <row r="87" spans="1:93" x14ac:dyDescent="0.25">
      <c r="A87" t="s">
        <v>349</v>
      </c>
      <c r="B87" s="41">
        <v>9.9999999999999992E-2</v>
      </c>
      <c r="C87" s="41">
        <v>1.3</v>
      </c>
      <c r="D87" s="41">
        <v>7.69230769230769E-2</v>
      </c>
      <c r="L87" s="41" t="str">
        <f t="shared" ref="L87:L93" si="56">IF((10^-12)*J87*K87^4=0,"",(10^-12)*J87*K87^4)</f>
        <v/>
      </c>
      <c r="M87" t="s">
        <v>23</v>
      </c>
      <c r="V87">
        <v>20191229</v>
      </c>
      <c r="AM87" s="43" t="e">
        <f t="shared" si="35"/>
        <v>#DIV/0!</v>
      </c>
      <c r="AN87" s="43" t="e">
        <f t="shared" si="36"/>
        <v>#DIV/0!</v>
      </c>
      <c r="AO87" s="3" t="s">
        <v>351</v>
      </c>
      <c r="AT87" s="2">
        <f t="shared" si="37"/>
        <v>5</v>
      </c>
      <c r="AU87" s="45">
        <f t="shared" si="38"/>
        <v>-1</v>
      </c>
      <c r="AV87" s="45">
        <f t="shared" si="39"/>
        <v>0.11394335230683679</v>
      </c>
      <c r="AW87" s="45">
        <f t="shared" si="40"/>
        <v>-1.1139433523068369</v>
      </c>
      <c r="AX87" s="45" t="e">
        <f t="shared" si="41"/>
        <v>#NUM!</v>
      </c>
      <c r="AY87" s="45" t="e">
        <f t="shared" si="42"/>
        <v>#NUM!</v>
      </c>
      <c r="AZ87" s="45" t="e">
        <f t="shared" si="43"/>
        <v>#NUM!</v>
      </c>
      <c r="BA87" s="45" t="e">
        <f t="shared" si="44"/>
        <v>#NUM!</v>
      </c>
      <c r="BB87" s="45" t="e">
        <f t="shared" si="45"/>
        <v>#VALUE!</v>
      </c>
      <c r="BC87" s="45" t="e">
        <f t="shared" si="46"/>
        <v>#NUM!</v>
      </c>
      <c r="BD87" s="45" t="e">
        <f t="shared" si="47"/>
        <v>#NUM!</v>
      </c>
      <c r="BE87" s="45" t="e">
        <f t="shared" si="48"/>
        <v>#NUM!</v>
      </c>
      <c r="BF87" s="45" t="e">
        <f t="shared" si="49"/>
        <v>#DIV/0!</v>
      </c>
      <c r="BG87" s="45" t="e">
        <f t="shared" si="50"/>
        <v>#DIV/0!</v>
      </c>
      <c r="BH87" s="45" t="e">
        <f t="shared" si="51"/>
        <v>#NUM!</v>
      </c>
      <c r="BI87" s="43" t="e">
        <f t="shared" si="52"/>
        <v>#NUM!</v>
      </c>
      <c r="CA87" s="43" t="s">
        <v>22</v>
      </c>
      <c r="CC87" t="s">
        <v>22</v>
      </c>
      <c r="CE87" s="41" t="s">
        <v>22</v>
      </c>
      <c r="CF87" s="41" t="s">
        <v>22</v>
      </c>
      <c r="CG87" s="41" t="s">
        <v>22</v>
      </c>
      <c r="CH87" s="41" t="s">
        <v>22</v>
      </c>
      <c r="CI87" s="41" t="s">
        <v>22</v>
      </c>
      <c r="CJ87" s="41" t="e">
        <f t="shared" ref="CJ87:CJ93" si="57">LOG10(CI87)</f>
        <v>#VALUE!</v>
      </c>
      <c r="CL87" s="9" t="s">
        <v>1268</v>
      </c>
      <c r="CM87" s="18" t="s">
        <v>1284</v>
      </c>
      <c r="CN87" s="54" t="s">
        <v>1284</v>
      </c>
      <c r="CO87" s="18" t="s">
        <v>1284</v>
      </c>
    </row>
    <row r="88" spans="1:93" x14ac:dyDescent="0.25">
      <c r="A88" t="s">
        <v>349</v>
      </c>
      <c r="B88" s="41">
        <v>0.01</v>
      </c>
      <c r="C88" s="41">
        <v>1.55</v>
      </c>
      <c r="D88" s="41">
        <v>6.4516129032258056E-3</v>
      </c>
      <c r="L88" s="41" t="str">
        <f t="shared" si="56"/>
        <v/>
      </c>
      <c r="M88" t="s">
        <v>23</v>
      </c>
      <c r="V88">
        <v>20191229</v>
      </c>
      <c r="AM88" s="43" t="e">
        <f t="shared" si="35"/>
        <v>#DIV/0!</v>
      </c>
      <c r="AN88" s="43" t="e">
        <f t="shared" si="36"/>
        <v>#DIV/0!</v>
      </c>
      <c r="AO88" s="3" t="s">
        <v>351</v>
      </c>
      <c r="AT88" s="2">
        <f t="shared" si="37"/>
        <v>5</v>
      </c>
      <c r="AU88" s="45">
        <f t="shared" si="38"/>
        <v>-2</v>
      </c>
      <c r="AV88" s="45">
        <f t="shared" si="39"/>
        <v>0.1903316981702915</v>
      </c>
      <c r="AW88" s="45">
        <f t="shared" si="40"/>
        <v>-2.1903316981702914</v>
      </c>
      <c r="AX88" s="45" t="e">
        <f t="shared" si="41"/>
        <v>#NUM!</v>
      </c>
      <c r="AY88" s="45" t="e">
        <f t="shared" si="42"/>
        <v>#NUM!</v>
      </c>
      <c r="AZ88" s="45" t="e">
        <f t="shared" si="43"/>
        <v>#NUM!</v>
      </c>
      <c r="BA88" s="45" t="e">
        <f t="shared" si="44"/>
        <v>#NUM!</v>
      </c>
      <c r="BB88" s="45" t="e">
        <f t="shared" si="45"/>
        <v>#VALUE!</v>
      </c>
      <c r="BC88" s="45" t="e">
        <f t="shared" si="46"/>
        <v>#NUM!</v>
      </c>
      <c r="BD88" s="45" t="e">
        <f t="shared" si="47"/>
        <v>#NUM!</v>
      </c>
      <c r="BE88" s="45" t="e">
        <f t="shared" si="48"/>
        <v>#NUM!</v>
      </c>
      <c r="BF88" s="45" t="e">
        <f t="shared" si="49"/>
        <v>#DIV/0!</v>
      </c>
      <c r="BG88" s="45" t="e">
        <f t="shared" si="50"/>
        <v>#DIV/0!</v>
      </c>
      <c r="BH88" s="45" t="e">
        <f t="shared" si="51"/>
        <v>#NUM!</v>
      </c>
      <c r="BI88" s="43" t="e">
        <f t="shared" si="52"/>
        <v>#NUM!</v>
      </c>
      <c r="CA88" s="43" t="s">
        <v>22</v>
      </c>
      <c r="CC88" t="s">
        <v>22</v>
      </c>
      <c r="CE88" s="41" t="s">
        <v>22</v>
      </c>
      <c r="CF88" s="41" t="s">
        <v>22</v>
      </c>
      <c r="CG88" s="41" t="s">
        <v>22</v>
      </c>
      <c r="CH88" s="41" t="s">
        <v>22</v>
      </c>
      <c r="CI88" s="41" t="s">
        <v>22</v>
      </c>
      <c r="CJ88" s="41" t="e">
        <f t="shared" si="57"/>
        <v>#VALUE!</v>
      </c>
      <c r="CL88" s="9" t="s">
        <v>1268</v>
      </c>
      <c r="CM88" s="18" t="s">
        <v>1284</v>
      </c>
      <c r="CN88" s="54" t="s">
        <v>1284</v>
      </c>
      <c r="CO88" s="18" t="s">
        <v>1284</v>
      </c>
    </row>
    <row r="89" spans="1:93" x14ac:dyDescent="0.25">
      <c r="A89" t="s">
        <v>350</v>
      </c>
      <c r="B89" s="41">
        <v>9.9999999999999995E-7</v>
      </c>
      <c r="C89" s="41">
        <v>1.8</v>
      </c>
      <c r="D89" s="41">
        <v>5.5555555555555552E-7</v>
      </c>
      <c r="L89" s="41" t="str">
        <f t="shared" si="56"/>
        <v/>
      </c>
      <c r="M89" t="s">
        <v>23</v>
      </c>
      <c r="V89">
        <v>20191229</v>
      </c>
      <c r="AM89" s="43" t="e">
        <f t="shared" si="35"/>
        <v>#DIV/0!</v>
      </c>
      <c r="AN89" s="43" t="e">
        <f t="shared" si="36"/>
        <v>#DIV/0!</v>
      </c>
      <c r="AO89" s="3" t="s">
        <v>351</v>
      </c>
      <c r="AT89" s="2">
        <f t="shared" si="37"/>
        <v>5</v>
      </c>
      <c r="AU89" s="45">
        <f t="shared" si="38"/>
        <v>-6</v>
      </c>
      <c r="AV89" s="45">
        <f t="shared" si="39"/>
        <v>0.25527250510330607</v>
      </c>
      <c r="AW89" s="45">
        <f t="shared" si="40"/>
        <v>-6.2552725051033065</v>
      </c>
      <c r="AX89" s="45" t="e">
        <f t="shared" si="41"/>
        <v>#NUM!</v>
      </c>
      <c r="AY89" s="45" t="e">
        <f t="shared" si="42"/>
        <v>#NUM!</v>
      </c>
      <c r="AZ89" s="45" t="e">
        <f t="shared" si="43"/>
        <v>#NUM!</v>
      </c>
      <c r="BA89" s="45" t="e">
        <f t="shared" si="44"/>
        <v>#NUM!</v>
      </c>
      <c r="BB89" s="45" t="e">
        <f t="shared" si="45"/>
        <v>#VALUE!</v>
      </c>
      <c r="BC89" s="45" t="e">
        <f t="shared" si="46"/>
        <v>#NUM!</v>
      </c>
      <c r="BD89" s="45" t="e">
        <f t="shared" si="47"/>
        <v>#NUM!</v>
      </c>
      <c r="BE89" s="45" t="e">
        <f t="shared" si="48"/>
        <v>#NUM!</v>
      </c>
      <c r="BF89" s="45" t="e">
        <f t="shared" si="49"/>
        <v>#DIV/0!</v>
      </c>
      <c r="BG89" s="45" t="e">
        <f t="shared" si="50"/>
        <v>#DIV/0!</v>
      </c>
      <c r="BH89" s="45" t="e">
        <f t="shared" si="51"/>
        <v>#NUM!</v>
      </c>
      <c r="BI89" s="43" t="e">
        <f t="shared" si="52"/>
        <v>#NUM!</v>
      </c>
      <c r="CA89" s="43" t="s">
        <v>22</v>
      </c>
      <c r="CC89" t="s">
        <v>22</v>
      </c>
      <c r="CE89" s="41" t="s">
        <v>22</v>
      </c>
      <c r="CF89" s="41" t="s">
        <v>22</v>
      </c>
      <c r="CG89" s="41" t="s">
        <v>22</v>
      </c>
      <c r="CH89" s="41" t="s">
        <v>22</v>
      </c>
      <c r="CI89" s="41" t="s">
        <v>22</v>
      </c>
      <c r="CJ89" s="41" t="e">
        <f t="shared" si="57"/>
        <v>#VALUE!</v>
      </c>
      <c r="CL89" s="9" t="s">
        <v>1268</v>
      </c>
      <c r="CM89" s="18" t="s">
        <v>1284</v>
      </c>
      <c r="CN89" s="54" t="s">
        <v>1284</v>
      </c>
      <c r="CO89" s="18" t="s">
        <v>1284</v>
      </c>
    </row>
    <row r="90" spans="1:93" x14ac:dyDescent="0.25">
      <c r="A90" t="s">
        <v>350</v>
      </c>
      <c r="B90" s="41">
        <v>9.9999999999999995E-8</v>
      </c>
      <c r="C90" s="41">
        <v>2</v>
      </c>
      <c r="D90" s="41">
        <v>4.9999999999999998E-8</v>
      </c>
      <c r="L90" s="41" t="str">
        <f t="shared" si="56"/>
        <v/>
      </c>
      <c r="M90" t="s">
        <v>23</v>
      </c>
      <c r="V90">
        <v>20191229</v>
      </c>
      <c r="AM90" s="43" t="e">
        <f t="shared" si="35"/>
        <v>#DIV/0!</v>
      </c>
      <c r="AN90" s="43" t="e">
        <f t="shared" si="36"/>
        <v>#DIV/0!</v>
      </c>
      <c r="AO90" s="3" t="s">
        <v>351</v>
      </c>
      <c r="AT90" s="2">
        <f t="shared" si="37"/>
        <v>5</v>
      </c>
      <c r="AU90" s="45">
        <f t="shared" si="38"/>
        <v>-7</v>
      </c>
      <c r="AV90" s="45">
        <f t="shared" si="39"/>
        <v>0.3010299956639812</v>
      </c>
      <c r="AW90" s="45">
        <f t="shared" si="40"/>
        <v>-7.3010299956639813</v>
      </c>
      <c r="AX90" s="45" t="e">
        <f t="shared" si="41"/>
        <v>#NUM!</v>
      </c>
      <c r="AY90" s="45" t="e">
        <f t="shared" si="42"/>
        <v>#NUM!</v>
      </c>
      <c r="AZ90" s="45" t="e">
        <f t="shared" si="43"/>
        <v>#NUM!</v>
      </c>
      <c r="BA90" s="45" t="e">
        <f t="shared" si="44"/>
        <v>#NUM!</v>
      </c>
      <c r="BB90" s="45" t="e">
        <f t="shared" si="45"/>
        <v>#VALUE!</v>
      </c>
      <c r="BC90" s="45" t="e">
        <f t="shared" si="46"/>
        <v>#NUM!</v>
      </c>
      <c r="BD90" s="45" t="e">
        <f t="shared" si="47"/>
        <v>#NUM!</v>
      </c>
      <c r="BE90" s="45" t="e">
        <f t="shared" si="48"/>
        <v>#NUM!</v>
      </c>
      <c r="BF90" s="45" t="e">
        <f t="shared" si="49"/>
        <v>#DIV/0!</v>
      </c>
      <c r="BG90" s="45" t="e">
        <f t="shared" si="50"/>
        <v>#DIV/0!</v>
      </c>
      <c r="BH90" s="45" t="e">
        <f t="shared" si="51"/>
        <v>#NUM!</v>
      </c>
      <c r="BI90" s="43" t="e">
        <f t="shared" si="52"/>
        <v>#NUM!</v>
      </c>
      <c r="CA90" s="43" t="s">
        <v>22</v>
      </c>
      <c r="CC90" t="s">
        <v>22</v>
      </c>
      <c r="CE90" s="41" t="s">
        <v>22</v>
      </c>
      <c r="CF90" s="41" t="s">
        <v>22</v>
      </c>
      <c r="CG90" s="41" t="s">
        <v>22</v>
      </c>
      <c r="CH90" s="41" t="s">
        <v>22</v>
      </c>
      <c r="CI90" s="41" t="s">
        <v>22</v>
      </c>
      <c r="CJ90" s="41" t="e">
        <f t="shared" si="57"/>
        <v>#VALUE!</v>
      </c>
      <c r="CL90" s="9" t="s">
        <v>1268</v>
      </c>
      <c r="CM90" s="18" t="s">
        <v>1284</v>
      </c>
      <c r="CN90" s="54" t="s">
        <v>1284</v>
      </c>
      <c r="CO90" s="18" t="s">
        <v>1284</v>
      </c>
    </row>
    <row r="91" spans="1:93" x14ac:dyDescent="0.25">
      <c r="A91" t="s">
        <v>369</v>
      </c>
      <c r="B91" s="41">
        <f>2.5</f>
        <v>2.5</v>
      </c>
      <c r="C91" s="41">
        <v>2.2669999999999999</v>
      </c>
      <c r="D91" s="41">
        <f>0.001*(B91*10^6)/(C91*0.001*100^3)</f>
        <v>1.1027790030877813</v>
      </c>
      <c r="L91" s="41" t="str">
        <f t="shared" si="56"/>
        <v/>
      </c>
      <c r="M91" t="s">
        <v>23</v>
      </c>
      <c r="V91">
        <v>20191229</v>
      </c>
      <c r="X91">
        <v>1986</v>
      </c>
      <c r="AM91" s="43" t="e">
        <f t="shared" si="35"/>
        <v>#DIV/0!</v>
      </c>
      <c r="AN91" s="43" t="e">
        <f t="shared" si="36"/>
        <v>#DIV/0!</v>
      </c>
      <c r="AO91" s="3" t="s">
        <v>351</v>
      </c>
      <c r="AT91" s="2">
        <f t="shared" si="37"/>
        <v>5</v>
      </c>
      <c r="AU91" s="45">
        <f t="shared" si="38"/>
        <v>0.3979400086720376</v>
      </c>
      <c r="AV91" s="45">
        <f t="shared" si="39"/>
        <v>0.35545152012651737</v>
      </c>
      <c r="AW91" s="45">
        <f t="shared" si="40"/>
        <v>4.2488488545520266E-2</v>
      </c>
      <c r="AX91" s="45" t="e">
        <f t="shared" si="41"/>
        <v>#NUM!</v>
      </c>
      <c r="AY91" s="45" t="e">
        <f t="shared" si="42"/>
        <v>#NUM!</v>
      </c>
      <c r="AZ91" s="45" t="e">
        <f t="shared" si="43"/>
        <v>#NUM!</v>
      </c>
      <c r="BA91" s="45" t="e">
        <f t="shared" si="44"/>
        <v>#NUM!</v>
      </c>
      <c r="BB91" s="45" t="e">
        <f t="shared" si="45"/>
        <v>#VALUE!</v>
      </c>
      <c r="BC91" s="45" t="e">
        <f t="shared" si="46"/>
        <v>#NUM!</v>
      </c>
      <c r="BD91" s="45" t="e">
        <f t="shared" si="47"/>
        <v>#NUM!</v>
      </c>
      <c r="BE91" s="45" t="e">
        <f t="shared" si="48"/>
        <v>#NUM!</v>
      </c>
      <c r="BF91" s="45" t="e">
        <f t="shared" si="49"/>
        <v>#DIV/0!</v>
      </c>
      <c r="BG91" s="45" t="e">
        <f t="shared" si="50"/>
        <v>#DIV/0!</v>
      </c>
      <c r="BH91" s="45" t="e">
        <f t="shared" si="51"/>
        <v>#NUM!</v>
      </c>
      <c r="BI91" s="43" t="e">
        <f t="shared" si="52"/>
        <v>#NUM!</v>
      </c>
      <c r="CA91" s="43" t="s">
        <v>22</v>
      </c>
      <c r="CC91" t="s">
        <v>22</v>
      </c>
      <c r="CE91" s="41" t="s">
        <v>22</v>
      </c>
      <c r="CF91" s="41" t="s">
        <v>22</v>
      </c>
      <c r="CG91" s="41" t="s">
        <v>22</v>
      </c>
      <c r="CH91" s="41" t="s">
        <v>22</v>
      </c>
      <c r="CI91" s="41" t="s">
        <v>22</v>
      </c>
      <c r="CJ91" s="41" t="e">
        <f t="shared" si="57"/>
        <v>#VALUE!</v>
      </c>
      <c r="CL91" s="9" t="s">
        <v>1268</v>
      </c>
      <c r="CM91" s="18" t="s">
        <v>1284</v>
      </c>
      <c r="CN91" s="54" t="s">
        <v>1284</v>
      </c>
      <c r="CO91" s="18" t="s">
        <v>1284</v>
      </c>
    </row>
    <row r="92" spans="1:93" x14ac:dyDescent="0.25">
      <c r="A92" s="6" t="s">
        <v>393</v>
      </c>
      <c r="C92" s="41">
        <v>0.6</v>
      </c>
      <c r="L92" s="41" t="str">
        <f t="shared" si="56"/>
        <v/>
      </c>
      <c r="M92" t="s">
        <v>23</v>
      </c>
      <c r="N92" s="41">
        <v>100</v>
      </c>
      <c r="O92" s="41">
        <v>0.16666666666666669</v>
      </c>
      <c r="P92" s="41">
        <v>10</v>
      </c>
      <c r="V92">
        <v>20191229</v>
      </c>
      <c r="W92" s="16" t="s">
        <v>393</v>
      </c>
      <c r="Z92" s="18"/>
      <c r="AC92" s="18"/>
      <c r="AM92" s="43" t="e">
        <f t="shared" si="35"/>
        <v>#DIV/0!</v>
      </c>
      <c r="AN92" s="43" t="e">
        <f t="shared" si="36"/>
        <v>#DIV/0!</v>
      </c>
      <c r="AO92" s="3" t="s">
        <v>401</v>
      </c>
      <c r="AT92" s="2">
        <f t="shared" si="37"/>
        <v>1</v>
      </c>
      <c r="AU92" s="45" t="e">
        <f t="shared" si="38"/>
        <v>#NUM!</v>
      </c>
      <c r="AV92" s="45">
        <f t="shared" si="39"/>
        <v>-0.22184874961635639</v>
      </c>
      <c r="AW92" s="45" t="e">
        <f t="shared" si="40"/>
        <v>#NUM!</v>
      </c>
      <c r="AX92" s="45">
        <f t="shared" si="41"/>
        <v>2</v>
      </c>
      <c r="AY92" s="45">
        <f t="shared" si="42"/>
        <v>-0.77815125038364363</v>
      </c>
      <c r="AZ92" s="45">
        <f t="shared" si="43"/>
        <v>1</v>
      </c>
      <c r="BA92" s="45" t="e">
        <f t="shared" si="44"/>
        <v>#NUM!</v>
      </c>
      <c r="BB92" s="45" t="e">
        <f t="shared" si="45"/>
        <v>#VALUE!</v>
      </c>
      <c r="BC92" s="45" t="e">
        <f t="shared" si="46"/>
        <v>#NUM!</v>
      </c>
      <c r="BD92" s="45" t="e">
        <f t="shared" si="47"/>
        <v>#NUM!</v>
      </c>
      <c r="BE92" s="45" t="e">
        <f t="shared" si="48"/>
        <v>#NUM!</v>
      </c>
      <c r="BF92" s="45" t="e">
        <f t="shared" si="49"/>
        <v>#DIV/0!</v>
      </c>
      <c r="BG92" s="45" t="e">
        <f t="shared" si="50"/>
        <v>#DIV/0!</v>
      </c>
      <c r="BH92" s="45" t="e">
        <f t="shared" si="51"/>
        <v>#NUM!</v>
      </c>
      <c r="BI92" s="43" t="e">
        <f t="shared" si="52"/>
        <v>#NUM!</v>
      </c>
      <c r="CA92" s="43" t="s">
        <v>22</v>
      </c>
      <c r="CC92" t="s">
        <v>22</v>
      </c>
      <c r="CE92" s="41" t="s">
        <v>22</v>
      </c>
      <c r="CF92" s="41" t="s">
        <v>22</v>
      </c>
      <c r="CG92" s="41" t="s">
        <v>22</v>
      </c>
      <c r="CH92" s="41" t="s">
        <v>22</v>
      </c>
      <c r="CI92" s="41" t="s">
        <v>22</v>
      </c>
      <c r="CJ92" s="41" t="e">
        <f t="shared" si="57"/>
        <v>#VALUE!</v>
      </c>
      <c r="CL92" s="9" t="e">
        <v>#N/A</v>
      </c>
      <c r="CM92" s="18" t="s">
        <v>1284</v>
      </c>
      <c r="CN92" s="54" t="s">
        <v>1284</v>
      </c>
      <c r="CO92" s="18" t="s">
        <v>1284</v>
      </c>
    </row>
    <row r="93" spans="1:93" x14ac:dyDescent="0.25">
      <c r="A93" t="s">
        <v>345</v>
      </c>
      <c r="B93" s="41">
        <v>90</v>
      </c>
      <c r="C93" s="41">
        <v>2.2400000000000002</v>
      </c>
      <c r="D93" s="41">
        <f>0.001*(B93*10^6)/(C93*0.001*100^3)</f>
        <v>40.178571428571423</v>
      </c>
      <c r="E93" s="41" t="s">
        <v>22</v>
      </c>
      <c r="F93" t="s">
        <v>22</v>
      </c>
      <c r="G93" t="s">
        <v>22</v>
      </c>
      <c r="H93" t="s">
        <v>22</v>
      </c>
      <c r="I93" t="s">
        <v>22</v>
      </c>
      <c r="J93" s="41" t="s">
        <v>22</v>
      </c>
      <c r="K93" t="s">
        <v>22</v>
      </c>
      <c r="L93" s="41" t="e">
        <f t="shared" si="56"/>
        <v>#VALUE!</v>
      </c>
      <c r="M93" t="s">
        <v>45</v>
      </c>
      <c r="N93" s="41" t="s">
        <v>22</v>
      </c>
      <c r="O93" s="41" t="s">
        <v>22</v>
      </c>
      <c r="P93" s="41" t="s">
        <v>22</v>
      </c>
      <c r="R93" s="41" t="s">
        <v>22</v>
      </c>
      <c r="S93" s="41" t="s">
        <v>22</v>
      </c>
      <c r="T93" s="41" t="s">
        <v>22</v>
      </c>
      <c r="U93" s="41" t="s">
        <v>22</v>
      </c>
      <c r="V93">
        <v>20191229</v>
      </c>
      <c r="W93" s="16" t="s">
        <v>371</v>
      </c>
      <c r="X93">
        <v>1986</v>
      </c>
      <c r="Y93" t="s">
        <v>1092</v>
      </c>
      <c r="Z93" t="s">
        <v>1090</v>
      </c>
      <c r="AA93" t="s">
        <v>424</v>
      </c>
      <c r="AB93" s="41">
        <v>2.1</v>
      </c>
      <c r="AC93" t="s">
        <v>22</v>
      </c>
      <c r="AD93" s="41" t="s">
        <v>22</v>
      </c>
      <c r="AE93" s="41" t="s">
        <v>22</v>
      </c>
      <c r="AF93" s="41" t="s">
        <v>22</v>
      </c>
      <c r="AG93" s="41" t="s">
        <v>22</v>
      </c>
      <c r="AH93" s="41" t="s">
        <v>22</v>
      </c>
      <c r="AI93" s="41" t="s">
        <v>22</v>
      </c>
      <c r="AJ93" s="41" t="s">
        <v>22</v>
      </c>
      <c r="AL93" s="41" t="s">
        <v>22</v>
      </c>
      <c r="AM93" s="43" t="e">
        <f t="shared" si="35"/>
        <v>#VALUE!</v>
      </c>
      <c r="AN93" s="43" t="e">
        <f t="shared" si="36"/>
        <v>#VALUE!</v>
      </c>
      <c r="AO93" s="3" t="s">
        <v>372</v>
      </c>
      <c r="AT93" s="2">
        <f t="shared" si="37"/>
        <v>1</v>
      </c>
      <c r="AU93" s="45">
        <f t="shared" si="38"/>
        <v>1.954242509439325</v>
      </c>
      <c r="AV93" s="45">
        <f t="shared" si="39"/>
        <v>0.35024801833416286</v>
      </c>
      <c r="AW93" s="45">
        <f t="shared" si="40"/>
        <v>1.603994491105162</v>
      </c>
      <c r="AX93" s="45" t="e">
        <f t="shared" si="41"/>
        <v>#VALUE!</v>
      </c>
      <c r="AY93" s="45" t="e">
        <f t="shared" si="42"/>
        <v>#VALUE!</v>
      </c>
      <c r="AZ93" s="45" t="e">
        <f t="shared" si="43"/>
        <v>#VALUE!</v>
      </c>
      <c r="BA93" s="45" t="e">
        <f t="shared" si="44"/>
        <v>#VALUE!</v>
      </c>
      <c r="BB93" s="45" t="e">
        <f t="shared" si="45"/>
        <v>#VALUE!</v>
      </c>
      <c r="BC93" s="45" t="e">
        <f t="shared" si="46"/>
        <v>#VALUE!</v>
      </c>
      <c r="BD93" s="45" t="e">
        <f t="shared" si="47"/>
        <v>#VALUE!</v>
      </c>
      <c r="BE93" s="45" t="e">
        <f t="shared" si="48"/>
        <v>#VALUE!</v>
      </c>
      <c r="BF93" s="45" t="e">
        <f t="shared" si="49"/>
        <v>#VALUE!</v>
      </c>
      <c r="BG93" s="45" t="e">
        <f t="shared" si="50"/>
        <v>#VALUE!</v>
      </c>
      <c r="BH93" s="45">
        <f t="shared" si="51"/>
        <v>0.3222192947339193</v>
      </c>
      <c r="BI93" s="43" t="e">
        <f t="shared" si="52"/>
        <v>#VALUE!</v>
      </c>
      <c r="CA93" s="43" t="s">
        <v>22</v>
      </c>
      <c r="CC93" t="s">
        <v>22</v>
      </c>
      <c r="CE93" s="41" t="s">
        <v>22</v>
      </c>
      <c r="CF93" s="41" t="s">
        <v>22</v>
      </c>
      <c r="CG93" s="41" t="s">
        <v>22</v>
      </c>
      <c r="CH93" s="41" t="s">
        <v>22</v>
      </c>
      <c r="CI93" s="41" t="s">
        <v>22</v>
      </c>
      <c r="CJ93" s="41" t="e">
        <f t="shared" si="57"/>
        <v>#VALUE!</v>
      </c>
      <c r="CL93" s="9" t="s">
        <v>1268</v>
      </c>
      <c r="CM93" s="18" t="s">
        <v>1284</v>
      </c>
      <c r="CN93" s="54" t="s">
        <v>1284</v>
      </c>
      <c r="CO93" s="18" t="s">
        <v>1284</v>
      </c>
    </row>
    <row r="94" spans="1:93" x14ac:dyDescent="0.25">
      <c r="A94" s="1" t="s">
        <v>345</v>
      </c>
      <c r="B94" s="41">
        <v>36</v>
      </c>
      <c r="C94" s="41" t="s">
        <v>22</v>
      </c>
      <c r="D94" s="41" t="s">
        <v>22</v>
      </c>
      <c r="E94" s="41" t="s">
        <v>22</v>
      </c>
      <c r="F94" t="s">
        <v>22</v>
      </c>
      <c r="G94" t="s">
        <v>22</v>
      </c>
      <c r="H94" t="s">
        <v>22</v>
      </c>
      <c r="I94" t="s">
        <v>22</v>
      </c>
      <c r="J94" s="41" t="s">
        <v>22</v>
      </c>
      <c r="K94" t="s">
        <v>22</v>
      </c>
      <c r="M94" t="s">
        <v>45</v>
      </c>
      <c r="N94" s="41" t="s">
        <v>22</v>
      </c>
      <c r="O94" s="41" t="s">
        <v>22</v>
      </c>
      <c r="P94" s="41" t="s">
        <v>22</v>
      </c>
      <c r="R94" s="41" t="s">
        <v>22</v>
      </c>
      <c r="S94" s="41" t="s">
        <v>22</v>
      </c>
      <c r="T94" s="41" t="s">
        <v>22</v>
      </c>
      <c r="U94" s="41" t="s">
        <v>22</v>
      </c>
      <c r="V94">
        <v>20210320</v>
      </c>
      <c r="X94" s="21">
        <v>1986</v>
      </c>
      <c r="Z94" s="1" t="s">
        <v>124</v>
      </c>
      <c r="AA94" t="s">
        <v>424</v>
      </c>
      <c r="AB94" s="41">
        <v>1.5</v>
      </c>
      <c r="AC94" t="s">
        <v>22</v>
      </c>
      <c r="AD94" s="41" t="s">
        <v>22</v>
      </c>
      <c r="AE94" s="41" t="s">
        <v>22</v>
      </c>
      <c r="AF94" s="41" t="s">
        <v>22</v>
      </c>
      <c r="AG94" s="41" t="s">
        <v>22</v>
      </c>
      <c r="AH94" s="41" t="s">
        <v>22</v>
      </c>
      <c r="AI94" s="41" t="s">
        <v>22</v>
      </c>
      <c r="AJ94" s="41" t="s">
        <v>22</v>
      </c>
      <c r="AK94" s="41" t="s">
        <v>22</v>
      </c>
      <c r="AL94" s="41" t="s">
        <v>22</v>
      </c>
      <c r="AM94" s="43" t="e">
        <f t="shared" si="35"/>
        <v>#VALUE!</v>
      </c>
      <c r="AN94" s="43" t="e">
        <f t="shared" si="36"/>
        <v>#VALUE!</v>
      </c>
      <c r="AO94" s="6" t="s">
        <v>1223</v>
      </c>
      <c r="AT94" s="2">
        <f t="shared" si="37"/>
        <v>1</v>
      </c>
      <c r="AU94" s="45">
        <f t="shared" si="38"/>
        <v>1.5563025007672873</v>
      </c>
      <c r="AV94" s="45" t="e">
        <f t="shared" si="39"/>
        <v>#VALUE!</v>
      </c>
      <c r="AW94" s="45" t="e">
        <f t="shared" si="40"/>
        <v>#VALUE!</v>
      </c>
      <c r="AX94" s="45" t="e">
        <f t="shared" si="41"/>
        <v>#VALUE!</v>
      </c>
      <c r="AY94" s="45" t="e">
        <f t="shared" si="42"/>
        <v>#VALUE!</v>
      </c>
      <c r="AZ94" s="45" t="e">
        <f t="shared" si="43"/>
        <v>#VALUE!</v>
      </c>
      <c r="BA94" s="45" t="e">
        <f t="shared" si="44"/>
        <v>#VALUE!</v>
      </c>
      <c r="BB94" s="45" t="e">
        <f t="shared" si="45"/>
        <v>#NUM!</v>
      </c>
      <c r="BC94" s="45" t="e">
        <f t="shared" si="46"/>
        <v>#VALUE!</v>
      </c>
      <c r="BD94" s="45" t="e">
        <f t="shared" si="47"/>
        <v>#VALUE!</v>
      </c>
      <c r="BE94" s="45" t="e">
        <f t="shared" si="48"/>
        <v>#VALUE!</v>
      </c>
      <c r="BF94" s="45" t="e">
        <f t="shared" si="49"/>
        <v>#VALUE!</v>
      </c>
      <c r="BG94" s="45" t="e">
        <f t="shared" si="50"/>
        <v>#VALUE!</v>
      </c>
      <c r="BH94" s="45">
        <f t="shared" si="51"/>
        <v>0.17609125905568124</v>
      </c>
      <c r="BI94" s="43" t="e">
        <f t="shared" si="52"/>
        <v>#VALUE!</v>
      </c>
      <c r="CA94" s="43" t="s">
        <v>22</v>
      </c>
      <c r="CI94" s="41" t="s">
        <v>22</v>
      </c>
      <c r="CJ94" s="41" t="e">
        <f t="shared" ref="CJ94" si="58">LOG10(CI94)</f>
        <v>#VALUE!</v>
      </c>
      <c r="CL94" s="9" t="s">
        <v>1268</v>
      </c>
      <c r="CM94" s="18" t="s">
        <v>1284</v>
      </c>
      <c r="CN94" s="54" t="s">
        <v>1284</v>
      </c>
      <c r="CO94" s="18" t="s">
        <v>1284</v>
      </c>
    </row>
    <row r="95" spans="1:93" x14ac:dyDescent="0.25">
      <c r="A95" t="s">
        <v>345</v>
      </c>
      <c r="B95" s="41">
        <v>9.128414371528967</v>
      </c>
      <c r="C95" s="41" t="s">
        <v>22</v>
      </c>
      <c r="D95" s="41" t="s">
        <v>22</v>
      </c>
      <c r="E95" s="41" t="s">
        <v>22</v>
      </c>
      <c r="F95" t="s">
        <v>22</v>
      </c>
      <c r="G95" t="s">
        <v>22</v>
      </c>
      <c r="H95" t="s">
        <v>22</v>
      </c>
      <c r="I95" t="s">
        <v>22</v>
      </c>
      <c r="J95" s="41" t="s">
        <v>22</v>
      </c>
      <c r="K95" t="s">
        <v>22</v>
      </c>
      <c r="L95" s="41" t="s">
        <v>22</v>
      </c>
      <c r="M95" t="s">
        <v>45</v>
      </c>
      <c r="N95" s="41" t="s">
        <v>22</v>
      </c>
      <c r="O95" s="41" t="s">
        <v>22</v>
      </c>
      <c r="P95" s="41" t="s">
        <v>22</v>
      </c>
      <c r="R95" s="41" t="s">
        <v>22</v>
      </c>
      <c r="S95" s="41" t="s">
        <v>22</v>
      </c>
      <c r="T95" s="41" t="s">
        <v>22</v>
      </c>
      <c r="U95" s="41" t="s">
        <v>22</v>
      </c>
      <c r="V95">
        <v>20200518</v>
      </c>
      <c r="W95" s="16" t="s">
        <v>471</v>
      </c>
      <c r="X95">
        <v>1987</v>
      </c>
      <c r="Y95" t="s">
        <v>375</v>
      </c>
      <c r="Z95" s="18" t="s">
        <v>22</v>
      </c>
      <c r="AA95" t="s">
        <v>771</v>
      </c>
      <c r="AB95" s="41">
        <v>1.7985611510791364</v>
      </c>
      <c r="AC95" t="s">
        <v>22</v>
      </c>
      <c r="AD95" s="41" t="s">
        <v>22</v>
      </c>
      <c r="AE95" s="41" t="s">
        <v>22</v>
      </c>
      <c r="AF95" s="41" t="s">
        <v>22</v>
      </c>
      <c r="AG95" s="41" t="s">
        <v>22</v>
      </c>
      <c r="AH95" s="41" t="s">
        <v>22</v>
      </c>
      <c r="AI95" s="41" t="s">
        <v>22</v>
      </c>
      <c r="AJ95" s="41" t="s">
        <v>22</v>
      </c>
      <c r="AK95" s="41" t="s">
        <v>22</v>
      </c>
      <c r="AL95" s="41" t="s">
        <v>22</v>
      </c>
      <c r="AM95" s="43" t="e">
        <f t="shared" si="35"/>
        <v>#VALUE!</v>
      </c>
      <c r="AN95" s="43" t="e">
        <f t="shared" si="36"/>
        <v>#VALUE!</v>
      </c>
      <c r="AO95" s="3" t="s">
        <v>479</v>
      </c>
      <c r="AT95" s="2">
        <f t="shared" si="37"/>
        <v>22</v>
      </c>
      <c r="AU95" s="45">
        <f t="shared" si="38"/>
        <v>0.96039534604468135</v>
      </c>
      <c r="AV95" s="45" t="e">
        <f t="shared" si="39"/>
        <v>#VALUE!</v>
      </c>
      <c r="AW95" s="45" t="e">
        <f t="shared" si="40"/>
        <v>#VALUE!</v>
      </c>
      <c r="AX95" s="45" t="e">
        <f t="shared" si="41"/>
        <v>#VALUE!</v>
      </c>
      <c r="AY95" s="45" t="e">
        <f t="shared" si="42"/>
        <v>#VALUE!</v>
      </c>
      <c r="AZ95" s="45" t="e">
        <f t="shared" si="43"/>
        <v>#VALUE!</v>
      </c>
      <c r="BA95" s="45" t="e">
        <f t="shared" si="44"/>
        <v>#VALUE!</v>
      </c>
      <c r="BB95" s="45" t="e">
        <f t="shared" si="45"/>
        <v>#VALUE!</v>
      </c>
      <c r="BC95" s="45" t="e">
        <f t="shared" si="46"/>
        <v>#VALUE!</v>
      </c>
      <c r="BD95" s="45" t="e">
        <f t="shared" si="47"/>
        <v>#VALUE!</v>
      </c>
      <c r="BE95" s="45" t="e">
        <f t="shared" si="48"/>
        <v>#VALUE!</v>
      </c>
      <c r="BF95" s="45" t="e">
        <f t="shared" si="49"/>
        <v>#VALUE!</v>
      </c>
      <c r="BG95" s="45" t="e">
        <f t="shared" si="50"/>
        <v>#VALUE!</v>
      </c>
      <c r="BH95" s="45">
        <f t="shared" si="51"/>
        <v>0.25492520841794247</v>
      </c>
      <c r="BI95" s="43" t="e">
        <f t="shared" si="52"/>
        <v>#VALUE!</v>
      </c>
      <c r="CA95" s="43" t="s">
        <v>22</v>
      </c>
      <c r="CC95" t="s">
        <v>22</v>
      </c>
      <c r="CE95" s="41" t="s">
        <v>22</v>
      </c>
      <c r="CF95" s="41" t="s">
        <v>22</v>
      </c>
      <c r="CG95" s="41" t="s">
        <v>22</v>
      </c>
      <c r="CH95" s="41" t="s">
        <v>22</v>
      </c>
      <c r="CI95" s="41" t="str">
        <f t="shared" ref="CI95:CI118" si="59">IF(ISNUMBER(CG95),CG95,U95)</f>
        <v>Not Reported/ Can not calculate</v>
      </c>
      <c r="CJ95" s="41" t="e">
        <f t="shared" ref="CJ95:CJ122" si="60">LOG10(CI95)</f>
        <v>#VALUE!</v>
      </c>
      <c r="CL95" s="9" t="s">
        <v>1268</v>
      </c>
      <c r="CM95" s="18" t="s">
        <v>1284</v>
      </c>
      <c r="CN95" s="54" t="s">
        <v>1284</v>
      </c>
      <c r="CO95" s="18" t="s">
        <v>1284</v>
      </c>
    </row>
    <row r="96" spans="1:93" x14ac:dyDescent="0.25">
      <c r="A96" t="s">
        <v>345</v>
      </c>
      <c r="B96" s="41">
        <v>9.6837802092100809</v>
      </c>
      <c r="C96" s="41" t="s">
        <v>22</v>
      </c>
      <c r="D96" s="41" t="s">
        <v>22</v>
      </c>
      <c r="E96" s="41" t="s">
        <v>22</v>
      </c>
      <c r="F96" s="18" t="s">
        <v>22</v>
      </c>
      <c r="G96" s="18" t="s">
        <v>22</v>
      </c>
      <c r="H96" t="s">
        <v>22</v>
      </c>
      <c r="I96" t="s">
        <v>22</v>
      </c>
      <c r="J96" s="41" t="s">
        <v>22</v>
      </c>
      <c r="K96" s="18" t="s">
        <v>22</v>
      </c>
      <c r="L96" s="41" t="s">
        <v>22</v>
      </c>
      <c r="M96" t="s">
        <v>45</v>
      </c>
      <c r="N96" s="41">
        <v>1385</v>
      </c>
      <c r="O96" s="41" t="s">
        <v>22</v>
      </c>
      <c r="P96" s="41" t="s">
        <v>22</v>
      </c>
      <c r="R96" s="41">
        <f>N96*B96</f>
        <v>13412.035589755962</v>
      </c>
      <c r="S96" s="41" t="s">
        <v>22</v>
      </c>
      <c r="T96" s="41" t="s">
        <v>22</v>
      </c>
      <c r="U96" s="41" t="s">
        <v>22</v>
      </c>
      <c r="V96">
        <v>20200518</v>
      </c>
      <c r="W96" s="16" t="s">
        <v>472</v>
      </c>
      <c r="X96">
        <v>1987</v>
      </c>
      <c r="Y96" s="18" t="s">
        <v>375</v>
      </c>
      <c r="Z96" s="18" t="s">
        <v>22</v>
      </c>
      <c r="AA96" t="s">
        <v>772</v>
      </c>
      <c r="AB96" s="41">
        <v>1.7985611510791364</v>
      </c>
      <c r="AC96" s="18" t="s">
        <v>22</v>
      </c>
      <c r="AD96" s="41" t="s">
        <v>22</v>
      </c>
      <c r="AE96" s="41" t="s">
        <v>22</v>
      </c>
      <c r="AF96" s="41" t="s">
        <v>22</v>
      </c>
      <c r="AG96" s="41" t="s">
        <v>22</v>
      </c>
      <c r="AH96" s="41" t="s">
        <v>22</v>
      </c>
      <c r="AI96" s="41" t="s">
        <v>22</v>
      </c>
      <c r="AJ96" s="41" t="s">
        <v>22</v>
      </c>
      <c r="AK96" s="41" t="s">
        <v>22</v>
      </c>
      <c r="AL96" s="41" t="s">
        <v>22</v>
      </c>
      <c r="AM96" s="43" t="e">
        <f t="shared" si="35"/>
        <v>#VALUE!</v>
      </c>
      <c r="AN96" s="43" t="e">
        <f t="shared" si="36"/>
        <v>#VALUE!</v>
      </c>
      <c r="AO96" s="3" t="s">
        <v>479</v>
      </c>
      <c r="AT96" s="2">
        <f t="shared" si="37"/>
        <v>22</v>
      </c>
      <c r="AU96" s="45">
        <f t="shared" si="38"/>
        <v>0.98604492378802688</v>
      </c>
      <c r="AV96" s="45" t="e">
        <f t="shared" si="39"/>
        <v>#VALUE!</v>
      </c>
      <c r="AW96" s="45" t="e">
        <f t="shared" si="40"/>
        <v>#VALUE!</v>
      </c>
      <c r="AX96" s="45">
        <f t="shared" si="41"/>
        <v>3.1414497734004674</v>
      </c>
      <c r="AY96" s="45" t="e">
        <f t="shared" si="42"/>
        <v>#VALUE!</v>
      </c>
      <c r="AZ96" s="45" t="e">
        <f t="shared" si="43"/>
        <v>#VALUE!</v>
      </c>
      <c r="BA96" s="45" t="e">
        <f t="shared" si="44"/>
        <v>#VALUE!</v>
      </c>
      <c r="BB96" s="45" t="e">
        <f t="shared" si="45"/>
        <v>#VALUE!</v>
      </c>
      <c r="BC96" s="45" t="e">
        <f t="shared" si="46"/>
        <v>#VALUE!</v>
      </c>
      <c r="BD96" s="45" t="e">
        <f t="shared" si="47"/>
        <v>#VALUE!</v>
      </c>
      <c r="BE96" s="45" t="e">
        <f t="shared" si="48"/>
        <v>#VALUE!</v>
      </c>
      <c r="BF96" s="45" t="e">
        <f t="shared" si="49"/>
        <v>#VALUE!</v>
      </c>
      <c r="BG96" s="45" t="e">
        <f t="shared" si="50"/>
        <v>#VALUE!</v>
      </c>
      <c r="BH96" s="45">
        <f t="shared" si="51"/>
        <v>0.25492520841794247</v>
      </c>
      <c r="BI96" s="43" t="e">
        <f t="shared" si="52"/>
        <v>#VALUE!</v>
      </c>
      <c r="CA96" s="43" t="s">
        <v>22</v>
      </c>
      <c r="CC96" t="s">
        <v>22</v>
      </c>
      <c r="CE96" s="41" t="s">
        <v>22</v>
      </c>
      <c r="CF96" s="41" t="s">
        <v>22</v>
      </c>
      <c r="CG96" s="41" t="s">
        <v>22</v>
      </c>
      <c r="CH96" s="41" t="s">
        <v>22</v>
      </c>
      <c r="CI96" s="41" t="str">
        <f t="shared" si="59"/>
        <v>Not Reported/ Can not calculate</v>
      </c>
      <c r="CJ96" s="41" t="e">
        <f t="shared" si="60"/>
        <v>#VALUE!</v>
      </c>
      <c r="CL96" s="9" t="s">
        <v>1268</v>
      </c>
      <c r="CM96" s="18" t="s">
        <v>1284</v>
      </c>
      <c r="CN96" s="54" t="s">
        <v>1284</v>
      </c>
      <c r="CO96" s="18" t="s">
        <v>1284</v>
      </c>
    </row>
    <row r="97" spans="1:93" x14ac:dyDescent="0.25">
      <c r="A97" s="18" t="s">
        <v>345</v>
      </c>
      <c r="B97" s="41">
        <v>10.039681715247349</v>
      </c>
      <c r="C97" s="41" t="s">
        <v>22</v>
      </c>
      <c r="D97" s="41" t="s">
        <v>22</v>
      </c>
      <c r="E97" s="41" t="s">
        <v>22</v>
      </c>
      <c r="F97" t="s">
        <v>22</v>
      </c>
      <c r="G97" t="s">
        <v>22</v>
      </c>
      <c r="H97" t="s">
        <v>22</v>
      </c>
      <c r="I97" t="s">
        <v>22</v>
      </c>
      <c r="J97" s="41" t="s">
        <v>22</v>
      </c>
      <c r="K97" t="s">
        <v>22</v>
      </c>
      <c r="L97" s="41" t="s">
        <v>22</v>
      </c>
      <c r="M97" t="s">
        <v>45</v>
      </c>
      <c r="N97" s="41" t="s">
        <v>22</v>
      </c>
      <c r="O97" s="41" t="s">
        <v>22</v>
      </c>
      <c r="P97" s="41" t="s">
        <v>22</v>
      </c>
      <c r="R97" s="41" t="s">
        <v>22</v>
      </c>
      <c r="S97" s="41" t="s">
        <v>22</v>
      </c>
      <c r="T97" s="41" t="s">
        <v>22</v>
      </c>
      <c r="U97" s="41" t="s">
        <v>22</v>
      </c>
      <c r="V97">
        <v>20200518</v>
      </c>
      <c r="W97" s="16" t="s">
        <v>474</v>
      </c>
      <c r="X97">
        <v>1987</v>
      </c>
      <c r="Y97" t="s">
        <v>375</v>
      </c>
      <c r="Z97" t="s">
        <v>22</v>
      </c>
      <c r="AA97" t="s">
        <v>474</v>
      </c>
      <c r="AB97" s="41">
        <v>1.7985611510791364</v>
      </c>
      <c r="AC97" t="s">
        <v>22</v>
      </c>
      <c r="AD97" s="41" t="s">
        <v>22</v>
      </c>
      <c r="AE97" s="41" t="s">
        <v>22</v>
      </c>
      <c r="AF97" s="41" t="s">
        <v>22</v>
      </c>
      <c r="AG97" s="41" t="s">
        <v>22</v>
      </c>
      <c r="AH97" s="41" t="s">
        <v>22</v>
      </c>
      <c r="AI97" s="41" t="s">
        <v>22</v>
      </c>
      <c r="AJ97" s="41" t="s">
        <v>22</v>
      </c>
      <c r="AK97" s="41" t="s">
        <v>22</v>
      </c>
      <c r="AL97" s="41" t="s">
        <v>22</v>
      </c>
      <c r="AM97" s="43" t="e">
        <f t="shared" si="35"/>
        <v>#VALUE!</v>
      </c>
      <c r="AN97" s="43" t="e">
        <f t="shared" si="36"/>
        <v>#VALUE!</v>
      </c>
      <c r="AO97" s="3" t="s">
        <v>479</v>
      </c>
      <c r="AT97" s="2">
        <f t="shared" si="37"/>
        <v>22</v>
      </c>
      <c r="AU97" s="45">
        <f t="shared" si="38"/>
        <v>1.0017199447310279</v>
      </c>
      <c r="AV97" s="45" t="e">
        <f t="shared" si="39"/>
        <v>#VALUE!</v>
      </c>
      <c r="AW97" s="45" t="e">
        <f t="shared" si="40"/>
        <v>#VALUE!</v>
      </c>
      <c r="AX97" s="45" t="e">
        <f t="shared" si="41"/>
        <v>#VALUE!</v>
      </c>
      <c r="AY97" s="45" t="e">
        <f t="shared" si="42"/>
        <v>#VALUE!</v>
      </c>
      <c r="AZ97" s="45" t="e">
        <f t="shared" si="43"/>
        <v>#VALUE!</v>
      </c>
      <c r="BA97" s="45" t="e">
        <f t="shared" si="44"/>
        <v>#VALUE!</v>
      </c>
      <c r="BB97" s="45" t="e">
        <f t="shared" si="45"/>
        <v>#VALUE!</v>
      </c>
      <c r="BC97" s="45" t="e">
        <f t="shared" si="46"/>
        <v>#VALUE!</v>
      </c>
      <c r="BD97" s="45" t="e">
        <f t="shared" si="47"/>
        <v>#VALUE!</v>
      </c>
      <c r="BE97" s="45" t="e">
        <f t="shared" si="48"/>
        <v>#VALUE!</v>
      </c>
      <c r="BF97" s="45" t="e">
        <f t="shared" si="49"/>
        <v>#VALUE!</v>
      </c>
      <c r="BG97" s="45" t="e">
        <f t="shared" si="50"/>
        <v>#VALUE!</v>
      </c>
      <c r="BH97" s="45">
        <f t="shared" si="51"/>
        <v>0.25492520841794247</v>
      </c>
      <c r="BI97" s="43" t="e">
        <f t="shared" si="52"/>
        <v>#VALUE!</v>
      </c>
      <c r="CA97" s="43" t="s">
        <v>22</v>
      </c>
      <c r="CC97" t="s">
        <v>22</v>
      </c>
      <c r="CE97" s="41" t="s">
        <v>22</v>
      </c>
      <c r="CF97" s="41" t="s">
        <v>22</v>
      </c>
      <c r="CG97" s="41" t="s">
        <v>22</v>
      </c>
      <c r="CH97" s="41" t="s">
        <v>22</v>
      </c>
      <c r="CI97" s="41" t="str">
        <f t="shared" si="59"/>
        <v>Not Reported/ Can not calculate</v>
      </c>
      <c r="CJ97" s="41" t="e">
        <f t="shared" si="60"/>
        <v>#VALUE!</v>
      </c>
      <c r="CL97" s="9" t="s">
        <v>1268</v>
      </c>
      <c r="CM97" s="18" t="s">
        <v>1284</v>
      </c>
      <c r="CN97" s="54" t="s">
        <v>1284</v>
      </c>
      <c r="CO97" s="18" t="s">
        <v>1284</v>
      </c>
    </row>
    <row r="98" spans="1:93" x14ac:dyDescent="0.25">
      <c r="A98" s="18" t="s">
        <v>345</v>
      </c>
      <c r="B98" s="41">
        <v>10.538666201421911</v>
      </c>
      <c r="C98" s="41" t="s">
        <v>22</v>
      </c>
      <c r="D98" s="41" t="s">
        <v>22</v>
      </c>
      <c r="E98" s="41" t="s">
        <v>22</v>
      </c>
      <c r="F98" t="s">
        <v>22</v>
      </c>
      <c r="G98" t="s">
        <v>22</v>
      </c>
      <c r="H98" t="s">
        <v>22</v>
      </c>
      <c r="I98" t="s">
        <v>22</v>
      </c>
      <c r="J98" s="41" t="s">
        <v>22</v>
      </c>
      <c r="K98" t="s">
        <v>22</v>
      </c>
      <c r="L98" s="41" t="s">
        <v>22</v>
      </c>
      <c r="M98" t="s">
        <v>45</v>
      </c>
      <c r="N98" s="41" t="s">
        <v>22</v>
      </c>
      <c r="O98" s="41" t="s">
        <v>22</v>
      </c>
      <c r="P98" s="41" t="s">
        <v>22</v>
      </c>
      <c r="R98" s="41" t="s">
        <v>22</v>
      </c>
      <c r="S98" s="41" t="s">
        <v>22</v>
      </c>
      <c r="T98" s="41" t="s">
        <v>22</v>
      </c>
      <c r="U98" s="41" t="s">
        <v>22</v>
      </c>
      <c r="V98">
        <v>20200518</v>
      </c>
      <c r="W98" s="16" t="s">
        <v>473</v>
      </c>
      <c r="X98">
        <v>1987</v>
      </c>
      <c r="Y98" t="s">
        <v>375</v>
      </c>
      <c r="Z98" t="s">
        <v>22</v>
      </c>
      <c r="AA98" t="s">
        <v>737</v>
      </c>
      <c r="AB98" s="41">
        <v>1.7985611510791364</v>
      </c>
      <c r="AC98" t="s">
        <v>22</v>
      </c>
      <c r="AD98" s="41" t="s">
        <v>22</v>
      </c>
      <c r="AE98" s="41" t="s">
        <v>22</v>
      </c>
      <c r="AF98" s="41" t="s">
        <v>22</v>
      </c>
      <c r="AG98" s="41" t="s">
        <v>22</v>
      </c>
      <c r="AH98" s="41" t="s">
        <v>22</v>
      </c>
      <c r="AI98" s="41" t="s">
        <v>22</v>
      </c>
      <c r="AJ98" s="41" t="s">
        <v>22</v>
      </c>
      <c r="AK98" s="41" t="s">
        <v>22</v>
      </c>
      <c r="AL98" s="41" t="s">
        <v>22</v>
      </c>
      <c r="AM98" s="43" t="e">
        <f t="shared" si="35"/>
        <v>#VALUE!</v>
      </c>
      <c r="AN98" s="43" t="e">
        <f t="shared" si="36"/>
        <v>#VALUE!</v>
      </c>
      <c r="AO98" s="3" t="s">
        <v>479</v>
      </c>
      <c r="AT98" s="2">
        <f t="shared" si="37"/>
        <v>22</v>
      </c>
      <c r="AU98" s="45">
        <f t="shared" si="38"/>
        <v>1.0227856490153102</v>
      </c>
      <c r="AV98" s="45" t="e">
        <f t="shared" si="39"/>
        <v>#VALUE!</v>
      </c>
      <c r="AW98" s="45" t="e">
        <f t="shared" si="40"/>
        <v>#VALUE!</v>
      </c>
      <c r="AX98" s="45" t="e">
        <f t="shared" si="41"/>
        <v>#VALUE!</v>
      </c>
      <c r="AY98" s="45" t="e">
        <f t="shared" si="42"/>
        <v>#VALUE!</v>
      </c>
      <c r="AZ98" s="45" t="e">
        <f t="shared" si="43"/>
        <v>#VALUE!</v>
      </c>
      <c r="BA98" s="45" t="e">
        <f t="shared" si="44"/>
        <v>#VALUE!</v>
      </c>
      <c r="BB98" s="45" t="e">
        <f t="shared" si="45"/>
        <v>#VALUE!</v>
      </c>
      <c r="BC98" s="45" t="e">
        <f t="shared" si="46"/>
        <v>#VALUE!</v>
      </c>
      <c r="BD98" s="45" t="e">
        <f t="shared" si="47"/>
        <v>#VALUE!</v>
      </c>
      <c r="BE98" s="45" t="e">
        <f t="shared" si="48"/>
        <v>#VALUE!</v>
      </c>
      <c r="BF98" s="45" t="e">
        <f t="shared" si="49"/>
        <v>#VALUE!</v>
      </c>
      <c r="BG98" s="45" t="e">
        <f t="shared" si="50"/>
        <v>#VALUE!</v>
      </c>
      <c r="BH98" s="45">
        <f t="shared" si="51"/>
        <v>0.25492520841794247</v>
      </c>
      <c r="BI98" s="43" t="e">
        <f t="shared" si="52"/>
        <v>#VALUE!</v>
      </c>
      <c r="CA98" s="43" t="s">
        <v>22</v>
      </c>
      <c r="CC98" t="s">
        <v>22</v>
      </c>
      <c r="CE98" s="41" t="s">
        <v>22</v>
      </c>
      <c r="CF98" s="41" t="s">
        <v>22</v>
      </c>
      <c r="CG98" s="41" t="s">
        <v>22</v>
      </c>
      <c r="CH98" s="41" t="s">
        <v>22</v>
      </c>
      <c r="CI98" s="41" t="str">
        <f t="shared" si="59"/>
        <v>Not Reported/ Can not calculate</v>
      </c>
      <c r="CJ98" s="41" t="e">
        <f t="shared" si="60"/>
        <v>#VALUE!</v>
      </c>
      <c r="CL98" s="9" t="s">
        <v>1268</v>
      </c>
      <c r="CM98" s="18" t="s">
        <v>1284</v>
      </c>
      <c r="CN98" s="54" t="s">
        <v>1284</v>
      </c>
      <c r="CO98" s="18" t="s">
        <v>1284</v>
      </c>
    </row>
    <row r="99" spans="1:93" x14ac:dyDescent="0.25">
      <c r="A99" s="18" t="s">
        <v>345</v>
      </c>
      <c r="B99" s="41">
        <v>13.060893537663191</v>
      </c>
      <c r="C99" s="41" t="s">
        <v>22</v>
      </c>
      <c r="D99" s="41" t="s">
        <v>22</v>
      </c>
      <c r="E99" s="41" t="s">
        <v>22</v>
      </c>
      <c r="F99" t="s">
        <v>22</v>
      </c>
      <c r="G99" t="s">
        <v>22</v>
      </c>
      <c r="H99" t="s">
        <v>22</v>
      </c>
      <c r="I99" t="s">
        <v>22</v>
      </c>
      <c r="J99" s="41" t="s">
        <v>22</v>
      </c>
      <c r="K99" t="s">
        <v>22</v>
      </c>
      <c r="L99" s="41" t="s">
        <v>22</v>
      </c>
      <c r="M99" t="s">
        <v>45</v>
      </c>
      <c r="N99" s="41" t="s">
        <v>22</v>
      </c>
      <c r="O99" s="41" t="s">
        <v>22</v>
      </c>
      <c r="P99" s="41" t="s">
        <v>22</v>
      </c>
      <c r="R99" s="41" t="s">
        <v>22</v>
      </c>
      <c r="S99" s="41" t="s">
        <v>22</v>
      </c>
      <c r="T99" s="41" t="s">
        <v>22</v>
      </c>
      <c r="U99" s="41" t="s">
        <v>22</v>
      </c>
      <c r="V99">
        <v>20200518</v>
      </c>
      <c r="W99" s="16" t="s">
        <v>475</v>
      </c>
      <c r="X99">
        <v>1987</v>
      </c>
      <c r="Y99" t="s">
        <v>375</v>
      </c>
      <c r="Z99" t="s">
        <v>22</v>
      </c>
      <c r="AA99" t="s">
        <v>772</v>
      </c>
      <c r="AB99" s="41">
        <v>1.7985611510791364</v>
      </c>
      <c r="AC99" t="s">
        <v>22</v>
      </c>
      <c r="AD99" s="41" t="s">
        <v>22</v>
      </c>
      <c r="AE99" s="41" t="s">
        <v>22</v>
      </c>
      <c r="AF99" s="41" t="s">
        <v>22</v>
      </c>
      <c r="AG99" s="41" t="s">
        <v>22</v>
      </c>
      <c r="AH99" s="41" t="s">
        <v>22</v>
      </c>
      <c r="AI99" s="41" t="s">
        <v>22</v>
      </c>
      <c r="AJ99" s="41" t="s">
        <v>22</v>
      </c>
      <c r="AK99" s="41" t="s">
        <v>22</v>
      </c>
      <c r="AL99" s="41" t="s">
        <v>22</v>
      </c>
      <c r="AM99" s="43" t="e">
        <f t="shared" si="35"/>
        <v>#VALUE!</v>
      </c>
      <c r="AN99" s="43" t="e">
        <f t="shared" si="36"/>
        <v>#VALUE!</v>
      </c>
      <c r="AO99" s="3" t="s">
        <v>479</v>
      </c>
      <c r="AT99" s="2">
        <f t="shared" si="37"/>
        <v>22</v>
      </c>
      <c r="AU99" s="45">
        <f t="shared" si="38"/>
        <v>1.1159728894353822</v>
      </c>
      <c r="AV99" s="45" t="e">
        <f t="shared" si="39"/>
        <v>#VALUE!</v>
      </c>
      <c r="AW99" s="45" t="e">
        <f t="shared" si="40"/>
        <v>#VALUE!</v>
      </c>
      <c r="AX99" s="45" t="e">
        <f t="shared" si="41"/>
        <v>#VALUE!</v>
      </c>
      <c r="AY99" s="45" t="e">
        <f t="shared" si="42"/>
        <v>#VALUE!</v>
      </c>
      <c r="AZ99" s="45" t="e">
        <f t="shared" si="43"/>
        <v>#VALUE!</v>
      </c>
      <c r="BA99" s="45" t="e">
        <f t="shared" si="44"/>
        <v>#VALUE!</v>
      </c>
      <c r="BB99" s="45" t="e">
        <f t="shared" si="45"/>
        <v>#VALUE!</v>
      </c>
      <c r="BC99" s="45" t="e">
        <f t="shared" si="46"/>
        <v>#VALUE!</v>
      </c>
      <c r="BD99" s="45" t="e">
        <f t="shared" si="47"/>
        <v>#VALUE!</v>
      </c>
      <c r="BE99" s="45" t="e">
        <f t="shared" si="48"/>
        <v>#VALUE!</v>
      </c>
      <c r="BF99" s="45" t="e">
        <f t="shared" si="49"/>
        <v>#VALUE!</v>
      </c>
      <c r="BG99" s="45" t="e">
        <f t="shared" si="50"/>
        <v>#VALUE!</v>
      </c>
      <c r="BH99" s="45">
        <f t="shared" si="51"/>
        <v>0.25492520841794247</v>
      </c>
      <c r="BI99" s="43" t="e">
        <f t="shared" si="52"/>
        <v>#VALUE!</v>
      </c>
      <c r="CA99" s="43" t="s">
        <v>22</v>
      </c>
      <c r="CC99" t="s">
        <v>22</v>
      </c>
      <c r="CE99" s="41" t="s">
        <v>22</v>
      </c>
      <c r="CF99" s="41" t="s">
        <v>22</v>
      </c>
      <c r="CG99" s="41" t="s">
        <v>22</v>
      </c>
      <c r="CH99" s="41" t="s">
        <v>22</v>
      </c>
      <c r="CI99" s="41" t="str">
        <f t="shared" si="59"/>
        <v>Not Reported/ Can not calculate</v>
      </c>
      <c r="CJ99" s="41" t="e">
        <f t="shared" si="60"/>
        <v>#VALUE!</v>
      </c>
      <c r="CL99" s="9" t="s">
        <v>1268</v>
      </c>
      <c r="CM99" s="18" t="s">
        <v>1284</v>
      </c>
      <c r="CN99" s="54" t="s">
        <v>1284</v>
      </c>
      <c r="CO99" s="18" t="s">
        <v>1284</v>
      </c>
    </row>
    <row r="100" spans="1:93" x14ac:dyDescent="0.25">
      <c r="A100" t="s">
        <v>345</v>
      </c>
      <c r="B100" s="41">
        <v>13.917401071366866</v>
      </c>
      <c r="C100" s="41" t="s">
        <v>22</v>
      </c>
      <c r="D100" s="41" t="s">
        <v>22</v>
      </c>
      <c r="E100" s="41" t="s">
        <v>22</v>
      </c>
      <c r="F100" t="s">
        <v>22</v>
      </c>
      <c r="G100" t="s">
        <v>22</v>
      </c>
      <c r="H100" t="s">
        <v>22</v>
      </c>
      <c r="I100" t="s">
        <v>22</v>
      </c>
      <c r="J100" s="41" t="s">
        <v>22</v>
      </c>
      <c r="K100" t="s">
        <v>22</v>
      </c>
      <c r="L100" s="41" t="s">
        <v>22</v>
      </c>
      <c r="M100" t="s">
        <v>45</v>
      </c>
      <c r="N100" s="41">
        <v>1343</v>
      </c>
      <c r="O100" s="41" t="s">
        <v>22</v>
      </c>
      <c r="P100" s="41" t="s">
        <v>22</v>
      </c>
      <c r="R100" s="41">
        <f>N100*B100</f>
        <v>18691.0696388457</v>
      </c>
      <c r="S100" s="41" t="s">
        <v>22</v>
      </c>
      <c r="T100" s="41" t="s">
        <v>22</v>
      </c>
      <c r="U100" s="41" t="s">
        <v>22</v>
      </c>
      <c r="V100">
        <v>20200518</v>
      </c>
      <c r="W100" s="16" t="s">
        <v>476</v>
      </c>
      <c r="X100">
        <v>1987</v>
      </c>
      <c r="Y100" t="s">
        <v>375</v>
      </c>
      <c r="Z100" t="s">
        <v>22</v>
      </c>
      <c r="AA100" t="s">
        <v>773</v>
      </c>
      <c r="AB100" s="41">
        <v>1.7985611510791364</v>
      </c>
      <c r="AC100" t="s">
        <v>22</v>
      </c>
      <c r="AD100" s="41" t="s">
        <v>22</v>
      </c>
      <c r="AE100" s="41" t="s">
        <v>22</v>
      </c>
      <c r="AF100" s="41" t="s">
        <v>22</v>
      </c>
      <c r="AG100" s="41" t="s">
        <v>22</v>
      </c>
      <c r="AH100" s="41" t="s">
        <v>22</v>
      </c>
      <c r="AI100" s="41" t="s">
        <v>22</v>
      </c>
      <c r="AJ100" s="41" t="s">
        <v>22</v>
      </c>
      <c r="AK100" s="41" t="s">
        <v>22</v>
      </c>
      <c r="AL100" s="41" t="s">
        <v>22</v>
      </c>
      <c r="AM100" s="43" t="e">
        <f t="shared" si="35"/>
        <v>#VALUE!</v>
      </c>
      <c r="AN100" s="43" t="e">
        <f t="shared" si="36"/>
        <v>#VALUE!</v>
      </c>
      <c r="AO100" s="3" t="s">
        <v>479</v>
      </c>
      <c r="AT100" s="2">
        <f t="shared" si="37"/>
        <v>22</v>
      </c>
      <c r="AU100" s="45">
        <f t="shared" si="38"/>
        <v>1.1435581429078661</v>
      </c>
      <c r="AV100" s="45" t="e">
        <f t="shared" si="39"/>
        <v>#VALUE!</v>
      </c>
      <c r="AW100" s="45" t="e">
        <f t="shared" si="40"/>
        <v>#VALUE!</v>
      </c>
      <c r="AX100" s="45">
        <f t="shared" si="41"/>
        <v>3.1280760126687155</v>
      </c>
      <c r="AY100" s="45" t="e">
        <f t="shared" si="42"/>
        <v>#VALUE!</v>
      </c>
      <c r="AZ100" s="45" t="e">
        <f t="shared" si="43"/>
        <v>#VALUE!</v>
      </c>
      <c r="BA100" s="45" t="e">
        <f t="shared" si="44"/>
        <v>#VALUE!</v>
      </c>
      <c r="BB100" s="45" t="e">
        <f t="shared" si="45"/>
        <v>#VALUE!</v>
      </c>
      <c r="BC100" s="45" t="e">
        <f t="shared" si="46"/>
        <v>#VALUE!</v>
      </c>
      <c r="BD100" s="45" t="e">
        <f t="shared" si="47"/>
        <v>#VALUE!</v>
      </c>
      <c r="BE100" s="45" t="e">
        <f t="shared" si="48"/>
        <v>#VALUE!</v>
      </c>
      <c r="BF100" s="45" t="e">
        <f t="shared" si="49"/>
        <v>#VALUE!</v>
      </c>
      <c r="BG100" s="45" t="e">
        <f t="shared" si="50"/>
        <v>#VALUE!</v>
      </c>
      <c r="BH100" s="45">
        <f t="shared" si="51"/>
        <v>0.25492520841794247</v>
      </c>
      <c r="BI100" s="43" t="e">
        <f t="shared" si="52"/>
        <v>#VALUE!</v>
      </c>
      <c r="CA100" s="43" t="s">
        <v>22</v>
      </c>
      <c r="CC100" t="s">
        <v>22</v>
      </c>
      <c r="CE100" s="41" t="s">
        <v>22</v>
      </c>
      <c r="CF100" s="41" t="s">
        <v>22</v>
      </c>
      <c r="CG100" s="41" t="s">
        <v>22</v>
      </c>
      <c r="CH100" s="41" t="s">
        <v>22</v>
      </c>
      <c r="CI100" s="41" t="str">
        <f t="shared" si="59"/>
        <v>Not Reported/ Can not calculate</v>
      </c>
      <c r="CJ100" s="41" t="e">
        <f t="shared" si="60"/>
        <v>#VALUE!</v>
      </c>
      <c r="CL100" s="9" t="s">
        <v>1268</v>
      </c>
      <c r="CM100" s="18" t="s">
        <v>1284</v>
      </c>
      <c r="CN100" s="54" t="s">
        <v>1284</v>
      </c>
      <c r="CO100" s="18" t="s">
        <v>1284</v>
      </c>
    </row>
    <row r="101" spans="1:93" x14ac:dyDescent="0.25">
      <c r="A101" t="s">
        <v>345</v>
      </c>
      <c r="B101" s="41">
        <v>16.154309019188346</v>
      </c>
      <c r="C101" s="41" t="s">
        <v>22</v>
      </c>
      <c r="D101" s="41" t="s">
        <v>22</v>
      </c>
      <c r="E101" s="41" t="s">
        <v>22</v>
      </c>
      <c r="F101" s="18" t="s">
        <v>22</v>
      </c>
      <c r="G101" s="18" t="s">
        <v>22</v>
      </c>
      <c r="H101" s="18" t="s">
        <v>22</v>
      </c>
      <c r="I101" s="18" t="s">
        <v>22</v>
      </c>
      <c r="J101" s="41" t="s">
        <v>22</v>
      </c>
      <c r="K101" s="18" t="s">
        <v>22</v>
      </c>
      <c r="L101" s="41" t="s">
        <v>22</v>
      </c>
      <c r="M101" t="s">
        <v>45</v>
      </c>
      <c r="N101" s="41">
        <v>1089</v>
      </c>
      <c r="O101" s="41" t="s">
        <v>22</v>
      </c>
      <c r="P101" s="41" t="s">
        <v>22</v>
      </c>
      <c r="R101" s="41">
        <f>N101*B101</f>
        <v>17592.04252189611</v>
      </c>
      <c r="S101" s="41" t="s">
        <v>22</v>
      </c>
      <c r="T101" s="41" t="s">
        <v>22</v>
      </c>
      <c r="U101" s="41" t="s">
        <v>22</v>
      </c>
      <c r="V101">
        <v>20200518</v>
      </c>
      <c r="W101" s="16" t="s">
        <v>477</v>
      </c>
      <c r="X101">
        <v>1987</v>
      </c>
      <c r="Y101" s="18" t="s">
        <v>375</v>
      </c>
      <c r="Z101" s="18" t="s">
        <v>22</v>
      </c>
      <c r="AA101" s="18" t="s">
        <v>772</v>
      </c>
      <c r="AB101" s="41">
        <v>1.7985611510791364</v>
      </c>
      <c r="AC101" s="18" t="s">
        <v>22</v>
      </c>
      <c r="AD101" s="41" t="s">
        <v>22</v>
      </c>
      <c r="AE101" s="41" t="s">
        <v>22</v>
      </c>
      <c r="AF101" s="41" t="s">
        <v>22</v>
      </c>
      <c r="AG101" s="41" t="s">
        <v>22</v>
      </c>
      <c r="AH101" s="41" t="s">
        <v>22</v>
      </c>
      <c r="AI101" s="41" t="s">
        <v>22</v>
      </c>
      <c r="AJ101" s="41" t="s">
        <v>22</v>
      </c>
      <c r="AK101" s="41" t="s">
        <v>22</v>
      </c>
      <c r="AL101" s="41" t="s">
        <v>22</v>
      </c>
      <c r="AM101" s="43" t="e">
        <f t="shared" si="35"/>
        <v>#VALUE!</v>
      </c>
      <c r="AN101" s="43" t="e">
        <f t="shared" si="36"/>
        <v>#VALUE!</v>
      </c>
      <c r="AO101" s="3" t="s">
        <v>479</v>
      </c>
      <c r="AT101" s="2">
        <f t="shared" si="37"/>
        <v>22</v>
      </c>
      <c r="AU101" s="45">
        <f t="shared" si="38"/>
        <v>1.20828838633562</v>
      </c>
      <c r="AV101" s="45" t="e">
        <f t="shared" si="39"/>
        <v>#VALUE!</v>
      </c>
      <c r="AW101" s="45" t="e">
        <f t="shared" si="40"/>
        <v>#VALUE!</v>
      </c>
      <c r="AX101" s="45">
        <f t="shared" si="41"/>
        <v>3.037027879755775</v>
      </c>
      <c r="AY101" s="45" t="e">
        <f t="shared" si="42"/>
        <v>#VALUE!</v>
      </c>
      <c r="AZ101" s="45" t="e">
        <f t="shared" si="43"/>
        <v>#VALUE!</v>
      </c>
      <c r="BA101" s="45" t="e">
        <f t="shared" si="44"/>
        <v>#VALUE!</v>
      </c>
      <c r="BB101" s="45" t="e">
        <f t="shared" si="45"/>
        <v>#VALUE!</v>
      </c>
      <c r="BC101" s="45" t="e">
        <f t="shared" si="46"/>
        <v>#VALUE!</v>
      </c>
      <c r="BD101" s="45" t="e">
        <f t="shared" si="47"/>
        <v>#VALUE!</v>
      </c>
      <c r="BE101" s="45" t="e">
        <f t="shared" si="48"/>
        <v>#VALUE!</v>
      </c>
      <c r="BF101" s="45" t="e">
        <f t="shared" si="49"/>
        <v>#VALUE!</v>
      </c>
      <c r="BG101" s="45" t="e">
        <f t="shared" si="50"/>
        <v>#VALUE!</v>
      </c>
      <c r="BH101" s="45">
        <f t="shared" si="51"/>
        <v>0.25492520841794247</v>
      </c>
      <c r="BI101" s="43" t="e">
        <f t="shared" si="52"/>
        <v>#VALUE!</v>
      </c>
      <c r="CA101" s="43" t="s">
        <v>22</v>
      </c>
      <c r="CC101" t="s">
        <v>22</v>
      </c>
      <c r="CE101" s="41" t="s">
        <v>22</v>
      </c>
      <c r="CF101" s="41" t="s">
        <v>22</v>
      </c>
      <c r="CG101" s="41" t="s">
        <v>22</v>
      </c>
      <c r="CH101" s="41" t="s">
        <v>22</v>
      </c>
      <c r="CI101" s="41" t="str">
        <f t="shared" si="59"/>
        <v>Not Reported/ Can not calculate</v>
      </c>
      <c r="CJ101" s="41" t="e">
        <f t="shared" si="60"/>
        <v>#VALUE!</v>
      </c>
      <c r="CL101" s="9" t="s">
        <v>1268</v>
      </c>
      <c r="CM101" s="18" t="s">
        <v>1284</v>
      </c>
      <c r="CN101" s="54" t="s">
        <v>1284</v>
      </c>
      <c r="CO101" s="18" t="s">
        <v>1284</v>
      </c>
    </row>
    <row r="102" spans="1:93" x14ac:dyDescent="0.25">
      <c r="A102" t="s">
        <v>345</v>
      </c>
      <c r="B102" s="41">
        <v>17.016691316289901</v>
      </c>
      <c r="C102" s="41" t="s">
        <v>22</v>
      </c>
      <c r="D102" s="41" t="s">
        <v>22</v>
      </c>
      <c r="E102" s="41" t="s">
        <v>22</v>
      </c>
      <c r="F102" s="18" t="s">
        <v>22</v>
      </c>
      <c r="G102" s="18" t="s">
        <v>22</v>
      </c>
      <c r="H102" s="18" t="s">
        <v>22</v>
      </c>
      <c r="I102" s="18" t="s">
        <v>22</v>
      </c>
      <c r="J102" s="41" t="s">
        <v>22</v>
      </c>
      <c r="K102" s="18" t="s">
        <v>22</v>
      </c>
      <c r="L102" s="41" t="s">
        <v>22</v>
      </c>
      <c r="M102" t="s">
        <v>45</v>
      </c>
      <c r="N102" s="41" t="s">
        <v>22</v>
      </c>
      <c r="O102" s="41" t="s">
        <v>22</v>
      </c>
      <c r="P102" s="41" t="s">
        <v>22</v>
      </c>
      <c r="R102" s="41" t="s">
        <v>22</v>
      </c>
      <c r="S102" s="41" t="s">
        <v>22</v>
      </c>
      <c r="T102" s="41" t="s">
        <v>22</v>
      </c>
      <c r="U102" s="41" t="s">
        <v>22</v>
      </c>
      <c r="V102">
        <v>20200518</v>
      </c>
      <c r="W102" s="16" t="s">
        <v>478</v>
      </c>
      <c r="X102">
        <v>1987</v>
      </c>
      <c r="Y102" s="18" t="s">
        <v>375</v>
      </c>
      <c r="Z102" s="18" t="s">
        <v>22</v>
      </c>
      <c r="AA102" t="s">
        <v>478</v>
      </c>
      <c r="AB102" s="41">
        <v>1.7985611510791364</v>
      </c>
      <c r="AC102" s="18" t="s">
        <v>22</v>
      </c>
      <c r="AD102" s="41" t="s">
        <v>22</v>
      </c>
      <c r="AE102" s="41" t="s">
        <v>22</v>
      </c>
      <c r="AF102" s="41" t="s">
        <v>22</v>
      </c>
      <c r="AG102" s="41" t="s">
        <v>22</v>
      </c>
      <c r="AH102" s="41" t="s">
        <v>22</v>
      </c>
      <c r="AI102" s="41" t="s">
        <v>22</v>
      </c>
      <c r="AJ102" s="41" t="s">
        <v>22</v>
      </c>
      <c r="AK102" s="41" t="s">
        <v>22</v>
      </c>
      <c r="AL102" s="41" t="s">
        <v>22</v>
      </c>
      <c r="AM102" s="43" t="e">
        <f t="shared" si="35"/>
        <v>#VALUE!</v>
      </c>
      <c r="AN102" s="43" t="e">
        <f t="shared" si="36"/>
        <v>#VALUE!</v>
      </c>
      <c r="AO102" s="3" t="s">
        <v>479</v>
      </c>
      <c r="AT102" s="2">
        <f t="shared" si="37"/>
        <v>22</v>
      </c>
      <c r="AU102" s="45">
        <f t="shared" si="38"/>
        <v>1.2308751208034192</v>
      </c>
      <c r="AV102" s="45" t="e">
        <f t="shared" si="39"/>
        <v>#VALUE!</v>
      </c>
      <c r="AW102" s="45" t="e">
        <f t="shared" si="40"/>
        <v>#VALUE!</v>
      </c>
      <c r="AX102" s="45" t="e">
        <f t="shared" si="41"/>
        <v>#VALUE!</v>
      </c>
      <c r="AY102" s="45" t="e">
        <f t="shared" si="42"/>
        <v>#VALUE!</v>
      </c>
      <c r="AZ102" s="45" t="e">
        <f t="shared" si="43"/>
        <v>#VALUE!</v>
      </c>
      <c r="BA102" s="45" t="e">
        <f t="shared" si="44"/>
        <v>#VALUE!</v>
      </c>
      <c r="BB102" s="45" t="e">
        <f t="shared" si="45"/>
        <v>#VALUE!</v>
      </c>
      <c r="BC102" s="45" t="e">
        <f t="shared" si="46"/>
        <v>#VALUE!</v>
      </c>
      <c r="BD102" s="45" t="e">
        <f t="shared" si="47"/>
        <v>#VALUE!</v>
      </c>
      <c r="BE102" s="45" t="e">
        <f t="shared" si="48"/>
        <v>#VALUE!</v>
      </c>
      <c r="BF102" s="45" t="e">
        <f t="shared" si="49"/>
        <v>#VALUE!</v>
      </c>
      <c r="BG102" s="45" t="e">
        <f t="shared" si="50"/>
        <v>#VALUE!</v>
      </c>
      <c r="BH102" s="45">
        <f t="shared" si="51"/>
        <v>0.25492520841794247</v>
      </c>
      <c r="BI102" s="43" t="e">
        <f t="shared" si="52"/>
        <v>#VALUE!</v>
      </c>
      <c r="CA102" s="43" t="s">
        <v>22</v>
      </c>
      <c r="CC102" t="s">
        <v>22</v>
      </c>
      <c r="CE102" s="41" t="s">
        <v>22</v>
      </c>
      <c r="CF102" s="41" t="s">
        <v>22</v>
      </c>
      <c r="CG102" s="41" t="s">
        <v>22</v>
      </c>
      <c r="CH102" s="41" t="s">
        <v>22</v>
      </c>
      <c r="CI102" s="41" t="str">
        <f t="shared" si="59"/>
        <v>Not Reported/ Can not calculate</v>
      </c>
      <c r="CJ102" s="41" t="e">
        <f t="shared" si="60"/>
        <v>#VALUE!</v>
      </c>
      <c r="CL102" s="9" t="s">
        <v>1268</v>
      </c>
      <c r="CM102" s="18" t="s">
        <v>1284</v>
      </c>
      <c r="CN102" s="54" t="s">
        <v>1284</v>
      </c>
      <c r="CO102" s="18" t="s">
        <v>1284</v>
      </c>
    </row>
    <row r="103" spans="1:93" x14ac:dyDescent="0.25">
      <c r="A103" t="s">
        <v>345</v>
      </c>
      <c r="B103" s="41">
        <v>7.5804195804196306</v>
      </c>
      <c r="C103" s="41" t="s">
        <v>22</v>
      </c>
      <c r="D103" s="41" t="s">
        <v>22</v>
      </c>
      <c r="E103" s="41" t="s">
        <v>22</v>
      </c>
      <c r="F103" s="18" t="s">
        <v>22</v>
      </c>
      <c r="G103" s="18" t="s">
        <v>22</v>
      </c>
      <c r="H103" s="18" t="s">
        <v>22</v>
      </c>
      <c r="I103" s="18" t="s">
        <v>22</v>
      </c>
      <c r="J103" s="41" t="s">
        <v>22</v>
      </c>
      <c r="K103" s="18" t="s">
        <v>22</v>
      </c>
      <c r="L103" s="41" t="s">
        <v>22</v>
      </c>
      <c r="M103" t="s">
        <v>45</v>
      </c>
      <c r="N103" s="41" t="s">
        <v>22</v>
      </c>
      <c r="O103" s="41" t="s">
        <v>22</v>
      </c>
      <c r="P103" s="41" t="s">
        <v>22</v>
      </c>
      <c r="R103" s="41" t="s">
        <v>22</v>
      </c>
      <c r="S103" s="41" t="s">
        <v>22</v>
      </c>
      <c r="T103" s="41" t="s">
        <v>22</v>
      </c>
      <c r="U103" s="41" t="s">
        <v>22</v>
      </c>
      <c r="V103">
        <v>20200518</v>
      </c>
      <c r="X103">
        <v>1987</v>
      </c>
      <c r="Y103" s="18" t="s">
        <v>375</v>
      </c>
      <c r="Z103" s="18" t="s">
        <v>22</v>
      </c>
      <c r="AA103" t="s">
        <v>772</v>
      </c>
      <c r="AB103" s="41" t="s">
        <v>22</v>
      </c>
      <c r="AC103" s="18" t="s">
        <v>22</v>
      </c>
      <c r="AD103" s="41">
        <v>7.9189908178151498</v>
      </c>
      <c r="AE103" s="41" t="s">
        <v>22</v>
      </c>
      <c r="AF103" s="41" t="s">
        <v>22</v>
      </c>
      <c r="AG103" s="41" t="s">
        <v>22</v>
      </c>
      <c r="AH103" s="41" t="s">
        <v>22</v>
      </c>
      <c r="AI103" s="41" t="s">
        <v>22</v>
      </c>
      <c r="AJ103" s="41" t="s">
        <v>22</v>
      </c>
      <c r="AK103" s="41" t="s">
        <v>22</v>
      </c>
      <c r="AL103" s="41" t="s">
        <v>22</v>
      </c>
      <c r="AM103" s="43" t="e">
        <f t="shared" si="35"/>
        <v>#VALUE!</v>
      </c>
      <c r="AN103" s="43" t="e">
        <f t="shared" si="36"/>
        <v>#VALUE!</v>
      </c>
      <c r="AO103" s="19" t="s">
        <v>479</v>
      </c>
      <c r="AT103" s="2">
        <f t="shared" si="37"/>
        <v>22</v>
      </c>
      <c r="AU103" s="45">
        <f t="shared" si="38"/>
        <v>0.87969324473730914</v>
      </c>
      <c r="AV103" s="45" t="e">
        <f t="shared" si="39"/>
        <v>#VALUE!</v>
      </c>
      <c r="AW103" s="45" t="e">
        <f t="shared" si="40"/>
        <v>#VALUE!</v>
      </c>
      <c r="AX103" s="45" t="e">
        <f t="shared" si="41"/>
        <v>#VALUE!</v>
      </c>
      <c r="AY103" s="45" t="e">
        <f t="shared" si="42"/>
        <v>#VALUE!</v>
      </c>
      <c r="AZ103" s="45" t="e">
        <f t="shared" si="43"/>
        <v>#VALUE!</v>
      </c>
      <c r="BA103" s="45" t="e">
        <f t="shared" si="44"/>
        <v>#VALUE!</v>
      </c>
      <c r="BB103" s="45" t="e">
        <f t="shared" si="45"/>
        <v>#VALUE!</v>
      </c>
      <c r="BC103" s="45" t="e">
        <f t="shared" si="46"/>
        <v>#VALUE!</v>
      </c>
      <c r="BD103" s="45">
        <f t="shared" si="47"/>
        <v>0.89866983939506329</v>
      </c>
      <c r="BE103" s="45" t="e">
        <f t="shared" si="48"/>
        <v>#VALUE!</v>
      </c>
      <c r="BF103" s="45" t="e">
        <f t="shared" si="49"/>
        <v>#VALUE!</v>
      </c>
      <c r="BG103" s="45" t="e">
        <f t="shared" si="50"/>
        <v>#VALUE!</v>
      </c>
      <c r="BH103" s="45" t="e">
        <f t="shared" si="51"/>
        <v>#VALUE!</v>
      </c>
      <c r="BI103" s="43" t="e">
        <f t="shared" si="52"/>
        <v>#VALUE!</v>
      </c>
      <c r="CA103" s="43" t="s">
        <v>22</v>
      </c>
      <c r="CC103" t="s">
        <v>22</v>
      </c>
      <c r="CE103" s="41" t="s">
        <v>22</v>
      </c>
      <c r="CF103" s="41" t="s">
        <v>22</v>
      </c>
      <c r="CG103" s="41">
        <f t="shared" ref="CG103:CG117" si="61">AD103*1000</f>
        <v>7918.99081781515</v>
      </c>
      <c r="CH103" s="41">
        <f t="shared" ref="CH103:CH117" si="62">LOG10(CG103)</f>
        <v>3.8986698393950632</v>
      </c>
      <c r="CI103" s="41">
        <f t="shared" si="59"/>
        <v>7918.99081781515</v>
      </c>
      <c r="CJ103" s="41">
        <f t="shared" si="60"/>
        <v>3.8986698393950632</v>
      </c>
      <c r="CL103" s="9" t="s">
        <v>1268</v>
      </c>
      <c r="CM103" s="18" t="s">
        <v>1283</v>
      </c>
      <c r="CN103" s="54" t="s">
        <v>1284</v>
      </c>
      <c r="CO103" s="18" t="s">
        <v>1284</v>
      </c>
    </row>
    <row r="104" spans="1:93" x14ac:dyDescent="0.25">
      <c r="A104" t="s">
        <v>345</v>
      </c>
      <c r="B104" s="41">
        <v>6.1242937853107495</v>
      </c>
      <c r="C104" s="41" t="s">
        <v>22</v>
      </c>
      <c r="D104" s="41" t="s">
        <v>22</v>
      </c>
      <c r="E104" s="41" t="s">
        <v>22</v>
      </c>
      <c r="F104" s="18" t="s">
        <v>22</v>
      </c>
      <c r="G104" s="18" t="s">
        <v>22</v>
      </c>
      <c r="H104" s="18" t="s">
        <v>22</v>
      </c>
      <c r="I104" s="18" t="s">
        <v>22</v>
      </c>
      <c r="J104" s="41" t="s">
        <v>22</v>
      </c>
      <c r="K104" s="18" t="s">
        <v>22</v>
      </c>
      <c r="L104" s="41" t="s">
        <v>22</v>
      </c>
      <c r="M104" t="s">
        <v>45</v>
      </c>
      <c r="N104" s="41" t="s">
        <v>22</v>
      </c>
      <c r="O104" s="41" t="s">
        <v>22</v>
      </c>
      <c r="P104" s="41" t="s">
        <v>22</v>
      </c>
      <c r="R104" s="41" t="s">
        <v>22</v>
      </c>
      <c r="S104" s="41" t="s">
        <v>22</v>
      </c>
      <c r="T104" s="41" t="s">
        <v>22</v>
      </c>
      <c r="U104" s="41" t="s">
        <v>22</v>
      </c>
      <c r="V104">
        <v>20200518</v>
      </c>
      <c r="X104">
        <v>1987</v>
      </c>
      <c r="Y104" t="s">
        <v>375</v>
      </c>
      <c r="Z104" t="s">
        <v>22</v>
      </c>
      <c r="AA104" t="s">
        <v>772</v>
      </c>
      <c r="AB104" s="41">
        <v>2.1130480718436342</v>
      </c>
      <c r="AC104" s="18" t="s">
        <v>22</v>
      </c>
      <c r="AD104" s="41">
        <v>12.0149317772247</v>
      </c>
      <c r="AE104" s="41" t="s">
        <v>22</v>
      </c>
      <c r="AF104" s="41" t="s">
        <v>22</v>
      </c>
      <c r="AG104" s="41" t="s">
        <v>22</v>
      </c>
      <c r="AH104" s="41" t="s">
        <v>22</v>
      </c>
      <c r="AI104" s="41" t="s">
        <v>22</v>
      </c>
      <c r="AJ104" s="41" t="s">
        <v>22</v>
      </c>
      <c r="AK104" s="41" t="s">
        <v>22</v>
      </c>
      <c r="AL104" s="41" t="s">
        <v>22</v>
      </c>
      <c r="AM104" s="43" t="e">
        <f t="shared" si="35"/>
        <v>#VALUE!</v>
      </c>
      <c r="AN104" s="43" t="e">
        <f t="shared" si="36"/>
        <v>#VALUE!</v>
      </c>
      <c r="AO104" s="19" t="s">
        <v>479</v>
      </c>
      <c r="AT104" s="2">
        <f t="shared" si="37"/>
        <v>22</v>
      </c>
      <c r="AU104" s="45">
        <f t="shared" si="38"/>
        <v>0.78705601584056251</v>
      </c>
      <c r="AV104" s="45" t="e">
        <f t="shared" si="39"/>
        <v>#VALUE!</v>
      </c>
      <c r="AW104" s="45" t="e">
        <f t="shared" si="40"/>
        <v>#VALUE!</v>
      </c>
      <c r="AX104" s="45" t="e">
        <f t="shared" si="41"/>
        <v>#VALUE!</v>
      </c>
      <c r="AY104" s="45" t="e">
        <f t="shared" si="42"/>
        <v>#VALUE!</v>
      </c>
      <c r="AZ104" s="45" t="e">
        <f t="shared" si="43"/>
        <v>#VALUE!</v>
      </c>
      <c r="BA104" s="45" t="e">
        <f t="shared" si="44"/>
        <v>#VALUE!</v>
      </c>
      <c r="BB104" s="45" t="e">
        <f t="shared" si="45"/>
        <v>#VALUE!</v>
      </c>
      <c r="BC104" s="45" t="e">
        <f t="shared" si="46"/>
        <v>#VALUE!</v>
      </c>
      <c r="BD104" s="45">
        <f t="shared" si="47"/>
        <v>1.0797213091508242</v>
      </c>
      <c r="BE104" s="45" t="e">
        <f t="shared" si="48"/>
        <v>#VALUE!</v>
      </c>
      <c r="BF104" s="45" t="e">
        <f t="shared" si="49"/>
        <v>#VALUE!</v>
      </c>
      <c r="BG104" s="45" t="e">
        <f t="shared" si="50"/>
        <v>#VALUE!</v>
      </c>
      <c r="BH104" s="45">
        <f t="shared" si="51"/>
        <v>0.32490937736416559</v>
      </c>
      <c r="BI104" s="43" t="e">
        <f t="shared" si="52"/>
        <v>#VALUE!</v>
      </c>
      <c r="CA104" s="43" t="s">
        <v>22</v>
      </c>
      <c r="CC104" t="s">
        <v>22</v>
      </c>
      <c r="CE104" s="41" t="s">
        <v>22</v>
      </c>
      <c r="CF104" s="41" t="s">
        <v>22</v>
      </c>
      <c r="CG104" s="41">
        <f t="shared" si="61"/>
        <v>12014.9317772247</v>
      </c>
      <c r="CH104" s="41">
        <f t="shared" si="62"/>
        <v>4.0797213091508242</v>
      </c>
      <c r="CI104" s="41">
        <f t="shared" si="59"/>
        <v>12014.9317772247</v>
      </c>
      <c r="CJ104" s="41">
        <f t="shared" si="60"/>
        <v>4.0797213091508242</v>
      </c>
      <c r="CL104" s="9" t="s">
        <v>1268</v>
      </c>
      <c r="CM104" s="18" t="s">
        <v>1283</v>
      </c>
      <c r="CN104" s="54" t="s">
        <v>1284</v>
      </c>
      <c r="CO104" s="18" t="s">
        <v>1284</v>
      </c>
    </row>
    <row r="105" spans="1:93" x14ac:dyDescent="0.25">
      <c r="A105" t="s">
        <v>345</v>
      </c>
      <c r="B105" s="41">
        <v>4.4979253112033293</v>
      </c>
      <c r="C105" s="41" t="s">
        <v>22</v>
      </c>
      <c r="D105" s="41" t="s">
        <v>22</v>
      </c>
      <c r="E105" s="41" t="s">
        <v>22</v>
      </c>
      <c r="F105" s="18" t="s">
        <v>22</v>
      </c>
      <c r="G105" s="18" t="s">
        <v>22</v>
      </c>
      <c r="H105" s="18" t="s">
        <v>22</v>
      </c>
      <c r="I105" s="18" t="s">
        <v>22</v>
      </c>
      <c r="J105" s="41" t="s">
        <v>22</v>
      </c>
      <c r="K105" s="18" t="s">
        <v>22</v>
      </c>
      <c r="L105" s="41" t="s">
        <v>22</v>
      </c>
      <c r="M105" t="s">
        <v>45</v>
      </c>
      <c r="N105" s="41" t="s">
        <v>22</v>
      </c>
      <c r="O105" s="41" t="s">
        <v>22</v>
      </c>
      <c r="P105" s="41" t="s">
        <v>22</v>
      </c>
      <c r="R105" s="41" t="s">
        <v>22</v>
      </c>
      <c r="S105" s="41" t="s">
        <v>22</v>
      </c>
      <c r="T105" s="41" t="s">
        <v>22</v>
      </c>
      <c r="U105" s="41" t="s">
        <v>22</v>
      </c>
      <c r="V105">
        <v>20200518</v>
      </c>
      <c r="X105">
        <v>1987</v>
      </c>
      <c r="Y105" s="18" t="s">
        <v>375</v>
      </c>
      <c r="Z105" s="18" t="s">
        <v>22</v>
      </c>
      <c r="AA105" t="s">
        <v>772</v>
      </c>
      <c r="AB105" s="41" t="s">
        <v>22</v>
      </c>
      <c r="AC105" s="18" t="s">
        <v>22</v>
      </c>
      <c r="AD105" s="41">
        <v>20.6715867158671</v>
      </c>
      <c r="AE105" s="41" t="s">
        <v>22</v>
      </c>
      <c r="AF105" s="41" t="s">
        <v>22</v>
      </c>
      <c r="AG105" s="41" t="s">
        <v>22</v>
      </c>
      <c r="AH105" s="41" t="s">
        <v>22</v>
      </c>
      <c r="AI105" s="41" t="s">
        <v>22</v>
      </c>
      <c r="AJ105" s="41" t="s">
        <v>22</v>
      </c>
      <c r="AK105" s="41" t="s">
        <v>22</v>
      </c>
      <c r="AL105" s="41" t="s">
        <v>22</v>
      </c>
      <c r="AM105" s="43" t="e">
        <f t="shared" si="35"/>
        <v>#VALUE!</v>
      </c>
      <c r="AN105" s="43" t="e">
        <f t="shared" si="36"/>
        <v>#VALUE!</v>
      </c>
      <c r="AO105" s="19" t="s">
        <v>479</v>
      </c>
      <c r="AT105" s="2">
        <f t="shared" si="37"/>
        <v>22</v>
      </c>
      <c r="AU105" s="45">
        <f t="shared" si="38"/>
        <v>0.65301223962750066</v>
      </c>
      <c r="AV105" s="45" t="e">
        <f t="shared" si="39"/>
        <v>#VALUE!</v>
      </c>
      <c r="AW105" s="45" t="e">
        <f t="shared" si="40"/>
        <v>#VALUE!</v>
      </c>
      <c r="AX105" s="45" t="e">
        <f t="shared" si="41"/>
        <v>#VALUE!</v>
      </c>
      <c r="AY105" s="45" t="e">
        <f t="shared" si="42"/>
        <v>#VALUE!</v>
      </c>
      <c r="AZ105" s="45" t="e">
        <f t="shared" si="43"/>
        <v>#VALUE!</v>
      </c>
      <c r="BA105" s="45" t="e">
        <f t="shared" si="44"/>
        <v>#VALUE!</v>
      </c>
      <c r="BB105" s="45" t="e">
        <f t="shared" si="45"/>
        <v>#VALUE!</v>
      </c>
      <c r="BC105" s="45" t="e">
        <f t="shared" si="46"/>
        <v>#VALUE!</v>
      </c>
      <c r="BD105" s="45">
        <f t="shared" si="47"/>
        <v>1.3153738136131425</v>
      </c>
      <c r="BE105" s="45" t="e">
        <f t="shared" si="48"/>
        <v>#VALUE!</v>
      </c>
      <c r="BF105" s="45" t="e">
        <f t="shared" si="49"/>
        <v>#VALUE!</v>
      </c>
      <c r="BG105" s="45" t="e">
        <f t="shared" si="50"/>
        <v>#VALUE!</v>
      </c>
      <c r="BH105" s="45" t="e">
        <f t="shared" si="51"/>
        <v>#VALUE!</v>
      </c>
      <c r="BI105" s="43" t="e">
        <f t="shared" si="52"/>
        <v>#VALUE!</v>
      </c>
      <c r="CA105" s="43" t="s">
        <v>22</v>
      </c>
      <c r="CC105" t="s">
        <v>22</v>
      </c>
      <c r="CE105" s="41" t="s">
        <v>22</v>
      </c>
      <c r="CF105" s="41" t="s">
        <v>22</v>
      </c>
      <c r="CG105" s="41">
        <f t="shared" si="61"/>
        <v>20671.586715867099</v>
      </c>
      <c r="CH105" s="41">
        <f t="shared" si="62"/>
        <v>4.3153738136131423</v>
      </c>
      <c r="CI105" s="41">
        <f t="shared" si="59"/>
        <v>20671.586715867099</v>
      </c>
      <c r="CJ105" s="41">
        <f t="shared" si="60"/>
        <v>4.3153738136131423</v>
      </c>
      <c r="CL105" s="9" t="s">
        <v>1268</v>
      </c>
      <c r="CM105" s="18" t="s">
        <v>1283</v>
      </c>
      <c r="CN105" s="54" t="s">
        <v>1284</v>
      </c>
      <c r="CO105" s="18" t="s">
        <v>1284</v>
      </c>
    </row>
    <row r="106" spans="1:93" x14ac:dyDescent="0.25">
      <c r="A106" t="s">
        <v>345</v>
      </c>
      <c r="B106" s="41">
        <v>3.4632587859424979</v>
      </c>
      <c r="C106" s="41" t="s">
        <v>22</v>
      </c>
      <c r="D106" s="41" t="s">
        <v>22</v>
      </c>
      <c r="E106" s="41" t="s">
        <v>22</v>
      </c>
      <c r="F106" s="18" t="s">
        <v>22</v>
      </c>
      <c r="G106" s="18" t="s">
        <v>22</v>
      </c>
      <c r="H106" s="18" t="s">
        <v>22</v>
      </c>
      <c r="I106" s="18" t="s">
        <v>22</v>
      </c>
      <c r="J106" s="41" t="s">
        <v>22</v>
      </c>
      <c r="K106" s="18" t="s">
        <v>22</v>
      </c>
      <c r="L106" s="41" t="s">
        <v>22</v>
      </c>
      <c r="M106" t="s">
        <v>45</v>
      </c>
      <c r="N106" s="41" t="s">
        <v>22</v>
      </c>
      <c r="O106" s="41" t="s">
        <v>22</v>
      </c>
      <c r="P106" s="41" t="s">
        <v>22</v>
      </c>
      <c r="R106" s="41" t="s">
        <v>22</v>
      </c>
      <c r="S106" s="41" t="s">
        <v>22</v>
      </c>
      <c r="T106" s="41" t="s">
        <v>22</v>
      </c>
      <c r="U106" s="41" t="s">
        <v>22</v>
      </c>
      <c r="V106">
        <v>20200518</v>
      </c>
      <c r="X106">
        <v>1987</v>
      </c>
      <c r="Y106" s="18" t="s">
        <v>375</v>
      </c>
      <c r="Z106" s="18" t="s">
        <v>22</v>
      </c>
      <c r="AA106" t="s">
        <v>772</v>
      </c>
      <c r="AB106" s="41" t="s">
        <v>22</v>
      </c>
      <c r="AC106" s="18" t="s">
        <v>22</v>
      </c>
      <c r="AD106" s="41">
        <v>29.8405560799794</v>
      </c>
      <c r="AE106" s="41" t="s">
        <v>22</v>
      </c>
      <c r="AF106" s="41" t="s">
        <v>22</v>
      </c>
      <c r="AG106" s="41" t="s">
        <v>22</v>
      </c>
      <c r="AH106" s="41" t="s">
        <v>22</v>
      </c>
      <c r="AI106" s="41" t="s">
        <v>22</v>
      </c>
      <c r="AJ106" s="41" t="s">
        <v>22</v>
      </c>
      <c r="AK106" s="41" t="s">
        <v>22</v>
      </c>
      <c r="AL106" s="41" t="s">
        <v>22</v>
      </c>
      <c r="AM106" s="43" t="e">
        <f t="shared" si="35"/>
        <v>#VALUE!</v>
      </c>
      <c r="AN106" s="43" t="e">
        <f t="shared" si="36"/>
        <v>#VALUE!</v>
      </c>
      <c r="AO106" s="19" t="s">
        <v>479</v>
      </c>
      <c r="AT106" s="2">
        <f t="shared" si="37"/>
        <v>22</v>
      </c>
      <c r="AU106" s="45">
        <f t="shared" si="38"/>
        <v>0.53948494465592034</v>
      </c>
      <c r="AV106" s="45" t="e">
        <f t="shared" si="39"/>
        <v>#VALUE!</v>
      </c>
      <c r="AW106" s="45" t="e">
        <f t="shared" si="40"/>
        <v>#VALUE!</v>
      </c>
      <c r="AX106" s="45" t="e">
        <f t="shared" si="41"/>
        <v>#VALUE!</v>
      </c>
      <c r="AY106" s="45" t="e">
        <f t="shared" si="42"/>
        <v>#VALUE!</v>
      </c>
      <c r="AZ106" s="45" t="e">
        <f t="shared" si="43"/>
        <v>#VALUE!</v>
      </c>
      <c r="BA106" s="45" t="e">
        <f t="shared" si="44"/>
        <v>#VALUE!</v>
      </c>
      <c r="BB106" s="45" t="e">
        <f t="shared" si="45"/>
        <v>#VALUE!</v>
      </c>
      <c r="BC106" s="45" t="e">
        <f t="shared" si="46"/>
        <v>#VALUE!</v>
      </c>
      <c r="BD106" s="45">
        <f t="shared" si="47"/>
        <v>1.4748069119714198</v>
      </c>
      <c r="BE106" s="45" t="e">
        <f t="shared" si="48"/>
        <v>#VALUE!</v>
      </c>
      <c r="BF106" s="45" t="e">
        <f t="shared" si="49"/>
        <v>#VALUE!</v>
      </c>
      <c r="BG106" s="45" t="e">
        <f t="shared" si="50"/>
        <v>#VALUE!</v>
      </c>
      <c r="BH106" s="45" t="e">
        <f t="shared" si="51"/>
        <v>#VALUE!</v>
      </c>
      <c r="BI106" s="43" t="e">
        <f t="shared" si="52"/>
        <v>#VALUE!</v>
      </c>
      <c r="CA106" s="43" t="s">
        <v>22</v>
      </c>
      <c r="CC106" t="s">
        <v>22</v>
      </c>
      <c r="CE106" s="41" t="s">
        <v>22</v>
      </c>
      <c r="CF106" s="41" t="s">
        <v>22</v>
      </c>
      <c r="CG106" s="41">
        <f t="shared" si="61"/>
        <v>29840.5560799794</v>
      </c>
      <c r="CH106" s="41">
        <f t="shared" si="62"/>
        <v>4.4748069119714202</v>
      </c>
      <c r="CI106" s="41">
        <f t="shared" si="59"/>
        <v>29840.5560799794</v>
      </c>
      <c r="CJ106" s="41">
        <f t="shared" si="60"/>
        <v>4.4748069119714202</v>
      </c>
      <c r="CL106" s="9" t="s">
        <v>1268</v>
      </c>
      <c r="CM106" s="18" t="s">
        <v>1283</v>
      </c>
      <c r="CN106" s="54" t="s">
        <v>1284</v>
      </c>
      <c r="CO106" s="18" t="s">
        <v>1284</v>
      </c>
    </row>
    <row r="107" spans="1:93" x14ac:dyDescent="0.25">
      <c r="A107" t="s">
        <v>345</v>
      </c>
      <c r="B107" s="41">
        <v>2.8601583113456468</v>
      </c>
      <c r="C107" s="41" t="s">
        <v>22</v>
      </c>
      <c r="D107" s="41" t="s">
        <v>22</v>
      </c>
      <c r="E107" s="41" t="s">
        <v>22</v>
      </c>
      <c r="F107" s="18" t="s">
        <v>22</v>
      </c>
      <c r="G107" s="18" t="s">
        <v>22</v>
      </c>
      <c r="H107" s="18" t="s">
        <v>22</v>
      </c>
      <c r="I107" s="18" t="s">
        <v>22</v>
      </c>
      <c r="J107" s="41" t="s">
        <v>22</v>
      </c>
      <c r="K107" s="18" t="s">
        <v>22</v>
      </c>
      <c r="L107" s="41" t="s">
        <v>22</v>
      </c>
      <c r="M107" t="s">
        <v>45</v>
      </c>
      <c r="N107" s="41" t="s">
        <v>22</v>
      </c>
      <c r="O107" s="41" t="s">
        <v>22</v>
      </c>
      <c r="P107" s="41" t="s">
        <v>22</v>
      </c>
      <c r="R107" s="41" t="s">
        <v>22</v>
      </c>
      <c r="S107" s="41" t="s">
        <v>22</v>
      </c>
      <c r="T107" s="41" t="s">
        <v>22</v>
      </c>
      <c r="U107" s="41" t="s">
        <v>22</v>
      </c>
      <c r="V107">
        <v>20200518</v>
      </c>
      <c r="X107">
        <v>1987</v>
      </c>
      <c r="Y107" s="18" t="s">
        <v>375</v>
      </c>
      <c r="Z107" s="18" t="s">
        <v>22</v>
      </c>
      <c r="AA107" t="s">
        <v>772</v>
      </c>
      <c r="AB107" s="41" t="s">
        <v>22</v>
      </c>
      <c r="AC107" s="18" t="s">
        <v>22</v>
      </c>
      <c r="AD107" s="41">
        <v>38.869475671500901</v>
      </c>
      <c r="AE107" s="41" t="s">
        <v>22</v>
      </c>
      <c r="AF107" s="41" t="s">
        <v>22</v>
      </c>
      <c r="AG107" s="41" t="s">
        <v>22</v>
      </c>
      <c r="AH107" s="41" t="s">
        <v>22</v>
      </c>
      <c r="AI107" s="41" t="s">
        <v>22</v>
      </c>
      <c r="AJ107" s="41" t="s">
        <v>22</v>
      </c>
      <c r="AK107" s="41" t="s">
        <v>22</v>
      </c>
      <c r="AL107" s="41" t="s">
        <v>22</v>
      </c>
      <c r="AM107" s="43" t="e">
        <f t="shared" si="35"/>
        <v>#VALUE!</v>
      </c>
      <c r="AN107" s="43" t="e">
        <f t="shared" si="36"/>
        <v>#VALUE!</v>
      </c>
      <c r="AO107" s="19" t="s">
        <v>479</v>
      </c>
      <c r="AT107" s="2">
        <f t="shared" si="37"/>
        <v>22</v>
      </c>
      <c r="AU107" s="45">
        <f t="shared" si="38"/>
        <v>0.45639007223429584</v>
      </c>
      <c r="AV107" s="45" t="e">
        <f t="shared" si="39"/>
        <v>#VALUE!</v>
      </c>
      <c r="AW107" s="45" t="e">
        <f t="shared" si="40"/>
        <v>#VALUE!</v>
      </c>
      <c r="AX107" s="45" t="e">
        <f t="shared" si="41"/>
        <v>#VALUE!</v>
      </c>
      <c r="AY107" s="45" t="e">
        <f t="shared" si="42"/>
        <v>#VALUE!</v>
      </c>
      <c r="AZ107" s="45" t="e">
        <f t="shared" si="43"/>
        <v>#VALUE!</v>
      </c>
      <c r="BA107" s="45" t="e">
        <f t="shared" si="44"/>
        <v>#VALUE!</v>
      </c>
      <c r="BB107" s="45" t="e">
        <f t="shared" si="45"/>
        <v>#VALUE!</v>
      </c>
      <c r="BC107" s="45" t="e">
        <f t="shared" si="46"/>
        <v>#VALUE!</v>
      </c>
      <c r="BD107" s="45">
        <f t="shared" si="47"/>
        <v>1.5896086822698123</v>
      </c>
      <c r="BE107" s="45" t="e">
        <f t="shared" si="48"/>
        <v>#VALUE!</v>
      </c>
      <c r="BF107" s="45" t="e">
        <f t="shared" si="49"/>
        <v>#VALUE!</v>
      </c>
      <c r="BG107" s="45" t="e">
        <f t="shared" si="50"/>
        <v>#VALUE!</v>
      </c>
      <c r="BH107" s="45" t="e">
        <f t="shared" si="51"/>
        <v>#VALUE!</v>
      </c>
      <c r="BI107" s="43" t="e">
        <f t="shared" si="52"/>
        <v>#VALUE!</v>
      </c>
      <c r="CA107" s="43" t="s">
        <v>22</v>
      </c>
      <c r="CC107" t="s">
        <v>22</v>
      </c>
      <c r="CE107" s="41" t="s">
        <v>22</v>
      </c>
      <c r="CF107" s="41" t="s">
        <v>22</v>
      </c>
      <c r="CG107" s="41">
        <f t="shared" si="61"/>
        <v>38869.475671500899</v>
      </c>
      <c r="CH107" s="41">
        <f t="shared" si="62"/>
        <v>4.5896086822698123</v>
      </c>
      <c r="CI107" s="41">
        <f t="shared" si="59"/>
        <v>38869.475671500899</v>
      </c>
      <c r="CJ107" s="41">
        <f t="shared" si="60"/>
        <v>4.5896086822698123</v>
      </c>
      <c r="CL107" s="9" t="s">
        <v>1268</v>
      </c>
      <c r="CM107" s="18" t="s">
        <v>1283</v>
      </c>
      <c r="CN107" s="54" t="s">
        <v>1284</v>
      </c>
      <c r="CO107" s="18" t="s">
        <v>1284</v>
      </c>
    </row>
    <row r="108" spans="1:93" x14ac:dyDescent="0.25">
      <c r="A108" t="s">
        <v>345</v>
      </c>
      <c r="B108" s="41">
        <v>7.6879432624113706</v>
      </c>
      <c r="C108" s="41" t="s">
        <v>22</v>
      </c>
      <c r="D108" s="41" t="s">
        <v>22</v>
      </c>
      <c r="E108" s="41" t="s">
        <v>22</v>
      </c>
      <c r="F108" s="18" t="s">
        <v>22</v>
      </c>
      <c r="G108" s="18" t="s">
        <v>22</v>
      </c>
      <c r="H108" s="18" t="s">
        <v>22</v>
      </c>
      <c r="I108" s="18" t="s">
        <v>22</v>
      </c>
      <c r="J108" s="41" t="s">
        <v>22</v>
      </c>
      <c r="K108" s="18" t="s">
        <v>22</v>
      </c>
      <c r="L108" s="41" t="s">
        <v>22</v>
      </c>
      <c r="M108" t="s">
        <v>45</v>
      </c>
      <c r="N108" s="41" t="s">
        <v>22</v>
      </c>
      <c r="O108" s="41" t="s">
        <v>22</v>
      </c>
      <c r="P108" s="41" t="s">
        <v>22</v>
      </c>
      <c r="R108" s="41" t="s">
        <v>22</v>
      </c>
      <c r="S108" s="41" t="s">
        <v>22</v>
      </c>
      <c r="T108" s="41" t="s">
        <v>22</v>
      </c>
      <c r="U108" s="41" t="s">
        <v>22</v>
      </c>
      <c r="V108">
        <v>20200518</v>
      </c>
      <c r="X108">
        <v>1987</v>
      </c>
      <c r="Y108" s="18" t="s">
        <v>375</v>
      </c>
      <c r="Z108" s="18" t="s">
        <v>22</v>
      </c>
      <c r="AA108" t="s">
        <v>771</v>
      </c>
      <c r="AB108" s="41" t="s">
        <v>22</v>
      </c>
      <c r="AC108" s="18" t="s">
        <v>22</v>
      </c>
      <c r="AD108" s="41">
        <v>9.9188191881918808</v>
      </c>
      <c r="AE108" s="41" t="s">
        <v>22</v>
      </c>
      <c r="AF108" s="41" t="s">
        <v>22</v>
      </c>
      <c r="AG108" s="41" t="s">
        <v>22</v>
      </c>
      <c r="AH108" s="41" t="s">
        <v>22</v>
      </c>
      <c r="AI108" s="41" t="s">
        <v>22</v>
      </c>
      <c r="AJ108" s="41" t="s">
        <v>22</v>
      </c>
      <c r="AK108" s="41" t="s">
        <v>22</v>
      </c>
      <c r="AL108" s="41" t="s">
        <v>22</v>
      </c>
      <c r="AM108" s="43" t="e">
        <f t="shared" si="35"/>
        <v>#VALUE!</v>
      </c>
      <c r="AN108" s="43" t="e">
        <f t="shared" si="36"/>
        <v>#VALUE!</v>
      </c>
      <c r="AO108" s="3" t="s">
        <v>479</v>
      </c>
      <c r="AT108" s="2">
        <f t="shared" si="37"/>
        <v>22</v>
      </c>
      <c r="AU108" s="45">
        <f t="shared" si="38"/>
        <v>0.88581016954698955</v>
      </c>
      <c r="AV108" s="45" t="e">
        <f t="shared" si="39"/>
        <v>#VALUE!</v>
      </c>
      <c r="AW108" s="45" t="e">
        <f t="shared" si="40"/>
        <v>#VALUE!</v>
      </c>
      <c r="AX108" s="45" t="e">
        <f t="shared" si="41"/>
        <v>#VALUE!</v>
      </c>
      <c r="AY108" s="45" t="e">
        <f t="shared" si="42"/>
        <v>#VALUE!</v>
      </c>
      <c r="AZ108" s="45" t="e">
        <f t="shared" si="43"/>
        <v>#VALUE!</v>
      </c>
      <c r="BA108" s="45" t="e">
        <f t="shared" si="44"/>
        <v>#VALUE!</v>
      </c>
      <c r="BB108" s="45" t="e">
        <f t="shared" si="45"/>
        <v>#VALUE!</v>
      </c>
      <c r="BC108" s="45" t="e">
        <f t="shared" si="46"/>
        <v>#VALUE!</v>
      </c>
      <c r="BD108" s="45">
        <f t="shared" si="47"/>
        <v>0.9964599735073818</v>
      </c>
      <c r="BE108" s="45" t="e">
        <f t="shared" si="48"/>
        <v>#VALUE!</v>
      </c>
      <c r="BF108" s="45" t="e">
        <f t="shared" si="49"/>
        <v>#VALUE!</v>
      </c>
      <c r="BG108" s="45" t="e">
        <f t="shared" si="50"/>
        <v>#VALUE!</v>
      </c>
      <c r="BH108" s="45" t="e">
        <f t="shared" si="51"/>
        <v>#VALUE!</v>
      </c>
      <c r="BI108" s="43" t="e">
        <f t="shared" si="52"/>
        <v>#VALUE!</v>
      </c>
      <c r="CA108" s="43" t="s">
        <v>22</v>
      </c>
      <c r="CC108" t="s">
        <v>22</v>
      </c>
      <c r="CE108" s="41" t="s">
        <v>22</v>
      </c>
      <c r="CF108" s="41" t="s">
        <v>22</v>
      </c>
      <c r="CG108" s="41">
        <f t="shared" si="61"/>
        <v>9918.819188191881</v>
      </c>
      <c r="CH108" s="41">
        <f t="shared" si="62"/>
        <v>3.996459973507382</v>
      </c>
      <c r="CI108" s="41">
        <f t="shared" si="59"/>
        <v>9918.819188191881</v>
      </c>
      <c r="CJ108" s="41">
        <f t="shared" si="60"/>
        <v>3.996459973507382</v>
      </c>
      <c r="CL108" s="9" t="s">
        <v>1268</v>
      </c>
      <c r="CM108" s="18" t="s">
        <v>1283</v>
      </c>
      <c r="CN108" s="54" t="s">
        <v>1284</v>
      </c>
      <c r="CO108" s="18" t="s">
        <v>1284</v>
      </c>
    </row>
    <row r="109" spans="1:93" x14ac:dyDescent="0.25">
      <c r="A109" s="18" t="s">
        <v>345</v>
      </c>
      <c r="B109" s="41">
        <v>5.2367149758454374</v>
      </c>
      <c r="C109" s="41" t="s">
        <v>22</v>
      </c>
      <c r="D109" s="41" t="s">
        <v>22</v>
      </c>
      <c r="E109" s="41" t="s">
        <v>22</v>
      </c>
      <c r="F109" t="s">
        <v>22</v>
      </c>
      <c r="G109" t="s">
        <v>22</v>
      </c>
      <c r="H109" t="s">
        <v>22</v>
      </c>
      <c r="I109" t="s">
        <v>22</v>
      </c>
      <c r="J109" s="41" t="s">
        <v>22</v>
      </c>
      <c r="K109" t="s">
        <v>22</v>
      </c>
      <c r="L109" s="41" t="s">
        <v>22</v>
      </c>
      <c r="M109" t="s">
        <v>45</v>
      </c>
      <c r="N109" s="41" t="s">
        <v>22</v>
      </c>
      <c r="O109" s="41" t="s">
        <v>22</v>
      </c>
      <c r="P109" s="41" t="s">
        <v>22</v>
      </c>
      <c r="R109" s="41" t="s">
        <v>22</v>
      </c>
      <c r="S109" s="41" t="s">
        <v>22</v>
      </c>
      <c r="T109" s="41" t="s">
        <v>22</v>
      </c>
      <c r="U109" s="41" t="s">
        <v>22</v>
      </c>
      <c r="V109">
        <v>20200518</v>
      </c>
      <c r="X109">
        <v>1987</v>
      </c>
      <c r="Y109" t="s">
        <v>375</v>
      </c>
      <c r="Z109" t="s">
        <v>22</v>
      </c>
      <c r="AA109" t="s">
        <v>771</v>
      </c>
      <c r="AB109" s="41">
        <v>1.5917737134488963</v>
      </c>
      <c r="AC109" t="s">
        <v>22</v>
      </c>
      <c r="AD109" s="41">
        <v>15.8779713378529</v>
      </c>
      <c r="AE109" s="41" t="s">
        <v>22</v>
      </c>
      <c r="AF109" s="41" t="s">
        <v>22</v>
      </c>
      <c r="AG109" s="41" t="s">
        <v>22</v>
      </c>
      <c r="AH109" s="41" t="s">
        <v>22</v>
      </c>
      <c r="AI109" s="41" t="s">
        <v>22</v>
      </c>
      <c r="AJ109" s="41" t="s">
        <v>22</v>
      </c>
      <c r="AK109" s="41" t="s">
        <v>22</v>
      </c>
      <c r="AL109" s="41" t="s">
        <v>22</v>
      </c>
      <c r="AM109" s="43" t="e">
        <f t="shared" si="35"/>
        <v>#VALUE!</v>
      </c>
      <c r="AN109" s="43" t="e">
        <f t="shared" si="36"/>
        <v>#VALUE!</v>
      </c>
      <c r="AO109" s="3" t="s">
        <v>479</v>
      </c>
      <c r="AT109" s="2">
        <f t="shared" si="37"/>
        <v>22</v>
      </c>
      <c r="AU109" s="45">
        <f t="shared" si="38"/>
        <v>0.71905893674545263</v>
      </c>
      <c r="AV109" s="45" t="e">
        <f t="shared" si="39"/>
        <v>#VALUE!</v>
      </c>
      <c r="AW109" s="45" t="e">
        <f t="shared" si="40"/>
        <v>#VALUE!</v>
      </c>
      <c r="AX109" s="45" t="e">
        <f t="shared" si="41"/>
        <v>#VALUE!</v>
      </c>
      <c r="AY109" s="45" t="e">
        <f t="shared" si="42"/>
        <v>#VALUE!</v>
      </c>
      <c r="AZ109" s="45" t="e">
        <f t="shared" si="43"/>
        <v>#VALUE!</v>
      </c>
      <c r="BA109" s="45" t="e">
        <f t="shared" si="44"/>
        <v>#VALUE!</v>
      </c>
      <c r="BB109" s="45" t="e">
        <f t="shared" si="45"/>
        <v>#VALUE!</v>
      </c>
      <c r="BC109" s="45" t="e">
        <f t="shared" si="46"/>
        <v>#VALUE!</v>
      </c>
      <c r="BD109" s="45">
        <f t="shared" si="47"/>
        <v>1.2007950136416485</v>
      </c>
      <c r="BE109" s="45" t="e">
        <f t="shared" si="48"/>
        <v>#VALUE!</v>
      </c>
      <c r="BF109" s="45" t="e">
        <f t="shared" si="49"/>
        <v>#VALUE!</v>
      </c>
      <c r="BG109" s="45" t="e">
        <f t="shared" si="50"/>
        <v>#VALUE!</v>
      </c>
      <c r="BH109" s="45">
        <f t="shared" si="51"/>
        <v>0.20188132848611676</v>
      </c>
      <c r="BI109" s="43" t="e">
        <f t="shared" si="52"/>
        <v>#VALUE!</v>
      </c>
      <c r="CA109" s="43" t="s">
        <v>22</v>
      </c>
      <c r="CC109" t="s">
        <v>22</v>
      </c>
      <c r="CE109" s="41" t="s">
        <v>22</v>
      </c>
      <c r="CF109" s="41" t="s">
        <v>22</v>
      </c>
      <c r="CG109" s="41">
        <f t="shared" si="61"/>
        <v>15877.9713378529</v>
      </c>
      <c r="CH109" s="41">
        <f t="shared" si="62"/>
        <v>4.200795013641649</v>
      </c>
      <c r="CI109" s="41">
        <f t="shared" si="59"/>
        <v>15877.9713378529</v>
      </c>
      <c r="CJ109" s="41">
        <f t="shared" si="60"/>
        <v>4.200795013641649</v>
      </c>
      <c r="CL109" s="9" t="s">
        <v>1268</v>
      </c>
      <c r="CM109" s="18" t="s">
        <v>1283</v>
      </c>
      <c r="CN109" s="54" t="s">
        <v>1284</v>
      </c>
      <c r="CO109" s="18" t="s">
        <v>1284</v>
      </c>
    </row>
    <row r="110" spans="1:93" x14ac:dyDescent="0.25">
      <c r="A110" s="18" t="s">
        <v>345</v>
      </c>
      <c r="B110" s="41">
        <v>4.2509803921568805</v>
      </c>
      <c r="C110" s="41" t="s">
        <v>22</v>
      </c>
      <c r="D110" s="41" t="s">
        <v>22</v>
      </c>
      <c r="E110" s="41" t="s">
        <v>22</v>
      </c>
      <c r="F110" t="s">
        <v>22</v>
      </c>
      <c r="G110" t="s">
        <v>22</v>
      </c>
      <c r="H110" t="s">
        <v>22</v>
      </c>
      <c r="I110" t="s">
        <v>22</v>
      </c>
      <c r="J110" s="41" t="s">
        <v>22</v>
      </c>
      <c r="K110" t="s">
        <v>22</v>
      </c>
      <c r="L110" s="41" t="s">
        <v>22</v>
      </c>
      <c r="M110" t="s">
        <v>45</v>
      </c>
      <c r="N110" s="41" t="s">
        <v>22</v>
      </c>
      <c r="O110" s="41" t="s">
        <v>22</v>
      </c>
      <c r="P110" s="41" t="s">
        <v>22</v>
      </c>
      <c r="R110" s="41" t="s">
        <v>22</v>
      </c>
      <c r="S110" s="41" t="s">
        <v>22</v>
      </c>
      <c r="T110" s="41" t="s">
        <v>22</v>
      </c>
      <c r="U110" s="41" t="s">
        <v>22</v>
      </c>
      <c r="V110">
        <v>20200518</v>
      </c>
      <c r="X110">
        <v>1987</v>
      </c>
      <c r="Y110" t="s">
        <v>375</v>
      </c>
      <c r="Z110" t="s">
        <v>22</v>
      </c>
      <c r="AA110" t="s">
        <v>771</v>
      </c>
      <c r="AB110" s="41">
        <v>1.4023278642546628</v>
      </c>
      <c r="AC110" t="s">
        <v>22</v>
      </c>
      <c r="AD110" s="41">
        <v>24.905346262764901</v>
      </c>
      <c r="AE110" s="41" t="s">
        <v>22</v>
      </c>
      <c r="AF110" s="41" t="s">
        <v>22</v>
      </c>
      <c r="AG110" s="41" t="s">
        <v>22</v>
      </c>
      <c r="AH110" s="41" t="s">
        <v>22</v>
      </c>
      <c r="AI110" s="41" t="s">
        <v>22</v>
      </c>
      <c r="AJ110" s="41" t="s">
        <v>22</v>
      </c>
      <c r="AK110" s="41" t="s">
        <v>22</v>
      </c>
      <c r="AL110" s="41" t="s">
        <v>22</v>
      </c>
      <c r="AM110" s="43" t="e">
        <f t="shared" si="35"/>
        <v>#VALUE!</v>
      </c>
      <c r="AN110" s="43" t="e">
        <f t="shared" si="36"/>
        <v>#VALUE!</v>
      </c>
      <c r="AO110" s="3" t="s">
        <v>479</v>
      </c>
      <c r="AT110" s="2">
        <f t="shared" si="37"/>
        <v>22</v>
      </c>
      <c r="AU110" s="45">
        <f t="shared" si="38"/>
        <v>0.62848910176841477</v>
      </c>
      <c r="AV110" s="45" t="e">
        <f t="shared" si="39"/>
        <v>#VALUE!</v>
      </c>
      <c r="AW110" s="45" t="e">
        <f t="shared" si="40"/>
        <v>#VALUE!</v>
      </c>
      <c r="AX110" s="45" t="e">
        <f t="shared" si="41"/>
        <v>#VALUE!</v>
      </c>
      <c r="AY110" s="45" t="e">
        <f t="shared" si="42"/>
        <v>#VALUE!</v>
      </c>
      <c r="AZ110" s="45" t="e">
        <f t="shared" si="43"/>
        <v>#VALUE!</v>
      </c>
      <c r="BA110" s="45" t="e">
        <f t="shared" si="44"/>
        <v>#VALUE!</v>
      </c>
      <c r="BB110" s="45" t="e">
        <f t="shared" si="45"/>
        <v>#VALUE!</v>
      </c>
      <c r="BC110" s="45" t="e">
        <f t="shared" si="46"/>
        <v>#VALUE!</v>
      </c>
      <c r="BD110" s="45">
        <f t="shared" si="47"/>
        <v>1.3962925841717029</v>
      </c>
      <c r="BE110" s="45" t="e">
        <f t="shared" si="48"/>
        <v>#VALUE!</v>
      </c>
      <c r="BF110" s="45" t="e">
        <f t="shared" si="49"/>
        <v>#VALUE!</v>
      </c>
      <c r="BG110" s="45" t="e">
        <f t="shared" si="50"/>
        <v>#VALUE!</v>
      </c>
      <c r="BH110" s="45">
        <f t="shared" si="51"/>
        <v>0.14684956355215731</v>
      </c>
      <c r="BI110" s="43" t="e">
        <f t="shared" si="52"/>
        <v>#VALUE!</v>
      </c>
      <c r="CA110" s="43" t="s">
        <v>22</v>
      </c>
      <c r="CC110" t="s">
        <v>22</v>
      </c>
      <c r="CE110" s="41" t="s">
        <v>22</v>
      </c>
      <c r="CF110" s="41" t="s">
        <v>22</v>
      </c>
      <c r="CG110" s="41">
        <f t="shared" si="61"/>
        <v>24905.346262764902</v>
      </c>
      <c r="CH110" s="41">
        <f t="shared" si="62"/>
        <v>4.3962925841717029</v>
      </c>
      <c r="CI110" s="41">
        <f t="shared" si="59"/>
        <v>24905.346262764902</v>
      </c>
      <c r="CJ110" s="41">
        <f t="shared" si="60"/>
        <v>4.3962925841717029</v>
      </c>
      <c r="CL110" s="9" t="s">
        <v>1268</v>
      </c>
      <c r="CM110" s="18" t="s">
        <v>1283</v>
      </c>
      <c r="CN110" s="54" t="s">
        <v>1284</v>
      </c>
      <c r="CO110" s="18" t="s">
        <v>1284</v>
      </c>
    </row>
    <row r="111" spans="1:93" x14ac:dyDescent="0.25">
      <c r="A111" s="18" t="s">
        <v>345</v>
      </c>
      <c r="B111" s="41">
        <v>3.0708215297450479</v>
      </c>
      <c r="C111" s="41" t="s">
        <v>22</v>
      </c>
      <c r="D111" s="41" t="s">
        <v>22</v>
      </c>
      <c r="E111" s="41" t="s">
        <v>22</v>
      </c>
      <c r="F111" t="s">
        <v>22</v>
      </c>
      <c r="G111" t="s">
        <v>22</v>
      </c>
      <c r="H111" t="s">
        <v>22</v>
      </c>
      <c r="I111" t="s">
        <v>22</v>
      </c>
      <c r="J111" s="41" t="s">
        <v>22</v>
      </c>
      <c r="K111" t="s">
        <v>22</v>
      </c>
      <c r="L111" s="41" t="s">
        <v>22</v>
      </c>
      <c r="M111" t="s">
        <v>45</v>
      </c>
      <c r="N111" s="41" t="s">
        <v>22</v>
      </c>
      <c r="O111" s="41" t="s">
        <v>22</v>
      </c>
      <c r="P111" s="41" t="s">
        <v>22</v>
      </c>
      <c r="R111" s="41" t="s">
        <v>22</v>
      </c>
      <c r="S111" s="41" t="s">
        <v>22</v>
      </c>
      <c r="T111" s="41" t="s">
        <v>22</v>
      </c>
      <c r="U111" s="41" t="s">
        <v>22</v>
      </c>
      <c r="V111">
        <v>20200518</v>
      </c>
      <c r="X111">
        <v>1987</v>
      </c>
      <c r="Y111" t="s">
        <v>375</v>
      </c>
      <c r="Z111" t="s">
        <v>22</v>
      </c>
      <c r="AA111" t="s">
        <v>771</v>
      </c>
      <c r="AB111" s="41" t="s">
        <v>22</v>
      </c>
      <c r="AC111" t="s">
        <v>22</v>
      </c>
      <c r="AD111" s="41">
        <v>31.006779370119201</v>
      </c>
      <c r="AE111" s="41" t="s">
        <v>22</v>
      </c>
      <c r="AF111" s="41" t="s">
        <v>22</v>
      </c>
      <c r="AG111" s="41" t="s">
        <v>22</v>
      </c>
      <c r="AH111" s="41" t="s">
        <v>22</v>
      </c>
      <c r="AI111" s="41" t="s">
        <v>22</v>
      </c>
      <c r="AJ111" s="41" t="s">
        <v>22</v>
      </c>
      <c r="AK111" s="41" t="s">
        <v>22</v>
      </c>
      <c r="AL111" s="41" t="s">
        <v>22</v>
      </c>
      <c r="AM111" s="43" t="e">
        <f t="shared" si="35"/>
        <v>#VALUE!</v>
      </c>
      <c r="AN111" s="43" t="e">
        <f t="shared" si="36"/>
        <v>#VALUE!</v>
      </c>
      <c r="AO111" s="3" t="s">
        <v>479</v>
      </c>
      <c r="AT111" s="2">
        <f t="shared" si="37"/>
        <v>22</v>
      </c>
      <c r="AU111" s="45">
        <f t="shared" si="38"/>
        <v>0.48725457681454631</v>
      </c>
      <c r="AV111" s="45" t="e">
        <f t="shared" si="39"/>
        <v>#VALUE!</v>
      </c>
      <c r="AW111" s="45" t="e">
        <f t="shared" si="40"/>
        <v>#VALUE!</v>
      </c>
      <c r="AX111" s="45" t="e">
        <f t="shared" si="41"/>
        <v>#VALUE!</v>
      </c>
      <c r="AY111" s="45" t="e">
        <f t="shared" si="42"/>
        <v>#VALUE!</v>
      </c>
      <c r="AZ111" s="45" t="e">
        <f t="shared" si="43"/>
        <v>#VALUE!</v>
      </c>
      <c r="BA111" s="45" t="e">
        <f t="shared" si="44"/>
        <v>#VALUE!</v>
      </c>
      <c r="BB111" s="45" t="e">
        <f t="shared" si="45"/>
        <v>#VALUE!</v>
      </c>
      <c r="BC111" s="45" t="e">
        <f t="shared" si="46"/>
        <v>#VALUE!</v>
      </c>
      <c r="BD111" s="45">
        <f t="shared" si="47"/>
        <v>1.4914566590324394</v>
      </c>
      <c r="BE111" s="45" t="e">
        <f t="shared" si="48"/>
        <v>#VALUE!</v>
      </c>
      <c r="BF111" s="45" t="e">
        <f t="shared" si="49"/>
        <v>#VALUE!</v>
      </c>
      <c r="BG111" s="45" t="e">
        <f t="shared" si="50"/>
        <v>#VALUE!</v>
      </c>
      <c r="BH111" s="45" t="e">
        <f t="shared" si="51"/>
        <v>#VALUE!</v>
      </c>
      <c r="BI111" s="43" t="e">
        <f t="shared" si="52"/>
        <v>#VALUE!</v>
      </c>
      <c r="CA111" s="43" t="s">
        <v>22</v>
      </c>
      <c r="CC111" t="s">
        <v>22</v>
      </c>
      <c r="CE111" s="41" t="s">
        <v>22</v>
      </c>
      <c r="CF111" s="41" t="s">
        <v>22</v>
      </c>
      <c r="CG111" s="41">
        <f t="shared" si="61"/>
        <v>31006.779370119202</v>
      </c>
      <c r="CH111" s="41">
        <f t="shared" si="62"/>
        <v>4.4914566590324396</v>
      </c>
      <c r="CI111" s="41">
        <f t="shared" si="59"/>
        <v>31006.779370119202</v>
      </c>
      <c r="CJ111" s="41">
        <f t="shared" si="60"/>
        <v>4.4914566590324396</v>
      </c>
      <c r="CL111" s="9" t="s">
        <v>1268</v>
      </c>
      <c r="CM111" s="18" t="s">
        <v>1283</v>
      </c>
      <c r="CN111" s="54" t="s">
        <v>1284</v>
      </c>
      <c r="CO111" s="18" t="s">
        <v>1284</v>
      </c>
    </row>
    <row r="112" spans="1:93" x14ac:dyDescent="0.25">
      <c r="A112" s="18" t="s">
        <v>345</v>
      </c>
      <c r="B112" s="41">
        <v>2.4580498866213194</v>
      </c>
      <c r="C112" s="41" t="s">
        <v>22</v>
      </c>
      <c r="D112" s="41" t="s">
        <v>22</v>
      </c>
      <c r="E112" s="41" t="s">
        <v>22</v>
      </c>
      <c r="F112" t="s">
        <v>22</v>
      </c>
      <c r="G112" t="s">
        <v>22</v>
      </c>
      <c r="H112" t="s">
        <v>22</v>
      </c>
      <c r="I112" t="s">
        <v>22</v>
      </c>
      <c r="J112" s="41" t="s">
        <v>22</v>
      </c>
      <c r="K112" t="s">
        <v>22</v>
      </c>
      <c r="L112" s="41" t="s">
        <v>22</v>
      </c>
      <c r="M112" t="s">
        <v>45</v>
      </c>
      <c r="N112" s="41" t="s">
        <v>22</v>
      </c>
      <c r="O112" s="41" t="s">
        <v>22</v>
      </c>
      <c r="P112" s="41" t="s">
        <v>22</v>
      </c>
      <c r="R112" s="41" t="s">
        <v>22</v>
      </c>
      <c r="S112" s="41" t="s">
        <v>22</v>
      </c>
      <c r="T112" s="41" t="s">
        <v>22</v>
      </c>
      <c r="U112" s="41" t="s">
        <v>22</v>
      </c>
      <c r="V112">
        <v>20200518</v>
      </c>
      <c r="X112">
        <v>1987</v>
      </c>
      <c r="Y112" t="s">
        <v>375</v>
      </c>
      <c r="Z112" t="s">
        <v>22</v>
      </c>
      <c r="AA112" t="s">
        <v>771</v>
      </c>
      <c r="AB112" s="41">
        <v>0.91166013310237937</v>
      </c>
      <c r="AC112" t="s">
        <v>22</v>
      </c>
      <c r="AD112" s="41">
        <v>39.758517120054897</v>
      </c>
      <c r="AE112" s="41" t="s">
        <v>22</v>
      </c>
      <c r="AF112" s="41" t="s">
        <v>22</v>
      </c>
      <c r="AG112" s="41" t="s">
        <v>22</v>
      </c>
      <c r="AH112" s="41" t="s">
        <v>22</v>
      </c>
      <c r="AI112" s="41" t="s">
        <v>22</v>
      </c>
      <c r="AJ112" s="41" t="s">
        <v>22</v>
      </c>
      <c r="AK112" s="41" t="s">
        <v>22</v>
      </c>
      <c r="AL112" s="41" t="s">
        <v>22</v>
      </c>
      <c r="AM112" s="43" t="e">
        <f t="shared" si="35"/>
        <v>#VALUE!</v>
      </c>
      <c r="AN112" s="43" t="e">
        <f t="shared" si="36"/>
        <v>#VALUE!</v>
      </c>
      <c r="AO112" s="3" t="s">
        <v>479</v>
      </c>
      <c r="AT112" s="2">
        <f t="shared" si="37"/>
        <v>22</v>
      </c>
      <c r="AU112" s="45">
        <f t="shared" si="38"/>
        <v>0.39059069273453034</v>
      </c>
      <c r="AV112" s="45" t="e">
        <f t="shared" si="39"/>
        <v>#VALUE!</v>
      </c>
      <c r="AW112" s="45" t="e">
        <f t="shared" si="40"/>
        <v>#VALUE!</v>
      </c>
      <c r="AX112" s="45" t="e">
        <f t="shared" si="41"/>
        <v>#VALUE!</v>
      </c>
      <c r="AY112" s="45" t="e">
        <f t="shared" si="42"/>
        <v>#VALUE!</v>
      </c>
      <c r="AZ112" s="45" t="e">
        <f t="shared" si="43"/>
        <v>#VALUE!</v>
      </c>
      <c r="BA112" s="45" t="e">
        <f t="shared" si="44"/>
        <v>#VALUE!</v>
      </c>
      <c r="BB112" s="45" t="e">
        <f t="shared" si="45"/>
        <v>#VALUE!</v>
      </c>
      <c r="BC112" s="45" t="e">
        <f t="shared" si="46"/>
        <v>#VALUE!</v>
      </c>
      <c r="BD112" s="45">
        <f t="shared" si="47"/>
        <v>1.5994301780746936</v>
      </c>
      <c r="BE112" s="45" t="e">
        <f t="shared" si="48"/>
        <v>#VALUE!</v>
      </c>
      <c r="BF112" s="45" t="e">
        <f t="shared" si="49"/>
        <v>#VALUE!</v>
      </c>
      <c r="BG112" s="45" t="e">
        <f t="shared" si="50"/>
        <v>#VALUE!</v>
      </c>
      <c r="BH112" s="45">
        <f t="shared" si="51"/>
        <v>-4.0167036482846995E-2</v>
      </c>
      <c r="BI112" s="43" t="e">
        <f t="shared" si="52"/>
        <v>#VALUE!</v>
      </c>
      <c r="CA112" s="43" t="s">
        <v>22</v>
      </c>
      <c r="CC112" t="s">
        <v>22</v>
      </c>
      <c r="CE112" s="41" t="s">
        <v>22</v>
      </c>
      <c r="CF112" s="41" t="s">
        <v>22</v>
      </c>
      <c r="CG112" s="41">
        <f t="shared" si="61"/>
        <v>39758.517120054894</v>
      </c>
      <c r="CH112" s="41">
        <f t="shared" si="62"/>
        <v>4.5994301780746936</v>
      </c>
      <c r="CI112" s="41">
        <f t="shared" si="59"/>
        <v>39758.517120054894</v>
      </c>
      <c r="CJ112" s="41">
        <f t="shared" si="60"/>
        <v>4.5994301780746936</v>
      </c>
      <c r="CL112" s="9" t="s">
        <v>1268</v>
      </c>
      <c r="CM112" s="18" t="s">
        <v>1283</v>
      </c>
      <c r="CN112" s="54" t="s">
        <v>1284</v>
      </c>
      <c r="CO112" s="18" t="s">
        <v>1284</v>
      </c>
    </row>
    <row r="113" spans="1:93" x14ac:dyDescent="0.25">
      <c r="A113" s="18" t="s">
        <v>375</v>
      </c>
      <c r="B113" s="41">
        <v>2.1296660117878226</v>
      </c>
      <c r="C113" s="41" t="s">
        <v>22</v>
      </c>
      <c r="D113" s="41" t="s">
        <v>22</v>
      </c>
      <c r="E113" s="41" t="s">
        <v>22</v>
      </c>
      <c r="F113" t="s">
        <v>22</v>
      </c>
      <c r="G113" t="s">
        <v>22</v>
      </c>
      <c r="H113" t="s">
        <v>22</v>
      </c>
      <c r="I113" t="s">
        <v>22</v>
      </c>
      <c r="J113" s="41" t="s">
        <v>22</v>
      </c>
      <c r="K113" t="s">
        <v>22</v>
      </c>
      <c r="L113" s="41" t="s">
        <v>22</v>
      </c>
      <c r="M113" t="s">
        <v>23</v>
      </c>
      <c r="N113" s="41" t="s">
        <v>22</v>
      </c>
      <c r="O113" s="41" t="s">
        <v>22</v>
      </c>
      <c r="P113" s="41" t="s">
        <v>22</v>
      </c>
      <c r="R113" s="41" t="s">
        <v>22</v>
      </c>
      <c r="S113" s="41" t="s">
        <v>22</v>
      </c>
      <c r="T113" s="41" t="s">
        <v>22</v>
      </c>
      <c r="U113" s="41" t="s">
        <v>22</v>
      </c>
      <c r="V113">
        <v>20200518</v>
      </c>
      <c r="X113">
        <v>1987</v>
      </c>
      <c r="Y113" t="s">
        <v>375</v>
      </c>
      <c r="Z113" t="s">
        <v>22</v>
      </c>
      <c r="AA113" t="s">
        <v>22</v>
      </c>
      <c r="AB113" s="41" t="s">
        <v>22</v>
      </c>
      <c r="AC113" t="s">
        <v>22</v>
      </c>
      <c r="AD113" s="41">
        <v>11.950399038874099</v>
      </c>
      <c r="AE113" s="41" t="s">
        <v>22</v>
      </c>
      <c r="AF113" s="41" t="s">
        <v>22</v>
      </c>
      <c r="AG113" s="41" t="s">
        <v>22</v>
      </c>
      <c r="AH113" s="41" t="s">
        <v>22</v>
      </c>
      <c r="AI113" s="41" t="s">
        <v>22</v>
      </c>
      <c r="AJ113" s="41" t="s">
        <v>22</v>
      </c>
      <c r="AK113" s="41" t="s">
        <v>22</v>
      </c>
      <c r="AL113" s="41" t="s">
        <v>22</v>
      </c>
      <c r="AM113" s="43" t="e">
        <f t="shared" si="35"/>
        <v>#VALUE!</v>
      </c>
      <c r="AN113" s="43" t="e">
        <f t="shared" si="36"/>
        <v>#VALUE!</v>
      </c>
      <c r="AO113" s="3" t="s">
        <v>479</v>
      </c>
      <c r="AT113" s="2">
        <f t="shared" si="37"/>
        <v>22</v>
      </c>
      <c r="AU113" s="45">
        <f t="shared" si="38"/>
        <v>0.32831149986561003</v>
      </c>
      <c r="AV113" s="45" t="e">
        <f t="shared" si="39"/>
        <v>#VALUE!</v>
      </c>
      <c r="AW113" s="45" t="e">
        <f t="shared" si="40"/>
        <v>#VALUE!</v>
      </c>
      <c r="AX113" s="45" t="e">
        <f t="shared" si="41"/>
        <v>#VALUE!</v>
      </c>
      <c r="AY113" s="45" t="e">
        <f t="shared" si="42"/>
        <v>#VALUE!</v>
      </c>
      <c r="AZ113" s="45" t="e">
        <f t="shared" si="43"/>
        <v>#VALUE!</v>
      </c>
      <c r="BA113" s="45" t="e">
        <f t="shared" si="44"/>
        <v>#VALUE!</v>
      </c>
      <c r="BB113" s="45" t="e">
        <f t="shared" si="45"/>
        <v>#VALUE!</v>
      </c>
      <c r="BC113" s="45" t="e">
        <f t="shared" si="46"/>
        <v>#VALUE!</v>
      </c>
      <c r="BD113" s="45">
        <f t="shared" si="47"/>
        <v>1.0773824071659719</v>
      </c>
      <c r="BE113" s="45" t="e">
        <f t="shared" si="48"/>
        <v>#VALUE!</v>
      </c>
      <c r="BF113" s="45" t="e">
        <f t="shared" si="49"/>
        <v>#VALUE!</v>
      </c>
      <c r="BG113" s="45" t="e">
        <f t="shared" si="50"/>
        <v>#VALUE!</v>
      </c>
      <c r="BH113" s="45" t="e">
        <f t="shared" si="51"/>
        <v>#VALUE!</v>
      </c>
      <c r="BI113" s="43" t="e">
        <f t="shared" si="52"/>
        <v>#VALUE!</v>
      </c>
      <c r="CA113" s="43" t="s">
        <v>22</v>
      </c>
      <c r="CC113" t="s">
        <v>22</v>
      </c>
      <c r="CE113" s="41" t="s">
        <v>22</v>
      </c>
      <c r="CF113" s="41" t="s">
        <v>22</v>
      </c>
      <c r="CG113" s="41">
        <f t="shared" si="61"/>
        <v>11950.3990388741</v>
      </c>
      <c r="CH113" s="41">
        <f t="shared" si="62"/>
        <v>4.0773824071659721</v>
      </c>
      <c r="CI113" s="41">
        <f t="shared" si="59"/>
        <v>11950.3990388741</v>
      </c>
      <c r="CJ113" s="41">
        <f t="shared" si="60"/>
        <v>4.0773824071659721</v>
      </c>
      <c r="CL113" s="9" t="s">
        <v>1268</v>
      </c>
      <c r="CM113" s="18" t="s">
        <v>1283</v>
      </c>
      <c r="CN113" s="54" t="s">
        <v>1284</v>
      </c>
      <c r="CO113" s="18" t="s">
        <v>1284</v>
      </c>
    </row>
    <row r="114" spans="1:93" x14ac:dyDescent="0.25">
      <c r="A114" t="s">
        <v>375</v>
      </c>
      <c r="B114" s="41">
        <v>1.596465390279824</v>
      </c>
      <c r="C114" s="41" t="s">
        <v>22</v>
      </c>
      <c r="D114" s="41" t="s">
        <v>22</v>
      </c>
      <c r="E114" s="41" t="s">
        <v>22</v>
      </c>
      <c r="F114" t="s">
        <v>22</v>
      </c>
      <c r="G114" t="s">
        <v>22</v>
      </c>
      <c r="H114" t="s">
        <v>22</v>
      </c>
      <c r="I114" t="s">
        <v>22</v>
      </c>
      <c r="J114" s="41" t="s">
        <v>22</v>
      </c>
      <c r="K114" t="s">
        <v>22</v>
      </c>
      <c r="L114" s="41" t="s">
        <v>22</v>
      </c>
      <c r="M114" t="s">
        <v>23</v>
      </c>
      <c r="N114" s="41" t="s">
        <v>22</v>
      </c>
      <c r="O114" s="41" t="s">
        <v>22</v>
      </c>
      <c r="P114" s="41" t="s">
        <v>22</v>
      </c>
      <c r="R114" s="41" t="s">
        <v>22</v>
      </c>
      <c r="S114" s="41" t="s">
        <v>22</v>
      </c>
      <c r="T114" s="41" t="s">
        <v>22</v>
      </c>
      <c r="U114" s="41" t="s">
        <v>22</v>
      </c>
      <c r="V114">
        <v>20200518</v>
      </c>
      <c r="X114">
        <v>1987</v>
      </c>
      <c r="Y114" t="s">
        <v>375</v>
      </c>
      <c r="Z114" t="s">
        <v>22</v>
      </c>
      <c r="AA114" t="s">
        <v>22</v>
      </c>
      <c r="AB114" s="41" t="s">
        <v>22</v>
      </c>
      <c r="AC114" t="s">
        <v>22</v>
      </c>
      <c r="AD114" s="41">
        <v>16.011499184759199</v>
      </c>
      <c r="AE114" s="41" t="s">
        <v>22</v>
      </c>
      <c r="AF114" s="41" t="s">
        <v>22</v>
      </c>
      <c r="AG114" s="41" t="s">
        <v>22</v>
      </c>
      <c r="AH114" s="41" t="s">
        <v>22</v>
      </c>
      <c r="AI114" s="41" t="s">
        <v>22</v>
      </c>
      <c r="AJ114" s="41" t="s">
        <v>22</v>
      </c>
      <c r="AK114" s="41" t="s">
        <v>22</v>
      </c>
      <c r="AL114" s="41" t="s">
        <v>22</v>
      </c>
      <c r="AM114" s="43" t="e">
        <f t="shared" si="35"/>
        <v>#VALUE!</v>
      </c>
      <c r="AN114" s="43" t="e">
        <f t="shared" si="36"/>
        <v>#VALUE!</v>
      </c>
      <c r="AO114" s="3" t="s">
        <v>479</v>
      </c>
      <c r="AT114" s="2">
        <f t="shared" si="37"/>
        <v>22</v>
      </c>
      <c r="AU114" s="45">
        <f t="shared" si="38"/>
        <v>0.20315950792186666</v>
      </c>
      <c r="AV114" s="45" t="e">
        <f t="shared" si="39"/>
        <v>#VALUE!</v>
      </c>
      <c r="AW114" s="45" t="e">
        <f t="shared" si="40"/>
        <v>#VALUE!</v>
      </c>
      <c r="AX114" s="45" t="e">
        <f t="shared" si="41"/>
        <v>#VALUE!</v>
      </c>
      <c r="AY114" s="45" t="e">
        <f t="shared" si="42"/>
        <v>#VALUE!</v>
      </c>
      <c r="AZ114" s="45" t="e">
        <f t="shared" si="43"/>
        <v>#VALUE!</v>
      </c>
      <c r="BA114" s="45" t="e">
        <f t="shared" si="44"/>
        <v>#VALUE!</v>
      </c>
      <c r="BB114" s="45" t="e">
        <f t="shared" si="45"/>
        <v>#VALUE!</v>
      </c>
      <c r="BC114" s="45" t="e">
        <f t="shared" si="46"/>
        <v>#VALUE!</v>
      </c>
      <c r="BD114" s="45">
        <f t="shared" si="47"/>
        <v>1.2044319975773936</v>
      </c>
      <c r="BE114" s="45" t="e">
        <f t="shared" si="48"/>
        <v>#VALUE!</v>
      </c>
      <c r="BF114" s="45" t="e">
        <f t="shared" si="49"/>
        <v>#VALUE!</v>
      </c>
      <c r="BG114" s="45" t="e">
        <f t="shared" si="50"/>
        <v>#VALUE!</v>
      </c>
      <c r="BH114" s="45" t="e">
        <f t="shared" si="51"/>
        <v>#VALUE!</v>
      </c>
      <c r="BI114" s="43" t="e">
        <f t="shared" si="52"/>
        <v>#VALUE!</v>
      </c>
      <c r="CA114" s="43" t="s">
        <v>22</v>
      </c>
      <c r="CC114" t="s">
        <v>22</v>
      </c>
      <c r="CE114" s="41" t="s">
        <v>22</v>
      </c>
      <c r="CF114" s="41" t="s">
        <v>22</v>
      </c>
      <c r="CG114" s="41">
        <f t="shared" si="61"/>
        <v>16011.499184759199</v>
      </c>
      <c r="CH114" s="41">
        <f t="shared" si="62"/>
        <v>4.2044319975773936</v>
      </c>
      <c r="CI114" s="41">
        <f t="shared" si="59"/>
        <v>16011.499184759199</v>
      </c>
      <c r="CJ114" s="41">
        <f t="shared" si="60"/>
        <v>4.2044319975773936</v>
      </c>
      <c r="CL114" s="9" t="s">
        <v>1268</v>
      </c>
      <c r="CM114" s="18" t="s">
        <v>1283</v>
      </c>
      <c r="CN114" s="54" t="s">
        <v>1284</v>
      </c>
      <c r="CO114" s="18" t="s">
        <v>1284</v>
      </c>
    </row>
    <row r="115" spans="1:93" x14ac:dyDescent="0.25">
      <c r="A115" t="s">
        <v>375</v>
      </c>
      <c r="B115" s="41">
        <v>1.3987096774193555</v>
      </c>
      <c r="C115" s="41" t="s">
        <v>22</v>
      </c>
      <c r="D115" s="41" t="s">
        <v>22</v>
      </c>
      <c r="E115" s="41" t="s">
        <v>22</v>
      </c>
      <c r="F115" t="s">
        <v>22</v>
      </c>
      <c r="G115" t="s">
        <v>22</v>
      </c>
      <c r="H115" t="s">
        <v>22</v>
      </c>
      <c r="I115" t="s">
        <v>22</v>
      </c>
      <c r="J115" s="41" t="s">
        <v>22</v>
      </c>
      <c r="K115" t="s">
        <v>22</v>
      </c>
      <c r="L115" s="41" t="s">
        <v>22</v>
      </c>
      <c r="M115" t="s">
        <v>23</v>
      </c>
      <c r="N115" s="41" t="s">
        <v>22</v>
      </c>
      <c r="O115" s="41" t="s">
        <v>22</v>
      </c>
      <c r="P115" s="41" t="s">
        <v>22</v>
      </c>
      <c r="R115" s="41" t="s">
        <v>22</v>
      </c>
      <c r="S115" s="41" t="s">
        <v>22</v>
      </c>
      <c r="T115" s="41" t="s">
        <v>22</v>
      </c>
      <c r="U115" s="41" t="s">
        <v>22</v>
      </c>
      <c r="V115">
        <v>20200518</v>
      </c>
      <c r="X115">
        <v>1987</v>
      </c>
      <c r="Y115" t="s">
        <v>375</v>
      </c>
      <c r="Z115" t="s">
        <v>22</v>
      </c>
      <c r="AA115" t="s">
        <v>22</v>
      </c>
      <c r="AB115" s="41" t="s">
        <v>22</v>
      </c>
      <c r="AC115" t="s">
        <v>22</v>
      </c>
      <c r="AD115" s="41">
        <v>24.066249034583301</v>
      </c>
      <c r="AE115" s="41" t="s">
        <v>22</v>
      </c>
      <c r="AF115" s="41" t="s">
        <v>22</v>
      </c>
      <c r="AG115" s="41" t="s">
        <v>22</v>
      </c>
      <c r="AH115" s="41" t="s">
        <v>22</v>
      </c>
      <c r="AI115" s="41" t="s">
        <v>22</v>
      </c>
      <c r="AJ115" s="41" t="s">
        <v>22</v>
      </c>
      <c r="AK115" s="41" t="s">
        <v>22</v>
      </c>
      <c r="AL115" s="41" t="s">
        <v>22</v>
      </c>
      <c r="AM115" s="43" t="e">
        <f t="shared" si="35"/>
        <v>#VALUE!</v>
      </c>
      <c r="AN115" s="43" t="e">
        <f t="shared" si="36"/>
        <v>#VALUE!</v>
      </c>
      <c r="AO115" s="3" t="s">
        <v>479</v>
      </c>
      <c r="AT115" s="2">
        <f t="shared" si="37"/>
        <v>22</v>
      </c>
      <c r="AU115" s="45">
        <f t="shared" si="38"/>
        <v>0.14572757969605804</v>
      </c>
      <c r="AV115" s="45" t="e">
        <f t="shared" si="39"/>
        <v>#VALUE!</v>
      </c>
      <c r="AW115" s="45" t="e">
        <f t="shared" si="40"/>
        <v>#VALUE!</v>
      </c>
      <c r="AX115" s="45" t="e">
        <f t="shared" si="41"/>
        <v>#VALUE!</v>
      </c>
      <c r="AY115" s="45" t="e">
        <f t="shared" si="42"/>
        <v>#VALUE!</v>
      </c>
      <c r="AZ115" s="45" t="e">
        <f t="shared" si="43"/>
        <v>#VALUE!</v>
      </c>
      <c r="BA115" s="45" t="e">
        <f t="shared" si="44"/>
        <v>#VALUE!</v>
      </c>
      <c r="BB115" s="45" t="e">
        <f t="shared" si="45"/>
        <v>#VALUE!</v>
      </c>
      <c r="BC115" s="45" t="e">
        <f t="shared" si="46"/>
        <v>#VALUE!</v>
      </c>
      <c r="BD115" s="45">
        <f t="shared" si="47"/>
        <v>1.3814084064143948</v>
      </c>
      <c r="BE115" s="45" t="e">
        <f t="shared" si="48"/>
        <v>#VALUE!</v>
      </c>
      <c r="BF115" s="45" t="e">
        <f t="shared" si="49"/>
        <v>#VALUE!</v>
      </c>
      <c r="BG115" s="45" t="e">
        <f t="shared" si="50"/>
        <v>#VALUE!</v>
      </c>
      <c r="BH115" s="45" t="e">
        <f t="shared" si="51"/>
        <v>#VALUE!</v>
      </c>
      <c r="BI115" s="43" t="e">
        <f t="shared" si="52"/>
        <v>#VALUE!</v>
      </c>
      <c r="CA115" s="43" t="s">
        <v>22</v>
      </c>
      <c r="CC115" t="s">
        <v>22</v>
      </c>
      <c r="CE115" s="41" t="s">
        <v>22</v>
      </c>
      <c r="CF115" s="41" t="s">
        <v>22</v>
      </c>
      <c r="CG115" s="41">
        <f t="shared" si="61"/>
        <v>24066.249034583299</v>
      </c>
      <c r="CH115" s="41">
        <f t="shared" si="62"/>
        <v>4.381408406414395</v>
      </c>
      <c r="CI115" s="41">
        <f t="shared" si="59"/>
        <v>24066.249034583299</v>
      </c>
      <c r="CJ115" s="41">
        <f t="shared" si="60"/>
        <v>4.381408406414395</v>
      </c>
      <c r="CL115" s="9" t="s">
        <v>1268</v>
      </c>
      <c r="CM115" s="18" t="s">
        <v>1283</v>
      </c>
      <c r="CN115" s="54" t="s">
        <v>1284</v>
      </c>
      <c r="CO115" s="18" t="s">
        <v>1284</v>
      </c>
    </row>
    <row r="116" spans="1:93" x14ac:dyDescent="0.25">
      <c r="A116" t="s">
        <v>375</v>
      </c>
      <c r="B116" s="41">
        <v>0.91322662173546909</v>
      </c>
      <c r="C116" s="41" t="s">
        <v>22</v>
      </c>
      <c r="D116" s="41" t="s">
        <v>22</v>
      </c>
      <c r="E116" s="41" t="s">
        <v>22</v>
      </c>
      <c r="F116" t="s">
        <v>22</v>
      </c>
      <c r="G116" t="s">
        <v>22</v>
      </c>
      <c r="H116" t="s">
        <v>22</v>
      </c>
      <c r="I116" t="s">
        <v>22</v>
      </c>
      <c r="J116" s="41" t="s">
        <v>22</v>
      </c>
      <c r="K116" t="s">
        <v>22</v>
      </c>
      <c r="L116" s="41" t="s">
        <v>22</v>
      </c>
      <c r="M116" t="s">
        <v>23</v>
      </c>
      <c r="N116" s="41" t="s">
        <v>22</v>
      </c>
      <c r="O116" s="41" t="s">
        <v>22</v>
      </c>
      <c r="P116" s="41" t="s">
        <v>22</v>
      </c>
      <c r="R116" s="41" t="s">
        <v>22</v>
      </c>
      <c r="S116" s="41" t="s">
        <v>22</v>
      </c>
      <c r="T116" s="41" t="s">
        <v>22</v>
      </c>
      <c r="U116" s="41" t="s">
        <v>22</v>
      </c>
      <c r="V116">
        <v>20200518</v>
      </c>
      <c r="X116">
        <v>1987</v>
      </c>
      <c r="Y116" t="s">
        <v>375</v>
      </c>
      <c r="Z116" t="s">
        <v>22</v>
      </c>
      <c r="AA116" t="s">
        <v>22</v>
      </c>
      <c r="AB116" s="41" t="s">
        <v>22</v>
      </c>
      <c r="AC116" t="s">
        <v>22</v>
      </c>
      <c r="AD116" s="41">
        <v>40.008581481163603</v>
      </c>
      <c r="AE116" s="41" t="s">
        <v>22</v>
      </c>
      <c r="AF116" s="41" t="s">
        <v>22</v>
      </c>
      <c r="AG116" s="41" t="s">
        <v>22</v>
      </c>
      <c r="AH116" s="41" t="s">
        <v>22</v>
      </c>
      <c r="AI116" s="41" t="s">
        <v>22</v>
      </c>
      <c r="AJ116" s="41" t="s">
        <v>22</v>
      </c>
      <c r="AK116" s="41" t="s">
        <v>22</v>
      </c>
      <c r="AL116" s="41" t="s">
        <v>22</v>
      </c>
      <c r="AM116" s="43" t="e">
        <f t="shared" si="35"/>
        <v>#VALUE!</v>
      </c>
      <c r="AN116" s="43" t="e">
        <f t="shared" si="36"/>
        <v>#VALUE!</v>
      </c>
      <c r="AO116" s="3" t="s">
        <v>479</v>
      </c>
      <c r="AT116" s="2">
        <f t="shared" si="37"/>
        <v>22</v>
      </c>
      <c r="AU116" s="45">
        <f t="shared" si="38"/>
        <v>-3.9421436752222372E-2</v>
      </c>
      <c r="AV116" s="45" t="e">
        <f t="shared" si="39"/>
        <v>#VALUE!</v>
      </c>
      <c r="AW116" s="45" t="e">
        <f t="shared" si="40"/>
        <v>#VALUE!</v>
      </c>
      <c r="AX116" s="45" t="e">
        <f t="shared" si="41"/>
        <v>#VALUE!</v>
      </c>
      <c r="AY116" s="45" t="e">
        <f t="shared" si="42"/>
        <v>#VALUE!</v>
      </c>
      <c r="AZ116" s="45" t="e">
        <f t="shared" si="43"/>
        <v>#VALUE!</v>
      </c>
      <c r="BA116" s="45" t="e">
        <f t="shared" si="44"/>
        <v>#VALUE!</v>
      </c>
      <c r="BB116" s="45" t="e">
        <f t="shared" si="45"/>
        <v>#VALUE!</v>
      </c>
      <c r="BC116" s="45" t="e">
        <f t="shared" si="46"/>
        <v>#VALUE!</v>
      </c>
      <c r="BD116" s="45">
        <f t="shared" si="47"/>
        <v>1.6021531535828408</v>
      </c>
      <c r="BE116" s="45" t="e">
        <f t="shared" si="48"/>
        <v>#VALUE!</v>
      </c>
      <c r="BF116" s="45" t="e">
        <f t="shared" si="49"/>
        <v>#VALUE!</v>
      </c>
      <c r="BG116" s="45" t="e">
        <f t="shared" si="50"/>
        <v>#VALUE!</v>
      </c>
      <c r="BH116" s="45" t="e">
        <f t="shared" si="51"/>
        <v>#VALUE!</v>
      </c>
      <c r="BI116" s="43" t="e">
        <f t="shared" si="52"/>
        <v>#VALUE!</v>
      </c>
      <c r="CA116" s="43" t="s">
        <v>22</v>
      </c>
      <c r="CC116" t="s">
        <v>22</v>
      </c>
      <c r="CE116" s="41" t="s">
        <v>22</v>
      </c>
      <c r="CF116" s="41" t="s">
        <v>22</v>
      </c>
      <c r="CG116" s="41">
        <f t="shared" si="61"/>
        <v>40008.581481163601</v>
      </c>
      <c r="CH116" s="41">
        <f t="shared" si="62"/>
        <v>4.602153153582841</v>
      </c>
      <c r="CI116" s="41">
        <f t="shared" si="59"/>
        <v>40008.581481163601</v>
      </c>
      <c r="CJ116" s="41">
        <f t="shared" si="60"/>
        <v>4.602153153582841</v>
      </c>
      <c r="CL116" s="9" t="s">
        <v>1268</v>
      </c>
      <c r="CM116" s="18" t="s">
        <v>1283</v>
      </c>
      <c r="CN116" s="54" t="s">
        <v>1284</v>
      </c>
      <c r="CO116" s="18" t="s">
        <v>1284</v>
      </c>
    </row>
    <row r="117" spans="1:93" x14ac:dyDescent="0.25">
      <c r="A117" t="s">
        <v>343</v>
      </c>
      <c r="B117" s="41">
        <v>1.6540070117549999</v>
      </c>
      <c r="C117" s="41">
        <v>0.5</v>
      </c>
      <c r="D117" s="41">
        <f>0.001*(B117*10^6)/(C117*0.001*100^3)</f>
        <v>3.3080140235099997</v>
      </c>
      <c r="E117" s="41">
        <v>56</v>
      </c>
      <c r="F117" t="s">
        <v>22</v>
      </c>
      <c r="G117" t="s">
        <v>22</v>
      </c>
      <c r="H117" t="s">
        <v>22</v>
      </c>
      <c r="I117" t="s">
        <v>22</v>
      </c>
      <c r="J117" s="41" t="s">
        <v>22</v>
      </c>
      <c r="K117" t="s">
        <v>22</v>
      </c>
      <c r="M117" t="s">
        <v>45</v>
      </c>
      <c r="N117" s="41" t="s">
        <v>22</v>
      </c>
      <c r="O117" s="41" t="s">
        <v>22</v>
      </c>
      <c r="P117" s="41" t="s">
        <v>22</v>
      </c>
      <c r="R117" s="41" t="s">
        <v>22</v>
      </c>
      <c r="S117" s="41" t="s">
        <v>22</v>
      </c>
      <c r="T117" s="41" t="s">
        <v>22</v>
      </c>
      <c r="U117" s="41" t="s">
        <v>22</v>
      </c>
      <c r="V117">
        <v>20200531</v>
      </c>
      <c r="W117" s="16" t="s">
        <v>962</v>
      </c>
      <c r="X117">
        <v>1987</v>
      </c>
      <c r="Y117" t="s">
        <v>343</v>
      </c>
      <c r="Z117" t="s">
        <v>32</v>
      </c>
      <c r="AA117" t="s">
        <v>894</v>
      </c>
      <c r="AC117" t="s">
        <v>22</v>
      </c>
      <c r="AD117" s="41" t="s">
        <v>22</v>
      </c>
      <c r="AE117" s="41" t="s">
        <v>22</v>
      </c>
      <c r="AF117" s="41" t="s">
        <v>22</v>
      </c>
      <c r="AG117" s="41" t="s">
        <v>22</v>
      </c>
      <c r="AH117" s="41">
        <v>0.45275443510737612</v>
      </c>
      <c r="AI117" s="41" t="s">
        <v>22</v>
      </c>
      <c r="AJ117" s="41" t="s">
        <v>22</v>
      </c>
      <c r="AK117" s="41">
        <v>0.16551295704650359</v>
      </c>
      <c r="AL117" s="41">
        <v>6.0459235837152861E-2</v>
      </c>
      <c r="AM117" s="43" t="e">
        <f t="shared" si="35"/>
        <v>#VALUE!</v>
      </c>
      <c r="AN117" s="43" t="e">
        <f t="shared" si="36"/>
        <v>#VALUE!</v>
      </c>
      <c r="AO117" s="3" t="s">
        <v>374</v>
      </c>
      <c r="AT117" s="2">
        <f t="shared" si="37"/>
        <v>2</v>
      </c>
      <c r="AU117" s="45">
        <f t="shared" si="38"/>
        <v>0.21853734630482913</v>
      </c>
      <c r="AV117" s="45">
        <f t="shared" si="39"/>
        <v>-0.3010299956639812</v>
      </c>
      <c r="AW117" s="45">
        <f t="shared" si="40"/>
        <v>0.51956734196881027</v>
      </c>
      <c r="AX117" s="45" t="e">
        <f t="shared" si="41"/>
        <v>#VALUE!</v>
      </c>
      <c r="AY117" s="45" t="e">
        <f t="shared" si="42"/>
        <v>#VALUE!</v>
      </c>
      <c r="AZ117" s="45" t="e">
        <f t="shared" si="43"/>
        <v>#VALUE!</v>
      </c>
      <c r="BA117" s="45" t="e">
        <f t="shared" si="44"/>
        <v>#VALUE!</v>
      </c>
      <c r="BB117" s="45" t="e">
        <f t="shared" si="45"/>
        <v>#NUM!</v>
      </c>
      <c r="BC117" s="45" t="e">
        <f t="shared" si="46"/>
        <v>#VALUE!</v>
      </c>
      <c r="BD117" s="45" t="e">
        <f t="shared" si="47"/>
        <v>#VALUE!</v>
      </c>
      <c r="BE117" s="45" t="e">
        <f t="shared" si="48"/>
        <v>#VALUE!</v>
      </c>
      <c r="BF117" s="45" t="e">
        <f t="shared" si="49"/>
        <v>#VALUE!</v>
      </c>
      <c r="BG117" s="45" t="e">
        <f t="shared" si="50"/>
        <v>#VALUE!</v>
      </c>
      <c r="BH117" s="45" t="e">
        <f t="shared" si="51"/>
        <v>#NUM!</v>
      </c>
      <c r="BI117" s="43" t="e">
        <f t="shared" si="52"/>
        <v>#VALUE!</v>
      </c>
      <c r="CA117" s="43" t="s">
        <v>22</v>
      </c>
      <c r="CC117" t="s">
        <v>22</v>
      </c>
      <c r="CE117" s="41" t="s">
        <v>22</v>
      </c>
      <c r="CF117" s="41" t="s">
        <v>22</v>
      </c>
      <c r="CG117" s="41" t="e">
        <f t="shared" si="61"/>
        <v>#VALUE!</v>
      </c>
      <c r="CH117" s="41" t="e">
        <f t="shared" si="62"/>
        <v>#VALUE!</v>
      </c>
      <c r="CI117" s="41" t="str">
        <f t="shared" si="59"/>
        <v>Not Reported/ Can not calculate</v>
      </c>
      <c r="CJ117" s="41" t="e">
        <f t="shared" si="60"/>
        <v>#VALUE!</v>
      </c>
      <c r="CL117" s="9" t="s">
        <v>343</v>
      </c>
      <c r="CM117" s="18" t="s">
        <v>1284</v>
      </c>
      <c r="CN117" s="54" t="s">
        <v>1284</v>
      </c>
      <c r="CO117" s="18" t="s">
        <v>1284</v>
      </c>
    </row>
    <row r="118" spans="1:93" x14ac:dyDescent="0.25">
      <c r="A118" t="s">
        <v>343</v>
      </c>
      <c r="B118" s="41">
        <v>15</v>
      </c>
      <c r="C118" s="41">
        <v>0.5</v>
      </c>
      <c r="D118" s="41">
        <f>0.001*(B118*10^6)/(C118*0.001*100^3)</f>
        <v>30</v>
      </c>
      <c r="E118" s="41">
        <v>1000</v>
      </c>
      <c r="F118" t="s">
        <v>22</v>
      </c>
      <c r="G118" t="s">
        <v>22</v>
      </c>
      <c r="H118" t="s">
        <v>22</v>
      </c>
      <c r="I118" t="s">
        <v>22</v>
      </c>
      <c r="J118" s="41" t="s">
        <v>22</v>
      </c>
      <c r="K118" t="s">
        <v>22</v>
      </c>
      <c r="L118" s="41" t="e">
        <f>IF((10^-12)*J118*K118^4=0,"",(10^-12)*J118*K118^4)</f>
        <v>#VALUE!</v>
      </c>
      <c r="M118" t="s">
        <v>45</v>
      </c>
      <c r="N118" s="41" t="s">
        <v>22</v>
      </c>
      <c r="O118" s="41" t="s">
        <v>22</v>
      </c>
      <c r="P118" s="41" t="s">
        <v>22</v>
      </c>
      <c r="R118" s="41" t="s">
        <v>22</v>
      </c>
      <c r="S118" s="41" t="s">
        <v>22</v>
      </c>
      <c r="T118" s="41" t="s">
        <v>22</v>
      </c>
      <c r="U118" s="41" t="s">
        <v>22</v>
      </c>
      <c r="V118">
        <v>20191229</v>
      </c>
      <c r="W118" s="16" t="s">
        <v>962</v>
      </c>
      <c r="X118">
        <v>1987</v>
      </c>
      <c r="Y118" t="s">
        <v>343</v>
      </c>
      <c r="Z118" t="s">
        <v>32</v>
      </c>
      <c r="AA118" t="s">
        <v>894</v>
      </c>
      <c r="AC118" t="s">
        <v>22</v>
      </c>
      <c r="AE118" s="41" t="s">
        <v>22</v>
      </c>
      <c r="AF118" s="41" t="s">
        <v>22</v>
      </c>
      <c r="AG118" s="41" t="s">
        <v>22</v>
      </c>
      <c r="AH118" s="41" t="s">
        <v>22</v>
      </c>
      <c r="AI118" s="41" t="s">
        <v>22</v>
      </c>
      <c r="AJ118" s="41" t="s">
        <v>22</v>
      </c>
      <c r="AK118" s="41" t="s">
        <v>22</v>
      </c>
      <c r="AL118" s="41" t="s">
        <v>22</v>
      </c>
      <c r="AM118" s="43" t="e">
        <f t="shared" si="35"/>
        <v>#VALUE!</v>
      </c>
      <c r="AN118" s="43" t="e">
        <f t="shared" si="36"/>
        <v>#VALUE!</v>
      </c>
      <c r="AO118" s="3" t="s">
        <v>374</v>
      </c>
      <c r="AT118" s="2">
        <f t="shared" si="37"/>
        <v>2</v>
      </c>
      <c r="AU118" s="45">
        <f t="shared" si="38"/>
        <v>1.1760912590556813</v>
      </c>
      <c r="AV118" s="45">
        <f t="shared" si="39"/>
        <v>-0.3010299956639812</v>
      </c>
      <c r="AW118" s="45">
        <f t="shared" si="40"/>
        <v>1.4771212547196624</v>
      </c>
      <c r="AX118" s="45" t="e">
        <f t="shared" si="41"/>
        <v>#VALUE!</v>
      </c>
      <c r="AY118" s="45" t="e">
        <f t="shared" si="42"/>
        <v>#VALUE!</v>
      </c>
      <c r="AZ118" s="45" t="e">
        <f t="shared" si="43"/>
        <v>#VALUE!</v>
      </c>
      <c r="BA118" s="45" t="e">
        <f t="shared" si="44"/>
        <v>#VALUE!</v>
      </c>
      <c r="BB118" s="45" t="e">
        <f t="shared" si="45"/>
        <v>#VALUE!</v>
      </c>
      <c r="BC118" s="45" t="e">
        <f t="shared" si="46"/>
        <v>#VALUE!</v>
      </c>
      <c r="BD118" s="45" t="e">
        <f t="shared" si="47"/>
        <v>#NUM!</v>
      </c>
      <c r="BE118" s="45" t="e">
        <f t="shared" si="48"/>
        <v>#VALUE!</v>
      </c>
      <c r="BF118" s="45" t="e">
        <f t="shared" si="49"/>
        <v>#VALUE!</v>
      </c>
      <c r="BG118" s="45" t="e">
        <f t="shared" si="50"/>
        <v>#VALUE!</v>
      </c>
      <c r="BH118" s="45" t="e">
        <f t="shared" si="51"/>
        <v>#NUM!</v>
      </c>
      <c r="BI118" s="43" t="e">
        <f t="shared" si="52"/>
        <v>#VALUE!</v>
      </c>
      <c r="CA118" s="43" t="s">
        <v>22</v>
      </c>
      <c r="CC118" t="s">
        <v>22</v>
      </c>
      <c r="CE118" s="41" t="s">
        <v>22</v>
      </c>
      <c r="CF118" s="41" t="s">
        <v>22</v>
      </c>
      <c r="CG118" s="41" t="s">
        <v>22</v>
      </c>
      <c r="CH118" s="41" t="s">
        <v>22</v>
      </c>
      <c r="CI118" s="41" t="str">
        <f t="shared" si="59"/>
        <v>Not Reported/ Can not calculate</v>
      </c>
      <c r="CJ118" s="41" t="e">
        <f t="shared" si="60"/>
        <v>#VALUE!</v>
      </c>
      <c r="CL118" s="9" t="s">
        <v>343</v>
      </c>
      <c r="CM118" s="18" t="s">
        <v>1284</v>
      </c>
      <c r="CN118" s="54" t="s">
        <v>1284</v>
      </c>
      <c r="CO118" s="18" t="s">
        <v>1284</v>
      </c>
    </row>
    <row r="119" spans="1:93" x14ac:dyDescent="0.25">
      <c r="A119" t="s">
        <v>345</v>
      </c>
      <c r="B119" s="41">
        <v>90</v>
      </c>
      <c r="L119" s="41" t="str">
        <f>IF((10^-12)*J119*K119^4=0,"",(10^-12)*J119*K119^4)</f>
        <v/>
      </c>
      <c r="M119" t="s">
        <v>45</v>
      </c>
      <c r="V119">
        <v>20200101</v>
      </c>
      <c r="W119" s="16" t="s">
        <v>424</v>
      </c>
      <c r="X119">
        <v>1987</v>
      </c>
      <c r="Y119" t="s">
        <v>1132</v>
      </c>
      <c r="Z119" t="s">
        <v>1090</v>
      </c>
      <c r="AA119" t="s">
        <v>424</v>
      </c>
      <c r="AB119" s="41">
        <v>2.1</v>
      </c>
      <c r="AC119" t="s">
        <v>22</v>
      </c>
      <c r="AM119" s="43" t="e">
        <f t="shared" si="35"/>
        <v>#DIV/0!</v>
      </c>
      <c r="AN119" s="43" t="e">
        <f t="shared" si="36"/>
        <v>#DIV/0!</v>
      </c>
      <c r="AO119" s="3" t="s">
        <v>426</v>
      </c>
      <c r="AT119" s="2">
        <f t="shared" si="37"/>
        <v>1</v>
      </c>
      <c r="AU119" s="45">
        <f t="shared" si="38"/>
        <v>1.954242509439325</v>
      </c>
      <c r="AV119" s="45" t="e">
        <f t="shared" si="39"/>
        <v>#NUM!</v>
      </c>
      <c r="AW119" s="45" t="e">
        <f t="shared" si="40"/>
        <v>#NUM!</v>
      </c>
      <c r="AX119" s="45" t="e">
        <f t="shared" si="41"/>
        <v>#NUM!</v>
      </c>
      <c r="AY119" s="45" t="e">
        <f t="shared" si="42"/>
        <v>#NUM!</v>
      </c>
      <c r="AZ119" s="45" t="e">
        <f t="shared" si="43"/>
        <v>#NUM!</v>
      </c>
      <c r="BA119" s="45" t="e">
        <f t="shared" si="44"/>
        <v>#NUM!</v>
      </c>
      <c r="BB119" s="45" t="e">
        <f t="shared" si="45"/>
        <v>#VALUE!</v>
      </c>
      <c r="BC119" s="45" t="e">
        <f t="shared" si="46"/>
        <v>#NUM!</v>
      </c>
      <c r="BD119" s="45" t="e">
        <f t="shared" si="47"/>
        <v>#NUM!</v>
      </c>
      <c r="BE119" s="45" t="e">
        <f t="shared" si="48"/>
        <v>#NUM!</v>
      </c>
      <c r="BF119" s="45" t="e">
        <f t="shared" si="49"/>
        <v>#DIV/0!</v>
      </c>
      <c r="BG119" s="45" t="e">
        <f t="shared" si="50"/>
        <v>#DIV/0!</v>
      </c>
      <c r="BH119" s="45">
        <f t="shared" si="51"/>
        <v>0.3222192947339193</v>
      </c>
      <c r="BI119" s="43" t="e">
        <f t="shared" si="52"/>
        <v>#NUM!</v>
      </c>
      <c r="BL119" s="20"/>
      <c r="CA119" s="43" t="s">
        <v>22</v>
      </c>
      <c r="CC119" t="s">
        <v>22</v>
      </c>
      <c r="CE119" s="41" t="s">
        <v>22</v>
      </c>
      <c r="CF119" s="41" t="s">
        <v>22</v>
      </c>
      <c r="CG119" s="41" t="s">
        <v>22</v>
      </c>
      <c r="CH119" s="41" t="s">
        <v>22</v>
      </c>
      <c r="CI119" s="41" t="s">
        <v>22</v>
      </c>
      <c r="CJ119" s="41" t="e">
        <f t="shared" si="60"/>
        <v>#VALUE!</v>
      </c>
      <c r="CL119" s="9" t="s">
        <v>1268</v>
      </c>
      <c r="CM119" s="18" t="s">
        <v>1284</v>
      </c>
      <c r="CN119" s="54" t="s">
        <v>1284</v>
      </c>
      <c r="CO119" s="18" t="s">
        <v>1284</v>
      </c>
    </row>
    <row r="120" spans="1:93" x14ac:dyDescent="0.25">
      <c r="A120" s="18" t="s">
        <v>343</v>
      </c>
      <c r="B120" s="41">
        <v>2.85</v>
      </c>
      <c r="C120" s="41" t="s">
        <v>22</v>
      </c>
      <c r="D120" s="41" t="s">
        <v>22</v>
      </c>
      <c r="E120" s="41">
        <v>98</v>
      </c>
      <c r="F120" t="s">
        <v>22</v>
      </c>
      <c r="G120" t="s">
        <v>22</v>
      </c>
      <c r="H120" t="s">
        <v>22</v>
      </c>
      <c r="I120" t="s">
        <v>22</v>
      </c>
      <c r="J120" s="41" t="s">
        <v>22</v>
      </c>
      <c r="K120" t="s">
        <v>22</v>
      </c>
      <c r="M120" t="s">
        <v>45</v>
      </c>
      <c r="N120" s="41" t="s">
        <v>22</v>
      </c>
      <c r="O120" s="41" t="s">
        <v>22</v>
      </c>
      <c r="P120" s="41" t="s">
        <v>22</v>
      </c>
      <c r="R120" s="41" t="s">
        <v>22</v>
      </c>
      <c r="S120" s="41" t="s">
        <v>22</v>
      </c>
      <c r="T120" s="41" t="s">
        <v>22</v>
      </c>
      <c r="U120" s="41" t="s">
        <v>22</v>
      </c>
      <c r="V120">
        <v>20200518</v>
      </c>
      <c r="X120">
        <v>1988</v>
      </c>
      <c r="Y120" t="s">
        <v>343</v>
      </c>
      <c r="Z120" t="s">
        <v>22</v>
      </c>
      <c r="AA120" t="s">
        <v>786</v>
      </c>
      <c r="AB120" s="41" t="s">
        <v>22</v>
      </c>
      <c r="AC120" t="s">
        <v>22</v>
      </c>
      <c r="AE120" s="41" t="s">
        <v>22</v>
      </c>
      <c r="AF120" s="41" t="s">
        <v>22</v>
      </c>
      <c r="AG120" s="41">
        <v>214.8</v>
      </c>
      <c r="AH120" s="41">
        <v>1.2329651171190845</v>
      </c>
      <c r="AI120" s="41" t="s">
        <v>22</v>
      </c>
      <c r="AJ120" s="41">
        <v>1.2329651171190845</v>
      </c>
      <c r="AK120" s="41">
        <v>1.0693028779552614</v>
      </c>
      <c r="AL120" s="41">
        <v>1.0094527350106071</v>
      </c>
      <c r="AM120" s="43" t="e">
        <f t="shared" si="35"/>
        <v>#VALUE!</v>
      </c>
      <c r="AN120" s="43">
        <f t="shared" si="36"/>
        <v>0.81871962231118844</v>
      </c>
      <c r="AO120" s="3" t="s">
        <v>788</v>
      </c>
      <c r="AT120" s="2">
        <f t="shared" si="37"/>
        <v>3</v>
      </c>
      <c r="AU120" s="45">
        <f t="shared" si="38"/>
        <v>0.45484486000851021</v>
      </c>
      <c r="AV120" s="45" t="e">
        <f t="shared" si="39"/>
        <v>#VALUE!</v>
      </c>
      <c r="AW120" s="45" t="e">
        <f t="shared" si="40"/>
        <v>#VALUE!</v>
      </c>
      <c r="AX120" s="45" t="e">
        <f t="shared" si="41"/>
        <v>#VALUE!</v>
      </c>
      <c r="AY120" s="45" t="e">
        <f t="shared" si="42"/>
        <v>#VALUE!</v>
      </c>
      <c r="AZ120" s="45" t="e">
        <f t="shared" si="43"/>
        <v>#VALUE!</v>
      </c>
      <c r="BA120" s="45" t="e">
        <f t="shared" si="44"/>
        <v>#VALUE!</v>
      </c>
      <c r="BB120" s="45" t="e">
        <f t="shared" si="45"/>
        <v>#NUM!</v>
      </c>
      <c r="BC120" s="45" t="e">
        <f t="shared" si="46"/>
        <v>#VALUE!</v>
      </c>
      <c r="BD120" s="45" t="e">
        <f t="shared" si="47"/>
        <v>#NUM!</v>
      </c>
      <c r="BE120" s="45" t="e">
        <f t="shared" si="48"/>
        <v>#VALUE!</v>
      </c>
      <c r="BF120" s="45" t="e">
        <f t="shared" si="49"/>
        <v>#VALUE!</v>
      </c>
      <c r="BG120" s="45">
        <f t="shared" si="50"/>
        <v>-8.6864800719090737E-2</v>
      </c>
      <c r="BH120" s="45" t="e">
        <f t="shared" si="51"/>
        <v>#VALUE!</v>
      </c>
      <c r="BI120" s="43" t="e">
        <f t="shared" si="52"/>
        <v>#VALUE!</v>
      </c>
      <c r="CA120" s="43" t="s">
        <v>22</v>
      </c>
      <c r="CC120" t="s">
        <v>22</v>
      </c>
      <c r="CE120" s="41" t="s">
        <v>22</v>
      </c>
      <c r="CF120" s="41" t="s">
        <v>22</v>
      </c>
      <c r="CG120" s="41" t="s">
        <v>22</v>
      </c>
      <c r="CH120" s="41" t="s">
        <v>22</v>
      </c>
      <c r="CI120" s="41" t="str">
        <f>IF(ISNUMBER(CG120),CG120,U120)</f>
        <v>Not Reported/ Can not calculate</v>
      </c>
      <c r="CJ120" s="41" t="e">
        <f t="shared" si="60"/>
        <v>#VALUE!</v>
      </c>
      <c r="CL120" s="9" t="s">
        <v>343</v>
      </c>
      <c r="CM120" s="18" t="s">
        <v>1284</v>
      </c>
      <c r="CN120" s="54" t="s">
        <v>1284</v>
      </c>
      <c r="CO120" s="18" t="s">
        <v>1284</v>
      </c>
    </row>
    <row r="121" spans="1:93" x14ac:dyDescent="0.25">
      <c r="A121" s="18" t="s">
        <v>343</v>
      </c>
      <c r="B121" s="41">
        <v>0.55700000000000005</v>
      </c>
      <c r="C121" s="41" t="s">
        <v>22</v>
      </c>
      <c r="D121" s="41" t="s">
        <v>22</v>
      </c>
      <c r="E121" s="41">
        <v>33</v>
      </c>
      <c r="F121" t="s">
        <v>22</v>
      </c>
      <c r="G121" t="s">
        <v>22</v>
      </c>
      <c r="H121" t="s">
        <v>22</v>
      </c>
      <c r="I121" t="s">
        <v>22</v>
      </c>
      <c r="J121" s="41" t="s">
        <v>22</v>
      </c>
      <c r="K121" t="s">
        <v>22</v>
      </c>
      <c r="M121" t="s">
        <v>45</v>
      </c>
      <c r="N121" s="41" t="s">
        <v>22</v>
      </c>
      <c r="O121" s="41" t="s">
        <v>22</v>
      </c>
      <c r="P121" s="41" t="s">
        <v>22</v>
      </c>
      <c r="R121" s="41" t="s">
        <v>22</v>
      </c>
      <c r="S121" s="41" t="s">
        <v>22</v>
      </c>
      <c r="T121" s="41" t="s">
        <v>22</v>
      </c>
      <c r="U121" s="41" t="s">
        <v>22</v>
      </c>
      <c r="V121">
        <v>20200518</v>
      </c>
      <c r="X121">
        <v>1988</v>
      </c>
      <c r="Y121" t="s">
        <v>343</v>
      </c>
      <c r="Z121" t="s">
        <v>22</v>
      </c>
      <c r="AA121" t="s">
        <v>787</v>
      </c>
      <c r="AB121" s="41" t="s">
        <v>22</v>
      </c>
      <c r="AC121" t="s">
        <v>22</v>
      </c>
      <c r="AE121" s="41" t="s">
        <v>22</v>
      </c>
      <c r="AF121" s="41" t="s">
        <v>22</v>
      </c>
      <c r="AG121" s="41">
        <v>255</v>
      </c>
      <c r="AH121" s="41">
        <v>2.0184597756128078</v>
      </c>
      <c r="AI121" s="41" t="s">
        <v>22</v>
      </c>
      <c r="AJ121" s="41">
        <v>2.0184597756128078</v>
      </c>
      <c r="AK121" s="41">
        <v>1.4429927402263614</v>
      </c>
      <c r="AL121" s="41">
        <v>1.011047367298634</v>
      </c>
      <c r="AM121" s="43" t="e">
        <f t="shared" si="35"/>
        <v>#VALUE!</v>
      </c>
      <c r="AN121" s="43">
        <f t="shared" si="36"/>
        <v>0.50090042888849662</v>
      </c>
      <c r="AO121" s="19" t="s">
        <v>788</v>
      </c>
      <c r="AT121" s="2">
        <f t="shared" si="37"/>
        <v>3</v>
      </c>
      <c r="AU121" s="45">
        <f t="shared" si="38"/>
        <v>-0.25414480482627105</v>
      </c>
      <c r="AV121" s="45" t="e">
        <f t="shared" si="39"/>
        <v>#VALUE!</v>
      </c>
      <c r="AW121" s="45" t="e">
        <f t="shared" si="40"/>
        <v>#VALUE!</v>
      </c>
      <c r="AX121" s="45" t="e">
        <f t="shared" si="41"/>
        <v>#VALUE!</v>
      </c>
      <c r="AY121" s="45" t="e">
        <f t="shared" si="42"/>
        <v>#VALUE!</v>
      </c>
      <c r="AZ121" s="45" t="e">
        <f t="shared" si="43"/>
        <v>#VALUE!</v>
      </c>
      <c r="BA121" s="45" t="e">
        <f t="shared" si="44"/>
        <v>#VALUE!</v>
      </c>
      <c r="BB121" s="45" t="e">
        <f t="shared" si="45"/>
        <v>#NUM!</v>
      </c>
      <c r="BC121" s="45" t="e">
        <f t="shared" si="46"/>
        <v>#VALUE!</v>
      </c>
      <c r="BD121" s="45" t="e">
        <f t="shared" si="47"/>
        <v>#NUM!</v>
      </c>
      <c r="BE121" s="45" t="e">
        <f t="shared" si="48"/>
        <v>#VALUE!</v>
      </c>
      <c r="BF121" s="45" t="e">
        <f t="shared" si="49"/>
        <v>#VALUE!</v>
      </c>
      <c r="BG121" s="45">
        <f t="shared" si="50"/>
        <v>-0.30024859645217528</v>
      </c>
      <c r="BH121" s="45" t="e">
        <f t="shared" si="51"/>
        <v>#VALUE!</v>
      </c>
      <c r="BI121" s="43" t="e">
        <f t="shared" si="52"/>
        <v>#VALUE!</v>
      </c>
      <c r="CA121" s="43" t="s">
        <v>22</v>
      </c>
      <c r="CC121" t="s">
        <v>22</v>
      </c>
      <c r="CE121" s="41" t="s">
        <v>22</v>
      </c>
      <c r="CF121" s="41" t="s">
        <v>22</v>
      </c>
      <c r="CG121" s="41" t="s">
        <v>22</v>
      </c>
      <c r="CH121" s="41" t="s">
        <v>22</v>
      </c>
      <c r="CI121" s="41" t="str">
        <f>IF(ISNUMBER(CG121),CG121,U121)</f>
        <v>Not Reported/ Can not calculate</v>
      </c>
      <c r="CJ121" s="41" t="e">
        <f t="shared" si="60"/>
        <v>#VALUE!</v>
      </c>
      <c r="CL121" s="9" t="s">
        <v>343</v>
      </c>
      <c r="CM121" s="18" t="s">
        <v>1284</v>
      </c>
      <c r="CN121" s="54" t="s">
        <v>1284</v>
      </c>
      <c r="CO121" s="18" t="s">
        <v>1284</v>
      </c>
    </row>
    <row r="122" spans="1:93" x14ac:dyDescent="0.25">
      <c r="A122" s="18" t="s">
        <v>343</v>
      </c>
      <c r="B122" s="41">
        <v>1.84</v>
      </c>
      <c r="C122" s="41" t="s">
        <v>22</v>
      </c>
      <c r="D122" s="41" t="s">
        <v>22</v>
      </c>
      <c r="E122" s="41">
        <v>116</v>
      </c>
      <c r="F122" t="s">
        <v>22</v>
      </c>
      <c r="G122" t="s">
        <v>22</v>
      </c>
      <c r="H122" t="s">
        <v>22</v>
      </c>
      <c r="I122" t="s">
        <v>22</v>
      </c>
      <c r="J122" s="41" t="s">
        <v>22</v>
      </c>
      <c r="K122" t="s">
        <v>22</v>
      </c>
      <c r="M122" t="s">
        <v>45</v>
      </c>
      <c r="N122" s="41" t="s">
        <v>22</v>
      </c>
      <c r="O122" s="41" t="s">
        <v>22</v>
      </c>
      <c r="P122" s="41" t="s">
        <v>22</v>
      </c>
      <c r="R122" s="41" t="s">
        <v>22</v>
      </c>
      <c r="S122" s="41" t="s">
        <v>22</v>
      </c>
      <c r="T122" s="41" t="s">
        <v>22</v>
      </c>
      <c r="U122" s="41" t="s">
        <v>22</v>
      </c>
      <c r="V122">
        <v>20200518</v>
      </c>
      <c r="X122">
        <v>1988</v>
      </c>
      <c r="Y122" t="s">
        <v>343</v>
      </c>
      <c r="Z122" t="s">
        <v>22</v>
      </c>
      <c r="AA122" t="s">
        <v>894</v>
      </c>
      <c r="AB122" s="41" t="s">
        <v>22</v>
      </c>
      <c r="AC122" t="s">
        <v>22</v>
      </c>
      <c r="AE122" s="41" t="s">
        <v>22</v>
      </c>
      <c r="AF122" s="41" t="s">
        <v>22</v>
      </c>
      <c r="AG122" s="41" t="s">
        <v>22</v>
      </c>
      <c r="AH122" s="41">
        <v>4.0232480172657743</v>
      </c>
      <c r="AI122" s="41" t="s">
        <v>22</v>
      </c>
      <c r="AJ122" s="41">
        <v>4.0232480172657743</v>
      </c>
      <c r="AK122" s="41">
        <v>1.8905679605556294</v>
      </c>
      <c r="AL122" s="41">
        <v>1.0110473672986351</v>
      </c>
      <c r="AM122" s="43" t="e">
        <f t="shared" si="35"/>
        <v>#VALUE!</v>
      </c>
      <c r="AN122" s="43">
        <f t="shared" si="36"/>
        <v>0.25130127771385802</v>
      </c>
      <c r="AO122" s="19" t="s">
        <v>788</v>
      </c>
      <c r="AT122" s="2">
        <f t="shared" si="37"/>
        <v>3</v>
      </c>
      <c r="AU122" s="45">
        <f t="shared" si="38"/>
        <v>0.26481782300953649</v>
      </c>
      <c r="AV122" s="45" t="e">
        <f t="shared" si="39"/>
        <v>#VALUE!</v>
      </c>
      <c r="AW122" s="45" t="e">
        <f t="shared" si="40"/>
        <v>#VALUE!</v>
      </c>
      <c r="AX122" s="45" t="e">
        <f t="shared" si="41"/>
        <v>#VALUE!</v>
      </c>
      <c r="AY122" s="45" t="e">
        <f t="shared" si="42"/>
        <v>#VALUE!</v>
      </c>
      <c r="AZ122" s="45" t="e">
        <f t="shared" si="43"/>
        <v>#VALUE!</v>
      </c>
      <c r="BA122" s="45" t="e">
        <f t="shared" si="44"/>
        <v>#VALUE!</v>
      </c>
      <c r="BB122" s="45" t="e">
        <f t="shared" si="45"/>
        <v>#NUM!</v>
      </c>
      <c r="BC122" s="45" t="e">
        <f t="shared" si="46"/>
        <v>#VALUE!</v>
      </c>
      <c r="BD122" s="45" t="e">
        <f t="shared" si="47"/>
        <v>#NUM!</v>
      </c>
      <c r="BE122" s="45" t="e">
        <f t="shared" si="48"/>
        <v>#VALUE!</v>
      </c>
      <c r="BF122" s="45" t="e">
        <f t="shared" si="49"/>
        <v>#VALUE!</v>
      </c>
      <c r="BG122" s="45">
        <f t="shared" si="50"/>
        <v>-0.59980530327902248</v>
      </c>
      <c r="BH122" s="45" t="e">
        <f t="shared" si="51"/>
        <v>#VALUE!</v>
      </c>
      <c r="BI122" s="43" t="e">
        <f t="shared" si="52"/>
        <v>#VALUE!</v>
      </c>
      <c r="CA122" s="43" t="s">
        <v>22</v>
      </c>
      <c r="CC122" t="s">
        <v>22</v>
      </c>
      <c r="CE122" s="41" t="s">
        <v>22</v>
      </c>
      <c r="CF122" s="41" t="s">
        <v>22</v>
      </c>
      <c r="CG122" s="41" t="s">
        <v>22</v>
      </c>
      <c r="CH122" s="41" t="s">
        <v>22</v>
      </c>
      <c r="CI122" s="41" t="str">
        <f>IF(ISNUMBER(CG122),CG122,U122)</f>
        <v>Not Reported/ Can not calculate</v>
      </c>
      <c r="CJ122" s="41" t="e">
        <f t="shared" si="60"/>
        <v>#VALUE!</v>
      </c>
      <c r="CL122" s="9" t="s">
        <v>343</v>
      </c>
      <c r="CM122" s="18" t="s">
        <v>1284</v>
      </c>
      <c r="CN122" s="54" t="s">
        <v>1284</v>
      </c>
      <c r="CO122" s="18" t="s">
        <v>1284</v>
      </c>
    </row>
    <row r="123" spans="1:93" s="9" customFormat="1" x14ac:dyDescent="0.25">
      <c r="A123" s="9" t="s">
        <v>345</v>
      </c>
      <c r="B123" s="50">
        <f>((10.8*10^-8)^-1)*10^-6</f>
        <v>9.2592592592592577</v>
      </c>
      <c r="C123" s="50" t="s">
        <v>22</v>
      </c>
      <c r="D123" s="50" t="s">
        <v>22</v>
      </c>
      <c r="E123" s="50" t="s">
        <v>22</v>
      </c>
      <c r="F123" s="9" t="s">
        <v>22</v>
      </c>
      <c r="G123" s="9" t="s">
        <v>22</v>
      </c>
      <c r="H123" s="9" t="s">
        <v>22</v>
      </c>
      <c r="I123" s="9" t="s">
        <v>22</v>
      </c>
      <c r="J123" s="50" t="s">
        <v>22</v>
      </c>
      <c r="K123" s="9" t="s">
        <v>22</v>
      </c>
      <c r="L123" s="50"/>
      <c r="M123" s="9" t="s">
        <v>45</v>
      </c>
      <c r="N123" s="50" t="s">
        <v>22</v>
      </c>
      <c r="O123" s="50" t="s">
        <v>22</v>
      </c>
      <c r="P123" s="50" t="s">
        <v>22</v>
      </c>
      <c r="Q123" s="50"/>
      <c r="R123" s="50" t="s">
        <v>22</v>
      </c>
      <c r="S123" s="50" t="s">
        <v>22</v>
      </c>
      <c r="T123" s="50" t="s">
        <v>22</v>
      </c>
      <c r="U123" s="50" t="s">
        <v>22</v>
      </c>
      <c r="V123" s="9">
        <v>20210319</v>
      </c>
      <c r="W123" s="21" t="s">
        <v>1206</v>
      </c>
      <c r="X123" s="21">
        <v>1988</v>
      </c>
      <c r="Z123" s="9" t="s">
        <v>124</v>
      </c>
      <c r="AA123" s="9" t="s">
        <v>783</v>
      </c>
      <c r="AB123" s="50">
        <f>((60*10^-8)^-1)*10^-6</f>
        <v>1.6666666666666667</v>
      </c>
      <c r="AC123" s="9" t="s">
        <v>22</v>
      </c>
      <c r="AD123" s="50">
        <v>10</v>
      </c>
      <c r="AE123" s="50" t="s">
        <v>22</v>
      </c>
      <c r="AF123" s="50" t="s">
        <v>22</v>
      </c>
      <c r="AG123" s="50" t="s">
        <v>22</v>
      </c>
      <c r="AH123" s="50" t="s">
        <v>22</v>
      </c>
      <c r="AI123" s="50" t="s">
        <v>22</v>
      </c>
      <c r="AJ123" s="50" t="s">
        <v>22</v>
      </c>
      <c r="AK123" s="50" t="s">
        <v>22</v>
      </c>
      <c r="AL123" s="50" t="s">
        <v>22</v>
      </c>
      <c r="AM123" s="43" t="e">
        <f t="shared" si="35"/>
        <v>#VALUE!</v>
      </c>
      <c r="AN123" s="43" t="e">
        <f t="shared" si="36"/>
        <v>#VALUE!</v>
      </c>
      <c r="AO123" s="21" t="s">
        <v>1207</v>
      </c>
      <c r="AT123" s="2">
        <f t="shared" si="37"/>
        <v>1</v>
      </c>
      <c r="AU123" s="45">
        <f t="shared" si="38"/>
        <v>0.96657624451305024</v>
      </c>
      <c r="AV123" s="45" t="e">
        <f t="shared" si="39"/>
        <v>#VALUE!</v>
      </c>
      <c r="AW123" s="45" t="e">
        <f t="shared" si="40"/>
        <v>#VALUE!</v>
      </c>
      <c r="AX123" s="45" t="e">
        <f t="shared" si="41"/>
        <v>#VALUE!</v>
      </c>
      <c r="AY123" s="45" t="e">
        <f t="shared" si="42"/>
        <v>#VALUE!</v>
      </c>
      <c r="AZ123" s="45" t="e">
        <f t="shared" si="43"/>
        <v>#VALUE!</v>
      </c>
      <c r="BA123" s="45" t="e">
        <f t="shared" si="44"/>
        <v>#VALUE!</v>
      </c>
      <c r="BB123" s="45" t="e">
        <f t="shared" si="45"/>
        <v>#NUM!</v>
      </c>
      <c r="BC123" s="45" t="e">
        <f t="shared" si="46"/>
        <v>#VALUE!</v>
      </c>
      <c r="BD123" s="45">
        <f t="shared" si="47"/>
        <v>1</v>
      </c>
      <c r="BE123" s="45" t="e">
        <f t="shared" si="48"/>
        <v>#VALUE!</v>
      </c>
      <c r="BF123" s="45" t="e">
        <f t="shared" si="49"/>
        <v>#VALUE!</v>
      </c>
      <c r="BG123" s="45" t="e">
        <f t="shared" si="50"/>
        <v>#VALUE!</v>
      </c>
      <c r="BH123" s="45">
        <f t="shared" si="51"/>
        <v>0.22184874961635639</v>
      </c>
      <c r="BI123" s="43" t="e">
        <f t="shared" si="52"/>
        <v>#VALUE!</v>
      </c>
      <c r="BL123" s="20"/>
      <c r="BM123" s="50"/>
      <c r="BN123" s="50"/>
      <c r="BO123" s="50"/>
      <c r="BP123" s="50"/>
      <c r="BQ123" s="50"/>
      <c r="BR123" s="50"/>
      <c r="BU123" s="50"/>
      <c r="BV123" s="50"/>
      <c r="BW123" s="50"/>
      <c r="BX123" s="50"/>
      <c r="BY123" s="50"/>
      <c r="BZ123" s="50"/>
      <c r="CA123" s="43" t="s">
        <v>22</v>
      </c>
      <c r="CE123" s="50"/>
      <c r="CF123" s="50"/>
      <c r="CG123" s="50"/>
      <c r="CH123" s="50"/>
      <c r="CI123" s="50" t="str">
        <f t="shared" ref="CI123:CI131" si="63">IF(ISNUMBER(CG123),CG123,U123)</f>
        <v>Not Reported/ Can not calculate</v>
      </c>
      <c r="CJ123" s="50" t="e">
        <f t="shared" ref="CJ123:CJ131" si="64">LOG10(CI123)</f>
        <v>#VALUE!</v>
      </c>
      <c r="CL123" s="9" t="s">
        <v>1268</v>
      </c>
      <c r="CM123" s="9" t="s">
        <v>1284</v>
      </c>
      <c r="CN123" s="55" t="s">
        <v>1284</v>
      </c>
      <c r="CO123" s="9" t="s">
        <v>1284</v>
      </c>
    </row>
    <row r="124" spans="1:93" s="9" customFormat="1" x14ac:dyDescent="0.25">
      <c r="A124" s="9" t="s">
        <v>345</v>
      </c>
      <c r="B124" s="50">
        <f>((44*10^-8)^-1)*10^-6</f>
        <v>2.2727272727272725</v>
      </c>
      <c r="C124" s="50" t="s">
        <v>22</v>
      </c>
      <c r="D124" s="50" t="s">
        <v>22</v>
      </c>
      <c r="E124" s="50" t="s">
        <v>22</v>
      </c>
      <c r="F124" s="9" t="s">
        <v>22</v>
      </c>
      <c r="G124" s="9" t="s">
        <v>22</v>
      </c>
      <c r="H124" s="9" t="s">
        <v>22</v>
      </c>
      <c r="I124" s="9" t="s">
        <v>22</v>
      </c>
      <c r="J124" s="50" t="s">
        <v>22</v>
      </c>
      <c r="K124" s="9" t="s">
        <v>22</v>
      </c>
      <c r="L124" s="50"/>
      <c r="M124" s="9" t="s">
        <v>45</v>
      </c>
      <c r="N124" s="50" t="s">
        <v>22</v>
      </c>
      <c r="O124" s="50" t="s">
        <v>22</v>
      </c>
      <c r="P124" s="50" t="s">
        <v>22</v>
      </c>
      <c r="Q124" s="50"/>
      <c r="R124" s="50" t="s">
        <v>22</v>
      </c>
      <c r="S124" s="50" t="s">
        <v>22</v>
      </c>
      <c r="T124" s="50" t="s">
        <v>22</v>
      </c>
      <c r="U124" s="50" t="s">
        <v>22</v>
      </c>
      <c r="V124" s="9">
        <v>20210319</v>
      </c>
      <c r="W124" s="21" t="s">
        <v>1209</v>
      </c>
      <c r="X124" s="21">
        <v>1988</v>
      </c>
      <c r="Z124" s="9" t="s">
        <v>124</v>
      </c>
      <c r="AA124" s="9" t="s">
        <v>747</v>
      </c>
      <c r="AB124" s="50">
        <f>((220*10^-8)^-1)*10^-6</f>
        <v>0.45454545454545453</v>
      </c>
      <c r="AC124" s="9" t="s">
        <v>22</v>
      </c>
      <c r="AD124" s="50" t="s">
        <v>22</v>
      </c>
      <c r="AE124" s="50" t="s">
        <v>22</v>
      </c>
      <c r="AF124" s="50" t="s">
        <v>22</v>
      </c>
      <c r="AG124" s="50" t="s">
        <v>22</v>
      </c>
      <c r="AH124" s="50" t="s">
        <v>22</v>
      </c>
      <c r="AI124" s="50" t="s">
        <v>22</v>
      </c>
      <c r="AJ124" s="50" t="s">
        <v>22</v>
      </c>
      <c r="AK124" s="50" t="s">
        <v>22</v>
      </c>
      <c r="AL124" s="50"/>
      <c r="AM124" s="43" t="e">
        <f t="shared" si="35"/>
        <v>#VALUE!</v>
      </c>
      <c r="AN124" s="43" t="e">
        <f t="shared" si="36"/>
        <v>#VALUE!</v>
      </c>
      <c r="AO124" s="21" t="s">
        <v>1204</v>
      </c>
      <c r="AT124" s="2">
        <f t="shared" si="37"/>
        <v>8</v>
      </c>
      <c r="AU124" s="45">
        <f t="shared" si="38"/>
        <v>0.35654732351381252</v>
      </c>
      <c r="AV124" s="45" t="e">
        <f t="shared" si="39"/>
        <v>#VALUE!</v>
      </c>
      <c r="AW124" s="45" t="e">
        <f t="shared" si="40"/>
        <v>#VALUE!</v>
      </c>
      <c r="AX124" s="45" t="e">
        <f t="shared" si="41"/>
        <v>#VALUE!</v>
      </c>
      <c r="AY124" s="45" t="e">
        <f t="shared" si="42"/>
        <v>#VALUE!</v>
      </c>
      <c r="AZ124" s="45" t="e">
        <f t="shared" si="43"/>
        <v>#VALUE!</v>
      </c>
      <c r="BA124" s="45" t="e">
        <f t="shared" si="44"/>
        <v>#VALUE!</v>
      </c>
      <c r="BB124" s="45" t="e">
        <f t="shared" si="45"/>
        <v>#NUM!</v>
      </c>
      <c r="BC124" s="45" t="e">
        <f t="shared" si="46"/>
        <v>#VALUE!</v>
      </c>
      <c r="BD124" s="45" t="e">
        <f t="shared" si="47"/>
        <v>#VALUE!</v>
      </c>
      <c r="BE124" s="45" t="e">
        <f t="shared" si="48"/>
        <v>#VALUE!</v>
      </c>
      <c r="BF124" s="45" t="e">
        <f t="shared" si="49"/>
        <v>#VALUE!</v>
      </c>
      <c r="BG124" s="45" t="e">
        <f t="shared" si="50"/>
        <v>#VALUE!</v>
      </c>
      <c r="BH124" s="45">
        <f t="shared" si="51"/>
        <v>-0.34242268082220623</v>
      </c>
      <c r="BI124" s="43" t="e">
        <f t="shared" si="52"/>
        <v>#VALUE!</v>
      </c>
      <c r="BL124" s="20"/>
      <c r="BM124" s="50"/>
      <c r="BN124" s="50"/>
      <c r="BO124" s="50"/>
      <c r="BP124" s="50"/>
      <c r="BQ124" s="50"/>
      <c r="BR124" s="50"/>
      <c r="BU124" s="50"/>
      <c r="BV124" s="50"/>
      <c r="BW124" s="50"/>
      <c r="BX124" s="50"/>
      <c r="BY124" s="50"/>
      <c r="BZ124" s="50"/>
      <c r="CA124" s="43" t="s">
        <v>22</v>
      </c>
      <c r="CE124" s="50"/>
      <c r="CF124" s="50"/>
      <c r="CG124" s="50"/>
      <c r="CH124" s="50"/>
      <c r="CI124" s="50" t="str">
        <f t="shared" si="63"/>
        <v>Not Reported/ Can not calculate</v>
      </c>
      <c r="CJ124" s="50" t="e">
        <f t="shared" si="64"/>
        <v>#VALUE!</v>
      </c>
      <c r="CL124" s="9" t="s">
        <v>1268</v>
      </c>
      <c r="CM124" s="9" t="s">
        <v>1284</v>
      </c>
      <c r="CN124" s="55" t="s">
        <v>1284</v>
      </c>
      <c r="CO124" s="9" t="s">
        <v>1284</v>
      </c>
    </row>
    <row r="125" spans="1:93" s="9" customFormat="1" x14ac:dyDescent="0.25">
      <c r="A125" s="9" t="s">
        <v>345</v>
      </c>
      <c r="B125" s="50">
        <f>((46*10^-8)^-1)*10^-6</f>
        <v>2.1739130434782608</v>
      </c>
      <c r="C125" s="50" t="s">
        <v>22</v>
      </c>
      <c r="D125" s="50" t="s">
        <v>22</v>
      </c>
      <c r="E125" s="50" t="s">
        <v>22</v>
      </c>
      <c r="F125" s="9" t="s">
        <v>22</v>
      </c>
      <c r="G125" s="9" t="s">
        <v>22</v>
      </c>
      <c r="H125" s="9" t="s">
        <v>22</v>
      </c>
      <c r="I125" s="9" t="s">
        <v>22</v>
      </c>
      <c r="J125" s="50" t="s">
        <v>22</v>
      </c>
      <c r="K125" s="9" t="s">
        <v>22</v>
      </c>
      <c r="L125" s="50"/>
      <c r="M125" s="9" t="s">
        <v>45</v>
      </c>
      <c r="N125" s="50" t="s">
        <v>22</v>
      </c>
      <c r="O125" s="50" t="s">
        <v>22</v>
      </c>
      <c r="P125" s="50" t="s">
        <v>22</v>
      </c>
      <c r="Q125" s="50"/>
      <c r="R125" s="50" t="s">
        <v>22</v>
      </c>
      <c r="S125" s="50" t="s">
        <v>22</v>
      </c>
      <c r="T125" s="50" t="s">
        <v>22</v>
      </c>
      <c r="U125" s="50" t="s">
        <v>22</v>
      </c>
      <c r="V125" s="9">
        <v>20210319</v>
      </c>
      <c r="W125" s="21" t="s">
        <v>1209</v>
      </c>
      <c r="X125" s="21">
        <v>1988</v>
      </c>
      <c r="Z125" s="9" t="s">
        <v>124</v>
      </c>
      <c r="AA125" s="9" t="s">
        <v>747</v>
      </c>
      <c r="AB125" s="50">
        <f>((250*10^-8)^-1)*10^-6</f>
        <v>0.39999999999999991</v>
      </c>
      <c r="AC125" s="9" t="s">
        <v>22</v>
      </c>
      <c r="AD125" s="50" t="s">
        <v>22</v>
      </c>
      <c r="AE125" s="50" t="s">
        <v>22</v>
      </c>
      <c r="AF125" s="50" t="s">
        <v>22</v>
      </c>
      <c r="AG125" s="50" t="s">
        <v>22</v>
      </c>
      <c r="AH125" s="50" t="s">
        <v>22</v>
      </c>
      <c r="AI125" s="50" t="s">
        <v>22</v>
      </c>
      <c r="AJ125" s="50" t="s">
        <v>22</v>
      </c>
      <c r="AK125" s="50" t="s">
        <v>22</v>
      </c>
      <c r="AL125" s="50"/>
      <c r="AM125" s="43" t="e">
        <f t="shared" si="35"/>
        <v>#VALUE!</v>
      </c>
      <c r="AN125" s="43" t="e">
        <f t="shared" si="36"/>
        <v>#VALUE!</v>
      </c>
      <c r="AO125" s="21" t="s">
        <v>1204</v>
      </c>
      <c r="AT125" s="2">
        <f t="shared" si="37"/>
        <v>8</v>
      </c>
      <c r="AU125" s="45">
        <f t="shared" si="38"/>
        <v>0.33724216831842591</v>
      </c>
      <c r="AV125" s="45" t="e">
        <f t="shared" si="39"/>
        <v>#VALUE!</v>
      </c>
      <c r="AW125" s="45" t="e">
        <f t="shared" si="40"/>
        <v>#VALUE!</v>
      </c>
      <c r="AX125" s="45" t="e">
        <f t="shared" si="41"/>
        <v>#VALUE!</v>
      </c>
      <c r="AY125" s="45" t="e">
        <f t="shared" si="42"/>
        <v>#VALUE!</v>
      </c>
      <c r="AZ125" s="45" t="e">
        <f t="shared" si="43"/>
        <v>#VALUE!</v>
      </c>
      <c r="BA125" s="45" t="e">
        <f t="shared" si="44"/>
        <v>#VALUE!</v>
      </c>
      <c r="BB125" s="45" t="e">
        <f t="shared" si="45"/>
        <v>#NUM!</v>
      </c>
      <c r="BC125" s="45" t="e">
        <f t="shared" si="46"/>
        <v>#VALUE!</v>
      </c>
      <c r="BD125" s="45" t="e">
        <f t="shared" si="47"/>
        <v>#VALUE!</v>
      </c>
      <c r="BE125" s="45" t="e">
        <f t="shared" si="48"/>
        <v>#VALUE!</v>
      </c>
      <c r="BF125" s="45" t="e">
        <f t="shared" si="49"/>
        <v>#VALUE!</v>
      </c>
      <c r="BG125" s="45" t="e">
        <f t="shared" si="50"/>
        <v>#VALUE!</v>
      </c>
      <c r="BH125" s="45">
        <f t="shared" si="51"/>
        <v>-0.39794000867203771</v>
      </c>
      <c r="BI125" s="43" t="e">
        <f t="shared" si="52"/>
        <v>#VALUE!</v>
      </c>
      <c r="BL125" s="20"/>
      <c r="BM125" s="50"/>
      <c r="BN125" s="50"/>
      <c r="BO125" s="50"/>
      <c r="BP125" s="50"/>
      <c r="BQ125" s="50"/>
      <c r="BR125" s="50"/>
      <c r="BU125" s="50"/>
      <c r="BV125" s="50"/>
      <c r="BW125" s="50"/>
      <c r="BX125" s="50"/>
      <c r="BY125" s="50"/>
      <c r="BZ125" s="50"/>
      <c r="CA125" s="43" t="s">
        <v>22</v>
      </c>
      <c r="CE125" s="50"/>
      <c r="CF125" s="50"/>
      <c r="CG125" s="50"/>
      <c r="CH125" s="50"/>
      <c r="CI125" s="50" t="str">
        <f t="shared" si="63"/>
        <v>Not Reported/ Can not calculate</v>
      </c>
      <c r="CJ125" s="50" t="e">
        <f t="shared" si="64"/>
        <v>#VALUE!</v>
      </c>
      <c r="CL125" s="9" t="s">
        <v>1268</v>
      </c>
      <c r="CM125" s="9" t="s">
        <v>1284</v>
      </c>
      <c r="CN125" s="55" t="s">
        <v>1284</v>
      </c>
      <c r="CO125" s="9" t="s">
        <v>1284</v>
      </c>
    </row>
    <row r="126" spans="1:93" s="9" customFormat="1" x14ac:dyDescent="0.25">
      <c r="A126" s="9" t="s">
        <v>345</v>
      </c>
      <c r="B126" s="50">
        <f>((100*10^-8)^-1)*10^-6</f>
        <v>1</v>
      </c>
      <c r="C126" s="50" t="s">
        <v>22</v>
      </c>
      <c r="D126" s="50" t="s">
        <v>22</v>
      </c>
      <c r="E126" s="50" t="s">
        <v>22</v>
      </c>
      <c r="F126" s="9" t="s">
        <v>22</v>
      </c>
      <c r="G126" s="9" t="s">
        <v>22</v>
      </c>
      <c r="H126" s="9" t="s">
        <v>22</v>
      </c>
      <c r="I126" s="9" t="s">
        <v>22</v>
      </c>
      <c r="J126" s="50" t="s">
        <v>22</v>
      </c>
      <c r="K126" s="9" t="s">
        <v>22</v>
      </c>
      <c r="L126" s="50"/>
      <c r="M126" s="9" t="s">
        <v>45</v>
      </c>
      <c r="N126" s="50" t="s">
        <v>22</v>
      </c>
      <c r="O126" s="50" t="s">
        <v>22</v>
      </c>
      <c r="P126" s="50" t="s">
        <v>22</v>
      </c>
      <c r="Q126" s="50"/>
      <c r="R126" s="50" t="s">
        <v>22</v>
      </c>
      <c r="S126" s="50" t="s">
        <v>22</v>
      </c>
      <c r="T126" s="50" t="s">
        <v>22</v>
      </c>
      <c r="U126" s="50" t="s">
        <v>22</v>
      </c>
      <c r="V126" s="9">
        <v>20210319</v>
      </c>
      <c r="W126" s="21" t="s">
        <v>1209</v>
      </c>
      <c r="X126" s="21">
        <v>1988</v>
      </c>
      <c r="Z126" s="9" t="s">
        <v>124</v>
      </c>
      <c r="AA126" s="9" t="s">
        <v>747</v>
      </c>
      <c r="AB126" s="50">
        <f>((500*10^-8)^-1)*10^-6</f>
        <v>0.19999999999999996</v>
      </c>
      <c r="AC126" s="9" t="s">
        <v>22</v>
      </c>
      <c r="AD126" s="50" t="s">
        <v>22</v>
      </c>
      <c r="AE126" s="50" t="s">
        <v>22</v>
      </c>
      <c r="AF126" s="50" t="s">
        <v>22</v>
      </c>
      <c r="AG126" s="50" t="s">
        <v>22</v>
      </c>
      <c r="AH126" s="50" t="s">
        <v>22</v>
      </c>
      <c r="AI126" s="50" t="s">
        <v>22</v>
      </c>
      <c r="AJ126" s="50" t="s">
        <v>22</v>
      </c>
      <c r="AK126" s="50" t="s">
        <v>22</v>
      </c>
      <c r="AL126" s="50"/>
      <c r="AM126" s="43" t="e">
        <f t="shared" si="35"/>
        <v>#VALUE!</v>
      </c>
      <c r="AN126" s="43" t="e">
        <f t="shared" si="36"/>
        <v>#VALUE!</v>
      </c>
      <c r="AO126" s="21" t="s">
        <v>1204</v>
      </c>
      <c r="AT126" s="2">
        <f t="shared" si="37"/>
        <v>8</v>
      </c>
      <c r="AU126" s="45">
        <f t="shared" si="38"/>
        <v>0</v>
      </c>
      <c r="AV126" s="45" t="e">
        <f t="shared" si="39"/>
        <v>#VALUE!</v>
      </c>
      <c r="AW126" s="45" t="e">
        <f t="shared" si="40"/>
        <v>#VALUE!</v>
      </c>
      <c r="AX126" s="45" t="e">
        <f t="shared" si="41"/>
        <v>#VALUE!</v>
      </c>
      <c r="AY126" s="45" t="e">
        <f t="shared" si="42"/>
        <v>#VALUE!</v>
      </c>
      <c r="AZ126" s="45" t="e">
        <f t="shared" si="43"/>
        <v>#VALUE!</v>
      </c>
      <c r="BA126" s="45" t="e">
        <f t="shared" si="44"/>
        <v>#VALUE!</v>
      </c>
      <c r="BB126" s="45" t="e">
        <f t="shared" si="45"/>
        <v>#NUM!</v>
      </c>
      <c r="BC126" s="45" t="e">
        <f t="shared" si="46"/>
        <v>#VALUE!</v>
      </c>
      <c r="BD126" s="45" t="e">
        <f t="shared" si="47"/>
        <v>#VALUE!</v>
      </c>
      <c r="BE126" s="45" t="e">
        <f t="shared" si="48"/>
        <v>#VALUE!</v>
      </c>
      <c r="BF126" s="45" t="e">
        <f t="shared" si="49"/>
        <v>#VALUE!</v>
      </c>
      <c r="BG126" s="45" t="e">
        <f t="shared" si="50"/>
        <v>#VALUE!</v>
      </c>
      <c r="BH126" s="45">
        <f t="shared" si="51"/>
        <v>-0.69897000433601886</v>
      </c>
      <c r="BI126" s="43" t="e">
        <f t="shared" si="52"/>
        <v>#VALUE!</v>
      </c>
      <c r="BL126" s="20"/>
      <c r="BM126" s="50"/>
      <c r="BN126" s="50"/>
      <c r="BO126" s="50"/>
      <c r="BP126" s="50"/>
      <c r="BQ126" s="50"/>
      <c r="BR126" s="50"/>
      <c r="BU126" s="50"/>
      <c r="BV126" s="50"/>
      <c r="BW126" s="50"/>
      <c r="BX126" s="50"/>
      <c r="BY126" s="50"/>
      <c r="BZ126" s="50"/>
      <c r="CA126" s="43" t="s">
        <v>22</v>
      </c>
      <c r="CE126" s="50"/>
      <c r="CF126" s="50"/>
      <c r="CG126" s="50"/>
      <c r="CH126" s="50"/>
      <c r="CI126" s="50" t="str">
        <f t="shared" si="63"/>
        <v>Not Reported/ Can not calculate</v>
      </c>
      <c r="CJ126" s="50" t="e">
        <f t="shared" si="64"/>
        <v>#VALUE!</v>
      </c>
      <c r="CL126" s="9" t="s">
        <v>1268</v>
      </c>
      <c r="CM126" s="9" t="s">
        <v>1284</v>
      </c>
      <c r="CN126" s="55" t="s">
        <v>1284</v>
      </c>
      <c r="CO126" s="9" t="s">
        <v>1284</v>
      </c>
    </row>
    <row r="127" spans="1:93" s="9" customFormat="1" x14ac:dyDescent="0.25">
      <c r="A127" s="9" t="s">
        <v>345</v>
      </c>
      <c r="B127" s="50">
        <f>((300*10^-8)^-1)*10^-6</f>
        <v>0.33333333333333331</v>
      </c>
      <c r="C127" s="50" t="s">
        <v>22</v>
      </c>
      <c r="D127" s="50" t="s">
        <v>22</v>
      </c>
      <c r="E127" s="50" t="s">
        <v>22</v>
      </c>
      <c r="F127" s="9" t="s">
        <v>22</v>
      </c>
      <c r="G127" s="9" t="s">
        <v>22</v>
      </c>
      <c r="H127" s="9" t="s">
        <v>22</v>
      </c>
      <c r="I127" s="9" t="s">
        <v>22</v>
      </c>
      <c r="J127" s="50" t="s">
        <v>22</v>
      </c>
      <c r="K127" s="9" t="s">
        <v>22</v>
      </c>
      <c r="L127" s="50"/>
      <c r="M127" s="9" t="s">
        <v>45</v>
      </c>
      <c r="N127" s="50" t="s">
        <v>22</v>
      </c>
      <c r="O127" s="50" t="s">
        <v>22</v>
      </c>
      <c r="P127" s="50" t="s">
        <v>22</v>
      </c>
      <c r="Q127" s="50"/>
      <c r="R127" s="50" t="s">
        <v>22</v>
      </c>
      <c r="S127" s="50" t="s">
        <v>22</v>
      </c>
      <c r="T127" s="50" t="s">
        <v>22</v>
      </c>
      <c r="U127" s="50" t="s">
        <v>22</v>
      </c>
      <c r="V127" s="9">
        <v>20210319</v>
      </c>
      <c r="W127" s="21" t="s">
        <v>1209</v>
      </c>
      <c r="X127" s="21">
        <v>1988</v>
      </c>
      <c r="Z127" s="9" t="s">
        <v>124</v>
      </c>
      <c r="AA127" s="9" t="s">
        <v>747</v>
      </c>
      <c r="AB127" s="50">
        <f>((900*10^-8)^-1)*10^-6</f>
        <v>0.1111111111111111</v>
      </c>
      <c r="AC127" s="9" t="s">
        <v>22</v>
      </c>
      <c r="AD127" s="50" t="s">
        <v>22</v>
      </c>
      <c r="AE127" s="50" t="s">
        <v>22</v>
      </c>
      <c r="AF127" s="50" t="s">
        <v>22</v>
      </c>
      <c r="AG127" s="50" t="s">
        <v>22</v>
      </c>
      <c r="AH127" s="50" t="s">
        <v>22</v>
      </c>
      <c r="AI127" s="50" t="s">
        <v>22</v>
      </c>
      <c r="AJ127" s="50" t="s">
        <v>22</v>
      </c>
      <c r="AK127" s="50" t="s">
        <v>22</v>
      </c>
      <c r="AL127" s="50"/>
      <c r="AM127" s="43" t="e">
        <f t="shared" si="35"/>
        <v>#VALUE!</v>
      </c>
      <c r="AN127" s="43" t="e">
        <f t="shared" si="36"/>
        <v>#VALUE!</v>
      </c>
      <c r="AO127" s="21" t="s">
        <v>1204</v>
      </c>
      <c r="AT127" s="2">
        <f t="shared" si="37"/>
        <v>8</v>
      </c>
      <c r="AU127" s="45">
        <f t="shared" si="38"/>
        <v>-0.47712125471966244</v>
      </c>
      <c r="AV127" s="45" t="e">
        <f t="shared" si="39"/>
        <v>#VALUE!</v>
      </c>
      <c r="AW127" s="45" t="e">
        <f t="shared" si="40"/>
        <v>#VALUE!</v>
      </c>
      <c r="AX127" s="45" t="e">
        <f t="shared" si="41"/>
        <v>#VALUE!</v>
      </c>
      <c r="AY127" s="45" t="e">
        <f t="shared" si="42"/>
        <v>#VALUE!</v>
      </c>
      <c r="AZ127" s="45" t="e">
        <f t="shared" si="43"/>
        <v>#VALUE!</v>
      </c>
      <c r="BA127" s="45" t="e">
        <f t="shared" si="44"/>
        <v>#VALUE!</v>
      </c>
      <c r="BB127" s="45" t="e">
        <f t="shared" si="45"/>
        <v>#NUM!</v>
      </c>
      <c r="BC127" s="45" t="e">
        <f t="shared" si="46"/>
        <v>#VALUE!</v>
      </c>
      <c r="BD127" s="45" t="e">
        <f t="shared" si="47"/>
        <v>#VALUE!</v>
      </c>
      <c r="BE127" s="45" t="e">
        <f t="shared" si="48"/>
        <v>#VALUE!</v>
      </c>
      <c r="BF127" s="45" t="e">
        <f t="shared" si="49"/>
        <v>#VALUE!</v>
      </c>
      <c r="BG127" s="45" t="e">
        <f t="shared" si="50"/>
        <v>#VALUE!</v>
      </c>
      <c r="BH127" s="45">
        <f t="shared" si="51"/>
        <v>-0.95424250943932487</v>
      </c>
      <c r="BI127" s="43" t="e">
        <f t="shared" si="52"/>
        <v>#VALUE!</v>
      </c>
      <c r="BL127" s="20"/>
      <c r="BM127" s="50"/>
      <c r="BN127" s="50"/>
      <c r="BO127" s="50"/>
      <c r="BP127" s="50"/>
      <c r="BQ127" s="50"/>
      <c r="BR127" s="50"/>
      <c r="BU127" s="50"/>
      <c r="BV127" s="50"/>
      <c r="BW127" s="50"/>
      <c r="BX127" s="50"/>
      <c r="BY127" s="50"/>
      <c r="BZ127" s="50"/>
      <c r="CA127" s="43" t="s">
        <v>22</v>
      </c>
      <c r="CE127" s="50"/>
      <c r="CF127" s="50"/>
      <c r="CG127" s="50"/>
      <c r="CH127" s="50"/>
      <c r="CI127" s="50" t="str">
        <f t="shared" si="63"/>
        <v>Not Reported/ Can not calculate</v>
      </c>
      <c r="CJ127" s="50" t="e">
        <f t="shared" si="64"/>
        <v>#VALUE!</v>
      </c>
      <c r="CL127" s="9" t="s">
        <v>1268</v>
      </c>
      <c r="CM127" s="9" t="s">
        <v>1284</v>
      </c>
      <c r="CN127" s="55" t="s">
        <v>1284</v>
      </c>
      <c r="CO127" s="9" t="s">
        <v>1284</v>
      </c>
    </row>
    <row r="128" spans="1:93" s="9" customFormat="1" x14ac:dyDescent="0.25">
      <c r="A128" s="9" t="s">
        <v>345</v>
      </c>
      <c r="B128" s="50">
        <f>((50*10^-8)^-1)*10^-6</f>
        <v>2</v>
      </c>
      <c r="C128" s="50" t="s">
        <v>22</v>
      </c>
      <c r="D128" s="50" t="s">
        <v>22</v>
      </c>
      <c r="E128" s="50" t="s">
        <v>22</v>
      </c>
      <c r="F128" s="9" t="s">
        <v>22</v>
      </c>
      <c r="G128" s="9" t="s">
        <v>22</v>
      </c>
      <c r="H128" s="9" t="s">
        <v>22</v>
      </c>
      <c r="I128" s="9" t="s">
        <v>22</v>
      </c>
      <c r="J128" s="50" t="s">
        <v>22</v>
      </c>
      <c r="K128" s="9" t="s">
        <v>22</v>
      </c>
      <c r="L128" s="50"/>
      <c r="M128" s="9" t="s">
        <v>45</v>
      </c>
      <c r="N128" s="50" t="s">
        <v>22</v>
      </c>
      <c r="O128" s="50" t="s">
        <v>22</v>
      </c>
      <c r="P128" s="50" t="s">
        <v>22</v>
      </c>
      <c r="Q128" s="50"/>
      <c r="R128" s="50" t="s">
        <v>22</v>
      </c>
      <c r="S128" s="50" t="s">
        <v>22</v>
      </c>
      <c r="T128" s="50" t="s">
        <v>22</v>
      </c>
      <c r="U128" s="50" t="s">
        <v>22</v>
      </c>
      <c r="V128" s="9">
        <v>20210319</v>
      </c>
      <c r="W128" s="21" t="s">
        <v>1209</v>
      </c>
      <c r="X128" s="21">
        <v>1988</v>
      </c>
      <c r="Z128" s="9" t="s">
        <v>124</v>
      </c>
      <c r="AA128" s="9" t="s">
        <v>783</v>
      </c>
      <c r="AB128" s="50">
        <f>((220*10^-8)^-1)*10^-6</f>
        <v>0.45454545454545453</v>
      </c>
      <c r="AC128" s="9" t="s">
        <v>22</v>
      </c>
      <c r="AD128" s="50" t="s">
        <v>22</v>
      </c>
      <c r="AE128" s="50" t="s">
        <v>22</v>
      </c>
      <c r="AF128" s="50" t="s">
        <v>22</v>
      </c>
      <c r="AG128" s="50" t="s">
        <v>22</v>
      </c>
      <c r="AH128" s="50" t="s">
        <v>22</v>
      </c>
      <c r="AI128" s="50" t="s">
        <v>22</v>
      </c>
      <c r="AJ128" s="50" t="s">
        <v>22</v>
      </c>
      <c r="AK128" s="50" t="s">
        <v>22</v>
      </c>
      <c r="AL128" s="50"/>
      <c r="AM128" s="43" t="e">
        <f t="shared" si="35"/>
        <v>#VALUE!</v>
      </c>
      <c r="AN128" s="43" t="e">
        <f t="shared" si="36"/>
        <v>#VALUE!</v>
      </c>
      <c r="AO128" s="21" t="s">
        <v>1204</v>
      </c>
      <c r="AT128" s="2">
        <f t="shared" si="37"/>
        <v>8</v>
      </c>
      <c r="AU128" s="45">
        <f t="shared" si="38"/>
        <v>0.3010299956639812</v>
      </c>
      <c r="AV128" s="45" t="e">
        <f t="shared" si="39"/>
        <v>#VALUE!</v>
      </c>
      <c r="AW128" s="45" t="e">
        <f t="shared" si="40"/>
        <v>#VALUE!</v>
      </c>
      <c r="AX128" s="45" t="e">
        <f t="shared" si="41"/>
        <v>#VALUE!</v>
      </c>
      <c r="AY128" s="45" t="e">
        <f t="shared" si="42"/>
        <v>#VALUE!</v>
      </c>
      <c r="AZ128" s="45" t="e">
        <f t="shared" si="43"/>
        <v>#VALUE!</v>
      </c>
      <c r="BA128" s="45" t="e">
        <f t="shared" si="44"/>
        <v>#VALUE!</v>
      </c>
      <c r="BB128" s="45" t="e">
        <f t="shared" si="45"/>
        <v>#NUM!</v>
      </c>
      <c r="BC128" s="45" t="e">
        <f t="shared" si="46"/>
        <v>#VALUE!</v>
      </c>
      <c r="BD128" s="45" t="e">
        <f t="shared" si="47"/>
        <v>#VALUE!</v>
      </c>
      <c r="BE128" s="45" t="e">
        <f t="shared" si="48"/>
        <v>#VALUE!</v>
      </c>
      <c r="BF128" s="45" t="e">
        <f t="shared" si="49"/>
        <v>#VALUE!</v>
      </c>
      <c r="BG128" s="45" t="e">
        <f t="shared" si="50"/>
        <v>#VALUE!</v>
      </c>
      <c r="BH128" s="45">
        <f t="shared" si="51"/>
        <v>-0.34242268082220623</v>
      </c>
      <c r="BI128" s="43" t="e">
        <f t="shared" si="52"/>
        <v>#VALUE!</v>
      </c>
      <c r="BL128" s="20"/>
      <c r="BM128" s="50"/>
      <c r="BN128" s="50"/>
      <c r="BO128" s="50"/>
      <c r="BP128" s="50"/>
      <c r="BQ128" s="50"/>
      <c r="BR128" s="50"/>
      <c r="BU128" s="50"/>
      <c r="BV128" s="50"/>
      <c r="BW128" s="50"/>
      <c r="BX128" s="50"/>
      <c r="BY128" s="50"/>
      <c r="BZ128" s="50"/>
      <c r="CA128" s="43" t="s">
        <v>22</v>
      </c>
      <c r="CE128" s="50"/>
      <c r="CF128" s="50"/>
      <c r="CG128" s="50"/>
      <c r="CH128" s="50"/>
      <c r="CI128" s="50" t="str">
        <f t="shared" si="63"/>
        <v>Not Reported/ Can not calculate</v>
      </c>
      <c r="CJ128" s="50" t="e">
        <f t="shared" si="64"/>
        <v>#VALUE!</v>
      </c>
      <c r="CL128" s="9" t="s">
        <v>1268</v>
      </c>
      <c r="CM128" s="9" t="s">
        <v>1284</v>
      </c>
      <c r="CN128" s="55" t="s">
        <v>1284</v>
      </c>
      <c r="CO128" s="9" t="s">
        <v>1284</v>
      </c>
    </row>
    <row r="129" spans="1:93" s="9" customFormat="1" x14ac:dyDescent="0.25">
      <c r="A129" s="9" t="s">
        <v>345</v>
      </c>
      <c r="B129" s="50">
        <f>((52*10^-8)^-1)*10^-6</f>
        <v>1.9230769230769229</v>
      </c>
      <c r="C129" s="50" t="s">
        <v>22</v>
      </c>
      <c r="D129" s="50" t="s">
        <v>22</v>
      </c>
      <c r="E129" s="50" t="s">
        <v>22</v>
      </c>
      <c r="F129" s="9" t="s">
        <v>22</v>
      </c>
      <c r="G129" s="9" t="s">
        <v>22</v>
      </c>
      <c r="H129" s="9" t="s">
        <v>22</v>
      </c>
      <c r="I129" s="9" t="s">
        <v>22</v>
      </c>
      <c r="J129" s="50" t="s">
        <v>22</v>
      </c>
      <c r="K129" s="9" t="s">
        <v>22</v>
      </c>
      <c r="L129" s="50"/>
      <c r="M129" s="9" t="s">
        <v>45</v>
      </c>
      <c r="N129" s="50" t="s">
        <v>22</v>
      </c>
      <c r="O129" s="50" t="s">
        <v>22</v>
      </c>
      <c r="P129" s="50" t="s">
        <v>22</v>
      </c>
      <c r="Q129" s="50"/>
      <c r="R129" s="50" t="s">
        <v>22</v>
      </c>
      <c r="S129" s="50" t="s">
        <v>22</v>
      </c>
      <c r="T129" s="50" t="s">
        <v>22</v>
      </c>
      <c r="U129" s="50" t="s">
        <v>22</v>
      </c>
      <c r="V129" s="9">
        <v>20210319</v>
      </c>
      <c r="W129" s="21" t="s">
        <v>1209</v>
      </c>
      <c r="X129" s="21">
        <v>1988</v>
      </c>
      <c r="Z129" s="9" t="s">
        <v>124</v>
      </c>
      <c r="AA129" s="9" t="s">
        <v>783</v>
      </c>
      <c r="AB129" s="50">
        <f>((250*10^-8)^-1)*10^-6</f>
        <v>0.39999999999999991</v>
      </c>
      <c r="AC129" s="9" t="s">
        <v>22</v>
      </c>
      <c r="AD129" s="50" t="s">
        <v>22</v>
      </c>
      <c r="AE129" s="50" t="s">
        <v>22</v>
      </c>
      <c r="AF129" s="50" t="s">
        <v>22</v>
      </c>
      <c r="AG129" s="50" t="s">
        <v>22</v>
      </c>
      <c r="AH129" s="50" t="s">
        <v>22</v>
      </c>
      <c r="AI129" s="50" t="s">
        <v>22</v>
      </c>
      <c r="AJ129" s="50" t="s">
        <v>22</v>
      </c>
      <c r="AK129" s="50" t="s">
        <v>22</v>
      </c>
      <c r="AL129" s="50"/>
      <c r="AM129" s="43" t="e">
        <f t="shared" si="35"/>
        <v>#VALUE!</v>
      </c>
      <c r="AN129" s="43" t="e">
        <f t="shared" si="36"/>
        <v>#VALUE!</v>
      </c>
      <c r="AO129" s="21" t="s">
        <v>1204</v>
      </c>
      <c r="AT129" s="2">
        <f t="shared" si="37"/>
        <v>8</v>
      </c>
      <c r="AU129" s="45">
        <f t="shared" si="38"/>
        <v>0.28399665636520083</v>
      </c>
      <c r="AV129" s="45" t="e">
        <f t="shared" si="39"/>
        <v>#VALUE!</v>
      </c>
      <c r="AW129" s="45" t="e">
        <f t="shared" si="40"/>
        <v>#VALUE!</v>
      </c>
      <c r="AX129" s="45" t="e">
        <f t="shared" si="41"/>
        <v>#VALUE!</v>
      </c>
      <c r="AY129" s="45" t="e">
        <f t="shared" si="42"/>
        <v>#VALUE!</v>
      </c>
      <c r="AZ129" s="45" t="e">
        <f t="shared" si="43"/>
        <v>#VALUE!</v>
      </c>
      <c r="BA129" s="45" t="e">
        <f t="shared" si="44"/>
        <v>#VALUE!</v>
      </c>
      <c r="BB129" s="45" t="e">
        <f t="shared" si="45"/>
        <v>#NUM!</v>
      </c>
      <c r="BC129" s="45" t="e">
        <f t="shared" si="46"/>
        <v>#VALUE!</v>
      </c>
      <c r="BD129" s="45" t="e">
        <f t="shared" si="47"/>
        <v>#VALUE!</v>
      </c>
      <c r="BE129" s="45" t="e">
        <f t="shared" si="48"/>
        <v>#VALUE!</v>
      </c>
      <c r="BF129" s="45" t="e">
        <f t="shared" si="49"/>
        <v>#VALUE!</v>
      </c>
      <c r="BG129" s="45" t="e">
        <f t="shared" si="50"/>
        <v>#VALUE!</v>
      </c>
      <c r="BH129" s="45">
        <f t="shared" si="51"/>
        <v>-0.39794000867203771</v>
      </c>
      <c r="BI129" s="43" t="e">
        <f t="shared" si="52"/>
        <v>#VALUE!</v>
      </c>
      <c r="BL129" s="20"/>
      <c r="BM129" s="50"/>
      <c r="BN129" s="50"/>
      <c r="BO129" s="50"/>
      <c r="BP129" s="50"/>
      <c r="BQ129" s="50"/>
      <c r="BR129" s="50"/>
      <c r="BU129" s="50"/>
      <c r="BV129" s="50"/>
      <c r="BW129" s="50"/>
      <c r="BX129" s="50"/>
      <c r="BY129" s="50"/>
      <c r="BZ129" s="50"/>
      <c r="CA129" s="43" t="s">
        <v>22</v>
      </c>
      <c r="CE129" s="50"/>
      <c r="CF129" s="50"/>
      <c r="CG129" s="50"/>
      <c r="CH129" s="50"/>
      <c r="CI129" s="50" t="str">
        <f t="shared" si="63"/>
        <v>Not Reported/ Can not calculate</v>
      </c>
      <c r="CJ129" s="50" t="e">
        <f t="shared" si="64"/>
        <v>#VALUE!</v>
      </c>
      <c r="CL129" s="9" t="s">
        <v>1268</v>
      </c>
      <c r="CM129" s="9" t="s">
        <v>1284</v>
      </c>
      <c r="CN129" s="55" t="s">
        <v>1284</v>
      </c>
      <c r="CO129" s="9" t="s">
        <v>1284</v>
      </c>
    </row>
    <row r="130" spans="1:93" s="9" customFormat="1" x14ac:dyDescent="0.25">
      <c r="A130" s="9" t="s">
        <v>345</v>
      </c>
      <c r="B130" s="50">
        <f>((120*10^-8)^-1)*10^-6</f>
        <v>0.83333333333333337</v>
      </c>
      <c r="C130" s="50" t="s">
        <v>22</v>
      </c>
      <c r="D130" s="50" t="s">
        <v>22</v>
      </c>
      <c r="E130" s="50" t="s">
        <v>22</v>
      </c>
      <c r="F130" s="9" t="s">
        <v>22</v>
      </c>
      <c r="G130" s="9" t="s">
        <v>22</v>
      </c>
      <c r="H130" s="9" t="s">
        <v>22</v>
      </c>
      <c r="I130" s="9" t="s">
        <v>22</v>
      </c>
      <c r="J130" s="50" t="s">
        <v>22</v>
      </c>
      <c r="K130" s="9" t="s">
        <v>22</v>
      </c>
      <c r="L130" s="50"/>
      <c r="M130" s="9" t="s">
        <v>45</v>
      </c>
      <c r="N130" s="50" t="s">
        <v>22</v>
      </c>
      <c r="O130" s="50" t="s">
        <v>22</v>
      </c>
      <c r="P130" s="50" t="s">
        <v>22</v>
      </c>
      <c r="Q130" s="50"/>
      <c r="R130" s="50" t="s">
        <v>22</v>
      </c>
      <c r="S130" s="50" t="s">
        <v>22</v>
      </c>
      <c r="T130" s="50" t="s">
        <v>22</v>
      </c>
      <c r="U130" s="50" t="s">
        <v>22</v>
      </c>
      <c r="V130" s="9">
        <v>20210319</v>
      </c>
      <c r="W130" s="21" t="s">
        <v>1209</v>
      </c>
      <c r="X130" s="21">
        <v>1988</v>
      </c>
      <c r="Z130" s="9" t="s">
        <v>124</v>
      </c>
      <c r="AA130" s="9" t="s">
        <v>783</v>
      </c>
      <c r="AB130" s="50">
        <f>((500*10^-8)^-1)*10^-6</f>
        <v>0.19999999999999996</v>
      </c>
      <c r="AC130" s="9" t="s">
        <v>22</v>
      </c>
      <c r="AD130" s="50" t="s">
        <v>22</v>
      </c>
      <c r="AE130" s="50" t="s">
        <v>22</v>
      </c>
      <c r="AF130" s="50" t="s">
        <v>22</v>
      </c>
      <c r="AG130" s="50" t="s">
        <v>22</v>
      </c>
      <c r="AH130" s="50" t="s">
        <v>22</v>
      </c>
      <c r="AI130" s="50" t="s">
        <v>22</v>
      </c>
      <c r="AJ130" s="50" t="s">
        <v>22</v>
      </c>
      <c r="AK130" s="50" t="s">
        <v>22</v>
      </c>
      <c r="AL130" s="50"/>
      <c r="AM130" s="43" t="e">
        <f t="shared" ref="AM130:AM193" si="65">AL130/AI130</f>
        <v>#VALUE!</v>
      </c>
      <c r="AN130" s="43" t="e">
        <f t="shared" ref="AN130:AN193" si="66">AL130/AJ130</f>
        <v>#VALUE!</v>
      </c>
      <c r="AO130" s="21" t="s">
        <v>1204</v>
      </c>
      <c r="AT130" s="2">
        <f t="shared" ref="AT130:AT193" si="67">COUNTIF($AO$2:$AO$1400,AO130)</f>
        <v>8</v>
      </c>
      <c r="AU130" s="45">
        <f t="shared" ref="AU130:AU193" si="68">LOG10(B130)</f>
        <v>-7.9181246047624804E-2</v>
      </c>
      <c r="AV130" s="45" t="e">
        <f t="shared" ref="AV130:AV193" si="69">LOG10(C130)</f>
        <v>#VALUE!</v>
      </c>
      <c r="AW130" s="45" t="e">
        <f t="shared" ref="AW130:AW193" si="70">LOG10(D130)</f>
        <v>#VALUE!</v>
      </c>
      <c r="AX130" s="45" t="e">
        <f t="shared" ref="AX130:AX193" si="71">LOG10(N130)</f>
        <v>#VALUE!</v>
      </c>
      <c r="AY130" s="45" t="e">
        <f t="shared" ref="AY130:AY193" si="72">LOG10(O130)</f>
        <v>#VALUE!</v>
      </c>
      <c r="AZ130" s="45" t="e">
        <f t="shared" ref="AZ130:AZ193" si="73">LOG10(P130)</f>
        <v>#VALUE!</v>
      </c>
      <c r="BA130" s="45" t="e">
        <f t="shared" ref="BA130:BA193" si="74">LOG10(J130)</f>
        <v>#VALUE!</v>
      </c>
      <c r="BB130" s="45" t="e">
        <f t="shared" ref="BB130:BB193" si="75">LOG10(L130)</f>
        <v>#NUM!</v>
      </c>
      <c r="BC130" s="45" t="e">
        <f t="shared" ref="BC130:BC193" si="76">LOG10(U130)</f>
        <v>#VALUE!</v>
      </c>
      <c r="BD130" s="45" t="e">
        <f t="shared" ref="BD130:BD193" si="77">LOG10(AD130)</f>
        <v>#VALUE!</v>
      </c>
      <c r="BE130" s="45" t="e">
        <f t="shared" ref="BE130:BE193" si="78">LOG10(AF130)</f>
        <v>#VALUE!</v>
      </c>
      <c r="BF130" s="45" t="e">
        <f t="shared" ref="BF130:BF193" si="79">LOG10(AM130)</f>
        <v>#VALUE!</v>
      </c>
      <c r="BG130" s="45" t="e">
        <f t="shared" ref="BG130:BG193" si="80">LOG10(AN130)</f>
        <v>#VALUE!</v>
      </c>
      <c r="BH130" s="45">
        <f t="shared" ref="BH130:BH193" si="81">LOG10(AB130)</f>
        <v>-0.69897000433601886</v>
      </c>
      <c r="BI130" s="43" t="e">
        <f t="shared" ref="BI130:BI193" si="82">LOG10(AF130)</f>
        <v>#VALUE!</v>
      </c>
      <c r="BL130" s="20"/>
      <c r="BM130" s="50"/>
      <c r="BN130" s="50"/>
      <c r="BO130" s="50"/>
      <c r="BP130" s="50"/>
      <c r="BQ130" s="50"/>
      <c r="BR130" s="50"/>
      <c r="BU130" s="50"/>
      <c r="BV130" s="50"/>
      <c r="BW130" s="50"/>
      <c r="BX130" s="50"/>
      <c r="BY130" s="50"/>
      <c r="BZ130" s="50"/>
      <c r="CA130" s="43" t="s">
        <v>22</v>
      </c>
      <c r="CE130" s="50"/>
      <c r="CF130" s="50"/>
      <c r="CG130" s="50"/>
      <c r="CH130" s="50"/>
      <c r="CI130" s="50" t="str">
        <f t="shared" si="63"/>
        <v>Not Reported/ Can not calculate</v>
      </c>
      <c r="CJ130" s="50" t="e">
        <f t="shared" si="64"/>
        <v>#VALUE!</v>
      </c>
      <c r="CL130" s="9" t="s">
        <v>1268</v>
      </c>
      <c r="CM130" s="9" t="s">
        <v>1284</v>
      </c>
      <c r="CN130" s="55" t="s">
        <v>1284</v>
      </c>
      <c r="CO130" s="9" t="s">
        <v>1284</v>
      </c>
    </row>
    <row r="131" spans="1:93" s="9" customFormat="1" x14ac:dyDescent="0.25">
      <c r="A131" s="9" t="s">
        <v>345</v>
      </c>
      <c r="B131" s="50">
        <f>((868*10^-8)^-1)*10^-6</f>
        <v>0.1152073732718894</v>
      </c>
      <c r="C131" s="50" t="s">
        <v>22</v>
      </c>
      <c r="D131" s="50" t="s">
        <v>22</v>
      </c>
      <c r="E131" s="50" t="s">
        <v>22</v>
      </c>
      <c r="F131" s="9" t="s">
        <v>22</v>
      </c>
      <c r="G131" s="9" t="s">
        <v>22</v>
      </c>
      <c r="H131" s="9" t="s">
        <v>22</v>
      </c>
      <c r="I131" s="9" t="s">
        <v>22</v>
      </c>
      <c r="J131" s="50" t="s">
        <v>22</v>
      </c>
      <c r="K131" s="9" t="s">
        <v>22</v>
      </c>
      <c r="L131" s="50"/>
      <c r="M131" s="9" t="s">
        <v>45</v>
      </c>
      <c r="N131" s="50" t="s">
        <v>22</v>
      </c>
      <c r="O131" s="50" t="s">
        <v>22</v>
      </c>
      <c r="P131" s="50" t="s">
        <v>22</v>
      </c>
      <c r="Q131" s="50"/>
      <c r="R131" s="50" t="s">
        <v>22</v>
      </c>
      <c r="S131" s="50" t="s">
        <v>22</v>
      </c>
      <c r="T131" s="50" t="s">
        <v>22</v>
      </c>
      <c r="U131" s="50" t="s">
        <v>22</v>
      </c>
      <c r="V131" s="9">
        <v>20210319</v>
      </c>
      <c r="W131" s="21" t="s">
        <v>1209</v>
      </c>
      <c r="X131" s="21">
        <v>1988</v>
      </c>
      <c r="Z131" s="9" t="s">
        <v>124</v>
      </c>
      <c r="AA131" s="9" t="s">
        <v>783</v>
      </c>
      <c r="AB131" s="50">
        <f>((900*10^-8)^-1)*10^-6</f>
        <v>0.1111111111111111</v>
      </c>
      <c r="AC131" s="9" t="s">
        <v>22</v>
      </c>
      <c r="AD131" s="50" t="s">
        <v>22</v>
      </c>
      <c r="AE131" s="50" t="s">
        <v>22</v>
      </c>
      <c r="AF131" s="50" t="s">
        <v>22</v>
      </c>
      <c r="AG131" s="50" t="s">
        <v>22</v>
      </c>
      <c r="AH131" s="50" t="s">
        <v>22</v>
      </c>
      <c r="AI131" s="50" t="s">
        <v>22</v>
      </c>
      <c r="AJ131" s="50" t="s">
        <v>22</v>
      </c>
      <c r="AK131" s="50" t="s">
        <v>22</v>
      </c>
      <c r="AL131" s="50"/>
      <c r="AM131" s="43" t="e">
        <f t="shared" si="65"/>
        <v>#VALUE!</v>
      </c>
      <c r="AN131" s="43" t="e">
        <f t="shared" si="66"/>
        <v>#VALUE!</v>
      </c>
      <c r="AO131" s="21" t="s">
        <v>1204</v>
      </c>
      <c r="AT131" s="2">
        <f t="shared" si="67"/>
        <v>8</v>
      </c>
      <c r="AU131" s="45">
        <f t="shared" si="68"/>
        <v>-0.93851972517649185</v>
      </c>
      <c r="AV131" s="45" t="e">
        <f t="shared" si="69"/>
        <v>#VALUE!</v>
      </c>
      <c r="AW131" s="45" t="e">
        <f t="shared" si="70"/>
        <v>#VALUE!</v>
      </c>
      <c r="AX131" s="45" t="e">
        <f t="shared" si="71"/>
        <v>#VALUE!</v>
      </c>
      <c r="AY131" s="45" t="e">
        <f t="shared" si="72"/>
        <v>#VALUE!</v>
      </c>
      <c r="AZ131" s="45" t="e">
        <f t="shared" si="73"/>
        <v>#VALUE!</v>
      </c>
      <c r="BA131" s="45" t="e">
        <f t="shared" si="74"/>
        <v>#VALUE!</v>
      </c>
      <c r="BB131" s="45" t="e">
        <f t="shared" si="75"/>
        <v>#NUM!</v>
      </c>
      <c r="BC131" s="45" t="e">
        <f t="shared" si="76"/>
        <v>#VALUE!</v>
      </c>
      <c r="BD131" s="45" t="e">
        <f t="shared" si="77"/>
        <v>#VALUE!</v>
      </c>
      <c r="BE131" s="45" t="e">
        <f t="shared" si="78"/>
        <v>#VALUE!</v>
      </c>
      <c r="BF131" s="45" t="e">
        <f t="shared" si="79"/>
        <v>#VALUE!</v>
      </c>
      <c r="BG131" s="45" t="e">
        <f t="shared" si="80"/>
        <v>#VALUE!</v>
      </c>
      <c r="BH131" s="45">
        <f t="shared" si="81"/>
        <v>-0.95424250943932487</v>
      </c>
      <c r="BI131" s="43" t="e">
        <f t="shared" si="82"/>
        <v>#VALUE!</v>
      </c>
      <c r="BL131" s="20"/>
      <c r="BM131" s="50"/>
      <c r="BN131" s="50"/>
      <c r="BO131" s="50"/>
      <c r="BP131" s="50"/>
      <c r="BQ131" s="50"/>
      <c r="BR131" s="50"/>
      <c r="BU131" s="50"/>
      <c r="BV131" s="50"/>
      <c r="BW131" s="50"/>
      <c r="BX131" s="50"/>
      <c r="BY131" s="50"/>
      <c r="BZ131" s="50"/>
      <c r="CA131" s="43" t="s">
        <v>22</v>
      </c>
      <c r="CE131" s="50"/>
      <c r="CF131" s="50"/>
      <c r="CG131" s="50"/>
      <c r="CH131" s="50"/>
      <c r="CI131" s="50" t="str">
        <f t="shared" si="63"/>
        <v>Not Reported/ Can not calculate</v>
      </c>
      <c r="CJ131" s="50" t="e">
        <f t="shared" si="64"/>
        <v>#VALUE!</v>
      </c>
      <c r="CL131" s="9" t="s">
        <v>1268</v>
      </c>
      <c r="CM131" s="9" t="s">
        <v>1284</v>
      </c>
      <c r="CN131" s="55" t="s">
        <v>1284</v>
      </c>
      <c r="CO131" s="9" t="s">
        <v>1284</v>
      </c>
    </row>
    <row r="132" spans="1:93" x14ac:dyDescent="0.25">
      <c r="A132" t="s">
        <v>343</v>
      </c>
      <c r="B132" s="41">
        <v>2</v>
      </c>
      <c r="C132" s="41" t="s">
        <v>22</v>
      </c>
      <c r="D132" s="41" t="s">
        <v>22</v>
      </c>
      <c r="E132" s="41" t="s">
        <v>22</v>
      </c>
      <c r="F132" t="s">
        <v>22</v>
      </c>
      <c r="G132" t="s">
        <v>22</v>
      </c>
      <c r="H132">
        <v>42</v>
      </c>
      <c r="I132" t="s">
        <v>82</v>
      </c>
      <c r="J132" s="41" t="s">
        <v>22</v>
      </c>
      <c r="K132" t="s">
        <v>22</v>
      </c>
      <c r="L132" s="41" t="e">
        <f t="shared" ref="L132:L144" si="83">IF((10^-12)*J132*K132^4=0,"",(10^-12)*J132*K132^4)</f>
        <v>#VALUE!</v>
      </c>
      <c r="M132" t="s">
        <v>45</v>
      </c>
      <c r="N132" s="41" t="s">
        <v>22</v>
      </c>
      <c r="O132" s="41" t="s">
        <v>22</v>
      </c>
      <c r="P132" s="41" t="s">
        <v>22</v>
      </c>
      <c r="R132" s="41" t="s">
        <v>22</v>
      </c>
      <c r="S132" s="41" t="s">
        <v>22</v>
      </c>
      <c r="T132" s="41" t="s">
        <v>22</v>
      </c>
      <c r="U132" s="41" t="s">
        <v>22</v>
      </c>
      <c r="V132">
        <v>20200531</v>
      </c>
      <c r="W132" s="16" t="s">
        <v>1095</v>
      </c>
      <c r="X132">
        <v>1988</v>
      </c>
      <c r="Y132" t="s">
        <v>343</v>
      </c>
      <c r="Z132" t="s">
        <v>22</v>
      </c>
      <c r="AA132" s="18" t="s">
        <v>894</v>
      </c>
      <c r="AB132" s="41" t="s">
        <v>22</v>
      </c>
      <c r="AC132" t="s">
        <v>22</v>
      </c>
      <c r="AD132" s="41" t="s">
        <v>22</v>
      </c>
      <c r="AE132" s="41" t="s">
        <v>22</v>
      </c>
      <c r="AF132" s="41" t="s">
        <v>22</v>
      </c>
      <c r="AG132" s="41" t="s">
        <v>22</v>
      </c>
      <c r="AH132" s="41" t="s">
        <v>22</v>
      </c>
      <c r="AI132" s="41" t="s">
        <v>22</v>
      </c>
      <c r="AJ132" s="41" t="s">
        <v>22</v>
      </c>
      <c r="AK132" s="41" t="s">
        <v>22</v>
      </c>
      <c r="AL132" s="41" t="s">
        <v>22</v>
      </c>
      <c r="AM132" s="43" t="e">
        <f t="shared" si="65"/>
        <v>#VALUE!</v>
      </c>
      <c r="AN132" s="43" t="e">
        <f t="shared" si="66"/>
        <v>#VALUE!</v>
      </c>
      <c r="AO132" s="3" t="s">
        <v>1094</v>
      </c>
      <c r="AT132" s="2">
        <f t="shared" si="67"/>
        <v>1</v>
      </c>
      <c r="AU132" s="45">
        <f t="shared" si="68"/>
        <v>0.3010299956639812</v>
      </c>
      <c r="AV132" s="45" t="e">
        <f t="shared" si="69"/>
        <v>#VALUE!</v>
      </c>
      <c r="AW132" s="45" t="e">
        <f t="shared" si="70"/>
        <v>#VALUE!</v>
      </c>
      <c r="AX132" s="45" t="e">
        <f t="shared" si="71"/>
        <v>#VALUE!</v>
      </c>
      <c r="AY132" s="45" t="e">
        <f t="shared" si="72"/>
        <v>#VALUE!</v>
      </c>
      <c r="AZ132" s="45" t="e">
        <f t="shared" si="73"/>
        <v>#VALUE!</v>
      </c>
      <c r="BA132" s="45" t="e">
        <f t="shared" si="74"/>
        <v>#VALUE!</v>
      </c>
      <c r="BB132" s="45" t="e">
        <f t="shared" si="75"/>
        <v>#VALUE!</v>
      </c>
      <c r="BC132" s="45" t="e">
        <f t="shared" si="76"/>
        <v>#VALUE!</v>
      </c>
      <c r="BD132" s="45" t="e">
        <f t="shared" si="77"/>
        <v>#VALUE!</v>
      </c>
      <c r="BE132" s="45" t="e">
        <f t="shared" si="78"/>
        <v>#VALUE!</v>
      </c>
      <c r="BF132" s="45" t="e">
        <f t="shared" si="79"/>
        <v>#VALUE!</v>
      </c>
      <c r="BG132" s="45" t="e">
        <f t="shared" si="80"/>
        <v>#VALUE!</v>
      </c>
      <c r="BH132" s="45" t="e">
        <f t="shared" si="81"/>
        <v>#VALUE!</v>
      </c>
      <c r="BI132" s="43" t="e">
        <f t="shared" si="82"/>
        <v>#VALUE!</v>
      </c>
      <c r="CA132" s="43" t="s">
        <v>22</v>
      </c>
      <c r="CC132" t="s">
        <v>22</v>
      </c>
      <c r="CE132" s="41" t="s">
        <v>22</v>
      </c>
      <c r="CF132" s="41" t="s">
        <v>22</v>
      </c>
      <c r="CG132" s="41" t="s">
        <v>22</v>
      </c>
      <c r="CH132" s="41" t="s">
        <v>22</v>
      </c>
      <c r="CI132" s="41" t="s">
        <v>22</v>
      </c>
      <c r="CJ132" s="41" t="e">
        <f t="shared" ref="CJ132:CJ144" si="84">LOG10(CI132)</f>
        <v>#VALUE!</v>
      </c>
      <c r="CL132" s="9" t="s">
        <v>343</v>
      </c>
      <c r="CM132" s="18" t="s">
        <v>1284</v>
      </c>
      <c r="CN132" s="54" t="s">
        <v>1284</v>
      </c>
      <c r="CO132" s="18" t="s">
        <v>1284</v>
      </c>
    </row>
    <row r="133" spans="1:93" x14ac:dyDescent="0.25">
      <c r="A133" s="6" t="s">
        <v>345</v>
      </c>
      <c r="B133" s="41">
        <v>7.8</v>
      </c>
      <c r="L133" s="41" t="str">
        <f t="shared" si="83"/>
        <v/>
      </c>
      <c r="M133" t="s">
        <v>45</v>
      </c>
      <c r="V133">
        <v>20200101</v>
      </c>
      <c r="W133" s="16" t="s">
        <v>420</v>
      </c>
      <c r="X133">
        <v>1989</v>
      </c>
      <c r="AA133" s="18"/>
      <c r="AM133" s="43" t="e">
        <f t="shared" si="65"/>
        <v>#DIV/0!</v>
      </c>
      <c r="AN133" s="43" t="e">
        <f t="shared" si="66"/>
        <v>#DIV/0!</v>
      </c>
      <c r="AO133" s="3" t="s">
        <v>419</v>
      </c>
      <c r="AT133" s="2">
        <f t="shared" si="67"/>
        <v>4</v>
      </c>
      <c r="AU133" s="45">
        <f t="shared" si="68"/>
        <v>0.89209460269048035</v>
      </c>
      <c r="AV133" s="45" t="e">
        <f t="shared" si="69"/>
        <v>#NUM!</v>
      </c>
      <c r="AW133" s="45" t="e">
        <f t="shared" si="70"/>
        <v>#NUM!</v>
      </c>
      <c r="AX133" s="45" t="e">
        <f t="shared" si="71"/>
        <v>#NUM!</v>
      </c>
      <c r="AY133" s="45" t="e">
        <f t="shared" si="72"/>
        <v>#NUM!</v>
      </c>
      <c r="AZ133" s="45" t="e">
        <f t="shared" si="73"/>
        <v>#NUM!</v>
      </c>
      <c r="BA133" s="45" t="e">
        <f t="shared" si="74"/>
        <v>#NUM!</v>
      </c>
      <c r="BB133" s="45" t="e">
        <f t="shared" si="75"/>
        <v>#VALUE!</v>
      </c>
      <c r="BC133" s="45" t="e">
        <f t="shared" si="76"/>
        <v>#NUM!</v>
      </c>
      <c r="BD133" s="45" t="e">
        <f t="shared" si="77"/>
        <v>#NUM!</v>
      </c>
      <c r="BE133" s="45" t="e">
        <f t="shared" si="78"/>
        <v>#NUM!</v>
      </c>
      <c r="BF133" s="45" t="e">
        <f t="shared" si="79"/>
        <v>#DIV/0!</v>
      </c>
      <c r="BG133" s="45" t="e">
        <f t="shared" si="80"/>
        <v>#DIV/0!</v>
      </c>
      <c r="BH133" s="45" t="e">
        <f t="shared" si="81"/>
        <v>#NUM!</v>
      </c>
      <c r="BI133" s="43" t="e">
        <f t="shared" si="82"/>
        <v>#NUM!</v>
      </c>
      <c r="CA133" s="43" t="s">
        <v>22</v>
      </c>
      <c r="CC133" t="s">
        <v>22</v>
      </c>
      <c r="CE133" s="41" t="s">
        <v>22</v>
      </c>
      <c r="CF133" s="41" t="s">
        <v>22</v>
      </c>
      <c r="CG133" s="41" t="s">
        <v>22</v>
      </c>
      <c r="CH133" s="41" t="s">
        <v>22</v>
      </c>
      <c r="CI133" s="41" t="s">
        <v>22</v>
      </c>
      <c r="CJ133" s="41" t="e">
        <f t="shared" si="84"/>
        <v>#VALUE!</v>
      </c>
      <c r="CL133" s="9" t="s">
        <v>1268</v>
      </c>
      <c r="CM133" s="18" t="s">
        <v>1284</v>
      </c>
      <c r="CN133" s="54" t="s">
        <v>1284</v>
      </c>
      <c r="CO133" s="18" t="s">
        <v>1284</v>
      </c>
    </row>
    <row r="134" spans="1:93" x14ac:dyDescent="0.25">
      <c r="A134" s="6" t="s">
        <v>345</v>
      </c>
      <c r="B134" s="41">
        <v>14</v>
      </c>
      <c r="L134" s="41" t="str">
        <f t="shared" si="83"/>
        <v/>
      </c>
      <c r="M134" t="s">
        <v>45</v>
      </c>
      <c r="V134">
        <v>20200101</v>
      </c>
      <c r="W134" s="16" t="s">
        <v>420</v>
      </c>
      <c r="X134">
        <v>1989</v>
      </c>
      <c r="AA134" s="18"/>
      <c r="AM134" s="43" t="e">
        <f t="shared" si="65"/>
        <v>#DIV/0!</v>
      </c>
      <c r="AN134" s="43" t="e">
        <f t="shared" si="66"/>
        <v>#DIV/0!</v>
      </c>
      <c r="AO134" s="3" t="s">
        <v>419</v>
      </c>
      <c r="AT134" s="2">
        <f t="shared" si="67"/>
        <v>4</v>
      </c>
      <c r="AU134" s="45">
        <f t="shared" si="68"/>
        <v>1.146128035678238</v>
      </c>
      <c r="AV134" s="45" t="e">
        <f t="shared" si="69"/>
        <v>#NUM!</v>
      </c>
      <c r="AW134" s="45" t="e">
        <f t="shared" si="70"/>
        <v>#NUM!</v>
      </c>
      <c r="AX134" s="45" t="e">
        <f t="shared" si="71"/>
        <v>#NUM!</v>
      </c>
      <c r="AY134" s="45" t="e">
        <f t="shared" si="72"/>
        <v>#NUM!</v>
      </c>
      <c r="AZ134" s="45" t="e">
        <f t="shared" si="73"/>
        <v>#NUM!</v>
      </c>
      <c r="BA134" s="45" t="e">
        <f t="shared" si="74"/>
        <v>#NUM!</v>
      </c>
      <c r="BB134" s="45" t="e">
        <f t="shared" si="75"/>
        <v>#VALUE!</v>
      </c>
      <c r="BC134" s="45" t="e">
        <f t="shared" si="76"/>
        <v>#NUM!</v>
      </c>
      <c r="BD134" s="45" t="e">
        <f t="shared" si="77"/>
        <v>#NUM!</v>
      </c>
      <c r="BE134" s="45" t="e">
        <f t="shared" si="78"/>
        <v>#NUM!</v>
      </c>
      <c r="BF134" s="45" t="e">
        <f t="shared" si="79"/>
        <v>#DIV/0!</v>
      </c>
      <c r="BG134" s="45" t="e">
        <f t="shared" si="80"/>
        <v>#DIV/0!</v>
      </c>
      <c r="BH134" s="45" t="e">
        <f t="shared" si="81"/>
        <v>#NUM!</v>
      </c>
      <c r="BI134" s="43" t="e">
        <f t="shared" si="82"/>
        <v>#NUM!</v>
      </c>
      <c r="CA134" s="43" t="s">
        <v>22</v>
      </c>
      <c r="CC134" t="s">
        <v>22</v>
      </c>
      <c r="CE134" s="41" t="s">
        <v>22</v>
      </c>
      <c r="CF134" s="41" t="s">
        <v>22</v>
      </c>
      <c r="CG134" s="41" t="s">
        <v>22</v>
      </c>
      <c r="CH134" s="41" t="s">
        <v>22</v>
      </c>
      <c r="CI134" s="41" t="s">
        <v>22</v>
      </c>
      <c r="CJ134" s="41" t="e">
        <f t="shared" si="84"/>
        <v>#VALUE!</v>
      </c>
      <c r="CL134" s="9" t="s">
        <v>1268</v>
      </c>
      <c r="CM134" s="18" t="s">
        <v>1284</v>
      </c>
      <c r="CN134" s="54" t="s">
        <v>1284</v>
      </c>
      <c r="CO134" s="18" t="s">
        <v>1284</v>
      </c>
    </row>
    <row r="135" spans="1:93" x14ac:dyDescent="0.25">
      <c r="A135" s="6" t="s">
        <v>345</v>
      </c>
      <c r="B135" s="41">
        <v>20</v>
      </c>
      <c r="L135" s="41" t="str">
        <f t="shared" si="83"/>
        <v/>
      </c>
      <c r="M135" t="s">
        <v>45</v>
      </c>
      <c r="V135">
        <v>20200101</v>
      </c>
      <c r="W135" s="16" t="s">
        <v>421</v>
      </c>
      <c r="X135">
        <v>1989</v>
      </c>
      <c r="AA135" s="18"/>
      <c r="AM135" s="43" t="e">
        <f t="shared" si="65"/>
        <v>#DIV/0!</v>
      </c>
      <c r="AN135" s="43" t="e">
        <f t="shared" si="66"/>
        <v>#DIV/0!</v>
      </c>
      <c r="AO135" s="3" t="s">
        <v>419</v>
      </c>
      <c r="AT135" s="2">
        <f t="shared" si="67"/>
        <v>4</v>
      </c>
      <c r="AU135" s="45">
        <f t="shared" si="68"/>
        <v>1.3010299956639813</v>
      </c>
      <c r="AV135" s="45" t="e">
        <f t="shared" si="69"/>
        <v>#NUM!</v>
      </c>
      <c r="AW135" s="45" t="e">
        <f t="shared" si="70"/>
        <v>#NUM!</v>
      </c>
      <c r="AX135" s="45" t="e">
        <f t="shared" si="71"/>
        <v>#NUM!</v>
      </c>
      <c r="AY135" s="45" t="e">
        <f t="shared" si="72"/>
        <v>#NUM!</v>
      </c>
      <c r="AZ135" s="45" t="e">
        <f t="shared" si="73"/>
        <v>#NUM!</v>
      </c>
      <c r="BA135" s="45" t="e">
        <f t="shared" si="74"/>
        <v>#NUM!</v>
      </c>
      <c r="BB135" s="45" t="e">
        <f t="shared" si="75"/>
        <v>#VALUE!</v>
      </c>
      <c r="BC135" s="45" t="e">
        <f t="shared" si="76"/>
        <v>#NUM!</v>
      </c>
      <c r="BD135" s="45" t="e">
        <f t="shared" si="77"/>
        <v>#NUM!</v>
      </c>
      <c r="BE135" s="45" t="e">
        <f t="shared" si="78"/>
        <v>#NUM!</v>
      </c>
      <c r="BF135" s="45" t="e">
        <f t="shared" si="79"/>
        <v>#DIV/0!</v>
      </c>
      <c r="BG135" s="45" t="e">
        <f t="shared" si="80"/>
        <v>#DIV/0!</v>
      </c>
      <c r="BH135" s="45" t="e">
        <f t="shared" si="81"/>
        <v>#NUM!</v>
      </c>
      <c r="BI135" s="43" t="e">
        <f t="shared" si="82"/>
        <v>#NUM!</v>
      </c>
      <c r="CA135" s="43" t="s">
        <v>22</v>
      </c>
      <c r="CC135" t="s">
        <v>22</v>
      </c>
      <c r="CE135" s="41" t="s">
        <v>22</v>
      </c>
      <c r="CF135" s="41" t="s">
        <v>22</v>
      </c>
      <c r="CG135" s="41" t="s">
        <v>22</v>
      </c>
      <c r="CH135" s="41" t="s">
        <v>22</v>
      </c>
      <c r="CI135" s="41" t="s">
        <v>22</v>
      </c>
      <c r="CJ135" s="41" t="e">
        <f t="shared" si="84"/>
        <v>#VALUE!</v>
      </c>
      <c r="CL135" s="9" t="s">
        <v>1268</v>
      </c>
      <c r="CM135" s="18" t="s">
        <v>1284</v>
      </c>
      <c r="CN135" s="54" t="s">
        <v>1284</v>
      </c>
      <c r="CO135" s="18" t="s">
        <v>1284</v>
      </c>
    </row>
    <row r="136" spans="1:93" x14ac:dyDescent="0.25">
      <c r="A136" s="18" t="s">
        <v>345</v>
      </c>
      <c r="B136" s="41">
        <v>20</v>
      </c>
      <c r="L136" s="41" t="str">
        <f t="shared" si="83"/>
        <v/>
      </c>
      <c r="M136" t="s">
        <v>45</v>
      </c>
      <c r="V136">
        <v>20200101</v>
      </c>
      <c r="W136" s="16" t="s">
        <v>421</v>
      </c>
      <c r="X136">
        <v>1989</v>
      </c>
      <c r="AM136" s="43" t="e">
        <f t="shared" si="65"/>
        <v>#DIV/0!</v>
      </c>
      <c r="AN136" s="43" t="e">
        <f t="shared" si="66"/>
        <v>#DIV/0!</v>
      </c>
      <c r="AO136" s="3" t="s">
        <v>419</v>
      </c>
      <c r="AT136" s="2">
        <f t="shared" si="67"/>
        <v>4</v>
      </c>
      <c r="AU136" s="45">
        <f t="shared" si="68"/>
        <v>1.3010299956639813</v>
      </c>
      <c r="AV136" s="45" t="e">
        <f t="shared" si="69"/>
        <v>#NUM!</v>
      </c>
      <c r="AW136" s="45" t="e">
        <f t="shared" si="70"/>
        <v>#NUM!</v>
      </c>
      <c r="AX136" s="45" t="e">
        <f t="shared" si="71"/>
        <v>#NUM!</v>
      </c>
      <c r="AY136" s="45" t="e">
        <f t="shared" si="72"/>
        <v>#NUM!</v>
      </c>
      <c r="AZ136" s="45" t="e">
        <f t="shared" si="73"/>
        <v>#NUM!</v>
      </c>
      <c r="BA136" s="45" t="e">
        <f t="shared" si="74"/>
        <v>#NUM!</v>
      </c>
      <c r="BB136" s="45" t="e">
        <f t="shared" si="75"/>
        <v>#VALUE!</v>
      </c>
      <c r="BC136" s="45" t="e">
        <f t="shared" si="76"/>
        <v>#NUM!</v>
      </c>
      <c r="BD136" s="45" t="e">
        <f t="shared" si="77"/>
        <v>#NUM!</v>
      </c>
      <c r="BE136" s="45" t="e">
        <f t="shared" si="78"/>
        <v>#NUM!</v>
      </c>
      <c r="BF136" s="45" t="e">
        <f t="shared" si="79"/>
        <v>#DIV/0!</v>
      </c>
      <c r="BG136" s="45" t="e">
        <f t="shared" si="80"/>
        <v>#DIV/0!</v>
      </c>
      <c r="BH136" s="45" t="e">
        <f t="shared" si="81"/>
        <v>#NUM!</v>
      </c>
      <c r="BI136" s="43" t="e">
        <f t="shared" si="82"/>
        <v>#NUM!</v>
      </c>
      <c r="CA136" s="43" t="s">
        <v>22</v>
      </c>
      <c r="CC136" t="s">
        <v>22</v>
      </c>
      <c r="CE136" s="41" t="s">
        <v>22</v>
      </c>
      <c r="CF136" s="41" t="s">
        <v>22</v>
      </c>
      <c r="CG136" s="41" t="s">
        <v>22</v>
      </c>
      <c r="CH136" s="41" t="s">
        <v>22</v>
      </c>
      <c r="CI136" s="41" t="s">
        <v>22</v>
      </c>
      <c r="CJ136" s="41" t="e">
        <f t="shared" si="84"/>
        <v>#VALUE!</v>
      </c>
      <c r="CL136" s="9" t="s">
        <v>1268</v>
      </c>
      <c r="CM136" s="18" t="s">
        <v>1284</v>
      </c>
      <c r="CN136" s="54" t="s">
        <v>1284</v>
      </c>
      <c r="CO136" s="18" t="s">
        <v>1284</v>
      </c>
    </row>
    <row r="137" spans="1:93" x14ac:dyDescent="0.25">
      <c r="A137" s="18" t="s">
        <v>369</v>
      </c>
      <c r="B137" s="41">
        <v>3</v>
      </c>
      <c r="C137" s="41" t="s">
        <v>22</v>
      </c>
      <c r="D137" s="41" t="s">
        <v>22</v>
      </c>
      <c r="E137" s="41" t="s">
        <v>22</v>
      </c>
      <c r="F137" t="s">
        <v>22</v>
      </c>
      <c r="G137" t="s">
        <v>22</v>
      </c>
      <c r="H137" t="s">
        <v>22</v>
      </c>
      <c r="I137" t="s">
        <v>22</v>
      </c>
      <c r="J137" s="41" t="s">
        <v>22</v>
      </c>
      <c r="K137" t="s">
        <v>22</v>
      </c>
      <c r="L137" s="41" t="e">
        <f t="shared" si="83"/>
        <v>#VALUE!</v>
      </c>
      <c r="M137" t="s">
        <v>23</v>
      </c>
      <c r="N137" s="41" t="s">
        <v>22</v>
      </c>
      <c r="O137" s="41" t="s">
        <v>22</v>
      </c>
      <c r="P137" s="41" t="s">
        <v>22</v>
      </c>
      <c r="R137" s="41" t="s">
        <v>22</v>
      </c>
      <c r="S137" s="41" t="s">
        <v>22</v>
      </c>
      <c r="T137" s="41" t="s">
        <v>22</v>
      </c>
      <c r="U137" s="41" t="s">
        <v>22</v>
      </c>
      <c r="V137">
        <v>20200114</v>
      </c>
      <c r="W137" s="16" t="s">
        <v>438</v>
      </c>
      <c r="X137">
        <v>1989</v>
      </c>
      <c r="Y137" t="s">
        <v>1132</v>
      </c>
      <c r="Z137" t="s">
        <v>1093</v>
      </c>
      <c r="AC137" t="s">
        <v>22</v>
      </c>
      <c r="AE137" s="41" t="s">
        <v>22</v>
      </c>
      <c r="AF137" s="41" t="s">
        <v>22</v>
      </c>
      <c r="AG137" s="41" t="s">
        <v>22</v>
      </c>
      <c r="AH137" s="41" t="s">
        <v>22</v>
      </c>
      <c r="AI137" s="41" t="s">
        <v>22</v>
      </c>
      <c r="AJ137" s="41" t="s">
        <v>22</v>
      </c>
      <c r="AK137" s="41" t="s">
        <v>22</v>
      </c>
      <c r="AL137" s="41" t="s">
        <v>22</v>
      </c>
      <c r="AM137" s="43" t="e">
        <f t="shared" si="65"/>
        <v>#VALUE!</v>
      </c>
      <c r="AN137" s="43" t="e">
        <f t="shared" si="66"/>
        <v>#VALUE!</v>
      </c>
      <c r="AO137" s="3" t="s">
        <v>1089</v>
      </c>
      <c r="AT137" s="2">
        <f t="shared" si="67"/>
        <v>6</v>
      </c>
      <c r="AU137" s="45">
        <f t="shared" si="68"/>
        <v>0.47712125471966244</v>
      </c>
      <c r="AV137" s="45" t="e">
        <f t="shared" si="69"/>
        <v>#VALUE!</v>
      </c>
      <c r="AW137" s="45" t="e">
        <f t="shared" si="70"/>
        <v>#VALUE!</v>
      </c>
      <c r="AX137" s="45" t="e">
        <f t="shared" si="71"/>
        <v>#VALUE!</v>
      </c>
      <c r="AY137" s="45" t="e">
        <f t="shared" si="72"/>
        <v>#VALUE!</v>
      </c>
      <c r="AZ137" s="45" t="e">
        <f t="shared" si="73"/>
        <v>#VALUE!</v>
      </c>
      <c r="BA137" s="45" t="e">
        <f t="shared" si="74"/>
        <v>#VALUE!</v>
      </c>
      <c r="BB137" s="45" t="e">
        <f t="shared" si="75"/>
        <v>#VALUE!</v>
      </c>
      <c r="BC137" s="45" t="e">
        <f t="shared" si="76"/>
        <v>#VALUE!</v>
      </c>
      <c r="BD137" s="45" t="e">
        <f t="shared" si="77"/>
        <v>#NUM!</v>
      </c>
      <c r="BE137" s="45" t="e">
        <f t="shared" si="78"/>
        <v>#VALUE!</v>
      </c>
      <c r="BF137" s="45" t="e">
        <f t="shared" si="79"/>
        <v>#VALUE!</v>
      </c>
      <c r="BG137" s="45" t="e">
        <f t="shared" si="80"/>
        <v>#VALUE!</v>
      </c>
      <c r="BH137" s="45" t="e">
        <f t="shared" si="81"/>
        <v>#NUM!</v>
      </c>
      <c r="BI137" s="43" t="e">
        <f t="shared" si="82"/>
        <v>#VALUE!</v>
      </c>
      <c r="CA137" s="43" t="s">
        <v>22</v>
      </c>
      <c r="CC137" t="s">
        <v>22</v>
      </c>
      <c r="CE137" s="41" t="s">
        <v>22</v>
      </c>
      <c r="CF137" s="41" t="s">
        <v>22</v>
      </c>
      <c r="CG137" s="41" t="s">
        <v>22</v>
      </c>
      <c r="CH137" s="41" t="s">
        <v>22</v>
      </c>
      <c r="CI137" s="41" t="s">
        <v>22</v>
      </c>
      <c r="CJ137" s="41" t="e">
        <f t="shared" si="84"/>
        <v>#VALUE!</v>
      </c>
      <c r="CL137" s="9" t="s">
        <v>1268</v>
      </c>
      <c r="CM137" s="18" t="s">
        <v>1284</v>
      </c>
      <c r="CN137" s="54" t="s">
        <v>1284</v>
      </c>
      <c r="CO137" s="18" t="s">
        <v>1284</v>
      </c>
    </row>
    <row r="138" spans="1:93" x14ac:dyDescent="0.25">
      <c r="A138" s="18" t="s">
        <v>345</v>
      </c>
      <c r="B138" s="41">
        <v>14</v>
      </c>
      <c r="C138" s="41" t="s">
        <v>22</v>
      </c>
      <c r="D138" s="41" t="s">
        <v>22</v>
      </c>
      <c r="E138" s="41" t="s">
        <v>22</v>
      </c>
      <c r="F138" t="s">
        <v>22</v>
      </c>
      <c r="G138" t="s">
        <v>22</v>
      </c>
      <c r="H138" t="s">
        <v>22</v>
      </c>
      <c r="I138" t="s">
        <v>22</v>
      </c>
      <c r="J138" s="41" t="s">
        <v>22</v>
      </c>
      <c r="K138" t="s">
        <v>22</v>
      </c>
      <c r="L138" s="41" t="e">
        <f t="shared" si="83"/>
        <v>#VALUE!</v>
      </c>
      <c r="M138" t="s">
        <v>45</v>
      </c>
      <c r="N138" s="41" t="s">
        <v>22</v>
      </c>
      <c r="O138" s="41" t="s">
        <v>22</v>
      </c>
      <c r="P138" s="41" t="s">
        <v>22</v>
      </c>
      <c r="R138" s="41" t="s">
        <v>22</v>
      </c>
      <c r="S138" s="41" t="s">
        <v>22</v>
      </c>
      <c r="T138" s="41" t="s">
        <v>22</v>
      </c>
      <c r="U138" s="41" t="s">
        <v>22</v>
      </c>
      <c r="V138">
        <v>20200114</v>
      </c>
      <c r="W138" s="16" t="s">
        <v>439</v>
      </c>
      <c r="X138">
        <v>1989</v>
      </c>
      <c r="Y138" t="s">
        <v>1132</v>
      </c>
      <c r="Z138" t="s">
        <v>1090</v>
      </c>
      <c r="AA138" t="s">
        <v>424</v>
      </c>
      <c r="AB138" s="41">
        <v>3</v>
      </c>
      <c r="AC138" t="s">
        <v>22</v>
      </c>
      <c r="AE138" s="41" t="s">
        <v>22</v>
      </c>
      <c r="AF138" s="41" t="s">
        <v>22</v>
      </c>
      <c r="AG138" s="41" t="s">
        <v>22</v>
      </c>
      <c r="AH138" s="41" t="s">
        <v>22</v>
      </c>
      <c r="AI138" s="41" t="s">
        <v>22</v>
      </c>
      <c r="AJ138" s="41" t="s">
        <v>22</v>
      </c>
      <c r="AK138" s="41" t="s">
        <v>22</v>
      </c>
      <c r="AL138" s="41" t="s">
        <v>22</v>
      </c>
      <c r="AM138" s="43" t="e">
        <f t="shared" si="65"/>
        <v>#VALUE!</v>
      </c>
      <c r="AN138" s="43" t="e">
        <f t="shared" si="66"/>
        <v>#VALUE!</v>
      </c>
      <c r="AO138" s="3" t="s">
        <v>1089</v>
      </c>
      <c r="AT138" s="2">
        <f t="shared" si="67"/>
        <v>6</v>
      </c>
      <c r="AU138" s="45">
        <f t="shared" si="68"/>
        <v>1.146128035678238</v>
      </c>
      <c r="AV138" s="45" t="e">
        <f t="shared" si="69"/>
        <v>#VALUE!</v>
      </c>
      <c r="AW138" s="45" t="e">
        <f t="shared" si="70"/>
        <v>#VALUE!</v>
      </c>
      <c r="AX138" s="45" t="e">
        <f t="shared" si="71"/>
        <v>#VALUE!</v>
      </c>
      <c r="AY138" s="45" t="e">
        <f t="shared" si="72"/>
        <v>#VALUE!</v>
      </c>
      <c r="AZ138" s="45" t="e">
        <f t="shared" si="73"/>
        <v>#VALUE!</v>
      </c>
      <c r="BA138" s="45" t="e">
        <f t="shared" si="74"/>
        <v>#VALUE!</v>
      </c>
      <c r="BB138" s="45" t="e">
        <f t="shared" si="75"/>
        <v>#VALUE!</v>
      </c>
      <c r="BC138" s="45" t="e">
        <f t="shared" si="76"/>
        <v>#VALUE!</v>
      </c>
      <c r="BD138" s="45" t="e">
        <f t="shared" si="77"/>
        <v>#NUM!</v>
      </c>
      <c r="BE138" s="45" t="e">
        <f t="shared" si="78"/>
        <v>#VALUE!</v>
      </c>
      <c r="BF138" s="45" t="e">
        <f t="shared" si="79"/>
        <v>#VALUE!</v>
      </c>
      <c r="BG138" s="45" t="e">
        <f t="shared" si="80"/>
        <v>#VALUE!</v>
      </c>
      <c r="BH138" s="45">
        <f t="shared" si="81"/>
        <v>0.47712125471966244</v>
      </c>
      <c r="BI138" s="43" t="e">
        <f t="shared" si="82"/>
        <v>#VALUE!</v>
      </c>
      <c r="CA138" s="43" t="s">
        <v>22</v>
      </c>
      <c r="CC138" t="s">
        <v>22</v>
      </c>
      <c r="CE138" s="41" t="s">
        <v>22</v>
      </c>
      <c r="CF138" s="41" t="s">
        <v>22</v>
      </c>
      <c r="CG138" s="41" t="s">
        <v>22</v>
      </c>
      <c r="CH138" s="41" t="s">
        <v>22</v>
      </c>
      <c r="CI138" s="41" t="s">
        <v>22</v>
      </c>
      <c r="CJ138" s="41" t="e">
        <f t="shared" si="84"/>
        <v>#VALUE!</v>
      </c>
      <c r="CL138" s="9" t="s">
        <v>1268</v>
      </c>
      <c r="CM138" s="18" t="s">
        <v>1284</v>
      </c>
      <c r="CN138" s="54" t="s">
        <v>1284</v>
      </c>
      <c r="CO138" s="18" t="s">
        <v>1284</v>
      </c>
    </row>
    <row r="139" spans="1:93" x14ac:dyDescent="0.25">
      <c r="A139" s="18" t="s">
        <v>345</v>
      </c>
      <c r="B139" s="41">
        <v>8.4</v>
      </c>
      <c r="C139" s="41" t="s">
        <v>22</v>
      </c>
      <c r="D139" s="41" t="s">
        <v>22</v>
      </c>
      <c r="E139" s="41" t="s">
        <v>22</v>
      </c>
      <c r="F139" t="s">
        <v>22</v>
      </c>
      <c r="G139" t="s">
        <v>22</v>
      </c>
      <c r="H139" t="s">
        <v>22</v>
      </c>
      <c r="I139" t="s">
        <v>22</v>
      </c>
      <c r="J139" s="41" t="s">
        <v>22</v>
      </c>
      <c r="K139" t="s">
        <v>22</v>
      </c>
      <c r="L139" s="41" t="e">
        <f t="shared" si="83"/>
        <v>#VALUE!</v>
      </c>
      <c r="M139" t="s">
        <v>45</v>
      </c>
      <c r="N139" s="41" t="s">
        <v>22</v>
      </c>
      <c r="O139" s="41" t="s">
        <v>22</v>
      </c>
      <c r="P139" s="41" t="s">
        <v>22</v>
      </c>
      <c r="R139" s="41" t="s">
        <v>22</v>
      </c>
      <c r="S139" s="41" t="s">
        <v>22</v>
      </c>
      <c r="T139" s="41" t="s">
        <v>22</v>
      </c>
      <c r="U139" s="41" t="s">
        <v>22</v>
      </c>
      <c r="V139">
        <v>20200114</v>
      </c>
      <c r="W139" s="16" t="s">
        <v>440</v>
      </c>
      <c r="X139">
        <v>1989</v>
      </c>
      <c r="Y139" t="s">
        <v>1132</v>
      </c>
      <c r="Z139" t="s">
        <v>1090</v>
      </c>
      <c r="AA139" t="s">
        <v>737</v>
      </c>
      <c r="AB139" s="41">
        <v>3</v>
      </c>
      <c r="AC139" t="s">
        <v>22</v>
      </c>
      <c r="AE139" s="41" t="s">
        <v>22</v>
      </c>
      <c r="AF139" s="41" t="s">
        <v>22</v>
      </c>
      <c r="AG139" s="41" t="s">
        <v>22</v>
      </c>
      <c r="AH139" s="41" t="s">
        <v>22</v>
      </c>
      <c r="AI139" s="41" t="s">
        <v>22</v>
      </c>
      <c r="AJ139" s="41" t="s">
        <v>22</v>
      </c>
      <c r="AK139" s="41" t="s">
        <v>22</v>
      </c>
      <c r="AL139" s="41" t="s">
        <v>22</v>
      </c>
      <c r="AM139" s="43" t="e">
        <f t="shared" si="65"/>
        <v>#VALUE!</v>
      </c>
      <c r="AN139" s="43" t="e">
        <f t="shared" si="66"/>
        <v>#VALUE!</v>
      </c>
      <c r="AO139" s="3" t="s">
        <v>1089</v>
      </c>
      <c r="AT139" s="2">
        <f t="shared" si="67"/>
        <v>6</v>
      </c>
      <c r="AU139" s="45">
        <f t="shared" si="68"/>
        <v>0.9242792860618817</v>
      </c>
      <c r="AV139" s="45" t="e">
        <f t="shared" si="69"/>
        <v>#VALUE!</v>
      </c>
      <c r="AW139" s="45" t="e">
        <f t="shared" si="70"/>
        <v>#VALUE!</v>
      </c>
      <c r="AX139" s="45" t="e">
        <f t="shared" si="71"/>
        <v>#VALUE!</v>
      </c>
      <c r="AY139" s="45" t="e">
        <f t="shared" si="72"/>
        <v>#VALUE!</v>
      </c>
      <c r="AZ139" s="45" t="e">
        <f t="shared" si="73"/>
        <v>#VALUE!</v>
      </c>
      <c r="BA139" s="45" t="e">
        <f t="shared" si="74"/>
        <v>#VALUE!</v>
      </c>
      <c r="BB139" s="45" t="e">
        <f t="shared" si="75"/>
        <v>#VALUE!</v>
      </c>
      <c r="BC139" s="45" t="e">
        <f t="shared" si="76"/>
        <v>#VALUE!</v>
      </c>
      <c r="BD139" s="45" t="e">
        <f t="shared" si="77"/>
        <v>#NUM!</v>
      </c>
      <c r="BE139" s="45" t="e">
        <f t="shared" si="78"/>
        <v>#VALUE!</v>
      </c>
      <c r="BF139" s="45" t="e">
        <f t="shared" si="79"/>
        <v>#VALUE!</v>
      </c>
      <c r="BG139" s="45" t="e">
        <f t="shared" si="80"/>
        <v>#VALUE!</v>
      </c>
      <c r="BH139" s="45">
        <f t="shared" si="81"/>
        <v>0.47712125471966244</v>
      </c>
      <c r="BI139" s="43" t="e">
        <f t="shared" si="82"/>
        <v>#VALUE!</v>
      </c>
      <c r="CA139" s="43" t="s">
        <v>22</v>
      </c>
      <c r="CC139" t="s">
        <v>22</v>
      </c>
      <c r="CE139" s="41" t="s">
        <v>22</v>
      </c>
      <c r="CF139" s="41" t="s">
        <v>22</v>
      </c>
      <c r="CG139" s="41" t="s">
        <v>22</v>
      </c>
      <c r="CH139" s="41" t="s">
        <v>22</v>
      </c>
      <c r="CI139" s="41" t="s">
        <v>22</v>
      </c>
      <c r="CJ139" s="41" t="e">
        <f t="shared" si="84"/>
        <v>#VALUE!</v>
      </c>
      <c r="CL139" s="9" t="s">
        <v>1268</v>
      </c>
      <c r="CM139" s="18" t="s">
        <v>1284</v>
      </c>
      <c r="CN139" s="54" t="s">
        <v>1284</v>
      </c>
      <c r="CO139" s="18" t="s">
        <v>1284</v>
      </c>
    </row>
    <row r="140" spans="1:93" x14ac:dyDescent="0.25">
      <c r="A140" s="18" t="s">
        <v>345</v>
      </c>
      <c r="B140" s="41">
        <v>16</v>
      </c>
      <c r="C140" s="41" t="s">
        <v>22</v>
      </c>
      <c r="D140" s="41" t="s">
        <v>22</v>
      </c>
      <c r="E140" s="41" t="s">
        <v>22</v>
      </c>
      <c r="F140" t="s">
        <v>22</v>
      </c>
      <c r="G140" t="s">
        <v>22</v>
      </c>
      <c r="H140" t="s">
        <v>22</v>
      </c>
      <c r="I140" t="s">
        <v>22</v>
      </c>
      <c r="J140" s="41" t="s">
        <v>22</v>
      </c>
      <c r="K140" t="s">
        <v>22</v>
      </c>
      <c r="L140" s="41" t="e">
        <f t="shared" si="83"/>
        <v>#VALUE!</v>
      </c>
      <c r="M140" t="s">
        <v>45</v>
      </c>
      <c r="N140" s="41" t="s">
        <v>22</v>
      </c>
      <c r="O140" s="41" t="s">
        <v>22</v>
      </c>
      <c r="P140" s="41" t="s">
        <v>22</v>
      </c>
      <c r="R140" s="41" t="s">
        <v>22</v>
      </c>
      <c r="S140" s="41" t="s">
        <v>22</v>
      </c>
      <c r="T140" s="41" t="s">
        <v>22</v>
      </c>
      <c r="U140" s="41" t="s">
        <v>22</v>
      </c>
      <c r="V140">
        <v>20200114</v>
      </c>
      <c r="W140" s="16" t="s">
        <v>441</v>
      </c>
      <c r="X140" s="18">
        <v>1989</v>
      </c>
      <c r="Y140" t="s">
        <v>1132</v>
      </c>
      <c r="Z140" t="s">
        <v>1090</v>
      </c>
      <c r="AA140" t="s">
        <v>783</v>
      </c>
      <c r="AB140" s="41">
        <v>3</v>
      </c>
      <c r="AC140" t="s">
        <v>22</v>
      </c>
      <c r="AE140" s="41" t="s">
        <v>22</v>
      </c>
      <c r="AF140" s="41" t="s">
        <v>22</v>
      </c>
      <c r="AG140" s="41" t="s">
        <v>22</v>
      </c>
      <c r="AH140" s="41" t="s">
        <v>22</v>
      </c>
      <c r="AI140" s="41" t="s">
        <v>22</v>
      </c>
      <c r="AJ140" s="41" t="s">
        <v>22</v>
      </c>
      <c r="AK140" s="41" t="s">
        <v>22</v>
      </c>
      <c r="AL140" s="41" t="s">
        <v>22</v>
      </c>
      <c r="AM140" s="43" t="e">
        <f t="shared" si="65"/>
        <v>#VALUE!</v>
      </c>
      <c r="AN140" s="43" t="e">
        <f t="shared" si="66"/>
        <v>#VALUE!</v>
      </c>
      <c r="AO140" s="3" t="s">
        <v>1089</v>
      </c>
      <c r="AT140" s="2">
        <f t="shared" si="67"/>
        <v>6</v>
      </c>
      <c r="AU140" s="45">
        <f t="shared" si="68"/>
        <v>1.2041199826559248</v>
      </c>
      <c r="AV140" s="45" t="e">
        <f t="shared" si="69"/>
        <v>#VALUE!</v>
      </c>
      <c r="AW140" s="45" t="e">
        <f t="shared" si="70"/>
        <v>#VALUE!</v>
      </c>
      <c r="AX140" s="45" t="e">
        <f t="shared" si="71"/>
        <v>#VALUE!</v>
      </c>
      <c r="AY140" s="45" t="e">
        <f t="shared" si="72"/>
        <v>#VALUE!</v>
      </c>
      <c r="AZ140" s="45" t="e">
        <f t="shared" si="73"/>
        <v>#VALUE!</v>
      </c>
      <c r="BA140" s="45" t="e">
        <f t="shared" si="74"/>
        <v>#VALUE!</v>
      </c>
      <c r="BB140" s="45" t="e">
        <f t="shared" si="75"/>
        <v>#VALUE!</v>
      </c>
      <c r="BC140" s="45" t="e">
        <f t="shared" si="76"/>
        <v>#VALUE!</v>
      </c>
      <c r="BD140" s="45" t="e">
        <f t="shared" si="77"/>
        <v>#NUM!</v>
      </c>
      <c r="BE140" s="45" t="e">
        <f t="shared" si="78"/>
        <v>#VALUE!</v>
      </c>
      <c r="BF140" s="45" t="e">
        <f t="shared" si="79"/>
        <v>#VALUE!</v>
      </c>
      <c r="BG140" s="45" t="e">
        <f t="shared" si="80"/>
        <v>#VALUE!</v>
      </c>
      <c r="BH140" s="45">
        <f t="shared" si="81"/>
        <v>0.47712125471966244</v>
      </c>
      <c r="BI140" s="43" t="e">
        <f t="shared" si="82"/>
        <v>#VALUE!</v>
      </c>
      <c r="CA140" s="43" t="s">
        <v>22</v>
      </c>
      <c r="CC140" t="s">
        <v>22</v>
      </c>
      <c r="CE140" s="41" t="s">
        <v>22</v>
      </c>
      <c r="CF140" s="41" t="s">
        <v>22</v>
      </c>
      <c r="CG140" s="41" t="s">
        <v>22</v>
      </c>
      <c r="CH140" s="41" t="s">
        <v>22</v>
      </c>
      <c r="CI140" s="41" t="s">
        <v>22</v>
      </c>
      <c r="CJ140" s="41" t="e">
        <f t="shared" si="84"/>
        <v>#VALUE!</v>
      </c>
      <c r="CL140" s="9" t="s">
        <v>1268</v>
      </c>
      <c r="CM140" s="18" t="s">
        <v>1284</v>
      </c>
      <c r="CN140" s="54" t="s">
        <v>1284</v>
      </c>
      <c r="CO140" s="18" t="s">
        <v>1284</v>
      </c>
    </row>
    <row r="141" spans="1:93" x14ac:dyDescent="0.25">
      <c r="A141" s="18" t="s">
        <v>345</v>
      </c>
      <c r="B141" s="41">
        <v>10</v>
      </c>
      <c r="C141" s="41" t="s">
        <v>22</v>
      </c>
      <c r="D141" s="41" t="s">
        <v>22</v>
      </c>
      <c r="E141" s="41" t="s">
        <v>22</v>
      </c>
      <c r="F141" t="s">
        <v>22</v>
      </c>
      <c r="G141" t="s">
        <v>22</v>
      </c>
      <c r="H141" t="s">
        <v>22</v>
      </c>
      <c r="I141" t="s">
        <v>22</v>
      </c>
      <c r="J141" s="41" t="s">
        <v>22</v>
      </c>
      <c r="K141" t="s">
        <v>22</v>
      </c>
      <c r="L141" s="41" t="e">
        <f t="shared" si="83"/>
        <v>#VALUE!</v>
      </c>
      <c r="M141" t="s">
        <v>45</v>
      </c>
      <c r="N141" s="41" t="s">
        <v>22</v>
      </c>
      <c r="O141" s="41" t="s">
        <v>22</v>
      </c>
      <c r="P141" s="41" t="s">
        <v>22</v>
      </c>
      <c r="R141" s="41" t="s">
        <v>22</v>
      </c>
      <c r="S141" s="41" t="s">
        <v>22</v>
      </c>
      <c r="T141" s="41" t="s">
        <v>22</v>
      </c>
      <c r="U141" s="41" t="s">
        <v>22</v>
      </c>
      <c r="V141">
        <v>20200114</v>
      </c>
      <c r="W141" s="16" t="s">
        <v>442</v>
      </c>
      <c r="X141" s="18">
        <v>1989</v>
      </c>
      <c r="Y141" t="s">
        <v>1132</v>
      </c>
      <c r="Z141" t="s">
        <v>1090</v>
      </c>
      <c r="AA141" t="s">
        <v>747</v>
      </c>
      <c r="AB141" s="41">
        <v>3</v>
      </c>
      <c r="AC141" t="s">
        <v>22</v>
      </c>
      <c r="AD141" s="41">
        <v>30</v>
      </c>
      <c r="AE141" s="41" t="s">
        <v>22</v>
      </c>
      <c r="AF141" s="41" t="s">
        <v>22</v>
      </c>
      <c r="AG141" s="41" t="s">
        <v>22</v>
      </c>
      <c r="AH141" s="41" t="s">
        <v>22</v>
      </c>
      <c r="AI141" s="41" t="s">
        <v>22</v>
      </c>
      <c r="AJ141" s="41" t="s">
        <v>22</v>
      </c>
      <c r="AK141" s="41" t="s">
        <v>22</v>
      </c>
      <c r="AL141" s="41" t="s">
        <v>22</v>
      </c>
      <c r="AM141" s="43" t="e">
        <f t="shared" si="65"/>
        <v>#VALUE!</v>
      </c>
      <c r="AN141" s="43" t="e">
        <f t="shared" si="66"/>
        <v>#VALUE!</v>
      </c>
      <c r="AO141" s="3" t="s">
        <v>1089</v>
      </c>
      <c r="AT141" s="2">
        <f t="shared" si="67"/>
        <v>6</v>
      </c>
      <c r="AU141" s="45">
        <f t="shared" si="68"/>
        <v>1</v>
      </c>
      <c r="AV141" s="45" t="e">
        <f t="shared" si="69"/>
        <v>#VALUE!</v>
      </c>
      <c r="AW141" s="45" t="e">
        <f t="shared" si="70"/>
        <v>#VALUE!</v>
      </c>
      <c r="AX141" s="45" t="e">
        <f t="shared" si="71"/>
        <v>#VALUE!</v>
      </c>
      <c r="AY141" s="45" t="e">
        <f t="shared" si="72"/>
        <v>#VALUE!</v>
      </c>
      <c r="AZ141" s="45" t="e">
        <f t="shared" si="73"/>
        <v>#VALUE!</v>
      </c>
      <c r="BA141" s="45" t="e">
        <f t="shared" si="74"/>
        <v>#VALUE!</v>
      </c>
      <c r="BB141" s="45" t="e">
        <f t="shared" si="75"/>
        <v>#VALUE!</v>
      </c>
      <c r="BC141" s="45" t="e">
        <f t="shared" si="76"/>
        <v>#VALUE!</v>
      </c>
      <c r="BD141" s="45">
        <f t="shared" si="77"/>
        <v>1.4771212547196624</v>
      </c>
      <c r="BE141" s="45" t="e">
        <f t="shared" si="78"/>
        <v>#VALUE!</v>
      </c>
      <c r="BF141" s="45" t="e">
        <f t="shared" si="79"/>
        <v>#VALUE!</v>
      </c>
      <c r="BG141" s="45" t="e">
        <f t="shared" si="80"/>
        <v>#VALUE!</v>
      </c>
      <c r="BH141" s="45">
        <f t="shared" si="81"/>
        <v>0.47712125471966244</v>
      </c>
      <c r="BI141" s="43" t="e">
        <f t="shared" si="82"/>
        <v>#VALUE!</v>
      </c>
      <c r="BJ141" t="s">
        <v>22</v>
      </c>
      <c r="BK141" t="s">
        <v>521</v>
      </c>
      <c r="BL141" s="2" t="s">
        <v>1144</v>
      </c>
      <c r="BM141" s="43" t="s">
        <v>22</v>
      </c>
      <c r="BN141" s="41">
        <v>700000000</v>
      </c>
      <c r="BO141" s="41" t="s">
        <v>22</v>
      </c>
      <c r="BP141" s="41" t="s">
        <v>22</v>
      </c>
      <c r="BQ141" s="41" t="s">
        <v>22</v>
      </c>
      <c r="BR141" s="41" t="s">
        <v>22</v>
      </c>
      <c r="BS141" t="s">
        <v>22</v>
      </c>
      <c r="BT141" t="s">
        <v>22</v>
      </c>
      <c r="BU141" s="41" t="s">
        <v>22</v>
      </c>
      <c r="BV141" s="41" t="s">
        <v>22</v>
      </c>
      <c r="BW141" s="41" t="s">
        <v>22</v>
      </c>
      <c r="BX141" s="41" t="s">
        <v>22</v>
      </c>
      <c r="BY141" s="41" t="s">
        <v>22</v>
      </c>
      <c r="BZ141" s="41" t="s">
        <v>22</v>
      </c>
      <c r="CA141" s="41" t="s">
        <v>22</v>
      </c>
      <c r="CC141" t="s">
        <v>1009</v>
      </c>
      <c r="CE141" s="41">
        <f>LOG10(BN141)</f>
        <v>8.8450980400142569</v>
      </c>
      <c r="CG141" s="41">
        <f>AD141*1000</f>
        <v>30000</v>
      </c>
      <c r="CH141" s="41">
        <f>LOG10(CG141)</f>
        <v>4.4771212547196626</v>
      </c>
      <c r="CI141" s="41">
        <f>IF(ISNUMBER(CG141),CG141,U141)</f>
        <v>30000</v>
      </c>
      <c r="CJ141" s="41">
        <f t="shared" si="84"/>
        <v>4.4771212547196626</v>
      </c>
      <c r="CL141" s="9" t="s">
        <v>1268</v>
      </c>
      <c r="CM141" s="18" t="s">
        <v>1283</v>
      </c>
      <c r="CN141" s="54" t="s">
        <v>1284</v>
      </c>
      <c r="CO141" s="18" t="s">
        <v>1284</v>
      </c>
    </row>
    <row r="142" spans="1:93" x14ac:dyDescent="0.25">
      <c r="A142" s="18" t="s">
        <v>345</v>
      </c>
      <c r="B142" s="41">
        <v>14</v>
      </c>
      <c r="C142" s="41" t="s">
        <v>22</v>
      </c>
      <c r="D142" s="41" t="s">
        <v>22</v>
      </c>
      <c r="E142" s="41" t="s">
        <v>22</v>
      </c>
      <c r="F142" t="s">
        <v>22</v>
      </c>
      <c r="G142" t="s">
        <v>22</v>
      </c>
      <c r="H142" t="s">
        <v>22</v>
      </c>
      <c r="I142" t="s">
        <v>22</v>
      </c>
      <c r="J142" s="41" t="s">
        <v>22</v>
      </c>
      <c r="K142" t="s">
        <v>22</v>
      </c>
      <c r="L142" s="41" t="e">
        <f t="shared" si="83"/>
        <v>#VALUE!</v>
      </c>
      <c r="M142" t="s">
        <v>45</v>
      </c>
      <c r="N142" s="41" t="s">
        <v>22</v>
      </c>
      <c r="O142" s="41" t="s">
        <v>22</v>
      </c>
      <c r="P142" s="41" t="s">
        <v>22</v>
      </c>
      <c r="R142" s="41" t="s">
        <v>22</v>
      </c>
      <c r="S142" s="41" t="s">
        <v>22</v>
      </c>
      <c r="T142" s="41" t="s">
        <v>22</v>
      </c>
      <c r="U142" s="41" t="s">
        <v>22</v>
      </c>
      <c r="V142">
        <v>20200114</v>
      </c>
      <c r="W142" s="16" t="s">
        <v>443</v>
      </c>
      <c r="X142" s="18">
        <v>1989</v>
      </c>
      <c r="Y142" t="s">
        <v>1132</v>
      </c>
      <c r="Z142" t="s">
        <v>1090</v>
      </c>
      <c r="AA142" t="s">
        <v>772</v>
      </c>
      <c r="AB142" s="41">
        <v>3</v>
      </c>
      <c r="AC142" t="s">
        <v>22</v>
      </c>
      <c r="AE142" s="41" t="s">
        <v>22</v>
      </c>
      <c r="AF142" s="41" t="s">
        <v>22</v>
      </c>
      <c r="AG142" s="41" t="s">
        <v>22</v>
      </c>
      <c r="AH142" s="41" t="s">
        <v>22</v>
      </c>
      <c r="AI142" s="41" t="s">
        <v>22</v>
      </c>
      <c r="AJ142" s="41" t="s">
        <v>22</v>
      </c>
      <c r="AK142" s="41" t="s">
        <v>22</v>
      </c>
      <c r="AL142" s="41" t="s">
        <v>22</v>
      </c>
      <c r="AM142" s="43" t="e">
        <f t="shared" si="65"/>
        <v>#VALUE!</v>
      </c>
      <c r="AN142" s="43" t="e">
        <f t="shared" si="66"/>
        <v>#VALUE!</v>
      </c>
      <c r="AO142" s="3" t="s">
        <v>1089</v>
      </c>
      <c r="AT142" s="2">
        <f t="shared" si="67"/>
        <v>6</v>
      </c>
      <c r="AU142" s="45">
        <f t="shared" si="68"/>
        <v>1.146128035678238</v>
      </c>
      <c r="AV142" s="45" t="e">
        <f t="shared" si="69"/>
        <v>#VALUE!</v>
      </c>
      <c r="AW142" s="45" t="e">
        <f t="shared" si="70"/>
        <v>#VALUE!</v>
      </c>
      <c r="AX142" s="45" t="e">
        <f t="shared" si="71"/>
        <v>#VALUE!</v>
      </c>
      <c r="AY142" s="45" t="e">
        <f t="shared" si="72"/>
        <v>#VALUE!</v>
      </c>
      <c r="AZ142" s="45" t="e">
        <f t="shared" si="73"/>
        <v>#VALUE!</v>
      </c>
      <c r="BA142" s="45" t="e">
        <f t="shared" si="74"/>
        <v>#VALUE!</v>
      </c>
      <c r="BB142" s="45" t="e">
        <f t="shared" si="75"/>
        <v>#VALUE!</v>
      </c>
      <c r="BC142" s="45" t="e">
        <f t="shared" si="76"/>
        <v>#VALUE!</v>
      </c>
      <c r="BD142" s="45" t="e">
        <f t="shared" si="77"/>
        <v>#NUM!</v>
      </c>
      <c r="BE142" s="45" t="e">
        <f t="shared" si="78"/>
        <v>#VALUE!</v>
      </c>
      <c r="BF142" s="45" t="e">
        <f t="shared" si="79"/>
        <v>#VALUE!</v>
      </c>
      <c r="BG142" s="45" t="e">
        <f t="shared" si="80"/>
        <v>#VALUE!</v>
      </c>
      <c r="BH142" s="45">
        <f t="shared" si="81"/>
        <v>0.47712125471966244</v>
      </c>
      <c r="BI142" s="43" t="e">
        <f t="shared" si="82"/>
        <v>#VALUE!</v>
      </c>
      <c r="CA142" s="41" t="s">
        <v>22</v>
      </c>
      <c r="CC142" t="s">
        <v>22</v>
      </c>
      <c r="CE142" s="41" t="s">
        <v>22</v>
      </c>
      <c r="CF142" s="41" t="s">
        <v>22</v>
      </c>
      <c r="CG142" s="41" t="s">
        <v>22</v>
      </c>
      <c r="CH142" s="41" t="s">
        <v>22</v>
      </c>
      <c r="CI142" s="41" t="s">
        <v>22</v>
      </c>
      <c r="CJ142" s="41" t="e">
        <f t="shared" si="84"/>
        <v>#VALUE!</v>
      </c>
      <c r="CL142" s="9" t="s">
        <v>1268</v>
      </c>
      <c r="CM142" s="18" t="s">
        <v>1284</v>
      </c>
      <c r="CN142" s="54" t="s">
        <v>1284</v>
      </c>
      <c r="CO142" s="18" t="s">
        <v>1284</v>
      </c>
    </row>
    <row r="143" spans="1:93" ht="30" x14ac:dyDescent="0.25">
      <c r="A143" t="s">
        <v>345</v>
      </c>
      <c r="B143" s="41">
        <v>60</v>
      </c>
      <c r="C143" s="41">
        <v>2.2695000000000012</v>
      </c>
      <c r="D143" s="41">
        <v>26.437541308658279</v>
      </c>
      <c r="E143" s="41" t="s">
        <v>22</v>
      </c>
      <c r="F143" t="s">
        <v>22</v>
      </c>
      <c r="G143" t="s">
        <v>22</v>
      </c>
      <c r="H143" t="s">
        <v>22</v>
      </c>
      <c r="I143" t="s">
        <v>22</v>
      </c>
      <c r="J143" s="41" t="s">
        <v>22</v>
      </c>
      <c r="K143" t="s">
        <v>22</v>
      </c>
      <c r="L143" s="41" t="e">
        <f t="shared" si="83"/>
        <v>#VALUE!</v>
      </c>
      <c r="M143" t="s">
        <v>45</v>
      </c>
      <c r="N143" s="41" t="s">
        <v>22</v>
      </c>
      <c r="O143" s="41" t="s">
        <v>22</v>
      </c>
      <c r="P143" s="41" t="s">
        <v>22</v>
      </c>
      <c r="R143" s="41" t="s">
        <v>22</v>
      </c>
      <c r="S143" s="41" t="s">
        <v>22</v>
      </c>
      <c r="T143" s="41" t="s">
        <v>22</v>
      </c>
      <c r="U143" s="41" t="s">
        <v>22</v>
      </c>
      <c r="V143">
        <v>20200114</v>
      </c>
      <c r="W143" s="16" t="s">
        <v>437</v>
      </c>
      <c r="X143" s="18">
        <v>1989</v>
      </c>
      <c r="Y143" t="s">
        <v>1092</v>
      </c>
      <c r="Z143" t="s">
        <v>1090</v>
      </c>
      <c r="AA143" t="s">
        <v>424</v>
      </c>
      <c r="AB143" s="41" t="s">
        <v>22</v>
      </c>
      <c r="AC143" t="s">
        <v>22</v>
      </c>
      <c r="AF143" s="41" t="s">
        <v>22</v>
      </c>
      <c r="AG143" s="41" t="s">
        <v>22</v>
      </c>
      <c r="AH143" s="41" t="s">
        <v>22</v>
      </c>
      <c r="AI143" s="41" t="s">
        <v>22</v>
      </c>
      <c r="AJ143" s="41" t="s">
        <v>22</v>
      </c>
      <c r="AK143" s="41" t="s">
        <v>22</v>
      </c>
      <c r="AL143" s="41" t="s">
        <v>22</v>
      </c>
      <c r="AM143" s="43" t="e">
        <f t="shared" si="65"/>
        <v>#VALUE!</v>
      </c>
      <c r="AN143" s="43" t="e">
        <f t="shared" si="66"/>
        <v>#VALUE!</v>
      </c>
      <c r="AO143" s="30" t="s">
        <v>1153</v>
      </c>
      <c r="AT143" s="2">
        <f t="shared" si="67"/>
        <v>2</v>
      </c>
      <c r="AU143" s="45">
        <f t="shared" si="68"/>
        <v>1.7781512503836436</v>
      </c>
      <c r="AV143" s="45">
        <f t="shared" si="69"/>
        <v>0.3559301870788682</v>
      </c>
      <c r="AW143" s="45">
        <f t="shared" si="70"/>
        <v>1.4222210633047754</v>
      </c>
      <c r="AX143" s="45" t="e">
        <f t="shared" si="71"/>
        <v>#VALUE!</v>
      </c>
      <c r="AY143" s="45" t="e">
        <f t="shared" si="72"/>
        <v>#VALUE!</v>
      </c>
      <c r="AZ143" s="45" t="e">
        <f t="shared" si="73"/>
        <v>#VALUE!</v>
      </c>
      <c r="BA143" s="45" t="e">
        <f t="shared" si="74"/>
        <v>#VALUE!</v>
      </c>
      <c r="BB143" s="45" t="e">
        <f t="shared" si="75"/>
        <v>#VALUE!</v>
      </c>
      <c r="BC143" s="45" t="e">
        <f t="shared" si="76"/>
        <v>#VALUE!</v>
      </c>
      <c r="BD143" s="45" t="e">
        <f t="shared" si="77"/>
        <v>#NUM!</v>
      </c>
      <c r="BE143" s="45" t="e">
        <f t="shared" si="78"/>
        <v>#VALUE!</v>
      </c>
      <c r="BF143" s="45" t="e">
        <f t="shared" si="79"/>
        <v>#VALUE!</v>
      </c>
      <c r="BG143" s="45" t="e">
        <f t="shared" si="80"/>
        <v>#VALUE!</v>
      </c>
      <c r="BH143" s="45" t="e">
        <f t="shared" si="81"/>
        <v>#VALUE!</v>
      </c>
      <c r="BI143" s="43" t="e">
        <f t="shared" si="82"/>
        <v>#VALUE!</v>
      </c>
      <c r="CA143" s="41" t="s">
        <v>22</v>
      </c>
      <c r="CC143" t="s">
        <v>22</v>
      </c>
      <c r="CE143" s="41" t="s">
        <v>22</v>
      </c>
      <c r="CF143" s="41" t="s">
        <v>22</v>
      </c>
      <c r="CG143" s="41" t="s">
        <v>22</v>
      </c>
      <c r="CH143" s="41" t="s">
        <v>22</v>
      </c>
      <c r="CI143" s="41" t="s">
        <v>22</v>
      </c>
      <c r="CJ143" s="41" t="e">
        <f t="shared" si="84"/>
        <v>#VALUE!</v>
      </c>
      <c r="CL143" s="9" t="s">
        <v>1268</v>
      </c>
      <c r="CM143" s="18" t="s">
        <v>1284</v>
      </c>
      <c r="CN143" s="54" t="s">
        <v>1284</v>
      </c>
      <c r="CO143" s="18" t="s">
        <v>1284</v>
      </c>
    </row>
    <row r="144" spans="1:93" ht="30" x14ac:dyDescent="0.25">
      <c r="A144" s="18" t="s">
        <v>345</v>
      </c>
      <c r="B144" s="41">
        <f>60*1.5</f>
        <v>90</v>
      </c>
      <c r="C144" s="41">
        <v>2.2695000000000016</v>
      </c>
      <c r="D144" s="41">
        <v>39.656311962987417</v>
      </c>
      <c r="E144" s="41" t="s">
        <v>22</v>
      </c>
      <c r="F144" s="18" t="s">
        <v>22</v>
      </c>
      <c r="G144" s="18" t="s">
        <v>22</v>
      </c>
      <c r="H144" s="18" t="s">
        <v>22</v>
      </c>
      <c r="I144" s="18" t="s">
        <v>22</v>
      </c>
      <c r="J144" s="41" t="s">
        <v>22</v>
      </c>
      <c r="K144" s="18" t="s">
        <v>22</v>
      </c>
      <c r="L144" s="41" t="e">
        <f t="shared" si="83"/>
        <v>#VALUE!</v>
      </c>
      <c r="M144" s="18" t="s">
        <v>45</v>
      </c>
      <c r="N144" s="41" t="s">
        <v>22</v>
      </c>
      <c r="O144" s="41" t="s">
        <v>22</v>
      </c>
      <c r="P144" s="41" t="s">
        <v>22</v>
      </c>
      <c r="R144" s="41" t="s">
        <v>22</v>
      </c>
      <c r="S144" s="41" t="s">
        <v>22</v>
      </c>
      <c r="T144" s="41" t="s">
        <v>22</v>
      </c>
      <c r="U144" s="41" t="s">
        <v>22</v>
      </c>
      <c r="V144" s="18">
        <v>20200114</v>
      </c>
      <c r="W144" s="21" t="s">
        <v>437</v>
      </c>
      <c r="X144" s="18">
        <v>1989</v>
      </c>
      <c r="Y144" s="18" t="s">
        <v>1092</v>
      </c>
      <c r="Z144" s="18" t="s">
        <v>1090</v>
      </c>
      <c r="AA144" s="18" t="s">
        <v>424</v>
      </c>
      <c r="AB144" s="41" t="s">
        <v>22</v>
      </c>
      <c r="AC144" s="18" t="s">
        <v>22</v>
      </c>
      <c r="AF144" s="41" t="s">
        <v>22</v>
      </c>
      <c r="AG144" s="41" t="s">
        <v>22</v>
      </c>
      <c r="AH144" s="41" t="s">
        <v>22</v>
      </c>
      <c r="AI144" s="41" t="s">
        <v>22</v>
      </c>
      <c r="AJ144" s="41" t="s">
        <v>22</v>
      </c>
      <c r="AK144" s="41" t="s">
        <v>22</v>
      </c>
      <c r="AL144" s="41" t="s">
        <v>22</v>
      </c>
      <c r="AM144" s="43" t="e">
        <f t="shared" si="65"/>
        <v>#VALUE!</v>
      </c>
      <c r="AN144" s="43" t="e">
        <f t="shared" si="66"/>
        <v>#VALUE!</v>
      </c>
      <c r="AO144" s="30" t="s">
        <v>1153</v>
      </c>
      <c r="AP144" s="18"/>
      <c r="AQ144" s="18"/>
      <c r="AR144" s="18"/>
      <c r="AS144" s="18"/>
      <c r="AT144" s="2">
        <f t="shared" si="67"/>
        <v>2</v>
      </c>
      <c r="AU144" s="45">
        <f t="shared" si="68"/>
        <v>1.954242509439325</v>
      </c>
      <c r="AV144" s="45">
        <f t="shared" si="69"/>
        <v>0.35593018707886825</v>
      </c>
      <c r="AW144" s="45">
        <f t="shared" si="70"/>
        <v>1.5983123223604567</v>
      </c>
      <c r="AX144" s="45" t="e">
        <f t="shared" si="71"/>
        <v>#VALUE!</v>
      </c>
      <c r="AY144" s="45" t="e">
        <f t="shared" si="72"/>
        <v>#VALUE!</v>
      </c>
      <c r="AZ144" s="45" t="e">
        <f t="shared" si="73"/>
        <v>#VALUE!</v>
      </c>
      <c r="BA144" s="45" t="e">
        <f t="shared" si="74"/>
        <v>#VALUE!</v>
      </c>
      <c r="BB144" s="45" t="e">
        <f t="shared" si="75"/>
        <v>#VALUE!</v>
      </c>
      <c r="BC144" s="45" t="e">
        <f t="shared" si="76"/>
        <v>#VALUE!</v>
      </c>
      <c r="BD144" s="45" t="e">
        <f t="shared" si="77"/>
        <v>#NUM!</v>
      </c>
      <c r="BE144" s="45" t="e">
        <f t="shared" si="78"/>
        <v>#VALUE!</v>
      </c>
      <c r="BF144" s="45" t="e">
        <f t="shared" si="79"/>
        <v>#VALUE!</v>
      </c>
      <c r="BG144" s="45" t="e">
        <f t="shared" si="80"/>
        <v>#VALUE!</v>
      </c>
      <c r="BH144" s="45" t="e">
        <f t="shared" si="81"/>
        <v>#VALUE!</v>
      </c>
      <c r="BI144" s="43" t="e">
        <f t="shared" si="82"/>
        <v>#VALUE!</v>
      </c>
      <c r="BJ144" s="18"/>
      <c r="BK144" s="18"/>
      <c r="BL144" s="20"/>
      <c r="BS144" s="18"/>
      <c r="BT144" s="18"/>
      <c r="CA144" s="41" t="s">
        <v>22</v>
      </c>
      <c r="CB144" s="18"/>
      <c r="CC144" t="s">
        <v>22</v>
      </c>
      <c r="CE144" s="41" t="s">
        <v>22</v>
      </c>
      <c r="CF144" s="41" t="s">
        <v>22</v>
      </c>
      <c r="CG144" s="41" t="s">
        <v>22</v>
      </c>
      <c r="CH144" s="41" t="s">
        <v>22</v>
      </c>
      <c r="CI144" s="41" t="s">
        <v>22</v>
      </c>
      <c r="CJ144" s="41" t="e">
        <f t="shared" si="84"/>
        <v>#VALUE!</v>
      </c>
      <c r="CL144" s="9" t="s">
        <v>1268</v>
      </c>
      <c r="CM144" s="18" t="s">
        <v>1284</v>
      </c>
      <c r="CN144" s="54" t="s">
        <v>1284</v>
      </c>
      <c r="CO144" s="18" t="s">
        <v>1284</v>
      </c>
    </row>
    <row r="145" spans="1:93" s="9" customFormat="1" ht="15" customHeight="1" x14ac:dyDescent="0.25">
      <c r="A145" s="9" t="s">
        <v>345</v>
      </c>
      <c r="B145" s="50">
        <f>((198*10^-8)^-1)*10^-6</f>
        <v>0.50505050505050497</v>
      </c>
      <c r="C145" s="50">
        <v>2.1019999999999999</v>
      </c>
      <c r="D145" s="50">
        <f t="shared" ref="D145:D150" si="85">0.001*(B145*10^6)/(C145*0.001*100^3)</f>
        <v>0.2402714105853973</v>
      </c>
      <c r="E145" s="50" t="s">
        <v>22</v>
      </c>
      <c r="F145" s="9" t="s">
        <v>22</v>
      </c>
      <c r="G145" s="9" t="s">
        <v>22</v>
      </c>
      <c r="H145" s="9" t="s">
        <v>22</v>
      </c>
      <c r="I145" s="9" t="s">
        <v>22</v>
      </c>
      <c r="J145" s="50" t="s">
        <v>22</v>
      </c>
      <c r="K145" s="9" t="s">
        <v>22</v>
      </c>
      <c r="L145" s="50"/>
      <c r="M145" s="9" t="s">
        <v>45</v>
      </c>
      <c r="N145" s="50" t="s">
        <v>22</v>
      </c>
      <c r="O145" s="50" t="s">
        <v>22</v>
      </c>
      <c r="P145" s="50" t="s">
        <v>22</v>
      </c>
      <c r="Q145" s="50"/>
      <c r="R145" s="50" t="s">
        <v>22</v>
      </c>
      <c r="S145" s="50" t="s">
        <v>22</v>
      </c>
      <c r="T145" s="50" t="s">
        <v>22</v>
      </c>
      <c r="U145" s="50" t="s">
        <v>22</v>
      </c>
      <c r="V145" s="9">
        <v>20210319</v>
      </c>
      <c r="W145" s="21" t="s">
        <v>1213</v>
      </c>
      <c r="X145" s="21">
        <v>1989</v>
      </c>
      <c r="Z145" s="9" t="s">
        <v>124</v>
      </c>
      <c r="AA145" s="9" t="s">
        <v>783</v>
      </c>
      <c r="AB145" s="50">
        <f>((665*10^-8)^-1)*10^-6</f>
        <v>0.15037593984962405</v>
      </c>
      <c r="AC145" s="9" t="s">
        <v>22</v>
      </c>
      <c r="AD145" s="50" t="s">
        <v>22</v>
      </c>
      <c r="AE145" s="50" t="s">
        <v>22</v>
      </c>
      <c r="AF145" s="50" t="s">
        <v>22</v>
      </c>
      <c r="AG145" s="50" t="s">
        <v>22</v>
      </c>
      <c r="AH145" s="50" t="s">
        <v>22</v>
      </c>
      <c r="AI145" s="50" t="s">
        <v>22</v>
      </c>
      <c r="AJ145" s="50" t="s">
        <v>22</v>
      </c>
      <c r="AK145" s="50" t="s">
        <v>22</v>
      </c>
      <c r="AL145" s="50" t="s">
        <v>22</v>
      </c>
      <c r="AM145" s="43" t="e">
        <f t="shared" si="65"/>
        <v>#VALUE!</v>
      </c>
      <c r="AN145" s="43" t="e">
        <f t="shared" si="66"/>
        <v>#VALUE!</v>
      </c>
      <c r="AO145" s="21" t="s">
        <v>1219</v>
      </c>
      <c r="AT145" s="2">
        <f t="shared" si="67"/>
        <v>9</v>
      </c>
      <c r="AU145" s="45">
        <f t="shared" si="68"/>
        <v>-0.29666519026153115</v>
      </c>
      <c r="AV145" s="45">
        <f t="shared" si="69"/>
        <v>0.32263271169222341</v>
      </c>
      <c r="AW145" s="45">
        <f t="shared" si="70"/>
        <v>-0.61929790195375445</v>
      </c>
      <c r="AX145" s="45" t="e">
        <f t="shared" si="71"/>
        <v>#VALUE!</v>
      </c>
      <c r="AY145" s="45" t="e">
        <f t="shared" si="72"/>
        <v>#VALUE!</v>
      </c>
      <c r="AZ145" s="45" t="e">
        <f t="shared" si="73"/>
        <v>#VALUE!</v>
      </c>
      <c r="BA145" s="45" t="e">
        <f t="shared" si="74"/>
        <v>#VALUE!</v>
      </c>
      <c r="BB145" s="45" t="e">
        <f t="shared" si="75"/>
        <v>#NUM!</v>
      </c>
      <c r="BC145" s="45" t="e">
        <f t="shared" si="76"/>
        <v>#VALUE!</v>
      </c>
      <c r="BD145" s="45" t="e">
        <f t="shared" si="77"/>
        <v>#VALUE!</v>
      </c>
      <c r="BE145" s="45" t="e">
        <f t="shared" si="78"/>
        <v>#VALUE!</v>
      </c>
      <c r="BF145" s="45" t="e">
        <f t="shared" si="79"/>
        <v>#VALUE!</v>
      </c>
      <c r="BG145" s="45" t="e">
        <f t="shared" si="80"/>
        <v>#VALUE!</v>
      </c>
      <c r="BH145" s="45">
        <f t="shared" si="81"/>
        <v>-0.82282164530310464</v>
      </c>
      <c r="BI145" s="43" t="e">
        <f t="shared" si="82"/>
        <v>#VALUE!</v>
      </c>
      <c r="BL145" s="20"/>
      <c r="BM145" s="50"/>
      <c r="BN145" s="50"/>
      <c r="BO145" s="50"/>
      <c r="BP145" s="50"/>
      <c r="BQ145" s="50"/>
      <c r="BR145" s="50"/>
      <c r="BU145" s="50"/>
      <c r="BV145" s="50"/>
      <c r="BW145" s="50"/>
      <c r="BX145" s="50"/>
      <c r="BY145" s="50"/>
      <c r="BZ145" s="50"/>
      <c r="CA145" s="50" t="s">
        <v>22</v>
      </c>
      <c r="CE145" s="50"/>
      <c r="CF145" s="50"/>
      <c r="CG145" s="50"/>
      <c r="CH145" s="50"/>
      <c r="CI145" s="50" t="s">
        <v>22</v>
      </c>
      <c r="CJ145" s="50" t="e">
        <f t="shared" ref="CJ145:CJ153" si="86">LOG10(CI145)</f>
        <v>#VALUE!</v>
      </c>
      <c r="CL145" s="9" t="s">
        <v>1268</v>
      </c>
      <c r="CM145" s="9" t="s">
        <v>1284</v>
      </c>
      <c r="CN145" s="55" t="s">
        <v>1284</v>
      </c>
      <c r="CO145" s="9" t="s">
        <v>1284</v>
      </c>
    </row>
    <row r="146" spans="1:93" s="9" customFormat="1" x14ac:dyDescent="0.25">
      <c r="A146" s="9" t="s">
        <v>345</v>
      </c>
      <c r="B146" s="50">
        <f>((150*10^-8)^-1)*10^-6</f>
        <v>0.66666666666666663</v>
      </c>
      <c r="C146" s="50">
        <v>2.3929999999999998</v>
      </c>
      <c r="D146" s="50">
        <f t="shared" si="85"/>
        <v>0.27859033291544788</v>
      </c>
      <c r="E146" s="50" t="s">
        <v>22</v>
      </c>
      <c r="F146" s="9" t="s">
        <v>22</v>
      </c>
      <c r="G146" s="9" t="s">
        <v>22</v>
      </c>
      <c r="H146" s="9" t="s">
        <v>22</v>
      </c>
      <c r="I146" s="9" t="s">
        <v>22</v>
      </c>
      <c r="J146" s="50" t="s">
        <v>22</v>
      </c>
      <c r="K146" s="9" t="s">
        <v>22</v>
      </c>
      <c r="L146" s="50"/>
      <c r="M146" s="9" t="s">
        <v>45</v>
      </c>
      <c r="N146" s="50" t="s">
        <v>22</v>
      </c>
      <c r="O146" s="50" t="s">
        <v>22</v>
      </c>
      <c r="P146" s="50" t="s">
        <v>22</v>
      </c>
      <c r="Q146" s="50"/>
      <c r="R146" s="50" t="s">
        <v>22</v>
      </c>
      <c r="S146" s="50" t="s">
        <v>22</v>
      </c>
      <c r="T146" s="50" t="s">
        <v>22</v>
      </c>
      <c r="U146" s="50" t="s">
        <v>22</v>
      </c>
      <c r="V146" s="9">
        <v>20210319</v>
      </c>
      <c r="W146" s="21" t="s">
        <v>1214</v>
      </c>
      <c r="X146" s="21">
        <v>1989</v>
      </c>
      <c r="Z146" s="9" t="s">
        <v>124</v>
      </c>
      <c r="AA146" s="9" t="s">
        <v>783</v>
      </c>
      <c r="AB146" s="50">
        <f>((283*10^-8)^-1)*10^-6</f>
        <v>0.35335689045936391</v>
      </c>
      <c r="AC146" s="9" t="s">
        <v>22</v>
      </c>
      <c r="AD146" s="50" t="s">
        <v>22</v>
      </c>
      <c r="AE146" s="50" t="s">
        <v>22</v>
      </c>
      <c r="AF146" s="50" t="s">
        <v>22</v>
      </c>
      <c r="AG146" s="50" t="s">
        <v>22</v>
      </c>
      <c r="AH146" s="50" t="s">
        <v>22</v>
      </c>
      <c r="AI146" s="50" t="s">
        <v>22</v>
      </c>
      <c r="AJ146" s="50" t="s">
        <v>22</v>
      </c>
      <c r="AK146" s="50" t="s">
        <v>22</v>
      </c>
      <c r="AL146" s="50" t="s">
        <v>22</v>
      </c>
      <c r="AM146" s="43" t="e">
        <f t="shared" si="65"/>
        <v>#VALUE!</v>
      </c>
      <c r="AN146" s="43" t="e">
        <f t="shared" si="66"/>
        <v>#VALUE!</v>
      </c>
      <c r="AO146" s="21" t="s">
        <v>1219</v>
      </c>
      <c r="AT146" s="2">
        <f t="shared" si="67"/>
        <v>9</v>
      </c>
      <c r="AU146" s="45">
        <f t="shared" si="68"/>
        <v>-0.17609125905568127</v>
      </c>
      <c r="AV146" s="45">
        <f t="shared" si="69"/>
        <v>0.37894269861343732</v>
      </c>
      <c r="AW146" s="45">
        <f t="shared" si="70"/>
        <v>-0.55503395766911856</v>
      </c>
      <c r="AX146" s="45" t="e">
        <f t="shared" si="71"/>
        <v>#VALUE!</v>
      </c>
      <c r="AY146" s="45" t="e">
        <f t="shared" si="72"/>
        <v>#VALUE!</v>
      </c>
      <c r="AZ146" s="45" t="e">
        <f t="shared" si="73"/>
        <v>#VALUE!</v>
      </c>
      <c r="BA146" s="45" t="e">
        <f t="shared" si="74"/>
        <v>#VALUE!</v>
      </c>
      <c r="BB146" s="45" t="e">
        <f t="shared" si="75"/>
        <v>#NUM!</v>
      </c>
      <c r="BC146" s="45" t="e">
        <f t="shared" si="76"/>
        <v>#VALUE!</v>
      </c>
      <c r="BD146" s="45" t="e">
        <f t="shared" si="77"/>
        <v>#VALUE!</v>
      </c>
      <c r="BE146" s="45" t="e">
        <f t="shared" si="78"/>
        <v>#VALUE!</v>
      </c>
      <c r="BF146" s="45" t="e">
        <f t="shared" si="79"/>
        <v>#VALUE!</v>
      </c>
      <c r="BG146" s="45" t="e">
        <f t="shared" si="80"/>
        <v>#VALUE!</v>
      </c>
      <c r="BH146" s="45">
        <f t="shared" si="81"/>
        <v>-0.45178643552429026</v>
      </c>
      <c r="BI146" s="43" t="e">
        <f t="shared" si="82"/>
        <v>#VALUE!</v>
      </c>
      <c r="BL146" s="20"/>
      <c r="BM146" s="50"/>
      <c r="BN146" s="50"/>
      <c r="BO146" s="50"/>
      <c r="BP146" s="50"/>
      <c r="BQ146" s="50"/>
      <c r="BR146" s="50"/>
      <c r="BU146" s="50"/>
      <c r="BV146" s="50"/>
      <c r="BW146" s="50"/>
      <c r="BX146" s="50"/>
      <c r="BY146" s="50"/>
      <c r="BZ146" s="50"/>
      <c r="CA146" s="50" t="s">
        <v>22</v>
      </c>
      <c r="CE146" s="50"/>
      <c r="CF146" s="50"/>
      <c r="CG146" s="50"/>
      <c r="CH146" s="50"/>
      <c r="CI146" s="50" t="s">
        <v>22</v>
      </c>
      <c r="CJ146" s="50" t="e">
        <f t="shared" si="86"/>
        <v>#VALUE!</v>
      </c>
      <c r="CL146" s="9" t="s">
        <v>1268</v>
      </c>
      <c r="CM146" s="9" t="s">
        <v>1284</v>
      </c>
      <c r="CN146" s="55" t="s">
        <v>1284</v>
      </c>
      <c r="CO146" s="9" t="s">
        <v>1284</v>
      </c>
    </row>
    <row r="147" spans="1:93" s="9" customFormat="1" x14ac:dyDescent="0.25">
      <c r="A147" s="9" t="s">
        <v>345</v>
      </c>
      <c r="B147" s="50">
        <f>((108*10^-8)^-1)*10^-6</f>
        <v>0.92592592592592582</v>
      </c>
      <c r="C147" s="50">
        <v>2.2290000000000001</v>
      </c>
      <c r="D147" s="50">
        <f t="shared" si="85"/>
        <v>0.41539969758902012</v>
      </c>
      <c r="E147" s="50" t="s">
        <v>22</v>
      </c>
      <c r="F147" s="9" t="s">
        <v>22</v>
      </c>
      <c r="G147" s="9" t="s">
        <v>22</v>
      </c>
      <c r="H147" s="9" t="s">
        <v>22</v>
      </c>
      <c r="I147" s="9" t="s">
        <v>22</v>
      </c>
      <c r="J147" s="50" t="s">
        <v>22</v>
      </c>
      <c r="K147" s="9" t="s">
        <v>22</v>
      </c>
      <c r="L147" s="50"/>
      <c r="M147" s="9" t="s">
        <v>45</v>
      </c>
      <c r="N147" s="50" t="s">
        <v>22</v>
      </c>
      <c r="O147" s="50" t="s">
        <v>22</v>
      </c>
      <c r="P147" s="50" t="s">
        <v>22</v>
      </c>
      <c r="Q147" s="50"/>
      <c r="R147" s="50" t="s">
        <v>22</v>
      </c>
      <c r="S147" s="50" t="s">
        <v>22</v>
      </c>
      <c r="T147" s="50" t="s">
        <v>22</v>
      </c>
      <c r="U147" s="50" t="s">
        <v>22</v>
      </c>
      <c r="V147" s="9">
        <v>20210319</v>
      </c>
      <c r="W147" s="21" t="s">
        <v>1215</v>
      </c>
      <c r="X147" s="21">
        <v>1989</v>
      </c>
      <c r="Z147" s="9" t="s">
        <v>124</v>
      </c>
      <c r="AA147" s="9" t="s">
        <v>783</v>
      </c>
      <c r="AB147" s="50">
        <f>((170*10^-8)^-1)*10^-6</f>
        <v>0.58823529411764708</v>
      </c>
      <c r="AC147" s="9" t="s">
        <v>22</v>
      </c>
      <c r="AD147" s="50" t="s">
        <v>22</v>
      </c>
      <c r="AE147" s="50" t="s">
        <v>22</v>
      </c>
      <c r="AF147" s="50" t="s">
        <v>22</v>
      </c>
      <c r="AG147" s="50" t="s">
        <v>22</v>
      </c>
      <c r="AH147" s="50" t="s">
        <v>22</v>
      </c>
      <c r="AI147" s="50" t="s">
        <v>22</v>
      </c>
      <c r="AJ147" s="50" t="s">
        <v>22</v>
      </c>
      <c r="AK147" s="50" t="s">
        <v>22</v>
      </c>
      <c r="AL147" s="50" t="s">
        <v>22</v>
      </c>
      <c r="AM147" s="43" t="e">
        <f t="shared" si="65"/>
        <v>#VALUE!</v>
      </c>
      <c r="AN147" s="43" t="e">
        <f t="shared" si="66"/>
        <v>#VALUE!</v>
      </c>
      <c r="AO147" s="21" t="s">
        <v>1219</v>
      </c>
      <c r="AT147" s="2">
        <f t="shared" si="67"/>
        <v>9</v>
      </c>
      <c r="AU147" s="45">
        <f t="shared" si="68"/>
        <v>-3.3423755486949751E-2</v>
      </c>
      <c r="AV147" s="45">
        <f t="shared" si="69"/>
        <v>0.34811006848023773</v>
      </c>
      <c r="AW147" s="45">
        <f t="shared" si="70"/>
        <v>-0.38153382396718749</v>
      </c>
      <c r="AX147" s="45" t="e">
        <f t="shared" si="71"/>
        <v>#VALUE!</v>
      </c>
      <c r="AY147" s="45" t="e">
        <f t="shared" si="72"/>
        <v>#VALUE!</v>
      </c>
      <c r="AZ147" s="45" t="e">
        <f t="shared" si="73"/>
        <v>#VALUE!</v>
      </c>
      <c r="BA147" s="45" t="e">
        <f t="shared" si="74"/>
        <v>#VALUE!</v>
      </c>
      <c r="BB147" s="45" t="e">
        <f t="shared" si="75"/>
        <v>#NUM!</v>
      </c>
      <c r="BC147" s="45" t="e">
        <f t="shared" si="76"/>
        <v>#VALUE!</v>
      </c>
      <c r="BD147" s="45" t="e">
        <f t="shared" si="77"/>
        <v>#VALUE!</v>
      </c>
      <c r="BE147" s="45" t="e">
        <f t="shared" si="78"/>
        <v>#VALUE!</v>
      </c>
      <c r="BF147" s="45" t="e">
        <f t="shared" si="79"/>
        <v>#VALUE!</v>
      </c>
      <c r="BG147" s="45" t="e">
        <f t="shared" si="80"/>
        <v>#VALUE!</v>
      </c>
      <c r="BH147" s="45">
        <f t="shared" si="81"/>
        <v>-0.23044892137827391</v>
      </c>
      <c r="BI147" s="43" t="e">
        <f t="shared" si="82"/>
        <v>#VALUE!</v>
      </c>
      <c r="BL147" s="20"/>
      <c r="BM147" s="50"/>
      <c r="BN147" s="50"/>
      <c r="BO147" s="50"/>
      <c r="BP147" s="50"/>
      <c r="BQ147" s="50"/>
      <c r="BR147" s="50"/>
      <c r="BU147" s="50"/>
      <c r="BV147" s="50"/>
      <c r="BW147" s="50"/>
      <c r="BX147" s="50"/>
      <c r="BY147" s="50"/>
      <c r="BZ147" s="50"/>
      <c r="CA147" s="50" t="s">
        <v>22</v>
      </c>
      <c r="CE147" s="50"/>
      <c r="CF147" s="50"/>
      <c r="CG147" s="50"/>
      <c r="CH147" s="50"/>
      <c r="CI147" s="50" t="s">
        <v>22</v>
      </c>
      <c r="CJ147" s="50" t="e">
        <f t="shared" si="86"/>
        <v>#VALUE!</v>
      </c>
      <c r="CL147" s="9" t="s">
        <v>1268</v>
      </c>
      <c r="CM147" s="9" t="s">
        <v>1284</v>
      </c>
      <c r="CN147" s="55" t="s">
        <v>1284</v>
      </c>
      <c r="CO147" s="9" t="s">
        <v>1284</v>
      </c>
    </row>
    <row r="148" spans="1:93" s="9" customFormat="1" x14ac:dyDescent="0.25">
      <c r="A148" s="9" t="s">
        <v>345</v>
      </c>
      <c r="B148" s="50">
        <f>((33*10^-8)^-1)*10^-6</f>
        <v>3.0303030303030303</v>
      </c>
      <c r="C148" s="50">
        <v>2.3580000000000001</v>
      </c>
      <c r="D148" s="50">
        <f t="shared" si="85"/>
        <v>1.2851157889325826</v>
      </c>
      <c r="E148" s="50" t="s">
        <v>22</v>
      </c>
      <c r="F148" s="9" t="s">
        <v>22</v>
      </c>
      <c r="G148" s="9" t="s">
        <v>22</v>
      </c>
      <c r="H148" s="9" t="s">
        <v>22</v>
      </c>
      <c r="I148" s="9" t="s">
        <v>22</v>
      </c>
      <c r="J148" s="50" t="s">
        <v>22</v>
      </c>
      <c r="K148" s="9" t="s">
        <v>22</v>
      </c>
      <c r="L148" s="50"/>
      <c r="M148" s="9" t="s">
        <v>45</v>
      </c>
      <c r="N148" s="50" t="s">
        <v>22</v>
      </c>
      <c r="O148" s="50" t="s">
        <v>22</v>
      </c>
      <c r="P148" s="50" t="s">
        <v>22</v>
      </c>
      <c r="Q148" s="50"/>
      <c r="R148" s="50" t="s">
        <v>22</v>
      </c>
      <c r="S148" s="50" t="s">
        <v>22</v>
      </c>
      <c r="T148" s="50" t="s">
        <v>22</v>
      </c>
      <c r="U148" s="50" t="s">
        <v>22</v>
      </c>
      <c r="V148" s="9">
        <v>20210319</v>
      </c>
      <c r="W148" s="21" t="s">
        <v>1216</v>
      </c>
      <c r="X148" s="21">
        <v>1989</v>
      </c>
      <c r="Z148" s="9" t="s">
        <v>124</v>
      </c>
      <c r="AA148" s="9" t="s">
        <v>783</v>
      </c>
      <c r="AB148" s="50">
        <f>((113*10^-8)^-1)*10^-6</f>
        <v>0.88495575221238931</v>
      </c>
      <c r="AC148" s="9" t="s">
        <v>22</v>
      </c>
      <c r="AD148" s="50" t="s">
        <v>22</v>
      </c>
      <c r="AE148" s="50" t="s">
        <v>22</v>
      </c>
      <c r="AF148" s="50" t="s">
        <v>22</v>
      </c>
      <c r="AG148" s="50" t="s">
        <v>22</v>
      </c>
      <c r="AH148" s="50" t="s">
        <v>22</v>
      </c>
      <c r="AI148" s="50" t="s">
        <v>22</v>
      </c>
      <c r="AJ148" s="50" t="s">
        <v>22</v>
      </c>
      <c r="AK148" s="50" t="s">
        <v>22</v>
      </c>
      <c r="AL148" s="50" t="s">
        <v>22</v>
      </c>
      <c r="AM148" s="43" t="e">
        <f t="shared" si="65"/>
        <v>#VALUE!</v>
      </c>
      <c r="AN148" s="43" t="e">
        <f t="shared" si="66"/>
        <v>#VALUE!</v>
      </c>
      <c r="AO148" s="21" t="s">
        <v>1219</v>
      </c>
      <c r="AT148" s="2">
        <f t="shared" si="67"/>
        <v>9</v>
      </c>
      <c r="AU148" s="45">
        <f t="shared" si="68"/>
        <v>0.48148606012211254</v>
      </c>
      <c r="AV148" s="45">
        <f t="shared" si="69"/>
        <v>0.37254380075907034</v>
      </c>
      <c r="AW148" s="45">
        <f t="shared" si="70"/>
        <v>0.10894225936304211</v>
      </c>
      <c r="AX148" s="45" t="e">
        <f t="shared" si="71"/>
        <v>#VALUE!</v>
      </c>
      <c r="AY148" s="45" t="e">
        <f t="shared" si="72"/>
        <v>#VALUE!</v>
      </c>
      <c r="AZ148" s="45" t="e">
        <f t="shared" si="73"/>
        <v>#VALUE!</v>
      </c>
      <c r="BA148" s="45" t="e">
        <f t="shared" si="74"/>
        <v>#VALUE!</v>
      </c>
      <c r="BB148" s="45" t="e">
        <f t="shared" si="75"/>
        <v>#NUM!</v>
      </c>
      <c r="BC148" s="45" t="e">
        <f t="shared" si="76"/>
        <v>#VALUE!</v>
      </c>
      <c r="BD148" s="45" t="e">
        <f t="shared" si="77"/>
        <v>#VALUE!</v>
      </c>
      <c r="BE148" s="45" t="e">
        <f t="shared" si="78"/>
        <v>#VALUE!</v>
      </c>
      <c r="BF148" s="45" t="e">
        <f t="shared" si="79"/>
        <v>#VALUE!</v>
      </c>
      <c r="BG148" s="45" t="e">
        <f t="shared" si="80"/>
        <v>#VALUE!</v>
      </c>
      <c r="BH148" s="45">
        <f t="shared" si="81"/>
        <v>-5.3078443483419759E-2</v>
      </c>
      <c r="BI148" s="43" t="e">
        <f t="shared" si="82"/>
        <v>#VALUE!</v>
      </c>
      <c r="BL148" s="20"/>
      <c r="BM148" s="50"/>
      <c r="BN148" s="50"/>
      <c r="BO148" s="50"/>
      <c r="BP148" s="50"/>
      <c r="BQ148" s="50"/>
      <c r="BR148" s="50"/>
      <c r="BU148" s="50"/>
      <c r="BV148" s="50"/>
      <c r="BW148" s="50"/>
      <c r="BX148" s="50"/>
      <c r="BY148" s="50"/>
      <c r="BZ148" s="50"/>
      <c r="CA148" s="50" t="s">
        <v>22</v>
      </c>
      <c r="CE148" s="50"/>
      <c r="CF148" s="50"/>
      <c r="CG148" s="50"/>
      <c r="CH148" s="50"/>
      <c r="CI148" s="50" t="s">
        <v>22</v>
      </c>
      <c r="CJ148" s="50" t="e">
        <f t="shared" si="86"/>
        <v>#VALUE!</v>
      </c>
      <c r="CL148" s="9" t="s">
        <v>1268</v>
      </c>
      <c r="CM148" s="9" t="s">
        <v>1284</v>
      </c>
      <c r="CN148" s="55" t="s">
        <v>1284</v>
      </c>
      <c r="CO148" s="9" t="s">
        <v>1284</v>
      </c>
    </row>
    <row r="149" spans="1:93" s="9" customFormat="1" x14ac:dyDescent="0.25">
      <c r="A149" s="9" t="s">
        <v>345</v>
      </c>
      <c r="B149" s="50">
        <f>((27*10^-8)^-1)*10^-6</f>
        <v>3.7037037037037033</v>
      </c>
      <c r="C149" s="50">
        <v>2.35</v>
      </c>
      <c r="D149" s="50">
        <f t="shared" si="85"/>
        <v>1.5760441292356184</v>
      </c>
      <c r="E149" s="50" t="s">
        <v>22</v>
      </c>
      <c r="F149" s="9" t="s">
        <v>22</v>
      </c>
      <c r="G149" s="9" t="s">
        <v>22</v>
      </c>
      <c r="H149" s="9" t="s">
        <v>22</v>
      </c>
      <c r="I149" s="9" t="s">
        <v>22</v>
      </c>
      <c r="J149" s="50" t="s">
        <v>22</v>
      </c>
      <c r="K149" s="9" t="s">
        <v>22</v>
      </c>
      <c r="L149" s="50"/>
      <c r="M149" s="9" t="s">
        <v>45</v>
      </c>
      <c r="N149" s="50" t="s">
        <v>22</v>
      </c>
      <c r="O149" s="50" t="s">
        <v>22</v>
      </c>
      <c r="P149" s="50" t="s">
        <v>22</v>
      </c>
      <c r="Q149" s="50"/>
      <c r="R149" s="50" t="s">
        <v>22</v>
      </c>
      <c r="S149" s="50" t="s">
        <v>22</v>
      </c>
      <c r="T149" s="50" t="s">
        <v>22</v>
      </c>
      <c r="U149" s="50" t="s">
        <v>22</v>
      </c>
      <c r="V149" s="9">
        <v>20210319</v>
      </c>
      <c r="W149" s="21" t="s">
        <v>1217</v>
      </c>
      <c r="X149" s="21">
        <v>1989</v>
      </c>
      <c r="Z149" s="9" t="s">
        <v>124</v>
      </c>
      <c r="AA149" s="9" t="s">
        <v>783</v>
      </c>
      <c r="AB149" s="50">
        <f>((72*10^-8)^-1)*10^-6</f>
        <v>1.3888888888888888</v>
      </c>
      <c r="AC149" s="9" t="s">
        <v>22</v>
      </c>
      <c r="AD149" s="50" t="s">
        <v>22</v>
      </c>
      <c r="AE149" s="50" t="s">
        <v>22</v>
      </c>
      <c r="AF149" s="50" t="s">
        <v>22</v>
      </c>
      <c r="AG149" s="50" t="s">
        <v>22</v>
      </c>
      <c r="AH149" s="50" t="s">
        <v>22</v>
      </c>
      <c r="AI149" s="50" t="s">
        <v>22</v>
      </c>
      <c r="AJ149" s="50" t="s">
        <v>22</v>
      </c>
      <c r="AK149" s="50" t="s">
        <v>22</v>
      </c>
      <c r="AL149" s="50" t="s">
        <v>22</v>
      </c>
      <c r="AM149" s="43" t="e">
        <f t="shared" si="65"/>
        <v>#VALUE!</v>
      </c>
      <c r="AN149" s="43" t="e">
        <f t="shared" si="66"/>
        <v>#VALUE!</v>
      </c>
      <c r="AO149" s="21" t="s">
        <v>1219</v>
      </c>
      <c r="AT149" s="2">
        <f t="shared" si="67"/>
        <v>9</v>
      </c>
      <c r="AU149" s="45">
        <f t="shared" si="68"/>
        <v>0.56863623584101264</v>
      </c>
      <c r="AV149" s="45">
        <f t="shared" si="69"/>
        <v>0.37106786227173627</v>
      </c>
      <c r="AW149" s="45">
        <f t="shared" si="70"/>
        <v>0.19756837356927637</v>
      </c>
      <c r="AX149" s="45" t="e">
        <f t="shared" si="71"/>
        <v>#VALUE!</v>
      </c>
      <c r="AY149" s="45" t="e">
        <f t="shared" si="72"/>
        <v>#VALUE!</v>
      </c>
      <c r="AZ149" s="45" t="e">
        <f t="shared" si="73"/>
        <v>#VALUE!</v>
      </c>
      <c r="BA149" s="45" t="e">
        <f t="shared" si="74"/>
        <v>#VALUE!</v>
      </c>
      <c r="BB149" s="45" t="e">
        <f t="shared" si="75"/>
        <v>#NUM!</v>
      </c>
      <c r="BC149" s="45" t="e">
        <f t="shared" si="76"/>
        <v>#VALUE!</v>
      </c>
      <c r="BD149" s="45" t="e">
        <f t="shared" si="77"/>
        <v>#VALUE!</v>
      </c>
      <c r="BE149" s="45" t="e">
        <f t="shared" si="78"/>
        <v>#VALUE!</v>
      </c>
      <c r="BF149" s="45" t="e">
        <f t="shared" si="79"/>
        <v>#VALUE!</v>
      </c>
      <c r="BG149" s="45" t="e">
        <f t="shared" si="80"/>
        <v>#VALUE!</v>
      </c>
      <c r="BH149" s="45">
        <f t="shared" si="81"/>
        <v>0.14266750356873154</v>
      </c>
      <c r="BI149" s="43" t="e">
        <f t="shared" si="82"/>
        <v>#VALUE!</v>
      </c>
      <c r="BL149" s="20"/>
      <c r="BM149" s="50"/>
      <c r="BN149" s="50"/>
      <c r="BO149" s="50"/>
      <c r="BP149" s="50"/>
      <c r="BQ149" s="50"/>
      <c r="BR149" s="50"/>
      <c r="BU149" s="50"/>
      <c r="BV149" s="50"/>
      <c r="BW149" s="50"/>
      <c r="BX149" s="50"/>
      <c r="BY149" s="50"/>
      <c r="BZ149" s="50"/>
      <c r="CA149" s="50" t="s">
        <v>22</v>
      </c>
      <c r="CE149" s="50"/>
      <c r="CF149" s="50"/>
      <c r="CG149" s="50"/>
      <c r="CH149" s="50"/>
      <c r="CI149" s="50" t="s">
        <v>22</v>
      </c>
      <c r="CJ149" s="50" t="e">
        <f t="shared" si="86"/>
        <v>#VALUE!</v>
      </c>
      <c r="CL149" s="9" t="s">
        <v>1268</v>
      </c>
      <c r="CM149" s="9" t="s">
        <v>1284</v>
      </c>
      <c r="CN149" s="55" t="s">
        <v>1284</v>
      </c>
      <c r="CO149" s="9" t="s">
        <v>1284</v>
      </c>
    </row>
    <row r="150" spans="1:93" s="9" customFormat="1" x14ac:dyDescent="0.25">
      <c r="A150" s="9" t="s">
        <v>345</v>
      </c>
      <c r="B150" s="50">
        <f>((16*10^-8)^-1)*10^-6</f>
        <v>6.25</v>
      </c>
      <c r="C150" s="50">
        <v>2.2679999999999998</v>
      </c>
      <c r="D150" s="50">
        <f t="shared" si="85"/>
        <v>2.755731922398589</v>
      </c>
      <c r="E150" s="50" t="s">
        <v>22</v>
      </c>
      <c r="F150" s="9" t="s">
        <v>22</v>
      </c>
      <c r="G150" s="9" t="s">
        <v>22</v>
      </c>
      <c r="H150" s="9" t="s">
        <v>22</v>
      </c>
      <c r="I150" s="9" t="s">
        <v>22</v>
      </c>
      <c r="J150" s="50" t="s">
        <v>22</v>
      </c>
      <c r="K150" s="9" t="s">
        <v>22</v>
      </c>
      <c r="L150" s="50"/>
      <c r="M150" s="9" t="s">
        <v>45</v>
      </c>
      <c r="N150" s="50" t="s">
        <v>22</v>
      </c>
      <c r="O150" s="50" t="s">
        <v>22</v>
      </c>
      <c r="P150" s="50" t="s">
        <v>22</v>
      </c>
      <c r="Q150" s="50"/>
      <c r="R150" s="50" t="s">
        <v>22</v>
      </c>
      <c r="S150" s="50" t="s">
        <v>22</v>
      </c>
      <c r="T150" s="50" t="s">
        <v>22</v>
      </c>
      <c r="U150" s="50" t="s">
        <v>22</v>
      </c>
      <c r="V150" s="9">
        <v>20210319</v>
      </c>
      <c r="W150" s="21" t="s">
        <v>1218</v>
      </c>
      <c r="X150" s="21">
        <v>1989</v>
      </c>
      <c r="Z150" s="9" t="s">
        <v>124</v>
      </c>
      <c r="AA150" s="9" t="s">
        <v>783</v>
      </c>
      <c r="AB150" s="50">
        <f>((76*10^-8)^-1)*10^-6</f>
        <v>1.3157894736842104</v>
      </c>
      <c r="AC150" s="9" t="s">
        <v>22</v>
      </c>
      <c r="AD150" s="50" t="s">
        <v>22</v>
      </c>
      <c r="AE150" s="50" t="s">
        <v>22</v>
      </c>
      <c r="AF150" s="50" t="s">
        <v>22</v>
      </c>
      <c r="AG150" s="50" t="s">
        <v>22</v>
      </c>
      <c r="AH150" s="50" t="s">
        <v>22</v>
      </c>
      <c r="AI150" s="50" t="s">
        <v>22</v>
      </c>
      <c r="AJ150" s="50" t="s">
        <v>22</v>
      </c>
      <c r="AK150" s="50" t="s">
        <v>22</v>
      </c>
      <c r="AL150" s="50" t="s">
        <v>22</v>
      </c>
      <c r="AM150" s="43" t="e">
        <f t="shared" si="65"/>
        <v>#VALUE!</v>
      </c>
      <c r="AN150" s="43" t="e">
        <f t="shared" si="66"/>
        <v>#VALUE!</v>
      </c>
      <c r="AO150" s="21" t="s">
        <v>1219</v>
      </c>
      <c r="AT150" s="2">
        <f t="shared" si="67"/>
        <v>9</v>
      </c>
      <c r="AU150" s="45">
        <f t="shared" si="68"/>
        <v>0.79588001734407521</v>
      </c>
      <c r="AV150" s="45">
        <f t="shared" si="69"/>
        <v>0.35564305022086895</v>
      </c>
      <c r="AW150" s="45">
        <f t="shared" si="70"/>
        <v>0.44023696712320626</v>
      </c>
      <c r="AX150" s="45" t="e">
        <f t="shared" si="71"/>
        <v>#VALUE!</v>
      </c>
      <c r="AY150" s="45" t="e">
        <f t="shared" si="72"/>
        <v>#VALUE!</v>
      </c>
      <c r="AZ150" s="45" t="e">
        <f t="shared" si="73"/>
        <v>#VALUE!</v>
      </c>
      <c r="BA150" s="45" t="e">
        <f t="shared" si="74"/>
        <v>#VALUE!</v>
      </c>
      <c r="BB150" s="45" t="e">
        <f t="shared" si="75"/>
        <v>#NUM!</v>
      </c>
      <c r="BC150" s="45" t="e">
        <f t="shared" si="76"/>
        <v>#VALUE!</v>
      </c>
      <c r="BD150" s="45" t="e">
        <f t="shared" si="77"/>
        <v>#VALUE!</v>
      </c>
      <c r="BE150" s="45" t="e">
        <f t="shared" si="78"/>
        <v>#VALUE!</v>
      </c>
      <c r="BF150" s="45" t="e">
        <f t="shared" si="79"/>
        <v>#VALUE!</v>
      </c>
      <c r="BG150" s="45" t="e">
        <f t="shared" si="80"/>
        <v>#VALUE!</v>
      </c>
      <c r="BH150" s="45">
        <f t="shared" si="81"/>
        <v>0.1191864077192086</v>
      </c>
      <c r="BI150" s="43" t="e">
        <f t="shared" si="82"/>
        <v>#VALUE!</v>
      </c>
      <c r="BL150" s="20"/>
      <c r="BM150" s="50"/>
      <c r="BN150" s="50"/>
      <c r="BO150" s="50"/>
      <c r="BP150" s="50"/>
      <c r="BQ150" s="50"/>
      <c r="BR150" s="50"/>
      <c r="BU150" s="50"/>
      <c r="BV150" s="50"/>
      <c r="BW150" s="50"/>
      <c r="BX150" s="50"/>
      <c r="BY150" s="50"/>
      <c r="BZ150" s="50"/>
      <c r="CA150" s="50" t="s">
        <v>22</v>
      </c>
      <c r="CE150" s="50"/>
      <c r="CF150" s="50"/>
      <c r="CG150" s="50"/>
      <c r="CH150" s="50"/>
      <c r="CI150" s="50" t="s">
        <v>22</v>
      </c>
      <c r="CJ150" s="50" t="e">
        <f t="shared" si="86"/>
        <v>#VALUE!</v>
      </c>
      <c r="CL150" s="9" t="s">
        <v>1268</v>
      </c>
      <c r="CM150" s="9" t="s">
        <v>1284</v>
      </c>
      <c r="CN150" s="55" t="s">
        <v>1284</v>
      </c>
      <c r="CO150" s="9" t="s">
        <v>1284</v>
      </c>
    </row>
    <row r="151" spans="1:93" s="9" customFormat="1" x14ac:dyDescent="0.25">
      <c r="A151" s="9" t="s">
        <v>345</v>
      </c>
      <c r="B151" s="50">
        <f>((9.5*10^-8)^-1)*10^-6</f>
        <v>10.526315789473683</v>
      </c>
      <c r="C151" s="50" t="s">
        <v>22</v>
      </c>
      <c r="D151" s="50" t="s">
        <v>22</v>
      </c>
      <c r="E151" s="50" t="s">
        <v>22</v>
      </c>
      <c r="F151" s="9" t="s">
        <v>22</v>
      </c>
      <c r="G151" s="9" t="s">
        <v>22</v>
      </c>
      <c r="H151" s="9" t="s">
        <v>22</v>
      </c>
      <c r="I151" s="9" t="s">
        <v>22</v>
      </c>
      <c r="J151" s="50" t="s">
        <v>22</v>
      </c>
      <c r="K151" s="9" t="s">
        <v>22</v>
      </c>
      <c r="L151" s="50"/>
      <c r="M151" s="9" t="s">
        <v>45</v>
      </c>
      <c r="N151" s="50" t="s">
        <v>22</v>
      </c>
      <c r="O151" s="50" t="s">
        <v>22</v>
      </c>
      <c r="P151" s="50" t="s">
        <v>22</v>
      </c>
      <c r="Q151" s="50"/>
      <c r="R151" s="50" t="s">
        <v>22</v>
      </c>
      <c r="S151" s="50" t="s">
        <v>22</v>
      </c>
      <c r="T151" s="50" t="s">
        <v>22</v>
      </c>
      <c r="U151" s="50" t="s">
        <v>22</v>
      </c>
      <c r="V151" s="9">
        <v>20210319</v>
      </c>
      <c r="W151" s="21" t="s">
        <v>1218</v>
      </c>
      <c r="X151" s="21">
        <v>1989</v>
      </c>
      <c r="Z151" s="9" t="s">
        <v>124</v>
      </c>
      <c r="AA151" s="9" t="s">
        <v>783</v>
      </c>
      <c r="AB151" s="50" t="s">
        <v>22</v>
      </c>
      <c r="AC151" s="9" t="s">
        <v>22</v>
      </c>
      <c r="AD151" s="50" t="s">
        <v>22</v>
      </c>
      <c r="AE151" s="50" t="s">
        <v>22</v>
      </c>
      <c r="AF151" s="50" t="s">
        <v>22</v>
      </c>
      <c r="AG151" s="50" t="s">
        <v>22</v>
      </c>
      <c r="AH151" s="50">
        <v>0.30265486725663698</v>
      </c>
      <c r="AI151" s="50">
        <v>0.30265486725663698</v>
      </c>
      <c r="AJ151" s="50">
        <v>0.30265486725663698</v>
      </c>
      <c r="AK151" s="50">
        <v>0.39292035398230002</v>
      </c>
      <c r="AL151" s="50">
        <v>0.98761061946902595</v>
      </c>
      <c r="AM151" s="43">
        <f t="shared" si="65"/>
        <v>3.263157894736842</v>
      </c>
      <c r="AN151" s="43">
        <f t="shared" si="66"/>
        <v>3.263157894736842</v>
      </c>
      <c r="AO151" s="21" t="s">
        <v>1219</v>
      </c>
      <c r="AT151" s="2">
        <f t="shared" si="67"/>
        <v>9</v>
      </c>
      <c r="AU151" s="45">
        <f t="shared" si="68"/>
        <v>1.0222763947111522</v>
      </c>
      <c r="AV151" s="45" t="e">
        <f t="shared" si="69"/>
        <v>#VALUE!</v>
      </c>
      <c r="AW151" s="45" t="e">
        <f t="shared" si="70"/>
        <v>#VALUE!</v>
      </c>
      <c r="AX151" s="45" t="e">
        <f t="shared" si="71"/>
        <v>#VALUE!</v>
      </c>
      <c r="AY151" s="45" t="e">
        <f t="shared" si="72"/>
        <v>#VALUE!</v>
      </c>
      <c r="AZ151" s="45" t="e">
        <f t="shared" si="73"/>
        <v>#VALUE!</v>
      </c>
      <c r="BA151" s="45" t="e">
        <f t="shared" si="74"/>
        <v>#VALUE!</v>
      </c>
      <c r="BB151" s="45" t="e">
        <f t="shared" si="75"/>
        <v>#NUM!</v>
      </c>
      <c r="BC151" s="45" t="e">
        <f t="shared" si="76"/>
        <v>#VALUE!</v>
      </c>
      <c r="BD151" s="45" t="e">
        <f t="shared" si="77"/>
        <v>#VALUE!</v>
      </c>
      <c r="BE151" s="45" t="e">
        <f t="shared" si="78"/>
        <v>#VALUE!</v>
      </c>
      <c r="BF151" s="45">
        <f t="shared" si="79"/>
        <v>0.51363808854542492</v>
      </c>
      <c r="BG151" s="45">
        <f t="shared" si="80"/>
        <v>0.51363808854542492</v>
      </c>
      <c r="BH151" s="45" t="e">
        <f t="shared" si="81"/>
        <v>#VALUE!</v>
      </c>
      <c r="BI151" s="43" t="e">
        <f t="shared" si="82"/>
        <v>#VALUE!</v>
      </c>
      <c r="BL151" s="20"/>
      <c r="BM151" s="50"/>
      <c r="BN151" s="50"/>
      <c r="BO151" s="50"/>
      <c r="BP151" s="50"/>
      <c r="BQ151" s="50"/>
      <c r="BR151" s="50"/>
      <c r="BU151" s="50"/>
      <c r="BV151" s="50"/>
      <c r="BW151" s="50"/>
      <c r="BX151" s="50"/>
      <c r="BY151" s="50"/>
      <c r="BZ151" s="50"/>
      <c r="CA151" s="50" t="s">
        <v>22</v>
      </c>
      <c r="CE151" s="50"/>
      <c r="CF151" s="50"/>
      <c r="CG151" s="50"/>
      <c r="CH151" s="50"/>
      <c r="CI151" s="50" t="s">
        <v>22</v>
      </c>
      <c r="CJ151" s="50" t="e">
        <f t="shared" si="86"/>
        <v>#VALUE!</v>
      </c>
      <c r="CL151" s="9" t="s">
        <v>1268</v>
      </c>
      <c r="CM151" s="9" t="s">
        <v>1284</v>
      </c>
      <c r="CN151" s="55" t="s">
        <v>1284</v>
      </c>
      <c r="CO151" s="9" t="s">
        <v>1284</v>
      </c>
    </row>
    <row r="152" spans="1:93" s="9" customFormat="1" x14ac:dyDescent="0.25">
      <c r="A152" s="9" t="s">
        <v>345</v>
      </c>
      <c r="B152" s="50">
        <f>((39*10^-8)^-1)*10^-6</f>
        <v>2.5641025641025639</v>
      </c>
      <c r="C152" s="50" t="s">
        <v>22</v>
      </c>
      <c r="D152" s="50" t="s">
        <v>22</v>
      </c>
      <c r="E152" s="50" t="s">
        <v>22</v>
      </c>
      <c r="F152" s="9" t="s">
        <v>22</v>
      </c>
      <c r="G152" s="9" t="s">
        <v>22</v>
      </c>
      <c r="H152" s="9" t="s">
        <v>22</v>
      </c>
      <c r="I152" s="9" t="s">
        <v>22</v>
      </c>
      <c r="J152" s="50" t="s">
        <v>22</v>
      </c>
      <c r="K152" s="9" t="s">
        <v>22</v>
      </c>
      <c r="L152" s="50"/>
      <c r="M152" s="9" t="s">
        <v>45</v>
      </c>
      <c r="N152" s="50" t="s">
        <v>22</v>
      </c>
      <c r="O152" s="50" t="s">
        <v>22</v>
      </c>
      <c r="P152" s="50" t="s">
        <v>22</v>
      </c>
      <c r="Q152" s="50"/>
      <c r="R152" s="50" t="s">
        <v>22</v>
      </c>
      <c r="S152" s="50" t="s">
        <v>22</v>
      </c>
      <c r="T152" s="50" t="s">
        <v>22</v>
      </c>
      <c r="U152" s="50" t="s">
        <v>22</v>
      </c>
      <c r="V152" s="9">
        <v>20210319</v>
      </c>
      <c r="W152" s="21" t="s">
        <v>1217</v>
      </c>
      <c r="X152" s="21">
        <v>1989</v>
      </c>
      <c r="Z152" s="9" t="s">
        <v>124</v>
      </c>
      <c r="AA152" s="9" t="s">
        <v>783</v>
      </c>
      <c r="AB152" s="50" t="s">
        <v>22</v>
      </c>
      <c r="AC152" s="9" t="s">
        <v>22</v>
      </c>
      <c r="AD152" s="50" t="s">
        <v>22</v>
      </c>
      <c r="AE152" s="50" t="s">
        <v>22</v>
      </c>
      <c r="AF152" s="50" t="s">
        <v>22</v>
      </c>
      <c r="AG152" s="50" t="s">
        <v>22</v>
      </c>
      <c r="AH152" s="50">
        <v>0.81061946902654802</v>
      </c>
      <c r="AI152" s="50">
        <v>0.81061946902654802</v>
      </c>
      <c r="AJ152" s="50">
        <v>0.81238938053097298</v>
      </c>
      <c r="AK152" s="50">
        <v>0.84955752212389302</v>
      </c>
      <c r="AL152" s="50">
        <v>0.99115044247787498</v>
      </c>
      <c r="AM152" s="43">
        <f t="shared" si="65"/>
        <v>1.2227074235807855</v>
      </c>
      <c r="AN152" s="43">
        <f t="shared" si="66"/>
        <v>1.2200435729847487</v>
      </c>
      <c r="AO152" s="21" t="s">
        <v>1219</v>
      </c>
      <c r="AT152" s="2">
        <f t="shared" si="67"/>
        <v>9</v>
      </c>
      <c r="AU152" s="45">
        <f t="shared" si="68"/>
        <v>0.40893539297350073</v>
      </c>
      <c r="AV152" s="45" t="e">
        <f t="shared" si="69"/>
        <v>#VALUE!</v>
      </c>
      <c r="AW152" s="45" t="e">
        <f t="shared" si="70"/>
        <v>#VALUE!</v>
      </c>
      <c r="AX152" s="45" t="e">
        <f t="shared" si="71"/>
        <v>#VALUE!</v>
      </c>
      <c r="AY152" s="45" t="e">
        <f t="shared" si="72"/>
        <v>#VALUE!</v>
      </c>
      <c r="AZ152" s="45" t="e">
        <f t="shared" si="73"/>
        <v>#VALUE!</v>
      </c>
      <c r="BA152" s="45" t="e">
        <f t="shared" si="74"/>
        <v>#VALUE!</v>
      </c>
      <c r="BB152" s="45" t="e">
        <f t="shared" si="75"/>
        <v>#NUM!</v>
      </c>
      <c r="BC152" s="45" t="e">
        <f t="shared" si="76"/>
        <v>#VALUE!</v>
      </c>
      <c r="BD152" s="45" t="e">
        <f t="shared" si="77"/>
        <v>#VALUE!</v>
      </c>
      <c r="BE152" s="45" t="e">
        <f t="shared" si="78"/>
        <v>#VALUE!</v>
      </c>
      <c r="BF152" s="45">
        <f t="shared" si="79"/>
        <v>8.7322549002331051E-2</v>
      </c>
      <c r="BG152" s="45">
        <f t="shared" si="80"/>
        <v>8.6375341468938924E-2</v>
      </c>
      <c r="BH152" s="45" t="e">
        <f t="shared" si="81"/>
        <v>#VALUE!</v>
      </c>
      <c r="BI152" s="43" t="e">
        <f t="shared" si="82"/>
        <v>#VALUE!</v>
      </c>
      <c r="BL152" s="20"/>
      <c r="BM152" s="50"/>
      <c r="BN152" s="50"/>
      <c r="BO152" s="50"/>
      <c r="BP152" s="50"/>
      <c r="BQ152" s="50"/>
      <c r="BR152" s="50"/>
      <c r="BU152" s="50"/>
      <c r="BV152" s="50"/>
      <c r="BW152" s="50"/>
      <c r="BX152" s="50"/>
      <c r="BY152" s="50"/>
      <c r="BZ152" s="50"/>
      <c r="CA152" s="50" t="s">
        <v>22</v>
      </c>
      <c r="CE152" s="50"/>
      <c r="CF152" s="50"/>
      <c r="CG152" s="50"/>
      <c r="CH152" s="50"/>
      <c r="CI152" s="50" t="s">
        <v>22</v>
      </c>
      <c r="CJ152" s="50" t="e">
        <f t="shared" si="86"/>
        <v>#VALUE!</v>
      </c>
      <c r="CL152" s="9" t="s">
        <v>1268</v>
      </c>
      <c r="CM152" s="9" t="s">
        <v>1284</v>
      </c>
      <c r="CN152" s="55" t="s">
        <v>1284</v>
      </c>
      <c r="CO152" s="9" t="s">
        <v>1284</v>
      </c>
    </row>
    <row r="153" spans="1:93" s="9" customFormat="1" x14ac:dyDescent="0.25">
      <c r="A153" s="9" t="s">
        <v>345</v>
      </c>
      <c r="B153" s="50">
        <f>((360*10^-8)^-1)*10^-6</f>
        <v>0.27777777777777773</v>
      </c>
      <c r="C153" s="50" t="s">
        <v>22</v>
      </c>
      <c r="D153" s="50" t="s">
        <v>22</v>
      </c>
      <c r="E153" s="50" t="s">
        <v>22</v>
      </c>
      <c r="F153" s="9" t="s">
        <v>22</v>
      </c>
      <c r="G153" s="9" t="s">
        <v>22</v>
      </c>
      <c r="H153" s="9" t="s">
        <v>22</v>
      </c>
      <c r="I153" s="9" t="s">
        <v>22</v>
      </c>
      <c r="J153" s="50" t="s">
        <v>22</v>
      </c>
      <c r="K153" s="9" t="s">
        <v>22</v>
      </c>
      <c r="L153" s="50"/>
      <c r="M153" s="9" t="s">
        <v>45</v>
      </c>
      <c r="N153" s="50" t="s">
        <v>22</v>
      </c>
      <c r="O153" s="50" t="s">
        <v>22</v>
      </c>
      <c r="P153" s="50" t="s">
        <v>22</v>
      </c>
      <c r="Q153" s="50"/>
      <c r="R153" s="50" t="s">
        <v>22</v>
      </c>
      <c r="S153" s="50" t="s">
        <v>22</v>
      </c>
      <c r="T153" s="50" t="s">
        <v>22</v>
      </c>
      <c r="U153" s="50" t="s">
        <v>22</v>
      </c>
      <c r="V153" s="9">
        <v>20210319</v>
      </c>
      <c r="W153" s="21" t="s">
        <v>1216</v>
      </c>
      <c r="X153" s="21">
        <v>1989</v>
      </c>
      <c r="Z153" s="9" t="s">
        <v>124</v>
      </c>
      <c r="AA153" s="9" t="s">
        <v>783</v>
      </c>
      <c r="AB153" s="50" t="s">
        <v>22</v>
      </c>
      <c r="AC153" s="9" t="s">
        <v>22</v>
      </c>
      <c r="AD153" s="50" t="s">
        <v>22</v>
      </c>
      <c r="AE153" s="50" t="s">
        <v>22</v>
      </c>
      <c r="AF153" s="50" t="s">
        <v>22</v>
      </c>
      <c r="AG153" s="50" t="s">
        <v>22</v>
      </c>
      <c r="AH153" s="50">
        <v>1.1646017699115001</v>
      </c>
      <c r="AI153" s="50">
        <v>1.1646017699115001</v>
      </c>
      <c r="AJ153" s="50">
        <v>1.16106194690265</v>
      </c>
      <c r="AK153" s="50">
        <v>1.1079646017699101</v>
      </c>
      <c r="AL153" s="50">
        <v>0.99115044247787498</v>
      </c>
      <c r="AM153" s="43">
        <f t="shared" si="65"/>
        <v>0.85106382978723627</v>
      </c>
      <c r="AN153" s="43">
        <f t="shared" si="66"/>
        <v>0.8536585365853685</v>
      </c>
      <c r="AO153" s="21" t="s">
        <v>1219</v>
      </c>
      <c r="AT153" s="2">
        <f t="shared" si="67"/>
        <v>9</v>
      </c>
      <c r="AU153" s="45">
        <f t="shared" si="68"/>
        <v>-0.55630250076728738</v>
      </c>
      <c r="AV153" s="45" t="e">
        <f t="shared" si="69"/>
        <v>#VALUE!</v>
      </c>
      <c r="AW153" s="45" t="e">
        <f t="shared" si="70"/>
        <v>#VALUE!</v>
      </c>
      <c r="AX153" s="45" t="e">
        <f t="shared" si="71"/>
        <v>#VALUE!</v>
      </c>
      <c r="AY153" s="45" t="e">
        <f t="shared" si="72"/>
        <v>#VALUE!</v>
      </c>
      <c r="AZ153" s="45" t="e">
        <f t="shared" si="73"/>
        <v>#VALUE!</v>
      </c>
      <c r="BA153" s="45" t="e">
        <f t="shared" si="74"/>
        <v>#VALUE!</v>
      </c>
      <c r="BB153" s="45" t="e">
        <f t="shared" si="75"/>
        <v>#NUM!</v>
      </c>
      <c r="BC153" s="45" t="e">
        <f t="shared" si="76"/>
        <v>#VALUE!</v>
      </c>
      <c r="BD153" s="45" t="e">
        <f t="shared" si="77"/>
        <v>#VALUE!</v>
      </c>
      <c r="BE153" s="45" t="e">
        <f t="shared" si="78"/>
        <v>#VALUE!</v>
      </c>
      <c r="BF153" s="45">
        <f t="shared" si="79"/>
        <v>-7.0037866607753935E-2</v>
      </c>
      <c r="BG153" s="45">
        <f t="shared" si="80"/>
        <v>-6.8715812369458507E-2</v>
      </c>
      <c r="BH153" s="45" t="e">
        <f t="shared" si="81"/>
        <v>#VALUE!</v>
      </c>
      <c r="BI153" s="43" t="e">
        <f t="shared" si="82"/>
        <v>#VALUE!</v>
      </c>
      <c r="BL153" s="20"/>
      <c r="BM153" s="50"/>
      <c r="BN153" s="50"/>
      <c r="BO153" s="50"/>
      <c r="BP153" s="50"/>
      <c r="BQ153" s="50"/>
      <c r="BR153" s="50"/>
      <c r="BU153" s="50"/>
      <c r="BV153" s="50"/>
      <c r="BW153" s="50"/>
      <c r="BX153" s="50"/>
      <c r="BY153" s="50"/>
      <c r="BZ153" s="50"/>
      <c r="CA153" s="50" t="s">
        <v>22</v>
      </c>
      <c r="CE153" s="50"/>
      <c r="CF153" s="50"/>
      <c r="CG153" s="50"/>
      <c r="CH153" s="50"/>
      <c r="CI153" s="50" t="s">
        <v>22</v>
      </c>
      <c r="CJ153" s="50" t="e">
        <f t="shared" si="86"/>
        <v>#VALUE!</v>
      </c>
      <c r="CL153" s="9" t="s">
        <v>1268</v>
      </c>
      <c r="CM153" s="9" t="s">
        <v>1284</v>
      </c>
      <c r="CN153" s="55" t="s">
        <v>1284</v>
      </c>
      <c r="CO153" s="9" t="s">
        <v>1284</v>
      </c>
    </row>
    <row r="154" spans="1:93" x14ac:dyDescent="0.25">
      <c r="A154" t="s">
        <v>343</v>
      </c>
      <c r="B154" s="41">
        <v>0.98</v>
      </c>
      <c r="C154" s="41" t="s">
        <v>22</v>
      </c>
      <c r="D154" s="41" t="s">
        <v>22</v>
      </c>
      <c r="E154" s="41" t="s">
        <v>22</v>
      </c>
      <c r="F154" t="s">
        <v>22</v>
      </c>
      <c r="G154" t="s">
        <v>22</v>
      </c>
      <c r="H154" t="s">
        <v>22</v>
      </c>
      <c r="I154" t="s">
        <v>22</v>
      </c>
      <c r="J154" s="41" t="s">
        <v>22</v>
      </c>
      <c r="K154" t="s">
        <v>22</v>
      </c>
      <c r="L154" s="41" t="s">
        <v>22</v>
      </c>
      <c r="M154" t="s">
        <v>45</v>
      </c>
      <c r="N154" s="41">
        <v>160</v>
      </c>
      <c r="O154" s="41" t="s">
        <v>22</v>
      </c>
      <c r="P154" s="41">
        <v>5.8</v>
      </c>
      <c r="R154" s="41">
        <f t="shared" ref="R154:R162" si="87">N154*B154</f>
        <v>156.80000000000001</v>
      </c>
      <c r="S154" s="41" t="s">
        <v>22</v>
      </c>
      <c r="T154" s="41" t="s">
        <v>22</v>
      </c>
      <c r="U154" s="41" t="s">
        <v>22</v>
      </c>
      <c r="V154">
        <v>20200518</v>
      </c>
      <c r="X154" s="18">
        <v>1990</v>
      </c>
      <c r="Y154" t="s">
        <v>343</v>
      </c>
      <c r="Z154" t="s">
        <v>22</v>
      </c>
      <c r="AA154" t="s">
        <v>773</v>
      </c>
      <c r="AC154" t="s">
        <v>22</v>
      </c>
      <c r="AD154" s="41" t="s">
        <v>22</v>
      </c>
      <c r="AE154" s="41" t="s">
        <v>22</v>
      </c>
      <c r="AF154" s="41" t="s">
        <v>22</v>
      </c>
      <c r="AG154" s="41" t="s">
        <v>22</v>
      </c>
      <c r="AH154" s="41" t="s">
        <v>22</v>
      </c>
      <c r="AI154" s="41" t="s">
        <v>22</v>
      </c>
      <c r="AJ154" s="41" t="s">
        <v>22</v>
      </c>
      <c r="AK154" s="41" t="s">
        <v>22</v>
      </c>
      <c r="AL154" s="41" t="s">
        <v>22</v>
      </c>
      <c r="AM154" s="43" t="e">
        <f t="shared" si="65"/>
        <v>#VALUE!</v>
      </c>
      <c r="AN154" s="43" t="e">
        <f t="shared" si="66"/>
        <v>#VALUE!</v>
      </c>
      <c r="AO154" s="3" t="s">
        <v>494</v>
      </c>
      <c r="AT154" s="2">
        <f t="shared" si="67"/>
        <v>9</v>
      </c>
      <c r="AU154" s="45">
        <f t="shared" si="68"/>
        <v>-8.7739243075051505E-3</v>
      </c>
      <c r="AV154" s="45" t="e">
        <f t="shared" si="69"/>
        <v>#VALUE!</v>
      </c>
      <c r="AW154" s="45" t="e">
        <f t="shared" si="70"/>
        <v>#VALUE!</v>
      </c>
      <c r="AX154" s="45">
        <f t="shared" si="71"/>
        <v>2.2041199826559246</v>
      </c>
      <c r="AY154" s="45" t="e">
        <f t="shared" si="72"/>
        <v>#VALUE!</v>
      </c>
      <c r="AZ154" s="45">
        <f t="shared" si="73"/>
        <v>0.76342799356293722</v>
      </c>
      <c r="BA154" s="45" t="e">
        <f t="shared" si="74"/>
        <v>#VALUE!</v>
      </c>
      <c r="BB154" s="45" t="e">
        <f t="shared" si="75"/>
        <v>#VALUE!</v>
      </c>
      <c r="BC154" s="45" t="e">
        <f t="shared" si="76"/>
        <v>#VALUE!</v>
      </c>
      <c r="BD154" s="45" t="e">
        <f t="shared" si="77"/>
        <v>#VALUE!</v>
      </c>
      <c r="BE154" s="45" t="e">
        <f t="shared" si="78"/>
        <v>#VALUE!</v>
      </c>
      <c r="BF154" s="45" t="e">
        <f t="shared" si="79"/>
        <v>#VALUE!</v>
      </c>
      <c r="BG154" s="45" t="e">
        <f t="shared" si="80"/>
        <v>#VALUE!</v>
      </c>
      <c r="BH154" s="45" t="e">
        <f t="shared" si="81"/>
        <v>#NUM!</v>
      </c>
      <c r="BI154" s="43" t="e">
        <f t="shared" si="82"/>
        <v>#VALUE!</v>
      </c>
      <c r="BJ154" s="18"/>
      <c r="BK154" s="18"/>
      <c r="BL154" s="20"/>
      <c r="BS154" s="18"/>
      <c r="BT154" s="18"/>
      <c r="CA154" s="41" t="s">
        <v>22</v>
      </c>
      <c r="CB154" s="18"/>
      <c r="CC154" t="s">
        <v>22</v>
      </c>
      <c r="CE154" s="41" t="s">
        <v>22</v>
      </c>
      <c r="CF154" s="41" t="s">
        <v>22</v>
      </c>
      <c r="CG154" s="41" t="s">
        <v>22</v>
      </c>
      <c r="CH154" s="41" t="s">
        <v>22</v>
      </c>
      <c r="CI154" s="41" t="str">
        <f t="shared" ref="CI154:CI174" si="88">IF(ISNUMBER(CG154),CG154,U154)</f>
        <v>Not Reported/ Can not calculate</v>
      </c>
      <c r="CJ154" s="41" t="e">
        <f t="shared" ref="CJ154:CJ185" si="89">LOG10(CI154)</f>
        <v>#VALUE!</v>
      </c>
      <c r="CL154" s="9" t="s">
        <v>343</v>
      </c>
      <c r="CM154" s="18" t="s">
        <v>1284</v>
      </c>
      <c r="CN154" s="54" t="s">
        <v>1284</v>
      </c>
      <c r="CO154" s="18" t="s">
        <v>1284</v>
      </c>
    </row>
    <row r="155" spans="1:93" x14ac:dyDescent="0.25">
      <c r="A155" t="s">
        <v>343</v>
      </c>
      <c r="B155" s="41">
        <v>0.3</v>
      </c>
      <c r="C155" s="41" t="s">
        <v>22</v>
      </c>
      <c r="D155" s="41" t="s">
        <v>22</v>
      </c>
      <c r="E155" s="41" t="s">
        <v>22</v>
      </c>
      <c r="F155" t="s">
        <v>22</v>
      </c>
      <c r="G155" t="s">
        <v>22</v>
      </c>
      <c r="H155" t="s">
        <v>22</v>
      </c>
      <c r="I155" t="s">
        <v>22</v>
      </c>
      <c r="J155" s="41" t="s">
        <v>22</v>
      </c>
      <c r="K155" t="s">
        <v>22</v>
      </c>
      <c r="L155" s="41" t="s">
        <v>22</v>
      </c>
      <c r="M155" t="s">
        <v>45</v>
      </c>
      <c r="N155" s="41">
        <v>50</v>
      </c>
      <c r="O155" s="41" t="s">
        <v>22</v>
      </c>
      <c r="P155" s="41">
        <v>1.49</v>
      </c>
      <c r="R155" s="41">
        <f t="shared" si="87"/>
        <v>15</v>
      </c>
      <c r="S155" s="41" t="s">
        <v>22</v>
      </c>
      <c r="T155" s="41" t="s">
        <v>22</v>
      </c>
      <c r="U155" s="41" t="s">
        <v>22</v>
      </c>
      <c r="V155">
        <v>20200518</v>
      </c>
      <c r="X155" s="18">
        <v>1990</v>
      </c>
      <c r="Y155" t="s">
        <v>343</v>
      </c>
      <c r="Z155" t="s">
        <v>22</v>
      </c>
      <c r="AA155" t="s">
        <v>1091</v>
      </c>
      <c r="AC155" t="s">
        <v>22</v>
      </c>
      <c r="AD155" s="41" t="s">
        <v>22</v>
      </c>
      <c r="AE155" s="41" t="s">
        <v>22</v>
      </c>
      <c r="AF155" s="41" t="s">
        <v>22</v>
      </c>
      <c r="AG155" s="41" t="s">
        <v>22</v>
      </c>
      <c r="AH155" s="41" t="s">
        <v>22</v>
      </c>
      <c r="AI155" s="41" t="s">
        <v>22</v>
      </c>
      <c r="AJ155" s="41" t="s">
        <v>22</v>
      </c>
      <c r="AK155" s="41" t="s">
        <v>22</v>
      </c>
      <c r="AL155" s="41" t="s">
        <v>22</v>
      </c>
      <c r="AM155" s="43" t="e">
        <f t="shared" si="65"/>
        <v>#VALUE!</v>
      </c>
      <c r="AN155" s="43" t="e">
        <f t="shared" si="66"/>
        <v>#VALUE!</v>
      </c>
      <c r="AO155" s="3" t="s">
        <v>494</v>
      </c>
      <c r="AT155" s="2">
        <f t="shared" si="67"/>
        <v>9</v>
      </c>
      <c r="AU155" s="45">
        <f t="shared" si="68"/>
        <v>-0.52287874528033762</v>
      </c>
      <c r="AV155" s="45" t="e">
        <f t="shared" si="69"/>
        <v>#VALUE!</v>
      </c>
      <c r="AW155" s="45" t="e">
        <f t="shared" si="70"/>
        <v>#VALUE!</v>
      </c>
      <c r="AX155" s="45">
        <f t="shared" si="71"/>
        <v>1.6989700043360187</v>
      </c>
      <c r="AY155" s="45" t="e">
        <f t="shared" si="72"/>
        <v>#VALUE!</v>
      </c>
      <c r="AZ155" s="45">
        <f t="shared" si="73"/>
        <v>0.17318626841227402</v>
      </c>
      <c r="BA155" s="45" t="e">
        <f t="shared" si="74"/>
        <v>#VALUE!</v>
      </c>
      <c r="BB155" s="45" t="e">
        <f t="shared" si="75"/>
        <v>#VALUE!</v>
      </c>
      <c r="BC155" s="45" t="e">
        <f t="shared" si="76"/>
        <v>#VALUE!</v>
      </c>
      <c r="BD155" s="45" t="e">
        <f t="shared" si="77"/>
        <v>#VALUE!</v>
      </c>
      <c r="BE155" s="45" t="e">
        <f t="shared" si="78"/>
        <v>#VALUE!</v>
      </c>
      <c r="BF155" s="45" t="e">
        <f t="shared" si="79"/>
        <v>#VALUE!</v>
      </c>
      <c r="BG155" s="45" t="e">
        <f t="shared" si="80"/>
        <v>#VALUE!</v>
      </c>
      <c r="BH155" s="45" t="e">
        <f t="shared" si="81"/>
        <v>#NUM!</v>
      </c>
      <c r="BI155" s="43" t="e">
        <f t="shared" si="82"/>
        <v>#VALUE!</v>
      </c>
      <c r="BJ155" s="18"/>
      <c r="BK155" s="18"/>
      <c r="BL155" s="20"/>
      <c r="BS155" s="18"/>
      <c r="BT155" s="18"/>
      <c r="CA155" s="41" t="s">
        <v>22</v>
      </c>
      <c r="CB155" s="18"/>
      <c r="CC155" t="s">
        <v>22</v>
      </c>
      <c r="CE155" s="41" t="s">
        <v>22</v>
      </c>
      <c r="CF155" s="41" t="s">
        <v>22</v>
      </c>
      <c r="CG155" s="41" t="s">
        <v>22</v>
      </c>
      <c r="CH155" s="41" t="s">
        <v>22</v>
      </c>
      <c r="CI155" s="41" t="str">
        <f t="shared" si="88"/>
        <v>Not Reported/ Can not calculate</v>
      </c>
      <c r="CJ155" s="41" t="e">
        <f t="shared" si="89"/>
        <v>#VALUE!</v>
      </c>
      <c r="CL155" s="9" t="s">
        <v>343</v>
      </c>
      <c r="CM155" s="18" t="s">
        <v>1284</v>
      </c>
      <c r="CN155" s="54" t="s">
        <v>1284</v>
      </c>
      <c r="CO155" s="18" t="s">
        <v>1284</v>
      </c>
    </row>
    <row r="156" spans="1:93" x14ac:dyDescent="0.25">
      <c r="A156" t="s">
        <v>343</v>
      </c>
      <c r="B156" s="41">
        <v>0.53917456589212287</v>
      </c>
      <c r="C156" s="41" t="s">
        <v>22</v>
      </c>
      <c r="D156" s="41" t="s">
        <v>22</v>
      </c>
      <c r="E156" s="41" t="s">
        <v>22</v>
      </c>
      <c r="F156" t="s">
        <v>22</v>
      </c>
      <c r="G156" t="s">
        <v>22</v>
      </c>
      <c r="H156" t="s">
        <v>22</v>
      </c>
      <c r="I156" t="s">
        <v>22</v>
      </c>
      <c r="J156" s="41" t="s">
        <v>22</v>
      </c>
      <c r="K156" t="s">
        <v>22</v>
      </c>
      <c r="L156" s="41" t="s">
        <v>22</v>
      </c>
      <c r="M156" t="s">
        <v>45</v>
      </c>
      <c r="N156" s="41">
        <v>97.785977859778612</v>
      </c>
      <c r="O156" s="41" t="s">
        <v>22</v>
      </c>
      <c r="P156" s="41">
        <v>5.2262700113450196</v>
      </c>
      <c r="R156" s="41">
        <f t="shared" si="87"/>
        <v>52.723712162882869</v>
      </c>
      <c r="S156" s="41" t="s">
        <v>22</v>
      </c>
      <c r="T156" s="41" t="s">
        <v>22</v>
      </c>
      <c r="U156" s="41" t="s">
        <v>22</v>
      </c>
      <c r="V156">
        <v>20200518</v>
      </c>
      <c r="W156" s="16" t="s">
        <v>774</v>
      </c>
      <c r="X156" s="18">
        <v>1990</v>
      </c>
      <c r="Y156" t="s">
        <v>343</v>
      </c>
      <c r="Z156" t="s">
        <v>22</v>
      </c>
      <c r="AA156" t="s">
        <v>894</v>
      </c>
      <c r="AC156" t="s">
        <v>22</v>
      </c>
      <c r="AE156" s="41" t="s">
        <v>22</v>
      </c>
      <c r="AF156" s="41" t="s">
        <v>22</v>
      </c>
      <c r="AG156" s="41" t="s">
        <v>22</v>
      </c>
      <c r="AH156" s="41" t="s">
        <v>22</v>
      </c>
      <c r="AI156" s="41" t="s">
        <v>22</v>
      </c>
      <c r="AJ156" s="41" t="s">
        <v>22</v>
      </c>
      <c r="AK156" s="41" t="s">
        <v>22</v>
      </c>
      <c r="AL156" s="41" t="s">
        <v>22</v>
      </c>
      <c r="AM156" s="43" t="e">
        <f t="shared" si="65"/>
        <v>#VALUE!</v>
      </c>
      <c r="AN156" s="43" t="e">
        <f t="shared" si="66"/>
        <v>#VALUE!</v>
      </c>
      <c r="AO156" s="3" t="s">
        <v>494</v>
      </c>
      <c r="AT156" s="2">
        <f t="shared" si="67"/>
        <v>9</v>
      </c>
      <c r="AU156" s="45">
        <f t="shared" si="68"/>
        <v>-0.26827060266195984</v>
      </c>
      <c r="AV156" s="45" t="e">
        <f t="shared" si="69"/>
        <v>#VALUE!</v>
      </c>
      <c r="AW156" s="45" t="e">
        <f t="shared" si="70"/>
        <v>#VALUE!</v>
      </c>
      <c r="AX156" s="45">
        <f t="shared" si="71"/>
        <v>1.9902765830624023</v>
      </c>
      <c r="AY156" s="45" t="e">
        <f t="shared" si="72"/>
        <v>#VALUE!</v>
      </c>
      <c r="AZ156" s="45">
        <f t="shared" si="73"/>
        <v>0.71819184347166487</v>
      </c>
      <c r="BA156" s="45" t="e">
        <f t="shared" si="74"/>
        <v>#VALUE!</v>
      </c>
      <c r="BB156" s="45" t="e">
        <f t="shared" si="75"/>
        <v>#VALUE!</v>
      </c>
      <c r="BC156" s="45" t="e">
        <f t="shared" si="76"/>
        <v>#VALUE!</v>
      </c>
      <c r="BD156" s="45" t="e">
        <f t="shared" si="77"/>
        <v>#NUM!</v>
      </c>
      <c r="BE156" s="45" t="e">
        <f t="shared" si="78"/>
        <v>#VALUE!</v>
      </c>
      <c r="BF156" s="45" t="e">
        <f t="shared" si="79"/>
        <v>#VALUE!</v>
      </c>
      <c r="BG156" s="45" t="e">
        <f t="shared" si="80"/>
        <v>#VALUE!</v>
      </c>
      <c r="BH156" s="45" t="e">
        <f t="shared" si="81"/>
        <v>#NUM!</v>
      </c>
      <c r="BI156" s="43" t="e">
        <f t="shared" si="82"/>
        <v>#VALUE!</v>
      </c>
      <c r="BJ156" s="18"/>
      <c r="BK156" s="18"/>
      <c r="BL156" s="20"/>
      <c r="BS156" s="18"/>
      <c r="BT156" s="18"/>
      <c r="CA156" s="41" t="s">
        <v>22</v>
      </c>
      <c r="CB156" s="18"/>
      <c r="CC156" t="s">
        <v>22</v>
      </c>
      <c r="CE156" s="41" t="s">
        <v>22</v>
      </c>
      <c r="CF156" s="41" t="s">
        <v>22</v>
      </c>
      <c r="CG156" s="41" t="s">
        <v>22</v>
      </c>
      <c r="CH156" s="41" t="s">
        <v>22</v>
      </c>
      <c r="CI156" s="41" t="str">
        <f t="shared" si="88"/>
        <v>Not Reported/ Can not calculate</v>
      </c>
      <c r="CJ156" s="41" t="e">
        <f t="shared" si="89"/>
        <v>#VALUE!</v>
      </c>
      <c r="CL156" s="9" t="s">
        <v>343</v>
      </c>
      <c r="CM156" s="18" t="s">
        <v>1284</v>
      </c>
      <c r="CN156" s="54" t="s">
        <v>1284</v>
      </c>
      <c r="CO156" s="18" t="s">
        <v>1284</v>
      </c>
    </row>
    <row r="157" spans="1:93" x14ac:dyDescent="0.25">
      <c r="A157" t="s">
        <v>343</v>
      </c>
      <c r="B157" s="41">
        <v>0.63526549786091702</v>
      </c>
      <c r="C157" s="41" t="s">
        <v>22</v>
      </c>
      <c r="D157" s="41" t="s">
        <v>22</v>
      </c>
      <c r="E157" s="41" t="s">
        <v>22</v>
      </c>
      <c r="F157" t="s">
        <v>22</v>
      </c>
      <c r="G157" t="s">
        <v>22</v>
      </c>
      <c r="H157" t="s">
        <v>22</v>
      </c>
      <c r="I157" t="s">
        <v>22</v>
      </c>
      <c r="J157" s="41" t="s">
        <v>22</v>
      </c>
      <c r="K157" t="s">
        <v>22</v>
      </c>
      <c r="L157" s="41" t="s">
        <v>22</v>
      </c>
      <c r="M157" t="s">
        <v>45</v>
      </c>
      <c r="N157" s="41">
        <v>90.405904059040409</v>
      </c>
      <c r="O157" s="41" t="s">
        <v>22</v>
      </c>
      <c r="P157" s="41">
        <v>4.3914660279843698</v>
      </c>
      <c r="R157" s="41">
        <f t="shared" si="87"/>
        <v>57.431751651632602</v>
      </c>
      <c r="S157" s="41" t="s">
        <v>22</v>
      </c>
      <c r="T157" s="41" t="s">
        <v>22</v>
      </c>
      <c r="U157" s="41" t="s">
        <v>22</v>
      </c>
      <c r="V157">
        <v>20200518</v>
      </c>
      <c r="W157" s="21" t="s">
        <v>775</v>
      </c>
      <c r="X157" s="18">
        <v>1990</v>
      </c>
      <c r="Y157" t="s">
        <v>343</v>
      </c>
      <c r="Z157" t="s">
        <v>22</v>
      </c>
      <c r="AA157" t="s">
        <v>894</v>
      </c>
      <c r="AC157" s="18" t="s">
        <v>22</v>
      </c>
      <c r="AE157" s="41" t="s">
        <v>22</v>
      </c>
      <c r="AF157" s="41" t="s">
        <v>22</v>
      </c>
      <c r="AG157" s="41" t="s">
        <v>22</v>
      </c>
      <c r="AH157" s="41" t="s">
        <v>22</v>
      </c>
      <c r="AI157" s="41" t="s">
        <v>22</v>
      </c>
      <c r="AJ157" s="41" t="s">
        <v>22</v>
      </c>
      <c r="AK157" s="41" t="s">
        <v>22</v>
      </c>
      <c r="AL157" s="41" t="s">
        <v>22</v>
      </c>
      <c r="AM157" s="43" t="e">
        <f t="shared" si="65"/>
        <v>#VALUE!</v>
      </c>
      <c r="AN157" s="43" t="e">
        <f t="shared" si="66"/>
        <v>#VALUE!</v>
      </c>
      <c r="AO157" s="19" t="s">
        <v>494</v>
      </c>
      <c r="AT157" s="2">
        <f t="shared" si="67"/>
        <v>9</v>
      </c>
      <c r="AU157" s="45">
        <f t="shared" si="68"/>
        <v>-0.19704473115224552</v>
      </c>
      <c r="AV157" s="45" t="e">
        <f t="shared" si="69"/>
        <v>#VALUE!</v>
      </c>
      <c r="AW157" s="45" t="e">
        <f t="shared" si="70"/>
        <v>#VALUE!</v>
      </c>
      <c r="AX157" s="45">
        <f t="shared" si="71"/>
        <v>1.9561967934901259</v>
      </c>
      <c r="AY157" s="45" t="e">
        <f t="shared" si="72"/>
        <v>#VALUE!</v>
      </c>
      <c r="AZ157" s="45">
        <f t="shared" si="73"/>
        <v>0.64260952743518307</v>
      </c>
      <c r="BA157" s="45" t="e">
        <f t="shared" si="74"/>
        <v>#VALUE!</v>
      </c>
      <c r="BB157" s="45" t="e">
        <f t="shared" si="75"/>
        <v>#VALUE!</v>
      </c>
      <c r="BC157" s="45" t="e">
        <f t="shared" si="76"/>
        <v>#VALUE!</v>
      </c>
      <c r="BD157" s="45" t="e">
        <f t="shared" si="77"/>
        <v>#NUM!</v>
      </c>
      <c r="BE157" s="45" t="e">
        <f t="shared" si="78"/>
        <v>#VALUE!</v>
      </c>
      <c r="BF157" s="45" t="e">
        <f t="shared" si="79"/>
        <v>#VALUE!</v>
      </c>
      <c r="BG157" s="45" t="e">
        <f t="shared" si="80"/>
        <v>#VALUE!</v>
      </c>
      <c r="BH157" s="45" t="e">
        <f t="shared" si="81"/>
        <v>#NUM!</v>
      </c>
      <c r="BI157" s="43" t="e">
        <f t="shared" si="82"/>
        <v>#VALUE!</v>
      </c>
      <c r="BJ157" s="18"/>
      <c r="BK157" s="18"/>
      <c r="BL157" s="20"/>
      <c r="CA157" s="41" t="s">
        <v>22</v>
      </c>
      <c r="CC157" t="s">
        <v>22</v>
      </c>
      <c r="CE157" s="41" t="s">
        <v>22</v>
      </c>
      <c r="CF157" s="41" t="s">
        <v>22</v>
      </c>
      <c r="CG157" s="41" t="s">
        <v>22</v>
      </c>
      <c r="CH157" s="41" t="s">
        <v>22</v>
      </c>
      <c r="CI157" s="41" t="str">
        <f t="shared" si="88"/>
        <v>Not Reported/ Can not calculate</v>
      </c>
      <c r="CJ157" s="41" t="e">
        <f t="shared" si="89"/>
        <v>#VALUE!</v>
      </c>
      <c r="CL157" s="9" t="s">
        <v>343</v>
      </c>
      <c r="CM157" s="18" t="s">
        <v>1284</v>
      </c>
      <c r="CN157" s="54" t="s">
        <v>1284</v>
      </c>
      <c r="CO157" s="18" t="s">
        <v>1284</v>
      </c>
    </row>
    <row r="158" spans="1:93" x14ac:dyDescent="0.25">
      <c r="A158" s="18" t="s">
        <v>343</v>
      </c>
      <c r="B158" s="41">
        <v>1.0936792215418099</v>
      </c>
      <c r="C158" s="41" t="s">
        <v>22</v>
      </c>
      <c r="D158" s="41" t="s">
        <v>22</v>
      </c>
      <c r="E158" s="41" t="s">
        <v>22</v>
      </c>
      <c r="F158" s="18" t="s">
        <v>22</v>
      </c>
      <c r="G158" s="18" t="s">
        <v>22</v>
      </c>
      <c r="H158" s="18" t="s">
        <v>22</v>
      </c>
      <c r="I158" s="18" t="s">
        <v>22</v>
      </c>
      <c r="J158" s="41" t="s">
        <v>22</v>
      </c>
      <c r="K158" s="18" t="s">
        <v>22</v>
      </c>
      <c r="L158" s="41" t="s">
        <v>22</v>
      </c>
      <c r="M158" s="18" t="s">
        <v>45</v>
      </c>
      <c r="N158" s="41">
        <v>132.841328413284</v>
      </c>
      <c r="O158" s="41" t="s">
        <v>22</v>
      </c>
      <c r="P158" s="41">
        <v>6.6434514055212404</v>
      </c>
      <c r="R158" s="41">
        <f t="shared" si="87"/>
        <v>145.28580064762036</v>
      </c>
      <c r="S158" s="41" t="s">
        <v>22</v>
      </c>
      <c r="T158" s="41" t="s">
        <v>22</v>
      </c>
      <c r="U158" s="41" t="s">
        <v>22</v>
      </c>
      <c r="V158" s="18">
        <v>20200518</v>
      </c>
      <c r="W158" s="21" t="s">
        <v>776</v>
      </c>
      <c r="X158" s="18">
        <v>1990</v>
      </c>
      <c r="Y158" s="18" t="s">
        <v>343</v>
      </c>
      <c r="Z158" s="18" t="s">
        <v>22</v>
      </c>
      <c r="AA158" s="18" t="s">
        <v>894</v>
      </c>
      <c r="AC158" s="18" t="s">
        <v>22</v>
      </c>
      <c r="AE158" s="41" t="s">
        <v>22</v>
      </c>
      <c r="AF158" s="41" t="s">
        <v>22</v>
      </c>
      <c r="AG158" s="41" t="s">
        <v>22</v>
      </c>
      <c r="AH158" s="41" t="s">
        <v>22</v>
      </c>
      <c r="AI158" s="41" t="s">
        <v>22</v>
      </c>
      <c r="AJ158" s="41" t="s">
        <v>22</v>
      </c>
      <c r="AK158" s="41" t="s">
        <v>22</v>
      </c>
      <c r="AL158" s="41" t="s">
        <v>22</v>
      </c>
      <c r="AM158" s="43" t="e">
        <f t="shared" si="65"/>
        <v>#VALUE!</v>
      </c>
      <c r="AN158" s="43" t="e">
        <f t="shared" si="66"/>
        <v>#VALUE!</v>
      </c>
      <c r="AO158" s="19" t="s">
        <v>494</v>
      </c>
      <c r="AP158" s="18"/>
      <c r="AQ158" s="18"/>
      <c r="AR158" s="18"/>
      <c r="AS158" s="18"/>
      <c r="AT158" s="2">
        <f t="shared" si="67"/>
        <v>9</v>
      </c>
      <c r="AU158" s="45">
        <f t="shared" si="68"/>
        <v>3.8889961172358607E-2</v>
      </c>
      <c r="AV158" s="45" t="e">
        <f t="shared" si="69"/>
        <v>#VALUE!</v>
      </c>
      <c r="AW158" s="45" t="e">
        <f t="shared" si="70"/>
        <v>#VALUE!</v>
      </c>
      <c r="AX158" s="45">
        <f t="shared" si="71"/>
        <v>2.123333209892881</v>
      </c>
      <c r="AY158" s="45" t="e">
        <f t="shared" si="72"/>
        <v>#VALUE!</v>
      </c>
      <c r="AZ158" s="45">
        <f t="shared" si="73"/>
        <v>0.82239376264274122</v>
      </c>
      <c r="BA158" s="45" t="e">
        <f t="shared" si="74"/>
        <v>#VALUE!</v>
      </c>
      <c r="BB158" s="45" t="e">
        <f t="shared" si="75"/>
        <v>#VALUE!</v>
      </c>
      <c r="BC158" s="45" t="e">
        <f t="shared" si="76"/>
        <v>#VALUE!</v>
      </c>
      <c r="BD158" s="45" t="e">
        <f t="shared" si="77"/>
        <v>#NUM!</v>
      </c>
      <c r="BE158" s="45" t="e">
        <f t="shared" si="78"/>
        <v>#VALUE!</v>
      </c>
      <c r="BF158" s="45" t="e">
        <f t="shared" si="79"/>
        <v>#VALUE!</v>
      </c>
      <c r="BG158" s="45" t="e">
        <f t="shared" si="80"/>
        <v>#VALUE!</v>
      </c>
      <c r="BH158" s="45" t="e">
        <f t="shared" si="81"/>
        <v>#NUM!</v>
      </c>
      <c r="BI158" s="43" t="e">
        <f t="shared" si="82"/>
        <v>#VALUE!</v>
      </c>
      <c r="BJ158" s="18"/>
      <c r="BK158" s="18"/>
      <c r="BL158" s="20"/>
      <c r="BS158" s="18"/>
      <c r="BT158" s="18"/>
      <c r="CA158" s="41" t="s">
        <v>22</v>
      </c>
      <c r="CB158" s="18"/>
      <c r="CC158" t="s">
        <v>22</v>
      </c>
      <c r="CE158" s="41" t="s">
        <v>22</v>
      </c>
      <c r="CF158" s="41" t="s">
        <v>22</v>
      </c>
      <c r="CG158" s="41" t="s">
        <v>22</v>
      </c>
      <c r="CH158" s="41" t="s">
        <v>22</v>
      </c>
      <c r="CI158" s="41" t="str">
        <f t="shared" si="88"/>
        <v>Not Reported/ Can not calculate</v>
      </c>
      <c r="CJ158" s="41" t="e">
        <f t="shared" si="89"/>
        <v>#VALUE!</v>
      </c>
      <c r="CL158" s="9" t="s">
        <v>343</v>
      </c>
      <c r="CM158" s="18" t="s">
        <v>1284</v>
      </c>
      <c r="CN158" s="54" t="s">
        <v>1284</v>
      </c>
      <c r="CO158" s="18" t="s">
        <v>1284</v>
      </c>
    </row>
    <row r="159" spans="1:93" x14ac:dyDescent="0.25">
      <c r="A159" t="s">
        <v>343</v>
      </c>
      <c r="B159" s="41">
        <v>1.15430752453653</v>
      </c>
      <c r="C159" s="41" t="s">
        <v>22</v>
      </c>
      <c r="D159" s="41" t="s">
        <v>22</v>
      </c>
      <c r="E159" s="41" t="s">
        <v>22</v>
      </c>
      <c r="F159" t="s">
        <v>22</v>
      </c>
      <c r="G159" t="s">
        <v>22</v>
      </c>
      <c r="H159" t="s">
        <v>22</v>
      </c>
      <c r="I159" t="s">
        <v>22</v>
      </c>
      <c r="J159" s="41" t="s">
        <v>22</v>
      </c>
      <c r="K159" t="s">
        <v>22</v>
      </c>
      <c r="L159" s="41" t="s">
        <v>22</v>
      </c>
      <c r="M159" t="s">
        <v>45</v>
      </c>
      <c r="N159" s="41">
        <v>182.65682656826502</v>
      </c>
      <c r="O159" s="41" t="s">
        <v>22</v>
      </c>
      <c r="P159" s="41">
        <v>6.4001638724316097</v>
      </c>
      <c r="R159" s="41">
        <f t="shared" si="87"/>
        <v>210.84214931571228</v>
      </c>
      <c r="S159" s="41" t="s">
        <v>22</v>
      </c>
      <c r="T159" s="41" t="s">
        <v>22</v>
      </c>
      <c r="U159" s="41" t="s">
        <v>22</v>
      </c>
      <c r="V159" s="18">
        <v>20200518</v>
      </c>
      <c r="W159" s="16" t="s">
        <v>777</v>
      </c>
      <c r="X159">
        <v>1990</v>
      </c>
      <c r="Y159" t="s">
        <v>343</v>
      </c>
      <c r="Z159" t="s">
        <v>22</v>
      </c>
      <c r="AA159" t="s">
        <v>894</v>
      </c>
      <c r="AC159" t="s">
        <v>22</v>
      </c>
      <c r="AE159" s="41" t="s">
        <v>22</v>
      </c>
      <c r="AF159" s="41" t="s">
        <v>22</v>
      </c>
      <c r="AG159" s="41" t="s">
        <v>22</v>
      </c>
      <c r="AH159" s="41" t="s">
        <v>22</v>
      </c>
      <c r="AI159" s="41" t="s">
        <v>22</v>
      </c>
      <c r="AJ159" s="41" t="s">
        <v>22</v>
      </c>
      <c r="AK159" s="41" t="s">
        <v>22</v>
      </c>
      <c r="AL159" s="41" t="s">
        <v>22</v>
      </c>
      <c r="AM159" s="43" t="e">
        <f t="shared" si="65"/>
        <v>#VALUE!</v>
      </c>
      <c r="AN159" s="43" t="e">
        <f t="shared" si="66"/>
        <v>#VALUE!</v>
      </c>
      <c r="AO159" s="3" t="s">
        <v>494</v>
      </c>
      <c r="AT159" s="2">
        <f t="shared" si="67"/>
        <v>9</v>
      </c>
      <c r="AU159" s="45">
        <f t="shared" si="68"/>
        <v>6.2321526685408871E-2</v>
      </c>
      <c r="AV159" s="45" t="e">
        <f t="shared" si="69"/>
        <v>#VALUE!</v>
      </c>
      <c r="AW159" s="45" t="e">
        <f t="shared" si="70"/>
        <v>#VALUE!</v>
      </c>
      <c r="AX159" s="45">
        <f t="shared" si="71"/>
        <v>2.2616359080591613</v>
      </c>
      <c r="AY159" s="45" t="e">
        <f t="shared" si="72"/>
        <v>#VALUE!</v>
      </c>
      <c r="AZ159" s="45">
        <f t="shared" si="73"/>
        <v>0.80619109398102118</v>
      </c>
      <c r="BA159" s="45" t="e">
        <f t="shared" si="74"/>
        <v>#VALUE!</v>
      </c>
      <c r="BB159" s="45" t="e">
        <f t="shared" si="75"/>
        <v>#VALUE!</v>
      </c>
      <c r="BC159" s="45" t="e">
        <f t="shared" si="76"/>
        <v>#VALUE!</v>
      </c>
      <c r="BD159" s="45" t="e">
        <f t="shared" si="77"/>
        <v>#NUM!</v>
      </c>
      <c r="BE159" s="45" t="e">
        <f t="shared" si="78"/>
        <v>#VALUE!</v>
      </c>
      <c r="BF159" s="45" t="e">
        <f t="shared" si="79"/>
        <v>#VALUE!</v>
      </c>
      <c r="BG159" s="45" t="e">
        <f t="shared" si="80"/>
        <v>#VALUE!</v>
      </c>
      <c r="BH159" s="45" t="e">
        <f t="shared" si="81"/>
        <v>#NUM!</v>
      </c>
      <c r="BI159" s="43" t="e">
        <f t="shared" si="82"/>
        <v>#VALUE!</v>
      </c>
      <c r="BJ159" s="18"/>
      <c r="BK159" s="18"/>
      <c r="BL159" s="20"/>
      <c r="BS159" s="18"/>
      <c r="BT159" s="18"/>
      <c r="CA159" s="41" t="s">
        <v>22</v>
      </c>
      <c r="CC159" t="s">
        <v>22</v>
      </c>
      <c r="CE159" s="41" t="s">
        <v>22</v>
      </c>
      <c r="CF159" s="41" t="s">
        <v>22</v>
      </c>
      <c r="CG159" s="41" t="s">
        <v>22</v>
      </c>
      <c r="CH159" s="41" t="s">
        <v>22</v>
      </c>
      <c r="CI159" s="41" t="str">
        <f t="shared" si="88"/>
        <v>Not Reported/ Can not calculate</v>
      </c>
      <c r="CJ159" s="41" t="e">
        <f t="shared" si="89"/>
        <v>#VALUE!</v>
      </c>
      <c r="CL159" s="9" t="s">
        <v>343</v>
      </c>
      <c r="CM159" s="18" t="s">
        <v>1284</v>
      </c>
      <c r="CN159" s="54" t="s">
        <v>1284</v>
      </c>
      <c r="CO159" s="18" t="s">
        <v>1284</v>
      </c>
    </row>
    <row r="160" spans="1:93" x14ac:dyDescent="0.25">
      <c r="A160" t="s">
        <v>343</v>
      </c>
      <c r="B160" s="41">
        <v>1.37310208875094</v>
      </c>
      <c r="C160" s="41" t="s">
        <v>22</v>
      </c>
      <c r="D160" s="41" t="s">
        <v>22</v>
      </c>
      <c r="E160" s="41" t="s">
        <v>22</v>
      </c>
      <c r="F160" t="s">
        <v>22</v>
      </c>
      <c r="G160" t="s">
        <v>22</v>
      </c>
      <c r="H160" t="s">
        <v>22</v>
      </c>
      <c r="I160" t="s">
        <v>22</v>
      </c>
      <c r="J160" s="41" t="s">
        <v>22</v>
      </c>
      <c r="K160" t="s">
        <v>22</v>
      </c>
      <c r="L160" s="41" t="s">
        <v>22</v>
      </c>
      <c r="M160" t="s">
        <v>45</v>
      </c>
      <c r="N160" s="41">
        <v>169.74169741697401</v>
      </c>
      <c r="O160" s="41" t="s">
        <v>22</v>
      </c>
      <c r="P160" s="41">
        <v>7.5586159082314301</v>
      </c>
      <c r="R160" s="41">
        <f t="shared" si="87"/>
        <v>233.07267927137704</v>
      </c>
      <c r="S160" s="41" t="s">
        <v>22</v>
      </c>
      <c r="T160" s="41" t="s">
        <v>22</v>
      </c>
      <c r="U160" s="41" t="s">
        <v>22</v>
      </c>
      <c r="V160" s="18">
        <v>20200518</v>
      </c>
      <c r="W160" s="16" t="s">
        <v>778</v>
      </c>
      <c r="X160">
        <v>1990</v>
      </c>
      <c r="Y160" t="s">
        <v>343</v>
      </c>
      <c r="Z160" t="s">
        <v>22</v>
      </c>
      <c r="AA160" t="s">
        <v>894</v>
      </c>
      <c r="AC160" t="s">
        <v>22</v>
      </c>
      <c r="AE160" s="41" t="s">
        <v>22</v>
      </c>
      <c r="AF160" s="41" t="s">
        <v>22</v>
      </c>
      <c r="AG160" s="41" t="s">
        <v>22</v>
      </c>
      <c r="AH160" s="41" t="s">
        <v>22</v>
      </c>
      <c r="AI160" s="41" t="s">
        <v>22</v>
      </c>
      <c r="AJ160" s="41" t="s">
        <v>22</v>
      </c>
      <c r="AK160" s="41" t="s">
        <v>22</v>
      </c>
      <c r="AL160" s="41" t="s">
        <v>22</v>
      </c>
      <c r="AM160" s="43" t="e">
        <f t="shared" si="65"/>
        <v>#VALUE!</v>
      </c>
      <c r="AN160" s="43" t="e">
        <f t="shared" si="66"/>
        <v>#VALUE!</v>
      </c>
      <c r="AO160" s="3" t="s">
        <v>494</v>
      </c>
      <c r="AT160" s="2">
        <f t="shared" si="67"/>
        <v>9</v>
      </c>
      <c r="AU160" s="45">
        <f t="shared" si="68"/>
        <v>0.13770282779244833</v>
      </c>
      <c r="AV160" s="45" t="e">
        <f t="shared" si="69"/>
        <v>#VALUE!</v>
      </c>
      <c r="AW160" s="45" t="e">
        <f t="shared" si="70"/>
        <v>#VALUE!</v>
      </c>
      <c r="AX160" s="45">
        <f t="shared" si="71"/>
        <v>2.229788540807168</v>
      </c>
      <c r="AY160" s="45" t="e">
        <f t="shared" si="72"/>
        <v>#VALUE!</v>
      </c>
      <c r="AZ160" s="45">
        <f t="shared" si="73"/>
        <v>0.87844227718777557</v>
      </c>
      <c r="BA160" s="45" t="e">
        <f t="shared" si="74"/>
        <v>#VALUE!</v>
      </c>
      <c r="BB160" s="45" t="e">
        <f t="shared" si="75"/>
        <v>#VALUE!</v>
      </c>
      <c r="BC160" s="45" t="e">
        <f t="shared" si="76"/>
        <v>#VALUE!</v>
      </c>
      <c r="BD160" s="45" t="e">
        <f t="shared" si="77"/>
        <v>#NUM!</v>
      </c>
      <c r="BE160" s="45" t="e">
        <f t="shared" si="78"/>
        <v>#VALUE!</v>
      </c>
      <c r="BF160" s="45" t="e">
        <f t="shared" si="79"/>
        <v>#VALUE!</v>
      </c>
      <c r="BG160" s="45" t="e">
        <f t="shared" si="80"/>
        <v>#VALUE!</v>
      </c>
      <c r="BH160" s="45" t="e">
        <f t="shared" si="81"/>
        <v>#NUM!</v>
      </c>
      <c r="BI160" s="43" t="e">
        <f t="shared" si="82"/>
        <v>#VALUE!</v>
      </c>
      <c r="BJ160" s="18"/>
      <c r="BK160" s="18"/>
      <c r="BL160" s="20"/>
      <c r="BS160" s="18"/>
      <c r="BT160" s="18"/>
      <c r="CA160" s="41" t="s">
        <v>22</v>
      </c>
      <c r="CB160" s="18"/>
      <c r="CC160" t="s">
        <v>22</v>
      </c>
      <c r="CE160" s="41" t="s">
        <v>22</v>
      </c>
      <c r="CF160" s="41" t="s">
        <v>22</v>
      </c>
      <c r="CG160" s="41" t="s">
        <v>22</v>
      </c>
      <c r="CH160" s="41" t="s">
        <v>22</v>
      </c>
      <c r="CI160" s="41" t="str">
        <f t="shared" si="88"/>
        <v>Not Reported/ Can not calculate</v>
      </c>
      <c r="CJ160" s="41" t="e">
        <f t="shared" si="89"/>
        <v>#VALUE!</v>
      </c>
      <c r="CL160" s="9" t="s">
        <v>343</v>
      </c>
      <c r="CM160" s="18" t="s">
        <v>1284</v>
      </c>
      <c r="CN160" s="54" t="s">
        <v>1284</v>
      </c>
      <c r="CO160" s="18" t="s">
        <v>1284</v>
      </c>
    </row>
    <row r="161" spans="1:93" x14ac:dyDescent="0.25">
      <c r="A161" t="s">
        <v>343</v>
      </c>
      <c r="B161" s="41">
        <v>2.1429200570421898</v>
      </c>
      <c r="C161" s="41" t="s">
        <v>22</v>
      </c>
      <c r="D161" s="41" t="s">
        <v>22</v>
      </c>
      <c r="E161" s="41" t="s">
        <v>22</v>
      </c>
      <c r="F161" t="s">
        <v>22</v>
      </c>
      <c r="G161" t="s">
        <v>22</v>
      </c>
      <c r="H161" t="s">
        <v>22</v>
      </c>
      <c r="I161" t="s">
        <v>22</v>
      </c>
      <c r="J161" s="41" t="s">
        <v>22</v>
      </c>
      <c r="K161" t="s">
        <v>22</v>
      </c>
      <c r="L161" s="41" t="s">
        <v>22</v>
      </c>
      <c r="M161" t="s">
        <v>45</v>
      </c>
      <c r="N161" s="41">
        <v>169.74169741697401</v>
      </c>
      <c r="O161" s="41" t="s">
        <v>22</v>
      </c>
      <c r="P161" s="41">
        <v>10.2492751796294</v>
      </c>
      <c r="R161" s="41">
        <f t="shared" si="87"/>
        <v>363.74288791122007</v>
      </c>
      <c r="S161" s="41" t="s">
        <v>22</v>
      </c>
      <c r="T161" s="41" t="s">
        <v>22</v>
      </c>
      <c r="U161" s="41" t="s">
        <v>22</v>
      </c>
      <c r="V161">
        <v>20200518</v>
      </c>
      <c r="W161" s="21" t="s">
        <v>779</v>
      </c>
      <c r="X161">
        <v>1990</v>
      </c>
      <c r="Y161" t="s">
        <v>343</v>
      </c>
      <c r="Z161" t="s">
        <v>22</v>
      </c>
      <c r="AA161" s="18" t="s">
        <v>894</v>
      </c>
      <c r="AC161" s="18" t="s">
        <v>22</v>
      </c>
      <c r="AE161" s="41" t="s">
        <v>22</v>
      </c>
      <c r="AF161" s="41" t="s">
        <v>22</v>
      </c>
      <c r="AG161" s="41" t="s">
        <v>22</v>
      </c>
      <c r="AH161" s="41" t="s">
        <v>22</v>
      </c>
      <c r="AI161" s="41" t="s">
        <v>22</v>
      </c>
      <c r="AJ161" s="41" t="s">
        <v>22</v>
      </c>
      <c r="AK161" s="41" t="s">
        <v>22</v>
      </c>
      <c r="AL161" s="41" t="s">
        <v>22</v>
      </c>
      <c r="AM161" s="43" t="e">
        <f t="shared" si="65"/>
        <v>#VALUE!</v>
      </c>
      <c r="AN161" s="43" t="e">
        <f t="shared" si="66"/>
        <v>#VALUE!</v>
      </c>
      <c r="AO161" s="3" t="s">
        <v>494</v>
      </c>
      <c r="AT161" s="2">
        <f t="shared" si="67"/>
        <v>9</v>
      </c>
      <c r="AU161" s="45">
        <f t="shared" si="68"/>
        <v>0.33100596971983204</v>
      </c>
      <c r="AV161" s="45" t="e">
        <f t="shared" si="69"/>
        <v>#VALUE!</v>
      </c>
      <c r="AW161" s="45" t="e">
        <f t="shared" si="70"/>
        <v>#VALUE!</v>
      </c>
      <c r="AX161" s="45">
        <f t="shared" si="71"/>
        <v>2.229788540807168</v>
      </c>
      <c r="AY161" s="45" t="e">
        <f t="shared" si="72"/>
        <v>#VALUE!</v>
      </c>
      <c r="AZ161" s="45">
        <f t="shared" si="73"/>
        <v>1.010693153526627</v>
      </c>
      <c r="BA161" s="45" t="e">
        <f t="shared" si="74"/>
        <v>#VALUE!</v>
      </c>
      <c r="BB161" s="45" t="e">
        <f t="shared" si="75"/>
        <v>#VALUE!</v>
      </c>
      <c r="BC161" s="45" t="e">
        <f t="shared" si="76"/>
        <v>#VALUE!</v>
      </c>
      <c r="BD161" s="45" t="e">
        <f t="shared" si="77"/>
        <v>#NUM!</v>
      </c>
      <c r="BE161" s="45" t="e">
        <f t="shared" si="78"/>
        <v>#VALUE!</v>
      </c>
      <c r="BF161" s="45" t="e">
        <f t="shared" si="79"/>
        <v>#VALUE!</v>
      </c>
      <c r="BG161" s="45" t="e">
        <f t="shared" si="80"/>
        <v>#VALUE!</v>
      </c>
      <c r="BH161" s="45" t="e">
        <f t="shared" si="81"/>
        <v>#NUM!</v>
      </c>
      <c r="BI161" s="43" t="e">
        <f t="shared" si="82"/>
        <v>#VALUE!</v>
      </c>
      <c r="BJ161" s="18"/>
      <c r="BK161" s="18"/>
      <c r="BL161" s="20"/>
      <c r="BS161" s="18"/>
      <c r="BT161" s="18"/>
      <c r="CA161" s="41" t="s">
        <v>22</v>
      </c>
      <c r="CB161" s="18"/>
      <c r="CC161" t="s">
        <v>22</v>
      </c>
      <c r="CE161" s="41" t="s">
        <v>22</v>
      </c>
      <c r="CF161" s="41" t="s">
        <v>22</v>
      </c>
      <c r="CG161" s="41" t="s">
        <v>22</v>
      </c>
      <c r="CH161" s="41" t="s">
        <v>22</v>
      </c>
      <c r="CI161" s="41" t="str">
        <f t="shared" si="88"/>
        <v>Not Reported/ Can not calculate</v>
      </c>
      <c r="CJ161" s="41" t="e">
        <f t="shared" si="89"/>
        <v>#VALUE!</v>
      </c>
      <c r="CL161" s="9" t="s">
        <v>343</v>
      </c>
      <c r="CM161" s="18" t="s">
        <v>1284</v>
      </c>
      <c r="CN161" s="54" t="s">
        <v>1284</v>
      </c>
      <c r="CO161" s="18" t="s">
        <v>1284</v>
      </c>
    </row>
    <row r="162" spans="1:93" x14ac:dyDescent="0.25">
      <c r="A162" t="s">
        <v>343</v>
      </c>
      <c r="B162" s="41">
        <v>2.1720073819310399</v>
      </c>
      <c r="C162" s="41" t="s">
        <v>22</v>
      </c>
      <c r="D162" s="41" t="s">
        <v>22</v>
      </c>
      <c r="E162" s="41" t="s">
        <v>22</v>
      </c>
      <c r="F162" t="s">
        <v>22</v>
      </c>
      <c r="G162" t="s">
        <v>22</v>
      </c>
      <c r="H162" t="s">
        <v>22</v>
      </c>
      <c r="I162" t="s">
        <v>22</v>
      </c>
      <c r="J162" s="41" t="s">
        <v>22</v>
      </c>
      <c r="K162" t="s">
        <v>22</v>
      </c>
      <c r="L162" s="41" t="s">
        <v>22</v>
      </c>
      <c r="M162" t="s">
        <v>45</v>
      </c>
      <c r="N162" s="41">
        <v>149.44649446494401</v>
      </c>
      <c r="O162" s="41" t="s">
        <v>22</v>
      </c>
      <c r="P162" s="41">
        <v>7.4325601916046899</v>
      </c>
      <c r="R162" s="41">
        <f t="shared" si="87"/>
        <v>324.59888918157469</v>
      </c>
      <c r="S162" s="41" t="s">
        <v>22</v>
      </c>
      <c r="T162" s="41" t="s">
        <v>22</v>
      </c>
      <c r="U162" s="41" t="s">
        <v>22</v>
      </c>
      <c r="V162">
        <v>20200518</v>
      </c>
      <c r="W162" s="21" t="s">
        <v>780</v>
      </c>
      <c r="X162">
        <v>1990</v>
      </c>
      <c r="Y162" t="s">
        <v>343</v>
      </c>
      <c r="Z162" t="s">
        <v>22</v>
      </c>
      <c r="AA162" s="18" t="s">
        <v>894</v>
      </c>
      <c r="AC162" s="18" t="s">
        <v>22</v>
      </c>
      <c r="AE162" s="41" t="s">
        <v>22</v>
      </c>
      <c r="AF162" s="41" t="s">
        <v>22</v>
      </c>
      <c r="AG162" s="41" t="s">
        <v>22</v>
      </c>
      <c r="AH162" s="41" t="s">
        <v>22</v>
      </c>
      <c r="AI162" s="41" t="s">
        <v>22</v>
      </c>
      <c r="AJ162" s="41" t="s">
        <v>22</v>
      </c>
      <c r="AK162" s="41" t="s">
        <v>22</v>
      </c>
      <c r="AL162" s="41" t="s">
        <v>22</v>
      </c>
      <c r="AM162" s="43" t="e">
        <f t="shared" si="65"/>
        <v>#VALUE!</v>
      </c>
      <c r="AN162" s="43" t="e">
        <f t="shared" si="66"/>
        <v>#VALUE!</v>
      </c>
      <c r="AO162" s="3" t="s">
        <v>494</v>
      </c>
      <c r="AT162" s="2">
        <f t="shared" si="67"/>
        <v>9</v>
      </c>
      <c r="AU162" s="45">
        <f t="shared" si="68"/>
        <v>0.33686129694188688</v>
      </c>
      <c r="AV162" s="45" t="e">
        <f t="shared" si="69"/>
        <v>#VALUE!</v>
      </c>
      <c r="AW162" s="45" t="e">
        <f t="shared" si="70"/>
        <v>#VALUE!</v>
      </c>
      <c r="AX162" s="45">
        <f t="shared" si="71"/>
        <v>2.1744857323402611</v>
      </c>
      <c r="AY162" s="45" t="e">
        <f t="shared" si="72"/>
        <v>#VALUE!</v>
      </c>
      <c r="AZ162" s="45">
        <f t="shared" si="73"/>
        <v>0.8711384349675807</v>
      </c>
      <c r="BA162" s="45" t="e">
        <f t="shared" si="74"/>
        <v>#VALUE!</v>
      </c>
      <c r="BB162" s="45" t="e">
        <f t="shared" si="75"/>
        <v>#VALUE!</v>
      </c>
      <c r="BC162" s="45" t="e">
        <f t="shared" si="76"/>
        <v>#VALUE!</v>
      </c>
      <c r="BD162" s="45" t="e">
        <f t="shared" si="77"/>
        <v>#NUM!</v>
      </c>
      <c r="BE162" s="45" t="e">
        <f t="shared" si="78"/>
        <v>#VALUE!</v>
      </c>
      <c r="BF162" s="45" t="e">
        <f t="shared" si="79"/>
        <v>#VALUE!</v>
      </c>
      <c r="BG162" s="45" t="e">
        <f t="shared" si="80"/>
        <v>#VALUE!</v>
      </c>
      <c r="BH162" s="45" t="e">
        <f t="shared" si="81"/>
        <v>#NUM!</v>
      </c>
      <c r="BI162" s="43" t="e">
        <f t="shared" si="82"/>
        <v>#VALUE!</v>
      </c>
      <c r="BJ162" s="18"/>
      <c r="BK162" s="18"/>
      <c r="BL162" s="20"/>
      <c r="BS162" s="18"/>
      <c r="BT162" s="18"/>
      <c r="CA162" s="41" t="s">
        <v>22</v>
      </c>
      <c r="CB162" s="18"/>
      <c r="CC162" t="s">
        <v>22</v>
      </c>
      <c r="CE162" s="41" t="s">
        <v>22</v>
      </c>
      <c r="CF162" s="41" t="s">
        <v>22</v>
      </c>
      <c r="CG162" s="41" t="s">
        <v>22</v>
      </c>
      <c r="CH162" s="41" t="s">
        <v>22</v>
      </c>
      <c r="CI162" s="41" t="str">
        <f t="shared" si="88"/>
        <v>Not Reported/ Can not calculate</v>
      </c>
      <c r="CJ162" s="41" t="e">
        <f t="shared" si="89"/>
        <v>#VALUE!</v>
      </c>
      <c r="CL162" s="9" t="s">
        <v>343</v>
      </c>
      <c r="CM162" s="18" t="s">
        <v>1284</v>
      </c>
      <c r="CN162" s="54" t="s">
        <v>1284</v>
      </c>
      <c r="CO162" s="18" t="s">
        <v>1284</v>
      </c>
    </row>
    <row r="163" spans="1:93" x14ac:dyDescent="0.25">
      <c r="A163" t="s">
        <v>343</v>
      </c>
      <c r="B163" s="41">
        <v>11</v>
      </c>
      <c r="C163" s="41" t="s">
        <v>22</v>
      </c>
      <c r="D163" s="41" t="s">
        <v>22</v>
      </c>
      <c r="E163" s="41" t="s">
        <v>22</v>
      </c>
      <c r="F163" t="s">
        <v>22</v>
      </c>
      <c r="G163" t="s">
        <v>22</v>
      </c>
      <c r="H163" t="s">
        <v>22</v>
      </c>
      <c r="I163" t="s">
        <v>22</v>
      </c>
      <c r="J163" s="41" t="s">
        <v>22</v>
      </c>
      <c r="K163" t="s">
        <v>22</v>
      </c>
      <c r="M163" t="s">
        <v>45</v>
      </c>
      <c r="N163" s="41" t="s">
        <v>22</v>
      </c>
      <c r="O163" s="41" t="s">
        <v>22</v>
      </c>
      <c r="P163" s="41" t="s">
        <v>22</v>
      </c>
      <c r="R163" s="41" t="s">
        <v>22</v>
      </c>
      <c r="S163" s="41" t="s">
        <v>22</v>
      </c>
      <c r="T163" s="41" t="s">
        <v>22</v>
      </c>
      <c r="U163" s="41" t="s">
        <v>22</v>
      </c>
      <c r="V163">
        <v>20200518</v>
      </c>
      <c r="W163" s="21"/>
      <c r="X163">
        <v>1990</v>
      </c>
      <c r="Y163" t="s">
        <v>343</v>
      </c>
      <c r="Z163" t="s">
        <v>22</v>
      </c>
      <c r="AA163" s="18" t="s">
        <v>894</v>
      </c>
      <c r="AB163" s="41" t="s">
        <v>22</v>
      </c>
      <c r="AC163" s="18" t="s">
        <v>22</v>
      </c>
      <c r="AD163" s="41" t="s">
        <v>22</v>
      </c>
      <c r="AE163" s="41" t="s">
        <v>22</v>
      </c>
      <c r="AF163" s="41" t="s">
        <v>22</v>
      </c>
      <c r="AG163" s="41" t="s">
        <v>22</v>
      </c>
      <c r="AH163" s="41">
        <v>2.4054468027806339</v>
      </c>
      <c r="AI163" s="41" t="s">
        <v>22</v>
      </c>
      <c r="AJ163" s="41">
        <v>2.4054468027806339</v>
      </c>
      <c r="AK163" s="41">
        <v>1.5481865060449815</v>
      </c>
      <c r="AL163" s="41">
        <v>0.99700709506834306</v>
      </c>
      <c r="AM163" s="43" t="e">
        <f t="shared" si="65"/>
        <v>#VALUE!</v>
      </c>
      <c r="AN163" s="43">
        <f t="shared" si="66"/>
        <v>0.41447896245962657</v>
      </c>
      <c r="AO163" s="3" t="s">
        <v>785</v>
      </c>
      <c r="AT163" s="2">
        <f t="shared" si="67"/>
        <v>2</v>
      </c>
      <c r="AU163" s="45">
        <f t="shared" si="68"/>
        <v>1.0413926851582251</v>
      </c>
      <c r="AV163" s="45" t="e">
        <f t="shared" si="69"/>
        <v>#VALUE!</v>
      </c>
      <c r="AW163" s="45" t="e">
        <f t="shared" si="70"/>
        <v>#VALUE!</v>
      </c>
      <c r="AX163" s="45" t="e">
        <f t="shared" si="71"/>
        <v>#VALUE!</v>
      </c>
      <c r="AY163" s="45" t="e">
        <f t="shared" si="72"/>
        <v>#VALUE!</v>
      </c>
      <c r="AZ163" s="45" t="e">
        <f t="shared" si="73"/>
        <v>#VALUE!</v>
      </c>
      <c r="BA163" s="45" t="e">
        <f t="shared" si="74"/>
        <v>#VALUE!</v>
      </c>
      <c r="BB163" s="45" t="e">
        <f t="shared" si="75"/>
        <v>#NUM!</v>
      </c>
      <c r="BC163" s="45" t="e">
        <f t="shared" si="76"/>
        <v>#VALUE!</v>
      </c>
      <c r="BD163" s="45" t="e">
        <f t="shared" si="77"/>
        <v>#VALUE!</v>
      </c>
      <c r="BE163" s="45" t="e">
        <f t="shared" si="78"/>
        <v>#VALUE!</v>
      </c>
      <c r="BF163" s="45" t="e">
        <f t="shared" si="79"/>
        <v>#VALUE!</v>
      </c>
      <c r="BG163" s="45">
        <f t="shared" si="80"/>
        <v>-0.3824975078629515</v>
      </c>
      <c r="BH163" s="45" t="e">
        <f t="shared" si="81"/>
        <v>#VALUE!</v>
      </c>
      <c r="BI163" s="43" t="e">
        <f t="shared" si="82"/>
        <v>#VALUE!</v>
      </c>
      <c r="BJ163" s="18"/>
      <c r="BK163" s="18"/>
      <c r="BL163" s="20"/>
      <c r="BS163" s="18"/>
      <c r="BT163" s="18"/>
      <c r="CA163" s="41" t="s">
        <v>22</v>
      </c>
      <c r="CB163" s="18"/>
      <c r="CC163" t="s">
        <v>22</v>
      </c>
      <c r="CE163" s="41" t="s">
        <v>22</v>
      </c>
      <c r="CF163" s="41" t="s">
        <v>22</v>
      </c>
      <c r="CG163" s="41" t="s">
        <v>22</v>
      </c>
      <c r="CH163" s="41" t="s">
        <v>22</v>
      </c>
      <c r="CI163" s="41" t="str">
        <f t="shared" si="88"/>
        <v>Not Reported/ Can not calculate</v>
      </c>
      <c r="CJ163" s="41" t="e">
        <f t="shared" si="89"/>
        <v>#VALUE!</v>
      </c>
      <c r="CL163" s="9" t="s">
        <v>343</v>
      </c>
      <c r="CM163" s="18" t="s">
        <v>1284</v>
      </c>
      <c r="CN163" s="54" t="s">
        <v>1284</v>
      </c>
      <c r="CO163" s="18" t="s">
        <v>1284</v>
      </c>
    </row>
    <row r="164" spans="1:93" x14ac:dyDescent="0.25">
      <c r="A164" t="s">
        <v>343</v>
      </c>
      <c r="B164" s="41">
        <v>11</v>
      </c>
      <c r="C164" s="41" t="s">
        <v>22</v>
      </c>
      <c r="D164" s="41" t="s">
        <v>22</v>
      </c>
      <c r="E164" s="41" t="s">
        <v>22</v>
      </c>
      <c r="F164" t="s">
        <v>22</v>
      </c>
      <c r="G164" t="s">
        <v>22</v>
      </c>
      <c r="H164" t="s">
        <v>22</v>
      </c>
      <c r="I164" t="s">
        <v>22</v>
      </c>
      <c r="J164" s="41" t="s">
        <v>22</v>
      </c>
      <c r="K164" t="s">
        <v>22</v>
      </c>
      <c r="M164" t="s">
        <v>45</v>
      </c>
      <c r="N164" s="41" t="s">
        <v>22</v>
      </c>
      <c r="O164" s="41" t="s">
        <v>22</v>
      </c>
      <c r="P164" s="41" t="s">
        <v>22</v>
      </c>
      <c r="R164" s="41" t="s">
        <v>22</v>
      </c>
      <c r="S164" s="41" t="s">
        <v>22</v>
      </c>
      <c r="T164" s="41" t="s">
        <v>22</v>
      </c>
      <c r="U164" s="41" t="s">
        <v>22</v>
      </c>
      <c r="V164">
        <v>20200518</v>
      </c>
      <c r="W164" s="21"/>
      <c r="X164">
        <v>1990</v>
      </c>
      <c r="Y164" t="s">
        <v>343</v>
      </c>
      <c r="Z164" t="s">
        <v>22</v>
      </c>
      <c r="AA164" s="18" t="s">
        <v>773</v>
      </c>
      <c r="AB164" s="41" t="s">
        <v>22</v>
      </c>
      <c r="AC164" s="18" t="s">
        <v>22</v>
      </c>
      <c r="AD164" s="41" t="s">
        <v>22</v>
      </c>
      <c r="AE164" s="41" t="s">
        <v>22</v>
      </c>
      <c r="AF164" s="41" t="s">
        <v>22</v>
      </c>
      <c r="AG164" s="41">
        <v>196.26</v>
      </c>
      <c r="AH164" s="41">
        <v>1.2819621139672146</v>
      </c>
      <c r="AI164" s="41" t="s">
        <v>22</v>
      </c>
      <c r="AJ164" s="41">
        <v>1.2819621139672146</v>
      </c>
      <c r="AK164" s="41">
        <v>1.062819342334983</v>
      </c>
      <c r="AL164" s="41">
        <v>1.0141294961829734</v>
      </c>
      <c r="AM164" s="43" t="e">
        <f t="shared" si="65"/>
        <v>#VALUE!</v>
      </c>
      <c r="AN164" s="43">
        <f t="shared" si="66"/>
        <v>0.79107602723500547</v>
      </c>
      <c r="AO164" s="3" t="s">
        <v>785</v>
      </c>
      <c r="AT164" s="2">
        <f t="shared" si="67"/>
        <v>2</v>
      </c>
      <c r="AU164" s="45">
        <f t="shared" si="68"/>
        <v>1.0413926851582251</v>
      </c>
      <c r="AV164" s="45" t="e">
        <f t="shared" si="69"/>
        <v>#VALUE!</v>
      </c>
      <c r="AW164" s="45" t="e">
        <f t="shared" si="70"/>
        <v>#VALUE!</v>
      </c>
      <c r="AX164" s="45" t="e">
        <f t="shared" si="71"/>
        <v>#VALUE!</v>
      </c>
      <c r="AY164" s="45" t="e">
        <f t="shared" si="72"/>
        <v>#VALUE!</v>
      </c>
      <c r="AZ164" s="45" t="e">
        <f t="shared" si="73"/>
        <v>#VALUE!</v>
      </c>
      <c r="BA164" s="45" t="e">
        <f t="shared" si="74"/>
        <v>#VALUE!</v>
      </c>
      <c r="BB164" s="45" t="e">
        <f t="shared" si="75"/>
        <v>#NUM!</v>
      </c>
      <c r="BC164" s="45" t="e">
        <f t="shared" si="76"/>
        <v>#VALUE!</v>
      </c>
      <c r="BD164" s="45" t="e">
        <f t="shared" si="77"/>
        <v>#VALUE!</v>
      </c>
      <c r="BE164" s="45" t="e">
        <f t="shared" si="78"/>
        <v>#VALUE!</v>
      </c>
      <c r="BF164" s="45" t="e">
        <f t="shared" si="79"/>
        <v>#VALUE!</v>
      </c>
      <c r="BG164" s="45">
        <f t="shared" si="80"/>
        <v>-0.10178177614586237</v>
      </c>
      <c r="BH164" s="45" t="e">
        <f t="shared" si="81"/>
        <v>#VALUE!</v>
      </c>
      <c r="BI164" s="43" t="e">
        <f t="shared" si="82"/>
        <v>#VALUE!</v>
      </c>
      <c r="BJ164" s="18"/>
      <c r="BK164" s="18"/>
      <c r="BL164" s="20"/>
      <c r="BS164" s="18"/>
      <c r="BT164" s="18"/>
      <c r="CA164" s="41" t="s">
        <v>22</v>
      </c>
      <c r="CB164" s="18"/>
      <c r="CC164" t="s">
        <v>22</v>
      </c>
      <c r="CE164" s="41" t="s">
        <v>22</v>
      </c>
      <c r="CF164" s="41" t="s">
        <v>22</v>
      </c>
      <c r="CG164" s="41" t="s">
        <v>22</v>
      </c>
      <c r="CH164" s="41" t="s">
        <v>22</v>
      </c>
      <c r="CI164" s="41" t="str">
        <f t="shared" si="88"/>
        <v>Not Reported/ Can not calculate</v>
      </c>
      <c r="CJ164" s="41" t="e">
        <f t="shared" si="89"/>
        <v>#VALUE!</v>
      </c>
      <c r="CL164" s="9" t="s">
        <v>343</v>
      </c>
      <c r="CM164" s="18" t="s">
        <v>1284</v>
      </c>
      <c r="CN164" s="54" t="s">
        <v>1284</v>
      </c>
      <c r="CO164" s="18" t="s">
        <v>1284</v>
      </c>
    </row>
    <row r="165" spans="1:93" x14ac:dyDescent="0.25">
      <c r="A165" s="6" t="s">
        <v>343</v>
      </c>
      <c r="B165" s="41">
        <v>3.5126300148588398E-2</v>
      </c>
      <c r="C165" s="41" t="s">
        <v>22</v>
      </c>
      <c r="D165" s="41" t="s">
        <v>22</v>
      </c>
      <c r="E165" s="41" t="s">
        <v>22</v>
      </c>
      <c r="F165" t="s">
        <v>22</v>
      </c>
      <c r="G165" t="s">
        <v>22</v>
      </c>
      <c r="H165" t="s">
        <v>22</v>
      </c>
      <c r="I165" t="s">
        <v>22</v>
      </c>
      <c r="J165" s="41" t="s">
        <v>22</v>
      </c>
      <c r="K165" t="s">
        <v>22</v>
      </c>
      <c r="L165" s="41" t="e">
        <f t="shared" ref="L165:L172" si="90">IF((10^-12)*J165*K165^4=0,"",(10^-12)*J165*K165^4)</f>
        <v>#VALUE!</v>
      </c>
      <c r="M165" t="s">
        <v>45</v>
      </c>
      <c r="N165" s="41" t="s">
        <v>795</v>
      </c>
      <c r="P165" s="41" t="s">
        <v>803</v>
      </c>
      <c r="R165" s="41" t="s">
        <v>22</v>
      </c>
      <c r="S165" s="41" t="s">
        <v>22</v>
      </c>
      <c r="T165" s="41" t="s">
        <v>22</v>
      </c>
      <c r="U165" s="41" t="s">
        <v>22</v>
      </c>
      <c r="V165">
        <v>20191229</v>
      </c>
      <c r="W165" s="21" t="s">
        <v>495</v>
      </c>
      <c r="X165">
        <v>1992</v>
      </c>
      <c r="Y165" t="s">
        <v>343</v>
      </c>
      <c r="Z165" t="s">
        <v>22</v>
      </c>
      <c r="AA165" s="18" t="s">
        <v>894</v>
      </c>
      <c r="AB165" s="41" t="s">
        <v>22</v>
      </c>
      <c r="AC165" s="18" t="s">
        <v>22</v>
      </c>
      <c r="AD165" s="41" t="s">
        <v>22</v>
      </c>
      <c r="AE165" s="41" t="s">
        <v>22</v>
      </c>
      <c r="AF165" s="41" t="s">
        <v>22</v>
      </c>
      <c r="AG165" s="41" t="s">
        <v>22</v>
      </c>
      <c r="AH165" s="41" t="s">
        <v>22</v>
      </c>
      <c r="AI165" s="41" t="s">
        <v>22</v>
      </c>
      <c r="AJ165" s="41" t="s">
        <v>22</v>
      </c>
      <c r="AK165" s="41" t="s">
        <v>22</v>
      </c>
      <c r="AL165" s="41" t="s">
        <v>22</v>
      </c>
      <c r="AM165" s="43" t="e">
        <f t="shared" si="65"/>
        <v>#VALUE!</v>
      </c>
      <c r="AN165" s="43" t="e">
        <f t="shared" si="66"/>
        <v>#VALUE!</v>
      </c>
      <c r="AO165" s="3" t="s">
        <v>811</v>
      </c>
      <c r="AT165" s="2">
        <f t="shared" si="67"/>
        <v>9</v>
      </c>
      <c r="AU165" s="45">
        <f t="shared" si="68"/>
        <v>-1.4543675920147592</v>
      </c>
      <c r="AV165" s="45" t="e">
        <f t="shared" si="69"/>
        <v>#VALUE!</v>
      </c>
      <c r="AW165" s="45" t="e">
        <f t="shared" si="70"/>
        <v>#VALUE!</v>
      </c>
      <c r="AX165" s="45" t="e">
        <f t="shared" si="71"/>
        <v>#VALUE!</v>
      </c>
      <c r="AY165" s="45" t="e">
        <f t="shared" si="72"/>
        <v>#NUM!</v>
      </c>
      <c r="AZ165" s="45" t="e">
        <f t="shared" si="73"/>
        <v>#VALUE!</v>
      </c>
      <c r="BA165" s="45" t="e">
        <f t="shared" si="74"/>
        <v>#VALUE!</v>
      </c>
      <c r="BB165" s="45" t="e">
        <f t="shared" si="75"/>
        <v>#VALUE!</v>
      </c>
      <c r="BC165" s="45" t="e">
        <f t="shared" si="76"/>
        <v>#VALUE!</v>
      </c>
      <c r="BD165" s="45" t="e">
        <f t="shared" si="77"/>
        <v>#VALUE!</v>
      </c>
      <c r="BE165" s="45" t="e">
        <f t="shared" si="78"/>
        <v>#VALUE!</v>
      </c>
      <c r="BF165" s="45" t="e">
        <f t="shared" si="79"/>
        <v>#VALUE!</v>
      </c>
      <c r="BG165" s="45" t="e">
        <f t="shared" si="80"/>
        <v>#VALUE!</v>
      </c>
      <c r="BH165" s="45" t="e">
        <f t="shared" si="81"/>
        <v>#VALUE!</v>
      </c>
      <c r="BI165" s="43" t="e">
        <f t="shared" si="82"/>
        <v>#VALUE!</v>
      </c>
      <c r="BJ165" s="18"/>
      <c r="BK165" s="18"/>
      <c r="BL165" s="20"/>
      <c r="BS165" s="18"/>
      <c r="BT165" s="18"/>
      <c r="CA165" s="41" t="s">
        <v>22</v>
      </c>
      <c r="CB165" s="18"/>
      <c r="CC165" t="s">
        <v>22</v>
      </c>
      <c r="CE165" s="41" t="s">
        <v>22</v>
      </c>
      <c r="CF165" s="41" t="s">
        <v>22</v>
      </c>
      <c r="CG165" s="41" t="s">
        <v>22</v>
      </c>
      <c r="CH165" s="41" t="s">
        <v>22</v>
      </c>
      <c r="CI165" s="41" t="str">
        <f t="shared" si="88"/>
        <v>Not Reported/ Can not calculate</v>
      </c>
      <c r="CJ165" s="41" t="e">
        <f t="shared" si="89"/>
        <v>#VALUE!</v>
      </c>
      <c r="CL165" s="9" t="s">
        <v>343</v>
      </c>
      <c r="CM165" s="18" t="s">
        <v>1284</v>
      </c>
      <c r="CN165" s="54" t="s">
        <v>1284</v>
      </c>
      <c r="CO165" s="18" t="s">
        <v>1284</v>
      </c>
    </row>
    <row r="166" spans="1:93" x14ac:dyDescent="0.25">
      <c r="A166" s="6" t="s">
        <v>343</v>
      </c>
      <c r="B166" s="41">
        <v>0.56843982169390705</v>
      </c>
      <c r="C166" s="41" t="s">
        <v>22</v>
      </c>
      <c r="D166" s="41" t="s">
        <v>22</v>
      </c>
      <c r="E166" s="41" t="s">
        <v>22</v>
      </c>
      <c r="F166" t="s">
        <v>22</v>
      </c>
      <c r="G166" t="s">
        <v>22</v>
      </c>
      <c r="H166" t="s">
        <v>22</v>
      </c>
      <c r="I166" t="s">
        <v>22</v>
      </c>
      <c r="J166" s="41" t="s">
        <v>22</v>
      </c>
      <c r="K166" t="s">
        <v>22</v>
      </c>
      <c r="L166" s="41" t="e">
        <f t="shared" si="90"/>
        <v>#VALUE!</v>
      </c>
      <c r="M166" t="s">
        <v>45</v>
      </c>
      <c r="N166" s="41" t="s">
        <v>796</v>
      </c>
      <c r="P166" s="41" t="s">
        <v>804</v>
      </c>
      <c r="R166" s="41" t="s">
        <v>22</v>
      </c>
      <c r="S166" s="41" t="s">
        <v>22</v>
      </c>
      <c r="T166" s="41" t="s">
        <v>22</v>
      </c>
      <c r="U166" s="41" t="s">
        <v>22</v>
      </c>
      <c r="V166">
        <v>20191229</v>
      </c>
      <c r="W166" s="21" t="s">
        <v>495</v>
      </c>
      <c r="X166">
        <v>1992</v>
      </c>
      <c r="Y166" t="s">
        <v>343</v>
      </c>
      <c r="Z166" t="s">
        <v>22</v>
      </c>
      <c r="AA166" s="18" t="s">
        <v>894</v>
      </c>
      <c r="AB166" s="41" t="s">
        <v>22</v>
      </c>
      <c r="AC166" s="18" t="s">
        <v>22</v>
      </c>
      <c r="AD166" s="41" t="s">
        <v>22</v>
      </c>
      <c r="AE166" s="41" t="s">
        <v>22</v>
      </c>
      <c r="AF166" s="41" t="s">
        <v>22</v>
      </c>
      <c r="AG166" s="41" t="s">
        <v>22</v>
      </c>
      <c r="AH166" s="41" t="s">
        <v>22</v>
      </c>
      <c r="AI166" s="41" t="s">
        <v>22</v>
      </c>
      <c r="AJ166" s="41" t="s">
        <v>22</v>
      </c>
      <c r="AK166" s="41" t="s">
        <v>22</v>
      </c>
      <c r="AL166" s="41" t="s">
        <v>22</v>
      </c>
      <c r="AM166" s="43" t="e">
        <f t="shared" si="65"/>
        <v>#VALUE!</v>
      </c>
      <c r="AN166" s="43" t="e">
        <f t="shared" si="66"/>
        <v>#VALUE!</v>
      </c>
      <c r="AO166" s="3" t="s">
        <v>811</v>
      </c>
      <c r="AT166" s="2">
        <f t="shared" si="67"/>
        <v>9</v>
      </c>
      <c r="AU166" s="45">
        <f t="shared" si="68"/>
        <v>-0.2453155054522779</v>
      </c>
      <c r="AV166" s="45" t="e">
        <f t="shared" si="69"/>
        <v>#VALUE!</v>
      </c>
      <c r="AW166" s="45" t="e">
        <f t="shared" si="70"/>
        <v>#VALUE!</v>
      </c>
      <c r="AX166" s="45" t="e">
        <f t="shared" si="71"/>
        <v>#VALUE!</v>
      </c>
      <c r="AY166" s="45" t="e">
        <f t="shared" si="72"/>
        <v>#NUM!</v>
      </c>
      <c r="AZ166" s="45" t="e">
        <f t="shared" si="73"/>
        <v>#VALUE!</v>
      </c>
      <c r="BA166" s="45" t="e">
        <f t="shared" si="74"/>
        <v>#VALUE!</v>
      </c>
      <c r="BB166" s="45" t="e">
        <f t="shared" si="75"/>
        <v>#VALUE!</v>
      </c>
      <c r="BC166" s="45" t="e">
        <f t="shared" si="76"/>
        <v>#VALUE!</v>
      </c>
      <c r="BD166" s="45" t="e">
        <f t="shared" si="77"/>
        <v>#VALUE!</v>
      </c>
      <c r="BE166" s="45" t="e">
        <f t="shared" si="78"/>
        <v>#VALUE!</v>
      </c>
      <c r="BF166" s="45" t="e">
        <f t="shared" si="79"/>
        <v>#VALUE!</v>
      </c>
      <c r="BG166" s="45" t="e">
        <f t="shared" si="80"/>
        <v>#VALUE!</v>
      </c>
      <c r="BH166" s="45" t="e">
        <f t="shared" si="81"/>
        <v>#VALUE!</v>
      </c>
      <c r="BI166" s="43" t="e">
        <f t="shared" si="82"/>
        <v>#VALUE!</v>
      </c>
      <c r="BJ166" s="18"/>
      <c r="BK166" s="18"/>
      <c r="BL166" s="20"/>
      <c r="BS166" s="18"/>
      <c r="BT166" s="18"/>
      <c r="CA166" s="41" t="s">
        <v>22</v>
      </c>
      <c r="CB166" s="18"/>
      <c r="CC166" t="s">
        <v>22</v>
      </c>
      <c r="CE166" s="41" t="s">
        <v>22</v>
      </c>
      <c r="CF166" s="41" t="s">
        <v>22</v>
      </c>
      <c r="CG166" s="41" t="s">
        <v>22</v>
      </c>
      <c r="CH166" s="41" t="s">
        <v>22</v>
      </c>
      <c r="CI166" s="41" t="str">
        <f t="shared" si="88"/>
        <v>Not Reported/ Can not calculate</v>
      </c>
      <c r="CJ166" s="41" t="e">
        <f t="shared" si="89"/>
        <v>#VALUE!</v>
      </c>
      <c r="CL166" s="9" t="s">
        <v>343</v>
      </c>
      <c r="CM166" s="18" t="s">
        <v>1284</v>
      </c>
      <c r="CN166" s="54" t="s">
        <v>1284</v>
      </c>
      <c r="CO166" s="18" t="s">
        <v>1284</v>
      </c>
    </row>
    <row r="167" spans="1:93" x14ac:dyDescent="0.25">
      <c r="A167" s="6" t="s">
        <v>343</v>
      </c>
      <c r="B167" s="41">
        <v>0.73170876671619589</v>
      </c>
      <c r="C167" s="41" t="s">
        <v>22</v>
      </c>
      <c r="D167" s="41" t="s">
        <v>22</v>
      </c>
      <c r="E167" s="41" t="s">
        <v>22</v>
      </c>
      <c r="F167" t="s">
        <v>22</v>
      </c>
      <c r="G167" t="s">
        <v>22</v>
      </c>
      <c r="H167" t="s">
        <v>22</v>
      </c>
      <c r="I167" t="s">
        <v>22</v>
      </c>
      <c r="J167" s="41" t="s">
        <v>22</v>
      </c>
      <c r="K167" t="s">
        <v>22</v>
      </c>
      <c r="L167" s="41" t="e">
        <f t="shared" si="90"/>
        <v>#VALUE!</v>
      </c>
      <c r="M167" t="s">
        <v>45</v>
      </c>
      <c r="N167" s="41" t="s">
        <v>797</v>
      </c>
      <c r="P167" s="41" t="s">
        <v>805</v>
      </c>
      <c r="R167" s="41" t="s">
        <v>22</v>
      </c>
      <c r="S167" s="41" t="s">
        <v>22</v>
      </c>
      <c r="T167" s="41" t="s">
        <v>22</v>
      </c>
      <c r="U167" s="41" t="s">
        <v>22</v>
      </c>
      <c r="V167">
        <v>20191229</v>
      </c>
      <c r="W167" s="16" t="s">
        <v>495</v>
      </c>
      <c r="X167">
        <v>1992</v>
      </c>
      <c r="Y167" t="s">
        <v>343</v>
      </c>
      <c r="Z167" t="s">
        <v>22</v>
      </c>
      <c r="AA167" t="s">
        <v>894</v>
      </c>
      <c r="AB167" s="41" t="s">
        <v>22</v>
      </c>
      <c r="AC167" t="s">
        <v>22</v>
      </c>
      <c r="AD167" s="41" t="s">
        <v>22</v>
      </c>
      <c r="AE167" s="41" t="s">
        <v>22</v>
      </c>
      <c r="AF167" s="41" t="s">
        <v>22</v>
      </c>
      <c r="AG167" s="41" t="s">
        <v>22</v>
      </c>
      <c r="AH167" s="41" t="s">
        <v>22</v>
      </c>
      <c r="AI167" s="41" t="s">
        <v>22</v>
      </c>
      <c r="AJ167" s="41" t="s">
        <v>22</v>
      </c>
      <c r="AK167" s="41" t="s">
        <v>22</v>
      </c>
      <c r="AL167" s="41" t="s">
        <v>22</v>
      </c>
      <c r="AM167" s="43" t="e">
        <f t="shared" si="65"/>
        <v>#VALUE!</v>
      </c>
      <c r="AN167" s="43" t="e">
        <f t="shared" si="66"/>
        <v>#VALUE!</v>
      </c>
      <c r="AO167" s="3" t="s">
        <v>811</v>
      </c>
      <c r="AT167" s="2">
        <f t="shared" si="67"/>
        <v>9</v>
      </c>
      <c r="AU167" s="45">
        <f t="shared" si="68"/>
        <v>-0.13566174158590441</v>
      </c>
      <c r="AV167" s="45" t="e">
        <f t="shared" si="69"/>
        <v>#VALUE!</v>
      </c>
      <c r="AW167" s="45" t="e">
        <f t="shared" si="70"/>
        <v>#VALUE!</v>
      </c>
      <c r="AX167" s="45" t="e">
        <f t="shared" si="71"/>
        <v>#VALUE!</v>
      </c>
      <c r="AY167" s="45" t="e">
        <f t="shared" si="72"/>
        <v>#NUM!</v>
      </c>
      <c r="AZ167" s="45" t="e">
        <f t="shared" si="73"/>
        <v>#VALUE!</v>
      </c>
      <c r="BA167" s="45" t="e">
        <f t="shared" si="74"/>
        <v>#VALUE!</v>
      </c>
      <c r="BB167" s="45" t="e">
        <f t="shared" si="75"/>
        <v>#VALUE!</v>
      </c>
      <c r="BC167" s="45" t="e">
        <f t="shared" si="76"/>
        <v>#VALUE!</v>
      </c>
      <c r="BD167" s="45" t="e">
        <f t="shared" si="77"/>
        <v>#VALUE!</v>
      </c>
      <c r="BE167" s="45" t="e">
        <f t="shared" si="78"/>
        <v>#VALUE!</v>
      </c>
      <c r="BF167" s="45" t="e">
        <f t="shared" si="79"/>
        <v>#VALUE!</v>
      </c>
      <c r="BG167" s="45" t="e">
        <f t="shared" si="80"/>
        <v>#VALUE!</v>
      </c>
      <c r="BH167" s="45" t="e">
        <f t="shared" si="81"/>
        <v>#VALUE!</v>
      </c>
      <c r="BI167" s="43" t="e">
        <f t="shared" si="82"/>
        <v>#VALUE!</v>
      </c>
      <c r="BJ167" s="18"/>
      <c r="BK167" s="18"/>
      <c r="BL167" s="20"/>
      <c r="BS167" s="18"/>
      <c r="BT167" s="18"/>
      <c r="CA167" s="41" t="s">
        <v>22</v>
      </c>
      <c r="CB167" s="18"/>
      <c r="CC167" t="s">
        <v>22</v>
      </c>
      <c r="CE167" s="41" t="s">
        <v>22</v>
      </c>
      <c r="CF167" s="41" t="s">
        <v>22</v>
      </c>
      <c r="CG167" s="41" t="s">
        <v>22</v>
      </c>
      <c r="CH167" s="41" t="s">
        <v>22</v>
      </c>
      <c r="CI167" s="41" t="str">
        <f t="shared" si="88"/>
        <v>Not Reported/ Can not calculate</v>
      </c>
      <c r="CJ167" s="41" t="e">
        <f t="shared" si="89"/>
        <v>#VALUE!</v>
      </c>
      <c r="CL167" s="9" t="s">
        <v>343</v>
      </c>
      <c r="CM167" s="18" t="s">
        <v>1284</v>
      </c>
      <c r="CN167" s="54" t="s">
        <v>1284</v>
      </c>
      <c r="CO167" s="18" t="s">
        <v>1284</v>
      </c>
    </row>
    <row r="168" spans="1:93" x14ac:dyDescent="0.25">
      <c r="A168" s="6" t="s">
        <v>343</v>
      </c>
      <c r="B168" s="41">
        <v>0.893075780089152</v>
      </c>
      <c r="C168" s="41" t="s">
        <v>22</v>
      </c>
      <c r="D168" s="41" t="s">
        <v>22</v>
      </c>
      <c r="E168" s="41" t="s">
        <v>22</v>
      </c>
      <c r="F168" t="s">
        <v>22</v>
      </c>
      <c r="G168" t="s">
        <v>22</v>
      </c>
      <c r="H168" t="s">
        <v>22</v>
      </c>
      <c r="I168" t="s">
        <v>22</v>
      </c>
      <c r="J168" s="41" t="s">
        <v>22</v>
      </c>
      <c r="K168" t="s">
        <v>22</v>
      </c>
      <c r="L168" s="41" t="e">
        <f t="shared" si="90"/>
        <v>#VALUE!</v>
      </c>
      <c r="M168" t="s">
        <v>45</v>
      </c>
      <c r="N168" s="41" t="s">
        <v>798</v>
      </c>
      <c r="P168" s="41" t="s">
        <v>806</v>
      </c>
      <c r="R168" s="41" t="s">
        <v>22</v>
      </c>
      <c r="S168" s="41" t="s">
        <v>22</v>
      </c>
      <c r="T168" s="41" t="s">
        <v>22</v>
      </c>
      <c r="U168" s="41" t="s">
        <v>22</v>
      </c>
      <c r="V168">
        <v>20191229</v>
      </c>
      <c r="W168" s="16" t="s">
        <v>495</v>
      </c>
      <c r="X168">
        <v>1992</v>
      </c>
      <c r="Y168" t="s">
        <v>343</v>
      </c>
      <c r="Z168" t="s">
        <v>22</v>
      </c>
      <c r="AA168" t="s">
        <v>894</v>
      </c>
      <c r="AB168" s="41" t="s">
        <v>22</v>
      </c>
      <c r="AC168" t="s">
        <v>22</v>
      </c>
      <c r="AD168" s="41" t="s">
        <v>22</v>
      </c>
      <c r="AE168" s="41" t="s">
        <v>22</v>
      </c>
      <c r="AF168" s="41" t="s">
        <v>22</v>
      </c>
      <c r="AG168" s="41" t="s">
        <v>22</v>
      </c>
      <c r="AH168" s="41" t="s">
        <v>22</v>
      </c>
      <c r="AI168" s="41" t="s">
        <v>22</v>
      </c>
      <c r="AJ168" s="41" t="s">
        <v>22</v>
      </c>
      <c r="AK168" s="41" t="s">
        <v>22</v>
      </c>
      <c r="AL168" s="41" t="s">
        <v>22</v>
      </c>
      <c r="AM168" s="43" t="e">
        <f t="shared" si="65"/>
        <v>#VALUE!</v>
      </c>
      <c r="AN168" s="43" t="e">
        <f t="shared" si="66"/>
        <v>#VALUE!</v>
      </c>
      <c r="AO168" s="3" t="s">
        <v>811</v>
      </c>
      <c r="AT168" s="2">
        <f t="shared" si="67"/>
        <v>9</v>
      </c>
      <c r="AU168" s="45">
        <f t="shared" si="68"/>
        <v>-4.9111688392276164E-2</v>
      </c>
      <c r="AV168" s="45" t="e">
        <f t="shared" si="69"/>
        <v>#VALUE!</v>
      </c>
      <c r="AW168" s="45" t="e">
        <f t="shared" si="70"/>
        <v>#VALUE!</v>
      </c>
      <c r="AX168" s="45" t="e">
        <f t="shared" si="71"/>
        <v>#VALUE!</v>
      </c>
      <c r="AY168" s="45" t="e">
        <f t="shared" si="72"/>
        <v>#NUM!</v>
      </c>
      <c r="AZ168" s="45" t="e">
        <f t="shared" si="73"/>
        <v>#VALUE!</v>
      </c>
      <c r="BA168" s="45" t="e">
        <f t="shared" si="74"/>
        <v>#VALUE!</v>
      </c>
      <c r="BB168" s="45" t="e">
        <f t="shared" si="75"/>
        <v>#VALUE!</v>
      </c>
      <c r="BC168" s="45" t="e">
        <f t="shared" si="76"/>
        <v>#VALUE!</v>
      </c>
      <c r="BD168" s="45" t="e">
        <f t="shared" si="77"/>
        <v>#VALUE!</v>
      </c>
      <c r="BE168" s="45" t="e">
        <f t="shared" si="78"/>
        <v>#VALUE!</v>
      </c>
      <c r="BF168" s="45" t="e">
        <f t="shared" si="79"/>
        <v>#VALUE!</v>
      </c>
      <c r="BG168" s="45" t="e">
        <f t="shared" si="80"/>
        <v>#VALUE!</v>
      </c>
      <c r="BH168" s="45" t="e">
        <f t="shared" si="81"/>
        <v>#VALUE!</v>
      </c>
      <c r="BI168" s="43" t="e">
        <f t="shared" si="82"/>
        <v>#VALUE!</v>
      </c>
      <c r="BJ168" s="18"/>
      <c r="BK168" s="18"/>
      <c r="BL168" s="20"/>
      <c r="BS168" s="18"/>
      <c r="BT168" s="18"/>
      <c r="CA168" s="41" t="s">
        <v>22</v>
      </c>
      <c r="CB168" s="18"/>
      <c r="CC168" t="s">
        <v>22</v>
      </c>
      <c r="CE168" s="41" t="s">
        <v>22</v>
      </c>
      <c r="CF168" s="41" t="s">
        <v>22</v>
      </c>
      <c r="CG168" s="41" t="s">
        <v>22</v>
      </c>
      <c r="CH168" s="41" t="s">
        <v>22</v>
      </c>
      <c r="CI168" s="41" t="str">
        <f t="shared" si="88"/>
        <v>Not Reported/ Can not calculate</v>
      </c>
      <c r="CJ168" s="41" t="e">
        <f t="shared" si="89"/>
        <v>#VALUE!</v>
      </c>
      <c r="CL168" s="9" t="s">
        <v>343</v>
      </c>
      <c r="CM168" s="18" t="s">
        <v>1284</v>
      </c>
      <c r="CN168" s="54" t="s">
        <v>1284</v>
      </c>
      <c r="CO168" s="18" t="s">
        <v>1284</v>
      </c>
    </row>
    <row r="169" spans="1:93" x14ac:dyDescent="0.25">
      <c r="A169" s="6" t="s">
        <v>343</v>
      </c>
      <c r="B169" s="41">
        <v>1.13473997028231</v>
      </c>
      <c r="C169" s="41" t="s">
        <v>22</v>
      </c>
      <c r="D169" s="41" t="s">
        <v>22</v>
      </c>
      <c r="E169" s="41" t="s">
        <v>22</v>
      </c>
      <c r="F169" t="s">
        <v>22</v>
      </c>
      <c r="G169" t="s">
        <v>22</v>
      </c>
      <c r="H169" t="s">
        <v>22</v>
      </c>
      <c r="I169" t="s">
        <v>22</v>
      </c>
      <c r="J169" s="41" t="s">
        <v>22</v>
      </c>
      <c r="K169" t="s">
        <v>22</v>
      </c>
      <c r="L169" s="41" t="e">
        <f t="shared" si="90"/>
        <v>#VALUE!</v>
      </c>
      <c r="M169" t="s">
        <v>45</v>
      </c>
      <c r="N169" s="41" t="s">
        <v>799</v>
      </c>
      <c r="P169" s="41" t="s">
        <v>807</v>
      </c>
      <c r="R169" s="41" t="s">
        <v>22</v>
      </c>
      <c r="S169" s="41" t="s">
        <v>22</v>
      </c>
      <c r="T169" s="41" t="s">
        <v>22</v>
      </c>
      <c r="U169" s="41" t="s">
        <v>22</v>
      </c>
      <c r="V169">
        <v>20191229</v>
      </c>
      <c r="W169" s="16" t="s">
        <v>495</v>
      </c>
      <c r="X169">
        <v>1992</v>
      </c>
      <c r="Y169" t="s">
        <v>343</v>
      </c>
      <c r="Z169" t="s">
        <v>22</v>
      </c>
      <c r="AA169" t="s">
        <v>894</v>
      </c>
      <c r="AB169" s="41" t="s">
        <v>22</v>
      </c>
      <c r="AC169" t="s">
        <v>22</v>
      </c>
      <c r="AD169" s="41" t="s">
        <v>22</v>
      </c>
      <c r="AE169" s="41" t="s">
        <v>22</v>
      </c>
      <c r="AF169" s="41" t="s">
        <v>22</v>
      </c>
      <c r="AG169" s="41" t="s">
        <v>22</v>
      </c>
      <c r="AH169" s="41" t="s">
        <v>22</v>
      </c>
      <c r="AI169" s="41" t="s">
        <v>22</v>
      </c>
      <c r="AJ169" s="41" t="s">
        <v>22</v>
      </c>
      <c r="AK169" s="41" t="s">
        <v>22</v>
      </c>
      <c r="AL169" s="41" t="s">
        <v>22</v>
      </c>
      <c r="AM169" s="43" t="e">
        <f t="shared" si="65"/>
        <v>#VALUE!</v>
      </c>
      <c r="AN169" s="43" t="e">
        <f t="shared" si="66"/>
        <v>#VALUE!</v>
      </c>
      <c r="AO169" s="3" t="s">
        <v>811</v>
      </c>
      <c r="AT169" s="2">
        <f t="shared" si="67"/>
        <v>9</v>
      </c>
      <c r="AU169" s="45">
        <f t="shared" si="68"/>
        <v>5.4896352798188837E-2</v>
      </c>
      <c r="AV169" s="45" t="e">
        <f t="shared" si="69"/>
        <v>#VALUE!</v>
      </c>
      <c r="AW169" s="45" t="e">
        <f t="shared" si="70"/>
        <v>#VALUE!</v>
      </c>
      <c r="AX169" s="45" t="e">
        <f t="shared" si="71"/>
        <v>#VALUE!</v>
      </c>
      <c r="AY169" s="45" t="e">
        <f t="shared" si="72"/>
        <v>#NUM!</v>
      </c>
      <c r="AZ169" s="45" t="e">
        <f t="shared" si="73"/>
        <v>#VALUE!</v>
      </c>
      <c r="BA169" s="45" t="e">
        <f t="shared" si="74"/>
        <v>#VALUE!</v>
      </c>
      <c r="BB169" s="45" t="e">
        <f t="shared" si="75"/>
        <v>#VALUE!</v>
      </c>
      <c r="BC169" s="45" t="e">
        <f t="shared" si="76"/>
        <v>#VALUE!</v>
      </c>
      <c r="BD169" s="45" t="e">
        <f t="shared" si="77"/>
        <v>#VALUE!</v>
      </c>
      <c r="BE169" s="45" t="e">
        <f t="shared" si="78"/>
        <v>#VALUE!</v>
      </c>
      <c r="BF169" s="45" t="e">
        <f t="shared" si="79"/>
        <v>#VALUE!</v>
      </c>
      <c r="BG169" s="45" t="e">
        <f t="shared" si="80"/>
        <v>#VALUE!</v>
      </c>
      <c r="BH169" s="45" t="e">
        <f t="shared" si="81"/>
        <v>#VALUE!</v>
      </c>
      <c r="BI169" s="43" t="e">
        <f t="shared" si="82"/>
        <v>#VALUE!</v>
      </c>
      <c r="BJ169" s="18"/>
      <c r="BK169" s="18"/>
      <c r="BL169" s="20"/>
      <c r="BS169" s="18"/>
      <c r="BT169" s="18"/>
      <c r="CA169" s="41" t="s">
        <v>22</v>
      </c>
      <c r="CB169" s="18"/>
      <c r="CC169" t="s">
        <v>22</v>
      </c>
      <c r="CE169" s="41" t="s">
        <v>22</v>
      </c>
      <c r="CF169" s="41" t="s">
        <v>22</v>
      </c>
      <c r="CG169" s="41" t="s">
        <v>22</v>
      </c>
      <c r="CH169" s="41" t="s">
        <v>22</v>
      </c>
      <c r="CI169" s="41" t="str">
        <f t="shared" si="88"/>
        <v>Not Reported/ Can not calculate</v>
      </c>
      <c r="CJ169" s="41" t="e">
        <f t="shared" si="89"/>
        <v>#VALUE!</v>
      </c>
      <c r="CL169" s="9" t="s">
        <v>343</v>
      </c>
      <c r="CM169" s="18" t="s">
        <v>1284</v>
      </c>
      <c r="CN169" s="54" t="s">
        <v>1284</v>
      </c>
      <c r="CO169" s="18" t="s">
        <v>1284</v>
      </c>
    </row>
    <row r="170" spans="1:93" x14ac:dyDescent="0.25">
      <c r="A170" s="6" t="s">
        <v>343</v>
      </c>
      <c r="B170" s="41">
        <v>1.3288558692421901</v>
      </c>
      <c r="C170" s="41" t="s">
        <v>22</v>
      </c>
      <c r="D170" s="41" t="s">
        <v>22</v>
      </c>
      <c r="E170" s="41" t="s">
        <v>22</v>
      </c>
      <c r="F170" t="s">
        <v>22</v>
      </c>
      <c r="G170" t="s">
        <v>22</v>
      </c>
      <c r="H170" t="s">
        <v>22</v>
      </c>
      <c r="I170" t="s">
        <v>22</v>
      </c>
      <c r="J170" s="41" t="s">
        <v>22</v>
      </c>
      <c r="K170" t="s">
        <v>22</v>
      </c>
      <c r="L170" s="41" t="e">
        <f t="shared" si="90"/>
        <v>#VALUE!</v>
      </c>
      <c r="M170" t="s">
        <v>45</v>
      </c>
      <c r="N170" s="41" t="s">
        <v>800</v>
      </c>
      <c r="P170" s="41" t="s">
        <v>808</v>
      </c>
      <c r="R170" s="41" t="s">
        <v>22</v>
      </c>
      <c r="S170" s="41" t="s">
        <v>22</v>
      </c>
      <c r="T170" s="41" t="s">
        <v>22</v>
      </c>
      <c r="U170" s="41" t="s">
        <v>22</v>
      </c>
      <c r="V170">
        <v>20191229</v>
      </c>
      <c r="W170" s="16" t="s">
        <v>495</v>
      </c>
      <c r="X170">
        <v>1992</v>
      </c>
      <c r="Y170" t="s">
        <v>343</v>
      </c>
      <c r="Z170" t="s">
        <v>22</v>
      </c>
      <c r="AA170" t="s">
        <v>894</v>
      </c>
      <c r="AB170" s="41" t="s">
        <v>22</v>
      </c>
      <c r="AC170" t="s">
        <v>22</v>
      </c>
      <c r="AD170" s="41" t="s">
        <v>22</v>
      </c>
      <c r="AE170" s="41" t="s">
        <v>22</v>
      </c>
      <c r="AF170" s="41" t="s">
        <v>22</v>
      </c>
      <c r="AG170" s="41" t="s">
        <v>22</v>
      </c>
      <c r="AH170" s="41" t="s">
        <v>22</v>
      </c>
      <c r="AI170" s="41" t="s">
        <v>22</v>
      </c>
      <c r="AJ170" s="41" t="s">
        <v>22</v>
      </c>
      <c r="AK170" s="41" t="s">
        <v>22</v>
      </c>
      <c r="AL170" s="41" t="s">
        <v>22</v>
      </c>
      <c r="AM170" s="43" t="e">
        <f t="shared" si="65"/>
        <v>#VALUE!</v>
      </c>
      <c r="AN170" s="43" t="e">
        <f t="shared" si="66"/>
        <v>#VALUE!</v>
      </c>
      <c r="AO170" s="3" t="s">
        <v>811</v>
      </c>
      <c r="AT170" s="2">
        <f t="shared" si="67"/>
        <v>9</v>
      </c>
      <c r="AU170" s="45">
        <f t="shared" si="68"/>
        <v>0.12347787892070357</v>
      </c>
      <c r="AV170" s="45" t="e">
        <f t="shared" si="69"/>
        <v>#VALUE!</v>
      </c>
      <c r="AW170" s="45" t="e">
        <f t="shared" si="70"/>
        <v>#VALUE!</v>
      </c>
      <c r="AX170" s="45" t="e">
        <f t="shared" si="71"/>
        <v>#VALUE!</v>
      </c>
      <c r="AY170" s="45" t="e">
        <f t="shared" si="72"/>
        <v>#NUM!</v>
      </c>
      <c r="AZ170" s="45" t="e">
        <f t="shared" si="73"/>
        <v>#VALUE!</v>
      </c>
      <c r="BA170" s="45" t="e">
        <f t="shared" si="74"/>
        <v>#VALUE!</v>
      </c>
      <c r="BB170" s="45" t="e">
        <f t="shared" si="75"/>
        <v>#VALUE!</v>
      </c>
      <c r="BC170" s="45" t="e">
        <f t="shared" si="76"/>
        <v>#VALUE!</v>
      </c>
      <c r="BD170" s="45" t="e">
        <f t="shared" si="77"/>
        <v>#VALUE!</v>
      </c>
      <c r="BE170" s="45" t="e">
        <f t="shared" si="78"/>
        <v>#VALUE!</v>
      </c>
      <c r="BF170" s="45" t="e">
        <f t="shared" si="79"/>
        <v>#VALUE!</v>
      </c>
      <c r="BG170" s="45" t="e">
        <f t="shared" si="80"/>
        <v>#VALUE!</v>
      </c>
      <c r="BH170" s="45" t="e">
        <f t="shared" si="81"/>
        <v>#VALUE!</v>
      </c>
      <c r="BI170" s="43" t="e">
        <f t="shared" si="82"/>
        <v>#VALUE!</v>
      </c>
      <c r="BJ170" s="18"/>
      <c r="BK170" s="18"/>
      <c r="BL170" s="20"/>
      <c r="BS170" s="18"/>
      <c r="BT170" s="18"/>
      <c r="CA170" s="41" t="s">
        <v>22</v>
      </c>
      <c r="CB170" s="18"/>
      <c r="CC170" t="s">
        <v>22</v>
      </c>
      <c r="CE170" s="41" t="s">
        <v>22</v>
      </c>
      <c r="CF170" s="41" t="s">
        <v>22</v>
      </c>
      <c r="CG170" s="41" t="s">
        <v>22</v>
      </c>
      <c r="CH170" s="41" t="s">
        <v>22</v>
      </c>
      <c r="CI170" s="41" t="str">
        <f t="shared" si="88"/>
        <v>Not Reported/ Can not calculate</v>
      </c>
      <c r="CJ170" s="41" t="e">
        <f t="shared" si="89"/>
        <v>#VALUE!</v>
      </c>
      <c r="CL170" s="9" t="s">
        <v>343</v>
      </c>
      <c r="CM170" s="18" t="s">
        <v>1284</v>
      </c>
      <c r="CN170" s="54" t="s">
        <v>1284</v>
      </c>
      <c r="CO170" s="18" t="s">
        <v>1284</v>
      </c>
    </row>
    <row r="171" spans="1:93" x14ac:dyDescent="0.25">
      <c r="A171" s="6" t="s">
        <v>343</v>
      </c>
      <c r="B171" s="41">
        <v>1.6078454680534899</v>
      </c>
      <c r="C171" s="41" t="s">
        <v>22</v>
      </c>
      <c r="D171" s="41" t="s">
        <v>22</v>
      </c>
      <c r="E171" s="41" t="s">
        <v>22</v>
      </c>
      <c r="F171" t="s">
        <v>22</v>
      </c>
      <c r="G171" t="s">
        <v>22</v>
      </c>
      <c r="H171" t="s">
        <v>22</v>
      </c>
      <c r="I171" t="s">
        <v>22</v>
      </c>
      <c r="J171" s="41" t="s">
        <v>22</v>
      </c>
      <c r="K171" t="s">
        <v>22</v>
      </c>
      <c r="L171" s="41" t="e">
        <f t="shared" si="90"/>
        <v>#VALUE!</v>
      </c>
      <c r="M171" t="s">
        <v>45</v>
      </c>
      <c r="N171" s="41" t="s">
        <v>801</v>
      </c>
      <c r="P171" s="41" t="s">
        <v>809</v>
      </c>
      <c r="R171" s="41" t="s">
        <v>22</v>
      </c>
      <c r="S171" s="41" t="s">
        <v>22</v>
      </c>
      <c r="T171" s="41" t="s">
        <v>22</v>
      </c>
      <c r="U171" s="41" t="s">
        <v>22</v>
      </c>
      <c r="V171">
        <v>20191229</v>
      </c>
      <c r="W171" s="21" t="s">
        <v>495</v>
      </c>
      <c r="X171">
        <v>1992</v>
      </c>
      <c r="Y171" t="s">
        <v>343</v>
      </c>
      <c r="Z171" t="s">
        <v>22</v>
      </c>
      <c r="AA171" t="s">
        <v>894</v>
      </c>
      <c r="AB171" s="41" t="s">
        <v>22</v>
      </c>
      <c r="AC171" s="18" t="s">
        <v>22</v>
      </c>
      <c r="AD171" s="41" t="s">
        <v>22</v>
      </c>
      <c r="AE171" s="41" t="s">
        <v>22</v>
      </c>
      <c r="AF171" s="41" t="s">
        <v>22</v>
      </c>
      <c r="AG171" s="41" t="s">
        <v>22</v>
      </c>
      <c r="AH171" s="41" t="s">
        <v>22</v>
      </c>
      <c r="AI171" s="41" t="s">
        <v>22</v>
      </c>
      <c r="AJ171" s="41" t="s">
        <v>22</v>
      </c>
      <c r="AK171" s="41" t="s">
        <v>22</v>
      </c>
      <c r="AL171" s="41" t="s">
        <v>22</v>
      </c>
      <c r="AM171" s="43" t="e">
        <f t="shared" si="65"/>
        <v>#VALUE!</v>
      </c>
      <c r="AN171" s="43" t="e">
        <f t="shared" si="66"/>
        <v>#VALUE!</v>
      </c>
      <c r="AO171" s="19" t="s">
        <v>811</v>
      </c>
      <c r="AT171" s="2">
        <f t="shared" si="67"/>
        <v>9</v>
      </c>
      <c r="AU171" s="45">
        <f t="shared" si="68"/>
        <v>0.20624430585729014</v>
      </c>
      <c r="AV171" s="45" t="e">
        <f t="shared" si="69"/>
        <v>#VALUE!</v>
      </c>
      <c r="AW171" s="45" t="e">
        <f t="shared" si="70"/>
        <v>#VALUE!</v>
      </c>
      <c r="AX171" s="45" t="e">
        <f t="shared" si="71"/>
        <v>#VALUE!</v>
      </c>
      <c r="AY171" s="45" t="e">
        <f t="shared" si="72"/>
        <v>#NUM!</v>
      </c>
      <c r="AZ171" s="45" t="e">
        <f t="shared" si="73"/>
        <v>#VALUE!</v>
      </c>
      <c r="BA171" s="45" t="e">
        <f t="shared" si="74"/>
        <v>#VALUE!</v>
      </c>
      <c r="BB171" s="45" t="e">
        <f t="shared" si="75"/>
        <v>#VALUE!</v>
      </c>
      <c r="BC171" s="45" t="e">
        <f t="shared" si="76"/>
        <v>#VALUE!</v>
      </c>
      <c r="BD171" s="45" t="e">
        <f t="shared" si="77"/>
        <v>#VALUE!</v>
      </c>
      <c r="BE171" s="45" t="e">
        <f t="shared" si="78"/>
        <v>#VALUE!</v>
      </c>
      <c r="BF171" s="45" t="e">
        <f t="shared" si="79"/>
        <v>#VALUE!</v>
      </c>
      <c r="BG171" s="45" t="e">
        <f t="shared" si="80"/>
        <v>#VALUE!</v>
      </c>
      <c r="BH171" s="45" t="e">
        <f t="shared" si="81"/>
        <v>#VALUE!</v>
      </c>
      <c r="BI171" s="43" t="e">
        <f t="shared" si="82"/>
        <v>#VALUE!</v>
      </c>
      <c r="BJ171" s="18"/>
      <c r="BK171" s="18"/>
      <c r="BL171" s="20"/>
      <c r="CA171" s="41" t="s">
        <v>22</v>
      </c>
      <c r="CC171" t="s">
        <v>22</v>
      </c>
      <c r="CE171" s="41" t="s">
        <v>22</v>
      </c>
      <c r="CF171" s="41" t="s">
        <v>22</v>
      </c>
      <c r="CG171" s="41" t="s">
        <v>22</v>
      </c>
      <c r="CH171" s="41" t="s">
        <v>22</v>
      </c>
      <c r="CI171" s="41" t="str">
        <f t="shared" si="88"/>
        <v>Not Reported/ Can not calculate</v>
      </c>
      <c r="CJ171" s="41" t="e">
        <f t="shared" si="89"/>
        <v>#VALUE!</v>
      </c>
      <c r="CL171" s="9" t="s">
        <v>343</v>
      </c>
      <c r="CM171" s="18" t="s">
        <v>1284</v>
      </c>
      <c r="CN171" s="54" t="s">
        <v>1284</v>
      </c>
      <c r="CO171" s="18" t="s">
        <v>1284</v>
      </c>
    </row>
    <row r="172" spans="1:93" x14ac:dyDescent="0.25">
      <c r="A172" s="6" t="s">
        <v>343</v>
      </c>
      <c r="B172" s="41">
        <v>1.7153046062407098</v>
      </c>
      <c r="C172" s="41" t="s">
        <v>22</v>
      </c>
      <c r="D172" s="41" t="s">
        <v>22</v>
      </c>
      <c r="E172" s="41" t="s">
        <v>22</v>
      </c>
      <c r="F172" s="18" t="s">
        <v>22</v>
      </c>
      <c r="G172" s="18" t="s">
        <v>22</v>
      </c>
      <c r="H172" s="18" t="s">
        <v>22</v>
      </c>
      <c r="I172" s="18" t="s">
        <v>22</v>
      </c>
      <c r="J172" s="41" t="s">
        <v>22</v>
      </c>
      <c r="K172" s="18" t="s">
        <v>22</v>
      </c>
      <c r="L172" s="41" t="e">
        <f t="shared" si="90"/>
        <v>#VALUE!</v>
      </c>
      <c r="M172" s="18" t="s">
        <v>45</v>
      </c>
      <c r="N172" s="41" t="s">
        <v>802</v>
      </c>
      <c r="P172" s="41" t="s">
        <v>810</v>
      </c>
      <c r="R172" s="41" t="s">
        <v>22</v>
      </c>
      <c r="S172" s="41" t="s">
        <v>22</v>
      </c>
      <c r="T172" s="41" t="s">
        <v>22</v>
      </c>
      <c r="U172" s="41" t="s">
        <v>22</v>
      </c>
      <c r="V172" s="18">
        <v>20191229</v>
      </c>
      <c r="W172" s="16" t="s">
        <v>495</v>
      </c>
      <c r="X172" s="18">
        <v>1992</v>
      </c>
      <c r="Y172" s="18" t="s">
        <v>343</v>
      </c>
      <c r="Z172" s="18" t="s">
        <v>22</v>
      </c>
      <c r="AA172" s="18" t="s">
        <v>894</v>
      </c>
      <c r="AB172" s="41" t="s">
        <v>22</v>
      </c>
      <c r="AC172" s="18" t="s">
        <v>22</v>
      </c>
      <c r="AD172" s="41" t="s">
        <v>22</v>
      </c>
      <c r="AE172" s="41" t="s">
        <v>22</v>
      </c>
      <c r="AF172" s="41" t="s">
        <v>22</v>
      </c>
      <c r="AG172" s="41" t="s">
        <v>22</v>
      </c>
      <c r="AH172" s="41" t="s">
        <v>22</v>
      </c>
      <c r="AI172" s="41" t="s">
        <v>22</v>
      </c>
      <c r="AJ172" s="41" t="s">
        <v>22</v>
      </c>
      <c r="AK172" s="41" t="s">
        <v>22</v>
      </c>
      <c r="AL172" s="41" t="s">
        <v>22</v>
      </c>
      <c r="AM172" s="43" t="e">
        <f t="shared" si="65"/>
        <v>#VALUE!</v>
      </c>
      <c r="AN172" s="43" t="e">
        <f t="shared" si="66"/>
        <v>#VALUE!</v>
      </c>
      <c r="AO172" s="19" t="s">
        <v>811</v>
      </c>
      <c r="AT172" s="2">
        <f t="shared" si="67"/>
        <v>9</v>
      </c>
      <c r="AU172" s="45">
        <f t="shared" si="68"/>
        <v>0.23434125386146007</v>
      </c>
      <c r="AV172" s="45" t="e">
        <f t="shared" si="69"/>
        <v>#VALUE!</v>
      </c>
      <c r="AW172" s="45" t="e">
        <f t="shared" si="70"/>
        <v>#VALUE!</v>
      </c>
      <c r="AX172" s="45" t="e">
        <f t="shared" si="71"/>
        <v>#VALUE!</v>
      </c>
      <c r="AY172" s="45" t="e">
        <f t="shared" si="72"/>
        <v>#NUM!</v>
      </c>
      <c r="AZ172" s="45" t="e">
        <f t="shared" si="73"/>
        <v>#VALUE!</v>
      </c>
      <c r="BA172" s="45" t="e">
        <f t="shared" si="74"/>
        <v>#VALUE!</v>
      </c>
      <c r="BB172" s="45" t="e">
        <f t="shared" si="75"/>
        <v>#VALUE!</v>
      </c>
      <c r="BC172" s="45" t="e">
        <f t="shared" si="76"/>
        <v>#VALUE!</v>
      </c>
      <c r="BD172" s="45" t="e">
        <f t="shared" si="77"/>
        <v>#VALUE!</v>
      </c>
      <c r="BE172" s="45" t="e">
        <f t="shared" si="78"/>
        <v>#VALUE!</v>
      </c>
      <c r="BF172" s="45" t="e">
        <f t="shared" si="79"/>
        <v>#VALUE!</v>
      </c>
      <c r="BG172" s="45" t="e">
        <f t="shared" si="80"/>
        <v>#VALUE!</v>
      </c>
      <c r="BH172" s="45" t="e">
        <f t="shared" si="81"/>
        <v>#VALUE!</v>
      </c>
      <c r="BI172" s="43" t="e">
        <f t="shared" si="82"/>
        <v>#VALUE!</v>
      </c>
      <c r="CA172" s="41" t="s">
        <v>22</v>
      </c>
      <c r="CC172" t="s">
        <v>22</v>
      </c>
      <c r="CE172" s="41" t="s">
        <v>22</v>
      </c>
      <c r="CF172" s="41" t="s">
        <v>22</v>
      </c>
      <c r="CG172" s="41" t="s">
        <v>22</v>
      </c>
      <c r="CH172" s="41" t="s">
        <v>22</v>
      </c>
      <c r="CI172" s="41" t="str">
        <f t="shared" si="88"/>
        <v>Not Reported/ Can not calculate</v>
      </c>
      <c r="CJ172" s="41" t="e">
        <f t="shared" si="89"/>
        <v>#VALUE!</v>
      </c>
      <c r="CL172" s="9" t="s">
        <v>343</v>
      </c>
      <c r="CM172" s="18" t="s">
        <v>1284</v>
      </c>
      <c r="CN172" s="54" t="s">
        <v>1284</v>
      </c>
      <c r="CO172" s="18" t="s">
        <v>1284</v>
      </c>
    </row>
    <row r="173" spans="1:93" x14ac:dyDescent="0.25">
      <c r="A173" s="6" t="s">
        <v>343</v>
      </c>
      <c r="B173" s="41">
        <v>3</v>
      </c>
      <c r="C173" s="41" t="s">
        <v>22</v>
      </c>
      <c r="D173" s="41" t="s">
        <v>22</v>
      </c>
      <c r="E173" s="41">
        <v>250</v>
      </c>
      <c r="F173" s="18" t="s">
        <v>22</v>
      </c>
      <c r="G173" s="18" t="s">
        <v>22</v>
      </c>
      <c r="H173" s="18">
        <v>3</v>
      </c>
      <c r="I173" s="18" t="s">
        <v>82</v>
      </c>
      <c r="J173" s="41" t="s">
        <v>22</v>
      </c>
      <c r="K173" s="18" t="s">
        <v>22</v>
      </c>
      <c r="M173" s="18" t="s">
        <v>45</v>
      </c>
      <c r="N173" s="41" t="s">
        <v>22</v>
      </c>
      <c r="O173" s="41" t="s">
        <v>22</v>
      </c>
      <c r="P173" s="41" t="s">
        <v>22</v>
      </c>
      <c r="R173" s="41" t="s">
        <v>22</v>
      </c>
      <c r="S173" s="41" t="s">
        <v>22</v>
      </c>
      <c r="T173" s="41" t="s">
        <v>22</v>
      </c>
      <c r="U173" s="41" t="s">
        <v>22</v>
      </c>
      <c r="V173" s="18">
        <v>20200521</v>
      </c>
      <c r="W173" s="21"/>
      <c r="X173" s="18">
        <v>1992</v>
      </c>
      <c r="Y173" s="18" t="s">
        <v>343</v>
      </c>
      <c r="Z173" s="18" t="s">
        <v>22</v>
      </c>
      <c r="AA173" s="18" t="s">
        <v>894</v>
      </c>
      <c r="AB173" s="41" t="s">
        <v>22</v>
      </c>
      <c r="AC173" s="18" t="s">
        <v>22</v>
      </c>
      <c r="AD173" s="41" t="s">
        <v>22</v>
      </c>
      <c r="AE173" s="41" t="s">
        <v>22</v>
      </c>
      <c r="AF173" s="41" t="s">
        <v>22</v>
      </c>
      <c r="AG173" s="41" t="s">
        <v>22</v>
      </c>
      <c r="AH173" s="41" t="s">
        <v>22</v>
      </c>
      <c r="AI173" s="41" t="s">
        <v>22</v>
      </c>
      <c r="AJ173" s="41" t="s">
        <v>22</v>
      </c>
      <c r="AK173" s="41" t="s">
        <v>22</v>
      </c>
      <c r="AL173" s="41" t="s">
        <v>22</v>
      </c>
      <c r="AM173" s="43" t="e">
        <f t="shared" si="65"/>
        <v>#VALUE!</v>
      </c>
      <c r="AN173" s="43" t="e">
        <f t="shared" si="66"/>
        <v>#VALUE!</v>
      </c>
      <c r="AO173" s="19" t="s">
        <v>811</v>
      </c>
      <c r="AT173" s="2">
        <f t="shared" si="67"/>
        <v>9</v>
      </c>
      <c r="AU173" s="45">
        <f t="shared" si="68"/>
        <v>0.47712125471966244</v>
      </c>
      <c r="AV173" s="45" t="e">
        <f t="shared" si="69"/>
        <v>#VALUE!</v>
      </c>
      <c r="AW173" s="45" t="e">
        <f t="shared" si="70"/>
        <v>#VALUE!</v>
      </c>
      <c r="AX173" s="45" t="e">
        <f t="shared" si="71"/>
        <v>#VALUE!</v>
      </c>
      <c r="AY173" s="45" t="e">
        <f t="shared" si="72"/>
        <v>#VALUE!</v>
      </c>
      <c r="AZ173" s="45" t="e">
        <f t="shared" si="73"/>
        <v>#VALUE!</v>
      </c>
      <c r="BA173" s="45" t="e">
        <f t="shared" si="74"/>
        <v>#VALUE!</v>
      </c>
      <c r="BB173" s="45" t="e">
        <f t="shared" si="75"/>
        <v>#NUM!</v>
      </c>
      <c r="BC173" s="45" t="e">
        <f t="shared" si="76"/>
        <v>#VALUE!</v>
      </c>
      <c r="BD173" s="45" t="e">
        <f t="shared" si="77"/>
        <v>#VALUE!</v>
      </c>
      <c r="BE173" s="45" t="e">
        <f t="shared" si="78"/>
        <v>#VALUE!</v>
      </c>
      <c r="BF173" s="45" t="e">
        <f t="shared" si="79"/>
        <v>#VALUE!</v>
      </c>
      <c r="BG173" s="45" t="e">
        <f t="shared" si="80"/>
        <v>#VALUE!</v>
      </c>
      <c r="BH173" s="45" t="e">
        <f t="shared" si="81"/>
        <v>#VALUE!</v>
      </c>
      <c r="BI173" s="43" t="e">
        <f t="shared" si="82"/>
        <v>#VALUE!</v>
      </c>
      <c r="BJ173" s="18"/>
      <c r="BK173" s="18"/>
      <c r="BL173" s="20"/>
      <c r="BS173" s="18"/>
      <c r="BT173" s="18"/>
      <c r="CA173" s="41" t="s">
        <v>22</v>
      </c>
      <c r="CC173" t="s">
        <v>22</v>
      </c>
      <c r="CE173" s="41" t="s">
        <v>22</v>
      </c>
      <c r="CF173" s="41" t="s">
        <v>22</v>
      </c>
      <c r="CG173" s="41" t="s">
        <v>22</v>
      </c>
      <c r="CH173" s="41" t="s">
        <v>22</v>
      </c>
      <c r="CI173" s="41" t="str">
        <f t="shared" si="88"/>
        <v>Not Reported/ Can not calculate</v>
      </c>
      <c r="CJ173" s="41" t="e">
        <f t="shared" si="89"/>
        <v>#VALUE!</v>
      </c>
      <c r="CL173" s="9" t="s">
        <v>343</v>
      </c>
      <c r="CM173" s="18" t="s">
        <v>1284</v>
      </c>
      <c r="CN173" s="54" t="s">
        <v>1284</v>
      </c>
      <c r="CO173" s="18" t="s">
        <v>1284</v>
      </c>
    </row>
    <row r="174" spans="1:93" x14ac:dyDescent="0.25">
      <c r="A174" s="18" t="s">
        <v>343</v>
      </c>
      <c r="B174" s="41">
        <v>4.8719999999999999</v>
      </c>
      <c r="C174" s="41" t="s">
        <v>22</v>
      </c>
      <c r="D174" s="41" t="s">
        <v>22</v>
      </c>
      <c r="E174" s="41">
        <v>25.43</v>
      </c>
      <c r="F174" s="18" t="s">
        <v>22</v>
      </c>
      <c r="G174" s="18" t="s">
        <v>22</v>
      </c>
      <c r="H174" s="18" t="s">
        <v>22</v>
      </c>
      <c r="I174" s="18" t="s">
        <v>22</v>
      </c>
      <c r="J174" s="41" t="s">
        <v>22</v>
      </c>
      <c r="K174" s="18" t="s">
        <v>22</v>
      </c>
      <c r="M174" s="18" t="s">
        <v>45</v>
      </c>
      <c r="N174" s="41" t="s">
        <v>22</v>
      </c>
      <c r="O174" s="41" t="s">
        <v>22</v>
      </c>
      <c r="P174" s="41" t="s">
        <v>22</v>
      </c>
      <c r="R174" s="41" t="s">
        <v>22</v>
      </c>
      <c r="S174" s="41" t="s">
        <v>22</v>
      </c>
      <c r="T174" s="41" t="s">
        <v>22</v>
      </c>
      <c r="U174" s="41" t="s">
        <v>22</v>
      </c>
      <c r="V174" s="18">
        <v>20200518</v>
      </c>
      <c r="W174" s="16" t="s">
        <v>784</v>
      </c>
      <c r="X174" s="18">
        <v>1992</v>
      </c>
      <c r="Y174" s="18" t="s">
        <v>343</v>
      </c>
      <c r="Z174" s="18" t="s">
        <v>22</v>
      </c>
      <c r="AA174" t="s">
        <v>894</v>
      </c>
      <c r="AB174" s="41" t="s">
        <v>22</v>
      </c>
      <c r="AC174" s="18" t="s">
        <v>22</v>
      </c>
      <c r="AD174" s="41" t="s">
        <v>22</v>
      </c>
      <c r="AE174" s="41" t="s">
        <v>22</v>
      </c>
      <c r="AF174" s="41" t="s">
        <v>22</v>
      </c>
      <c r="AG174" s="41" t="s">
        <v>22</v>
      </c>
      <c r="AH174" s="41">
        <v>8.1945823197297752E-5</v>
      </c>
      <c r="AI174" s="41">
        <v>8.1945823197297752E-5</v>
      </c>
      <c r="AJ174" s="41">
        <v>7.142309946381957E-5</v>
      </c>
      <c r="AK174" s="41">
        <v>3.6607313453604161E-5</v>
      </c>
      <c r="AL174" s="41">
        <v>2.0524889734697646E-5</v>
      </c>
      <c r="AM174" s="43">
        <f t="shared" si="65"/>
        <v>0.25046901640466374</v>
      </c>
      <c r="AN174" s="43">
        <f t="shared" si="66"/>
        <v>0.28737047102100116</v>
      </c>
      <c r="AO174" s="19" t="s">
        <v>344</v>
      </c>
      <c r="AT174" s="2">
        <f t="shared" si="67"/>
        <v>11</v>
      </c>
      <c r="AU174" s="45">
        <f t="shared" si="68"/>
        <v>0.68770727962481892</v>
      </c>
      <c r="AV174" s="45" t="e">
        <f t="shared" si="69"/>
        <v>#VALUE!</v>
      </c>
      <c r="AW174" s="45" t="e">
        <f t="shared" si="70"/>
        <v>#VALUE!</v>
      </c>
      <c r="AX174" s="45" t="e">
        <f t="shared" si="71"/>
        <v>#VALUE!</v>
      </c>
      <c r="AY174" s="45" t="e">
        <f t="shared" si="72"/>
        <v>#VALUE!</v>
      </c>
      <c r="AZ174" s="45" t="e">
        <f t="shared" si="73"/>
        <v>#VALUE!</v>
      </c>
      <c r="BA174" s="45" t="e">
        <f t="shared" si="74"/>
        <v>#VALUE!</v>
      </c>
      <c r="BB174" s="45" t="e">
        <f t="shared" si="75"/>
        <v>#NUM!</v>
      </c>
      <c r="BC174" s="45" t="e">
        <f t="shared" si="76"/>
        <v>#VALUE!</v>
      </c>
      <c r="BD174" s="45" t="e">
        <f t="shared" si="77"/>
        <v>#VALUE!</v>
      </c>
      <c r="BE174" s="45" t="e">
        <f t="shared" si="78"/>
        <v>#VALUE!</v>
      </c>
      <c r="BF174" s="45">
        <f t="shared" si="79"/>
        <v>-0.60124598970379795</v>
      </c>
      <c r="BG174" s="45">
        <f t="shared" si="80"/>
        <v>-0.54155786018055785</v>
      </c>
      <c r="BH174" s="45" t="e">
        <f t="shared" si="81"/>
        <v>#VALUE!</v>
      </c>
      <c r="BI174" s="43" t="e">
        <f t="shared" si="82"/>
        <v>#VALUE!</v>
      </c>
      <c r="CA174" s="41" t="s">
        <v>22</v>
      </c>
      <c r="CC174" t="s">
        <v>22</v>
      </c>
      <c r="CE174" s="41" t="s">
        <v>22</v>
      </c>
      <c r="CF174" s="41" t="s">
        <v>22</v>
      </c>
      <c r="CG174" s="41" t="s">
        <v>22</v>
      </c>
      <c r="CH174" s="41" t="s">
        <v>22</v>
      </c>
      <c r="CI174" s="41" t="str">
        <f t="shared" si="88"/>
        <v>Not Reported/ Can not calculate</v>
      </c>
      <c r="CJ174" s="41" t="e">
        <f t="shared" si="89"/>
        <v>#VALUE!</v>
      </c>
      <c r="CL174" s="9" t="s">
        <v>343</v>
      </c>
      <c r="CM174" s="18" t="s">
        <v>1284</v>
      </c>
      <c r="CN174" s="54" t="s">
        <v>1284</v>
      </c>
      <c r="CO174" s="18" t="s">
        <v>1284</v>
      </c>
    </row>
    <row r="175" spans="1:93" x14ac:dyDescent="0.25">
      <c r="A175" s="18" t="s">
        <v>343</v>
      </c>
      <c r="B175" s="41">
        <v>1.84</v>
      </c>
      <c r="E175" s="41">
        <v>118</v>
      </c>
      <c r="F175" s="18"/>
      <c r="G175" s="18"/>
      <c r="H175" s="18"/>
      <c r="I175" s="18"/>
      <c r="K175" s="18"/>
      <c r="L175" s="41" t="str">
        <f t="shared" ref="L175:L188" si="91">IF((10^-12)*J175*K175^4=0,"",(10^-12)*J175*K175^4)</f>
        <v/>
      </c>
      <c r="M175" s="18" t="s">
        <v>45</v>
      </c>
      <c r="V175" s="18">
        <v>20191229</v>
      </c>
      <c r="X175" s="18">
        <v>1992</v>
      </c>
      <c r="Y175" s="18"/>
      <c r="Z175" s="18"/>
      <c r="AA175" t="s">
        <v>894</v>
      </c>
      <c r="AC175" s="18"/>
      <c r="AM175" s="43" t="e">
        <f t="shared" si="65"/>
        <v>#DIV/0!</v>
      </c>
      <c r="AN175" s="43" t="e">
        <f t="shared" si="66"/>
        <v>#DIV/0!</v>
      </c>
      <c r="AO175" s="19" t="s">
        <v>344</v>
      </c>
      <c r="AT175" s="2">
        <f t="shared" si="67"/>
        <v>11</v>
      </c>
      <c r="AU175" s="45">
        <f t="shared" si="68"/>
        <v>0.26481782300953649</v>
      </c>
      <c r="AV175" s="45" t="e">
        <f t="shared" si="69"/>
        <v>#NUM!</v>
      </c>
      <c r="AW175" s="45" t="e">
        <f t="shared" si="70"/>
        <v>#NUM!</v>
      </c>
      <c r="AX175" s="45" t="e">
        <f t="shared" si="71"/>
        <v>#NUM!</v>
      </c>
      <c r="AY175" s="45" t="e">
        <f t="shared" si="72"/>
        <v>#NUM!</v>
      </c>
      <c r="AZ175" s="45" t="e">
        <f t="shared" si="73"/>
        <v>#NUM!</v>
      </c>
      <c r="BA175" s="45" t="e">
        <f t="shared" si="74"/>
        <v>#NUM!</v>
      </c>
      <c r="BB175" s="45" t="e">
        <f t="shared" si="75"/>
        <v>#VALUE!</v>
      </c>
      <c r="BC175" s="45" t="e">
        <f t="shared" si="76"/>
        <v>#NUM!</v>
      </c>
      <c r="BD175" s="45" t="e">
        <f t="shared" si="77"/>
        <v>#NUM!</v>
      </c>
      <c r="BE175" s="45" t="e">
        <f t="shared" si="78"/>
        <v>#NUM!</v>
      </c>
      <c r="BF175" s="45" t="e">
        <f t="shared" si="79"/>
        <v>#DIV/0!</v>
      </c>
      <c r="BG175" s="45" t="e">
        <f t="shared" si="80"/>
        <v>#DIV/0!</v>
      </c>
      <c r="BH175" s="45" t="e">
        <f t="shared" si="81"/>
        <v>#NUM!</v>
      </c>
      <c r="BI175" s="43" t="e">
        <f t="shared" si="82"/>
        <v>#NUM!</v>
      </c>
      <c r="CA175" s="41" t="s">
        <v>22</v>
      </c>
      <c r="CC175" t="s">
        <v>22</v>
      </c>
      <c r="CE175" s="41" t="s">
        <v>22</v>
      </c>
      <c r="CF175" s="41" t="s">
        <v>22</v>
      </c>
      <c r="CG175" s="41" t="s">
        <v>22</v>
      </c>
      <c r="CH175" s="41" t="s">
        <v>22</v>
      </c>
      <c r="CI175" s="41" t="s">
        <v>22</v>
      </c>
      <c r="CJ175" s="41" t="e">
        <f t="shared" si="89"/>
        <v>#VALUE!</v>
      </c>
      <c r="CL175" s="9" t="s">
        <v>343</v>
      </c>
      <c r="CM175" s="18" t="s">
        <v>1284</v>
      </c>
      <c r="CN175" s="54" t="s">
        <v>1284</v>
      </c>
      <c r="CO175" s="18" t="s">
        <v>1284</v>
      </c>
    </row>
    <row r="176" spans="1:93" x14ac:dyDescent="0.25">
      <c r="A176" s="18" t="s">
        <v>343</v>
      </c>
      <c r="B176" s="41">
        <v>3</v>
      </c>
      <c r="E176" s="41">
        <v>100</v>
      </c>
      <c r="F176" s="18"/>
      <c r="G176" s="18"/>
      <c r="H176" s="18"/>
      <c r="I176" s="18"/>
      <c r="K176" s="18"/>
      <c r="L176" s="41" t="str">
        <f t="shared" si="91"/>
        <v/>
      </c>
      <c r="M176" s="18" t="s">
        <v>45</v>
      </c>
      <c r="V176" s="18">
        <v>20191229</v>
      </c>
      <c r="X176" s="18">
        <v>1992</v>
      </c>
      <c r="Y176" s="18"/>
      <c r="Z176" s="18"/>
      <c r="AA176" t="s">
        <v>894</v>
      </c>
      <c r="AC176" s="18"/>
      <c r="AM176" s="43" t="e">
        <f t="shared" si="65"/>
        <v>#DIV/0!</v>
      </c>
      <c r="AN176" s="43" t="e">
        <f t="shared" si="66"/>
        <v>#DIV/0!</v>
      </c>
      <c r="AO176" s="19" t="s">
        <v>344</v>
      </c>
      <c r="AT176" s="2">
        <f t="shared" si="67"/>
        <v>11</v>
      </c>
      <c r="AU176" s="45">
        <f t="shared" si="68"/>
        <v>0.47712125471966244</v>
      </c>
      <c r="AV176" s="45" t="e">
        <f t="shared" si="69"/>
        <v>#NUM!</v>
      </c>
      <c r="AW176" s="45" t="e">
        <f t="shared" si="70"/>
        <v>#NUM!</v>
      </c>
      <c r="AX176" s="45" t="e">
        <f t="shared" si="71"/>
        <v>#NUM!</v>
      </c>
      <c r="AY176" s="45" t="e">
        <f t="shared" si="72"/>
        <v>#NUM!</v>
      </c>
      <c r="AZ176" s="45" t="e">
        <f t="shared" si="73"/>
        <v>#NUM!</v>
      </c>
      <c r="BA176" s="45" t="e">
        <f t="shared" si="74"/>
        <v>#NUM!</v>
      </c>
      <c r="BB176" s="45" t="e">
        <f t="shared" si="75"/>
        <v>#VALUE!</v>
      </c>
      <c r="BC176" s="45" t="e">
        <f t="shared" si="76"/>
        <v>#NUM!</v>
      </c>
      <c r="BD176" s="45" t="e">
        <f t="shared" si="77"/>
        <v>#NUM!</v>
      </c>
      <c r="BE176" s="45" t="e">
        <f t="shared" si="78"/>
        <v>#NUM!</v>
      </c>
      <c r="BF176" s="45" t="e">
        <f t="shared" si="79"/>
        <v>#DIV/0!</v>
      </c>
      <c r="BG176" s="45" t="e">
        <f t="shared" si="80"/>
        <v>#DIV/0!</v>
      </c>
      <c r="BH176" s="45" t="e">
        <f t="shared" si="81"/>
        <v>#NUM!</v>
      </c>
      <c r="BI176" s="43" t="e">
        <f t="shared" si="82"/>
        <v>#NUM!</v>
      </c>
      <c r="BL176" s="20"/>
      <c r="BS176" s="18"/>
      <c r="BT176" s="18"/>
      <c r="CA176" s="41" t="s">
        <v>22</v>
      </c>
      <c r="CB176" s="18"/>
      <c r="CC176" t="s">
        <v>22</v>
      </c>
      <c r="CE176" s="41" t="s">
        <v>22</v>
      </c>
      <c r="CF176" s="41" t="s">
        <v>22</v>
      </c>
      <c r="CG176" s="41" t="s">
        <v>22</v>
      </c>
      <c r="CH176" s="41" t="s">
        <v>22</v>
      </c>
      <c r="CI176" s="41" t="s">
        <v>22</v>
      </c>
      <c r="CJ176" s="41" t="e">
        <f t="shared" si="89"/>
        <v>#VALUE!</v>
      </c>
      <c r="CL176" s="9" t="s">
        <v>343</v>
      </c>
      <c r="CM176" s="18" t="s">
        <v>1284</v>
      </c>
      <c r="CN176" s="54" t="s">
        <v>1284</v>
      </c>
      <c r="CO176" s="18" t="s">
        <v>1284</v>
      </c>
    </row>
    <row r="177" spans="1:93" x14ac:dyDescent="0.25">
      <c r="A177" t="s">
        <v>343</v>
      </c>
      <c r="B177" s="41">
        <v>2.2000000000000002</v>
      </c>
      <c r="E177" s="41">
        <v>70</v>
      </c>
      <c r="L177" s="41" t="str">
        <f t="shared" si="91"/>
        <v/>
      </c>
      <c r="M177" t="s">
        <v>45</v>
      </c>
      <c r="V177">
        <v>20191229</v>
      </c>
      <c r="X177">
        <v>1992</v>
      </c>
      <c r="AA177" t="s">
        <v>894</v>
      </c>
      <c r="AM177" s="43" t="e">
        <f t="shared" si="65"/>
        <v>#DIV/0!</v>
      </c>
      <c r="AN177" s="43" t="e">
        <f t="shared" si="66"/>
        <v>#DIV/0!</v>
      </c>
      <c r="AO177" s="3" t="s">
        <v>344</v>
      </c>
      <c r="AT177" s="2">
        <f t="shared" si="67"/>
        <v>11</v>
      </c>
      <c r="AU177" s="45">
        <f t="shared" si="68"/>
        <v>0.34242268082220628</v>
      </c>
      <c r="AV177" s="45" t="e">
        <f t="shared" si="69"/>
        <v>#NUM!</v>
      </c>
      <c r="AW177" s="45" t="e">
        <f t="shared" si="70"/>
        <v>#NUM!</v>
      </c>
      <c r="AX177" s="45" t="e">
        <f t="shared" si="71"/>
        <v>#NUM!</v>
      </c>
      <c r="AY177" s="45" t="e">
        <f t="shared" si="72"/>
        <v>#NUM!</v>
      </c>
      <c r="AZ177" s="45" t="e">
        <f t="shared" si="73"/>
        <v>#NUM!</v>
      </c>
      <c r="BA177" s="45" t="e">
        <f t="shared" si="74"/>
        <v>#NUM!</v>
      </c>
      <c r="BB177" s="45" t="e">
        <f t="shared" si="75"/>
        <v>#VALUE!</v>
      </c>
      <c r="BC177" s="45" t="e">
        <f t="shared" si="76"/>
        <v>#NUM!</v>
      </c>
      <c r="BD177" s="45" t="e">
        <f t="shared" si="77"/>
        <v>#NUM!</v>
      </c>
      <c r="BE177" s="45" t="e">
        <f t="shared" si="78"/>
        <v>#NUM!</v>
      </c>
      <c r="BF177" s="45" t="e">
        <f t="shared" si="79"/>
        <v>#DIV/0!</v>
      </c>
      <c r="BG177" s="45" t="e">
        <f t="shared" si="80"/>
        <v>#DIV/0!</v>
      </c>
      <c r="BH177" s="45" t="e">
        <f t="shared" si="81"/>
        <v>#NUM!</v>
      </c>
      <c r="BI177" s="43" t="e">
        <f t="shared" si="82"/>
        <v>#NUM!</v>
      </c>
      <c r="BL177" s="20"/>
      <c r="BS177" s="18"/>
      <c r="BT177" s="18"/>
      <c r="CA177" s="41" t="s">
        <v>22</v>
      </c>
      <c r="CB177" s="18"/>
      <c r="CC177" t="s">
        <v>22</v>
      </c>
      <c r="CE177" s="41" t="s">
        <v>22</v>
      </c>
      <c r="CF177" s="41" t="s">
        <v>22</v>
      </c>
      <c r="CG177" s="41" t="s">
        <v>22</v>
      </c>
      <c r="CH177" s="41" t="s">
        <v>22</v>
      </c>
      <c r="CI177" s="41" t="s">
        <v>22</v>
      </c>
      <c r="CJ177" s="41" t="e">
        <f t="shared" si="89"/>
        <v>#VALUE!</v>
      </c>
      <c r="CL177" s="9" t="s">
        <v>343</v>
      </c>
      <c r="CM177" s="18" t="s">
        <v>1284</v>
      </c>
      <c r="CN177" s="54" t="s">
        <v>1284</v>
      </c>
      <c r="CO177" s="18" t="s">
        <v>1284</v>
      </c>
    </row>
    <row r="178" spans="1:93" x14ac:dyDescent="0.25">
      <c r="A178" t="s">
        <v>343</v>
      </c>
      <c r="B178" s="41">
        <v>2</v>
      </c>
      <c r="E178" s="41">
        <v>55</v>
      </c>
      <c r="L178" s="41" t="str">
        <f t="shared" si="91"/>
        <v/>
      </c>
      <c r="M178" t="s">
        <v>45</v>
      </c>
      <c r="V178" s="18">
        <v>20191229</v>
      </c>
      <c r="X178" s="18">
        <v>1992</v>
      </c>
      <c r="AA178" t="s">
        <v>894</v>
      </c>
      <c r="AC178" s="18"/>
      <c r="AM178" s="43" t="e">
        <f t="shared" si="65"/>
        <v>#DIV/0!</v>
      </c>
      <c r="AN178" s="43" t="e">
        <f t="shared" si="66"/>
        <v>#DIV/0!</v>
      </c>
      <c r="AO178" s="3" t="s">
        <v>344</v>
      </c>
      <c r="AT178" s="2">
        <f t="shared" si="67"/>
        <v>11</v>
      </c>
      <c r="AU178" s="45">
        <f t="shared" si="68"/>
        <v>0.3010299956639812</v>
      </c>
      <c r="AV178" s="45" t="e">
        <f t="shared" si="69"/>
        <v>#NUM!</v>
      </c>
      <c r="AW178" s="45" t="e">
        <f t="shared" si="70"/>
        <v>#NUM!</v>
      </c>
      <c r="AX178" s="45" t="e">
        <f t="shared" si="71"/>
        <v>#NUM!</v>
      </c>
      <c r="AY178" s="45" t="e">
        <f t="shared" si="72"/>
        <v>#NUM!</v>
      </c>
      <c r="AZ178" s="45" t="e">
        <f t="shared" si="73"/>
        <v>#NUM!</v>
      </c>
      <c r="BA178" s="45" t="e">
        <f t="shared" si="74"/>
        <v>#NUM!</v>
      </c>
      <c r="BB178" s="45" t="e">
        <f t="shared" si="75"/>
        <v>#VALUE!</v>
      </c>
      <c r="BC178" s="45" t="e">
        <f t="shared" si="76"/>
        <v>#NUM!</v>
      </c>
      <c r="BD178" s="45" t="e">
        <f t="shared" si="77"/>
        <v>#NUM!</v>
      </c>
      <c r="BE178" s="45" t="e">
        <f t="shared" si="78"/>
        <v>#NUM!</v>
      </c>
      <c r="BF178" s="45" t="e">
        <f t="shared" si="79"/>
        <v>#DIV/0!</v>
      </c>
      <c r="BG178" s="45" t="e">
        <f t="shared" si="80"/>
        <v>#DIV/0!</v>
      </c>
      <c r="BH178" s="45" t="e">
        <f t="shared" si="81"/>
        <v>#NUM!</v>
      </c>
      <c r="BI178" s="43" t="e">
        <f t="shared" si="82"/>
        <v>#NUM!</v>
      </c>
      <c r="BJ178" s="18"/>
      <c r="BK178" s="18"/>
      <c r="BL178" s="20"/>
      <c r="BS178" s="18"/>
      <c r="BT178" s="18"/>
      <c r="CA178" s="41" t="s">
        <v>22</v>
      </c>
      <c r="CC178" t="s">
        <v>22</v>
      </c>
      <c r="CE178" s="41" t="s">
        <v>22</v>
      </c>
      <c r="CF178" s="41" t="s">
        <v>22</v>
      </c>
      <c r="CG178" s="41" t="s">
        <v>22</v>
      </c>
      <c r="CH178" s="41" t="s">
        <v>22</v>
      </c>
      <c r="CI178" s="41" t="s">
        <v>22</v>
      </c>
      <c r="CJ178" s="41" t="e">
        <f t="shared" si="89"/>
        <v>#VALUE!</v>
      </c>
      <c r="CL178" s="9" t="s">
        <v>343</v>
      </c>
      <c r="CM178" s="18" t="s">
        <v>1284</v>
      </c>
      <c r="CN178" s="54" t="s">
        <v>1284</v>
      </c>
      <c r="CO178" s="18" t="s">
        <v>1284</v>
      </c>
    </row>
    <row r="179" spans="1:93" x14ac:dyDescent="0.25">
      <c r="A179" t="s">
        <v>343</v>
      </c>
      <c r="B179" s="41">
        <v>8</v>
      </c>
      <c r="E179" s="41">
        <v>23</v>
      </c>
      <c r="L179" s="41" t="str">
        <f t="shared" si="91"/>
        <v/>
      </c>
      <c r="M179" t="s">
        <v>45</v>
      </c>
      <c r="V179" s="18">
        <v>20191229</v>
      </c>
      <c r="X179" s="18">
        <v>1992</v>
      </c>
      <c r="AA179" t="s">
        <v>894</v>
      </c>
      <c r="AC179" s="18"/>
      <c r="AM179" s="43" t="e">
        <f t="shared" si="65"/>
        <v>#DIV/0!</v>
      </c>
      <c r="AN179" s="43" t="e">
        <f t="shared" si="66"/>
        <v>#DIV/0!</v>
      </c>
      <c r="AO179" s="3" t="s">
        <v>344</v>
      </c>
      <c r="AT179" s="2">
        <f t="shared" si="67"/>
        <v>11</v>
      </c>
      <c r="AU179" s="45">
        <f t="shared" si="68"/>
        <v>0.90308998699194354</v>
      </c>
      <c r="AV179" s="45" t="e">
        <f t="shared" si="69"/>
        <v>#NUM!</v>
      </c>
      <c r="AW179" s="45" t="e">
        <f t="shared" si="70"/>
        <v>#NUM!</v>
      </c>
      <c r="AX179" s="45" t="e">
        <f t="shared" si="71"/>
        <v>#NUM!</v>
      </c>
      <c r="AY179" s="45" t="e">
        <f t="shared" si="72"/>
        <v>#NUM!</v>
      </c>
      <c r="AZ179" s="45" t="e">
        <f t="shared" si="73"/>
        <v>#NUM!</v>
      </c>
      <c r="BA179" s="45" t="e">
        <f t="shared" si="74"/>
        <v>#NUM!</v>
      </c>
      <c r="BB179" s="45" t="e">
        <f t="shared" si="75"/>
        <v>#VALUE!</v>
      </c>
      <c r="BC179" s="45" t="e">
        <f t="shared" si="76"/>
        <v>#NUM!</v>
      </c>
      <c r="BD179" s="45" t="e">
        <f t="shared" si="77"/>
        <v>#NUM!</v>
      </c>
      <c r="BE179" s="45" t="e">
        <f t="shared" si="78"/>
        <v>#NUM!</v>
      </c>
      <c r="BF179" s="45" t="e">
        <f t="shared" si="79"/>
        <v>#DIV/0!</v>
      </c>
      <c r="BG179" s="45" t="e">
        <f t="shared" si="80"/>
        <v>#DIV/0!</v>
      </c>
      <c r="BH179" s="45" t="e">
        <f t="shared" si="81"/>
        <v>#NUM!</v>
      </c>
      <c r="BI179" s="43" t="e">
        <f t="shared" si="82"/>
        <v>#NUM!</v>
      </c>
      <c r="BJ179" s="18"/>
      <c r="BK179" s="18"/>
      <c r="BL179" s="20"/>
      <c r="BS179" s="18"/>
      <c r="BT179" s="18"/>
      <c r="CA179" s="41" t="s">
        <v>22</v>
      </c>
      <c r="CB179" s="18"/>
      <c r="CC179" t="s">
        <v>22</v>
      </c>
      <c r="CE179" s="41" t="s">
        <v>22</v>
      </c>
      <c r="CF179" s="41" t="s">
        <v>22</v>
      </c>
      <c r="CG179" s="41" t="s">
        <v>22</v>
      </c>
      <c r="CH179" s="41" t="s">
        <v>22</v>
      </c>
      <c r="CI179" s="41" t="s">
        <v>22</v>
      </c>
      <c r="CJ179" s="41" t="e">
        <f t="shared" si="89"/>
        <v>#VALUE!</v>
      </c>
      <c r="CL179" s="9" t="s">
        <v>343</v>
      </c>
      <c r="CM179" s="18" t="s">
        <v>1284</v>
      </c>
      <c r="CN179" s="54" t="s">
        <v>1284</v>
      </c>
      <c r="CO179" s="18" t="s">
        <v>1284</v>
      </c>
    </row>
    <row r="180" spans="1:93" x14ac:dyDescent="0.25">
      <c r="A180" t="s">
        <v>343</v>
      </c>
      <c r="B180" s="41">
        <v>2</v>
      </c>
      <c r="E180" s="41">
        <v>6.8</v>
      </c>
      <c r="L180" s="41" t="str">
        <f t="shared" si="91"/>
        <v/>
      </c>
      <c r="M180" t="s">
        <v>45</v>
      </c>
      <c r="V180">
        <v>20191229</v>
      </c>
      <c r="X180" s="18">
        <v>1992</v>
      </c>
      <c r="AA180" t="s">
        <v>894</v>
      </c>
      <c r="AC180" s="18"/>
      <c r="AM180" s="43" t="e">
        <f t="shared" si="65"/>
        <v>#DIV/0!</v>
      </c>
      <c r="AN180" s="43" t="e">
        <f t="shared" si="66"/>
        <v>#DIV/0!</v>
      </c>
      <c r="AO180" s="3" t="s">
        <v>344</v>
      </c>
      <c r="AT180" s="2">
        <f t="shared" si="67"/>
        <v>11</v>
      </c>
      <c r="AU180" s="45">
        <f t="shared" si="68"/>
        <v>0.3010299956639812</v>
      </c>
      <c r="AV180" s="45" t="e">
        <f t="shared" si="69"/>
        <v>#NUM!</v>
      </c>
      <c r="AW180" s="45" t="e">
        <f t="shared" si="70"/>
        <v>#NUM!</v>
      </c>
      <c r="AX180" s="45" t="e">
        <f t="shared" si="71"/>
        <v>#NUM!</v>
      </c>
      <c r="AY180" s="45" t="e">
        <f t="shared" si="72"/>
        <v>#NUM!</v>
      </c>
      <c r="AZ180" s="45" t="e">
        <f t="shared" si="73"/>
        <v>#NUM!</v>
      </c>
      <c r="BA180" s="45" t="e">
        <f t="shared" si="74"/>
        <v>#NUM!</v>
      </c>
      <c r="BB180" s="45" t="e">
        <f t="shared" si="75"/>
        <v>#VALUE!</v>
      </c>
      <c r="BC180" s="45" t="e">
        <f t="shared" si="76"/>
        <v>#NUM!</v>
      </c>
      <c r="BD180" s="45" t="e">
        <f t="shared" si="77"/>
        <v>#NUM!</v>
      </c>
      <c r="BE180" s="45" t="e">
        <f t="shared" si="78"/>
        <v>#NUM!</v>
      </c>
      <c r="BF180" s="45" t="e">
        <f t="shared" si="79"/>
        <v>#DIV/0!</v>
      </c>
      <c r="BG180" s="45" t="e">
        <f t="shared" si="80"/>
        <v>#DIV/0!</v>
      </c>
      <c r="BH180" s="45" t="e">
        <f t="shared" si="81"/>
        <v>#NUM!</v>
      </c>
      <c r="BI180" s="43" t="e">
        <f t="shared" si="82"/>
        <v>#NUM!</v>
      </c>
      <c r="CA180" s="41" t="s">
        <v>22</v>
      </c>
      <c r="CC180" t="s">
        <v>22</v>
      </c>
      <c r="CE180" s="41" t="s">
        <v>22</v>
      </c>
      <c r="CF180" s="41" t="s">
        <v>22</v>
      </c>
      <c r="CG180" s="41" t="s">
        <v>22</v>
      </c>
      <c r="CH180" s="41" t="s">
        <v>22</v>
      </c>
      <c r="CI180" s="41" t="s">
        <v>22</v>
      </c>
      <c r="CJ180" s="41" t="e">
        <f t="shared" si="89"/>
        <v>#VALUE!</v>
      </c>
      <c r="CL180" s="9" t="s">
        <v>343</v>
      </c>
      <c r="CM180" s="18" t="s">
        <v>1284</v>
      </c>
      <c r="CN180" s="54" t="s">
        <v>1284</v>
      </c>
      <c r="CO180" s="18" t="s">
        <v>1284</v>
      </c>
    </row>
    <row r="181" spans="1:93" x14ac:dyDescent="0.25">
      <c r="A181" t="s">
        <v>343</v>
      </c>
      <c r="B181" s="41">
        <v>2.85</v>
      </c>
      <c r="E181" s="41">
        <v>98</v>
      </c>
      <c r="L181" s="41" t="str">
        <f t="shared" si="91"/>
        <v/>
      </c>
      <c r="M181" t="s">
        <v>45</v>
      </c>
      <c r="V181">
        <v>20191229</v>
      </c>
      <c r="W181" s="21"/>
      <c r="X181">
        <v>1992</v>
      </c>
      <c r="AA181" s="18" t="s">
        <v>1088</v>
      </c>
      <c r="AC181" s="18"/>
      <c r="AM181" s="43" t="e">
        <f t="shared" si="65"/>
        <v>#DIV/0!</v>
      </c>
      <c r="AN181" s="43" t="e">
        <f t="shared" si="66"/>
        <v>#DIV/0!</v>
      </c>
      <c r="AO181" s="19" t="s">
        <v>344</v>
      </c>
      <c r="AT181" s="2">
        <f t="shared" si="67"/>
        <v>11</v>
      </c>
      <c r="AU181" s="45">
        <f t="shared" si="68"/>
        <v>0.45484486000851021</v>
      </c>
      <c r="AV181" s="45" t="e">
        <f t="shared" si="69"/>
        <v>#NUM!</v>
      </c>
      <c r="AW181" s="45" t="e">
        <f t="shared" si="70"/>
        <v>#NUM!</v>
      </c>
      <c r="AX181" s="45" t="e">
        <f t="shared" si="71"/>
        <v>#NUM!</v>
      </c>
      <c r="AY181" s="45" t="e">
        <f t="shared" si="72"/>
        <v>#NUM!</v>
      </c>
      <c r="AZ181" s="45" t="e">
        <f t="shared" si="73"/>
        <v>#NUM!</v>
      </c>
      <c r="BA181" s="45" t="e">
        <f t="shared" si="74"/>
        <v>#NUM!</v>
      </c>
      <c r="BB181" s="45" t="e">
        <f t="shared" si="75"/>
        <v>#VALUE!</v>
      </c>
      <c r="BC181" s="45" t="e">
        <f t="shared" si="76"/>
        <v>#NUM!</v>
      </c>
      <c r="BD181" s="45" t="e">
        <f t="shared" si="77"/>
        <v>#NUM!</v>
      </c>
      <c r="BE181" s="45" t="e">
        <f t="shared" si="78"/>
        <v>#NUM!</v>
      </c>
      <c r="BF181" s="45" t="e">
        <f t="shared" si="79"/>
        <v>#DIV/0!</v>
      </c>
      <c r="BG181" s="45" t="e">
        <f t="shared" si="80"/>
        <v>#DIV/0!</v>
      </c>
      <c r="BH181" s="45" t="e">
        <f t="shared" si="81"/>
        <v>#NUM!</v>
      </c>
      <c r="BI181" s="43" t="e">
        <f t="shared" si="82"/>
        <v>#NUM!</v>
      </c>
      <c r="BJ181" s="18"/>
      <c r="BK181" s="18"/>
      <c r="BL181" s="20"/>
      <c r="BS181" s="18"/>
      <c r="BT181" s="18"/>
      <c r="CA181" s="41" t="s">
        <v>22</v>
      </c>
      <c r="CC181" t="s">
        <v>22</v>
      </c>
      <c r="CE181" s="41" t="s">
        <v>22</v>
      </c>
      <c r="CF181" s="41" t="s">
        <v>22</v>
      </c>
      <c r="CG181" s="41" t="s">
        <v>22</v>
      </c>
      <c r="CH181" s="41" t="s">
        <v>22</v>
      </c>
      <c r="CI181" s="41" t="s">
        <v>22</v>
      </c>
      <c r="CJ181" s="41" t="e">
        <f t="shared" si="89"/>
        <v>#VALUE!</v>
      </c>
      <c r="CL181" s="9" t="s">
        <v>343</v>
      </c>
      <c r="CM181" s="18" t="s">
        <v>1284</v>
      </c>
      <c r="CN181" s="54" t="s">
        <v>1284</v>
      </c>
      <c r="CO181" s="18" t="s">
        <v>1284</v>
      </c>
    </row>
    <row r="182" spans="1:93" x14ac:dyDescent="0.25">
      <c r="A182" t="s">
        <v>343</v>
      </c>
      <c r="B182" s="41">
        <v>1.1000000000000001</v>
      </c>
      <c r="E182" s="41">
        <v>5</v>
      </c>
      <c r="L182" s="41" t="str">
        <f t="shared" si="91"/>
        <v/>
      </c>
      <c r="M182" t="s">
        <v>45</v>
      </c>
      <c r="V182">
        <v>20191229</v>
      </c>
      <c r="W182" s="21"/>
      <c r="X182">
        <v>1992</v>
      </c>
      <c r="AA182" s="18" t="s">
        <v>424</v>
      </c>
      <c r="AC182" s="18"/>
      <c r="AM182" s="43" t="e">
        <f t="shared" si="65"/>
        <v>#DIV/0!</v>
      </c>
      <c r="AN182" s="43" t="e">
        <f t="shared" si="66"/>
        <v>#DIV/0!</v>
      </c>
      <c r="AO182" s="19" t="s">
        <v>344</v>
      </c>
      <c r="AT182" s="2">
        <f t="shared" si="67"/>
        <v>11</v>
      </c>
      <c r="AU182" s="45">
        <f t="shared" si="68"/>
        <v>4.1392685158225077E-2</v>
      </c>
      <c r="AV182" s="45" t="e">
        <f t="shared" si="69"/>
        <v>#NUM!</v>
      </c>
      <c r="AW182" s="45" t="e">
        <f t="shared" si="70"/>
        <v>#NUM!</v>
      </c>
      <c r="AX182" s="45" t="e">
        <f t="shared" si="71"/>
        <v>#NUM!</v>
      </c>
      <c r="AY182" s="45" t="e">
        <f t="shared" si="72"/>
        <v>#NUM!</v>
      </c>
      <c r="AZ182" s="45" t="e">
        <f t="shared" si="73"/>
        <v>#NUM!</v>
      </c>
      <c r="BA182" s="45" t="e">
        <f t="shared" si="74"/>
        <v>#NUM!</v>
      </c>
      <c r="BB182" s="45" t="e">
        <f t="shared" si="75"/>
        <v>#VALUE!</v>
      </c>
      <c r="BC182" s="45" t="e">
        <f t="shared" si="76"/>
        <v>#NUM!</v>
      </c>
      <c r="BD182" s="45" t="e">
        <f t="shared" si="77"/>
        <v>#NUM!</v>
      </c>
      <c r="BE182" s="45" t="e">
        <f t="shared" si="78"/>
        <v>#NUM!</v>
      </c>
      <c r="BF182" s="45" t="e">
        <f t="shared" si="79"/>
        <v>#DIV/0!</v>
      </c>
      <c r="BG182" s="45" t="e">
        <f t="shared" si="80"/>
        <v>#DIV/0!</v>
      </c>
      <c r="BH182" s="45" t="e">
        <f t="shared" si="81"/>
        <v>#NUM!</v>
      </c>
      <c r="BI182" s="43" t="e">
        <f t="shared" si="82"/>
        <v>#NUM!</v>
      </c>
      <c r="BJ182" s="18"/>
      <c r="BK182" s="18"/>
      <c r="BL182" s="20"/>
      <c r="BT182" s="18"/>
      <c r="CA182" s="41" t="s">
        <v>22</v>
      </c>
      <c r="CC182" t="s">
        <v>22</v>
      </c>
      <c r="CE182" s="41" t="s">
        <v>22</v>
      </c>
      <c r="CF182" s="41" t="s">
        <v>22</v>
      </c>
      <c r="CG182" s="41" t="s">
        <v>22</v>
      </c>
      <c r="CH182" s="41" t="s">
        <v>22</v>
      </c>
      <c r="CI182" s="41" t="s">
        <v>22</v>
      </c>
      <c r="CJ182" s="41" t="e">
        <f t="shared" si="89"/>
        <v>#VALUE!</v>
      </c>
      <c r="CL182" s="9" t="s">
        <v>343</v>
      </c>
      <c r="CM182" s="18" t="s">
        <v>1284</v>
      </c>
      <c r="CN182" s="54" t="s">
        <v>1284</v>
      </c>
      <c r="CO182" s="18" t="s">
        <v>1284</v>
      </c>
    </row>
    <row r="183" spans="1:93" x14ac:dyDescent="0.25">
      <c r="A183" t="s">
        <v>343</v>
      </c>
      <c r="B183" s="41">
        <v>1.6</v>
      </c>
      <c r="E183" s="41">
        <v>6</v>
      </c>
      <c r="L183" s="41" t="str">
        <f t="shared" si="91"/>
        <v/>
      </c>
      <c r="M183" t="s">
        <v>45</v>
      </c>
      <c r="V183">
        <v>20191229</v>
      </c>
      <c r="X183">
        <v>1992</v>
      </c>
      <c r="AA183" t="s">
        <v>894</v>
      </c>
      <c r="AM183" s="43" t="e">
        <f t="shared" si="65"/>
        <v>#DIV/0!</v>
      </c>
      <c r="AN183" s="43" t="e">
        <f t="shared" si="66"/>
        <v>#DIV/0!</v>
      </c>
      <c r="AO183" s="3" t="s">
        <v>344</v>
      </c>
      <c r="AT183" s="2">
        <f t="shared" si="67"/>
        <v>11</v>
      </c>
      <c r="AU183" s="45">
        <f t="shared" si="68"/>
        <v>0.20411998265592479</v>
      </c>
      <c r="AV183" s="45" t="e">
        <f t="shared" si="69"/>
        <v>#NUM!</v>
      </c>
      <c r="AW183" s="45" t="e">
        <f t="shared" si="70"/>
        <v>#NUM!</v>
      </c>
      <c r="AX183" s="45" t="e">
        <f t="shared" si="71"/>
        <v>#NUM!</v>
      </c>
      <c r="AY183" s="45" t="e">
        <f t="shared" si="72"/>
        <v>#NUM!</v>
      </c>
      <c r="AZ183" s="45" t="e">
        <f t="shared" si="73"/>
        <v>#NUM!</v>
      </c>
      <c r="BA183" s="45" t="e">
        <f t="shared" si="74"/>
        <v>#NUM!</v>
      </c>
      <c r="BB183" s="45" t="e">
        <f t="shared" si="75"/>
        <v>#VALUE!</v>
      </c>
      <c r="BC183" s="45" t="e">
        <f t="shared" si="76"/>
        <v>#NUM!</v>
      </c>
      <c r="BD183" s="45" t="e">
        <f t="shared" si="77"/>
        <v>#NUM!</v>
      </c>
      <c r="BE183" s="45" t="e">
        <f t="shared" si="78"/>
        <v>#NUM!</v>
      </c>
      <c r="BF183" s="45" t="e">
        <f t="shared" si="79"/>
        <v>#DIV/0!</v>
      </c>
      <c r="BG183" s="45" t="e">
        <f t="shared" si="80"/>
        <v>#DIV/0!</v>
      </c>
      <c r="BH183" s="45" t="e">
        <f t="shared" si="81"/>
        <v>#NUM!</v>
      </c>
      <c r="BI183" s="43" t="e">
        <f t="shared" si="82"/>
        <v>#NUM!</v>
      </c>
      <c r="CA183" s="41" t="s">
        <v>22</v>
      </c>
      <c r="CC183" t="s">
        <v>22</v>
      </c>
      <c r="CE183" s="41" t="s">
        <v>22</v>
      </c>
      <c r="CF183" s="41" t="s">
        <v>22</v>
      </c>
      <c r="CG183" s="41" t="s">
        <v>22</v>
      </c>
      <c r="CH183" s="41" t="s">
        <v>22</v>
      </c>
      <c r="CI183" s="41" t="s">
        <v>22</v>
      </c>
      <c r="CJ183" s="41" t="e">
        <f t="shared" si="89"/>
        <v>#VALUE!</v>
      </c>
      <c r="CL183" s="9" t="s">
        <v>343</v>
      </c>
      <c r="CM183" s="18" t="s">
        <v>1284</v>
      </c>
      <c r="CN183" s="54" t="s">
        <v>1284</v>
      </c>
      <c r="CO183" s="18" t="s">
        <v>1284</v>
      </c>
    </row>
    <row r="184" spans="1:93" x14ac:dyDescent="0.25">
      <c r="A184" t="s">
        <v>343</v>
      </c>
      <c r="B184" s="41">
        <v>6</v>
      </c>
      <c r="E184" s="41">
        <v>120</v>
      </c>
      <c r="L184" s="41" t="str">
        <f t="shared" si="91"/>
        <v/>
      </c>
      <c r="M184" t="s">
        <v>45</v>
      </c>
      <c r="V184">
        <v>20191229</v>
      </c>
      <c r="X184">
        <v>1992</v>
      </c>
      <c r="AA184" t="s">
        <v>424</v>
      </c>
      <c r="AM184" s="43" t="e">
        <f t="shared" si="65"/>
        <v>#DIV/0!</v>
      </c>
      <c r="AN184" s="43" t="e">
        <f t="shared" si="66"/>
        <v>#DIV/0!</v>
      </c>
      <c r="AO184" s="3" t="s">
        <v>344</v>
      </c>
      <c r="AT184" s="2">
        <f t="shared" si="67"/>
        <v>11</v>
      </c>
      <c r="AU184" s="45">
        <f t="shared" si="68"/>
        <v>0.77815125038364363</v>
      </c>
      <c r="AV184" s="45" t="e">
        <f t="shared" si="69"/>
        <v>#NUM!</v>
      </c>
      <c r="AW184" s="45" t="e">
        <f t="shared" si="70"/>
        <v>#NUM!</v>
      </c>
      <c r="AX184" s="45" t="e">
        <f t="shared" si="71"/>
        <v>#NUM!</v>
      </c>
      <c r="AY184" s="45" t="e">
        <f t="shared" si="72"/>
        <v>#NUM!</v>
      </c>
      <c r="AZ184" s="45" t="e">
        <f t="shared" si="73"/>
        <v>#NUM!</v>
      </c>
      <c r="BA184" s="45" t="e">
        <f t="shared" si="74"/>
        <v>#NUM!</v>
      </c>
      <c r="BB184" s="45" t="e">
        <f t="shared" si="75"/>
        <v>#VALUE!</v>
      </c>
      <c r="BC184" s="45" t="e">
        <f t="shared" si="76"/>
        <v>#NUM!</v>
      </c>
      <c r="BD184" s="45" t="e">
        <f t="shared" si="77"/>
        <v>#NUM!</v>
      </c>
      <c r="BE184" s="45" t="e">
        <f t="shared" si="78"/>
        <v>#NUM!</v>
      </c>
      <c r="BF184" s="45" t="e">
        <f t="shared" si="79"/>
        <v>#DIV/0!</v>
      </c>
      <c r="BG184" s="45" t="e">
        <f t="shared" si="80"/>
        <v>#DIV/0!</v>
      </c>
      <c r="BH184" s="45" t="e">
        <f t="shared" si="81"/>
        <v>#NUM!</v>
      </c>
      <c r="BI184" s="43" t="e">
        <f t="shared" si="82"/>
        <v>#NUM!</v>
      </c>
      <c r="CA184" s="41" t="s">
        <v>22</v>
      </c>
      <c r="CC184" t="s">
        <v>22</v>
      </c>
      <c r="CE184" s="41" t="s">
        <v>22</v>
      </c>
      <c r="CF184" s="41" t="s">
        <v>22</v>
      </c>
      <c r="CG184" s="41" t="s">
        <v>22</v>
      </c>
      <c r="CH184" s="41" t="s">
        <v>22</v>
      </c>
      <c r="CI184" s="41" t="s">
        <v>22</v>
      </c>
      <c r="CJ184" s="41" t="e">
        <f t="shared" si="89"/>
        <v>#VALUE!</v>
      </c>
      <c r="CL184" s="9" t="s">
        <v>343</v>
      </c>
      <c r="CM184" s="18" t="s">
        <v>1284</v>
      </c>
      <c r="CN184" s="54" t="s">
        <v>1284</v>
      </c>
      <c r="CO184" s="18" t="s">
        <v>1284</v>
      </c>
    </row>
    <row r="185" spans="1:93" x14ac:dyDescent="0.25">
      <c r="A185" t="s">
        <v>343</v>
      </c>
      <c r="B185" s="41">
        <v>2.0099999999999998</v>
      </c>
      <c r="C185" s="41" t="s">
        <v>22</v>
      </c>
      <c r="D185" s="41" t="s">
        <v>22</v>
      </c>
      <c r="E185" s="41" t="s">
        <v>22</v>
      </c>
      <c r="F185" t="s">
        <v>22</v>
      </c>
      <c r="G185" t="s">
        <v>22</v>
      </c>
      <c r="H185" t="s">
        <v>22</v>
      </c>
      <c r="I185" t="s">
        <v>22</v>
      </c>
      <c r="J185" s="41" t="s">
        <v>22</v>
      </c>
      <c r="K185" t="s">
        <v>22</v>
      </c>
      <c r="L185" s="41" t="e">
        <f t="shared" si="91"/>
        <v>#VALUE!</v>
      </c>
      <c r="M185" t="s">
        <v>45</v>
      </c>
      <c r="N185" s="41" t="s">
        <v>22</v>
      </c>
      <c r="O185" s="41" t="s">
        <v>22</v>
      </c>
      <c r="P185" s="41" t="s">
        <v>22</v>
      </c>
      <c r="R185" s="41" t="s">
        <v>22</v>
      </c>
      <c r="S185" s="41" t="s">
        <v>22</v>
      </c>
      <c r="T185" s="41" t="s">
        <v>22</v>
      </c>
      <c r="U185" s="41" t="s">
        <v>22</v>
      </c>
      <c r="V185">
        <v>20200531</v>
      </c>
      <c r="X185" s="6">
        <v>1994</v>
      </c>
      <c r="Y185" t="s">
        <v>343</v>
      </c>
      <c r="Z185" t="s">
        <v>32</v>
      </c>
      <c r="AA185" t="s">
        <v>786</v>
      </c>
      <c r="AC185" t="s">
        <v>22</v>
      </c>
      <c r="AD185" s="41" t="s">
        <v>22</v>
      </c>
      <c r="AE185" s="41" t="s">
        <v>22</v>
      </c>
      <c r="AF185" s="41" t="s">
        <v>22</v>
      </c>
      <c r="AG185" s="41">
        <v>216.1</v>
      </c>
      <c r="AH185" s="41">
        <v>8.2206303724928294</v>
      </c>
      <c r="AI185" s="41">
        <v>7.36103151862463</v>
      </c>
      <c r="AJ185" s="41">
        <v>6.9828080229226304</v>
      </c>
      <c r="AK185" s="41">
        <v>5.4240687679082997</v>
      </c>
      <c r="AL185" s="41">
        <v>4.9656160458452696</v>
      </c>
      <c r="AM185" s="43">
        <f t="shared" si="65"/>
        <v>0.67458154924095048</v>
      </c>
      <c r="AN185" s="43">
        <f t="shared" si="66"/>
        <v>0.71112022979072653</v>
      </c>
      <c r="AO185" s="3" t="s">
        <v>965</v>
      </c>
      <c r="AT185" s="2">
        <f t="shared" si="67"/>
        <v>4</v>
      </c>
      <c r="AU185" s="45">
        <f t="shared" si="68"/>
        <v>0.30319605742048883</v>
      </c>
      <c r="AV185" s="45" t="e">
        <f t="shared" si="69"/>
        <v>#VALUE!</v>
      </c>
      <c r="AW185" s="45" t="e">
        <f t="shared" si="70"/>
        <v>#VALUE!</v>
      </c>
      <c r="AX185" s="45" t="e">
        <f t="shared" si="71"/>
        <v>#VALUE!</v>
      </c>
      <c r="AY185" s="45" t="e">
        <f t="shared" si="72"/>
        <v>#VALUE!</v>
      </c>
      <c r="AZ185" s="45" t="e">
        <f t="shared" si="73"/>
        <v>#VALUE!</v>
      </c>
      <c r="BA185" s="45" t="e">
        <f t="shared" si="74"/>
        <v>#VALUE!</v>
      </c>
      <c r="BB185" s="45" t="e">
        <f t="shared" si="75"/>
        <v>#VALUE!</v>
      </c>
      <c r="BC185" s="45" t="e">
        <f t="shared" si="76"/>
        <v>#VALUE!</v>
      </c>
      <c r="BD185" s="45" t="e">
        <f t="shared" si="77"/>
        <v>#VALUE!</v>
      </c>
      <c r="BE185" s="45" t="e">
        <f t="shared" si="78"/>
        <v>#VALUE!</v>
      </c>
      <c r="BF185" s="45">
        <f t="shared" si="79"/>
        <v>-0.17096554155242871</v>
      </c>
      <c r="BG185" s="45">
        <f t="shared" si="80"/>
        <v>-0.14805696647080716</v>
      </c>
      <c r="BH185" s="45" t="e">
        <f t="shared" si="81"/>
        <v>#NUM!</v>
      </c>
      <c r="BI185" s="43" t="e">
        <f t="shared" si="82"/>
        <v>#VALUE!</v>
      </c>
      <c r="CA185" s="41" t="s">
        <v>22</v>
      </c>
      <c r="CC185" t="s">
        <v>22</v>
      </c>
      <c r="CE185" s="41" t="s">
        <v>22</v>
      </c>
      <c r="CF185" s="41" t="s">
        <v>22</v>
      </c>
      <c r="CG185" s="41" t="s">
        <v>22</v>
      </c>
      <c r="CH185" s="41" t="s">
        <v>22</v>
      </c>
      <c r="CI185" s="41" t="str">
        <f>IF(ISNUMBER(CG185),CG185,U185)</f>
        <v>Not Reported/ Can not calculate</v>
      </c>
      <c r="CJ185" s="41" t="e">
        <f t="shared" si="89"/>
        <v>#VALUE!</v>
      </c>
      <c r="CL185" s="9" t="s">
        <v>343</v>
      </c>
      <c r="CM185" s="18" t="s">
        <v>1284</v>
      </c>
      <c r="CN185" s="54" t="s">
        <v>1284</v>
      </c>
      <c r="CO185" s="18" t="s">
        <v>1284</v>
      </c>
    </row>
    <row r="186" spans="1:93" x14ac:dyDescent="0.25">
      <c r="A186" t="s">
        <v>343</v>
      </c>
      <c r="B186" s="41">
        <v>2.4839857651245589</v>
      </c>
      <c r="C186" s="41" t="s">
        <v>22</v>
      </c>
      <c r="D186" s="41" t="s">
        <v>22</v>
      </c>
      <c r="E186" s="41" t="s">
        <v>22</v>
      </c>
      <c r="F186" t="s">
        <v>22</v>
      </c>
      <c r="G186" t="s">
        <v>22</v>
      </c>
      <c r="H186" t="s">
        <v>22</v>
      </c>
      <c r="I186" t="s">
        <v>22</v>
      </c>
      <c r="J186" s="41" t="s">
        <v>22</v>
      </c>
      <c r="K186" t="s">
        <v>22</v>
      </c>
      <c r="L186" s="41" t="e">
        <f t="shared" si="91"/>
        <v>#VALUE!</v>
      </c>
      <c r="M186" t="s">
        <v>45</v>
      </c>
      <c r="N186" s="41" t="s">
        <v>22</v>
      </c>
      <c r="O186" s="41" t="s">
        <v>22</v>
      </c>
      <c r="P186" s="41" t="s">
        <v>22</v>
      </c>
      <c r="R186" s="41" t="s">
        <v>22</v>
      </c>
      <c r="S186" s="41" t="s">
        <v>22</v>
      </c>
      <c r="T186" s="41" t="s">
        <v>22</v>
      </c>
      <c r="U186" s="41" t="s">
        <v>22</v>
      </c>
      <c r="V186">
        <v>20200531</v>
      </c>
      <c r="X186" s="6">
        <v>1994</v>
      </c>
      <c r="Y186" t="s">
        <v>343</v>
      </c>
      <c r="Z186" t="s">
        <v>32</v>
      </c>
      <c r="AA186" t="s">
        <v>786</v>
      </c>
      <c r="AC186" s="18" t="s">
        <v>22</v>
      </c>
      <c r="AD186" s="41" t="s">
        <v>22</v>
      </c>
      <c r="AE186" s="41" t="s">
        <v>22</v>
      </c>
      <c r="AF186" s="41" t="s">
        <v>22</v>
      </c>
      <c r="AG186" s="41">
        <v>203.56441812276</v>
      </c>
      <c r="AH186" s="41">
        <v>5.5730659025787901</v>
      </c>
      <c r="AI186" s="41">
        <v>5.2636103151862397</v>
      </c>
      <c r="AJ186" s="41">
        <v>5.0802292263610296</v>
      </c>
      <c r="AK186" s="41">
        <v>4.2206303724928302</v>
      </c>
      <c r="AL186" s="41">
        <v>4.0257879656160398</v>
      </c>
      <c r="AM186" s="43">
        <f t="shared" si="65"/>
        <v>0.76483396842678264</v>
      </c>
      <c r="AN186" s="43">
        <f t="shared" si="66"/>
        <v>0.79244218838127378</v>
      </c>
      <c r="AO186" s="3" t="s">
        <v>965</v>
      </c>
      <c r="AT186" s="2">
        <f t="shared" si="67"/>
        <v>4</v>
      </c>
      <c r="AU186" s="45">
        <f t="shared" si="68"/>
        <v>0.39514910271808185</v>
      </c>
      <c r="AV186" s="45" t="e">
        <f t="shared" si="69"/>
        <v>#VALUE!</v>
      </c>
      <c r="AW186" s="45" t="e">
        <f t="shared" si="70"/>
        <v>#VALUE!</v>
      </c>
      <c r="AX186" s="45" t="e">
        <f t="shared" si="71"/>
        <v>#VALUE!</v>
      </c>
      <c r="AY186" s="45" t="e">
        <f t="shared" si="72"/>
        <v>#VALUE!</v>
      </c>
      <c r="AZ186" s="45" t="e">
        <f t="shared" si="73"/>
        <v>#VALUE!</v>
      </c>
      <c r="BA186" s="45" t="e">
        <f t="shared" si="74"/>
        <v>#VALUE!</v>
      </c>
      <c r="BB186" s="45" t="e">
        <f t="shared" si="75"/>
        <v>#VALUE!</v>
      </c>
      <c r="BC186" s="45" t="e">
        <f t="shared" si="76"/>
        <v>#VALUE!</v>
      </c>
      <c r="BD186" s="45" t="e">
        <f t="shared" si="77"/>
        <v>#VALUE!</v>
      </c>
      <c r="BE186" s="45" t="e">
        <f t="shared" si="78"/>
        <v>#VALUE!</v>
      </c>
      <c r="BF186" s="45">
        <f t="shared" si="79"/>
        <v>-0.11643283206470971</v>
      </c>
      <c r="BG186" s="45">
        <f t="shared" si="80"/>
        <v>-0.10103241135981959</v>
      </c>
      <c r="BH186" s="45" t="e">
        <f t="shared" si="81"/>
        <v>#NUM!</v>
      </c>
      <c r="BI186" s="43" t="e">
        <f t="shared" si="82"/>
        <v>#VALUE!</v>
      </c>
      <c r="CA186" s="41" t="s">
        <v>22</v>
      </c>
      <c r="CC186" t="s">
        <v>22</v>
      </c>
      <c r="CE186" s="41" t="s">
        <v>22</v>
      </c>
      <c r="CF186" s="41" t="s">
        <v>22</v>
      </c>
      <c r="CG186" s="41" t="s">
        <v>22</v>
      </c>
      <c r="CH186" s="41" t="s">
        <v>22</v>
      </c>
      <c r="CI186" s="41" t="str">
        <f>IF(ISNUMBER(CG186),CG186,U186)</f>
        <v>Not Reported/ Can not calculate</v>
      </c>
      <c r="CJ186" s="41" t="e">
        <f t="shared" ref="CJ186:CJ202" si="92">LOG10(CI186)</f>
        <v>#VALUE!</v>
      </c>
      <c r="CL186" s="9" t="s">
        <v>343</v>
      </c>
      <c r="CM186" s="18" t="s">
        <v>1284</v>
      </c>
      <c r="CN186" s="54" t="s">
        <v>1284</v>
      </c>
      <c r="CO186" s="18" t="s">
        <v>1284</v>
      </c>
    </row>
    <row r="187" spans="1:93" x14ac:dyDescent="0.25">
      <c r="A187" t="s">
        <v>343</v>
      </c>
      <c r="B187" s="41">
        <f>((0.000110479548191479*0.01)^-1)*10^-6</f>
        <v>0.9051449036221958</v>
      </c>
      <c r="C187" s="41" t="s">
        <v>22</v>
      </c>
      <c r="D187" s="41" t="s">
        <v>22</v>
      </c>
      <c r="E187" s="41" t="s">
        <v>22</v>
      </c>
      <c r="F187" t="s">
        <v>22</v>
      </c>
      <c r="G187" t="s">
        <v>22</v>
      </c>
      <c r="H187" t="s">
        <v>22</v>
      </c>
      <c r="I187" t="s">
        <v>22</v>
      </c>
      <c r="J187" s="41" t="s">
        <v>22</v>
      </c>
      <c r="K187" t="s">
        <v>22</v>
      </c>
      <c r="L187" s="41" t="e">
        <f t="shared" si="91"/>
        <v>#VALUE!</v>
      </c>
      <c r="M187" t="s">
        <v>45</v>
      </c>
      <c r="N187" s="41" t="s">
        <v>22</v>
      </c>
      <c r="O187" s="41" t="s">
        <v>22</v>
      </c>
      <c r="P187" s="41" t="s">
        <v>22</v>
      </c>
      <c r="R187" s="41" t="s">
        <v>22</v>
      </c>
      <c r="S187" s="41" t="s">
        <v>22</v>
      </c>
      <c r="T187" s="41" t="s">
        <v>22</v>
      </c>
      <c r="U187" s="41" t="s">
        <v>22</v>
      </c>
      <c r="V187">
        <v>20200531</v>
      </c>
      <c r="X187" s="6">
        <v>1994</v>
      </c>
      <c r="Y187" t="s">
        <v>343</v>
      </c>
      <c r="Z187" t="s">
        <v>32</v>
      </c>
      <c r="AA187" t="s">
        <v>786</v>
      </c>
      <c r="AC187" t="s">
        <v>22</v>
      </c>
      <c r="AD187" s="41" t="s">
        <v>22</v>
      </c>
      <c r="AE187" s="41" t="s">
        <v>22</v>
      </c>
      <c r="AF187" s="41" t="s">
        <v>22</v>
      </c>
      <c r="AG187" s="41" t="s">
        <v>22</v>
      </c>
      <c r="AH187" s="41">
        <v>4.9008879418830601E-4</v>
      </c>
      <c r="AI187" s="41">
        <v>3.2312121138409501E-4</v>
      </c>
      <c r="AJ187" s="41">
        <v>2.7277455319506602E-4</v>
      </c>
      <c r="AK187" s="41">
        <v>1.53945863207536E-4</v>
      </c>
      <c r="AL187" s="41">
        <v>1.10479548191479E-4</v>
      </c>
      <c r="AM187" s="43">
        <f t="shared" si="65"/>
        <v>0.34191363580941664</v>
      </c>
      <c r="AN187" s="43">
        <f t="shared" si="66"/>
        <v>0.40502146148681645</v>
      </c>
      <c r="AO187" s="3" t="s">
        <v>965</v>
      </c>
      <c r="AT187" s="2">
        <f t="shared" si="67"/>
        <v>4</v>
      </c>
      <c r="AU187" s="45">
        <f t="shared" si="68"/>
        <v>-4.3281889517454278E-2</v>
      </c>
      <c r="AV187" s="45" t="e">
        <f t="shared" si="69"/>
        <v>#VALUE!</v>
      </c>
      <c r="AW187" s="45" t="e">
        <f t="shared" si="70"/>
        <v>#VALUE!</v>
      </c>
      <c r="AX187" s="45" t="e">
        <f t="shared" si="71"/>
        <v>#VALUE!</v>
      </c>
      <c r="AY187" s="45" t="e">
        <f t="shared" si="72"/>
        <v>#VALUE!</v>
      </c>
      <c r="AZ187" s="45" t="e">
        <f t="shared" si="73"/>
        <v>#VALUE!</v>
      </c>
      <c r="BA187" s="45" t="e">
        <f t="shared" si="74"/>
        <v>#VALUE!</v>
      </c>
      <c r="BB187" s="45" t="e">
        <f t="shared" si="75"/>
        <v>#VALUE!</v>
      </c>
      <c r="BC187" s="45" t="e">
        <f t="shared" si="76"/>
        <v>#VALUE!</v>
      </c>
      <c r="BD187" s="45" t="e">
        <f t="shared" si="77"/>
        <v>#VALUE!</v>
      </c>
      <c r="BE187" s="45" t="e">
        <f t="shared" si="78"/>
        <v>#VALUE!</v>
      </c>
      <c r="BF187" s="45">
        <f t="shared" si="79"/>
        <v>-0.46608357882113571</v>
      </c>
      <c r="BG187" s="45">
        <f t="shared" si="80"/>
        <v>-0.39252196355483532</v>
      </c>
      <c r="BH187" s="45" t="e">
        <f t="shared" si="81"/>
        <v>#NUM!</v>
      </c>
      <c r="BI187" s="43" t="e">
        <f t="shared" si="82"/>
        <v>#VALUE!</v>
      </c>
      <c r="CA187" s="41" t="s">
        <v>22</v>
      </c>
      <c r="CC187" t="s">
        <v>22</v>
      </c>
      <c r="CE187" s="41" t="s">
        <v>22</v>
      </c>
      <c r="CF187" s="41" t="s">
        <v>22</v>
      </c>
      <c r="CG187" s="41" t="s">
        <v>22</v>
      </c>
      <c r="CH187" s="41" t="s">
        <v>22</v>
      </c>
      <c r="CI187" s="41" t="str">
        <f>IF(ISNUMBER(CG187),CG187,U187)</f>
        <v>Not Reported/ Can not calculate</v>
      </c>
      <c r="CJ187" s="41" t="e">
        <f t="shared" si="92"/>
        <v>#VALUE!</v>
      </c>
      <c r="CL187" s="9" t="s">
        <v>343</v>
      </c>
      <c r="CM187" s="18" t="s">
        <v>1284</v>
      </c>
      <c r="CN187" s="54" t="s">
        <v>1284</v>
      </c>
      <c r="CO187" s="18" t="s">
        <v>1284</v>
      </c>
    </row>
    <row r="188" spans="1:93" x14ac:dyDescent="0.25">
      <c r="A188" t="s">
        <v>343</v>
      </c>
      <c r="B188" s="41">
        <f>((0.000138548878164719*0.01)^-1)*10^-6</f>
        <v>0.72176694120259322</v>
      </c>
      <c r="C188" s="41" t="s">
        <v>22</v>
      </c>
      <c r="D188" s="41" t="s">
        <v>22</v>
      </c>
      <c r="E188" s="41" t="s">
        <v>22</v>
      </c>
      <c r="F188" t="s">
        <v>22</v>
      </c>
      <c r="G188" t="s">
        <v>22</v>
      </c>
      <c r="H188" t="s">
        <v>22</v>
      </c>
      <c r="I188" t="s">
        <v>22</v>
      </c>
      <c r="J188" s="41" t="s">
        <v>22</v>
      </c>
      <c r="K188" t="s">
        <v>22</v>
      </c>
      <c r="L188" s="41" t="e">
        <f t="shared" si="91"/>
        <v>#VALUE!</v>
      </c>
      <c r="M188" t="s">
        <v>45</v>
      </c>
      <c r="N188" s="41" t="s">
        <v>22</v>
      </c>
      <c r="O188" s="41" t="s">
        <v>22</v>
      </c>
      <c r="P188" s="41" t="s">
        <v>22</v>
      </c>
      <c r="R188" s="41" t="s">
        <v>22</v>
      </c>
      <c r="S188" s="41" t="s">
        <v>22</v>
      </c>
      <c r="T188" s="41" t="s">
        <v>22</v>
      </c>
      <c r="U188" s="41" t="s">
        <v>22</v>
      </c>
      <c r="V188">
        <v>20200531</v>
      </c>
      <c r="X188" s="6">
        <v>1994</v>
      </c>
      <c r="Y188" t="s">
        <v>343</v>
      </c>
      <c r="Z188" t="s">
        <v>32</v>
      </c>
      <c r="AA188" t="s">
        <v>786</v>
      </c>
      <c r="AC188" t="s">
        <v>22</v>
      </c>
      <c r="AD188" s="41" t="s">
        <v>22</v>
      </c>
      <c r="AE188" s="41" t="s">
        <v>22</v>
      </c>
      <c r="AF188" s="41" t="s">
        <v>22</v>
      </c>
      <c r="AG188" s="41" t="s">
        <v>22</v>
      </c>
      <c r="AH188" s="41">
        <v>3.2609758659404601E-3</v>
      </c>
      <c r="AI188" s="41">
        <v>9.7027213289942703E-4</v>
      </c>
      <c r="AJ188" s="41">
        <v>6.4476188854253305E-4</v>
      </c>
      <c r="AK188" s="41">
        <v>2.3898974128125399E-4</v>
      </c>
      <c r="AL188" s="41">
        <v>1.38548878164719E-4</v>
      </c>
      <c r="AM188" s="43">
        <f t="shared" si="65"/>
        <v>0.14279383429337367</v>
      </c>
      <c r="AN188" s="43">
        <f t="shared" si="66"/>
        <v>0.21488378985598083</v>
      </c>
      <c r="AO188" s="3" t="s">
        <v>965</v>
      </c>
      <c r="AT188" s="2">
        <f t="shared" si="67"/>
        <v>4</v>
      </c>
      <c r="AU188" s="45">
        <f t="shared" si="68"/>
        <v>-0.14160301363434871</v>
      </c>
      <c r="AV188" s="45" t="e">
        <f t="shared" si="69"/>
        <v>#VALUE!</v>
      </c>
      <c r="AW188" s="45" t="e">
        <f t="shared" si="70"/>
        <v>#VALUE!</v>
      </c>
      <c r="AX188" s="45" t="e">
        <f t="shared" si="71"/>
        <v>#VALUE!</v>
      </c>
      <c r="AY188" s="45" t="e">
        <f t="shared" si="72"/>
        <v>#VALUE!</v>
      </c>
      <c r="AZ188" s="45" t="e">
        <f t="shared" si="73"/>
        <v>#VALUE!</v>
      </c>
      <c r="BA188" s="45" t="e">
        <f t="shared" si="74"/>
        <v>#VALUE!</v>
      </c>
      <c r="BB188" s="45" t="e">
        <f t="shared" si="75"/>
        <v>#VALUE!</v>
      </c>
      <c r="BC188" s="45" t="e">
        <f t="shared" si="76"/>
        <v>#VALUE!</v>
      </c>
      <c r="BD188" s="45" t="e">
        <f t="shared" si="77"/>
        <v>#VALUE!</v>
      </c>
      <c r="BE188" s="45" t="e">
        <f t="shared" si="78"/>
        <v>#VALUE!</v>
      </c>
      <c r="BF188" s="45">
        <f t="shared" si="79"/>
        <v>-0.84529054459188246</v>
      </c>
      <c r="BG188" s="45">
        <f t="shared" si="80"/>
        <v>-0.66779634505591967</v>
      </c>
      <c r="BH188" s="45" t="e">
        <f t="shared" si="81"/>
        <v>#NUM!</v>
      </c>
      <c r="BI188" s="43" t="e">
        <f t="shared" si="82"/>
        <v>#VALUE!</v>
      </c>
      <c r="CA188" s="41" t="s">
        <v>22</v>
      </c>
      <c r="CC188" t="s">
        <v>22</v>
      </c>
      <c r="CE188" s="41" t="s">
        <v>22</v>
      </c>
      <c r="CF188" s="41" t="s">
        <v>22</v>
      </c>
      <c r="CG188" s="41" t="s">
        <v>22</v>
      </c>
      <c r="CH188" s="41" t="s">
        <v>22</v>
      </c>
      <c r="CI188" s="41" t="str">
        <f>IF(ISNUMBER(CG188),CG188,U188)</f>
        <v>Not Reported/ Can not calculate</v>
      </c>
      <c r="CJ188" s="41" t="e">
        <f t="shared" si="92"/>
        <v>#VALUE!</v>
      </c>
      <c r="CL188" s="9" t="s">
        <v>343</v>
      </c>
      <c r="CM188" s="18" t="s">
        <v>1284</v>
      </c>
      <c r="CN188" s="54" t="s">
        <v>1284</v>
      </c>
      <c r="CO188" s="18" t="s">
        <v>1284</v>
      </c>
    </row>
    <row r="189" spans="1:93" x14ac:dyDescent="0.25">
      <c r="A189" s="2" t="s">
        <v>407</v>
      </c>
      <c r="B189" s="43" t="s">
        <v>22</v>
      </c>
      <c r="C189" s="43">
        <v>8.9</v>
      </c>
      <c r="D189" s="43" t="s">
        <v>22</v>
      </c>
      <c r="E189" s="43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43" t="s">
        <v>22</v>
      </c>
      <c r="K189" s="2" t="s">
        <v>22</v>
      </c>
      <c r="L189" s="43"/>
      <c r="M189" s="2" t="s">
        <v>23</v>
      </c>
      <c r="N189" s="43" t="s">
        <v>22</v>
      </c>
      <c r="O189" s="43" t="s">
        <v>22</v>
      </c>
      <c r="P189" s="43" t="s">
        <v>22</v>
      </c>
      <c r="Q189" s="43"/>
      <c r="R189" s="43" t="s">
        <v>22</v>
      </c>
      <c r="S189" s="43" t="s">
        <v>22</v>
      </c>
      <c r="T189" s="43" t="s">
        <v>22</v>
      </c>
      <c r="U189" s="43" t="s">
        <v>22</v>
      </c>
      <c r="V189" s="2">
        <v>20200519</v>
      </c>
      <c r="W189" s="2" t="s">
        <v>837</v>
      </c>
      <c r="X189" s="2">
        <v>1995</v>
      </c>
      <c r="Y189" s="2" t="s">
        <v>958</v>
      </c>
      <c r="Z189" s="2" t="s">
        <v>22</v>
      </c>
      <c r="AA189" s="2" t="s">
        <v>22</v>
      </c>
      <c r="AB189" s="43" t="s">
        <v>22</v>
      </c>
      <c r="AC189" s="2" t="s">
        <v>22</v>
      </c>
      <c r="AD189" s="43" t="s">
        <v>22</v>
      </c>
      <c r="AE189" s="43" t="s">
        <v>22</v>
      </c>
      <c r="AF189" s="43" t="s">
        <v>22</v>
      </c>
      <c r="AG189" s="43" t="s">
        <v>22</v>
      </c>
      <c r="AH189" s="43" t="s">
        <v>22</v>
      </c>
      <c r="AI189" s="43" t="s">
        <v>22</v>
      </c>
      <c r="AJ189" s="43" t="s">
        <v>22</v>
      </c>
      <c r="AK189" s="43" t="s">
        <v>22</v>
      </c>
      <c r="AL189" s="43" t="s">
        <v>22</v>
      </c>
      <c r="AM189" s="43" t="e">
        <f t="shared" si="65"/>
        <v>#VALUE!</v>
      </c>
      <c r="AN189" s="43" t="e">
        <f t="shared" si="66"/>
        <v>#VALUE!</v>
      </c>
      <c r="AO189" s="2" t="s">
        <v>838</v>
      </c>
      <c r="AP189" s="2"/>
      <c r="AQ189" s="2"/>
      <c r="AR189" s="2"/>
      <c r="AS189" s="2"/>
      <c r="AT189" s="2">
        <f t="shared" si="67"/>
        <v>1</v>
      </c>
      <c r="AU189" s="45" t="e">
        <f t="shared" si="68"/>
        <v>#VALUE!</v>
      </c>
      <c r="AV189" s="45">
        <f t="shared" si="69"/>
        <v>0.9493900066449128</v>
      </c>
      <c r="AW189" s="45" t="e">
        <f t="shared" si="70"/>
        <v>#VALUE!</v>
      </c>
      <c r="AX189" s="45" t="e">
        <f t="shared" si="71"/>
        <v>#VALUE!</v>
      </c>
      <c r="AY189" s="45" t="e">
        <f t="shared" si="72"/>
        <v>#VALUE!</v>
      </c>
      <c r="AZ189" s="45" t="e">
        <f t="shared" si="73"/>
        <v>#VALUE!</v>
      </c>
      <c r="BA189" s="45" t="e">
        <f t="shared" si="74"/>
        <v>#VALUE!</v>
      </c>
      <c r="BB189" s="45" t="e">
        <f t="shared" si="75"/>
        <v>#NUM!</v>
      </c>
      <c r="BC189" s="45" t="e">
        <f t="shared" si="76"/>
        <v>#VALUE!</v>
      </c>
      <c r="BD189" s="45" t="e">
        <f t="shared" si="77"/>
        <v>#VALUE!</v>
      </c>
      <c r="BE189" s="45" t="e">
        <f t="shared" si="78"/>
        <v>#VALUE!</v>
      </c>
      <c r="BF189" s="45" t="e">
        <f t="shared" si="79"/>
        <v>#VALUE!</v>
      </c>
      <c r="BG189" s="45" t="e">
        <f t="shared" si="80"/>
        <v>#VALUE!</v>
      </c>
      <c r="BH189" s="45" t="e">
        <f t="shared" si="81"/>
        <v>#VALUE!</v>
      </c>
      <c r="BI189" s="43" t="e">
        <f t="shared" si="82"/>
        <v>#VALUE!</v>
      </c>
      <c r="BJ189" s="2" t="s">
        <v>22</v>
      </c>
      <c r="BK189" s="2" t="s">
        <v>521</v>
      </c>
      <c r="BL189" s="2" t="s">
        <v>22</v>
      </c>
      <c r="BM189" s="43" t="s">
        <v>22</v>
      </c>
      <c r="BN189" s="43">
        <v>180000000000</v>
      </c>
      <c r="BO189" s="43">
        <f>BN189/(C189*1000000)</f>
        <v>20224.719101123595</v>
      </c>
      <c r="BP189" s="43" t="s">
        <v>22</v>
      </c>
      <c r="BQ189" s="43" t="s">
        <v>22</v>
      </c>
      <c r="BR189" s="43" t="s">
        <v>22</v>
      </c>
      <c r="BS189" s="2" t="s">
        <v>22</v>
      </c>
      <c r="BT189" s="2" t="s">
        <v>22</v>
      </c>
      <c r="BU189" s="43" t="s">
        <v>22</v>
      </c>
      <c r="BV189" s="43" t="s">
        <v>22</v>
      </c>
      <c r="BW189" s="43" t="s">
        <v>22</v>
      </c>
      <c r="BX189" s="43" t="s">
        <v>22</v>
      </c>
      <c r="BY189" s="43" t="s">
        <v>22</v>
      </c>
      <c r="BZ189" s="43" t="s">
        <v>22</v>
      </c>
      <c r="CA189" s="41" t="s">
        <v>22</v>
      </c>
      <c r="CB189" s="2"/>
      <c r="CC189" t="s">
        <v>1009</v>
      </c>
      <c r="CE189" s="41">
        <f>LOG10(BN189)</f>
        <v>11.255272505103306</v>
      </c>
      <c r="CF189" s="41" t="e">
        <f>LOG10(BV189)</f>
        <v>#VALUE!</v>
      </c>
      <c r="CG189" s="41" t="e">
        <f>AD189*1000</f>
        <v>#VALUE!</v>
      </c>
      <c r="CH189" s="41" t="e">
        <f>LOG10(CG189)</f>
        <v>#VALUE!</v>
      </c>
      <c r="CI189" s="42">
        <v>1000</v>
      </c>
      <c r="CJ189" s="42">
        <f t="shared" si="92"/>
        <v>3</v>
      </c>
      <c r="CK189" t="s">
        <v>1274</v>
      </c>
      <c r="CL189" s="9" t="s">
        <v>407</v>
      </c>
      <c r="CM189" s="18" t="s">
        <v>1283</v>
      </c>
      <c r="CN189" s="54" t="s">
        <v>1284</v>
      </c>
      <c r="CO189" s="18" t="s">
        <v>1284</v>
      </c>
    </row>
    <row r="190" spans="1:93" x14ac:dyDescent="0.25">
      <c r="A190" t="s">
        <v>731</v>
      </c>
      <c r="B190" s="41">
        <v>3.3</v>
      </c>
      <c r="C190" s="41">
        <v>1.1000000000000001</v>
      </c>
      <c r="D190" s="41">
        <f t="shared" ref="D190:D197" si="93">0.001*(B190*10^6)/(C190*0.001*100^3)</f>
        <v>3</v>
      </c>
      <c r="E190" s="41" t="s">
        <v>22</v>
      </c>
      <c r="F190" t="s">
        <v>22</v>
      </c>
      <c r="G190" t="s">
        <v>22</v>
      </c>
      <c r="H190" t="s">
        <v>22</v>
      </c>
      <c r="I190" t="s">
        <v>22</v>
      </c>
      <c r="J190" s="41" t="s">
        <v>22</v>
      </c>
      <c r="K190" t="s">
        <v>22</v>
      </c>
      <c r="L190" s="41" t="e">
        <f>IF((10^-12)*J190*K190^4=0,"",(10^-12)*J190*K190^4)</f>
        <v>#VALUE!</v>
      </c>
      <c r="M190" t="s">
        <v>23</v>
      </c>
      <c r="N190" s="41" t="s">
        <v>22</v>
      </c>
      <c r="O190" s="41" t="s">
        <v>22</v>
      </c>
      <c r="P190" s="41" t="s">
        <v>22</v>
      </c>
      <c r="R190" s="41" t="s">
        <v>22</v>
      </c>
      <c r="S190" s="41" t="s">
        <v>22</v>
      </c>
      <c r="T190" s="41">
        <v>1.38</v>
      </c>
      <c r="U190" s="41">
        <v>1.38</v>
      </c>
      <c r="V190">
        <v>20200525</v>
      </c>
      <c r="W190" s="16" t="s">
        <v>928</v>
      </c>
      <c r="X190">
        <v>1996</v>
      </c>
      <c r="Y190" t="s">
        <v>902</v>
      </c>
      <c r="Z190" t="s">
        <v>34</v>
      </c>
      <c r="AC190" t="s">
        <v>287</v>
      </c>
      <c r="AD190" s="41" t="s">
        <v>22</v>
      </c>
      <c r="AE190" s="41" t="s">
        <v>22</v>
      </c>
      <c r="AF190" s="41" t="s">
        <v>22</v>
      </c>
      <c r="AG190" s="41" t="s">
        <v>22</v>
      </c>
      <c r="AH190" s="41" t="s">
        <v>22</v>
      </c>
      <c r="AI190" s="41" t="s">
        <v>22</v>
      </c>
      <c r="AJ190" s="41" t="s">
        <v>22</v>
      </c>
      <c r="AK190" s="41" t="s">
        <v>22</v>
      </c>
      <c r="AL190" s="41" t="s">
        <v>22</v>
      </c>
      <c r="AM190" s="43" t="e">
        <f t="shared" si="65"/>
        <v>#VALUE!</v>
      </c>
      <c r="AN190" s="43" t="e">
        <f t="shared" si="66"/>
        <v>#VALUE!</v>
      </c>
      <c r="AO190" s="3" t="s">
        <v>362</v>
      </c>
      <c r="AT190" s="2">
        <f t="shared" si="67"/>
        <v>2</v>
      </c>
      <c r="AU190" s="45">
        <f t="shared" si="68"/>
        <v>0.51851393987788741</v>
      </c>
      <c r="AV190" s="45">
        <f t="shared" si="69"/>
        <v>4.1392685158225077E-2</v>
      </c>
      <c r="AW190" s="45">
        <f t="shared" si="70"/>
        <v>0.47712125471966244</v>
      </c>
      <c r="AX190" s="45" t="e">
        <f t="shared" si="71"/>
        <v>#VALUE!</v>
      </c>
      <c r="AY190" s="45" t="e">
        <f t="shared" si="72"/>
        <v>#VALUE!</v>
      </c>
      <c r="AZ190" s="45" t="e">
        <f t="shared" si="73"/>
        <v>#VALUE!</v>
      </c>
      <c r="BA190" s="45" t="e">
        <f t="shared" si="74"/>
        <v>#VALUE!</v>
      </c>
      <c r="BB190" s="45" t="e">
        <f t="shared" si="75"/>
        <v>#VALUE!</v>
      </c>
      <c r="BC190" s="45">
        <f t="shared" si="76"/>
        <v>0.13987908640123647</v>
      </c>
      <c r="BD190" s="45" t="e">
        <f t="shared" si="77"/>
        <v>#VALUE!</v>
      </c>
      <c r="BE190" s="45" t="e">
        <f t="shared" si="78"/>
        <v>#VALUE!</v>
      </c>
      <c r="BF190" s="45" t="e">
        <f t="shared" si="79"/>
        <v>#VALUE!</v>
      </c>
      <c r="BG190" s="45" t="e">
        <f t="shared" si="80"/>
        <v>#VALUE!</v>
      </c>
      <c r="BH190" s="45" t="e">
        <f t="shared" si="81"/>
        <v>#NUM!</v>
      </c>
      <c r="BI190" s="43" t="e">
        <f t="shared" si="82"/>
        <v>#VALUE!</v>
      </c>
      <c r="CA190" s="41" t="s">
        <v>22</v>
      </c>
      <c r="CC190" t="s">
        <v>22</v>
      </c>
      <c r="CE190" s="41" t="s">
        <v>22</v>
      </c>
      <c r="CF190" s="41" t="s">
        <v>22</v>
      </c>
      <c r="CG190" s="41" t="s">
        <v>22</v>
      </c>
      <c r="CH190" s="41" t="s">
        <v>22</v>
      </c>
      <c r="CI190" s="41">
        <f t="shared" ref="CI190:CI202" si="94">IF(ISNUMBER(CG190),CG190,U190)</f>
        <v>1.38</v>
      </c>
      <c r="CJ190" s="41">
        <f t="shared" si="92"/>
        <v>0.13987908640123647</v>
      </c>
      <c r="CL190" s="9" t="s">
        <v>1269</v>
      </c>
      <c r="CM190" s="18" t="s">
        <v>1285</v>
      </c>
      <c r="CN190" s="54" t="s">
        <v>1284</v>
      </c>
      <c r="CO190" s="18" t="s">
        <v>1284</v>
      </c>
    </row>
    <row r="191" spans="1:93" x14ac:dyDescent="0.25">
      <c r="A191" t="s">
        <v>731</v>
      </c>
      <c r="B191" s="41">
        <v>1</v>
      </c>
      <c r="C191" s="41">
        <v>1.1000000000000001</v>
      </c>
      <c r="D191" s="41">
        <f t="shared" si="93"/>
        <v>0.90909090909090906</v>
      </c>
      <c r="E191" s="41" t="s">
        <v>22</v>
      </c>
      <c r="F191" t="s">
        <v>22</v>
      </c>
      <c r="G191" t="s">
        <v>22</v>
      </c>
      <c r="H191" t="s">
        <v>22</v>
      </c>
      <c r="I191" t="s">
        <v>22</v>
      </c>
      <c r="J191" s="41" t="s">
        <v>22</v>
      </c>
      <c r="K191" t="s">
        <v>22</v>
      </c>
      <c r="L191" s="41" t="e">
        <f>IF((10^-12)*J191*K191^4=0,"",(10^-12)*J191*K191^4)</f>
        <v>#VALUE!</v>
      </c>
      <c r="M191" t="s">
        <v>23</v>
      </c>
      <c r="N191" s="41" t="s">
        <v>22</v>
      </c>
      <c r="O191" s="41" t="s">
        <v>22</v>
      </c>
      <c r="P191" s="41" t="s">
        <v>22</v>
      </c>
      <c r="R191" s="41" t="s">
        <v>22</v>
      </c>
      <c r="S191" s="41" t="s">
        <v>22</v>
      </c>
      <c r="T191" s="41">
        <v>1.38</v>
      </c>
      <c r="U191" s="41">
        <v>1.38</v>
      </c>
      <c r="V191">
        <v>20200525</v>
      </c>
      <c r="W191" s="16" t="s">
        <v>929</v>
      </c>
      <c r="X191" s="18">
        <v>1996</v>
      </c>
      <c r="Y191" s="18" t="s">
        <v>902</v>
      </c>
      <c r="Z191" s="18" t="s">
        <v>34</v>
      </c>
      <c r="AA191" s="18"/>
      <c r="AC191" s="18" t="s">
        <v>287</v>
      </c>
      <c r="AD191" s="41" t="s">
        <v>22</v>
      </c>
      <c r="AE191" s="41" t="s">
        <v>22</v>
      </c>
      <c r="AF191" s="41" t="s">
        <v>22</v>
      </c>
      <c r="AG191" s="41">
        <v>35</v>
      </c>
      <c r="AH191" s="41">
        <v>0.91362253715865904</v>
      </c>
      <c r="AI191" s="41">
        <v>0.91362253715865904</v>
      </c>
      <c r="AJ191" s="41">
        <v>0.91269501094596095</v>
      </c>
      <c r="AK191" s="41">
        <v>0.91673464684871497</v>
      </c>
      <c r="AL191" s="41">
        <v>1.0009471137227699</v>
      </c>
      <c r="AM191" s="43">
        <f t="shared" si="65"/>
        <v>1.0955805849926687</v>
      </c>
      <c r="AN191" s="43">
        <f t="shared" si="66"/>
        <v>1.0966939686515216</v>
      </c>
      <c r="AO191" s="3" t="s">
        <v>362</v>
      </c>
      <c r="AT191" s="2">
        <f t="shared" si="67"/>
        <v>2</v>
      </c>
      <c r="AU191" s="45">
        <f t="shared" si="68"/>
        <v>0</v>
      </c>
      <c r="AV191" s="45">
        <f t="shared" si="69"/>
        <v>4.1392685158225077E-2</v>
      </c>
      <c r="AW191" s="45">
        <f t="shared" si="70"/>
        <v>-4.1392685158225057E-2</v>
      </c>
      <c r="AX191" s="45" t="e">
        <f t="shared" si="71"/>
        <v>#VALUE!</v>
      </c>
      <c r="AY191" s="45" t="e">
        <f t="shared" si="72"/>
        <v>#VALUE!</v>
      </c>
      <c r="AZ191" s="45" t="e">
        <f t="shared" si="73"/>
        <v>#VALUE!</v>
      </c>
      <c r="BA191" s="45" t="e">
        <f t="shared" si="74"/>
        <v>#VALUE!</v>
      </c>
      <c r="BB191" s="45" t="e">
        <f t="shared" si="75"/>
        <v>#VALUE!</v>
      </c>
      <c r="BC191" s="45">
        <f t="shared" si="76"/>
        <v>0.13987908640123647</v>
      </c>
      <c r="BD191" s="45" t="e">
        <f t="shared" si="77"/>
        <v>#VALUE!</v>
      </c>
      <c r="BE191" s="45" t="e">
        <f t="shared" si="78"/>
        <v>#VALUE!</v>
      </c>
      <c r="BF191" s="45">
        <f t="shared" si="79"/>
        <v>3.9644327428892803E-2</v>
      </c>
      <c r="BG191" s="45">
        <f t="shared" si="80"/>
        <v>4.0085455042265787E-2</v>
      </c>
      <c r="BH191" s="45" t="e">
        <f t="shared" si="81"/>
        <v>#NUM!</v>
      </c>
      <c r="BI191" s="43" t="e">
        <f t="shared" si="82"/>
        <v>#VALUE!</v>
      </c>
      <c r="CA191" s="41" t="s">
        <v>22</v>
      </c>
      <c r="CC191" t="s">
        <v>22</v>
      </c>
      <c r="CE191" s="41" t="s">
        <v>22</v>
      </c>
      <c r="CF191" s="41" t="s">
        <v>22</v>
      </c>
      <c r="CG191" s="41" t="s">
        <v>22</v>
      </c>
      <c r="CH191" s="41" t="s">
        <v>22</v>
      </c>
      <c r="CI191" s="41">
        <f t="shared" si="94"/>
        <v>1.38</v>
      </c>
      <c r="CJ191" s="41">
        <f t="shared" si="92"/>
        <v>0.13987908640123647</v>
      </c>
      <c r="CL191" s="9" t="s">
        <v>1269</v>
      </c>
      <c r="CM191" s="18" t="s">
        <v>1285</v>
      </c>
      <c r="CN191" s="54" t="s">
        <v>1284</v>
      </c>
      <c r="CO191" s="18" t="s">
        <v>1284</v>
      </c>
    </row>
    <row r="192" spans="1:93" x14ac:dyDescent="0.25">
      <c r="A192" t="s">
        <v>352</v>
      </c>
      <c r="B192" s="41">
        <v>0.10988780345379559</v>
      </c>
      <c r="C192" s="43">
        <v>2.1</v>
      </c>
      <c r="D192" s="41">
        <f t="shared" si="93"/>
        <v>5.2327525454188367E-2</v>
      </c>
      <c r="E192" s="41" t="s">
        <v>22</v>
      </c>
      <c r="F192" t="s">
        <v>22</v>
      </c>
      <c r="G192" t="s">
        <v>22</v>
      </c>
      <c r="H192" t="s">
        <v>22</v>
      </c>
      <c r="I192" t="s">
        <v>22</v>
      </c>
      <c r="J192" s="41" t="s">
        <v>22</v>
      </c>
      <c r="K192" t="s">
        <v>22</v>
      </c>
      <c r="M192" t="s">
        <v>23</v>
      </c>
      <c r="N192" s="41" t="s">
        <v>22</v>
      </c>
      <c r="O192" s="41" t="s">
        <v>22</v>
      </c>
      <c r="P192" s="41" t="s">
        <v>22</v>
      </c>
      <c r="Q192" s="43"/>
      <c r="R192" s="41" t="s">
        <v>22</v>
      </c>
      <c r="S192" s="41" t="s">
        <v>22</v>
      </c>
      <c r="T192" s="41">
        <v>13.9</v>
      </c>
      <c r="U192" s="41">
        <v>13.9</v>
      </c>
      <c r="V192">
        <v>20200518</v>
      </c>
      <c r="W192" s="9" t="s">
        <v>946</v>
      </c>
      <c r="X192" s="18">
        <v>1996</v>
      </c>
      <c r="Y192" s="18" t="s">
        <v>1133</v>
      </c>
      <c r="Z192" s="18" t="s">
        <v>32</v>
      </c>
      <c r="AA192" s="2" t="s">
        <v>22</v>
      </c>
      <c r="AB192" s="43" t="s">
        <v>22</v>
      </c>
      <c r="AC192" s="2" t="s">
        <v>514</v>
      </c>
      <c r="AD192" s="41" t="s">
        <v>22</v>
      </c>
      <c r="AE192" s="41" t="s">
        <v>22</v>
      </c>
      <c r="AF192" s="41" t="s">
        <v>22</v>
      </c>
      <c r="AG192" s="41" t="s">
        <v>22</v>
      </c>
      <c r="AH192" s="41" t="s">
        <v>22</v>
      </c>
      <c r="AI192" s="41" t="s">
        <v>22</v>
      </c>
      <c r="AJ192" s="41" t="s">
        <v>22</v>
      </c>
      <c r="AK192" s="41" t="s">
        <v>22</v>
      </c>
      <c r="AL192" s="41" t="s">
        <v>22</v>
      </c>
      <c r="AM192" s="43" t="e">
        <f t="shared" si="65"/>
        <v>#VALUE!</v>
      </c>
      <c r="AN192" s="43" t="e">
        <f t="shared" si="66"/>
        <v>#VALUE!</v>
      </c>
      <c r="AO192" s="19" t="s">
        <v>355</v>
      </c>
      <c r="AT192" s="2">
        <f t="shared" si="67"/>
        <v>6</v>
      </c>
      <c r="AU192" s="45">
        <f t="shared" si="68"/>
        <v>-0.95905050763708655</v>
      </c>
      <c r="AV192" s="45">
        <f t="shared" si="69"/>
        <v>0.3222192947339193</v>
      </c>
      <c r="AW192" s="45">
        <f t="shared" si="70"/>
        <v>-1.2812698023710059</v>
      </c>
      <c r="AX192" s="45" t="e">
        <f t="shared" si="71"/>
        <v>#VALUE!</v>
      </c>
      <c r="AY192" s="45" t="e">
        <f t="shared" si="72"/>
        <v>#VALUE!</v>
      </c>
      <c r="AZ192" s="45" t="e">
        <f t="shared" si="73"/>
        <v>#VALUE!</v>
      </c>
      <c r="BA192" s="45" t="e">
        <f t="shared" si="74"/>
        <v>#VALUE!</v>
      </c>
      <c r="BB192" s="45" t="e">
        <f t="shared" si="75"/>
        <v>#NUM!</v>
      </c>
      <c r="BC192" s="45">
        <f t="shared" si="76"/>
        <v>1.1430148002540952</v>
      </c>
      <c r="BD192" s="45" t="e">
        <f t="shared" si="77"/>
        <v>#VALUE!</v>
      </c>
      <c r="BE192" s="45" t="e">
        <f t="shared" si="78"/>
        <v>#VALUE!</v>
      </c>
      <c r="BF192" s="45" t="e">
        <f t="shared" si="79"/>
        <v>#VALUE!</v>
      </c>
      <c r="BG192" s="45" t="e">
        <f t="shared" si="80"/>
        <v>#VALUE!</v>
      </c>
      <c r="BH192" s="45" t="e">
        <f t="shared" si="81"/>
        <v>#VALUE!</v>
      </c>
      <c r="BI192" s="43" t="e">
        <f t="shared" si="82"/>
        <v>#VALUE!</v>
      </c>
      <c r="BJ192" s="2" t="s">
        <v>520</v>
      </c>
      <c r="BK192" s="2" t="s">
        <v>521</v>
      </c>
      <c r="BL192" s="2" t="s">
        <v>871</v>
      </c>
      <c r="BM192" s="41">
        <v>1E-3</v>
      </c>
      <c r="BN192" s="41">
        <v>6593268207.2277374</v>
      </c>
      <c r="BO192" s="43">
        <f t="shared" ref="BO192:BO202" si="95">BN192/(C192*1000000)</f>
        <v>3139.6515272513034</v>
      </c>
      <c r="BP192" s="43" t="s">
        <v>22</v>
      </c>
      <c r="BQ192" s="43" t="s">
        <v>22</v>
      </c>
      <c r="BR192" s="43" t="s">
        <v>22</v>
      </c>
      <c r="BS192" s="2" t="s">
        <v>22</v>
      </c>
      <c r="BT192" s="2" t="s">
        <v>22</v>
      </c>
      <c r="BU192" s="43" t="s">
        <v>22</v>
      </c>
      <c r="BV192" s="43" t="s">
        <v>22</v>
      </c>
      <c r="BW192" s="43" t="s">
        <v>22</v>
      </c>
      <c r="BX192" s="43" t="s">
        <v>22</v>
      </c>
      <c r="BY192" s="43" t="s">
        <v>22</v>
      </c>
      <c r="BZ192" s="41">
        <v>15</v>
      </c>
      <c r="CA192" s="41">
        <v>15</v>
      </c>
      <c r="CB192" s="20" t="s">
        <v>1038</v>
      </c>
      <c r="CC192" t="s">
        <v>1009</v>
      </c>
      <c r="CE192" s="42">
        <f t="shared" ref="CE192:CE202" si="96">LOG10(BN192)</f>
        <v>9.8191007427465564</v>
      </c>
      <c r="CF192" s="41" t="e">
        <f t="shared" ref="CF192:CF202" si="97">LOG10(BV192)</f>
        <v>#VALUE!</v>
      </c>
      <c r="CG192" s="41" t="e">
        <f t="shared" ref="CG192:CG202" si="98">AD192*1000</f>
        <v>#VALUE!</v>
      </c>
      <c r="CH192" s="41" t="e">
        <f t="shared" ref="CH192:CH202" si="99">LOG10(CG192)</f>
        <v>#VALUE!</v>
      </c>
      <c r="CI192" s="41">
        <f t="shared" si="94"/>
        <v>13.9</v>
      </c>
      <c r="CJ192" s="41">
        <f t="shared" si="92"/>
        <v>1.1430148002540952</v>
      </c>
      <c r="CL192" s="9" t="s">
        <v>1269</v>
      </c>
      <c r="CM192" s="18" t="s">
        <v>1285</v>
      </c>
      <c r="CN192" s="54">
        <v>1.1760912590556813</v>
      </c>
      <c r="CO192" s="18" t="s">
        <v>1286</v>
      </c>
    </row>
    <row r="193" spans="1:93" x14ac:dyDescent="0.25">
      <c r="A193" s="18" t="s">
        <v>352</v>
      </c>
      <c r="B193" s="41">
        <v>4.3003978405552229E-2</v>
      </c>
      <c r="C193" s="43">
        <v>2.1</v>
      </c>
      <c r="D193" s="41">
        <f t="shared" si="93"/>
        <v>2.0478084955024869E-2</v>
      </c>
      <c r="E193" s="41" t="s">
        <v>22</v>
      </c>
      <c r="F193" t="s">
        <v>22</v>
      </c>
      <c r="G193" t="s">
        <v>22</v>
      </c>
      <c r="H193" t="s">
        <v>22</v>
      </c>
      <c r="I193" t="s">
        <v>22</v>
      </c>
      <c r="J193" s="41" t="s">
        <v>22</v>
      </c>
      <c r="K193" t="s">
        <v>22</v>
      </c>
      <c r="M193" t="s">
        <v>23</v>
      </c>
      <c r="N193" s="41" t="s">
        <v>22</v>
      </c>
      <c r="O193" s="41" t="s">
        <v>22</v>
      </c>
      <c r="P193" s="41" t="s">
        <v>22</v>
      </c>
      <c r="Q193" s="43"/>
      <c r="R193" s="41" t="s">
        <v>22</v>
      </c>
      <c r="S193" s="41" t="s">
        <v>22</v>
      </c>
      <c r="T193" s="41">
        <v>8.5</v>
      </c>
      <c r="U193" s="41">
        <v>8.5</v>
      </c>
      <c r="V193">
        <v>20200518</v>
      </c>
      <c r="W193" s="9" t="s">
        <v>947</v>
      </c>
      <c r="X193" s="18">
        <v>1996</v>
      </c>
      <c r="Y193" s="18" t="s">
        <v>1133</v>
      </c>
      <c r="Z193" s="18" t="s">
        <v>32</v>
      </c>
      <c r="AA193" s="2" t="s">
        <v>22</v>
      </c>
      <c r="AB193" s="43" t="s">
        <v>22</v>
      </c>
      <c r="AC193" s="2" t="s">
        <v>514</v>
      </c>
      <c r="AD193" s="41" t="s">
        <v>22</v>
      </c>
      <c r="AE193" s="41" t="s">
        <v>22</v>
      </c>
      <c r="AF193" s="41" t="s">
        <v>22</v>
      </c>
      <c r="AG193" s="41" t="s">
        <v>22</v>
      </c>
      <c r="AH193" s="41" t="s">
        <v>22</v>
      </c>
      <c r="AI193" s="41" t="s">
        <v>22</v>
      </c>
      <c r="AJ193" s="41" t="s">
        <v>22</v>
      </c>
      <c r="AK193" s="41" t="s">
        <v>22</v>
      </c>
      <c r="AL193" s="41" t="s">
        <v>22</v>
      </c>
      <c r="AM193" s="43" t="e">
        <f t="shared" si="65"/>
        <v>#VALUE!</v>
      </c>
      <c r="AN193" s="43" t="e">
        <f t="shared" si="66"/>
        <v>#VALUE!</v>
      </c>
      <c r="AO193" s="19" t="s">
        <v>355</v>
      </c>
      <c r="AT193" s="2">
        <f t="shared" si="67"/>
        <v>6</v>
      </c>
      <c r="AU193" s="45">
        <f t="shared" si="68"/>
        <v>-1.3664913648935737</v>
      </c>
      <c r="AV193" s="45">
        <f t="shared" si="69"/>
        <v>0.3222192947339193</v>
      </c>
      <c r="AW193" s="45">
        <f t="shared" si="70"/>
        <v>-1.688710659627493</v>
      </c>
      <c r="AX193" s="45" t="e">
        <f t="shared" si="71"/>
        <v>#VALUE!</v>
      </c>
      <c r="AY193" s="45" t="e">
        <f t="shared" si="72"/>
        <v>#VALUE!</v>
      </c>
      <c r="AZ193" s="45" t="e">
        <f t="shared" si="73"/>
        <v>#VALUE!</v>
      </c>
      <c r="BA193" s="45" t="e">
        <f t="shared" si="74"/>
        <v>#VALUE!</v>
      </c>
      <c r="BB193" s="45" t="e">
        <f t="shared" si="75"/>
        <v>#NUM!</v>
      </c>
      <c r="BC193" s="45">
        <f t="shared" si="76"/>
        <v>0.92941892571429274</v>
      </c>
      <c r="BD193" s="45" t="e">
        <f t="shared" si="77"/>
        <v>#VALUE!</v>
      </c>
      <c r="BE193" s="45" t="e">
        <f t="shared" si="78"/>
        <v>#VALUE!</v>
      </c>
      <c r="BF193" s="45" t="e">
        <f t="shared" si="79"/>
        <v>#VALUE!</v>
      </c>
      <c r="BG193" s="45" t="e">
        <f t="shared" si="80"/>
        <v>#VALUE!</v>
      </c>
      <c r="BH193" s="45" t="e">
        <f t="shared" si="81"/>
        <v>#VALUE!</v>
      </c>
      <c r="BI193" s="43" t="e">
        <f t="shared" si="82"/>
        <v>#VALUE!</v>
      </c>
      <c r="BJ193" s="2" t="s">
        <v>520</v>
      </c>
      <c r="BK193" s="2" t="s">
        <v>521</v>
      </c>
      <c r="BL193" s="2" t="s">
        <v>871</v>
      </c>
      <c r="BM193" s="41">
        <v>1E-3</v>
      </c>
      <c r="BN193" s="41">
        <v>17631631146.276417</v>
      </c>
      <c r="BO193" s="43">
        <f t="shared" si="95"/>
        <v>8396.0148315601982</v>
      </c>
      <c r="BP193" s="43" t="s">
        <v>22</v>
      </c>
      <c r="BQ193" s="43" t="s">
        <v>22</v>
      </c>
      <c r="BR193" s="43" t="s">
        <v>22</v>
      </c>
      <c r="BS193" s="2" t="s">
        <v>22</v>
      </c>
      <c r="BT193" s="2" t="s">
        <v>22</v>
      </c>
      <c r="BU193" s="43" t="s">
        <v>22</v>
      </c>
      <c r="BV193" s="43" t="s">
        <v>22</v>
      </c>
      <c r="BW193" s="43" t="s">
        <v>22</v>
      </c>
      <c r="BX193" s="43" t="s">
        <v>22</v>
      </c>
      <c r="BY193" s="43" t="s">
        <v>22</v>
      </c>
      <c r="BZ193" s="41">
        <v>15</v>
      </c>
      <c r="CA193" s="41">
        <v>15</v>
      </c>
      <c r="CB193" s="20" t="s">
        <v>1038</v>
      </c>
      <c r="CC193" t="s">
        <v>1009</v>
      </c>
      <c r="CE193" s="42">
        <f t="shared" si="96"/>
        <v>10.246292491826162</v>
      </c>
      <c r="CF193" s="41" t="e">
        <f t="shared" si="97"/>
        <v>#VALUE!</v>
      </c>
      <c r="CG193" s="41" t="e">
        <f t="shared" si="98"/>
        <v>#VALUE!</v>
      </c>
      <c r="CH193" s="41" t="e">
        <f t="shared" si="99"/>
        <v>#VALUE!</v>
      </c>
      <c r="CI193" s="41">
        <f t="shared" si="94"/>
        <v>8.5</v>
      </c>
      <c r="CJ193" s="41">
        <f t="shared" si="92"/>
        <v>0.92941892571429274</v>
      </c>
      <c r="CL193" s="9" t="s">
        <v>1269</v>
      </c>
      <c r="CM193" s="18" t="s">
        <v>1285</v>
      </c>
      <c r="CN193" s="54">
        <v>1.1760912590556813</v>
      </c>
      <c r="CO193" s="18" t="s">
        <v>1286</v>
      </c>
    </row>
    <row r="194" spans="1:93" x14ac:dyDescent="0.25">
      <c r="A194" s="18" t="s">
        <v>352</v>
      </c>
      <c r="B194" s="41">
        <v>7.3135093957112278E-3</v>
      </c>
      <c r="C194" s="43">
        <v>2.1</v>
      </c>
      <c r="D194" s="41">
        <f t="shared" si="93"/>
        <v>3.4826235217672507E-3</v>
      </c>
      <c r="E194" s="41" t="s">
        <v>22</v>
      </c>
      <c r="F194" t="s">
        <v>22</v>
      </c>
      <c r="G194" t="s">
        <v>22</v>
      </c>
      <c r="H194" t="s">
        <v>22</v>
      </c>
      <c r="I194" t="s">
        <v>22</v>
      </c>
      <c r="J194" s="41" t="s">
        <v>22</v>
      </c>
      <c r="K194" t="s">
        <v>22</v>
      </c>
      <c r="M194" t="s">
        <v>23</v>
      </c>
      <c r="N194" s="41" t="s">
        <v>22</v>
      </c>
      <c r="O194" s="41" t="s">
        <v>22</v>
      </c>
      <c r="P194" s="41" t="s">
        <v>22</v>
      </c>
      <c r="Q194" s="43"/>
      <c r="R194" s="41" t="s">
        <v>22</v>
      </c>
      <c r="S194" s="41" t="s">
        <v>22</v>
      </c>
      <c r="T194" s="41">
        <v>9.5</v>
      </c>
      <c r="U194" s="41">
        <v>9.5</v>
      </c>
      <c r="V194">
        <v>20200518</v>
      </c>
      <c r="W194" s="9" t="s">
        <v>948</v>
      </c>
      <c r="X194" s="18">
        <v>1996</v>
      </c>
      <c r="Y194" t="s">
        <v>1133</v>
      </c>
      <c r="Z194" s="18" t="s">
        <v>32</v>
      </c>
      <c r="AA194" s="2" t="s">
        <v>22</v>
      </c>
      <c r="AB194" s="43" t="s">
        <v>22</v>
      </c>
      <c r="AC194" s="2" t="s">
        <v>514</v>
      </c>
      <c r="AD194" s="41" t="s">
        <v>22</v>
      </c>
      <c r="AE194" s="41" t="s">
        <v>22</v>
      </c>
      <c r="AF194" s="41" t="s">
        <v>22</v>
      </c>
      <c r="AG194" s="41" t="s">
        <v>22</v>
      </c>
      <c r="AH194" s="41" t="s">
        <v>22</v>
      </c>
      <c r="AI194" s="41" t="s">
        <v>22</v>
      </c>
      <c r="AJ194" s="41" t="s">
        <v>22</v>
      </c>
      <c r="AK194" s="41" t="s">
        <v>22</v>
      </c>
      <c r="AL194" s="41" t="s">
        <v>22</v>
      </c>
      <c r="AM194" s="43" t="e">
        <f t="shared" ref="AM194:AM257" si="100">AL194/AI194</f>
        <v>#VALUE!</v>
      </c>
      <c r="AN194" s="43" t="e">
        <f t="shared" ref="AN194:AN257" si="101">AL194/AJ194</f>
        <v>#VALUE!</v>
      </c>
      <c r="AO194" s="19" t="s">
        <v>355</v>
      </c>
      <c r="AT194" s="2">
        <f t="shared" ref="AT194:AT257" si="102">COUNTIF($AO$2:$AO$1400,AO194)</f>
        <v>6</v>
      </c>
      <c r="AU194" s="45">
        <f t="shared" ref="AU194:AU257" si="103">LOG10(B194)</f>
        <v>-2.1358741763307219</v>
      </c>
      <c r="AV194" s="45">
        <f t="shared" ref="AV194:AV257" si="104">LOG10(C194)</f>
        <v>0.3222192947339193</v>
      </c>
      <c r="AW194" s="45">
        <f t="shared" ref="AW194:AW257" si="105">LOG10(D194)</f>
        <v>-2.4580934710646414</v>
      </c>
      <c r="AX194" s="45" t="e">
        <f t="shared" ref="AX194:AX257" si="106">LOG10(N194)</f>
        <v>#VALUE!</v>
      </c>
      <c r="AY194" s="45" t="e">
        <f t="shared" ref="AY194:AY257" si="107">LOG10(O194)</f>
        <v>#VALUE!</v>
      </c>
      <c r="AZ194" s="45" t="e">
        <f t="shared" ref="AZ194:AZ257" si="108">LOG10(P194)</f>
        <v>#VALUE!</v>
      </c>
      <c r="BA194" s="45" t="e">
        <f t="shared" ref="BA194:BA257" si="109">LOG10(J194)</f>
        <v>#VALUE!</v>
      </c>
      <c r="BB194" s="45" t="e">
        <f t="shared" ref="BB194:BB257" si="110">LOG10(L194)</f>
        <v>#NUM!</v>
      </c>
      <c r="BC194" s="45">
        <f t="shared" ref="BC194:BC257" si="111">LOG10(U194)</f>
        <v>0.97772360528884772</v>
      </c>
      <c r="BD194" s="45" t="e">
        <f t="shared" ref="BD194:BD257" si="112">LOG10(AD194)</f>
        <v>#VALUE!</v>
      </c>
      <c r="BE194" s="45" t="e">
        <f t="shared" ref="BE194:BE257" si="113">LOG10(AF194)</f>
        <v>#VALUE!</v>
      </c>
      <c r="BF194" s="45" t="e">
        <f t="shared" ref="BF194:BF257" si="114">LOG10(AM194)</f>
        <v>#VALUE!</v>
      </c>
      <c r="BG194" s="45" t="e">
        <f t="shared" ref="BG194:BG257" si="115">LOG10(AN194)</f>
        <v>#VALUE!</v>
      </c>
      <c r="BH194" s="45" t="e">
        <f t="shared" ref="BH194:BH257" si="116">LOG10(AB194)</f>
        <v>#VALUE!</v>
      </c>
      <c r="BI194" s="43" t="e">
        <f t="shared" ref="BI194:BI257" si="117">LOG10(AF194)</f>
        <v>#VALUE!</v>
      </c>
      <c r="BJ194" s="2" t="s">
        <v>520</v>
      </c>
      <c r="BK194" s="2" t="s">
        <v>521</v>
      </c>
      <c r="BL194" s="2" t="s">
        <v>871</v>
      </c>
      <c r="BM194" s="41">
        <v>1E-3</v>
      </c>
      <c r="BN194" s="41">
        <v>14115073133.722673</v>
      </c>
      <c r="BO194" s="43">
        <f t="shared" si="95"/>
        <v>6721.4633970107971</v>
      </c>
      <c r="BP194" s="43" t="s">
        <v>22</v>
      </c>
      <c r="BQ194" s="43" t="s">
        <v>22</v>
      </c>
      <c r="BR194" s="43" t="s">
        <v>22</v>
      </c>
      <c r="BS194" s="2" t="s">
        <v>22</v>
      </c>
      <c r="BT194" s="2" t="s">
        <v>22</v>
      </c>
      <c r="BU194" s="43" t="s">
        <v>22</v>
      </c>
      <c r="BV194" s="43" t="s">
        <v>22</v>
      </c>
      <c r="BW194" s="43" t="s">
        <v>22</v>
      </c>
      <c r="BX194" s="43" t="s">
        <v>22</v>
      </c>
      <c r="BY194" s="43" t="s">
        <v>22</v>
      </c>
      <c r="BZ194" s="41">
        <v>15</v>
      </c>
      <c r="CA194" s="41">
        <v>15</v>
      </c>
      <c r="CB194" s="20" t="s">
        <v>1038</v>
      </c>
      <c r="CC194" t="s">
        <v>1009</v>
      </c>
      <c r="CE194" s="42">
        <f t="shared" si="96"/>
        <v>10.149683132677051</v>
      </c>
      <c r="CF194" s="41" t="e">
        <f t="shared" si="97"/>
        <v>#VALUE!</v>
      </c>
      <c r="CG194" s="41" t="e">
        <f t="shared" si="98"/>
        <v>#VALUE!</v>
      </c>
      <c r="CH194" s="41" t="e">
        <f t="shared" si="99"/>
        <v>#VALUE!</v>
      </c>
      <c r="CI194" s="41">
        <f t="shared" si="94"/>
        <v>9.5</v>
      </c>
      <c r="CJ194" s="41">
        <f t="shared" si="92"/>
        <v>0.97772360528884772</v>
      </c>
      <c r="CL194" s="9" t="s">
        <v>1269</v>
      </c>
      <c r="CM194" s="18" t="s">
        <v>1285</v>
      </c>
      <c r="CN194" s="54">
        <v>1.1760912590556813</v>
      </c>
      <c r="CO194" s="18" t="s">
        <v>1286</v>
      </c>
    </row>
    <row r="195" spans="1:93" x14ac:dyDescent="0.25">
      <c r="A195" t="s">
        <v>352</v>
      </c>
      <c r="B195" s="41">
        <v>1.8829305267927452E-2</v>
      </c>
      <c r="C195" s="43">
        <v>2.1</v>
      </c>
      <c r="D195" s="41">
        <f t="shared" si="93"/>
        <v>8.9663358418702131E-3</v>
      </c>
      <c r="E195" s="41" t="s">
        <v>22</v>
      </c>
      <c r="F195" t="s">
        <v>22</v>
      </c>
      <c r="G195" t="s">
        <v>22</v>
      </c>
      <c r="H195" t="s">
        <v>22</v>
      </c>
      <c r="I195" t="s">
        <v>22</v>
      </c>
      <c r="J195" s="41" t="s">
        <v>22</v>
      </c>
      <c r="K195" t="s">
        <v>22</v>
      </c>
      <c r="M195" t="s">
        <v>23</v>
      </c>
      <c r="N195" s="41" t="s">
        <v>22</v>
      </c>
      <c r="O195" s="41" t="s">
        <v>22</v>
      </c>
      <c r="P195" s="41" t="s">
        <v>22</v>
      </c>
      <c r="Q195" s="43"/>
      <c r="R195" s="41" t="s">
        <v>22</v>
      </c>
      <c r="S195" s="41" t="s">
        <v>22</v>
      </c>
      <c r="T195" s="41">
        <v>12.4</v>
      </c>
      <c r="U195" s="41">
        <v>12.4</v>
      </c>
      <c r="V195">
        <v>20200518</v>
      </c>
      <c r="W195" s="9" t="s">
        <v>949</v>
      </c>
      <c r="X195" s="18">
        <v>1996</v>
      </c>
      <c r="Y195" t="s">
        <v>1133</v>
      </c>
      <c r="Z195" t="s">
        <v>32</v>
      </c>
      <c r="AA195" s="2" t="s">
        <v>22</v>
      </c>
      <c r="AB195" s="43" t="s">
        <v>22</v>
      </c>
      <c r="AC195" s="2" t="s">
        <v>514</v>
      </c>
      <c r="AD195" s="41" t="s">
        <v>22</v>
      </c>
      <c r="AE195" s="41" t="s">
        <v>22</v>
      </c>
      <c r="AF195" s="41" t="s">
        <v>22</v>
      </c>
      <c r="AG195" s="41" t="s">
        <v>22</v>
      </c>
      <c r="AH195" s="41" t="s">
        <v>22</v>
      </c>
      <c r="AI195" s="41" t="s">
        <v>22</v>
      </c>
      <c r="AJ195" s="41" t="s">
        <v>22</v>
      </c>
      <c r="AK195" s="41" t="s">
        <v>22</v>
      </c>
      <c r="AL195" s="41" t="s">
        <v>22</v>
      </c>
      <c r="AM195" s="43" t="e">
        <f t="shared" si="100"/>
        <v>#VALUE!</v>
      </c>
      <c r="AN195" s="43" t="e">
        <f t="shared" si="101"/>
        <v>#VALUE!</v>
      </c>
      <c r="AO195" s="19" t="s">
        <v>355</v>
      </c>
      <c r="AT195" s="2">
        <f t="shared" si="102"/>
        <v>6</v>
      </c>
      <c r="AU195" s="45">
        <f t="shared" si="103"/>
        <v>-1.7251657035559103</v>
      </c>
      <c r="AV195" s="45">
        <f t="shared" si="104"/>
        <v>0.3222192947339193</v>
      </c>
      <c r="AW195" s="45">
        <f t="shared" si="105"/>
        <v>-2.0473849982898296</v>
      </c>
      <c r="AX195" s="45" t="e">
        <f t="shared" si="106"/>
        <v>#VALUE!</v>
      </c>
      <c r="AY195" s="45" t="e">
        <f t="shared" si="107"/>
        <v>#VALUE!</v>
      </c>
      <c r="AZ195" s="45" t="e">
        <f t="shared" si="108"/>
        <v>#VALUE!</v>
      </c>
      <c r="BA195" s="45" t="e">
        <f t="shared" si="109"/>
        <v>#VALUE!</v>
      </c>
      <c r="BB195" s="45" t="e">
        <f t="shared" si="110"/>
        <v>#NUM!</v>
      </c>
      <c r="BC195" s="45">
        <f t="shared" si="111"/>
        <v>1.0934216851622351</v>
      </c>
      <c r="BD195" s="45" t="e">
        <f t="shared" si="112"/>
        <v>#VALUE!</v>
      </c>
      <c r="BE195" s="45" t="e">
        <f t="shared" si="113"/>
        <v>#VALUE!</v>
      </c>
      <c r="BF195" s="45" t="e">
        <f t="shared" si="114"/>
        <v>#VALUE!</v>
      </c>
      <c r="BG195" s="45" t="e">
        <f t="shared" si="115"/>
        <v>#VALUE!</v>
      </c>
      <c r="BH195" s="45" t="e">
        <f t="shared" si="116"/>
        <v>#VALUE!</v>
      </c>
      <c r="BI195" s="43" t="e">
        <f t="shared" si="117"/>
        <v>#VALUE!</v>
      </c>
      <c r="BJ195" s="2" t="s">
        <v>520</v>
      </c>
      <c r="BK195" s="2" t="s">
        <v>521</v>
      </c>
      <c r="BL195" s="2" t="s">
        <v>871</v>
      </c>
      <c r="BM195" s="41">
        <v>1E-3</v>
      </c>
      <c r="BN195" s="41">
        <v>8284894317.8880787</v>
      </c>
      <c r="BO195" s="43">
        <f t="shared" si="95"/>
        <v>3945.1877704228946</v>
      </c>
      <c r="BP195" s="43" t="s">
        <v>22</v>
      </c>
      <c r="BQ195" s="43" t="s">
        <v>22</v>
      </c>
      <c r="BR195" s="43" t="s">
        <v>22</v>
      </c>
      <c r="BS195" s="2" t="s">
        <v>22</v>
      </c>
      <c r="BT195" s="2" t="s">
        <v>22</v>
      </c>
      <c r="BU195" s="43" t="s">
        <v>22</v>
      </c>
      <c r="BV195" s="43" t="s">
        <v>22</v>
      </c>
      <c r="BW195" s="43" t="s">
        <v>22</v>
      </c>
      <c r="BX195" s="43" t="s">
        <v>22</v>
      </c>
      <c r="BY195" s="43" t="s">
        <v>22</v>
      </c>
      <c r="BZ195" s="41">
        <v>15</v>
      </c>
      <c r="CA195" s="41">
        <v>15</v>
      </c>
      <c r="CB195" s="20" t="s">
        <v>1038</v>
      </c>
      <c r="CC195" t="s">
        <v>1009</v>
      </c>
      <c r="CE195" s="42">
        <f t="shared" si="96"/>
        <v>9.9182869729302769</v>
      </c>
      <c r="CF195" s="41" t="e">
        <f t="shared" si="97"/>
        <v>#VALUE!</v>
      </c>
      <c r="CG195" s="41" t="e">
        <f t="shared" si="98"/>
        <v>#VALUE!</v>
      </c>
      <c r="CH195" s="41" t="e">
        <f t="shared" si="99"/>
        <v>#VALUE!</v>
      </c>
      <c r="CI195" s="41">
        <f t="shared" si="94"/>
        <v>12.4</v>
      </c>
      <c r="CJ195" s="41">
        <f t="shared" si="92"/>
        <v>1.0934216851622351</v>
      </c>
      <c r="CL195" s="9" t="s">
        <v>1269</v>
      </c>
      <c r="CM195" s="18" t="s">
        <v>1285</v>
      </c>
      <c r="CN195" s="54">
        <v>1.1760912590556813</v>
      </c>
      <c r="CO195" s="18" t="s">
        <v>1286</v>
      </c>
    </row>
    <row r="196" spans="1:93" x14ac:dyDescent="0.25">
      <c r="A196" t="s">
        <v>352</v>
      </c>
      <c r="B196" s="41">
        <v>2.264685067232837E-2</v>
      </c>
      <c r="C196" s="43">
        <v>2.1</v>
      </c>
      <c r="D196" s="41">
        <f t="shared" si="93"/>
        <v>1.0784214605870649E-2</v>
      </c>
      <c r="E196" s="41" t="s">
        <v>22</v>
      </c>
      <c r="F196" t="s">
        <v>22</v>
      </c>
      <c r="G196" t="s">
        <v>22</v>
      </c>
      <c r="H196" t="s">
        <v>22</v>
      </c>
      <c r="I196" t="s">
        <v>22</v>
      </c>
      <c r="J196" s="41" t="s">
        <v>22</v>
      </c>
      <c r="K196" t="s">
        <v>22</v>
      </c>
      <c r="M196" t="s">
        <v>23</v>
      </c>
      <c r="N196" s="41" t="s">
        <v>22</v>
      </c>
      <c r="O196" s="41" t="s">
        <v>22</v>
      </c>
      <c r="P196" s="41" t="s">
        <v>22</v>
      </c>
      <c r="Q196" s="43"/>
      <c r="R196" s="41" t="s">
        <v>22</v>
      </c>
      <c r="S196" s="41" t="s">
        <v>22</v>
      </c>
      <c r="T196" s="41">
        <v>15</v>
      </c>
      <c r="U196" s="41">
        <v>15</v>
      </c>
      <c r="V196">
        <v>20200518</v>
      </c>
      <c r="W196" s="9" t="s">
        <v>950</v>
      </c>
      <c r="X196" s="18">
        <v>1996</v>
      </c>
      <c r="Y196" t="s">
        <v>1133</v>
      </c>
      <c r="Z196" t="s">
        <v>32</v>
      </c>
      <c r="AA196" s="2" t="s">
        <v>22</v>
      </c>
      <c r="AB196" s="43" t="s">
        <v>22</v>
      </c>
      <c r="AC196" s="2" t="s">
        <v>514</v>
      </c>
      <c r="AD196" s="41" t="s">
        <v>22</v>
      </c>
      <c r="AE196" s="41" t="s">
        <v>22</v>
      </c>
      <c r="AF196" s="41" t="s">
        <v>22</v>
      </c>
      <c r="AG196" s="41" t="s">
        <v>22</v>
      </c>
      <c r="AH196" s="41" t="s">
        <v>22</v>
      </c>
      <c r="AI196" s="41" t="s">
        <v>22</v>
      </c>
      <c r="AJ196" s="41" t="s">
        <v>22</v>
      </c>
      <c r="AK196" s="41" t="s">
        <v>22</v>
      </c>
      <c r="AL196" s="41" t="s">
        <v>22</v>
      </c>
      <c r="AM196" s="43" t="e">
        <f t="shared" si="100"/>
        <v>#VALUE!</v>
      </c>
      <c r="AN196" s="43" t="e">
        <f t="shared" si="101"/>
        <v>#VALUE!</v>
      </c>
      <c r="AO196" s="19" t="s">
        <v>355</v>
      </c>
      <c r="AT196" s="2">
        <f t="shared" si="102"/>
        <v>6</v>
      </c>
      <c r="AU196" s="45">
        <f t="shared" si="103"/>
        <v>-1.6449921835286527</v>
      </c>
      <c r="AV196" s="45">
        <f t="shared" si="104"/>
        <v>0.3222192947339193</v>
      </c>
      <c r="AW196" s="45">
        <f t="shared" si="105"/>
        <v>-1.9672114782625723</v>
      </c>
      <c r="AX196" s="45" t="e">
        <f t="shared" si="106"/>
        <v>#VALUE!</v>
      </c>
      <c r="AY196" s="45" t="e">
        <f t="shared" si="107"/>
        <v>#VALUE!</v>
      </c>
      <c r="AZ196" s="45" t="e">
        <f t="shared" si="108"/>
        <v>#VALUE!</v>
      </c>
      <c r="BA196" s="45" t="e">
        <f t="shared" si="109"/>
        <v>#VALUE!</v>
      </c>
      <c r="BB196" s="45" t="e">
        <f t="shared" si="110"/>
        <v>#NUM!</v>
      </c>
      <c r="BC196" s="45">
        <f t="shared" si="111"/>
        <v>1.1760912590556813</v>
      </c>
      <c r="BD196" s="45" t="e">
        <f t="shared" si="112"/>
        <v>#VALUE!</v>
      </c>
      <c r="BE196" s="45" t="e">
        <f t="shared" si="113"/>
        <v>#VALUE!</v>
      </c>
      <c r="BF196" s="45" t="e">
        <f t="shared" si="114"/>
        <v>#VALUE!</v>
      </c>
      <c r="BG196" s="45" t="e">
        <f t="shared" si="115"/>
        <v>#VALUE!</v>
      </c>
      <c r="BH196" s="45" t="e">
        <f t="shared" si="116"/>
        <v>#VALUE!</v>
      </c>
      <c r="BI196" s="43" t="e">
        <f t="shared" si="117"/>
        <v>#VALUE!</v>
      </c>
      <c r="BJ196" s="2" t="s">
        <v>520</v>
      </c>
      <c r="BK196" s="2" t="s">
        <v>521</v>
      </c>
      <c r="BL196" s="2" t="s">
        <v>871</v>
      </c>
      <c r="BM196" s="41">
        <v>1E-3</v>
      </c>
      <c r="BN196" s="41">
        <v>5661712668.0820942</v>
      </c>
      <c r="BO196" s="43">
        <f t="shared" si="95"/>
        <v>2696.0536514676637</v>
      </c>
      <c r="BP196" s="43" t="s">
        <v>22</v>
      </c>
      <c r="BQ196" s="43" t="s">
        <v>22</v>
      </c>
      <c r="BR196" s="43" t="s">
        <v>22</v>
      </c>
      <c r="BS196" s="2" t="s">
        <v>22</v>
      </c>
      <c r="BT196" s="2" t="s">
        <v>22</v>
      </c>
      <c r="BU196" s="43" t="s">
        <v>22</v>
      </c>
      <c r="BV196" s="43" t="s">
        <v>22</v>
      </c>
      <c r="BW196" s="43" t="s">
        <v>22</v>
      </c>
      <c r="BX196" s="43" t="s">
        <v>22</v>
      </c>
      <c r="BY196" s="43" t="s">
        <v>22</v>
      </c>
      <c r="BZ196" s="41">
        <v>15</v>
      </c>
      <c r="CA196" s="41">
        <v>15</v>
      </c>
      <c r="CB196" s="20" t="s">
        <v>1038</v>
      </c>
      <c r="CC196" t="s">
        <v>1009</v>
      </c>
      <c r="CE196" s="42">
        <f t="shared" si="96"/>
        <v>9.7529478251433854</v>
      </c>
      <c r="CF196" s="41" t="e">
        <f t="shared" si="97"/>
        <v>#VALUE!</v>
      </c>
      <c r="CG196" s="41" t="e">
        <f t="shared" si="98"/>
        <v>#VALUE!</v>
      </c>
      <c r="CH196" s="41" t="e">
        <f t="shared" si="99"/>
        <v>#VALUE!</v>
      </c>
      <c r="CI196" s="41">
        <f t="shared" si="94"/>
        <v>15</v>
      </c>
      <c r="CJ196" s="41">
        <f t="shared" si="92"/>
        <v>1.1760912590556813</v>
      </c>
      <c r="CL196" s="9" t="s">
        <v>1269</v>
      </c>
      <c r="CM196" s="18" t="s">
        <v>1285</v>
      </c>
      <c r="CN196" s="54">
        <v>1.1760912590556813</v>
      </c>
      <c r="CO196" s="18" t="s">
        <v>1286</v>
      </c>
    </row>
    <row r="197" spans="1:93" x14ac:dyDescent="0.25">
      <c r="A197" t="s">
        <v>352</v>
      </c>
      <c r="B197" s="41">
        <v>1.6918591544172537E-2</v>
      </c>
      <c r="C197" s="43">
        <v>2.1</v>
      </c>
      <c r="D197" s="41">
        <f t="shared" si="93"/>
        <v>8.0564721638916835E-3</v>
      </c>
      <c r="E197" s="41" t="s">
        <v>22</v>
      </c>
      <c r="F197" t="s">
        <v>22</v>
      </c>
      <c r="G197" t="s">
        <v>22</v>
      </c>
      <c r="H197" t="s">
        <v>22</v>
      </c>
      <c r="I197" t="s">
        <v>22</v>
      </c>
      <c r="J197" s="41" t="s">
        <v>22</v>
      </c>
      <c r="K197" t="s">
        <v>22</v>
      </c>
      <c r="M197" t="s">
        <v>23</v>
      </c>
      <c r="N197" s="41" t="s">
        <v>22</v>
      </c>
      <c r="O197" s="41" t="s">
        <v>22</v>
      </c>
      <c r="P197" s="41" t="s">
        <v>22</v>
      </c>
      <c r="Q197" s="43"/>
      <c r="R197" s="41" t="s">
        <v>22</v>
      </c>
      <c r="S197" s="41" t="s">
        <v>22</v>
      </c>
      <c r="T197" s="41">
        <v>18.5</v>
      </c>
      <c r="U197" s="41">
        <v>18.5</v>
      </c>
      <c r="V197">
        <v>20200518</v>
      </c>
      <c r="W197" s="9" t="s">
        <v>951</v>
      </c>
      <c r="X197" s="18">
        <v>1996</v>
      </c>
      <c r="Y197" t="s">
        <v>1133</v>
      </c>
      <c r="Z197" t="s">
        <v>32</v>
      </c>
      <c r="AA197" s="2" t="s">
        <v>22</v>
      </c>
      <c r="AB197" s="43" t="s">
        <v>22</v>
      </c>
      <c r="AC197" s="2" t="s">
        <v>514</v>
      </c>
      <c r="AD197" s="41" t="s">
        <v>22</v>
      </c>
      <c r="AE197" s="41" t="s">
        <v>22</v>
      </c>
      <c r="AF197" s="41" t="s">
        <v>22</v>
      </c>
      <c r="AG197" s="41" t="s">
        <v>22</v>
      </c>
      <c r="AH197" s="41" t="s">
        <v>22</v>
      </c>
      <c r="AI197" s="41" t="s">
        <v>22</v>
      </c>
      <c r="AJ197" s="41" t="s">
        <v>22</v>
      </c>
      <c r="AK197" s="41" t="s">
        <v>22</v>
      </c>
      <c r="AL197" s="41" t="s">
        <v>22</v>
      </c>
      <c r="AM197" s="43" t="e">
        <f t="shared" si="100"/>
        <v>#VALUE!</v>
      </c>
      <c r="AN197" s="43" t="e">
        <f t="shared" si="101"/>
        <v>#VALUE!</v>
      </c>
      <c r="AO197" s="3" t="s">
        <v>355</v>
      </c>
      <c r="AT197" s="2">
        <f t="shared" si="102"/>
        <v>6</v>
      </c>
      <c r="AU197" s="45">
        <f t="shared" si="103"/>
        <v>-1.7716357943734864</v>
      </c>
      <c r="AV197" s="45">
        <f t="shared" si="104"/>
        <v>0.3222192947339193</v>
      </c>
      <c r="AW197" s="45">
        <f t="shared" si="105"/>
        <v>-2.0938550891074059</v>
      </c>
      <c r="AX197" s="45" t="e">
        <f t="shared" si="106"/>
        <v>#VALUE!</v>
      </c>
      <c r="AY197" s="45" t="e">
        <f t="shared" si="107"/>
        <v>#VALUE!</v>
      </c>
      <c r="AZ197" s="45" t="e">
        <f t="shared" si="108"/>
        <v>#VALUE!</v>
      </c>
      <c r="BA197" s="45" t="e">
        <f t="shared" si="109"/>
        <v>#VALUE!</v>
      </c>
      <c r="BB197" s="45" t="e">
        <f t="shared" si="110"/>
        <v>#NUM!</v>
      </c>
      <c r="BC197" s="45">
        <f t="shared" si="111"/>
        <v>1.2671717284030137</v>
      </c>
      <c r="BD197" s="45" t="e">
        <f t="shared" si="112"/>
        <v>#VALUE!</v>
      </c>
      <c r="BE197" s="45" t="e">
        <f t="shared" si="113"/>
        <v>#VALUE!</v>
      </c>
      <c r="BF197" s="45" t="e">
        <f t="shared" si="114"/>
        <v>#VALUE!</v>
      </c>
      <c r="BG197" s="45" t="e">
        <f t="shared" si="115"/>
        <v>#VALUE!</v>
      </c>
      <c r="BH197" s="45" t="e">
        <f t="shared" si="116"/>
        <v>#VALUE!</v>
      </c>
      <c r="BI197" s="43" t="e">
        <f t="shared" si="117"/>
        <v>#VALUE!</v>
      </c>
      <c r="BJ197" s="2" t="s">
        <v>520</v>
      </c>
      <c r="BK197" s="2" t="s">
        <v>521</v>
      </c>
      <c r="BL197" s="2" t="s">
        <v>871</v>
      </c>
      <c r="BM197" s="41">
        <v>1E-3</v>
      </c>
      <c r="BN197" s="41">
        <v>3722090139.717958</v>
      </c>
      <c r="BO197" s="43">
        <f t="shared" si="95"/>
        <v>1772.4238760561705</v>
      </c>
      <c r="BP197" s="43" t="s">
        <v>22</v>
      </c>
      <c r="BQ197" s="43" t="s">
        <v>22</v>
      </c>
      <c r="BR197" s="43" t="s">
        <v>22</v>
      </c>
      <c r="BS197" s="2" t="s">
        <v>22</v>
      </c>
      <c r="BT197" s="2" t="s">
        <v>22</v>
      </c>
      <c r="BU197" s="43" t="s">
        <v>22</v>
      </c>
      <c r="BV197" s="43" t="s">
        <v>22</v>
      </c>
      <c r="BW197" s="43" t="s">
        <v>22</v>
      </c>
      <c r="BX197" s="43" t="s">
        <v>22</v>
      </c>
      <c r="BY197" s="43" t="s">
        <v>22</v>
      </c>
      <c r="BZ197" s="41">
        <v>15</v>
      </c>
      <c r="CA197" s="41">
        <v>15</v>
      </c>
      <c r="CB197" s="20" t="s">
        <v>1038</v>
      </c>
      <c r="CC197" t="s">
        <v>1009</v>
      </c>
      <c r="CE197" s="42">
        <f t="shared" si="96"/>
        <v>9.5707868864487207</v>
      </c>
      <c r="CF197" s="41" t="e">
        <f t="shared" si="97"/>
        <v>#VALUE!</v>
      </c>
      <c r="CG197" s="41" t="e">
        <f t="shared" si="98"/>
        <v>#VALUE!</v>
      </c>
      <c r="CH197" s="41" t="e">
        <f t="shared" si="99"/>
        <v>#VALUE!</v>
      </c>
      <c r="CI197" s="41">
        <f t="shared" si="94"/>
        <v>18.5</v>
      </c>
      <c r="CJ197" s="41">
        <f t="shared" si="92"/>
        <v>1.2671717284030137</v>
      </c>
      <c r="CL197" s="9" t="s">
        <v>1269</v>
      </c>
      <c r="CM197" s="18" t="s">
        <v>1285</v>
      </c>
      <c r="CN197" s="54">
        <v>1.1760912590556813</v>
      </c>
      <c r="CO197" s="18" t="s">
        <v>1286</v>
      </c>
    </row>
    <row r="198" spans="1:93" x14ac:dyDescent="0.25">
      <c r="A198" t="s">
        <v>352</v>
      </c>
      <c r="B198" s="41">
        <v>1.18</v>
      </c>
      <c r="C198" s="41" t="s">
        <v>22</v>
      </c>
      <c r="D198" s="41" t="s">
        <v>22</v>
      </c>
      <c r="E198" s="41" t="s">
        <v>22</v>
      </c>
      <c r="F198" t="s">
        <v>22</v>
      </c>
      <c r="G198" t="s">
        <v>22</v>
      </c>
      <c r="H198" t="s">
        <v>22</v>
      </c>
      <c r="I198" t="s">
        <v>22</v>
      </c>
      <c r="J198" s="41" t="s">
        <v>22</v>
      </c>
      <c r="K198" t="s">
        <v>22</v>
      </c>
      <c r="L198" s="41" t="s">
        <v>22</v>
      </c>
      <c r="M198" t="s">
        <v>23</v>
      </c>
      <c r="N198" s="41" t="s">
        <v>22</v>
      </c>
      <c r="O198" s="41" t="s">
        <v>22</v>
      </c>
      <c r="P198" s="41" t="s">
        <v>22</v>
      </c>
      <c r="R198" s="41" t="s">
        <v>22</v>
      </c>
      <c r="S198" s="41" t="s">
        <v>22</v>
      </c>
      <c r="T198" s="41">
        <v>6</v>
      </c>
      <c r="U198" s="41">
        <v>6</v>
      </c>
      <c r="V198">
        <v>20200512</v>
      </c>
      <c r="W198" s="16" t="s">
        <v>900</v>
      </c>
      <c r="X198" s="18">
        <v>1996</v>
      </c>
      <c r="Y198" t="s">
        <v>527</v>
      </c>
      <c r="Z198" t="s">
        <v>34</v>
      </c>
      <c r="AC198" s="18" t="s">
        <v>514</v>
      </c>
      <c r="AD198" s="41" t="s">
        <v>22</v>
      </c>
      <c r="AE198" s="41" t="s">
        <v>22</v>
      </c>
      <c r="AF198" s="41" t="s">
        <v>22</v>
      </c>
      <c r="AG198" s="41" t="s">
        <v>22</v>
      </c>
      <c r="AH198" s="41">
        <v>90.635727908455095</v>
      </c>
      <c r="AI198" s="41" t="s">
        <v>22</v>
      </c>
      <c r="AJ198" s="41">
        <v>90.635727908455095</v>
      </c>
      <c r="AK198" s="41">
        <v>88.082826264644396</v>
      </c>
      <c r="AL198" s="41">
        <v>82.597402597402606</v>
      </c>
      <c r="AM198" s="43" t="e">
        <f t="shared" si="100"/>
        <v>#VALUE!</v>
      </c>
      <c r="AN198" s="43">
        <f t="shared" si="101"/>
        <v>0.91131173659054798</v>
      </c>
      <c r="AO198" s="3" t="s">
        <v>899</v>
      </c>
      <c r="AT198" s="2">
        <f t="shared" si="102"/>
        <v>4</v>
      </c>
      <c r="AU198" s="45">
        <f t="shared" si="103"/>
        <v>7.1882007306125359E-2</v>
      </c>
      <c r="AV198" s="45" t="e">
        <f t="shared" si="104"/>
        <v>#VALUE!</v>
      </c>
      <c r="AW198" s="45" t="e">
        <f t="shared" si="105"/>
        <v>#VALUE!</v>
      </c>
      <c r="AX198" s="45" t="e">
        <f t="shared" si="106"/>
        <v>#VALUE!</v>
      </c>
      <c r="AY198" s="45" t="e">
        <f t="shared" si="107"/>
        <v>#VALUE!</v>
      </c>
      <c r="AZ198" s="45" t="e">
        <f t="shared" si="108"/>
        <v>#VALUE!</v>
      </c>
      <c r="BA198" s="45" t="e">
        <f t="shared" si="109"/>
        <v>#VALUE!</v>
      </c>
      <c r="BB198" s="45" t="e">
        <f t="shared" si="110"/>
        <v>#VALUE!</v>
      </c>
      <c r="BC198" s="45">
        <f t="shared" si="111"/>
        <v>0.77815125038364363</v>
      </c>
      <c r="BD198" s="45" t="e">
        <f t="shared" si="112"/>
        <v>#VALUE!</v>
      </c>
      <c r="BE198" s="45" t="e">
        <f t="shared" si="113"/>
        <v>#VALUE!</v>
      </c>
      <c r="BF198" s="45" t="e">
        <f t="shared" si="114"/>
        <v>#VALUE!</v>
      </c>
      <c r="BG198" s="45">
        <f t="shared" si="115"/>
        <v>-4.0333036503977703E-2</v>
      </c>
      <c r="BH198" s="45" t="e">
        <f t="shared" si="116"/>
        <v>#NUM!</v>
      </c>
      <c r="BI198" s="43" t="e">
        <f t="shared" si="117"/>
        <v>#VALUE!</v>
      </c>
      <c r="BJ198" s="2" t="s">
        <v>520</v>
      </c>
      <c r="BK198" s="2" t="s">
        <v>521</v>
      </c>
      <c r="BL198" s="2" t="s">
        <v>871</v>
      </c>
      <c r="BM198" s="43" t="s">
        <v>22</v>
      </c>
      <c r="BN198" s="43" t="s">
        <v>22</v>
      </c>
      <c r="BO198" s="43" t="e">
        <f t="shared" si="95"/>
        <v>#VALUE!</v>
      </c>
      <c r="BP198" s="43" t="s">
        <v>22</v>
      </c>
      <c r="BQ198" s="43" t="s">
        <v>22</v>
      </c>
      <c r="BR198" s="43" t="s">
        <v>22</v>
      </c>
      <c r="BS198" s="2" t="s">
        <v>22</v>
      </c>
      <c r="BT198" s="2" t="s">
        <v>22</v>
      </c>
      <c r="BU198" s="43" t="s">
        <v>22</v>
      </c>
      <c r="BV198" s="43" t="s">
        <v>22</v>
      </c>
      <c r="BW198" s="43" t="s">
        <v>22</v>
      </c>
      <c r="BX198" s="43" t="s">
        <v>22</v>
      </c>
      <c r="BY198" s="43" t="s">
        <v>22</v>
      </c>
      <c r="BZ198" s="43" t="s">
        <v>984</v>
      </c>
      <c r="CA198" s="43" t="s">
        <v>984</v>
      </c>
      <c r="CB198" s="20"/>
      <c r="CC198" t="s">
        <v>1009</v>
      </c>
      <c r="CE198" s="41" t="e">
        <f t="shared" si="96"/>
        <v>#VALUE!</v>
      </c>
      <c r="CF198" s="41" t="e">
        <f t="shared" si="97"/>
        <v>#VALUE!</v>
      </c>
      <c r="CG198" s="41" t="e">
        <f t="shared" si="98"/>
        <v>#VALUE!</v>
      </c>
      <c r="CH198" s="41" t="e">
        <f t="shared" si="99"/>
        <v>#VALUE!</v>
      </c>
      <c r="CI198" s="41">
        <f t="shared" si="94"/>
        <v>6</v>
      </c>
      <c r="CJ198" s="41">
        <f t="shared" si="92"/>
        <v>0.77815125038364363</v>
      </c>
      <c r="CL198" s="9" t="s">
        <v>1269</v>
      </c>
      <c r="CM198" s="18" t="s">
        <v>1285</v>
      </c>
      <c r="CN198" s="54" t="s">
        <v>1284</v>
      </c>
      <c r="CO198" s="18" t="s">
        <v>1284</v>
      </c>
    </row>
    <row r="199" spans="1:93" x14ac:dyDescent="0.25">
      <c r="A199" t="s">
        <v>352</v>
      </c>
      <c r="B199" s="41">
        <v>19.2</v>
      </c>
      <c r="C199" s="41">
        <v>2.1</v>
      </c>
      <c r="D199" s="43">
        <f>0.001*(B199*10^6)/(C199*0.001*100^3)</f>
        <v>9.1428571428571406</v>
      </c>
      <c r="E199" s="41" t="s">
        <v>22</v>
      </c>
      <c r="F199" t="s">
        <v>22</v>
      </c>
      <c r="G199" t="s">
        <v>22</v>
      </c>
      <c r="H199" t="s">
        <v>22</v>
      </c>
      <c r="I199" t="s">
        <v>22</v>
      </c>
      <c r="J199" s="41" t="s">
        <v>22</v>
      </c>
      <c r="K199" t="s">
        <v>22</v>
      </c>
      <c r="L199" s="41" t="s">
        <v>22</v>
      </c>
      <c r="M199" t="s">
        <v>23</v>
      </c>
      <c r="N199" s="41" t="s">
        <v>22</v>
      </c>
      <c r="O199" s="41" t="s">
        <v>22</v>
      </c>
      <c r="P199" s="41" t="s">
        <v>22</v>
      </c>
      <c r="R199" s="41" t="s">
        <v>22</v>
      </c>
      <c r="S199" s="41" t="s">
        <v>22</v>
      </c>
      <c r="T199" s="41">
        <v>18.2</v>
      </c>
      <c r="U199" s="41">
        <v>18.2</v>
      </c>
      <c r="V199">
        <v>20200512</v>
      </c>
      <c r="W199" s="16" t="s">
        <v>918</v>
      </c>
      <c r="X199" s="18">
        <v>1996</v>
      </c>
      <c r="Y199" t="s">
        <v>527</v>
      </c>
      <c r="Z199" t="s">
        <v>34</v>
      </c>
      <c r="AC199" s="18" t="s">
        <v>514</v>
      </c>
      <c r="AD199" s="41" t="s">
        <v>22</v>
      </c>
      <c r="AE199" s="41" t="s">
        <v>22</v>
      </c>
      <c r="AF199" s="41" t="s">
        <v>22</v>
      </c>
      <c r="AG199" s="41" t="s">
        <v>22</v>
      </c>
      <c r="AH199" s="41" t="s">
        <v>22</v>
      </c>
      <c r="AI199" s="41" t="s">
        <v>22</v>
      </c>
      <c r="AJ199" s="41" t="s">
        <v>22</v>
      </c>
      <c r="AK199" s="41" t="s">
        <v>22</v>
      </c>
      <c r="AL199" s="41" t="s">
        <v>22</v>
      </c>
      <c r="AM199" s="43" t="e">
        <f t="shared" si="100"/>
        <v>#VALUE!</v>
      </c>
      <c r="AN199" s="43" t="e">
        <f t="shared" si="101"/>
        <v>#VALUE!</v>
      </c>
      <c r="AO199" s="3" t="s">
        <v>899</v>
      </c>
      <c r="AT199" s="2">
        <f t="shared" si="102"/>
        <v>4</v>
      </c>
      <c r="AU199" s="45">
        <f t="shared" si="103"/>
        <v>1.2833012287035497</v>
      </c>
      <c r="AV199" s="45">
        <f t="shared" si="104"/>
        <v>0.3222192947339193</v>
      </c>
      <c r="AW199" s="45">
        <f t="shared" si="105"/>
        <v>0.96108193396963026</v>
      </c>
      <c r="AX199" s="45" t="e">
        <f t="shared" si="106"/>
        <v>#VALUE!</v>
      </c>
      <c r="AY199" s="45" t="e">
        <f t="shared" si="107"/>
        <v>#VALUE!</v>
      </c>
      <c r="AZ199" s="45" t="e">
        <f t="shared" si="108"/>
        <v>#VALUE!</v>
      </c>
      <c r="BA199" s="45" t="e">
        <f t="shared" si="109"/>
        <v>#VALUE!</v>
      </c>
      <c r="BB199" s="45" t="e">
        <f t="shared" si="110"/>
        <v>#VALUE!</v>
      </c>
      <c r="BC199" s="45">
        <f t="shared" si="111"/>
        <v>1.2600713879850747</v>
      </c>
      <c r="BD199" s="45" t="e">
        <f t="shared" si="112"/>
        <v>#VALUE!</v>
      </c>
      <c r="BE199" s="45" t="e">
        <f t="shared" si="113"/>
        <v>#VALUE!</v>
      </c>
      <c r="BF199" s="45" t="e">
        <f t="shared" si="114"/>
        <v>#VALUE!</v>
      </c>
      <c r="BG199" s="45" t="e">
        <f t="shared" si="115"/>
        <v>#VALUE!</v>
      </c>
      <c r="BH199" s="45" t="e">
        <f t="shared" si="116"/>
        <v>#NUM!</v>
      </c>
      <c r="BI199" s="43" t="e">
        <f t="shared" si="117"/>
        <v>#VALUE!</v>
      </c>
      <c r="BJ199" s="2" t="s">
        <v>520</v>
      </c>
      <c r="BK199" s="2" t="s">
        <v>521</v>
      </c>
      <c r="BL199" s="2" t="s">
        <v>871</v>
      </c>
      <c r="BM199" s="43" t="s">
        <v>22</v>
      </c>
      <c r="BN199" s="43" t="s">
        <v>22</v>
      </c>
      <c r="BO199" s="43" t="e">
        <f t="shared" si="95"/>
        <v>#VALUE!</v>
      </c>
      <c r="BP199" s="43" t="s">
        <v>22</v>
      </c>
      <c r="BQ199" s="43" t="s">
        <v>22</v>
      </c>
      <c r="BR199" s="43" t="s">
        <v>22</v>
      </c>
      <c r="BS199" s="2" t="s">
        <v>22</v>
      </c>
      <c r="BT199" s="2" t="s">
        <v>22</v>
      </c>
      <c r="BU199" s="43" t="s">
        <v>22</v>
      </c>
      <c r="BV199" s="43" t="s">
        <v>22</v>
      </c>
      <c r="BW199" s="43" t="s">
        <v>22</v>
      </c>
      <c r="BX199" s="43" t="s">
        <v>22</v>
      </c>
      <c r="BY199" s="43" t="s">
        <v>22</v>
      </c>
      <c r="BZ199" s="43" t="s">
        <v>984</v>
      </c>
      <c r="CA199" s="43" t="s">
        <v>984</v>
      </c>
      <c r="CB199" s="20"/>
      <c r="CC199" t="s">
        <v>1009</v>
      </c>
      <c r="CE199" s="41" t="e">
        <f t="shared" si="96"/>
        <v>#VALUE!</v>
      </c>
      <c r="CF199" s="41" t="e">
        <f t="shared" si="97"/>
        <v>#VALUE!</v>
      </c>
      <c r="CG199" s="41" t="e">
        <f t="shared" si="98"/>
        <v>#VALUE!</v>
      </c>
      <c r="CH199" s="41" t="e">
        <f t="shared" si="99"/>
        <v>#VALUE!</v>
      </c>
      <c r="CI199" s="41">
        <f t="shared" si="94"/>
        <v>18.2</v>
      </c>
      <c r="CJ199" s="41">
        <f t="shared" si="92"/>
        <v>1.2600713879850747</v>
      </c>
      <c r="CL199" s="9" t="s">
        <v>1269</v>
      </c>
      <c r="CM199" s="18" t="s">
        <v>1285</v>
      </c>
      <c r="CN199" s="54" t="s">
        <v>1284</v>
      </c>
      <c r="CO199" s="18" t="s">
        <v>1284</v>
      </c>
    </row>
    <row r="200" spans="1:93" x14ac:dyDescent="0.25">
      <c r="A200" t="s">
        <v>352</v>
      </c>
      <c r="B200" s="41">
        <v>9.9519999999999997E-2</v>
      </c>
      <c r="C200" s="41">
        <v>2.1</v>
      </c>
      <c r="D200" s="43">
        <f>0.001*(B200*10^6)/(C200*0.001*100^3)</f>
        <v>4.7390476190476177E-2</v>
      </c>
      <c r="E200" s="41" t="s">
        <v>22</v>
      </c>
      <c r="F200" t="s">
        <v>22</v>
      </c>
      <c r="G200" t="s">
        <v>22</v>
      </c>
      <c r="H200" t="s">
        <v>22</v>
      </c>
      <c r="I200" t="s">
        <v>22</v>
      </c>
      <c r="J200" s="41" t="s">
        <v>22</v>
      </c>
      <c r="K200" t="s">
        <v>22</v>
      </c>
      <c r="L200" s="41" t="s">
        <v>22</v>
      </c>
      <c r="M200" t="s">
        <v>23</v>
      </c>
      <c r="N200" s="41" t="s">
        <v>22</v>
      </c>
      <c r="O200" s="41" t="s">
        <v>22</v>
      </c>
      <c r="P200" s="41" t="s">
        <v>22</v>
      </c>
      <c r="R200" s="41" t="s">
        <v>22</v>
      </c>
      <c r="S200" s="41" t="s">
        <v>22</v>
      </c>
      <c r="T200" s="41">
        <v>12.2</v>
      </c>
      <c r="U200" s="41">
        <v>12.2</v>
      </c>
      <c r="V200">
        <v>20200512</v>
      </c>
      <c r="W200" s="21" t="s">
        <v>919</v>
      </c>
      <c r="X200" s="18">
        <v>1996</v>
      </c>
      <c r="Y200" t="s">
        <v>527</v>
      </c>
      <c r="Z200" t="s">
        <v>34</v>
      </c>
      <c r="AA200" s="18"/>
      <c r="AC200" s="18" t="s">
        <v>514</v>
      </c>
      <c r="AD200" s="41" t="s">
        <v>22</v>
      </c>
      <c r="AE200" s="41" t="s">
        <v>22</v>
      </c>
      <c r="AF200" s="41" t="s">
        <v>22</v>
      </c>
      <c r="AG200" s="41" t="s">
        <v>22</v>
      </c>
      <c r="AH200" s="41" t="s">
        <v>22</v>
      </c>
      <c r="AI200" s="41" t="s">
        <v>22</v>
      </c>
      <c r="AJ200" s="41" t="s">
        <v>22</v>
      </c>
      <c r="AK200" s="41" t="s">
        <v>22</v>
      </c>
      <c r="AL200" s="41" t="s">
        <v>22</v>
      </c>
      <c r="AM200" s="43" t="e">
        <f t="shared" si="100"/>
        <v>#VALUE!</v>
      </c>
      <c r="AN200" s="43" t="e">
        <f t="shared" si="101"/>
        <v>#VALUE!</v>
      </c>
      <c r="AO200" s="19" t="s">
        <v>899</v>
      </c>
      <c r="AT200" s="2">
        <f t="shared" si="102"/>
        <v>4</v>
      </c>
      <c r="AU200" s="45">
        <f t="shared" si="103"/>
        <v>-1.0020896326532565</v>
      </c>
      <c r="AV200" s="45">
        <f t="shared" si="104"/>
        <v>0.3222192947339193</v>
      </c>
      <c r="AW200" s="45">
        <f t="shared" si="105"/>
        <v>-1.324308927387176</v>
      </c>
      <c r="AX200" s="45" t="e">
        <f t="shared" si="106"/>
        <v>#VALUE!</v>
      </c>
      <c r="AY200" s="45" t="e">
        <f t="shared" si="107"/>
        <v>#VALUE!</v>
      </c>
      <c r="AZ200" s="45" t="e">
        <f t="shared" si="108"/>
        <v>#VALUE!</v>
      </c>
      <c r="BA200" s="45" t="e">
        <f t="shared" si="109"/>
        <v>#VALUE!</v>
      </c>
      <c r="BB200" s="45" t="e">
        <f t="shared" si="110"/>
        <v>#VALUE!</v>
      </c>
      <c r="BC200" s="45">
        <f t="shared" si="111"/>
        <v>1.0863598306747482</v>
      </c>
      <c r="BD200" s="45" t="e">
        <f t="shared" si="112"/>
        <v>#VALUE!</v>
      </c>
      <c r="BE200" s="45" t="e">
        <f t="shared" si="113"/>
        <v>#VALUE!</v>
      </c>
      <c r="BF200" s="45" t="e">
        <f t="shared" si="114"/>
        <v>#VALUE!</v>
      </c>
      <c r="BG200" s="45" t="e">
        <f t="shared" si="115"/>
        <v>#VALUE!</v>
      </c>
      <c r="BH200" s="45" t="e">
        <f t="shared" si="116"/>
        <v>#NUM!</v>
      </c>
      <c r="BI200" s="43" t="e">
        <f t="shared" si="117"/>
        <v>#VALUE!</v>
      </c>
      <c r="BJ200" s="2" t="s">
        <v>520</v>
      </c>
      <c r="BK200" s="2" t="s">
        <v>521</v>
      </c>
      <c r="BL200" s="2" t="s">
        <v>871</v>
      </c>
      <c r="BM200" s="43" t="s">
        <v>22</v>
      </c>
      <c r="BN200" s="43" t="s">
        <v>22</v>
      </c>
      <c r="BO200" s="43" t="e">
        <f t="shared" si="95"/>
        <v>#VALUE!</v>
      </c>
      <c r="BP200" s="43" t="s">
        <v>22</v>
      </c>
      <c r="BQ200" s="43" t="s">
        <v>22</v>
      </c>
      <c r="BR200" s="43" t="s">
        <v>22</v>
      </c>
      <c r="BS200" s="2" t="s">
        <v>22</v>
      </c>
      <c r="BT200" s="2" t="s">
        <v>22</v>
      </c>
      <c r="BU200" s="43" t="s">
        <v>22</v>
      </c>
      <c r="BV200" s="43" t="s">
        <v>22</v>
      </c>
      <c r="BW200" s="43" t="s">
        <v>22</v>
      </c>
      <c r="BX200" s="43" t="s">
        <v>22</v>
      </c>
      <c r="BY200" s="43" t="s">
        <v>22</v>
      </c>
      <c r="BZ200" s="43" t="s">
        <v>984</v>
      </c>
      <c r="CA200" s="43" t="s">
        <v>984</v>
      </c>
      <c r="CB200" s="20"/>
      <c r="CC200" t="s">
        <v>1009</v>
      </c>
      <c r="CE200" s="41" t="e">
        <f t="shared" si="96"/>
        <v>#VALUE!</v>
      </c>
      <c r="CF200" s="41" t="e">
        <f t="shared" si="97"/>
        <v>#VALUE!</v>
      </c>
      <c r="CG200" s="41" t="e">
        <f t="shared" si="98"/>
        <v>#VALUE!</v>
      </c>
      <c r="CH200" s="41" t="e">
        <f t="shared" si="99"/>
        <v>#VALUE!</v>
      </c>
      <c r="CI200" s="41">
        <f t="shared" si="94"/>
        <v>12.2</v>
      </c>
      <c r="CJ200" s="41">
        <f t="shared" si="92"/>
        <v>1.0863598306747482</v>
      </c>
      <c r="CL200" s="9" t="s">
        <v>1269</v>
      </c>
      <c r="CM200" s="18" t="s">
        <v>1285</v>
      </c>
      <c r="CN200" s="54" t="s">
        <v>1284</v>
      </c>
      <c r="CO200" s="18" t="s">
        <v>1284</v>
      </c>
    </row>
    <row r="201" spans="1:93" x14ac:dyDescent="0.25">
      <c r="A201" t="s">
        <v>352</v>
      </c>
      <c r="B201" s="41">
        <v>0.48</v>
      </c>
      <c r="C201" s="41">
        <v>2.1</v>
      </c>
      <c r="D201" s="43">
        <f>0.001*(B201*10^6)/(C201*0.001*100^3)</f>
        <v>0.22857142857142851</v>
      </c>
      <c r="E201" s="41" t="s">
        <v>22</v>
      </c>
      <c r="F201" t="s">
        <v>22</v>
      </c>
      <c r="G201" t="s">
        <v>22</v>
      </c>
      <c r="H201" t="s">
        <v>22</v>
      </c>
      <c r="I201" t="s">
        <v>22</v>
      </c>
      <c r="J201" s="41" t="s">
        <v>22</v>
      </c>
      <c r="K201" t="s">
        <v>22</v>
      </c>
      <c r="L201" s="41" t="s">
        <v>22</v>
      </c>
      <c r="M201" t="s">
        <v>23</v>
      </c>
      <c r="N201" s="41" t="s">
        <v>22</v>
      </c>
      <c r="O201" s="41" t="s">
        <v>22</v>
      </c>
      <c r="P201" s="41" t="s">
        <v>22</v>
      </c>
      <c r="R201" s="41" t="s">
        <v>22</v>
      </c>
      <c r="S201" s="41" t="s">
        <v>22</v>
      </c>
      <c r="T201" s="41">
        <v>14.8</v>
      </c>
      <c r="U201" s="41">
        <v>14.8</v>
      </c>
      <c r="V201">
        <v>20200512</v>
      </c>
      <c r="W201" s="21" t="s">
        <v>920</v>
      </c>
      <c r="X201" s="18">
        <v>1996</v>
      </c>
      <c r="Y201" t="s">
        <v>527</v>
      </c>
      <c r="Z201" t="s">
        <v>34</v>
      </c>
      <c r="AA201" s="18"/>
      <c r="AC201" s="18" t="s">
        <v>514</v>
      </c>
      <c r="AD201" s="41" t="s">
        <v>22</v>
      </c>
      <c r="AE201" s="41" t="s">
        <v>22</v>
      </c>
      <c r="AF201" s="41" t="s">
        <v>22</v>
      </c>
      <c r="AG201" s="41" t="s">
        <v>22</v>
      </c>
      <c r="AH201" s="41">
        <v>6.5911878363248899</v>
      </c>
      <c r="AI201" s="41" t="s">
        <v>22</v>
      </c>
      <c r="AJ201" s="41">
        <v>6.5911878363248899</v>
      </c>
      <c r="AK201" s="41">
        <v>6.4571562714435302</v>
      </c>
      <c r="AL201" s="41">
        <v>5.9844198056990097</v>
      </c>
      <c r="AM201" s="43" t="e">
        <f t="shared" si="100"/>
        <v>#VALUE!</v>
      </c>
      <c r="AN201" s="43">
        <f t="shared" si="101"/>
        <v>0.90794253696095517</v>
      </c>
      <c r="AO201" s="19" t="s">
        <v>899</v>
      </c>
      <c r="AT201" s="2">
        <f t="shared" si="102"/>
        <v>4</v>
      </c>
      <c r="AU201" s="45">
        <f t="shared" si="103"/>
        <v>-0.31875876262441277</v>
      </c>
      <c r="AV201" s="45">
        <f t="shared" si="104"/>
        <v>0.3222192947339193</v>
      </c>
      <c r="AW201" s="45">
        <f t="shared" si="105"/>
        <v>-0.64097805735833213</v>
      </c>
      <c r="AX201" s="45" t="e">
        <f t="shared" si="106"/>
        <v>#VALUE!</v>
      </c>
      <c r="AY201" s="45" t="e">
        <f t="shared" si="107"/>
        <v>#VALUE!</v>
      </c>
      <c r="AZ201" s="45" t="e">
        <f t="shared" si="108"/>
        <v>#VALUE!</v>
      </c>
      <c r="BA201" s="45" t="e">
        <f t="shared" si="109"/>
        <v>#VALUE!</v>
      </c>
      <c r="BB201" s="45" t="e">
        <f t="shared" si="110"/>
        <v>#VALUE!</v>
      </c>
      <c r="BC201" s="45">
        <f t="shared" si="111"/>
        <v>1.1702617153949575</v>
      </c>
      <c r="BD201" s="45" t="e">
        <f t="shared" si="112"/>
        <v>#VALUE!</v>
      </c>
      <c r="BE201" s="45" t="e">
        <f t="shared" si="113"/>
        <v>#VALUE!</v>
      </c>
      <c r="BF201" s="45" t="e">
        <f t="shared" si="114"/>
        <v>#VALUE!</v>
      </c>
      <c r="BG201" s="45">
        <f t="shared" si="115"/>
        <v>-4.1941636798820063E-2</v>
      </c>
      <c r="BH201" s="45" t="e">
        <f t="shared" si="116"/>
        <v>#NUM!</v>
      </c>
      <c r="BI201" s="43" t="e">
        <f t="shared" si="117"/>
        <v>#VALUE!</v>
      </c>
      <c r="BJ201" s="2" t="s">
        <v>520</v>
      </c>
      <c r="BK201" s="2" t="s">
        <v>521</v>
      </c>
      <c r="BL201" s="2" t="s">
        <v>871</v>
      </c>
      <c r="BM201" s="43" t="s">
        <v>22</v>
      </c>
      <c r="BN201" s="43" t="s">
        <v>22</v>
      </c>
      <c r="BO201" s="43" t="e">
        <f t="shared" si="95"/>
        <v>#VALUE!</v>
      </c>
      <c r="BP201" s="43" t="s">
        <v>22</v>
      </c>
      <c r="BQ201" s="43" t="s">
        <v>22</v>
      </c>
      <c r="BR201" s="43" t="s">
        <v>22</v>
      </c>
      <c r="BS201" s="2" t="s">
        <v>22</v>
      </c>
      <c r="BT201" s="2" t="s">
        <v>22</v>
      </c>
      <c r="BU201" s="43" t="s">
        <v>22</v>
      </c>
      <c r="BV201" s="43" t="s">
        <v>22</v>
      </c>
      <c r="BW201" s="43" t="s">
        <v>22</v>
      </c>
      <c r="BX201" s="43" t="s">
        <v>22</v>
      </c>
      <c r="BY201" s="43" t="s">
        <v>22</v>
      </c>
      <c r="BZ201" s="43" t="s">
        <v>984</v>
      </c>
      <c r="CA201" s="43" t="s">
        <v>984</v>
      </c>
      <c r="CB201" s="20"/>
      <c r="CC201" t="s">
        <v>1009</v>
      </c>
      <c r="CE201" s="41" t="e">
        <f t="shared" si="96"/>
        <v>#VALUE!</v>
      </c>
      <c r="CF201" s="41" t="e">
        <f t="shared" si="97"/>
        <v>#VALUE!</v>
      </c>
      <c r="CG201" s="41" t="e">
        <f t="shared" si="98"/>
        <v>#VALUE!</v>
      </c>
      <c r="CH201" s="41" t="e">
        <f t="shared" si="99"/>
        <v>#VALUE!</v>
      </c>
      <c r="CI201" s="41">
        <f t="shared" si="94"/>
        <v>14.8</v>
      </c>
      <c r="CJ201" s="41">
        <f t="shared" si="92"/>
        <v>1.1702617153949575</v>
      </c>
      <c r="CL201" s="9" t="s">
        <v>1269</v>
      </c>
      <c r="CM201" s="18" t="s">
        <v>1285</v>
      </c>
      <c r="CN201" s="54" t="s">
        <v>1284</v>
      </c>
      <c r="CO201" s="18" t="s">
        <v>1284</v>
      </c>
    </row>
    <row r="202" spans="1:93" x14ac:dyDescent="0.25">
      <c r="A202" t="s">
        <v>352</v>
      </c>
      <c r="B202" s="43" t="s">
        <v>22</v>
      </c>
      <c r="C202" s="43">
        <v>2.1</v>
      </c>
      <c r="D202" s="41" t="e">
        <f>0.001*(B202*10^6)/(C202*0.001*100^3)</f>
        <v>#VALUE!</v>
      </c>
      <c r="E202" s="41" t="s">
        <v>22</v>
      </c>
      <c r="F202" t="s">
        <v>22</v>
      </c>
      <c r="G202" t="s">
        <v>22</v>
      </c>
      <c r="H202" t="s">
        <v>22</v>
      </c>
      <c r="I202" t="s">
        <v>22</v>
      </c>
      <c r="J202" s="41" t="s">
        <v>22</v>
      </c>
      <c r="K202" t="s">
        <v>22</v>
      </c>
      <c r="M202" t="s">
        <v>23</v>
      </c>
      <c r="N202" s="41" t="s">
        <v>22</v>
      </c>
      <c r="O202" s="41" t="s">
        <v>22</v>
      </c>
      <c r="P202" s="41" t="s">
        <v>22</v>
      </c>
      <c r="R202" s="41" t="s">
        <v>22</v>
      </c>
      <c r="S202" s="41" t="s">
        <v>22</v>
      </c>
      <c r="T202" s="41">
        <v>13.9</v>
      </c>
      <c r="U202" s="41">
        <v>13.9</v>
      </c>
      <c r="V202">
        <v>20200518</v>
      </c>
      <c r="W202" s="9" t="s">
        <v>1035</v>
      </c>
      <c r="X202" s="18">
        <v>1998</v>
      </c>
      <c r="Y202" t="s">
        <v>527</v>
      </c>
      <c r="Z202" t="s">
        <v>32</v>
      </c>
      <c r="AA202" s="18" t="s">
        <v>22</v>
      </c>
      <c r="AB202" s="41" t="s">
        <v>22</v>
      </c>
      <c r="AC202" s="2" t="s">
        <v>533</v>
      </c>
      <c r="AD202" s="41" t="s">
        <v>22</v>
      </c>
      <c r="AE202" s="41" t="s">
        <v>22</v>
      </c>
      <c r="AF202" s="41" t="s">
        <v>22</v>
      </c>
      <c r="AG202" s="41" t="s">
        <v>22</v>
      </c>
      <c r="AH202" s="41" t="s">
        <v>22</v>
      </c>
      <c r="AI202" s="41" t="s">
        <v>22</v>
      </c>
      <c r="AJ202" s="41" t="s">
        <v>22</v>
      </c>
      <c r="AK202" s="41" t="s">
        <v>22</v>
      </c>
      <c r="AL202" s="41" t="s">
        <v>22</v>
      </c>
      <c r="AM202" s="43" t="e">
        <f t="shared" si="100"/>
        <v>#VALUE!</v>
      </c>
      <c r="AN202" s="43" t="e">
        <f t="shared" si="101"/>
        <v>#VALUE!</v>
      </c>
      <c r="AO202" s="18" t="s">
        <v>826</v>
      </c>
      <c r="AT202" s="2">
        <f t="shared" si="102"/>
        <v>1</v>
      </c>
      <c r="AU202" s="45" t="e">
        <f t="shared" si="103"/>
        <v>#VALUE!</v>
      </c>
      <c r="AV202" s="45">
        <f t="shared" si="104"/>
        <v>0.3222192947339193</v>
      </c>
      <c r="AW202" s="45" t="e">
        <f t="shared" si="105"/>
        <v>#VALUE!</v>
      </c>
      <c r="AX202" s="45" t="e">
        <f t="shared" si="106"/>
        <v>#VALUE!</v>
      </c>
      <c r="AY202" s="45" t="e">
        <f t="shared" si="107"/>
        <v>#VALUE!</v>
      </c>
      <c r="AZ202" s="45" t="e">
        <f t="shared" si="108"/>
        <v>#VALUE!</v>
      </c>
      <c r="BA202" s="45" t="e">
        <f t="shared" si="109"/>
        <v>#VALUE!</v>
      </c>
      <c r="BB202" s="45" t="e">
        <f t="shared" si="110"/>
        <v>#NUM!</v>
      </c>
      <c r="BC202" s="45">
        <f t="shared" si="111"/>
        <v>1.1430148002540952</v>
      </c>
      <c r="BD202" s="45" t="e">
        <f t="shared" si="112"/>
        <v>#VALUE!</v>
      </c>
      <c r="BE202" s="45" t="e">
        <f t="shared" si="113"/>
        <v>#VALUE!</v>
      </c>
      <c r="BF202" s="45" t="e">
        <f t="shared" si="114"/>
        <v>#VALUE!</v>
      </c>
      <c r="BG202" s="45" t="e">
        <f t="shared" si="115"/>
        <v>#VALUE!</v>
      </c>
      <c r="BH202" s="45" t="e">
        <f t="shared" si="116"/>
        <v>#VALUE!</v>
      </c>
      <c r="BI202" s="43" t="e">
        <f t="shared" si="117"/>
        <v>#VALUE!</v>
      </c>
      <c r="BJ202" s="2" t="s">
        <v>520</v>
      </c>
      <c r="BK202" s="2" t="s">
        <v>521</v>
      </c>
      <c r="BL202" s="2" t="s">
        <v>975</v>
      </c>
      <c r="BM202" s="41" t="s">
        <v>22</v>
      </c>
      <c r="BN202" s="41">
        <v>100000000000</v>
      </c>
      <c r="BO202" s="43">
        <f t="shared" si="95"/>
        <v>47619.047619047618</v>
      </c>
      <c r="BP202" s="41" t="s">
        <v>22</v>
      </c>
      <c r="BQ202" s="41" t="s">
        <v>22</v>
      </c>
      <c r="BR202" s="41" t="s">
        <v>22</v>
      </c>
      <c r="BS202" s="18" t="s">
        <v>22</v>
      </c>
      <c r="BT202" s="18" t="s">
        <v>22</v>
      </c>
      <c r="BU202" s="41" t="s">
        <v>22</v>
      </c>
      <c r="BV202" s="41" t="s">
        <v>22</v>
      </c>
      <c r="BW202" s="41" t="s">
        <v>22</v>
      </c>
      <c r="BX202" s="41" t="s">
        <v>22</v>
      </c>
      <c r="BY202" s="41" t="s">
        <v>22</v>
      </c>
      <c r="BZ202" s="41">
        <v>2.2000000000000002</v>
      </c>
      <c r="CA202" s="41">
        <v>2.2000000000000002</v>
      </c>
      <c r="CC202" t="s">
        <v>1008</v>
      </c>
      <c r="CE202" s="41">
        <f t="shared" si="96"/>
        <v>11</v>
      </c>
      <c r="CF202" s="41" t="e">
        <f t="shared" si="97"/>
        <v>#VALUE!</v>
      </c>
      <c r="CG202" s="41" t="e">
        <f t="shared" si="98"/>
        <v>#VALUE!</v>
      </c>
      <c r="CH202" s="41" t="e">
        <f t="shared" si="99"/>
        <v>#VALUE!</v>
      </c>
      <c r="CI202" s="41">
        <f t="shared" si="94"/>
        <v>13.9</v>
      </c>
      <c r="CJ202" s="41">
        <f t="shared" si="92"/>
        <v>1.1430148002540952</v>
      </c>
      <c r="CL202" s="9" t="s">
        <v>1269</v>
      </c>
      <c r="CM202" s="18" t="s">
        <v>1285</v>
      </c>
      <c r="CN202" s="54">
        <v>0.34242268082220628</v>
      </c>
      <c r="CO202" s="18" t="s">
        <v>1286</v>
      </c>
    </row>
    <row r="203" spans="1:93" s="9" customFormat="1" x14ac:dyDescent="0.25">
      <c r="A203" s="9" t="s">
        <v>375</v>
      </c>
      <c r="B203" s="50">
        <f>((1.35*10^-6)^-1)*10^-6</f>
        <v>0.7407407407407407</v>
      </c>
      <c r="C203" s="50" t="s">
        <v>22</v>
      </c>
      <c r="D203" s="50" t="s">
        <v>22</v>
      </c>
      <c r="E203" s="50" t="s">
        <v>22</v>
      </c>
      <c r="F203" s="9" t="s">
        <v>22</v>
      </c>
      <c r="G203" s="9" t="s">
        <v>22</v>
      </c>
      <c r="H203" s="9">
        <v>1</v>
      </c>
      <c r="I203" s="9" t="s">
        <v>82</v>
      </c>
      <c r="J203" s="50" t="s">
        <v>22</v>
      </c>
      <c r="K203" s="9" t="s">
        <v>22</v>
      </c>
      <c r="L203" s="50"/>
      <c r="M203" s="9" t="s">
        <v>23</v>
      </c>
      <c r="N203" s="50" t="s">
        <v>22</v>
      </c>
      <c r="O203" s="50" t="s">
        <v>22</v>
      </c>
      <c r="P203" s="50" t="s">
        <v>22</v>
      </c>
      <c r="Q203" s="50"/>
      <c r="R203" s="50" t="s">
        <v>22</v>
      </c>
      <c r="S203" s="50" t="s">
        <v>22</v>
      </c>
      <c r="T203" s="50" t="s">
        <v>22</v>
      </c>
      <c r="U203" s="50" t="s">
        <v>22</v>
      </c>
      <c r="V203" s="9">
        <v>20210320</v>
      </c>
      <c r="W203" s="21" t="s">
        <v>1227</v>
      </c>
      <c r="X203" s="21">
        <v>1998</v>
      </c>
      <c r="Z203" s="9" t="s">
        <v>27</v>
      </c>
      <c r="AB203" s="50"/>
      <c r="AC203" s="9" t="s">
        <v>22</v>
      </c>
      <c r="AD203" s="50">
        <v>9</v>
      </c>
      <c r="AE203" s="50" t="s">
        <v>22</v>
      </c>
      <c r="AF203" s="50">
        <v>884</v>
      </c>
      <c r="AG203" s="50" t="s">
        <v>22</v>
      </c>
      <c r="AH203" s="50" t="s">
        <v>22</v>
      </c>
      <c r="AI203" s="50" t="s">
        <v>22</v>
      </c>
      <c r="AJ203" s="50" t="s">
        <v>22</v>
      </c>
      <c r="AK203" s="50" t="s">
        <v>22</v>
      </c>
      <c r="AL203" s="50" t="s">
        <v>22</v>
      </c>
      <c r="AM203" s="43" t="e">
        <f t="shared" si="100"/>
        <v>#VALUE!</v>
      </c>
      <c r="AN203" s="43" t="e">
        <f t="shared" si="101"/>
        <v>#VALUE!</v>
      </c>
      <c r="AO203" s="21" t="s">
        <v>1230</v>
      </c>
      <c r="AT203" s="2">
        <f t="shared" si="102"/>
        <v>5</v>
      </c>
      <c r="AU203" s="45">
        <f t="shared" si="103"/>
        <v>-0.13033376849500614</v>
      </c>
      <c r="AV203" s="45" t="e">
        <f t="shared" si="104"/>
        <v>#VALUE!</v>
      </c>
      <c r="AW203" s="45" t="e">
        <f t="shared" si="105"/>
        <v>#VALUE!</v>
      </c>
      <c r="AX203" s="45" t="e">
        <f t="shared" si="106"/>
        <v>#VALUE!</v>
      </c>
      <c r="AY203" s="45" t="e">
        <f t="shared" si="107"/>
        <v>#VALUE!</v>
      </c>
      <c r="AZ203" s="45" t="e">
        <f t="shared" si="108"/>
        <v>#VALUE!</v>
      </c>
      <c r="BA203" s="45" t="e">
        <f t="shared" si="109"/>
        <v>#VALUE!</v>
      </c>
      <c r="BB203" s="45" t="e">
        <f t="shared" si="110"/>
        <v>#NUM!</v>
      </c>
      <c r="BC203" s="45" t="e">
        <f t="shared" si="111"/>
        <v>#VALUE!</v>
      </c>
      <c r="BD203" s="45">
        <f t="shared" si="112"/>
        <v>0.95424250943932487</v>
      </c>
      <c r="BE203" s="45">
        <f t="shared" si="113"/>
        <v>2.9464522650130731</v>
      </c>
      <c r="BF203" s="45" t="e">
        <f t="shared" si="114"/>
        <v>#VALUE!</v>
      </c>
      <c r="BG203" s="45" t="e">
        <f t="shared" si="115"/>
        <v>#VALUE!</v>
      </c>
      <c r="BH203" s="45" t="e">
        <f t="shared" si="116"/>
        <v>#NUM!</v>
      </c>
      <c r="BI203" s="43">
        <f t="shared" si="117"/>
        <v>2.9464522650130731</v>
      </c>
      <c r="BL203" s="20"/>
      <c r="BM203" s="50"/>
      <c r="BN203" s="50"/>
      <c r="BO203" s="50"/>
      <c r="BP203" s="50"/>
      <c r="BQ203" s="50"/>
      <c r="BR203" s="50"/>
      <c r="BU203" s="50"/>
      <c r="BV203" s="50"/>
      <c r="BW203" s="50"/>
      <c r="BX203" s="50"/>
      <c r="BY203" s="50"/>
      <c r="BZ203" s="50"/>
      <c r="CA203" s="50" t="s">
        <v>22</v>
      </c>
      <c r="CE203" s="50"/>
      <c r="CF203" s="50"/>
      <c r="CG203" s="50"/>
      <c r="CH203" s="50"/>
      <c r="CI203" s="50" t="str">
        <f>IF(ISNUMBER(CG203),CG203,U203)</f>
        <v>Not Reported/ Can not calculate</v>
      </c>
      <c r="CJ203" s="50" t="e">
        <f t="shared" ref="CJ203" si="118">LOG10(CI203)</f>
        <v>#VALUE!</v>
      </c>
      <c r="CL203" s="9" t="s">
        <v>1268</v>
      </c>
      <c r="CM203" s="9" t="s">
        <v>1284</v>
      </c>
      <c r="CN203" s="55" t="s">
        <v>1284</v>
      </c>
      <c r="CO203" s="9" t="s">
        <v>1284</v>
      </c>
    </row>
    <row r="204" spans="1:93" s="9" customFormat="1" x14ac:dyDescent="0.25">
      <c r="A204" s="9" t="s">
        <v>375</v>
      </c>
      <c r="B204" s="50">
        <f>((1.4*10^-6)^-1)*10^-6</f>
        <v>0.7142857142857143</v>
      </c>
      <c r="C204" s="50" t="s">
        <v>22</v>
      </c>
      <c r="D204" s="50" t="s">
        <v>22</v>
      </c>
      <c r="E204" s="50" t="s">
        <v>22</v>
      </c>
      <c r="F204" s="9" t="s">
        <v>22</v>
      </c>
      <c r="G204" s="9" t="s">
        <v>22</v>
      </c>
      <c r="H204" s="9" t="s">
        <v>22</v>
      </c>
      <c r="I204" s="9" t="s">
        <v>22</v>
      </c>
      <c r="J204" s="50" t="s">
        <v>22</v>
      </c>
      <c r="K204" s="9" t="s">
        <v>22</v>
      </c>
      <c r="L204" s="50"/>
      <c r="M204" s="9" t="s">
        <v>23</v>
      </c>
      <c r="N204" s="50" t="s">
        <v>22</v>
      </c>
      <c r="O204" s="50" t="s">
        <v>22</v>
      </c>
      <c r="P204" s="50" t="s">
        <v>22</v>
      </c>
      <c r="Q204" s="50"/>
      <c r="R204" s="50" t="s">
        <v>22</v>
      </c>
      <c r="S204" s="50" t="s">
        <v>22</v>
      </c>
      <c r="T204" s="50" t="s">
        <v>22</v>
      </c>
      <c r="U204" s="50" t="s">
        <v>22</v>
      </c>
      <c r="V204" s="9">
        <v>20210320</v>
      </c>
      <c r="W204" s="21" t="s">
        <v>1228</v>
      </c>
      <c r="X204" s="21">
        <v>1998</v>
      </c>
      <c r="Z204" s="9" t="s">
        <v>27</v>
      </c>
      <c r="AB204" s="50"/>
      <c r="AC204" s="9" t="s">
        <v>22</v>
      </c>
      <c r="AD204" s="50">
        <v>10</v>
      </c>
      <c r="AE204" s="50" t="s">
        <v>22</v>
      </c>
      <c r="AF204" s="50">
        <v>862</v>
      </c>
      <c r="AG204" s="50" t="s">
        <v>22</v>
      </c>
      <c r="AH204" s="50" t="s">
        <v>22</v>
      </c>
      <c r="AI204" s="50" t="s">
        <v>22</v>
      </c>
      <c r="AJ204" s="50" t="s">
        <v>22</v>
      </c>
      <c r="AK204" s="50" t="s">
        <v>22</v>
      </c>
      <c r="AL204" s="50" t="s">
        <v>22</v>
      </c>
      <c r="AM204" s="43" t="e">
        <f t="shared" si="100"/>
        <v>#VALUE!</v>
      </c>
      <c r="AN204" s="43" t="e">
        <f t="shared" si="101"/>
        <v>#VALUE!</v>
      </c>
      <c r="AO204" s="21" t="s">
        <v>1230</v>
      </c>
      <c r="AT204" s="2">
        <f t="shared" si="102"/>
        <v>5</v>
      </c>
      <c r="AU204" s="45">
        <f t="shared" si="103"/>
        <v>-0.14612803567823801</v>
      </c>
      <c r="AV204" s="45" t="e">
        <f t="shared" si="104"/>
        <v>#VALUE!</v>
      </c>
      <c r="AW204" s="45" t="e">
        <f t="shared" si="105"/>
        <v>#VALUE!</v>
      </c>
      <c r="AX204" s="45" t="e">
        <f t="shared" si="106"/>
        <v>#VALUE!</v>
      </c>
      <c r="AY204" s="45" t="e">
        <f t="shared" si="107"/>
        <v>#VALUE!</v>
      </c>
      <c r="AZ204" s="45" t="e">
        <f t="shared" si="108"/>
        <v>#VALUE!</v>
      </c>
      <c r="BA204" s="45" t="e">
        <f t="shared" si="109"/>
        <v>#VALUE!</v>
      </c>
      <c r="BB204" s="45" t="e">
        <f t="shared" si="110"/>
        <v>#NUM!</v>
      </c>
      <c r="BC204" s="45" t="e">
        <f t="shared" si="111"/>
        <v>#VALUE!</v>
      </c>
      <c r="BD204" s="45">
        <f t="shared" si="112"/>
        <v>1</v>
      </c>
      <c r="BE204" s="45">
        <f t="shared" si="113"/>
        <v>2.9355072658247128</v>
      </c>
      <c r="BF204" s="45" t="e">
        <f t="shared" si="114"/>
        <v>#VALUE!</v>
      </c>
      <c r="BG204" s="45" t="e">
        <f t="shared" si="115"/>
        <v>#VALUE!</v>
      </c>
      <c r="BH204" s="45" t="e">
        <f t="shared" si="116"/>
        <v>#NUM!</v>
      </c>
      <c r="BI204" s="43">
        <f t="shared" si="117"/>
        <v>2.9355072658247128</v>
      </c>
      <c r="BL204" s="20"/>
      <c r="BM204" s="50"/>
      <c r="BN204" s="50"/>
      <c r="BO204" s="50"/>
      <c r="BP204" s="50"/>
      <c r="BQ204" s="50"/>
      <c r="BR204" s="50"/>
      <c r="BU204" s="50"/>
      <c r="BV204" s="50"/>
      <c r="BW204" s="50"/>
      <c r="BX204" s="50"/>
      <c r="BY204" s="50"/>
      <c r="BZ204" s="50"/>
      <c r="CA204" s="50" t="s">
        <v>22</v>
      </c>
      <c r="CE204" s="50"/>
      <c r="CF204" s="50"/>
      <c r="CG204" s="50"/>
      <c r="CH204" s="50"/>
      <c r="CI204" s="50" t="str">
        <f t="shared" ref="CI204:CI212" si="119">IF(ISNUMBER(CG204),CG204,U204)</f>
        <v>Not Reported/ Can not calculate</v>
      </c>
      <c r="CJ204" s="50" t="e">
        <f t="shared" ref="CJ204:CJ212" si="120">LOG10(CI204)</f>
        <v>#VALUE!</v>
      </c>
      <c r="CL204" s="9" t="s">
        <v>1268</v>
      </c>
      <c r="CM204" s="9" t="s">
        <v>1284</v>
      </c>
      <c r="CN204" s="55" t="s">
        <v>1284</v>
      </c>
      <c r="CO204" s="9" t="s">
        <v>1284</v>
      </c>
    </row>
    <row r="205" spans="1:93" s="9" customFormat="1" x14ac:dyDescent="0.25">
      <c r="A205" s="9" t="s">
        <v>375</v>
      </c>
      <c r="B205" s="50">
        <f>((1.81*10^-6)^-1)*10^-6</f>
        <v>0.5524861878453039</v>
      </c>
      <c r="C205" s="50" t="s">
        <v>22</v>
      </c>
      <c r="D205" s="50" t="s">
        <v>22</v>
      </c>
      <c r="E205" s="50" t="s">
        <v>22</v>
      </c>
      <c r="F205" s="9" t="s">
        <v>22</v>
      </c>
      <c r="G205" s="9" t="s">
        <v>22</v>
      </c>
      <c r="H205" s="9" t="s">
        <v>22</v>
      </c>
      <c r="I205" s="9" t="s">
        <v>22</v>
      </c>
      <c r="J205" s="50" t="s">
        <v>22</v>
      </c>
      <c r="K205" s="9" t="s">
        <v>22</v>
      </c>
      <c r="L205" s="50"/>
      <c r="M205" s="9" t="s">
        <v>23</v>
      </c>
      <c r="N205" s="50" t="s">
        <v>22</v>
      </c>
      <c r="O205" s="50" t="s">
        <v>22</v>
      </c>
      <c r="P205" s="50" t="s">
        <v>22</v>
      </c>
      <c r="Q205" s="50"/>
      <c r="R205" s="50" t="s">
        <v>22</v>
      </c>
      <c r="S205" s="50" t="s">
        <v>22</v>
      </c>
      <c r="T205" s="50" t="s">
        <v>22</v>
      </c>
      <c r="U205" s="50" t="s">
        <v>22</v>
      </c>
      <c r="V205" s="9">
        <v>20210320</v>
      </c>
      <c r="W205" s="21" t="s">
        <v>1229</v>
      </c>
      <c r="X205" s="21">
        <v>1998</v>
      </c>
      <c r="Z205" s="9" t="s">
        <v>27</v>
      </c>
      <c r="AB205" s="50"/>
      <c r="AC205" s="9" t="s">
        <v>22</v>
      </c>
      <c r="AD205" s="50">
        <v>10</v>
      </c>
      <c r="AE205" s="50" t="s">
        <v>22</v>
      </c>
      <c r="AF205" s="50">
        <v>661</v>
      </c>
      <c r="AG205" s="50" t="s">
        <v>22</v>
      </c>
      <c r="AH205" s="50" t="s">
        <v>22</v>
      </c>
      <c r="AI205" s="50" t="s">
        <v>22</v>
      </c>
      <c r="AJ205" s="50" t="s">
        <v>22</v>
      </c>
      <c r="AK205" s="50" t="s">
        <v>22</v>
      </c>
      <c r="AL205" s="50" t="s">
        <v>22</v>
      </c>
      <c r="AM205" s="43" t="e">
        <f t="shared" si="100"/>
        <v>#VALUE!</v>
      </c>
      <c r="AN205" s="43" t="e">
        <f t="shared" si="101"/>
        <v>#VALUE!</v>
      </c>
      <c r="AO205" s="21" t="s">
        <v>1230</v>
      </c>
      <c r="AT205" s="2">
        <f t="shared" si="102"/>
        <v>5</v>
      </c>
      <c r="AU205" s="45">
        <f t="shared" si="103"/>
        <v>-0.2576785748691845</v>
      </c>
      <c r="AV205" s="45" t="e">
        <f t="shared" si="104"/>
        <v>#VALUE!</v>
      </c>
      <c r="AW205" s="45" t="e">
        <f t="shared" si="105"/>
        <v>#VALUE!</v>
      </c>
      <c r="AX205" s="45" t="e">
        <f t="shared" si="106"/>
        <v>#VALUE!</v>
      </c>
      <c r="AY205" s="45" t="e">
        <f t="shared" si="107"/>
        <v>#VALUE!</v>
      </c>
      <c r="AZ205" s="45" t="e">
        <f t="shared" si="108"/>
        <v>#VALUE!</v>
      </c>
      <c r="BA205" s="45" t="e">
        <f t="shared" si="109"/>
        <v>#VALUE!</v>
      </c>
      <c r="BB205" s="45" t="e">
        <f t="shared" si="110"/>
        <v>#NUM!</v>
      </c>
      <c r="BC205" s="45" t="e">
        <f t="shared" si="111"/>
        <v>#VALUE!</v>
      </c>
      <c r="BD205" s="45">
        <f t="shared" si="112"/>
        <v>1</v>
      </c>
      <c r="BE205" s="45">
        <f t="shared" si="113"/>
        <v>2.8202014594856402</v>
      </c>
      <c r="BF205" s="45" t="e">
        <f t="shared" si="114"/>
        <v>#VALUE!</v>
      </c>
      <c r="BG205" s="45" t="e">
        <f t="shared" si="115"/>
        <v>#VALUE!</v>
      </c>
      <c r="BH205" s="45" t="e">
        <f t="shared" si="116"/>
        <v>#NUM!</v>
      </c>
      <c r="BI205" s="43">
        <f t="shared" si="117"/>
        <v>2.8202014594856402</v>
      </c>
      <c r="BL205" s="20"/>
      <c r="BM205" s="50"/>
      <c r="BN205" s="50"/>
      <c r="BO205" s="50"/>
      <c r="BP205" s="50"/>
      <c r="BQ205" s="50"/>
      <c r="BR205" s="50"/>
      <c r="BU205" s="50"/>
      <c r="BV205" s="50"/>
      <c r="BW205" s="50"/>
      <c r="BX205" s="50"/>
      <c r="BY205" s="50"/>
      <c r="BZ205" s="50"/>
      <c r="CA205" s="50" t="s">
        <v>22</v>
      </c>
      <c r="CE205" s="50"/>
      <c r="CF205" s="50"/>
      <c r="CG205" s="50"/>
      <c r="CH205" s="50"/>
      <c r="CI205" s="50" t="str">
        <f t="shared" si="119"/>
        <v>Not Reported/ Can not calculate</v>
      </c>
      <c r="CJ205" s="50" t="e">
        <f t="shared" si="120"/>
        <v>#VALUE!</v>
      </c>
      <c r="CL205" s="9" t="s">
        <v>1268</v>
      </c>
      <c r="CM205" s="9" t="s">
        <v>1284</v>
      </c>
      <c r="CN205" s="55" t="s">
        <v>1284</v>
      </c>
      <c r="CO205" s="9" t="s">
        <v>1284</v>
      </c>
    </row>
    <row r="206" spans="1:93" s="9" customFormat="1" x14ac:dyDescent="0.25">
      <c r="A206" s="9" t="s">
        <v>375</v>
      </c>
      <c r="B206" s="50">
        <f>((1.05*10^-6)^-1)*10^-6</f>
        <v>0.95238095238095233</v>
      </c>
      <c r="C206" s="50" t="s">
        <v>22</v>
      </c>
      <c r="D206" s="50" t="s">
        <v>22</v>
      </c>
      <c r="E206" s="50" t="s">
        <v>22</v>
      </c>
      <c r="F206" s="9" t="s">
        <v>22</v>
      </c>
      <c r="G206" s="9" t="s">
        <v>22</v>
      </c>
      <c r="H206" s="9" t="s">
        <v>22</v>
      </c>
      <c r="I206" s="9" t="s">
        <v>22</v>
      </c>
      <c r="J206" s="50" t="s">
        <v>22</v>
      </c>
      <c r="K206" s="9" t="s">
        <v>22</v>
      </c>
      <c r="L206" s="50"/>
      <c r="M206" s="9" t="s">
        <v>23</v>
      </c>
      <c r="N206" s="50" t="s">
        <v>22</v>
      </c>
      <c r="O206" s="50" t="s">
        <v>22</v>
      </c>
      <c r="P206" s="50" t="s">
        <v>22</v>
      </c>
      <c r="Q206" s="50"/>
      <c r="R206" s="50" t="s">
        <v>22</v>
      </c>
      <c r="S206" s="50" t="s">
        <v>22</v>
      </c>
      <c r="T206" s="50" t="s">
        <v>22</v>
      </c>
      <c r="U206" s="50" t="s">
        <v>22</v>
      </c>
      <c r="V206" s="9">
        <v>20210320</v>
      </c>
      <c r="W206" s="21" t="s">
        <v>1228</v>
      </c>
      <c r="X206" s="21">
        <v>1998</v>
      </c>
      <c r="Z206" s="9" t="s">
        <v>27</v>
      </c>
      <c r="AB206" s="50"/>
      <c r="AC206" s="9" t="s">
        <v>22</v>
      </c>
      <c r="AD206" s="50">
        <v>10</v>
      </c>
      <c r="AE206" s="50" t="s">
        <v>22</v>
      </c>
      <c r="AF206" s="50">
        <v>1060</v>
      </c>
      <c r="AG206" s="50" t="s">
        <v>22</v>
      </c>
      <c r="AH206" s="50" t="s">
        <v>22</v>
      </c>
      <c r="AI206" s="50" t="s">
        <v>22</v>
      </c>
      <c r="AJ206" s="50" t="s">
        <v>22</v>
      </c>
      <c r="AK206" s="50" t="s">
        <v>22</v>
      </c>
      <c r="AL206" s="50" t="s">
        <v>22</v>
      </c>
      <c r="AM206" s="43" t="e">
        <f t="shared" si="100"/>
        <v>#VALUE!</v>
      </c>
      <c r="AN206" s="43" t="e">
        <f t="shared" si="101"/>
        <v>#VALUE!</v>
      </c>
      <c r="AO206" s="21" t="s">
        <v>1230</v>
      </c>
      <c r="AT206" s="2">
        <f t="shared" si="102"/>
        <v>5</v>
      </c>
      <c r="AU206" s="45">
        <f t="shared" si="103"/>
        <v>-2.1189299069938095E-2</v>
      </c>
      <c r="AV206" s="45" t="e">
        <f t="shared" si="104"/>
        <v>#VALUE!</v>
      </c>
      <c r="AW206" s="45" t="e">
        <f t="shared" si="105"/>
        <v>#VALUE!</v>
      </c>
      <c r="AX206" s="45" t="e">
        <f t="shared" si="106"/>
        <v>#VALUE!</v>
      </c>
      <c r="AY206" s="45" t="e">
        <f t="shared" si="107"/>
        <v>#VALUE!</v>
      </c>
      <c r="AZ206" s="45" t="e">
        <f t="shared" si="108"/>
        <v>#VALUE!</v>
      </c>
      <c r="BA206" s="45" t="e">
        <f t="shared" si="109"/>
        <v>#VALUE!</v>
      </c>
      <c r="BB206" s="45" t="e">
        <f t="shared" si="110"/>
        <v>#NUM!</v>
      </c>
      <c r="BC206" s="45" t="e">
        <f t="shared" si="111"/>
        <v>#VALUE!</v>
      </c>
      <c r="BD206" s="45">
        <f t="shared" si="112"/>
        <v>1</v>
      </c>
      <c r="BE206" s="45">
        <f t="shared" si="113"/>
        <v>3.0253058652647704</v>
      </c>
      <c r="BF206" s="45" t="e">
        <f t="shared" si="114"/>
        <v>#VALUE!</v>
      </c>
      <c r="BG206" s="45" t="e">
        <f t="shared" si="115"/>
        <v>#VALUE!</v>
      </c>
      <c r="BH206" s="45" t="e">
        <f t="shared" si="116"/>
        <v>#NUM!</v>
      </c>
      <c r="BI206" s="43">
        <f t="shared" si="117"/>
        <v>3.0253058652647704</v>
      </c>
      <c r="BL206" s="20"/>
      <c r="BM206" s="50"/>
      <c r="BN206" s="50"/>
      <c r="BO206" s="50"/>
      <c r="BP206" s="50"/>
      <c r="BQ206" s="50"/>
      <c r="BR206" s="50"/>
      <c r="BU206" s="50"/>
      <c r="BV206" s="50"/>
      <c r="BW206" s="50"/>
      <c r="BX206" s="50"/>
      <c r="BY206" s="50"/>
      <c r="BZ206" s="50"/>
      <c r="CA206" s="50" t="s">
        <v>22</v>
      </c>
      <c r="CE206" s="50"/>
      <c r="CF206" s="50"/>
      <c r="CG206" s="50"/>
      <c r="CH206" s="50"/>
      <c r="CI206" s="50" t="str">
        <f t="shared" si="119"/>
        <v>Not Reported/ Can not calculate</v>
      </c>
      <c r="CJ206" s="50" t="e">
        <f t="shared" si="120"/>
        <v>#VALUE!</v>
      </c>
      <c r="CL206" s="9" t="s">
        <v>1268</v>
      </c>
      <c r="CM206" s="9" t="s">
        <v>1284</v>
      </c>
      <c r="CN206" s="55" t="s">
        <v>1284</v>
      </c>
      <c r="CO206" s="9" t="s">
        <v>1284</v>
      </c>
    </row>
    <row r="207" spans="1:93" s="9" customFormat="1" x14ac:dyDescent="0.25">
      <c r="A207" s="9" t="s">
        <v>375</v>
      </c>
      <c r="B207" s="50">
        <f>((1.49*10^-6)^-1)*10^-6</f>
        <v>0.67114093959731547</v>
      </c>
      <c r="C207" s="50" t="s">
        <v>22</v>
      </c>
      <c r="D207" s="50" t="s">
        <v>22</v>
      </c>
      <c r="E207" s="50" t="s">
        <v>22</v>
      </c>
      <c r="F207" s="9" t="s">
        <v>22</v>
      </c>
      <c r="G207" s="9" t="s">
        <v>22</v>
      </c>
      <c r="H207" s="9" t="s">
        <v>22</v>
      </c>
      <c r="I207" s="9" t="s">
        <v>22</v>
      </c>
      <c r="J207" s="50" t="s">
        <v>22</v>
      </c>
      <c r="K207" s="9" t="s">
        <v>22</v>
      </c>
      <c r="L207" s="50"/>
      <c r="M207" s="9" t="s">
        <v>23</v>
      </c>
      <c r="N207" s="50" t="s">
        <v>22</v>
      </c>
      <c r="O207" s="50" t="s">
        <v>22</v>
      </c>
      <c r="P207" s="50" t="s">
        <v>22</v>
      </c>
      <c r="Q207" s="50"/>
      <c r="R207" s="50" t="s">
        <v>22</v>
      </c>
      <c r="S207" s="50" t="s">
        <v>22</v>
      </c>
      <c r="T207" s="50" t="s">
        <v>22</v>
      </c>
      <c r="U207" s="50" t="s">
        <v>22</v>
      </c>
      <c r="V207" s="9">
        <v>20210320</v>
      </c>
      <c r="W207" s="21" t="s">
        <v>1229</v>
      </c>
      <c r="X207" s="21">
        <v>1998</v>
      </c>
      <c r="Z207" s="9" t="s">
        <v>27</v>
      </c>
      <c r="AB207" s="50"/>
      <c r="AC207" s="9" t="s">
        <v>22</v>
      </c>
      <c r="AD207" s="50">
        <v>10</v>
      </c>
      <c r="AE207" s="50" t="s">
        <v>22</v>
      </c>
      <c r="AF207" s="50">
        <v>746</v>
      </c>
      <c r="AG207" s="50" t="s">
        <v>22</v>
      </c>
      <c r="AH207" s="50" t="s">
        <v>22</v>
      </c>
      <c r="AI207" s="50" t="s">
        <v>22</v>
      </c>
      <c r="AJ207" s="50" t="s">
        <v>22</v>
      </c>
      <c r="AK207" s="50" t="s">
        <v>22</v>
      </c>
      <c r="AL207" s="50" t="s">
        <v>22</v>
      </c>
      <c r="AM207" s="43" t="e">
        <f t="shared" si="100"/>
        <v>#VALUE!</v>
      </c>
      <c r="AN207" s="43" t="e">
        <f t="shared" si="101"/>
        <v>#VALUE!</v>
      </c>
      <c r="AO207" s="21" t="s">
        <v>1230</v>
      </c>
      <c r="AT207" s="2">
        <f t="shared" si="102"/>
        <v>5</v>
      </c>
      <c r="AU207" s="45">
        <f t="shared" si="103"/>
        <v>-0.17318626841227402</v>
      </c>
      <c r="AV207" s="45" t="e">
        <f t="shared" si="104"/>
        <v>#VALUE!</v>
      </c>
      <c r="AW207" s="45" t="e">
        <f t="shared" si="105"/>
        <v>#VALUE!</v>
      </c>
      <c r="AX207" s="45" t="e">
        <f t="shared" si="106"/>
        <v>#VALUE!</v>
      </c>
      <c r="AY207" s="45" t="e">
        <f t="shared" si="107"/>
        <v>#VALUE!</v>
      </c>
      <c r="AZ207" s="45" t="e">
        <f t="shared" si="108"/>
        <v>#VALUE!</v>
      </c>
      <c r="BA207" s="45" t="e">
        <f t="shared" si="109"/>
        <v>#VALUE!</v>
      </c>
      <c r="BB207" s="45" t="e">
        <f t="shared" si="110"/>
        <v>#NUM!</v>
      </c>
      <c r="BC207" s="45" t="e">
        <f t="shared" si="111"/>
        <v>#VALUE!</v>
      </c>
      <c r="BD207" s="45">
        <f t="shared" si="112"/>
        <v>1</v>
      </c>
      <c r="BE207" s="45">
        <f t="shared" si="113"/>
        <v>2.8727388274726686</v>
      </c>
      <c r="BF207" s="45" t="e">
        <f t="shared" si="114"/>
        <v>#VALUE!</v>
      </c>
      <c r="BG207" s="45" t="e">
        <f t="shared" si="115"/>
        <v>#VALUE!</v>
      </c>
      <c r="BH207" s="45" t="e">
        <f t="shared" si="116"/>
        <v>#NUM!</v>
      </c>
      <c r="BI207" s="43">
        <f t="shared" si="117"/>
        <v>2.8727388274726686</v>
      </c>
      <c r="BL207" s="20"/>
      <c r="BM207" s="50"/>
      <c r="BN207" s="50"/>
      <c r="BO207" s="50"/>
      <c r="BP207" s="50"/>
      <c r="BQ207" s="50"/>
      <c r="BR207" s="50"/>
      <c r="BU207" s="50"/>
      <c r="BV207" s="50"/>
      <c r="BW207" s="50"/>
      <c r="BX207" s="50"/>
      <c r="BY207" s="50"/>
      <c r="BZ207" s="50"/>
      <c r="CA207" s="50" t="s">
        <v>22</v>
      </c>
      <c r="CE207" s="50"/>
      <c r="CF207" s="50"/>
      <c r="CG207" s="50"/>
      <c r="CH207" s="50"/>
      <c r="CI207" s="50" t="str">
        <f t="shared" si="119"/>
        <v>Not Reported/ Can not calculate</v>
      </c>
      <c r="CJ207" s="50" t="e">
        <f t="shared" si="120"/>
        <v>#VALUE!</v>
      </c>
      <c r="CL207" s="9" t="s">
        <v>1268</v>
      </c>
      <c r="CM207" s="9" t="s">
        <v>1284</v>
      </c>
      <c r="CN207" s="55" t="s">
        <v>1284</v>
      </c>
      <c r="CO207" s="9" t="s">
        <v>1284</v>
      </c>
    </row>
    <row r="208" spans="1:93" s="9" customFormat="1" x14ac:dyDescent="0.25">
      <c r="A208" s="9" t="s">
        <v>343</v>
      </c>
      <c r="B208" s="50">
        <f>((1.68*10^-6)^-1)*10^-6</f>
        <v>0.59523809523809523</v>
      </c>
      <c r="C208" s="50" t="s">
        <v>22</v>
      </c>
      <c r="D208" s="50" t="s">
        <v>22</v>
      </c>
      <c r="E208" s="50" t="s">
        <v>22</v>
      </c>
      <c r="F208" s="9" t="s">
        <v>22</v>
      </c>
      <c r="G208" s="9" t="s">
        <v>22</v>
      </c>
      <c r="H208" s="9" t="s">
        <v>22</v>
      </c>
      <c r="I208" s="9" t="s">
        <v>22</v>
      </c>
      <c r="J208" s="50" t="s">
        <v>22</v>
      </c>
      <c r="K208" s="9" t="s">
        <v>22</v>
      </c>
      <c r="L208" s="50" t="e">
        <f>IF((10^-12)*J208*K208^4=0,"",(10^-12)*J208*K208^4)</f>
        <v>#VALUE!</v>
      </c>
      <c r="M208" s="9" t="s">
        <v>45</v>
      </c>
      <c r="N208" s="50" t="s">
        <v>22</v>
      </c>
      <c r="O208" s="50" t="s">
        <v>22</v>
      </c>
      <c r="P208" s="50" t="s">
        <v>22</v>
      </c>
      <c r="Q208" s="50"/>
      <c r="R208" s="50" t="s">
        <v>22</v>
      </c>
      <c r="S208" s="50" t="s">
        <v>22</v>
      </c>
      <c r="T208" s="50" t="s">
        <v>22</v>
      </c>
      <c r="U208" s="50" t="s">
        <v>22</v>
      </c>
      <c r="V208" s="9">
        <v>20200719</v>
      </c>
      <c r="W208" s="21"/>
      <c r="X208" s="21">
        <v>1998</v>
      </c>
      <c r="Y208" s="9" t="s">
        <v>343</v>
      </c>
      <c r="Z208" s="9" t="s">
        <v>1105</v>
      </c>
      <c r="AA208" s="9" t="s">
        <v>1107</v>
      </c>
      <c r="AB208" s="50"/>
      <c r="AC208" s="9" t="s">
        <v>22</v>
      </c>
      <c r="AD208" s="50" t="s">
        <v>22</v>
      </c>
      <c r="AE208" s="50" t="s">
        <v>22</v>
      </c>
      <c r="AF208" s="50" t="s">
        <v>22</v>
      </c>
      <c r="AG208" s="50">
        <v>256</v>
      </c>
      <c r="AH208" s="50">
        <v>1.5439005781025299</v>
      </c>
      <c r="AI208" s="50">
        <v>1.5439005781025299</v>
      </c>
      <c r="AJ208" s="50">
        <v>1.5063434770275099</v>
      </c>
      <c r="AK208" s="50">
        <v>1.21372186518766</v>
      </c>
      <c r="AL208" s="50">
        <v>1.00326221987459</v>
      </c>
      <c r="AM208" s="43">
        <f t="shared" si="100"/>
        <v>0.64982307416945839</v>
      </c>
      <c r="AN208" s="43">
        <f t="shared" si="101"/>
        <v>0.66602487093736573</v>
      </c>
      <c r="AO208" s="21" t="s">
        <v>1109</v>
      </c>
      <c r="AT208" s="2">
        <f t="shared" si="102"/>
        <v>5</v>
      </c>
      <c r="AU208" s="45">
        <f t="shared" si="103"/>
        <v>-0.22530928172586287</v>
      </c>
      <c r="AV208" s="45" t="e">
        <f t="shared" si="104"/>
        <v>#VALUE!</v>
      </c>
      <c r="AW208" s="45" t="e">
        <f t="shared" si="105"/>
        <v>#VALUE!</v>
      </c>
      <c r="AX208" s="45" t="e">
        <f t="shared" si="106"/>
        <v>#VALUE!</v>
      </c>
      <c r="AY208" s="45" t="e">
        <f t="shared" si="107"/>
        <v>#VALUE!</v>
      </c>
      <c r="AZ208" s="45" t="e">
        <f t="shared" si="108"/>
        <v>#VALUE!</v>
      </c>
      <c r="BA208" s="45" t="e">
        <f t="shared" si="109"/>
        <v>#VALUE!</v>
      </c>
      <c r="BB208" s="45" t="e">
        <f t="shared" si="110"/>
        <v>#VALUE!</v>
      </c>
      <c r="BC208" s="45" t="e">
        <f t="shared" si="111"/>
        <v>#VALUE!</v>
      </c>
      <c r="BD208" s="45" t="e">
        <f t="shared" si="112"/>
        <v>#VALUE!</v>
      </c>
      <c r="BE208" s="45" t="e">
        <f t="shared" si="113"/>
        <v>#VALUE!</v>
      </c>
      <c r="BF208" s="45">
        <f t="shared" si="114"/>
        <v>-0.18720487162053173</v>
      </c>
      <c r="BG208" s="45">
        <f t="shared" si="115"/>
        <v>-0.1765095529480443</v>
      </c>
      <c r="BH208" s="45" t="e">
        <f t="shared" si="116"/>
        <v>#NUM!</v>
      </c>
      <c r="BI208" s="43" t="e">
        <f t="shared" si="117"/>
        <v>#VALUE!</v>
      </c>
      <c r="BL208" s="20"/>
      <c r="BM208" s="50"/>
      <c r="BN208" s="50"/>
      <c r="BO208" s="50"/>
      <c r="BP208" s="50"/>
      <c r="BQ208" s="50"/>
      <c r="BR208" s="50"/>
      <c r="BU208" s="50"/>
      <c r="BV208" s="50"/>
      <c r="BW208" s="50"/>
      <c r="BX208" s="50"/>
      <c r="BY208" s="50"/>
      <c r="BZ208" s="50"/>
      <c r="CA208" s="50" t="s">
        <v>22</v>
      </c>
      <c r="CE208" s="50"/>
      <c r="CF208" s="50"/>
      <c r="CG208" s="50"/>
      <c r="CH208" s="50"/>
      <c r="CI208" s="50" t="str">
        <f t="shared" si="119"/>
        <v>Not Reported/ Can not calculate</v>
      </c>
      <c r="CJ208" s="50" t="e">
        <f t="shared" si="120"/>
        <v>#VALUE!</v>
      </c>
      <c r="CL208" s="9" t="s">
        <v>343</v>
      </c>
      <c r="CM208" s="9" t="s">
        <v>1284</v>
      </c>
      <c r="CN208" s="55" t="s">
        <v>1284</v>
      </c>
      <c r="CO208" s="9" t="s">
        <v>1284</v>
      </c>
    </row>
    <row r="209" spans="1:93" s="9" customFormat="1" x14ac:dyDescent="0.25">
      <c r="A209" s="9" t="s">
        <v>343</v>
      </c>
      <c r="B209" s="50">
        <f>((1.11*10^-6)^-1)*10^-6</f>
        <v>0.90090090090090091</v>
      </c>
      <c r="C209" s="50" t="s">
        <v>22</v>
      </c>
      <c r="D209" s="50" t="s">
        <v>22</v>
      </c>
      <c r="E209" s="50" t="s">
        <v>22</v>
      </c>
      <c r="F209" s="9" t="s">
        <v>22</v>
      </c>
      <c r="G209" s="9" t="s">
        <v>22</v>
      </c>
      <c r="H209" s="9" t="s">
        <v>22</v>
      </c>
      <c r="I209" s="9" t="s">
        <v>22</v>
      </c>
      <c r="J209" s="50" t="s">
        <v>22</v>
      </c>
      <c r="K209" s="9" t="s">
        <v>22</v>
      </c>
      <c r="L209" s="50" t="e">
        <f>IF((10^-12)*J209*K209^4=0,"",(10^-12)*J209*K209^4)</f>
        <v>#VALUE!</v>
      </c>
      <c r="M209" s="9" t="s">
        <v>45</v>
      </c>
      <c r="N209" s="50" t="s">
        <v>22</v>
      </c>
      <c r="O209" s="50" t="s">
        <v>22</v>
      </c>
      <c r="P209" s="50" t="s">
        <v>22</v>
      </c>
      <c r="Q209" s="50"/>
      <c r="R209" s="50" t="s">
        <v>22</v>
      </c>
      <c r="S209" s="50" t="s">
        <v>22</v>
      </c>
      <c r="T209" s="50" t="s">
        <v>22</v>
      </c>
      <c r="U209" s="50" t="s">
        <v>22</v>
      </c>
      <c r="V209" s="9">
        <v>20200719</v>
      </c>
      <c r="W209" s="21"/>
      <c r="X209" s="21">
        <v>1998</v>
      </c>
      <c r="Y209" s="9" t="s">
        <v>343</v>
      </c>
      <c r="Z209" s="9" t="s">
        <v>1105</v>
      </c>
      <c r="AA209" s="9" t="s">
        <v>786</v>
      </c>
      <c r="AB209" s="50"/>
      <c r="AC209" s="9" t="s">
        <v>22</v>
      </c>
      <c r="AD209" s="50" t="s">
        <v>22</v>
      </c>
      <c r="AE209" s="50" t="s">
        <v>22</v>
      </c>
      <c r="AF209" s="50" t="s">
        <v>22</v>
      </c>
      <c r="AG209" s="50">
        <v>195.22491604856199</v>
      </c>
      <c r="AH209" s="50">
        <v>1.3810509612900801</v>
      </c>
      <c r="AI209" s="50">
        <v>1.35330454998339</v>
      </c>
      <c r="AJ209" s="50">
        <v>1.30795970331008</v>
      </c>
      <c r="AK209" s="50">
        <v>1.04594634488357</v>
      </c>
      <c r="AL209" s="50">
        <v>1.01391195247057</v>
      </c>
      <c r="AM209" s="43">
        <f t="shared" si="100"/>
        <v>0.74921195859646994</v>
      </c>
      <c r="AN209" s="43">
        <f t="shared" si="101"/>
        <v>0.77518592499802752</v>
      </c>
      <c r="AO209" s="21" t="s">
        <v>1109</v>
      </c>
      <c r="AT209" s="2">
        <f t="shared" si="102"/>
        <v>5</v>
      </c>
      <c r="AU209" s="45">
        <f t="shared" si="103"/>
        <v>-4.5322978786657427E-2</v>
      </c>
      <c r="AV209" s="45" t="e">
        <f t="shared" si="104"/>
        <v>#VALUE!</v>
      </c>
      <c r="AW209" s="45" t="e">
        <f t="shared" si="105"/>
        <v>#VALUE!</v>
      </c>
      <c r="AX209" s="45" t="e">
        <f t="shared" si="106"/>
        <v>#VALUE!</v>
      </c>
      <c r="AY209" s="45" t="e">
        <f t="shared" si="107"/>
        <v>#VALUE!</v>
      </c>
      <c r="AZ209" s="45" t="e">
        <f t="shared" si="108"/>
        <v>#VALUE!</v>
      </c>
      <c r="BA209" s="45" t="e">
        <f t="shared" si="109"/>
        <v>#VALUE!</v>
      </c>
      <c r="BB209" s="45" t="e">
        <f t="shared" si="110"/>
        <v>#VALUE!</v>
      </c>
      <c r="BC209" s="45" t="e">
        <f t="shared" si="111"/>
        <v>#VALUE!</v>
      </c>
      <c r="BD209" s="45" t="e">
        <f t="shared" si="112"/>
        <v>#VALUE!</v>
      </c>
      <c r="BE209" s="45" t="e">
        <f t="shared" si="113"/>
        <v>#VALUE!</v>
      </c>
      <c r="BF209" s="45">
        <f t="shared" si="114"/>
        <v>-0.12539529922124049</v>
      </c>
      <c r="BG209" s="45">
        <f t="shared" si="115"/>
        <v>-0.11059412134323407</v>
      </c>
      <c r="BH209" s="45" t="e">
        <f t="shared" si="116"/>
        <v>#NUM!</v>
      </c>
      <c r="BI209" s="43" t="e">
        <f t="shared" si="117"/>
        <v>#VALUE!</v>
      </c>
      <c r="BL209" s="20"/>
      <c r="BM209" s="50"/>
      <c r="BN209" s="50"/>
      <c r="BO209" s="50"/>
      <c r="BP209" s="50"/>
      <c r="BQ209" s="50"/>
      <c r="BR209" s="50"/>
      <c r="BU209" s="50"/>
      <c r="BV209" s="50"/>
      <c r="BW209" s="50"/>
      <c r="BX209" s="50"/>
      <c r="BY209" s="50"/>
      <c r="BZ209" s="50"/>
      <c r="CA209" s="50" t="s">
        <v>22</v>
      </c>
      <c r="CE209" s="50"/>
      <c r="CF209" s="50"/>
      <c r="CG209" s="50"/>
      <c r="CH209" s="50"/>
      <c r="CI209" s="50" t="str">
        <f t="shared" si="119"/>
        <v>Not Reported/ Can not calculate</v>
      </c>
      <c r="CJ209" s="50" t="e">
        <f t="shared" si="120"/>
        <v>#VALUE!</v>
      </c>
      <c r="CL209" s="9" t="s">
        <v>343</v>
      </c>
      <c r="CM209" s="9" t="s">
        <v>1284</v>
      </c>
      <c r="CN209" s="55" t="s">
        <v>1284</v>
      </c>
      <c r="CO209" s="9" t="s">
        <v>1284</v>
      </c>
    </row>
    <row r="210" spans="1:93" s="9" customFormat="1" x14ac:dyDescent="0.25">
      <c r="A210" s="9" t="s">
        <v>343</v>
      </c>
      <c r="B210" s="50">
        <f>((6.58*10^-7)^-1)*10^-6</f>
        <v>1.519756838905775</v>
      </c>
      <c r="C210" s="50" t="s">
        <v>22</v>
      </c>
      <c r="D210" s="50" t="s">
        <v>22</v>
      </c>
      <c r="E210" s="50">
        <v>50</v>
      </c>
      <c r="F210" s="9" t="s">
        <v>22</v>
      </c>
      <c r="G210" s="9" t="s">
        <v>22</v>
      </c>
      <c r="H210" s="9" t="s">
        <v>22</v>
      </c>
      <c r="I210" s="9" t="s">
        <v>22</v>
      </c>
      <c r="J210" s="50" t="s">
        <v>22</v>
      </c>
      <c r="K210" s="9" t="s">
        <v>22</v>
      </c>
      <c r="L210" s="50" t="e">
        <f>IF((10^-12)*J210*K210^4=0,"",(10^-12)*J210*K210^4)</f>
        <v>#VALUE!</v>
      </c>
      <c r="M210" s="9" t="s">
        <v>45</v>
      </c>
      <c r="N210" s="50" t="s">
        <v>22</v>
      </c>
      <c r="O210" s="50" t="s">
        <v>22</v>
      </c>
      <c r="P210" s="50" t="s">
        <v>22</v>
      </c>
      <c r="Q210" s="50"/>
      <c r="R210" s="50" t="s">
        <v>22</v>
      </c>
      <c r="S210" s="50" t="s">
        <v>22</v>
      </c>
      <c r="T210" s="50" t="s">
        <v>22</v>
      </c>
      <c r="U210" s="50" t="s">
        <v>22</v>
      </c>
      <c r="V210" s="9">
        <v>20200719</v>
      </c>
      <c r="W210" s="21"/>
      <c r="X210" s="21">
        <v>1998</v>
      </c>
      <c r="Y210" s="9" t="s">
        <v>343</v>
      </c>
      <c r="Z210" s="9" t="s">
        <v>1105</v>
      </c>
      <c r="AA210" s="9" t="s">
        <v>1108</v>
      </c>
      <c r="AB210" s="50"/>
      <c r="AC210" s="9" t="s">
        <v>22</v>
      </c>
      <c r="AD210" s="50" t="s">
        <v>22</v>
      </c>
      <c r="AE210" s="50" t="s">
        <v>22</v>
      </c>
      <c r="AF210" s="50" t="s">
        <v>22</v>
      </c>
      <c r="AG210" s="50">
        <v>193.996658408711</v>
      </c>
      <c r="AH210" s="50">
        <v>1.0234410708455699</v>
      </c>
      <c r="AI210" s="50">
        <v>1.0234410708455699</v>
      </c>
      <c r="AJ210" s="50">
        <v>1.02494286647078</v>
      </c>
      <c r="AK210" s="50">
        <v>0.92684219623206698</v>
      </c>
      <c r="AL210" s="50">
        <v>1.0004858750552099</v>
      </c>
      <c r="AM210" s="43">
        <f t="shared" si="100"/>
        <v>0.97757057397413771</v>
      </c>
      <c r="AN210" s="43">
        <f t="shared" si="101"/>
        <v>0.97613819051223438</v>
      </c>
      <c r="AO210" s="21" t="s">
        <v>1109</v>
      </c>
      <c r="AT210" s="2">
        <f t="shared" si="102"/>
        <v>5</v>
      </c>
      <c r="AU210" s="45">
        <f t="shared" si="103"/>
        <v>0.18177410638604447</v>
      </c>
      <c r="AV210" s="45" t="e">
        <f t="shared" si="104"/>
        <v>#VALUE!</v>
      </c>
      <c r="AW210" s="45" t="e">
        <f t="shared" si="105"/>
        <v>#VALUE!</v>
      </c>
      <c r="AX210" s="45" t="e">
        <f t="shared" si="106"/>
        <v>#VALUE!</v>
      </c>
      <c r="AY210" s="45" t="e">
        <f t="shared" si="107"/>
        <v>#VALUE!</v>
      </c>
      <c r="AZ210" s="45" t="e">
        <f t="shared" si="108"/>
        <v>#VALUE!</v>
      </c>
      <c r="BA210" s="45" t="e">
        <f t="shared" si="109"/>
        <v>#VALUE!</v>
      </c>
      <c r="BB210" s="45" t="e">
        <f t="shared" si="110"/>
        <v>#VALUE!</v>
      </c>
      <c r="BC210" s="45" t="e">
        <f t="shared" si="111"/>
        <v>#VALUE!</v>
      </c>
      <c r="BD210" s="45" t="e">
        <f t="shared" si="112"/>
        <v>#VALUE!</v>
      </c>
      <c r="BE210" s="45" t="e">
        <f t="shared" si="113"/>
        <v>#VALUE!</v>
      </c>
      <c r="BF210" s="45">
        <f t="shared" si="114"/>
        <v>-9.8518796802794951E-3</v>
      </c>
      <c r="BG210" s="45">
        <f t="shared" si="115"/>
        <v>-1.0488695521250811E-2</v>
      </c>
      <c r="BH210" s="45" t="e">
        <f t="shared" si="116"/>
        <v>#NUM!</v>
      </c>
      <c r="BI210" s="43" t="e">
        <f t="shared" si="117"/>
        <v>#VALUE!</v>
      </c>
      <c r="BL210" s="20"/>
      <c r="BM210" s="50"/>
      <c r="BN210" s="50"/>
      <c r="BO210" s="50"/>
      <c r="BP210" s="50"/>
      <c r="BQ210" s="50"/>
      <c r="BR210" s="50"/>
      <c r="BU210" s="50"/>
      <c r="BV210" s="50"/>
      <c r="BW210" s="50"/>
      <c r="BX210" s="50"/>
      <c r="BY210" s="50"/>
      <c r="BZ210" s="50"/>
      <c r="CA210" s="50" t="s">
        <v>22</v>
      </c>
      <c r="CE210" s="50"/>
      <c r="CF210" s="50"/>
      <c r="CG210" s="50"/>
      <c r="CH210" s="50"/>
      <c r="CI210" s="50" t="str">
        <f t="shared" si="119"/>
        <v>Not Reported/ Can not calculate</v>
      </c>
      <c r="CJ210" s="50" t="e">
        <f t="shared" si="120"/>
        <v>#VALUE!</v>
      </c>
      <c r="CL210" s="9" t="s">
        <v>343</v>
      </c>
      <c r="CM210" s="9" t="s">
        <v>1284</v>
      </c>
      <c r="CN210" s="55" t="s">
        <v>1284</v>
      </c>
      <c r="CO210" s="9" t="s">
        <v>1284</v>
      </c>
    </row>
    <row r="211" spans="1:93" s="9" customFormat="1" x14ac:dyDescent="0.25">
      <c r="A211" s="9" t="s">
        <v>343</v>
      </c>
      <c r="B211" s="50">
        <f>((5.01*10^-7)^-1)*10^-6</f>
        <v>1.9960079840319362</v>
      </c>
      <c r="C211" s="50" t="s">
        <v>22</v>
      </c>
      <c r="D211" s="50" t="s">
        <v>22</v>
      </c>
      <c r="E211" s="50" t="s">
        <v>22</v>
      </c>
      <c r="F211" s="9" t="s">
        <v>22</v>
      </c>
      <c r="G211" s="9" t="s">
        <v>22</v>
      </c>
      <c r="H211" s="9" t="s">
        <v>22</v>
      </c>
      <c r="I211" s="9" t="s">
        <v>22</v>
      </c>
      <c r="J211" s="50" t="s">
        <v>22</v>
      </c>
      <c r="K211" s="9" t="s">
        <v>22</v>
      </c>
      <c r="L211" s="50" t="e">
        <f>IF((10^-12)*J211*K211^4=0,"",(10^-12)*J211*K211^4)</f>
        <v>#VALUE!</v>
      </c>
      <c r="M211" s="9" t="s">
        <v>45</v>
      </c>
      <c r="N211" s="50" t="s">
        <v>22</v>
      </c>
      <c r="O211" s="50" t="s">
        <v>22</v>
      </c>
      <c r="P211" s="50" t="s">
        <v>22</v>
      </c>
      <c r="Q211" s="50"/>
      <c r="R211" s="50" t="s">
        <v>22</v>
      </c>
      <c r="S211" s="50" t="s">
        <v>22</v>
      </c>
      <c r="T211" s="50" t="s">
        <v>22</v>
      </c>
      <c r="U211" s="50" t="s">
        <v>22</v>
      </c>
      <c r="V211" s="9">
        <v>20200719</v>
      </c>
      <c r="W211" s="21"/>
      <c r="X211" s="21">
        <v>1998</v>
      </c>
      <c r="Y211" s="9" t="s">
        <v>343</v>
      </c>
      <c r="Z211" s="9" t="s">
        <v>1105</v>
      </c>
      <c r="AA211" s="9" t="s">
        <v>1108</v>
      </c>
      <c r="AB211" s="50"/>
      <c r="AC211" s="9" t="s">
        <v>22</v>
      </c>
      <c r="AD211" s="50" t="s">
        <v>22</v>
      </c>
      <c r="AE211" s="50" t="s">
        <v>22</v>
      </c>
      <c r="AF211" s="50" t="s">
        <v>22</v>
      </c>
      <c r="AG211" s="50">
        <v>160.39040798201199</v>
      </c>
      <c r="AH211" s="50">
        <v>0.97431773087170903</v>
      </c>
      <c r="AI211" s="50">
        <v>0.97431773087170903</v>
      </c>
      <c r="AJ211" s="50">
        <v>0.97463292957160896</v>
      </c>
      <c r="AK211" s="50">
        <v>0.94219543075265899</v>
      </c>
      <c r="AL211" s="50">
        <v>1.0023016307942301</v>
      </c>
      <c r="AM211" s="43">
        <f t="shared" si="100"/>
        <v>1.0287215340908189</v>
      </c>
      <c r="AN211" s="43">
        <f t="shared" si="101"/>
        <v>1.0283888430024446</v>
      </c>
      <c r="AO211" s="21" t="s">
        <v>1109</v>
      </c>
      <c r="AT211" s="2">
        <f t="shared" si="102"/>
        <v>5</v>
      </c>
      <c r="AU211" s="45">
        <f t="shared" si="103"/>
        <v>0.30016227413275431</v>
      </c>
      <c r="AV211" s="45" t="e">
        <f t="shared" si="104"/>
        <v>#VALUE!</v>
      </c>
      <c r="AW211" s="45" t="e">
        <f t="shared" si="105"/>
        <v>#VALUE!</v>
      </c>
      <c r="AX211" s="45" t="e">
        <f t="shared" si="106"/>
        <v>#VALUE!</v>
      </c>
      <c r="AY211" s="45" t="e">
        <f t="shared" si="107"/>
        <v>#VALUE!</v>
      </c>
      <c r="AZ211" s="45" t="e">
        <f t="shared" si="108"/>
        <v>#VALUE!</v>
      </c>
      <c r="BA211" s="45" t="e">
        <f t="shared" si="109"/>
        <v>#VALUE!</v>
      </c>
      <c r="BB211" s="45" t="e">
        <f t="shared" si="110"/>
        <v>#VALUE!</v>
      </c>
      <c r="BC211" s="45" t="e">
        <f t="shared" si="111"/>
        <v>#VALUE!</v>
      </c>
      <c r="BD211" s="45" t="e">
        <f t="shared" si="112"/>
        <v>#VALUE!</v>
      </c>
      <c r="BE211" s="45" t="e">
        <f t="shared" si="113"/>
        <v>#VALUE!</v>
      </c>
      <c r="BF211" s="45">
        <f t="shared" si="114"/>
        <v>1.2297830958288203E-2</v>
      </c>
      <c r="BG211" s="45">
        <f t="shared" si="115"/>
        <v>1.2157356332591919E-2</v>
      </c>
      <c r="BH211" s="45" t="e">
        <f t="shared" si="116"/>
        <v>#NUM!</v>
      </c>
      <c r="BI211" s="43" t="e">
        <f t="shared" si="117"/>
        <v>#VALUE!</v>
      </c>
      <c r="BL211" s="20"/>
      <c r="BM211" s="50"/>
      <c r="BN211" s="50"/>
      <c r="BO211" s="50"/>
      <c r="BP211" s="50"/>
      <c r="BQ211" s="50"/>
      <c r="BR211" s="50"/>
      <c r="BU211" s="50"/>
      <c r="BV211" s="50"/>
      <c r="BW211" s="50"/>
      <c r="BX211" s="50"/>
      <c r="BY211" s="50"/>
      <c r="BZ211" s="50"/>
      <c r="CA211" s="50" t="s">
        <v>22</v>
      </c>
      <c r="CE211" s="50"/>
      <c r="CF211" s="50"/>
      <c r="CG211" s="50"/>
      <c r="CH211" s="50"/>
      <c r="CI211" s="50" t="str">
        <f t="shared" si="119"/>
        <v>Not Reported/ Can not calculate</v>
      </c>
      <c r="CJ211" s="50" t="e">
        <f t="shared" si="120"/>
        <v>#VALUE!</v>
      </c>
      <c r="CL211" s="9" t="s">
        <v>343</v>
      </c>
      <c r="CM211" s="9" t="s">
        <v>1284</v>
      </c>
      <c r="CN211" s="55" t="s">
        <v>1284</v>
      </c>
      <c r="CO211" s="9" t="s">
        <v>1284</v>
      </c>
    </row>
    <row r="212" spans="1:93" s="9" customFormat="1" x14ac:dyDescent="0.25">
      <c r="A212" s="9" t="s">
        <v>343</v>
      </c>
      <c r="B212" s="50">
        <f>41000*100*10^-6</f>
        <v>4.0999999999999996</v>
      </c>
      <c r="C212" s="50" t="s">
        <v>22</v>
      </c>
      <c r="D212" s="50" t="s">
        <v>22</v>
      </c>
      <c r="E212" s="50" t="s">
        <v>22</v>
      </c>
      <c r="F212" s="9" t="s">
        <v>22</v>
      </c>
      <c r="G212" s="9" t="s">
        <v>22</v>
      </c>
      <c r="H212" s="9" t="s">
        <v>22</v>
      </c>
      <c r="I212" s="9" t="s">
        <v>22</v>
      </c>
      <c r="J212" s="50" t="s">
        <v>22</v>
      </c>
      <c r="K212" s="9" t="s">
        <v>22</v>
      </c>
      <c r="L212" s="50" t="e">
        <f>IF((10^-12)*J212*K212^4=0,"",(10^-12)*J212*K212^4)</f>
        <v>#VALUE!</v>
      </c>
      <c r="M212" s="9" t="s">
        <v>45</v>
      </c>
      <c r="N212" s="50" t="s">
        <v>22</v>
      </c>
      <c r="O212" s="50" t="s">
        <v>22</v>
      </c>
      <c r="P212" s="50" t="s">
        <v>22</v>
      </c>
      <c r="Q212" s="50"/>
      <c r="R212" s="50" t="s">
        <v>22</v>
      </c>
      <c r="S212" s="50" t="s">
        <v>22</v>
      </c>
      <c r="T212" s="50" t="s">
        <v>22</v>
      </c>
      <c r="U212" s="50" t="s">
        <v>22</v>
      </c>
      <c r="V212" s="9">
        <v>20200719</v>
      </c>
      <c r="W212" s="21"/>
      <c r="X212" s="21">
        <v>1998</v>
      </c>
      <c r="Y212" s="9" t="s">
        <v>343</v>
      </c>
      <c r="Z212" s="9" t="s">
        <v>1105</v>
      </c>
      <c r="AA212" s="9" t="s">
        <v>1108</v>
      </c>
      <c r="AB212" s="50"/>
      <c r="AC212" s="9" t="s">
        <v>22</v>
      </c>
      <c r="AD212" s="50" t="s">
        <v>22</v>
      </c>
      <c r="AE212" s="50" t="s">
        <v>22</v>
      </c>
      <c r="AF212" s="50" t="s">
        <v>22</v>
      </c>
      <c r="AG212" s="50" t="s">
        <v>22</v>
      </c>
      <c r="AH212" s="50">
        <v>1.42537853475674</v>
      </c>
      <c r="AI212" s="50">
        <v>1.42537853475674</v>
      </c>
      <c r="AJ212" s="50">
        <v>1.4409078314725701</v>
      </c>
      <c r="AK212" s="50">
        <v>1.55287914595387</v>
      </c>
      <c r="AL212" s="50">
        <v>2.46272675413576</v>
      </c>
      <c r="AM212" s="43">
        <f t="shared" si="100"/>
        <v>1.7277703389549481</v>
      </c>
      <c r="AN212" s="43">
        <f t="shared" si="101"/>
        <v>1.7091493989722562</v>
      </c>
      <c r="AO212" s="21" t="s">
        <v>1109</v>
      </c>
      <c r="AT212" s="2">
        <f t="shared" si="102"/>
        <v>5</v>
      </c>
      <c r="AU212" s="45">
        <f t="shared" si="103"/>
        <v>0.61278385671973545</v>
      </c>
      <c r="AV212" s="45" t="e">
        <f t="shared" si="104"/>
        <v>#VALUE!</v>
      </c>
      <c r="AW212" s="45" t="e">
        <f t="shared" si="105"/>
        <v>#VALUE!</v>
      </c>
      <c r="AX212" s="45" t="e">
        <f t="shared" si="106"/>
        <v>#VALUE!</v>
      </c>
      <c r="AY212" s="45" t="e">
        <f t="shared" si="107"/>
        <v>#VALUE!</v>
      </c>
      <c r="AZ212" s="45" t="e">
        <f t="shared" si="108"/>
        <v>#VALUE!</v>
      </c>
      <c r="BA212" s="45" t="e">
        <f t="shared" si="109"/>
        <v>#VALUE!</v>
      </c>
      <c r="BB212" s="45" t="e">
        <f t="shared" si="110"/>
        <v>#VALUE!</v>
      </c>
      <c r="BC212" s="45" t="e">
        <f t="shared" si="111"/>
        <v>#VALUE!</v>
      </c>
      <c r="BD212" s="45" t="e">
        <f t="shared" si="112"/>
        <v>#VALUE!</v>
      </c>
      <c r="BE212" s="45" t="e">
        <f t="shared" si="113"/>
        <v>#VALUE!</v>
      </c>
      <c r="BF212" s="45">
        <f t="shared" si="114"/>
        <v>0.23748601409588174</v>
      </c>
      <c r="BG212" s="45">
        <f t="shared" si="115"/>
        <v>0.23278002662559932</v>
      </c>
      <c r="BH212" s="45" t="e">
        <f t="shared" si="116"/>
        <v>#NUM!</v>
      </c>
      <c r="BI212" s="43" t="e">
        <f t="shared" si="117"/>
        <v>#VALUE!</v>
      </c>
      <c r="BL212" s="20"/>
      <c r="BM212" s="50"/>
      <c r="BN212" s="50"/>
      <c r="BO212" s="50"/>
      <c r="BP212" s="50"/>
      <c r="BQ212" s="50"/>
      <c r="BR212" s="50"/>
      <c r="BU212" s="50"/>
      <c r="BV212" s="50"/>
      <c r="BW212" s="50"/>
      <c r="BX212" s="50"/>
      <c r="BY212" s="50"/>
      <c r="BZ212" s="50"/>
      <c r="CA212" s="50" t="s">
        <v>22</v>
      </c>
      <c r="CE212" s="50"/>
      <c r="CF212" s="50"/>
      <c r="CG212" s="50"/>
      <c r="CH212" s="50"/>
      <c r="CI212" s="50" t="str">
        <f t="shared" si="119"/>
        <v>Not Reported/ Can not calculate</v>
      </c>
      <c r="CJ212" s="50" t="e">
        <f t="shared" si="120"/>
        <v>#VALUE!</v>
      </c>
      <c r="CL212" s="9" t="s">
        <v>343</v>
      </c>
      <c r="CM212" s="9" t="s">
        <v>1284</v>
      </c>
      <c r="CN212" s="55" t="s">
        <v>1284</v>
      </c>
      <c r="CO212" s="9" t="s">
        <v>1284</v>
      </c>
    </row>
    <row r="213" spans="1:93" x14ac:dyDescent="0.25">
      <c r="A213" t="s">
        <v>369</v>
      </c>
      <c r="V213">
        <v>20200516</v>
      </c>
      <c r="X213" s="18"/>
      <c r="Y213" s="18"/>
      <c r="Z213" s="18"/>
      <c r="AA213" s="18"/>
      <c r="AC213" s="18"/>
      <c r="AF213" s="41">
        <v>2000</v>
      </c>
      <c r="AM213" s="43" t="e">
        <f t="shared" si="100"/>
        <v>#DIV/0!</v>
      </c>
      <c r="AN213" s="43" t="e">
        <f t="shared" si="101"/>
        <v>#DIV/0!</v>
      </c>
      <c r="AO213" s="3" t="s">
        <v>756</v>
      </c>
      <c r="AT213" s="2">
        <f t="shared" si="102"/>
        <v>1</v>
      </c>
      <c r="AU213" s="45" t="e">
        <f t="shared" si="103"/>
        <v>#NUM!</v>
      </c>
      <c r="AV213" s="45" t="e">
        <f t="shared" si="104"/>
        <v>#NUM!</v>
      </c>
      <c r="AW213" s="45" t="e">
        <f t="shared" si="105"/>
        <v>#NUM!</v>
      </c>
      <c r="AX213" s="45" t="e">
        <f t="shared" si="106"/>
        <v>#NUM!</v>
      </c>
      <c r="AY213" s="45" t="e">
        <f t="shared" si="107"/>
        <v>#NUM!</v>
      </c>
      <c r="AZ213" s="45" t="e">
        <f t="shared" si="108"/>
        <v>#NUM!</v>
      </c>
      <c r="BA213" s="45" t="e">
        <f t="shared" si="109"/>
        <v>#NUM!</v>
      </c>
      <c r="BB213" s="45" t="e">
        <f t="shared" si="110"/>
        <v>#NUM!</v>
      </c>
      <c r="BC213" s="45" t="e">
        <f t="shared" si="111"/>
        <v>#NUM!</v>
      </c>
      <c r="BD213" s="45" t="e">
        <f t="shared" si="112"/>
        <v>#NUM!</v>
      </c>
      <c r="BE213" s="45">
        <f t="shared" si="113"/>
        <v>3.3010299956639813</v>
      </c>
      <c r="BF213" s="45" t="e">
        <f t="shared" si="114"/>
        <v>#DIV/0!</v>
      </c>
      <c r="BG213" s="45" t="e">
        <f t="shared" si="115"/>
        <v>#DIV/0!</v>
      </c>
      <c r="BH213" s="45" t="e">
        <f t="shared" si="116"/>
        <v>#NUM!</v>
      </c>
      <c r="BI213" s="43">
        <f t="shared" si="117"/>
        <v>3.3010299956639813</v>
      </c>
      <c r="CA213" s="41" t="s">
        <v>22</v>
      </c>
      <c r="CC213" t="s">
        <v>22</v>
      </c>
      <c r="CE213" s="41" t="s">
        <v>22</v>
      </c>
      <c r="CF213" s="41" t="s">
        <v>22</v>
      </c>
      <c r="CG213" s="41" t="s">
        <v>22</v>
      </c>
      <c r="CH213" s="41" t="s">
        <v>22</v>
      </c>
      <c r="CI213" s="41" t="s">
        <v>22</v>
      </c>
      <c r="CJ213" s="41" t="e">
        <f t="shared" ref="CJ213:CJ230" si="121">LOG10(CI213)</f>
        <v>#VALUE!</v>
      </c>
      <c r="CL213" s="9" t="s">
        <v>1268</v>
      </c>
      <c r="CM213" s="18" t="s">
        <v>1284</v>
      </c>
      <c r="CN213" s="54" t="s">
        <v>1284</v>
      </c>
      <c r="CO213" s="18" t="s">
        <v>1284</v>
      </c>
    </row>
    <row r="214" spans="1:93" x14ac:dyDescent="0.25">
      <c r="A214" t="s">
        <v>352</v>
      </c>
      <c r="B214" s="41">
        <v>0.19</v>
      </c>
      <c r="C214" s="41">
        <v>2.1</v>
      </c>
      <c r="D214" s="43">
        <f>0.001*(B214*10^6)/(C214*0.001*100^3)</f>
        <v>9.047619047619046E-2</v>
      </c>
      <c r="E214" s="41" t="s">
        <v>22</v>
      </c>
      <c r="F214" t="s">
        <v>22</v>
      </c>
      <c r="G214" t="s">
        <v>22</v>
      </c>
      <c r="H214" t="s">
        <v>22</v>
      </c>
      <c r="I214" t="s">
        <v>22</v>
      </c>
      <c r="J214" s="41" t="s">
        <v>22</v>
      </c>
      <c r="K214" t="s">
        <v>22</v>
      </c>
      <c r="L214" s="41" t="s">
        <v>22</v>
      </c>
      <c r="M214" t="s">
        <v>23</v>
      </c>
      <c r="N214" s="41" t="s">
        <v>22</v>
      </c>
      <c r="O214" s="41" t="s">
        <v>22</v>
      </c>
      <c r="P214" s="41" t="s">
        <v>22</v>
      </c>
      <c r="R214" s="41" t="s">
        <v>22</v>
      </c>
      <c r="S214" s="41" t="s">
        <v>22</v>
      </c>
      <c r="T214" s="41">
        <v>20</v>
      </c>
      <c r="U214" s="41">
        <v>20</v>
      </c>
      <c r="V214" s="2">
        <v>20200523</v>
      </c>
      <c r="W214" s="16" t="s">
        <v>917</v>
      </c>
      <c r="X214" s="18">
        <v>1999</v>
      </c>
      <c r="Y214" s="18" t="s">
        <v>527</v>
      </c>
      <c r="Z214" s="18" t="s">
        <v>32</v>
      </c>
      <c r="AA214" s="18"/>
      <c r="AC214" s="18" t="s">
        <v>514</v>
      </c>
      <c r="AD214" s="41" t="s">
        <v>22</v>
      </c>
      <c r="AE214" s="41" t="s">
        <v>22</v>
      </c>
      <c r="AF214" s="41" t="s">
        <v>22</v>
      </c>
      <c r="AG214" s="41" t="s">
        <v>22</v>
      </c>
      <c r="AH214" s="41" t="s">
        <v>22</v>
      </c>
      <c r="AI214" s="41" t="s">
        <v>22</v>
      </c>
      <c r="AJ214" s="41" t="s">
        <v>22</v>
      </c>
      <c r="AK214" s="41" t="s">
        <v>22</v>
      </c>
      <c r="AL214" s="41" t="s">
        <v>22</v>
      </c>
      <c r="AM214" s="43" t="e">
        <f t="shared" si="100"/>
        <v>#VALUE!</v>
      </c>
      <c r="AN214" s="43" t="e">
        <f t="shared" si="101"/>
        <v>#VALUE!</v>
      </c>
      <c r="AO214" s="3" t="s">
        <v>353</v>
      </c>
      <c r="AT214" s="2">
        <f t="shared" si="102"/>
        <v>2</v>
      </c>
      <c r="AU214" s="45">
        <f t="shared" si="103"/>
        <v>-0.72124639904717103</v>
      </c>
      <c r="AV214" s="45">
        <f t="shared" si="104"/>
        <v>0.3222192947339193</v>
      </c>
      <c r="AW214" s="45">
        <f t="shared" si="105"/>
        <v>-1.0434656937810904</v>
      </c>
      <c r="AX214" s="45" t="e">
        <f t="shared" si="106"/>
        <v>#VALUE!</v>
      </c>
      <c r="AY214" s="45" t="e">
        <f t="shared" si="107"/>
        <v>#VALUE!</v>
      </c>
      <c r="AZ214" s="45" t="e">
        <f t="shared" si="108"/>
        <v>#VALUE!</v>
      </c>
      <c r="BA214" s="45" t="e">
        <f t="shared" si="109"/>
        <v>#VALUE!</v>
      </c>
      <c r="BB214" s="45" t="e">
        <f t="shared" si="110"/>
        <v>#VALUE!</v>
      </c>
      <c r="BC214" s="45">
        <f t="shared" si="111"/>
        <v>1.3010299956639813</v>
      </c>
      <c r="BD214" s="45" t="e">
        <f t="shared" si="112"/>
        <v>#VALUE!</v>
      </c>
      <c r="BE214" s="45" t="e">
        <f t="shared" si="113"/>
        <v>#VALUE!</v>
      </c>
      <c r="BF214" s="45" t="e">
        <f t="shared" si="114"/>
        <v>#VALUE!</v>
      </c>
      <c r="BG214" s="45" t="e">
        <f t="shared" si="115"/>
        <v>#VALUE!</v>
      </c>
      <c r="BH214" s="45" t="e">
        <f t="shared" si="116"/>
        <v>#NUM!</v>
      </c>
      <c r="BI214" s="43" t="e">
        <f t="shared" si="117"/>
        <v>#VALUE!</v>
      </c>
      <c r="BJ214" s="2" t="s">
        <v>520</v>
      </c>
      <c r="BK214" s="2" t="s">
        <v>521</v>
      </c>
      <c r="BL214" s="2" t="s">
        <v>871</v>
      </c>
      <c r="BM214" s="43" t="s">
        <v>22</v>
      </c>
      <c r="BN214" s="43" t="s">
        <v>22</v>
      </c>
      <c r="BO214" s="43" t="e">
        <f>BN214/(C214*1000000)</f>
        <v>#VALUE!</v>
      </c>
      <c r="BP214" s="43" t="s">
        <v>22</v>
      </c>
      <c r="BQ214" s="43" t="s">
        <v>22</v>
      </c>
      <c r="BR214" s="43" t="s">
        <v>22</v>
      </c>
      <c r="BS214" s="2" t="s">
        <v>22</v>
      </c>
      <c r="BT214" s="2" t="s">
        <v>22</v>
      </c>
      <c r="BU214" s="43" t="s">
        <v>22</v>
      </c>
      <c r="BV214" s="43" t="s">
        <v>22</v>
      </c>
      <c r="BW214" s="43" t="s">
        <v>22</v>
      </c>
      <c r="BX214" s="43" t="s">
        <v>22</v>
      </c>
      <c r="BY214" s="43" t="s">
        <v>22</v>
      </c>
      <c r="BZ214" s="43">
        <v>3.4</v>
      </c>
      <c r="CA214" s="43">
        <v>3.4</v>
      </c>
      <c r="CC214" t="s">
        <v>1009</v>
      </c>
      <c r="CE214" s="41" t="e">
        <f>LOG10(BN214)</f>
        <v>#VALUE!</v>
      </c>
      <c r="CF214" s="41" t="e">
        <f>LOG10(BV214)</f>
        <v>#VALUE!</v>
      </c>
      <c r="CG214" s="41" t="e">
        <f t="shared" ref="CG214:CG228" si="122">AD214*1000</f>
        <v>#VALUE!</v>
      </c>
      <c r="CH214" s="41" t="e">
        <f t="shared" ref="CH214:CH228" si="123">LOG10(CG214)</f>
        <v>#VALUE!</v>
      </c>
      <c r="CI214" s="41">
        <f t="shared" ref="CI214:CI230" si="124">IF(ISNUMBER(CG214),CG214,U214)</f>
        <v>20</v>
      </c>
      <c r="CJ214" s="41">
        <f t="shared" si="121"/>
        <v>1.3010299956639813</v>
      </c>
      <c r="CL214" s="9" t="s">
        <v>1269</v>
      </c>
      <c r="CM214" s="18" t="s">
        <v>1285</v>
      </c>
      <c r="CN214" s="54">
        <v>0.53147891704225514</v>
      </c>
      <c r="CO214" s="18" t="s">
        <v>1286</v>
      </c>
    </row>
    <row r="215" spans="1:93" x14ac:dyDescent="0.25">
      <c r="A215" t="s">
        <v>352</v>
      </c>
      <c r="B215" s="41">
        <v>1.4</v>
      </c>
      <c r="C215" s="41" t="s">
        <v>22</v>
      </c>
      <c r="D215" s="41" t="s">
        <v>22</v>
      </c>
      <c r="E215" s="41" t="s">
        <v>22</v>
      </c>
      <c r="F215" t="s">
        <v>22</v>
      </c>
      <c r="G215" t="s">
        <v>22</v>
      </c>
      <c r="H215" t="s">
        <v>22</v>
      </c>
      <c r="I215" t="s">
        <v>22</v>
      </c>
      <c r="J215" s="41" t="s">
        <v>22</v>
      </c>
      <c r="K215" t="s">
        <v>22</v>
      </c>
      <c r="L215" s="41" t="s">
        <v>22</v>
      </c>
      <c r="M215" t="s">
        <v>45</v>
      </c>
      <c r="N215" s="41" t="s">
        <v>22</v>
      </c>
      <c r="O215" s="41" t="s">
        <v>22</v>
      </c>
      <c r="P215" s="41" t="s">
        <v>22</v>
      </c>
      <c r="R215" s="41" t="s">
        <v>22</v>
      </c>
      <c r="S215" s="41" t="s">
        <v>22</v>
      </c>
      <c r="T215" s="41">
        <v>20</v>
      </c>
      <c r="U215" s="41">
        <v>20</v>
      </c>
      <c r="V215" s="2">
        <v>20200523</v>
      </c>
      <c r="W215" s="16" t="s">
        <v>430</v>
      </c>
      <c r="X215">
        <v>1999</v>
      </c>
      <c r="Y215" t="s">
        <v>527</v>
      </c>
      <c r="Z215" t="s">
        <v>124</v>
      </c>
      <c r="AA215" t="s">
        <v>625</v>
      </c>
      <c r="AB215" s="41">
        <v>0.19</v>
      </c>
      <c r="AC215" t="s">
        <v>514</v>
      </c>
      <c r="AD215" s="41" t="s">
        <v>22</v>
      </c>
      <c r="AE215" s="41" t="s">
        <v>22</v>
      </c>
      <c r="AF215" s="41" t="s">
        <v>22</v>
      </c>
      <c r="AG215" s="41" t="s">
        <v>22</v>
      </c>
      <c r="AH215" s="41" t="s">
        <v>22</v>
      </c>
      <c r="AI215" s="41" t="s">
        <v>22</v>
      </c>
      <c r="AJ215" s="41" t="s">
        <v>22</v>
      </c>
      <c r="AK215" s="41" t="s">
        <v>22</v>
      </c>
      <c r="AL215" s="41" t="s">
        <v>22</v>
      </c>
      <c r="AM215" s="43" t="e">
        <f t="shared" si="100"/>
        <v>#VALUE!</v>
      </c>
      <c r="AN215" s="43" t="e">
        <f t="shared" si="101"/>
        <v>#VALUE!</v>
      </c>
      <c r="AO215" s="3" t="s">
        <v>353</v>
      </c>
      <c r="AT215" s="2">
        <f t="shared" si="102"/>
        <v>2</v>
      </c>
      <c r="AU215" s="45">
        <f t="shared" si="103"/>
        <v>0.14612803567823801</v>
      </c>
      <c r="AV215" s="45" t="e">
        <f t="shared" si="104"/>
        <v>#VALUE!</v>
      </c>
      <c r="AW215" s="45" t="e">
        <f t="shared" si="105"/>
        <v>#VALUE!</v>
      </c>
      <c r="AX215" s="45" t="e">
        <f t="shared" si="106"/>
        <v>#VALUE!</v>
      </c>
      <c r="AY215" s="45" t="e">
        <f t="shared" si="107"/>
        <v>#VALUE!</v>
      </c>
      <c r="AZ215" s="45" t="e">
        <f t="shared" si="108"/>
        <v>#VALUE!</v>
      </c>
      <c r="BA215" s="45" t="e">
        <f t="shared" si="109"/>
        <v>#VALUE!</v>
      </c>
      <c r="BB215" s="45" t="e">
        <f t="shared" si="110"/>
        <v>#VALUE!</v>
      </c>
      <c r="BC215" s="45">
        <f t="shared" si="111"/>
        <v>1.3010299956639813</v>
      </c>
      <c r="BD215" s="45" t="e">
        <f t="shared" si="112"/>
        <v>#VALUE!</v>
      </c>
      <c r="BE215" s="45" t="e">
        <f t="shared" si="113"/>
        <v>#VALUE!</v>
      </c>
      <c r="BF215" s="45" t="e">
        <f t="shared" si="114"/>
        <v>#VALUE!</v>
      </c>
      <c r="BG215" s="45" t="e">
        <f t="shared" si="115"/>
        <v>#VALUE!</v>
      </c>
      <c r="BH215" s="45">
        <f t="shared" si="116"/>
        <v>-0.72124639904717103</v>
      </c>
      <c r="BI215" s="43" t="e">
        <f t="shared" si="117"/>
        <v>#VALUE!</v>
      </c>
      <c r="BJ215" s="2" t="s">
        <v>520</v>
      </c>
      <c r="BK215" s="2" t="s">
        <v>521</v>
      </c>
      <c r="BL215" s="2" t="s">
        <v>871</v>
      </c>
      <c r="BM215" s="43" t="s">
        <v>22</v>
      </c>
      <c r="BN215" s="43">
        <v>100000000000</v>
      </c>
      <c r="BO215" s="43" t="e">
        <f>BN215/(C215*1000000)</f>
        <v>#VALUE!</v>
      </c>
      <c r="BP215" s="43" t="s">
        <v>22</v>
      </c>
      <c r="BQ215" s="43" t="s">
        <v>22</v>
      </c>
      <c r="BR215" s="43" t="s">
        <v>22</v>
      </c>
      <c r="BS215" s="2" t="s">
        <v>22</v>
      </c>
      <c r="BT215" s="2" t="s">
        <v>22</v>
      </c>
      <c r="BU215" s="43" t="s">
        <v>22</v>
      </c>
      <c r="BV215" s="43" t="s">
        <v>22</v>
      </c>
      <c r="BW215" s="43" t="s">
        <v>22</v>
      </c>
      <c r="BX215" s="43" t="s">
        <v>22</v>
      </c>
      <c r="BY215" s="43" t="s">
        <v>22</v>
      </c>
      <c r="BZ215" s="43">
        <v>6</v>
      </c>
      <c r="CA215" s="43">
        <v>6</v>
      </c>
      <c r="CB215" s="20" t="s">
        <v>873</v>
      </c>
      <c r="CC215" t="s">
        <v>1009</v>
      </c>
      <c r="CE215" s="41">
        <f>LOG10(BN215)</f>
        <v>11</v>
      </c>
      <c r="CF215" s="41" t="e">
        <f>LOG10(BV215)</f>
        <v>#VALUE!</v>
      </c>
      <c r="CG215" s="41" t="e">
        <f t="shared" si="122"/>
        <v>#VALUE!</v>
      </c>
      <c r="CH215" s="41" t="e">
        <f t="shared" si="123"/>
        <v>#VALUE!</v>
      </c>
      <c r="CI215" s="41">
        <f t="shared" si="124"/>
        <v>20</v>
      </c>
      <c r="CJ215" s="41">
        <f t="shared" si="121"/>
        <v>1.3010299956639813</v>
      </c>
      <c r="CL215" s="9" t="s">
        <v>1269</v>
      </c>
      <c r="CM215" s="18" t="s">
        <v>1285</v>
      </c>
      <c r="CN215" s="54">
        <v>0.77815125038364363</v>
      </c>
      <c r="CO215" s="18" t="s">
        <v>1286</v>
      </c>
    </row>
    <row r="216" spans="1:93" x14ac:dyDescent="0.25">
      <c r="A216" t="s">
        <v>266</v>
      </c>
      <c r="B216" s="41" t="s">
        <v>190</v>
      </c>
      <c r="C216" s="41" t="s">
        <v>22</v>
      </c>
      <c r="D216" s="41" t="s">
        <v>22</v>
      </c>
      <c r="E216" s="41">
        <v>24</v>
      </c>
      <c r="F216" t="s">
        <v>22</v>
      </c>
      <c r="G216" t="s">
        <v>22</v>
      </c>
      <c r="H216">
        <v>28</v>
      </c>
      <c r="I216" t="s">
        <v>82</v>
      </c>
      <c r="J216" s="41" t="s">
        <v>22</v>
      </c>
      <c r="K216" t="s">
        <v>22</v>
      </c>
      <c r="L216" s="41" t="e">
        <f t="shared" ref="L216:L226" si="125">IF((10^-12)*J216*K216^4=0,"",(10^-12)*J216*K216^4)</f>
        <v>#VALUE!</v>
      </c>
      <c r="M216" t="s">
        <v>45</v>
      </c>
      <c r="N216" s="41" t="s">
        <v>22</v>
      </c>
      <c r="O216" s="41" t="s">
        <v>22</v>
      </c>
      <c r="P216" s="41" t="s">
        <v>22</v>
      </c>
      <c r="R216" s="41" t="s">
        <v>22</v>
      </c>
      <c r="S216" s="41" t="s">
        <v>22</v>
      </c>
      <c r="T216" s="41">
        <v>1.4</v>
      </c>
      <c r="U216" s="41">
        <v>1.4</v>
      </c>
      <c r="V216">
        <v>20200508</v>
      </c>
      <c r="W216" s="16" t="s">
        <v>191</v>
      </c>
      <c r="X216">
        <v>2000</v>
      </c>
      <c r="Y216" t="s">
        <v>59</v>
      </c>
      <c r="AC216" t="s">
        <v>514</v>
      </c>
      <c r="AD216" s="41" t="s">
        <v>22</v>
      </c>
      <c r="AE216" s="41" t="s">
        <v>22</v>
      </c>
      <c r="AF216" s="41" t="s">
        <v>22</v>
      </c>
      <c r="AG216" s="41" t="s">
        <v>22</v>
      </c>
      <c r="AH216" s="41" t="s">
        <v>22</v>
      </c>
      <c r="AI216" s="41" t="s">
        <v>22</v>
      </c>
      <c r="AJ216" s="41" t="s">
        <v>22</v>
      </c>
      <c r="AK216" s="41" t="s">
        <v>22</v>
      </c>
      <c r="AL216" s="41" t="s">
        <v>22</v>
      </c>
      <c r="AM216" s="43" t="e">
        <f t="shared" si="100"/>
        <v>#VALUE!</v>
      </c>
      <c r="AN216" s="43" t="e">
        <f t="shared" si="101"/>
        <v>#VALUE!</v>
      </c>
      <c r="AO216" s="3" t="s">
        <v>192</v>
      </c>
      <c r="AT216" s="2">
        <f t="shared" si="102"/>
        <v>4</v>
      </c>
      <c r="AU216" s="45" t="e">
        <f t="shared" si="103"/>
        <v>#VALUE!</v>
      </c>
      <c r="AV216" s="45" t="e">
        <f t="shared" si="104"/>
        <v>#VALUE!</v>
      </c>
      <c r="AW216" s="45" t="e">
        <f t="shared" si="105"/>
        <v>#VALUE!</v>
      </c>
      <c r="AX216" s="45" t="e">
        <f t="shared" si="106"/>
        <v>#VALUE!</v>
      </c>
      <c r="AY216" s="45" t="e">
        <f t="shared" si="107"/>
        <v>#VALUE!</v>
      </c>
      <c r="AZ216" s="45" t="e">
        <f t="shared" si="108"/>
        <v>#VALUE!</v>
      </c>
      <c r="BA216" s="45" t="e">
        <f t="shared" si="109"/>
        <v>#VALUE!</v>
      </c>
      <c r="BB216" s="45" t="e">
        <f t="shared" si="110"/>
        <v>#VALUE!</v>
      </c>
      <c r="BC216" s="45">
        <f t="shared" si="111"/>
        <v>0.14612803567823801</v>
      </c>
      <c r="BD216" s="45" t="e">
        <f t="shared" si="112"/>
        <v>#VALUE!</v>
      </c>
      <c r="BE216" s="45" t="e">
        <f t="shared" si="113"/>
        <v>#VALUE!</v>
      </c>
      <c r="BF216" s="45" t="e">
        <f t="shared" si="114"/>
        <v>#VALUE!</v>
      </c>
      <c r="BG216" s="45" t="e">
        <f t="shared" si="115"/>
        <v>#VALUE!</v>
      </c>
      <c r="BH216" s="45" t="e">
        <f t="shared" si="116"/>
        <v>#NUM!</v>
      </c>
      <c r="BI216" s="43" t="e">
        <f t="shared" si="117"/>
        <v>#VALUE!</v>
      </c>
      <c r="CA216" s="41" t="s">
        <v>22</v>
      </c>
      <c r="CC216" t="s">
        <v>22</v>
      </c>
      <c r="CE216" s="41" t="s">
        <v>22</v>
      </c>
      <c r="CF216" s="41" t="s">
        <v>22</v>
      </c>
      <c r="CG216" s="41" t="e">
        <f t="shared" si="122"/>
        <v>#VALUE!</v>
      </c>
      <c r="CH216" s="41" t="e">
        <f t="shared" si="123"/>
        <v>#VALUE!</v>
      </c>
      <c r="CI216" s="41">
        <f t="shared" si="124"/>
        <v>1.4</v>
      </c>
      <c r="CJ216" s="41">
        <f t="shared" si="121"/>
        <v>0.14612803567823801</v>
      </c>
      <c r="CL216" s="9" t="s">
        <v>1269</v>
      </c>
      <c r="CM216" s="18" t="s">
        <v>1285</v>
      </c>
      <c r="CN216" s="54" t="s">
        <v>1284</v>
      </c>
      <c r="CO216" s="18" t="s">
        <v>1284</v>
      </c>
    </row>
    <row r="217" spans="1:93" x14ac:dyDescent="0.25">
      <c r="A217" t="s">
        <v>266</v>
      </c>
      <c r="B217" s="41" t="s">
        <v>193</v>
      </c>
      <c r="C217" s="41" t="s">
        <v>22</v>
      </c>
      <c r="D217" s="41" t="s">
        <v>22</v>
      </c>
      <c r="F217" t="s">
        <v>22</v>
      </c>
      <c r="G217" t="s">
        <v>22</v>
      </c>
      <c r="H217" t="s">
        <v>22</v>
      </c>
      <c r="I217" t="s">
        <v>22</v>
      </c>
      <c r="J217" s="41" t="s">
        <v>22</v>
      </c>
      <c r="K217" t="s">
        <v>22</v>
      </c>
      <c r="L217" s="41" t="e">
        <f t="shared" si="125"/>
        <v>#VALUE!</v>
      </c>
      <c r="M217" t="s">
        <v>23</v>
      </c>
      <c r="N217" s="41" t="s">
        <v>22</v>
      </c>
      <c r="O217" s="41" t="s">
        <v>22</v>
      </c>
      <c r="P217" s="41" t="s">
        <v>22</v>
      </c>
      <c r="R217" s="41" t="s">
        <v>22</v>
      </c>
      <c r="S217" s="41" t="s">
        <v>22</v>
      </c>
      <c r="T217" s="41">
        <v>1.4</v>
      </c>
      <c r="U217" s="41">
        <v>1.4</v>
      </c>
      <c r="V217">
        <v>20200508</v>
      </c>
      <c r="W217" s="16" t="s">
        <v>194</v>
      </c>
      <c r="X217" s="18">
        <v>2000</v>
      </c>
      <c r="Y217" t="s">
        <v>59</v>
      </c>
      <c r="Z217" t="s">
        <v>34</v>
      </c>
      <c r="AC217" t="s">
        <v>514</v>
      </c>
      <c r="AD217" s="41" t="s">
        <v>22</v>
      </c>
      <c r="AE217" s="41" t="s">
        <v>22</v>
      </c>
      <c r="AF217" s="41" t="s">
        <v>22</v>
      </c>
      <c r="AG217" s="41" t="s">
        <v>22</v>
      </c>
      <c r="AH217" s="41" t="s">
        <v>22</v>
      </c>
      <c r="AI217" s="41" t="s">
        <v>22</v>
      </c>
      <c r="AJ217" s="41" t="s">
        <v>22</v>
      </c>
      <c r="AK217" s="41" t="s">
        <v>22</v>
      </c>
      <c r="AL217" s="41" t="s">
        <v>22</v>
      </c>
      <c r="AM217" s="43" t="e">
        <f t="shared" si="100"/>
        <v>#VALUE!</v>
      </c>
      <c r="AN217" s="43" t="e">
        <f t="shared" si="101"/>
        <v>#VALUE!</v>
      </c>
      <c r="AO217" s="19" t="s">
        <v>192</v>
      </c>
      <c r="AT217" s="2">
        <f t="shared" si="102"/>
        <v>4</v>
      </c>
      <c r="AU217" s="45" t="e">
        <f t="shared" si="103"/>
        <v>#VALUE!</v>
      </c>
      <c r="AV217" s="45" t="e">
        <f t="shared" si="104"/>
        <v>#VALUE!</v>
      </c>
      <c r="AW217" s="45" t="e">
        <f t="shared" si="105"/>
        <v>#VALUE!</v>
      </c>
      <c r="AX217" s="45" t="e">
        <f t="shared" si="106"/>
        <v>#VALUE!</v>
      </c>
      <c r="AY217" s="45" t="e">
        <f t="shared" si="107"/>
        <v>#VALUE!</v>
      </c>
      <c r="AZ217" s="45" t="e">
        <f t="shared" si="108"/>
        <v>#VALUE!</v>
      </c>
      <c r="BA217" s="45" t="e">
        <f t="shared" si="109"/>
        <v>#VALUE!</v>
      </c>
      <c r="BB217" s="45" t="e">
        <f t="shared" si="110"/>
        <v>#VALUE!</v>
      </c>
      <c r="BC217" s="45">
        <f t="shared" si="111"/>
        <v>0.14612803567823801</v>
      </c>
      <c r="BD217" s="45" t="e">
        <f t="shared" si="112"/>
        <v>#VALUE!</v>
      </c>
      <c r="BE217" s="45" t="e">
        <f t="shared" si="113"/>
        <v>#VALUE!</v>
      </c>
      <c r="BF217" s="45" t="e">
        <f t="shared" si="114"/>
        <v>#VALUE!</v>
      </c>
      <c r="BG217" s="45" t="e">
        <f t="shared" si="115"/>
        <v>#VALUE!</v>
      </c>
      <c r="BH217" s="45" t="e">
        <f t="shared" si="116"/>
        <v>#NUM!</v>
      </c>
      <c r="BI217" s="43" t="e">
        <f t="shared" si="117"/>
        <v>#VALUE!</v>
      </c>
      <c r="CA217" s="41" t="s">
        <v>22</v>
      </c>
      <c r="CC217" t="s">
        <v>22</v>
      </c>
      <c r="CE217" s="41" t="s">
        <v>22</v>
      </c>
      <c r="CF217" s="41" t="s">
        <v>22</v>
      </c>
      <c r="CG217" s="41" t="e">
        <f t="shared" si="122"/>
        <v>#VALUE!</v>
      </c>
      <c r="CH217" s="41" t="e">
        <f t="shared" si="123"/>
        <v>#VALUE!</v>
      </c>
      <c r="CI217" s="41">
        <f t="shared" si="124"/>
        <v>1.4</v>
      </c>
      <c r="CJ217" s="41">
        <f t="shared" si="121"/>
        <v>0.14612803567823801</v>
      </c>
      <c r="CL217" s="9" t="s">
        <v>1269</v>
      </c>
      <c r="CM217" s="18" t="s">
        <v>1285</v>
      </c>
      <c r="CN217" s="54" t="s">
        <v>1284</v>
      </c>
      <c r="CO217" s="18" t="s">
        <v>1284</v>
      </c>
    </row>
    <row r="218" spans="1:93" x14ac:dyDescent="0.25">
      <c r="A218" t="s">
        <v>266</v>
      </c>
      <c r="B218" s="41" t="s">
        <v>195</v>
      </c>
      <c r="C218" s="41" t="s">
        <v>22</v>
      </c>
      <c r="D218" s="41" t="s">
        <v>22</v>
      </c>
      <c r="E218" s="41">
        <v>6</v>
      </c>
      <c r="F218" t="s">
        <v>22</v>
      </c>
      <c r="G218" t="s">
        <v>22</v>
      </c>
      <c r="H218">
        <v>35</v>
      </c>
      <c r="I218" t="s">
        <v>82</v>
      </c>
      <c r="J218" s="41" t="s">
        <v>22</v>
      </c>
      <c r="K218" t="s">
        <v>22</v>
      </c>
      <c r="L218" s="41" t="e">
        <f t="shared" si="125"/>
        <v>#VALUE!</v>
      </c>
      <c r="M218" t="s">
        <v>45</v>
      </c>
      <c r="N218" s="41" t="s">
        <v>22</v>
      </c>
      <c r="O218" s="41" t="s">
        <v>22</v>
      </c>
      <c r="P218" s="41" t="s">
        <v>22</v>
      </c>
      <c r="R218" s="41" t="s">
        <v>22</v>
      </c>
      <c r="S218" s="41" t="s">
        <v>22</v>
      </c>
      <c r="T218" s="41">
        <v>1.4</v>
      </c>
      <c r="U218" s="41">
        <v>1.4</v>
      </c>
      <c r="V218">
        <v>20200508</v>
      </c>
      <c r="W218" s="16" t="s">
        <v>196</v>
      </c>
      <c r="X218" s="18">
        <v>2000</v>
      </c>
      <c r="Y218" t="s">
        <v>59</v>
      </c>
      <c r="AC218" t="s">
        <v>514</v>
      </c>
      <c r="AD218" s="41" t="s">
        <v>22</v>
      </c>
      <c r="AE218" s="41" t="s">
        <v>22</v>
      </c>
      <c r="AF218" s="41" t="s">
        <v>22</v>
      </c>
      <c r="AG218" s="41">
        <v>160</v>
      </c>
      <c r="AH218" s="41">
        <v>1.3255731922398499</v>
      </c>
      <c r="AI218" s="41" t="s">
        <v>22</v>
      </c>
      <c r="AJ218" s="41">
        <v>1.3255731922398499</v>
      </c>
      <c r="AK218" s="41">
        <v>0.98977072310405501</v>
      </c>
      <c r="AL218" s="41">
        <v>1.005291005291</v>
      </c>
      <c r="AM218" s="43" t="e">
        <f t="shared" si="100"/>
        <v>#VALUE!</v>
      </c>
      <c r="AN218" s="43">
        <f t="shared" si="101"/>
        <v>0.7583821181479522</v>
      </c>
      <c r="AO218" s="19" t="s">
        <v>192</v>
      </c>
      <c r="AT218" s="2">
        <f t="shared" si="102"/>
        <v>4</v>
      </c>
      <c r="AU218" s="45" t="e">
        <f t="shared" si="103"/>
        <v>#VALUE!</v>
      </c>
      <c r="AV218" s="45" t="e">
        <f t="shared" si="104"/>
        <v>#VALUE!</v>
      </c>
      <c r="AW218" s="45" t="e">
        <f t="shared" si="105"/>
        <v>#VALUE!</v>
      </c>
      <c r="AX218" s="45" t="e">
        <f t="shared" si="106"/>
        <v>#VALUE!</v>
      </c>
      <c r="AY218" s="45" t="e">
        <f t="shared" si="107"/>
        <v>#VALUE!</v>
      </c>
      <c r="AZ218" s="45" t="e">
        <f t="shared" si="108"/>
        <v>#VALUE!</v>
      </c>
      <c r="BA218" s="45" t="e">
        <f t="shared" si="109"/>
        <v>#VALUE!</v>
      </c>
      <c r="BB218" s="45" t="e">
        <f t="shared" si="110"/>
        <v>#VALUE!</v>
      </c>
      <c r="BC218" s="45">
        <f t="shared" si="111"/>
        <v>0.14612803567823801</v>
      </c>
      <c r="BD218" s="45" t="e">
        <f t="shared" si="112"/>
        <v>#VALUE!</v>
      </c>
      <c r="BE218" s="45" t="e">
        <f t="shared" si="113"/>
        <v>#VALUE!</v>
      </c>
      <c r="BF218" s="45" t="e">
        <f t="shared" si="114"/>
        <v>#VALUE!</v>
      </c>
      <c r="BG218" s="45">
        <f t="shared" si="115"/>
        <v>-0.12011191575599593</v>
      </c>
      <c r="BH218" s="45" t="e">
        <f t="shared" si="116"/>
        <v>#NUM!</v>
      </c>
      <c r="BI218" s="43" t="e">
        <f t="shared" si="117"/>
        <v>#VALUE!</v>
      </c>
      <c r="CA218" s="41" t="s">
        <v>22</v>
      </c>
      <c r="CC218" t="s">
        <v>22</v>
      </c>
      <c r="CE218" s="41" t="s">
        <v>22</v>
      </c>
      <c r="CF218" s="41" t="s">
        <v>22</v>
      </c>
      <c r="CG218" s="41" t="e">
        <f t="shared" si="122"/>
        <v>#VALUE!</v>
      </c>
      <c r="CH218" s="41" t="e">
        <f t="shared" si="123"/>
        <v>#VALUE!</v>
      </c>
      <c r="CI218" s="41">
        <f t="shared" si="124"/>
        <v>1.4</v>
      </c>
      <c r="CJ218" s="41">
        <f t="shared" si="121"/>
        <v>0.14612803567823801</v>
      </c>
      <c r="CL218" s="9" t="s">
        <v>1269</v>
      </c>
      <c r="CM218" s="18" t="s">
        <v>1285</v>
      </c>
      <c r="CN218" s="54" t="s">
        <v>1284</v>
      </c>
      <c r="CO218" s="18" t="s">
        <v>1284</v>
      </c>
    </row>
    <row r="219" spans="1:93" x14ac:dyDescent="0.25">
      <c r="A219" t="s">
        <v>266</v>
      </c>
      <c r="B219" s="41" t="s">
        <v>197</v>
      </c>
      <c r="C219" s="41" t="s">
        <v>22</v>
      </c>
      <c r="D219" s="41" t="s">
        <v>22</v>
      </c>
      <c r="E219" s="41">
        <v>6</v>
      </c>
      <c r="F219" t="s">
        <v>22</v>
      </c>
      <c r="G219" t="s">
        <v>22</v>
      </c>
      <c r="H219" t="s">
        <v>22</v>
      </c>
      <c r="I219" t="s">
        <v>22</v>
      </c>
      <c r="J219" s="41" t="s">
        <v>22</v>
      </c>
      <c r="K219" t="s">
        <v>22</v>
      </c>
      <c r="L219" s="41" t="e">
        <f t="shared" si="125"/>
        <v>#VALUE!</v>
      </c>
      <c r="M219" t="s">
        <v>23</v>
      </c>
      <c r="N219" s="41" t="s">
        <v>22</v>
      </c>
      <c r="O219" s="41" t="s">
        <v>22</v>
      </c>
      <c r="P219" s="41" t="s">
        <v>22</v>
      </c>
      <c r="R219" s="41" t="s">
        <v>22</v>
      </c>
      <c r="S219" s="41" t="s">
        <v>22</v>
      </c>
      <c r="T219" s="41">
        <v>1.4</v>
      </c>
      <c r="U219" s="41">
        <v>1.4</v>
      </c>
      <c r="V219">
        <v>20200508</v>
      </c>
      <c r="W219" s="16" t="s">
        <v>198</v>
      </c>
      <c r="X219" s="18">
        <v>2000</v>
      </c>
      <c r="Y219" t="s">
        <v>59</v>
      </c>
      <c r="Z219" t="s">
        <v>34</v>
      </c>
      <c r="AC219" s="18" t="s">
        <v>514</v>
      </c>
      <c r="AD219" s="41" t="s">
        <v>22</v>
      </c>
      <c r="AE219" s="41" t="s">
        <v>22</v>
      </c>
      <c r="AF219" s="41">
        <v>216.5</v>
      </c>
      <c r="AG219" s="41" t="s">
        <v>22</v>
      </c>
      <c r="AH219" s="41">
        <v>2.2906525573192198</v>
      </c>
      <c r="AI219" s="41" t="s">
        <v>22</v>
      </c>
      <c r="AJ219" s="41">
        <v>2.2906525573192198</v>
      </c>
      <c r="AK219" s="41">
        <v>1.3227513227513199</v>
      </c>
      <c r="AL219" s="41">
        <v>1.005291005291</v>
      </c>
      <c r="AM219" s="43" t="e">
        <f t="shared" si="100"/>
        <v>#VALUE!</v>
      </c>
      <c r="AN219" s="43">
        <f t="shared" si="101"/>
        <v>0.43886664613489224</v>
      </c>
      <c r="AO219" s="3" t="s">
        <v>192</v>
      </c>
      <c r="AT219" s="2">
        <f t="shared" si="102"/>
        <v>4</v>
      </c>
      <c r="AU219" s="45" t="e">
        <f t="shared" si="103"/>
        <v>#VALUE!</v>
      </c>
      <c r="AV219" s="45" t="e">
        <f t="shared" si="104"/>
        <v>#VALUE!</v>
      </c>
      <c r="AW219" s="45" t="e">
        <f t="shared" si="105"/>
        <v>#VALUE!</v>
      </c>
      <c r="AX219" s="45" t="e">
        <f t="shared" si="106"/>
        <v>#VALUE!</v>
      </c>
      <c r="AY219" s="45" t="e">
        <f t="shared" si="107"/>
        <v>#VALUE!</v>
      </c>
      <c r="AZ219" s="45" t="e">
        <f t="shared" si="108"/>
        <v>#VALUE!</v>
      </c>
      <c r="BA219" s="45" t="e">
        <f t="shared" si="109"/>
        <v>#VALUE!</v>
      </c>
      <c r="BB219" s="45" t="e">
        <f t="shared" si="110"/>
        <v>#VALUE!</v>
      </c>
      <c r="BC219" s="45">
        <f t="shared" si="111"/>
        <v>0.14612803567823801</v>
      </c>
      <c r="BD219" s="45" t="e">
        <f t="shared" si="112"/>
        <v>#VALUE!</v>
      </c>
      <c r="BE219" s="45">
        <f t="shared" si="113"/>
        <v>2.3354579006893843</v>
      </c>
      <c r="BF219" s="45" t="e">
        <f t="shared" si="114"/>
        <v>#VALUE!</v>
      </c>
      <c r="BG219" s="45">
        <f t="shared" si="115"/>
        <v>-0.35766742428147397</v>
      </c>
      <c r="BH219" s="45" t="e">
        <f t="shared" si="116"/>
        <v>#NUM!</v>
      </c>
      <c r="BI219" s="43">
        <f t="shared" si="117"/>
        <v>2.3354579006893843</v>
      </c>
      <c r="CA219" s="41" t="s">
        <v>22</v>
      </c>
      <c r="CC219" t="s">
        <v>22</v>
      </c>
      <c r="CE219" s="41" t="s">
        <v>22</v>
      </c>
      <c r="CF219" s="41" t="s">
        <v>22</v>
      </c>
      <c r="CG219" s="41" t="e">
        <f t="shared" si="122"/>
        <v>#VALUE!</v>
      </c>
      <c r="CH219" s="41" t="e">
        <f t="shared" si="123"/>
        <v>#VALUE!</v>
      </c>
      <c r="CI219" s="41">
        <f t="shared" si="124"/>
        <v>1.4</v>
      </c>
      <c r="CJ219" s="41">
        <f t="shared" si="121"/>
        <v>0.14612803567823801</v>
      </c>
      <c r="CL219" s="9" t="s">
        <v>1269</v>
      </c>
      <c r="CM219" s="18" t="s">
        <v>1285</v>
      </c>
      <c r="CN219" s="54" t="s">
        <v>1284</v>
      </c>
      <c r="CO219" s="18" t="s">
        <v>1284</v>
      </c>
    </row>
    <row r="220" spans="1:93" x14ac:dyDescent="0.25">
      <c r="A220" t="s">
        <v>352</v>
      </c>
      <c r="B220" s="41" t="s">
        <v>22</v>
      </c>
      <c r="C220" s="41">
        <v>2.1</v>
      </c>
      <c r="D220" s="41" t="s">
        <v>22</v>
      </c>
      <c r="E220" s="41" t="s">
        <v>22</v>
      </c>
      <c r="F220" t="s">
        <v>22</v>
      </c>
      <c r="G220" t="s">
        <v>22</v>
      </c>
      <c r="H220" t="s">
        <v>22</v>
      </c>
      <c r="I220" t="s">
        <v>22</v>
      </c>
      <c r="J220" s="41" t="s">
        <v>22</v>
      </c>
      <c r="K220" t="s">
        <v>22</v>
      </c>
      <c r="L220" s="41" t="e">
        <f t="shared" si="125"/>
        <v>#VALUE!</v>
      </c>
      <c r="M220" t="s">
        <v>23</v>
      </c>
      <c r="N220" s="41">
        <v>1411.5073133722674</v>
      </c>
      <c r="O220" s="41">
        <f t="shared" ref="O220:O226" si="126">0.001*N220/C220</f>
        <v>0.67214633970107962</v>
      </c>
      <c r="P220" s="41" t="s">
        <v>22</v>
      </c>
      <c r="R220" s="41" t="s">
        <v>22</v>
      </c>
      <c r="S220" s="41" t="s">
        <v>22</v>
      </c>
      <c r="T220" s="41">
        <v>19</v>
      </c>
      <c r="U220" s="41">
        <v>19</v>
      </c>
      <c r="V220">
        <v>20200512</v>
      </c>
      <c r="W220" s="16" t="s">
        <v>924</v>
      </c>
      <c r="X220" s="18">
        <v>2000</v>
      </c>
      <c r="Y220" t="s">
        <v>527</v>
      </c>
      <c r="Z220" t="s">
        <v>32</v>
      </c>
      <c r="AC220" s="18" t="s">
        <v>514</v>
      </c>
      <c r="AD220" s="41" t="s">
        <v>22</v>
      </c>
      <c r="AE220" s="41" t="s">
        <v>22</v>
      </c>
      <c r="AF220" s="41" t="s">
        <v>22</v>
      </c>
      <c r="AG220" s="41" t="s">
        <v>22</v>
      </c>
      <c r="AH220" s="41" t="s">
        <v>22</v>
      </c>
      <c r="AI220" s="41" t="s">
        <v>22</v>
      </c>
      <c r="AJ220" s="41" t="s">
        <v>22</v>
      </c>
      <c r="AK220" s="41" t="s">
        <v>22</v>
      </c>
      <c r="AL220" s="41" t="s">
        <v>22</v>
      </c>
      <c r="AM220" s="43" t="e">
        <f t="shared" si="100"/>
        <v>#VALUE!</v>
      </c>
      <c r="AN220" s="43" t="e">
        <f t="shared" si="101"/>
        <v>#VALUE!</v>
      </c>
      <c r="AO220" s="3" t="s">
        <v>360</v>
      </c>
      <c r="AT220" s="2">
        <f t="shared" si="102"/>
        <v>7</v>
      </c>
      <c r="AU220" s="45" t="e">
        <f t="shared" si="103"/>
        <v>#VALUE!</v>
      </c>
      <c r="AV220" s="45">
        <f t="shared" si="104"/>
        <v>0.3222192947339193</v>
      </c>
      <c r="AW220" s="45" t="e">
        <f t="shared" si="105"/>
        <v>#VALUE!</v>
      </c>
      <c r="AX220" s="45">
        <f t="shared" si="106"/>
        <v>3.149683132677052</v>
      </c>
      <c r="AY220" s="45">
        <f t="shared" si="107"/>
        <v>-0.17253616205686739</v>
      </c>
      <c r="AZ220" s="45" t="e">
        <f t="shared" si="108"/>
        <v>#VALUE!</v>
      </c>
      <c r="BA220" s="45" t="e">
        <f t="shared" si="109"/>
        <v>#VALUE!</v>
      </c>
      <c r="BB220" s="45" t="e">
        <f t="shared" si="110"/>
        <v>#VALUE!</v>
      </c>
      <c r="BC220" s="45">
        <f t="shared" si="111"/>
        <v>1.2787536009528289</v>
      </c>
      <c r="BD220" s="45" t="e">
        <f t="shared" si="112"/>
        <v>#VALUE!</v>
      </c>
      <c r="BE220" s="45" t="e">
        <f t="shared" si="113"/>
        <v>#VALUE!</v>
      </c>
      <c r="BF220" s="45" t="e">
        <f t="shared" si="114"/>
        <v>#VALUE!</v>
      </c>
      <c r="BG220" s="45" t="e">
        <f t="shared" si="115"/>
        <v>#VALUE!</v>
      </c>
      <c r="BH220" s="45" t="e">
        <f t="shared" si="116"/>
        <v>#NUM!</v>
      </c>
      <c r="BI220" s="43" t="e">
        <f t="shared" si="117"/>
        <v>#VALUE!</v>
      </c>
      <c r="CA220" s="41" t="s">
        <v>22</v>
      </c>
      <c r="CC220" t="s">
        <v>22</v>
      </c>
      <c r="CE220" s="41" t="s">
        <v>22</v>
      </c>
      <c r="CF220" s="41" t="s">
        <v>22</v>
      </c>
      <c r="CG220" s="41" t="e">
        <f t="shared" si="122"/>
        <v>#VALUE!</v>
      </c>
      <c r="CH220" s="41" t="e">
        <f t="shared" si="123"/>
        <v>#VALUE!</v>
      </c>
      <c r="CI220" s="41">
        <f t="shared" si="124"/>
        <v>19</v>
      </c>
      <c r="CJ220" s="41">
        <f t="shared" si="121"/>
        <v>1.2787536009528289</v>
      </c>
      <c r="CL220" s="9" t="s">
        <v>1269</v>
      </c>
      <c r="CM220" s="18" t="s">
        <v>1285</v>
      </c>
      <c r="CN220" s="54" t="s">
        <v>1284</v>
      </c>
      <c r="CO220" s="18" t="s">
        <v>1284</v>
      </c>
    </row>
    <row r="221" spans="1:93" x14ac:dyDescent="0.25">
      <c r="A221" t="s">
        <v>352</v>
      </c>
      <c r="B221" s="41" t="s">
        <v>22</v>
      </c>
      <c r="C221" s="41">
        <v>2.1</v>
      </c>
      <c r="D221" s="41" t="s">
        <v>22</v>
      </c>
      <c r="E221" s="41" t="s">
        <v>22</v>
      </c>
      <c r="F221" t="s">
        <v>22</v>
      </c>
      <c r="G221" t="s">
        <v>22</v>
      </c>
      <c r="H221" t="s">
        <v>22</v>
      </c>
      <c r="I221" t="s">
        <v>22</v>
      </c>
      <c r="J221" s="41" t="s">
        <v>22</v>
      </c>
      <c r="K221" t="s">
        <v>22</v>
      </c>
      <c r="L221" s="41" t="e">
        <f t="shared" si="125"/>
        <v>#VALUE!</v>
      </c>
      <c r="M221" t="s">
        <v>23</v>
      </c>
      <c r="N221" s="41">
        <v>4267.5159235668798</v>
      </c>
      <c r="O221" s="41">
        <f t="shared" si="126"/>
        <v>2.0321504397937522</v>
      </c>
      <c r="P221" s="41" t="s">
        <v>22</v>
      </c>
      <c r="R221" s="41" t="s">
        <v>22</v>
      </c>
      <c r="S221" s="41" t="s">
        <v>22</v>
      </c>
      <c r="T221" s="41">
        <v>20</v>
      </c>
      <c r="U221" s="41">
        <v>20</v>
      </c>
      <c r="V221">
        <v>20200512</v>
      </c>
      <c r="W221" s="16" t="s">
        <v>924</v>
      </c>
      <c r="X221" s="18">
        <v>2000</v>
      </c>
      <c r="Y221" t="s">
        <v>527</v>
      </c>
      <c r="Z221" t="s">
        <v>32</v>
      </c>
      <c r="AC221" s="18" t="s">
        <v>514</v>
      </c>
      <c r="AD221" s="41" t="s">
        <v>22</v>
      </c>
      <c r="AE221" s="41" t="s">
        <v>22</v>
      </c>
      <c r="AF221" s="41" t="s">
        <v>22</v>
      </c>
      <c r="AG221" s="41" t="s">
        <v>22</v>
      </c>
      <c r="AH221" s="41" t="s">
        <v>22</v>
      </c>
      <c r="AI221" s="41" t="s">
        <v>22</v>
      </c>
      <c r="AJ221" s="41" t="s">
        <v>22</v>
      </c>
      <c r="AK221" s="41" t="s">
        <v>22</v>
      </c>
      <c r="AL221" s="41" t="s">
        <v>22</v>
      </c>
      <c r="AM221" s="43" t="e">
        <f t="shared" si="100"/>
        <v>#VALUE!</v>
      </c>
      <c r="AN221" s="43" t="e">
        <f t="shared" si="101"/>
        <v>#VALUE!</v>
      </c>
      <c r="AO221" s="3" t="s">
        <v>360</v>
      </c>
      <c r="AT221" s="2">
        <f t="shared" si="102"/>
        <v>7</v>
      </c>
      <c r="AU221" s="45" t="e">
        <f t="shared" si="103"/>
        <v>#VALUE!</v>
      </c>
      <c r="AV221" s="45">
        <f t="shared" si="104"/>
        <v>0.3222192947339193</v>
      </c>
      <c r="AW221" s="45" t="e">
        <f t="shared" si="105"/>
        <v>#VALUE!</v>
      </c>
      <c r="AX221" s="45">
        <f t="shared" si="106"/>
        <v>3.6301751502915929</v>
      </c>
      <c r="AY221" s="45">
        <f t="shared" si="107"/>
        <v>0.30795585555767352</v>
      </c>
      <c r="AZ221" s="45" t="e">
        <f t="shared" si="108"/>
        <v>#VALUE!</v>
      </c>
      <c r="BA221" s="45" t="e">
        <f t="shared" si="109"/>
        <v>#VALUE!</v>
      </c>
      <c r="BB221" s="45" t="e">
        <f t="shared" si="110"/>
        <v>#VALUE!</v>
      </c>
      <c r="BC221" s="45">
        <f t="shared" si="111"/>
        <v>1.3010299956639813</v>
      </c>
      <c r="BD221" s="45" t="e">
        <f t="shared" si="112"/>
        <v>#VALUE!</v>
      </c>
      <c r="BE221" s="45" t="e">
        <f t="shared" si="113"/>
        <v>#VALUE!</v>
      </c>
      <c r="BF221" s="45" t="e">
        <f t="shared" si="114"/>
        <v>#VALUE!</v>
      </c>
      <c r="BG221" s="45" t="e">
        <f t="shared" si="115"/>
        <v>#VALUE!</v>
      </c>
      <c r="BH221" s="45" t="e">
        <f t="shared" si="116"/>
        <v>#NUM!</v>
      </c>
      <c r="BI221" s="43" t="e">
        <f t="shared" si="117"/>
        <v>#VALUE!</v>
      </c>
      <c r="CA221" s="41" t="s">
        <v>22</v>
      </c>
      <c r="CC221" t="s">
        <v>22</v>
      </c>
      <c r="CE221" s="41" t="s">
        <v>22</v>
      </c>
      <c r="CF221" s="41" t="s">
        <v>22</v>
      </c>
      <c r="CG221" s="41" t="e">
        <f t="shared" si="122"/>
        <v>#VALUE!</v>
      </c>
      <c r="CH221" s="41" t="e">
        <f t="shared" si="123"/>
        <v>#VALUE!</v>
      </c>
      <c r="CI221" s="41">
        <f t="shared" si="124"/>
        <v>20</v>
      </c>
      <c r="CJ221" s="41">
        <f t="shared" si="121"/>
        <v>1.3010299956639813</v>
      </c>
      <c r="CL221" s="9" t="s">
        <v>1269</v>
      </c>
      <c r="CM221" s="18" t="s">
        <v>1285</v>
      </c>
      <c r="CN221" s="54" t="s">
        <v>1284</v>
      </c>
      <c r="CO221" s="18" t="s">
        <v>1284</v>
      </c>
    </row>
    <row r="222" spans="1:93" x14ac:dyDescent="0.25">
      <c r="A222" t="s">
        <v>352</v>
      </c>
      <c r="B222" s="41" t="s">
        <v>22</v>
      </c>
      <c r="C222" s="41">
        <v>2.1</v>
      </c>
      <c r="D222" s="41" t="s">
        <v>22</v>
      </c>
      <c r="E222" s="41" t="s">
        <v>22</v>
      </c>
      <c r="F222" t="s">
        <v>22</v>
      </c>
      <c r="G222" t="s">
        <v>22</v>
      </c>
      <c r="H222" t="s">
        <v>22</v>
      </c>
      <c r="I222" t="s">
        <v>22</v>
      </c>
      <c r="J222" s="41" t="s">
        <v>22</v>
      </c>
      <c r="K222" t="s">
        <v>22</v>
      </c>
      <c r="L222" s="41" t="e">
        <f t="shared" si="125"/>
        <v>#VALUE!</v>
      </c>
      <c r="M222" t="s">
        <v>23</v>
      </c>
      <c r="N222" s="41">
        <v>947.51802916249915</v>
      </c>
      <c r="O222" s="41">
        <f t="shared" si="126"/>
        <v>0.45119906150595196</v>
      </c>
      <c r="P222" s="41" t="s">
        <v>22</v>
      </c>
      <c r="R222" s="41" t="s">
        <v>22</v>
      </c>
      <c r="S222" s="41" t="s">
        <v>22</v>
      </c>
      <c r="T222" s="41">
        <v>33</v>
      </c>
      <c r="U222" s="41">
        <v>33</v>
      </c>
      <c r="V222">
        <v>20200512</v>
      </c>
      <c r="W222" s="16" t="s">
        <v>927</v>
      </c>
      <c r="X222">
        <v>2000</v>
      </c>
      <c r="Y222" t="s">
        <v>527</v>
      </c>
      <c r="Z222" t="s">
        <v>32</v>
      </c>
      <c r="AC222" t="s">
        <v>514</v>
      </c>
      <c r="AD222" s="41" t="s">
        <v>22</v>
      </c>
      <c r="AE222" s="41" t="s">
        <v>22</v>
      </c>
      <c r="AF222" s="41" t="s">
        <v>22</v>
      </c>
      <c r="AG222" s="41" t="s">
        <v>22</v>
      </c>
      <c r="AH222" s="41" t="s">
        <v>22</v>
      </c>
      <c r="AI222" s="41" t="s">
        <v>22</v>
      </c>
      <c r="AJ222" s="41" t="s">
        <v>22</v>
      </c>
      <c r="AK222" s="41" t="s">
        <v>22</v>
      </c>
      <c r="AL222" s="41" t="s">
        <v>22</v>
      </c>
      <c r="AM222" s="43" t="e">
        <f t="shared" si="100"/>
        <v>#VALUE!</v>
      </c>
      <c r="AN222" s="43" t="e">
        <f t="shared" si="101"/>
        <v>#VALUE!</v>
      </c>
      <c r="AO222" s="3" t="s">
        <v>360</v>
      </c>
      <c r="AT222" s="2">
        <f t="shared" si="102"/>
        <v>7</v>
      </c>
      <c r="AU222" s="45" t="e">
        <f t="shared" si="103"/>
        <v>#VALUE!</v>
      </c>
      <c r="AV222" s="45">
        <f t="shared" si="104"/>
        <v>0.3222192947339193</v>
      </c>
      <c r="AW222" s="45" t="e">
        <f t="shared" si="105"/>
        <v>#VALUE!</v>
      </c>
      <c r="AX222" s="45">
        <f t="shared" si="106"/>
        <v>2.9765874823776222</v>
      </c>
      <c r="AY222" s="45">
        <f t="shared" si="107"/>
        <v>-0.34563181235629714</v>
      </c>
      <c r="AZ222" s="45" t="e">
        <f t="shared" si="108"/>
        <v>#VALUE!</v>
      </c>
      <c r="BA222" s="45" t="e">
        <f t="shared" si="109"/>
        <v>#VALUE!</v>
      </c>
      <c r="BB222" s="45" t="e">
        <f t="shared" si="110"/>
        <v>#VALUE!</v>
      </c>
      <c r="BC222" s="45">
        <f t="shared" si="111"/>
        <v>1.5185139398778875</v>
      </c>
      <c r="BD222" s="45" t="e">
        <f t="shared" si="112"/>
        <v>#VALUE!</v>
      </c>
      <c r="BE222" s="45" t="e">
        <f t="shared" si="113"/>
        <v>#VALUE!</v>
      </c>
      <c r="BF222" s="45" t="e">
        <f t="shared" si="114"/>
        <v>#VALUE!</v>
      </c>
      <c r="BG222" s="45" t="e">
        <f t="shared" si="115"/>
        <v>#VALUE!</v>
      </c>
      <c r="BH222" s="45" t="e">
        <f t="shared" si="116"/>
        <v>#NUM!</v>
      </c>
      <c r="BI222" s="43" t="e">
        <f t="shared" si="117"/>
        <v>#VALUE!</v>
      </c>
      <c r="CA222" s="41" t="s">
        <v>22</v>
      </c>
      <c r="CC222" t="s">
        <v>22</v>
      </c>
      <c r="CE222" s="41" t="s">
        <v>22</v>
      </c>
      <c r="CF222" s="41" t="s">
        <v>22</v>
      </c>
      <c r="CG222" s="41" t="e">
        <f t="shared" si="122"/>
        <v>#VALUE!</v>
      </c>
      <c r="CH222" s="41" t="e">
        <f t="shared" si="123"/>
        <v>#VALUE!</v>
      </c>
      <c r="CI222" s="41">
        <f t="shared" si="124"/>
        <v>33</v>
      </c>
      <c r="CJ222" s="41">
        <f t="shared" si="121"/>
        <v>1.5185139398778875</v>
      </c>
      <c r="CL222" s="9" t="s">
        <v>1269</v>
      </c>
      <c r="CM222" s="18" t="s">
        <v>1285</v>
      </c>
      <c r="CN222" s="54" t="s">
        <v>1284</v>
      </c>
      <c r="CO222" s="18" t="s">
        <v>1284</v>
      </c>
    </row>
    <row r="223" spans="1:93" x14ac:dyDescent="0.25">
      <c r="A223" t="s">
        <v>352</v>
      </c>
      <c r="B223" s="41" t="s">
        <v>22</v>
      </c>
      <c r="C223" s="41">
        <v>2.1</v>
      </c>
      <c r="D223" s="41" t="s">
        <v>22</v>
      </c>
      <c r="E223" s="41" t="s">
        <v>22</v>
      </c>
      <c r="F223" t="s">
        <v>22</v>
      </c>
      <c r="G223" s="18" t="s">
        <v>22</v>
      </c>
      <c r="H223" s="18" t="s">
        <v>22</v>
      </c>
      <c r="I223" s="18" t="s">
        <v>22</v>
      </c>
      <c r="J223" s="41" t="s">
        <v>22</v>
      </c>
      <c r="K223" s="18" t="s">
        <v>22</v>
      </c>
      <c r="L223" s="41" t="e">
        <f t="shared" si="125"/>
        <v>#VALUE!</v>
      </c>
      <c r="M223" t="s">
        <v>23</v>
      </c>
      <c r="N223" s="41">
        <v>904.30132892977895</v>
      </c>
      <c r="O223" s="41">
        <f t="shared" si="126"/>
        <v>0.4306196804427519</v>
      </c>
      <c r="P223" s="41" t="s">
        <v>22</v>
      </c>
      <c r="R223" s="41" t="s">
        <v>22</v>
      </c>
      <c r="S223" s="41" t="s">
        <v>22</v>
      </c>
      <c r="T223" s="41">
        <v>36</v>
      </c>
      <c r="U223" s="41">
        <v>36</v>
      </c>
      <c r="V223">
        <v>20200512</v>
      </c>
      <c r="W223" s="21" t="s">
        <v>927</v>
      </c>
      <c r="X223" s="18">
        <v>2000</v>
      </c>
      <c r="Y223" t="s">
        <v>527</v>
      </c>
      <c r="Z223" t="s">
        <v>32</v>
      </c>
      <c r="AC223" t="s">
        <v>514</v>
      </c>
      <c r="AD223" s="41" t="s">
        <v>22</v>
      </c>
      <c r="AE223" s="41" t="s">
        <v>22</v>
      </c>
      <c r="AF223" s="41" t="s">
        <v>22</v>
      </c>
      <c r="AG223" s="41" t="s">
        <v>22</v>
      </c>
      <c r="AH223" s="41" t="s">
        <v>22</v>
      </c>
      <c r="AI223" s="41" t="s">
        <v>22</v>
      </c>
      <c r="AJ223" s="41" t="s">
        <v>22</v>
      </c>
      <c r="AK223" s="41" t="s">
        <v>22</v>
      </c>
      <c r="AL223" s="41" t="s">
        <v>22</v>
      </c>
      <c r="AM223" s="43" t="e">
        <f t="shared" si="100"/>
        <v>#VALUE!</v>
      </c>
      <c r="AN223" s="43" t="e">
        <f t="shared" si="101"/>
        <v>#VALUE!</v>
      </c>
      <c r="AO223" s="3" t="s">
        <v>360</v>
      </c>
      <c r="AT223" s="2">
        <f t="shared" si="102"/>
        <v>7</v>
      </c>
      <c r="AU223" s="45" t="e">
        <f t="shared" si="103"/>
        <v>#VALUE!</v>
      </c>
      <c r="AV223" s="45">
        <f t="shared" si="104"/>
        <v>0.3222192947339193</v>
      </c>
      <c r="AW223" s="45" t="e">
        <f t="shared" si="105"/>
        <v>#VALUE!</v>
      </c>
      <c r="AX223" s="45">
        <f t="shared" si="106"/>
        <v>2.9563131690657283</v>
      </c>
      <c r="AY223" s="45">
        <f t="shared" si="107"/>
        <v>-0.36590612566819108</v>
      </c>
      <c r="AZ223" s="45" t="e">
        <f t="shared" si="108"/>
        <v>#VALUE!</v>
      </c>
      <c r="BA223" s="45" t="e">
        <f t="shared" si="109"/>
        <v>#VALUE!</v>
      </c>
      <c r="BB223" s="45" t="e">
        <f t="shared" si="110"/>
        <v>#VALUE!</v>
      </c>
      <c r="BC223" s="45">
        <f t="shared" si="111"/>
        <v>1.5563025007672873</v>
      </c>
      <c r="BD223" s="45" t="e">
        <f t="shared" si="112"/>
        <v>#VALUE!</v>
      </c>
      <c r="BE223" s="45" t="e">
        <f t="shared" si="113"/>
        <v>#VALUE!</v>
      </c>
      <c r="BF223" s="45" t="e">
        <f t="shared" si="114"/>
        <v>#VALUE!</v>
      </c>
      <c r="BG223" s="45" t="e">
        <f t="shared" si="115"/>
        <v>#VALUE!</v>
      </c>
      <c r="BH223" s="45" t="e">
        <f t="shared" si="116"/>
        <v>#NUM!</v>
      </c>
      <c r="BI223" s="43" t="e">
        <f t="shared" si="117"/>
        <v>#VALUE!</v>
      </c>
      <c r="CA223" s="41" t="s">
        <v>22</v>
      </c>
      <c r="CC223" t="s">
        <v>22</v>
      </c>
      <c r="CE223" s="41" t="s">
        <v>22</v>
      </c>
      <c r="CF223" s="41" t="s">
        <v>22</v>
      </c>
      <c r="CG223" s="41" t="e">
        <f t="shared" si="122"/>
        <v>#VALUE!</v>
      </c>
      <c r="CH223" s="41" t="e">
        <f t="shared" si="123"/>
        <v>#VALUE!</v>
      </c>
      <c r="CI223" s="41">
        <f t="shared" si="124"/>
        <v>36</v>
      </c>
      <c r="CJ223" s="41">
        <f t="shared" si="121"/>
        <v>1.5563025007672873</v>
      </c>
      <c r="CL223" s="9" t="s">
        <v>1269</v>
      </c>
      <c r="CM223" s="18" t="s">
        <v>1285</v>
      </c>
      <c r="CN223" s="54" t="s">
        <v>1284</v>
      </c>
      <c r="CO223" s="18" t="s">
        <v>1284</v>
      </c>
    </row>
    <row r="224" spans="1:93" s="18" customFormat="1" x14ac:dyDescent="0.25">
      <c r="A224" s="18" t="s">
        <v>352</v>
      </c>
      <c r="B224" s="41" t="s">
        <v>22</v>
      </c>
      <c r="C224" s="41">
        <v>2.1</v>
      </c>
      <c r="D224" s="41" t="s">
        <v>22</v>
      </c>
      <c r="E224" s="41" t="s">
        <v>22</v>
      </c>
      <c r="F224" s="18" t="s">
        <v>22</v>
      </c>
      <c r="G224" s="18" t="s">
        <v>22</v>
      </c>
      <c r="H224" s="18" t="s">
        <v>22</v>
      </c>
      <c r="I224" s="18" t="s">
        <v>22</v>
      </c>
      <c r="J224" s="41" t="s">
        <v>22</v>
      </c>
      <c r="K224" s="18" t="s">
        <v>22</v>
      </c>
      <c r="L224" s="41" t="e">
        <f t="shared" si="125"/>
        <v>#VALUE!</v>
      </c>
      <c r="M224" s="18" t="s">
        <v>23</v>
      </c>
      <c r="N224" s="41">
        <v>2939.7354238118569</v>
      </c>
      <c r="O224" s="41">
        <f t="shared" si="126"/>
        <v>1.3998740113389794</v>
      </c>
      <c r="P224" s="41" t="s">
        <v>22</v>
      </c>
      <c r="Q224" s="41"/>
      <c r="R224" s="41" t="s">
        <v>22</v>
      </c>
      <c r="S224" s="41" t="s">
        <v>22</v>
      </c>
      <c r="T224" s="41">
        <v>13</v>
      </c>
      <c r="U224" s="41">
        <v>13</v>
      </c>
      <c r="V224" s="18">
        <v>20200512</v>
      </c>
      <c r="W224" s="21" t="s">
        <v>927</v>
      </c>
      <c r="X224" s="18">
        <v>2000</v>
      </c>
      <c r="Y224" s="18" t="s">
        <v>527</v>
      </c>
      <c r="Z224" s="18" t="s">
        <v>32</v>
      </c>
      <c r="AB224" s="41"/>
      <c r="AC224" s="18" t="s">
        <v>514</v>
      </c>
      <c r="AD224" s="41" t="s">
        <v>22</v>
      </c>
      <c r="AE224" s="41" t="s">
        <v>22</v>
      </c>
      <c r="AF224" s="41" t="s">
        <v>22</v>
      </c>
      <c r="AG224" s="41" t="s">
        <v>22</v>
      </c>
      <c r="AH224" s="41" t="s">
        <v>22</v>
      </c>
      <c r="AI224" s="41" t="s">
        <v>22</v>
      </c>
      <c r="AJ224" s="41" t="s">
        <v>22</v>
      </c>
      <c r="AK224" s="41" t="s">
        <v>22</v>
      </c>
      <c r="AL224" s="41" t="s">
        <v>22</v>
      </c>
      <c r="AM224" s="43" t="e">
        <f t="shared" si="100"/>
        <v>#VALUE!</v>
      </c>
      <c r="AN224" s="43" t="e">
        <f t="shared" si="101"/>
        <v>#VALUE!</v>
      </c>
      <c r="AO224" s="19" t="s">
        <v>360</v>
      </c>
      <c r="AT224" s="2">
        <f t="shared" si="102"/>
        <v>7</v>
      </c>
      <c r="AU224" s="45" t="e">
        <f t="shared" si="103"/>
        <v>#VALUE!</v>
      </c>
      <c r="AV224" s="45">
        <f t="shared" si="104"/>
        <v>0.3222192947339193</v>
      </c>
      <c r="AW224" s="45" t="e">
        <f t="shared" si="105"/>
        <v>#VALUE!</v>
      </c>
      <c r="AX224" s="45">
        <f t="shared" si="106"/>
        <v>3.4683082456675733</v>
      </c>
      <c r="AY224" s="45">
        <f t="shared" si="107"/>
        <v>0.14608895093365382</v>
      </c>
      <c r="AZ224" s="45" t="e">
        <f t="shared" si="108"/>
        <v>#VALUE!</v>
      </c>
      <c r="BA224" s="45" t="e">
        <f t="shared" si="109"/>
        <v>#VALUE!</v>
      </c>
      <c r="BB224" s="45" t="e">
        <f t="shared" si="110"/>
        <v>#VALUE!</v>
      </c>
      <c r="BC224" s="45">
        <f t="shared" si="111"/>
        <v>1.1139433523068367</v>
      </c>
      <c r="BD224" s="45" t="e">
        <f t="shared" si="112"/>
        <v>#VALUE!</v>
      </c>
      <c r="BE224" s="45" t="e">
        <f t="shared" si="113"/>
        <v>#VALUE!</v>
      </c>
      <c r="BF224" s="45" t="e">
        <f t="shared" si="114"/>
        <v>#VALUE!</v>
      </c>
      <c r="BG224" s="45" t="e">
        <f t="shared" si="115"/>
        <v>#VALUE!</v>
      </c>
      <c r="BH224" s="45" t="e">
        <f t="shared" si="116"/>
        <v>#NUM!</v>
      </c>
      <c r="BI224" s="43" t="e">
        <f t="shared" si="117"/>
        <v>#VALUE!</v>
      </c>
      <c r="BL224" s="20"/>
      <c r="BM224" s="41"/>
      <c r="BN224" s="41"/>
      <c r="BO224" s="41"/>
      <c r="BP224" s="41"/>
      <c r="BQ224" s="41"/>
      <c r="BR224" s="41"/>
      <c r="BU224" s="41"/>
      <c r="BV224" s="41"/>
      <c r="BW224" s="41"/>
      <c r="BX224" s="41"/>
      <c r="BY224" s="41"/>
      <c r="BZ224" s="41"/>
      <c r="CA224" s="41" t="s">
        <v>22</v>
      </c>
      <c r="CC224" s="18" t="s">
        <v>22</v>
      </c>
      <c r="CE224" s="41" t="s">
        <v>22</v>
      </c>
      <c r="CF224" s="41" t="s">
        <v>22</v>
      </c>
      <c r="CG224" s="41" t="e">
        <f t="shared" si="122"/>
        <v>#VALUE!</v>
      </c>
      <c r="CH224" s="41" t="e">
        <f t="shared" si="123"/>
        <v>#VALUE!</v>
      </c>
      <c r="CI224" s="41">
        <f t="shared" si="124"/>
        <v>13</v>
      </c>
      <c r="CJ224" s="41">
        <f t="shared" si="121"/>
        <v>1.1139433523068367</v>
      </c>
      <c r="CL224" s="9" t="s">
        <v>1269</v>
      </c>
      <c r="CM224" s="18" t="s">
        <v>1285</v>
      </c>
      <c r="CN224" s="54" t="s">
        <v>1284</v>
      </c>
      <c r="CO224" s="18" t="s">
        <v>1284</v>
      </c>
    </row>
    <row r="225" spans="1:93" x14ac:dyDescent="0.25">
      <c r="A225" t="s">
        <v>352</v>
      </c>
      <c r="B225" s="41" t="s">
        <v>22</v>
      </c>
      <c r="C225" s="41">
        <v>2.1</v>
      </c>
      <c r="D225" s="41" t="s">
        <v>22</v>
      </c>
      <c r="E225" s="41" t="s">
        <v>22</v>
      </c>
      <c r="F225" t="s">
        <v>22</v>
      </c>
      <c r="G225" t="s">
        <v>22</v>
      </c>
      <c r="H225" t="s">
        <v>22</v>
      </c>
      <c r="I225" t="s">
        <v>22</v>
      </c>
      <c r="J225" s="41" t="s">
        <v>22</v>
      </c>
      <c r="K225" t="s">
        <v>22</v>
      </c>
      <c r="L225" s="41" t="e">
        <f t="shared" si="125"/>
        <v>#VALUE!</v>
      </c>
      <c r="M225" t="s">
        <v>23</v>
      </c>
      <c r="N225" s="41">
        <v>2131.9155656156236</v>
      </c>
      <c r="O225" s="41">
        <f t="shared" si="126"/>
        <v>1.0151978883883921</v>
      </c>
      <c r="P225" s="41" t="s">
        <v>22</v>
      </c>
      <c r="R225" s="41" t="s">
        <v>22</v>
      </c>
      <c r="S225" s="41" t="s">
        <v>22</v>
      </c>
      <c r="T225" s="41">
        <v>22</v>
      </c>
      <c r="U225" s="41">
        <v>22</v>
      </c>
      <c r="V225">
        <v>20200512</v>
      </c>
      <c r="W225" s="16" t="s">
        <v>924</v>
      </c>
      <c r="X225">
        <v>2000</v>
      </c>
      <c r="Y225" t="s">
        <v>527</v>
      </c>
      <c r="Z225" t="s">
        <v>32</v>
      </c>
      <c r="AC225" t="s">
        <v>514</v>
      </c>
      <c r="AD225" s="41" t="s">
        <v>22</v>
      </c>
      <c r="AE225" s="41" t="s">
        <v>22</v>
      </c>
      <c r="AF225" s="41" t="s">
        <v>22</v>
      </c>
      <c r="AG225" s="41" t="s">
        <v>22</v>
      </c>
      <c r="AH225" s="41" t="s">
        <v>22</v>
      </c>
      <c r="AI225" s="41" t="s">
        <v>22</v>
      </c>
      <c r="AJ225" s="41" t="s">
        <v>22</v>
      </c>
      <c r="AK225" s="41" t="s">
        <v>22</v>
      </c>
      <c r="AL225" s="41" t="s">
        <v>22</v>
      </c>
      <c r="AM225" s="43" t="e">
        <f t="shared" si="100"/>
        <v>#VALUE!</v>
      </c>
      <c r="AN225" s="43" t="e">
        <f t="shared" si="101"/>
        <v>#VALUE!</v>
      </c>
      <c r="AO225" s="3" t="s">
        <v>360</v>
      </c>
      <c r="AT225" s="2">
        <f t="shared" si="102"/>
        <v>7</v>
      </c>
      <c r="AU225" s="45" t="e">
        <f t="shared" si="103"/>
        <v>#VALUE!</v>
      </c>
      <c r="AV225" s="45">
        <f t="shared" si="104"/>
        <v>0.3222192947339193</v>
      </c>
      <c r="AW225" s="45" t="e">
        <f t="shared" si="105"/>
        <v>#VALUE!</v>
      </c>
      <c r="AX225" s="45">
        <f t="shared" si="106"/>
        <v>3.3287700004889849</v>
      </c>
      <c r="AY225" s="45">
        <f t="shared" si="107"/>
        <v>6.5507057550654403E-3</v>
      </c>
      <c r="AZ225" s="45" t="e">
        <f t="shared" si="108"/>
        <v>#VALUE!</v>
      </c>
      <c r="BA225" s="45" t="e">
        <f t="shared" si="109"/>
        <v>#VALUE!</v>
      </c>
      <c r="BB225" s="45" t="e">
        <f t="shared" si="110"/>
        <v>#VALUE!</v>
      </c>
      <c r="BC225" s="45">
        <f t="shared" si="111"/>
        <v>1.3424226808222062</v>
      </c>
      <c r="BD225" s="45" t="e">
        <f t="shared" si="112"/>
        <v>#VALUE!</v>
      </c>
      <c r="BE225" s="45" t="e">
        <f t="shared" si="113"/>
        <v>#VALUE!</v>
      </c>
      <c r="BF225" s="45" t="e">
        <f t="shared" si="114"/>
        <v>#VALUE!</v>
      </c>
      <c r="BG225" s="45" t="e">
        <f t="shared" si="115"/>
        <v>#VALUE!</v>
      </c>
      <c r="BH225" s="45" t="e">
        <f t="shared" si="116"/>
        <v>#NUM!</v>
      </c>
      <c r="BI225" s="43" t="e">
        <f t="shared" si="117"/>
        <v>#VALUE!</v>
      </c>
      <c r="CA225" s="41" t="s">
        <v>22</v>
      </c>
      <c r="CC225" t="s">
        <v>22</v>
      </c>
      <c r="CE225" s="41" t="s">
        <v>22</v>
      </c>
      <c r="CF225" s="41" t="s">
        <v>22</v>
      </c>
      <c r="CG225" s="41" t="e">
        <f t="shared" si="122"/>
        <v>#VALUE!</v>
      </c>
      <c r="CH225" s="41" t="e">
        <f t="shared" si="123"/>
        <v>#VALUE!</v>
      </c>
      <c r="CI225" s="41">
        <f t="shared" si="124"/>
        <v>22</v>
      </c>
      <c r="CJ225" s="41">
        <f t="shared" si="121"/>
        <v>1.3424226808222062</v>
      </c>
      <c r="CL225" s="9" t="s">
        <v>1269</v>
      </c>
      <c r="CM225" s="18" t="s">
        <v>1285</v>
      </c>
      <c r="CN225" s="54" t="s">
        <v>1284</v>
      </c>
      <c r="CO225" s="18" t="s">
        <v>1284</v>
      </c>
    </row>
    <row r="226" spans="1:93" x14ac:dyDescent="0.25">
      <c r="A226" t="s">
        <v>352</v>
      </c>
      <c r="B226" s="41" t="s">
        <v>22</v>
      </c>
      <c r="C226" s="41">
        <v>2.1</v>
      </c>
      <c r="D226" s="41" t="s">
        <v>22</v>
      </c>
      <c r="E226" s="41" t="s">
        <v>22</v>
      </c>
      <c r="F226" t="s">
        <v>22</v>
      </c>
      <c r="G226" t="s">
        <v>22</v>
      </c>
      <c r="H226" t="s">
        <v>22</v>
      </c>
      <c r="I226" t="s">
        <v>22</v>
      </c>
      <c r="J226" s="41" t="s">
        <v>22</v>
      </c>
      <c r="K226" t="s">
        <v>22</v>
      </c>
      <c r="L226" s="41" t="e">
        <f t="shared" si="125"/>
        <v>#VALUE!</v>
      </c>
      <c r="M226" t="s">
        <v>23</v>
      </c>
      <c r="N226" s="41">
        <v>2421.4349634152759</v>
      </c>
      <c r="O226" s="41">
        <f t="shared" si="126"/>
        <v>1.1530642682929886</v>
      </c>
      <c r="P226" s="41" t="s">
        <v>22</v>
      </c>
      <c r="R226" s="41" t="s">
        <v>22</v>
      </c>
      <c r="S226" s="41" t="s">
        <v>22</v>
      </c>
      <c r="T226" s="41">
        <v>22</v>
      </c>
      <c r="U226" s="41">
        <v>22</v>
      </c>
      <c r="V226">
        <v>20200512</v>
      </c>
      <c r="W226" s="16" t="s">
        <v>924</v>
      </c>
      <c r="X226">
        <v>2000</v>
      </c>
      <c r="Y226" t="s">
        <v>527</v>
      </c>
      <c r="Z226" t="s">
        <v>32</v>
      </c>
      <c r="AC226" t="s">
        <v>514</v>
      </c>
      <c r="AD226" s="41" t="s">
        <v>22</v>
      </c>
      <c r="AE226" s="41" t="s">
        <v>22</v>
      </c>
      <c r="AF226" s="41" t="s">
        <v>22</v>
      </c>
      <c r="AG226" s="41" t="s">
        <v>22</v>
      </c>
      <c r="AH226" s="41" t="s">
        <v>22</v>
      </c>
      <c r="AI226" s="41" t="s">
        <v>22</v>
      </c>
      <c r="AJ226" s="41" t="s">
        <v>22</v>
      </c>
      <c r="AK226" s="41" t="s">
        <v>22</v>
      </c>
      <c r="AL226" s="41" t="s">
        <v>22</v>
      </c>
      <c r="AM226" s="43" t="e">
        <f t="shared" si="100"/>
        <v>#VALUE!</v>
      </c>
      <c r="AN226" s="43" t="e">
        <f t="shared" si="101"/>
        <v>#VALUE!</v>
      </c>
      <c r="AO226" s="3" t="s">
        <v>360</v>
      </c>
      <c r="AT226" s="2">
        <f t="shared" si="102"/>
        <v>7</v>
      </c>
      <c r="AU226" s="45" t="e">
        <f t="shared" si="103"/>
        <v>#VALUE!</v>
      </c>
      <c r="AV226" s="45">
        <f t="shared" si="104"/>
        <v>0.3222192947339193</v>
      </c>
      <c r="AW226" s="45" t="e">
        <f t="shared" si="105"/>
        <v>#VALUE!</v>
      </c>
      <c r="AX226" s="45">
        <f t="shared" si="106"/>
        <v>3.38407280895589</v>
      </c>
      <c r="AY226" s="45">
        <f t="shared" si="107"/>
        <v>6.1853514221970975E-2</v>
      </c>
      <c r="AZ226" s="45" t="e">
        <f t="shared" si="108"/>
        <v>#VALUE!</v>
      </c>
      <c r="BA226" s="45" t="e">
        <f t="shared" si="109"/>
        <v>#VALUE!</v>
      </c>
      <c r="BB226" s="45" t="e">
        <f t="shared" si="110"/>
        <v>#VALUE!</v>
      </c>
      <c r="BC226" s="45">
        <f t="shared" si="111"/>
        <v>1.3424226808222062</v>
      </c>
      <c r="BD226" s="45" t="e">
        <f t="shared" si="112"/>
        <v>#VALUE!</v>
      </c>
      <c r="BE226" s="45" t="e">
        <f t="shared" si="113"/>
        <v>#VALUE!</v>
      </c>
      <c r="BF226" s="45" t="e">
        <f t="shared" si="114"/>
        <v>#VALUE!</v>
      </c>
      <c r="BG226" s="45" t="e">
        <f t="shared" si="115"/>
        <v>#VALUE!</v>
      </c>
      <c r="BH226" s="45" t="e">
        <f t="shared" si="116"/>
        <v>#NUM!</v>
      </c>
      <c r="BI226" s="43" t="e">
        <f t="shared" si="117"/>
        <v>#VALUE!</v>
      </c>
      <c r="CA226" s="41" t="s">
        <v>22</v>
      </c>
      <c r="CC226" t="s">
        <v>22</v>
      </c>
      <c r="CE226" s="41" t="s">
        <v>22</v>
      </c>
      <c r="CF226" s="41" t="s">
        <v>22</v>
      </c>
      <c r="CG226" s="41" t="e">
        <f t="shared" si="122"/>
        <v>#VALUE!</v>
      </c>
      <c r="CH226" s="41" t="e">
        <f t="shared" si="123"/>
        <v>#VALUE!</v>
      </c>
      <c r="CI226" s="41">
        <f t="shared" si="124"/>
        <v>22</v>
      </c>
      <c r="CJ226" s="41">
        <f t="shared" si="121"/>
        <v>1.3424226808222062</v>
      </c>
      <c r="CL226" s="9" t="s">
        <v>1269</v>
      </c>
      <c r="CM226" s="18" t="s">
        <v>1285</v>
      </c>
      <c r="CN226" s="54" t="s">
        <v>1284</v>
      </c>
      <c r="CO226" s="18" t="s">
        <v>1284</v>
      </c>
    </row>
    <row r="227" spans="1:93" s="18" customFormat="1" x14ac:dyDescent="0.25">
      <c r="A227" s="18" t="s">
        <v>731</v>
      </c>
      <c r="B227" s="41">
        <v>0.25800000000000001</v>
      </c>
      <c r="C227" s="41">
        <v>1.1000000000000001</v>
      </c>
      <c r="D227" s="41">
        <f>0.001*(B227*10^6)/(C227*0.001*100^3)</f>
        <v>0.23454545454545456</v>
      </c>
      <c r="E227" s="41" t="s">
        <v>22</v>
      </c>
      <c r="F227" s="18" t="s">
        <v>22</v>
      </c>
      <c r="G227" s="18" t="s">
        <v>22</v>
      </c>
      <c r="H227" s="18" t="s">
        <v>22</v>
      </c>
      <c r="I227" s="18" t="s">
        <v>22</v>
      </c>
      <c r="J227" s="41" t="s">
        <v>22</v>
      </c>
      <c r="K227" s="18" t="s">
        <v>22</v>
      </c>
      <c r="L227" s="41" t="s">
        <v>22</v>
      </c>
      <c r="M227" s="18" t="s">
        <v>23</v>
      </c>
      <c r="N227" s="41" t="s">
        <v>22</v>
      </c>
      <c r="O227" s="41" t="s">
        <v>22</v>
      </c>
      <c r="P227" s="41" t="s">
        <v>22</v>
      </c>
      <c r="Q227" s="41"/>
      <c r="R227" s="41" t="s">
        <v>22</v>
      </c>
      <c r="S227" s="41" t="s">
        <v>22</v>
      </c>
      <c r="T227" s="41">
        <v>1.4</v>
      </c>
      <c r="U227" s="41">
        <v>1.4</v>
      </c>
      <c r="V227" s="18">
        <v>20200513</v>
      </c>
      <c r="W227" s="21" t="s">
        <v>937</v>
      </c>
      <c r="X227" s="6">
        <v>2000</v>
      </c>
      <c r="Y227" s="6" t="s">
        <v>902</v>
      </c>
      <c r="Z227" s="6" t="s">
        <v>32</v>
      </c>
      <c r="AA227" s="6"/>
      <c r="AB227" s="47"/>
      <c r="AC227" s="6" t="s">
        <v>514</v>
      </c>
      <c r="AD227" s="41" t="s">
        <v>22</v>
      </c>
      <c r="AE227" s="41" t="s">
        <v>22</v>
      </c>
      <c r="AF227" s="41" t="s">
        <v>22</v>
      </c>
      <c r="AG227" s="41" t="s">
        <v>22</v>
      </c>
      <c r="AH227" s="41">
        <v>21774.193548387</v>
      </c>
      <c r="AI227" s="41" t="s">
        <v>22</v>
      </c>
      <c r="AJ227" s="41">
        <v>10870.967741935399</v>
      </c>
      <c r="AK227" s="41">
        <v>5258.0645161290204</v>
      </c>
      <c r="AL227" s="41">
        <v>5645.1612903225796</v>
      </c>
      <c r="AM227" s="43" t="e">
        <f t="shared" si="100"/>
        <v>#VALUE!</v>
      </c>
      <c r="AN227" s="43">
        <f t="shared" si="101"/>
        <v>0.51928783382789712</v>
      </c>
      <c r="AO227" s="19" t="s">
        <v>694</v>
      </c>
      <c r="AT227" s="2">
        <f t="shared" si="102"/>
        <v>1</v>
      </c>
      <c r="AU227" s="45">
        <f t="shared" si="103"/>
        <v>-0.58838029403676984</v>
      </c>
      <c r="AV227" s="45">
        <f t="shared" si="104"/>
        <v>4.1392685158225077E-2</v>
      </c>
      <c r="AW227" s="45">
        <f t="shared" si="105"/>
        <v>-0.62977297919499486</v>
      </c>
      <c r="AX227" s="45" t="e">
        <f t="shared" si="106"/>
        <v>#VALUE!</v>
      </c>
      <c r="AY227" s="45" t="e">
        <f t="shared" si="107"/>
        <v>#VALUE!</v>
      </c>
      <c r="AZ227" s="45" t="e">
        <f t="shared" si="108"/>
        <v>#VALUE!</v>
      </c>
      <c r="BA227" s="45" t="e">
        <f t="shared" si="109"/>
        <v>#VALUE!</v>
      </c>
      <c r="BB227" s="45" t="e">
        <f t="shared" si="110"/>
        <v>#VALUE!</v>
      </c>
      <c r="BC227" s="45">
        <f t="shared" si="111"/>
        <v>0.14612803567823801</v>
      </c>
      <c r="BD227" s="45" t="e">
        <f t="shared" si="112"/>
        <v>#VALUE!</v>
      </c>
      <c r="BE227" s="45" t="e">
        <f t="shared" si="113"/>
        <v>#VALUE!</v>
      </c>
      <c r="BF227" s="45" t="e">
        <f t="shared" si="114"/>
        <v>#VALUE!</v>
      </c>
      <c r="BG227" s="45">
        <f t="shared" si="115"/>
        <v>-0.28459185218504091</v>
      </c>
      <c r="BH227" s="45" t="e">
        <f t="shared" si="116"/>
        <v>#NUM!</v>
      </c>
      <c r="BI227" s="43" t="e">
        <f t="shared" si="117"/>
        <v>#VALUE!</v>
      </c>
      <c r="BL227" s="20"/>
      <c r="BM227" s="41"/>
      <c r="BN227" s="41"/>
      <c r="BO227" s="41"/>
      <c r="BP227" s="41"/>
      <c r="BQ227" s="41"/>
      <c r="BR227" s="41"/>
      <c r="BU227" s="41"/>
      <c r="BV227" s="41"/>
      <c r="BW227" s="41"/>
      <c r="BX227" s="41"/>
      <c r="BY227" s="41"/>
      <c r="BZ227" s="41"/>
      <c r="CA227" s="41" t="s">
        <v>22</v>
      </c>
      <c r="CC227" s="18" t="s">
        <v>22</v>
      </c>
      <c r="CE227" s="41" t="s">
        <v>22</v>
      </c>
      <c r="CF227" s="41" t="s">
        <v>22</v>
      </c>
      <c r="CG227" s="41" t="e">
        <f t="shared" si="122"/>
        <v>#VALUE!</v>
      </c>
      <c r="CH227" s="41" t="e">
        <f t="shared" si="123"/>
        <v>#VALUE!</v>
      </c>
      <c r="CI227" s="41">
        <f t="shared" si="124"/>
        <v>1.4</v>
      </c>
      <c r="CJ227" s="41">
        <f t="shared" si="121"/>
        <v>0.14612803567823801</v>
      </c>
      <c r="CL227" s="9" t="s">
        <v>1269</v>
      </c>
      <c r="CM227" s="18" t="s">
        <v>1285</v>
      </c>
      <c r="CN227" s="54" t="s">
        <v>1284</v>
      </c>
      <c r="CO227" s="18" t="s">
        <v>1284</v>
      </c>
    </row>
    <row r="228" spans="1:93" x14ac:dyDescent="0.25">
      <c r="A228" t="s">
        <v>365</v>
      </c>
      <c r="B228" s="42">
        <v>18.7</v>
      </c>
      <c r="C228" s="43">
        <v>2.87</v>
      </c>
      <c r="D228" s="41">
        <f>0.001*(B228*10^6)/(C228*0.001*100^3)</f>
        <v>6.515679442508711</v>
      </c>
      <c r="E228" s="41" t="s">
        <v>22</v>
      </c>
      <c r="F228" t="s">
        <v>22</v>
      </c>
      <c r="G228" t="s">
        <v>22</v>
      </c>
      <c r="H228" t="s">
        <v>22</v>
      </c>
      <c r="I228" t="s">
        <v>22</v>
      </c>
      <c r="J228" s="41" t="s">
        <v>22</v>
      </c>
      <c r="K228" t="s">
        <v>22</v>
      </c>
      <c r="M228" t="s">
        <v>23</v>
      </c>
      <c r="N228" s="41" t="s">
        <v>22</v>
      </c>
      <c r="O228" s="41" t="s">
        <v>22</v>
      </c>
      <c r="P228" s="41" t="s">
        <v>22</v>
      </c>
      <c r="R228" s="41" t="s">
        <v>22</v>
      </c>
      <c r="S228" s="41" t="s">
        <v>22</v>
      </c>
      <c r="T228" s="41">
        <v>1</v>
      </c>
      <c r="U228" s="41">
        <v>1</v>
      </c>
      <c r="V228">
        <v>20200518</v>
      </c>
      <c r="W228" s="9" t="s">
        <v>952</v>
      </c>
      <c r="X228">
        <v>2000</v>
      </c>
      <c r="Y228" t="s">
        <v>22</v>
      </c>
      <c r="Z228" t="s">
        <v>32</v>
      </c>
      <c r="AA228" s="2" t="s">
        <v>22</v>
      </c>
      <c r="AB228" s="43" t="s">
        <v>22</v>
      </c>
      <c r="AC228" s="2" t="s">
        <v>287</v>
      </c>
      <c r="AD228" s="41" t="s">
        <v>22</v>
      </c>
      <c r="AE228" s="41" t="s">
        <v>22</v>
      </c>
      <c r="AF228" s="41" t="s">
        <v>22</v>
      </c>
      <c r="AG228" s="41" t="s">
        <v>22</v>
      </c>
      <c r="AH228" s="41" t="s">
        <v>22</v>
      </c>
      <c r="AI228" s="41" t="s">
        <v>22</v>
      </c>
      <c r="AJ228" s="41" t="s">
        <v>22</v>
      </c>
      <c r="AK228" s="41" t="s">
        <v>22</v>
      </c>
      <c r="AL228" s="41" t="s">
        <v>22</v>
      </c>
      <c r="AM228" s="43" t="e">
        <f t="shared" si="100"/>
        <v>#VALUE!</v>
      </c>
      <c r="AN228" s="43" t="e">
        <f t="shared" si="101"/>
        <v>#VALUE!</v>
      </c>
      <c r="AO228" s="18" t="s">
        <v>827</v>
      </c>
      <c r="AT228" s="2">
        <f t="shared" si="102"/>
        <v>1</v>
      </c>
      <c r="AU228" s="45">
        <f t="shared" si="103"/>
        <v>1.271841606536499</v>
      </c>
      <c r="AV228" s="45">
        <f t="shared" si="104"/>
        <v>0.45788189673399232</v>
      </c>
      <c r="AW228" s="45">
        <f t="shared" si="105"/>
        <v>0.81395970980250665</v>
      </c>
      <c r="AX228" s="45" t="e">
        <f t="shared" si="106"/>
        <v>#VALUE!</v>
      </c>
      <c r="AY228" s="45" t="e">
        <f t="shared" si="107"/>
        <v>#VALUE!</v>
      </c>
      <c r="AZ228" s="45" t="e">
        <f t="shared" si="108"/>
        <v>#VALUE!</v>
      </c>
      <c r="BA228" s="45" t="e">
        <f t="shared" si="109"/>
        <v>#VALUE!</v>
      </c>
      <c r="BB228" s="45" t="e">
        <f t="shared" si="110"/>
        <v>#NUM!</v>
      </c>
      <c r="BC228" s="45">
        <f t="shared" si="111"/>
        <v>0</v>
      </c>
      <c r="BD228" s="45" t="e">
        <f t="shared" si="112"/>
        <v>#VALUE!</v>
      </c>
      <c r="BE228" s="45" t="e">
        <f t="shared" si="113"/>
        <v>#VALUE!</v>
      </c>
      <c r="BF228" s="45" t="e">
        <f t="shared" si="114"/>
        <v>#VALUE!</v>
      </c>
      <c r="BG228" s="45" t="e">
        <f t="shared" si="115"/>
        <v>#VALUE!</v>
      </c>
      <c r="BH228" s="45" t="e">
        <f t="shared" si="116"/>
        <v>#VALUE!</v>
      </c>
      <c r="BI228" s="43" t="e">
        <f t="shared" si="117"/>
        <v>#VALUE!</v>
      </c>
      <c r="BJ228" s="2" t="s">
        <v>520</v>
      </c>
      <c r="BK228" s="2" t="s">
        <v>521</v>
      </c>
      <c r="BL228" s="2" t="s">
        <v>871</v>
      </c>
      <c r="BM228" s="41">
        <v>0.02</v>
      </c>
      <c r="BN228" s="41">
        <v>25000000000000</v>
      </c>
      <c r="BO228" s="43">
        <f>BN228/(C228*1000000)</f>
        <v>8710801.3937282227</v>
      </c>
      <c r="BP228" s="43" t="s">
        <v>22</v>
      </c>
      <c r="BQ228" s="43" t="s">
        <v>22</v>
      </c>
      <c r="BR228" s="43" t="s">
        <v>22</v>
      </c>
      <c r="BS228" s="2" t="s">
        <v>22</v>
      </c>
      <c r="BT228" s="2" t="s">
        <v>22</v>
      </c>
      <c r="BU228" s="43" t="s">
        <v>22</v>
      </c>
      <c r="BV228" s="43" t="s">
        <v>22</v>
      </c>
      <c r="BW228" s="43" t="s">
        <v>22</v>
      </c>
      <c r="BX228" s="43" t="s">
        <v>22</v>
      </c>
      <c r="BY228" s="43" t="s">
        <v>22</v>
      </c>
      <c r="BZ228" s="41">
        <v>0.5</v>
      </c>
      <c r="CA228" s="41">
        <v>0.5</v>
      </c>
      <c r="CB228" t="s">
        <v>867</v>
      </c>
      <c r="CC228" t="s">
        <v>1009</v>
      </c>
      <c r="CE228" s="41">
        <f>LOG10(BN228)</f>
        <v>13.397940008672037</v>
      </c>
      <c r="CF228" s="41" t="e">
        <f>LOG10(BV228)</f>
        <v>#VALUE!</v>
      </c>
      <c r="CG228" s="41" t="e">
        <f t="shared" si="122"/>
        <v>#VALUE!</v>
      </c>
      <c r="CH228" s="41" t="e">
        <f t="shared" si="123"/>
        <v>#VALUE!</v>
      </c>
      <c r="CI228" s="41">
        <f t="shared" si="124"/>
        <v>1</v>
      </c>
      <c r="CJ228" s="41">
        <f t="shared" si="121"/>
        <v>0</v>
      </c>
      <c r="CL228" s="9" t="s">
        <v>1269</v>
      </c>
      <c r="CM228" s="18" t="s">
        <v>1285</v>
      </c>
      <c r="CN228" s="54">
        <v>-0.3010299956639812</v>
      </c>
      <c r="CO228" s="18" t="s">
        <v>1286</v>
      </c>
    </row>
    <row r="229" spans="1:93" s="9" customFormat="1" x14ac:dyDescent="0.25">
      <c r="A229" s="9" t="s">
        <v>315</v>
      </c>
      <c r="B229" s="50">
        <f>(0.0506293691128234^-1)*100*10^-6</f>
        <v>1.975138180710058E-3</v>
      </c>
      <c r="C229" s="50">
        <v>0.04</v>
      </c>
      <c r="D229" s="50">
        <f>0.001*(B229*10^6)/(C229*0.001*100^3)</f>
        <v>4.9378454517751455E-2</v>
      </c>
      <c r="E229" s="50" t="s">
        <v>22</v>
      </c>
      <c r="F229" s="9" t="s">
        <v>22</v>
      </c>
      <c r="G229" s="9" t="s">
        <v>22</v>
      </c>
      <c r="H229" s="9" t="s">
        <v>22</v>
      </c>
      <c r="I229" s="9" t="s">
        <v>22</v>
      </c>
      <c r="J229" s="50" t="s">
        <v>22</v>
      </c>
      <c r="K229" s="9" t="s">
        <v>22</v>
      </c>
      <c r="L229" s="50"/>
      <c r="M229" s="9" t="s">
        <v>23</v>
      </c>
      <c r="N229" s="50" t="s">
        <v>22</v>
      </c>
      <c r="O229" s="50" t="s">
        <v>22</v>
      </c>
      <c r="P229" s="50" t="s">
        <v>22</v>
      </c>
      <c r="Q229" s="50"/>
      <c r="R229" s="50" t="s">
        <v>22</v>
      </c>
      <c r="S229" s="50" t="s">
        <v>22</v>
      </c>
      <c r="T229" s="50">
        <v>1.4</v>
      </c>
      <c r="U229" s="50">
        <v>1.4</v>
      </c>
      <c r="V229" s="9">
        <v>20201204</v>
      </c>
      <c r="W229" s="21"/>
      <c r="X229" s="21">
        <v>2000</v>
      </c>
      <c r="Y229" s="9" t="s">
        <v>328</v>
      </c>
      <c r="Z229" s="9" t="s">
        <v>32</v>
      </c>
      <c r="AB229" s="50"/>
      <c r="AC229" s="9" t="s">
        <v>514</v>
      </c>
      <c r="AD229" s="50" t="s">
        <v>22</v>
      </c>
      <c r="AE229" s="50" t="s">
        <v>22</v>
      </c>
      <c r="AF229" s="50" t="s">
        <v>22</v>
      </c>
      <c r="AG229" s="50">
        <v>362</v>
      </c>
      <c r="AH229" s="50">
        <v>0.225009708930133</v>
      </c>
      <c r="AI229" s="50" t="s">
        <v>22</v>
      </c>
      <c r="AJ229" s="50">
        <v>0.17006226792168699</v>
      </c>
      <c r="AK229" s="50">
        <v>6.9962244140568494E-2</v>
      </c>
      <c r="AL229" s="50">
        <v>5.0629369112823397E-2</v>
      </c>
      <c r="AM229" s="43" t="e">
        <f t="shared" si="100"/>
        <v>#VALUE!</v>
      </c>
      <c r="AN229" s="43">
        <f t="shared" si="101"/>
        <v>0.29771077224571663</v>
      </c>
      <c r="AO229" s="21" t="s">
        <v>1195</v>
      </c>
      <c r="AT229" s="2">
        <f t="shared" si="102"/>
        <v>2</v>
      </c>
      <c r="AU229" s="45">
        <f t="shared" si="103"/>
        <v>-2.7044025157232703</v>
      </c>
      <c r="AV229" s="45">
        <f t="shared" si="104"/>
        <v>-1.3979400086720375</v>
      </c>
      <c r="AW229" s="45">
        <f t="shared" si="105"/>
        <v>-1.3064625070512326</v>
      </c>
      <c r="AX229" s="45" t="e">
        <f t="shared" si="106"/>
        <v>#VALUE!</v>
      </c>
      <c r="AY229" s="45" t="e">
        <f t="shared" si="107"/>
        <v>#VALUE!</v>
      </c>
      <c r="AZ229" s="45" t="e">
        <f t="shared" si="108"/>
        <v>#VALUE!</v>
      </c>
      <c r="BA229" s="45" t="e">
        <f t="shared" si="109"/>
        <v>#VALUE!</v>
      </c>
      <c r="BB229" s="45" t="e">
        <f t="shared" si="110"/>
        <v>#NUM!</v>
      </c>
      <c r="BC229" s="45">
        <f t="shared" si="111"/>
        <v>0.14612803567823801</v>
      </c>
      <c r="BD229" s="45" t="e">
        <f t="shared" si="112"/>
        <v>#VALUE!</v>
      </c>
      <c r="BE229" s="45" t="e">
        <f t="shared" si="113"/>
        <v>#VALUE!</v>
      </c>
      <c r="BF229" s="45" t="e">
        <f t="shared" si="114"/>
        <v>#VALUE!</v>
      </c>
      <c r="BG229" s="45">
        <f t="shared" si="115"/>
        <v>-0.52620545073375202</v>
      </c>
      <c r="BH229" s="45" t="e">
        <f t="shared" si="116"/>
        <v>#NUM!</v>
      </c>
      <c r="BI229" s="43" t="e">
        <f t="shared" si="117"/>
        <v>#VALUE!</v>
      </c>
      <c r="BL229" s="20"/>
      <c r="BM229" s="50"/>
      <c r="BN229" s="50"/>
      <c r="BO229" s="50"/>
      <c r="BP229" s="50"/>
      <c r="BQ229" s="50"/>
      <c r="BR229" s="50"/>
      <c r="BU229" s="50"/>
      <c r="BV229" s="50"/>
      <c r="BW229" s="50"/>
      <c r="BX229" s="50"/>
      <c r="BY229" s="50"/>
      <c r="BZ229" s="50"/>
      <c r="CA229" s="50" t="s">
        <v>22</v>
      </c>
      <c r="CE229" s="50"/>
      <c r="CF229" s="50"/>
      <c r="CG229" s="50"/>
      <c r="CH229" s="50"/>
      <c r="CI229" s="50">
        <f t="shared" si="124"/>
        <v>1.4</v>
      </c>
      <c r="CJ229" s="50">
        <f t="shared" si="121"/>
        <v>0.14612803567823801</v>
      </c>
      <c r="CL229" s="9" t="s">
        <v>1269</v>
      </c>
      <c r="CM229" s="9" t="s">
        <v>1285</v>
      </c>
      <c r="CN229" s="55" t="s">
        <v>1284</v>
      </c>
      <c r="CO229" s="9" t="s">
        <v>1284</v>
      </c>
    </row>
    <row r="230" spans="1:93" s="9" customFormat="1" x14ac:dyDescent="0.25">
      <c r="A230" s="9" t="s">
        <v>315</v>
      </c>
      <c r="B230" s="50">
        <f>(0.00484768722513057^-1)*100*10^-6</f>
        <v>2.0628393573248024E-2</v>
      </c>
      <c r="C230" s="50" t="s">
        <v>22</v>
      </c>
      <c r="D230" s="50" t="s">
        <v>22</v>
      </c>
      <c r="E230" s="50" t="s">
        <v>22</v>
      </c>
      <c r="F230" s="9" t="s">
        <v>22</v>
      </c>
      <c r="G230" s="9" t="s">
        <v>22</v>
      </c>
      <c r="H230" s="9" t="s">
        <v>22</v>
      </c>
      <c r="I230" s="9" t="s">
        <v>22</v>
      </c>
      <c r="J230" s="50" t="s">
        <v>22</v>
      </c>
      <c r="K230" s="9" t="s">
        <v>22</v>
      </c>
      <c r="L230" s="50"/>
      <c r="M230" s="9" t="s">
        <v>45</v>
      </c>
      <c r="N230" s="50" t="s">
        <v>22</v>
      </c>
      <c r="O230" s="50" t="s">
        <v>22</v>
      </c>
      <c r="P230" s="50" t="s">
        <v>22</v>
      </c>
      <c r="Q230" s="50"/>
      <c r="R230" s="50" t="s">
        <v>22</v>
      </c>
      <c r="S230" s="50" t="s">
        <v>22</v>
      </c>
      <c r="T230" s="50">
        <v>1.4</v>
      </c>
      <c r="U230" s="50">
        <v>1.4</v>
      </c>
      <c r="V230" s="9">
        <v>20201204</v>
      </c>
      <c r="W230" s="21"/>
      <c r="X230" s="21">
        <v>2000</v>
      </c>
      <c r="Y230" s="9" t="s">
        <v>328</v>
      </c>
      <c r="Z230" s="9" t="s">
        <v>124</v>
      </c>
      <c r="AA230" s="9" t="s">
        <v>1086</v>
      </c>
      <c r="AB230" s="50">
        <v>1.975138180710058E-3</v>
      </c>
      <c r="AC230" s="9" t="s">
        <v>514</v>
      </c>
      <c r="AD230" s="50" t="s">
        <v>22</v>
      </c>
      <c r="AE230" s="50" t="s">
        <v>22</v>
      </c>
      <c r="AF230" s="50" t="s">
        <v>22</v>
      </c>
      <c r="AG230" s="50">
        <v>70.87</v>
      </c>
      <c r="AH230" s="50">
        <v>4.13382608376015E-3</v>
      </c>
      <c r="AI230" s="50">
        <v>4.13382608376015E-3</v>
      </c>
      <c r="AJ230" s="50">
        <v>4.0352460490615197E-3</v>
      </c>
      <c r="AK230" s="50">
        <v>3.8081389664678701E-3</v>
      </c>
      <c r="AL230" s="50">
        <v>4.8476872251305703E-3</v>
      </c>
      <c r="AM230" s="43">
        <f t="shared" si="100"/>
        <v>1.172687753888545</v>
      </c>
      <c r="AN230" s="43">
        <f t="shared" si="101"/>
        <v>1.2013362174675819</v>
      </c>
      <c r="AO230" s="21" t="s">
        <v>1195</v>
      </c>
      <c r="AT230" s="2">
        <f t="shared" si="102"/>
        <v>2</v>
      </c>
      <c r="AU230" s="45">
        <f t="shared" si="103"/>
        <v>-1.6855345911949688</v>
      </c>
      <c r="AV230" s="45" t="e">
        <f t="shared" si="104"/>
        <v>#VALUE!</v>
      </c>
      <c r="AW230" s="45" t="e">
        <f t="shared" si="105"/>
        <v>#VALUE!</v>
      </c>
      <c r="AX230" s="45" t="e">
        <f t="shared" si="106"/>
        <v>#VALUE!</v>
      </c>
      <c r="AY230" s="45" t="e">
        <f t="shared" si="107"/>
        <v>#VALUE!</v>
      </c>
      <c r="AZ230" s="45" t="e">
        <f t="shared" si="108"/>
        <v>#VALUE!</v>
      </c>
      <c r="BA230" s="45" t="e">
        <f t="shared" si="109"/>
        <v>#VALUE!</v>
      </c>
      <c r="BB230" s="45" t="e">
        <f t="shared" si="110"/>
        <v>#NUM!</v>
      </c>
      <c r="BC230" s="45">
        <f t="shared" si="111"/>
        <v>0.14612803567823801</v>
      </c>
      <c r="BD230" s="45" t="e">
        <f t="shared" si="112"/>
        <v>#VALUE!</v>
      </c>
      <c r="BE230" s="45" t="e">
        <f t="shared" si="113"/>
        <v>#VALUE!</v>
      </c>
      <c r="BF230" s="45">
        <f t="shared" si="114"/>
        <v>6.9182389937106875E-2</v>
      </c>
      <c r="BG230" s="45">
        <f t="shared" si="115"/>
        <v>7.9664570230608481E-2</v>
      </c>
      <c r="BH230" s="45">
        <f t="shared" si="116"/>
        <v>-2.7044025157232703</v>
      </c>
      <c r="BI230" s="43" t="e">
        <f t="shared" si="117"/>
        <v>#VALUE!</v>
      </c>
      <c r="BL230" s="20"/>
      <c r="BM230" s="50"/>
      <c r="BN230" s="50"/>
      <c r="BO230" s="50"/>
      <c r="BP230" s="50"/>
      <c r="BQ230" s="50"/>
      <c r="BR230" s="50"/>
      <c r="BU230" s="50"/>
      <c r="BV230" s="50"/>
      <c r="BW230" s="50"/>
      <c r="BX230" s="50"/>
      <c r="BY230" s="50"/>
      <c r="BZ230" s="50"/>
      <c r="CA230" s="50" t="s">
        <v>22</v>
      </c>
      <c r="CE230" s="50"/>
      <c r="CF230" s="50"/>
      <c r="CG230" s="50"/>
      <c r="CH230" s="50"/>
      <c r="CI230" s="50">
        <f t="shared" si="124"/>
        <v>1.4</v>
      </c>
      <c r="CJ230" s="50">
        <f t="shared" si="121"/>
        <v>0.14612803567823801</v>
      </c>
      <c r="CL230" s="9" t="s">
        <v>1269</v>
      </c>
      <c r="CM230" s="9" t="s">
        <v>1285</v>
      </c>
      <c r="CN230" s="55" t="s">
        <v>1284</v>
      </c>
      <c r="CO230" s="9" t="s">
        <v>1284</v>
      </c>
    </row>
    <row r="231" spans="1:93" x14ac:dyDescent="0.25">
      <c r="A231" t="s">
        <v>343</v>
      </c>
      <c r="B231" s="41">
        <f>8946888.11826963*10^-6</f>
        <v>8.94688811826963</v>
      </c>
      <c r="L231" s="41" t="str">
        <f>IF((10^-12)*J231*K231^4=0,"",(10^-12)*J231*K231^4)</f>
        <v/>
      </c>
      <c r="M231" s="18" t="s">
        <v>45</v>
      </c>
      <c r="T231" s="41" t="s">
        <v>22</v>
      </c>
      <c r="U231" s="41" t="s">
        <v>22</v>
      </c>
      <c r="V231">
        <v>20200531</v>
      </c>
      <c r="W231" s="21" t="s">
        <v>964</v>
      </c>
      <c r="X231" s="6">
        <v>2001</v>
      </c>
      <c r="Y231" t="s">
        <v>343</v>
      </c>
      <c r="Z231" t="s">
        <v>32</v>
      </c>
      <c r="AA231" s="18" t="s">
        <v>1040</v>
      </c>
      <c r="AC231" t="s">
        <v>22</v>
      </c>
      <c r="AG231" s="41">
        <v>195.73</v>
      </c>
      <c r="AH231" s="61">
        <v>1.5351550506601167E-7</v>
      </c>
      <c r="AI231" s="61">
        <v>1.4868458707086415E-7</v>
      </c>
      <c r="AJ231" s="61">
        <v>1.4415662074244321E-7</v>
      </c>
      <c r="AK231" s="61">
        <v>1.1508482084889757E-7</v>
      </c>
      <c r="AL231" s="61">
        <v>1.1177070583435492E-7</v>
      </c>
      <c r="AM231" s="43">
        <f t="shared" si="100"/>
        <v>0.75173027706687712</v>
      </c>
      <c r="AN231" s="43">
        <f t="shared" si="101"/>
        <v>0.77534216089907904</v>
      </c>
      <c r="AO231" s="10" t="s">
        <v>963</v>
      </c>
      <c r="AT231" s="2">
        <f t="shared" si="102"/>
        <v>2</v>
      </c>
      <c r="AU231" s="45">
        <f t="shared" si="103"/>
        <v>0.9516720064813432</v>
      </c>
      <c r="AV231" s="45" t="e">
        <f t="shared" si="104"/>
        <v>#NUM!</v>
      </c>
      <c r="AW231" s="45" t="e">
        <f t="shared" si="105"/>
        <v>#NUM!</v>
      </c>
      <c r="AX231" s="45" t="e">
        <f t="shared" si="106"/>
        <v>#NUM!</v>
      </c>
      <c r="AY231" s="45" t="e">
        <f t="shared" si="107"/>
        <v>#NUM!</v>
      </c>
      <c r="AZ231" s="45" t="e">
        <f t="shared" si="108"/>
        <v>#NUM!</v>
      </c>
      <c r="BA231" s="45" t="e">
        <f t="shared" si="109"/>
        <v>#NUM!</v>
      </c>
      <c r="BB231" s="45" t="e">
        <f t="shared" si="110"/>
        <v>#VALUE!</v>
      </c>
      <c r="BC231" s="45" t="e">
        <f t="shared" si="111"/>
        <v>#VALUE!</v>
      </c>
      <c r="BD231" s="45" t="e">
        <f t="shared" si="112"/>
        <v>#NUM!</v>
      </c>
      <c r="BE231" s="45" t="e">
        <f t="shared" si="113"/>
        <v>#NUM!</v>
      </c>
      <c r="BF231" s="45">
        <f t="shared" si="114"/>
        <v>-0.12393795753856866</v>
      </c>
      <c r="BG231" s="45">
        <f t="shared" si="115"/>
        <v>-0.11050659969103228</v>
      </c>
      <c r="BH231" s="45" t="e">
        <f t="shared" si="116"/>
        <v>#NUM!</v>
      </c>
      <c r="BI231" s="43" t="e">
        <f t="shared" si="117"/>
        <v>#NUM!</v>
      </c>
      <c r="BJ231" s="18"/>
      <c r="BK231" s="18"/>
      <c r="BL231" s="20"/>
      <c r="BT231" s="18"/>
      <c r="CA231" s="41" t="s">
        <v>22</v>
      </c>
      <c r="CC231" t="s">
        <v>22</v>
      </c>
      <c r="CE231" s="41" t="s">
        <v>22</v>
      </c>
      <c r="CF231" s="41" t="s">
        <v>22</v>
      </c>
      <c r="CG231" s="41" t="s">
        <v>22</v>
      </c>
      <c r="CH231" s="41" t="e">
        <f t="shared" ref="CH231:CH262" si="127">LOG10(CG231)</f>
        <v>#VALUE!</v>
      </c>
      <c r="CI231" s="41" t="str">
        <f t="shared" ref="CI231:CI262" si="128">IF(ISNUMBER(CG231),CG231,U231)</f>
        <v>Not Reported/ Can not calculate</v>
      </c>
      <c r="CJ231" s="41" t="e">
        <f t="shared" ref="CJ231:CJ262" si="129">LOG10(CI231)</f>
        <v>#VALUE!</v>
      </c>
      <c r="CL231" s="9" t="s">
        <v>343</v>
      </c>
      <c r="CM231" s="18" t="s">
        <v>1284</v>
      </c>
      <c r="CN231" s="54" t="s">
        <v>1284</v>
      </c>
      <c r="CO231" s="18" t="s">
        <v>1284</v>
      </c>
    </row>
    <row r="232" spans="1:93" x14ac:dyDescent="0.25">
      <c r="A232" t="s">
        <v>343</v>
      </c>
      <c r="B232" s="41">
        <f>4016194.06328295*10^-6</f>
        <v>4.01619406328295</v>
      </c>
      <c r="L232" s="41" t="str">
        <f>IF((10^-12)*J232*K232^4=0,"",(10^-12)*J232*K232^4)</f>
        <v/>
      </c>
      <c r="M232" t="s">
        <v>45</v>
      </c>
      <c r="T232" s="41" t="s">
        <v>22</v>
      </c>
      <c r="U232" s="41" t="s">
        <v>22</v>
      </c>
      <c r="V232">
        <v>20200531</v>
      </c>
      <c r="W232" s="21" t="s">
        <v>964</v>
      </c>
      <c r="X232" s="6">
        <v>2001</v>
      </c>
      <c r="Y232" t="s">
        <v>343</v>
      </c>
      <c r="Z232" t="s">
        <v>32</v>
      </c>
      <c r="AA232" s="18" t="s">
        <v>1040</v>
      </c>
      <c r="AC232" t="s">
        <v>22</v>
      </c>
      <c r="AG232" s="41" t="s">
        <v>22</v>
      </c>
      <c r="AH232" s="61">
        <f>7019860.95671067^-1</f>
        <v>1.4245296397844535E-7</v>
      </c>
      <c r="AI232" s="61">
        <f>7019529.11115159^-1</f>
        <v>1.4245969838793713E-7</v>
      </c>
      <c r="AJ232" s="61">
        <f>6920572.76543489^-1</f>
        <v>1.4449671058941027E-7</v>
      </c>
      <c r="AK232" s="61">
        <f>6436144.61829458^-1</f>
        <v>1.5537251869038571E-7</v>
      </c>
      <c r="AL232" s="61">
        <f>4016194.06328295^-1</f>
        <v>2.4899195214251472E-7</v>
      </c>
      <c r="AM232" s="43">
        <f t="shared" si="100"/>
        <v>1.7478062565068457</v>
      </c>
      <c r="AN232" s="43">
        <f t="shared" si="101"/>
        <v>1.7231669228099549</v>
      </c>
      <c r="AO232" s="10" t="s">
        <v>963</v>
      </c>
      <c r="AT232" s="2">
        <f t="shared" si="102"/>
        <v>2</v>
      </c>
      <c r="AU232" s="45">
        <f t="shared" si="103"/>
        <v>0.60381468983832365</v>
      </c>
      <c r="AV232" s="45" t="e">
        <f t="shared" si="104"/>
        <v>#NUM!</v>
      </c>
      <c r="AW232" s="45" t="e">
        <f t="shared" si="105"/>
        <v>#NUM!</v>
      </c>
      <c r="AX232" s="45" t="e">
        <f t="shared" si="106"/>
        <v>#NUM!</v>
      </c>
      <c r="AY232" s="45" t="e">
        <f t="shared" si="107"/>
        <v>#NUM!</v>
      </c>
      <c r="AZ232" s="45" t="e">
        <f t="shared" si="108"/>
        <v>#NUM!</v>
      </c>
      <c r="BA232" s="45" t="e">
        <f t="shared" si="109"/>
        <v>#NUM!</v>
      </c>
      <c r="BB232" s="45" t="e">
        <f t="shared" si="110"/>
        <v>#VALUE!</v>
      </c>
      <c r="BC232" s="45" t="e">
        <f t="shared" si="111"/>
        <v>#VALUE!</v>
      </c>
      <c r="BD232" s="45" t="e">
        <f t="shared" si="112"/>
        <v>#NUM!</v>
      </c>
      <c r="BE232" s="45" t="e">
        <f t="shared" si="113"/>
        <v>#NUM!</v>
      </c>
      <c r="BF232" s="45">
        <f t="shared" si="114"/>
        <v>0.24249328962942276</v>
      </c>
      <c r="BG232" s="45">
        <f t="shared" si="115"/>
        <v>0.23632734949906237</v>
      </c>
      <c r="BH232" s="45" t="e">
        <f t="shared" si="116"/>
        <v>#NUM!</v>
      </c>
      <c r="BI232" s="43" t="e">
        <f t="shared" si="117"/>
        <v>#NUM!</v>
      </c>
      <c r="BJ232" s="18"/>
      <c r="BK232" s="18"/>
      <c r="BL232" s="20"/>
      <c r="BT232" s="18"/>
      <c r="CA232" s="41" t="s">
        <v>22</v>
      </c>
      <c r="CC232" t="s">
        <v>22</v>
      </c>
      <c r="CE232" s="41" t="s">
        <v>22</v>
      </c>
      <c r="CF232" s="41" t="s">
        <v>22</v>
      </c>
      <c r="CG232" s="41" t="s">
        <v>22</v>
      </c>
      <c r="CH232" s="41" t="e">
        <f t="shared" si="127"/>
        <v>#VALUE!</v>
      </c>
      <c r="CI232" s="41" t="str">
        <f t="shared" si="128"/>
        <v>Not Reported/ Can not calculate</v>
      </c>
      <c r="CJ232" s="41" t="e">
        <f t="shared" si="129"/>
        <v>#VALUE!</v>
      </c>
      <c r="CL232" s="9" t="s">
        <v>343</v>
      </c>
      <c r="CM232" s="18" t="s">
        <v>1284</v>
      </c>
      <c r="CN232" s="54" t="s">
        <v>1284</v>
      </c>
      <c r="CO232" s="18" t="s">
        <v>1284</v>
      </c>
    </row>
    <row r="233" spans="1:93" x14ac:dyDescent="0.25">
      <c r="A233" t="s">
        <v>352</v>
      </c>
      <c r="B233" s="42">
        <v>18.7</v>
      </c>
      <c r="C233" s="41">
        <v>2.1</v>
      </c>
      <c r="D233" s="43">
        <f>0.001*(B233*10^6)/(C233*0.001*100^3)</f>
        <v>8.9047619047619033</v>
      </c>
      <c r="E233" s="41" t="s">
        <v>22</v>
      </c>
      <c r="F233" t="s">
        <v>22</v>
      </c>
      <c r="G233" t="s">
        <v>22</v>
      </c>
      <c r="H233" t="s">
        <v>22</v>
      </c>
      <c r="I233" t="s">
        <v>22</v>
      </c>
      <c r="J233" s="41" t="s">
        <v>22</v>
      </c>
      <c r="K233" t="s">
        <v>22</v>
      </c>
      <c r="L233" s="41" t="s">
        <v>22</v>
      </c>
      <c r="M233" t="s">
        <v>23</v>
      </c>
      <c r="N233" s="41" t="s">
        <v>22</v>
      </c>
      <c r="O233" s="41" t="s">
        <v>22</v>
      </c>
      <c r="P233" s="41" t="s">
        <v>22</v>
      </c>
      <c r="R233" s="41" t="s">
        <v>22</v>
      </c>
      <c r="S233" s="41" t="s">
        <v>22</v>
      </c>
      <c r="T233" s="41">
        <v>8.6</v>
      </c>
      <c r="U233" s="41">
        <v>8.6</v>
      </c>
      <c r="V233">
        <v>20200512</v>
      </c>
      <c r="W233" s="21" t="s">
        <v>921</v>
      </c>
      <c r="X233">
        <v>2001</v>
      </c>
      <c r="Y233" t="s">
        <v>527</v>
      </c>
      <c r="Z233" t="s">
        <v>32</v>
      </c>
      <c r="AA233" s="18"/>
      <c r="AC233" t="s">
        <v>514</v>
      </c>
      <c r="AD233" s="41" t="s">
        <v>22</v>
      </c>
      <c r="AE233" s="41" t="s">
        <v>22</v>
      </c>
      <c r="AF233" s="41" t="s">
        <v>22</v>
      </c>
      <c r="AG233" s="41" t="s">
        <v>22</v>
      </c>
      <c r="AH233" s="41" t="s">
        <v>22</v>
      </c>
      <c r="AI233" s="41" t="s">
        <v>22</v>
      </c>
      <c r="AJ233" s="41" t="s">
        <v>22</v>
      </c>
      <c r="AK233" s="41" t="s">
        <v>22</v>
      </c>
      <c r="AL233" s="41" t="s">
        <v>22</v>
      </c>
      <c r="AM233" s="43" t="e">
        <f t="shared" si="100"/>
        <v>#VALUE!</v>
      </c>
      <c r="AN233" s="43" t="e">
        <f t="shared" si="101"/>
        <v>#VALUE!</v>
      </c>
      <c r="AO233" s="19" t="s">
        <v>354</v>
      </c>
      <c r="AT233" s="2">
        <f t="shared" si="102"/>
        <v>2</v>
      </c>
      <c r="AU233" s="45">
        <f t="shared" si="103"/>
        <v>1.271841606536499</v>
      </c>
      <c r="AV233" s="45">
        <f t="shared" si="104"/>
        <v>0.3222192947339193</v>
      </c>
      <c r="AW233" s="45">
        <f t="shared" si="105"/>
        <v>0.94962231180257961</v>
      </c>
      <c r="AX233" s="45" t="e">
        <f t="shared" si="106"/>
        <v>#VALUE!</v>
      </c>
      <c r="AY233" s="45" t="e">
        <f t="shared" si="107"/>
        <v>#VALUE!</v>
      </c>
      <c r="AZ233" s="45" t="e">
        <f t="shared" si="108"/>
        <v>#VALUE!</v>
      </c>
      <c r="BA233" s="45" t="e">
        <f t="shared" si="109"/>
        <v>#VALUE!</v>
      </c>
      <c r="BB233" s="45" t="e">
        <f t="shared" si="110"/>
        <v>#VALUE!</v>
      </c>
      <c r="BC233" s="45">
        <f t="shared" si="111"/>
        <v>0.93449845124356767</v>
      </c>
      <c r="BD233" s="45" t="e">
        <f t="shared" si="112"/>
        <v>#VALUE!</v>
      </c>
      <c r="BE233" s="45" t="e">
        <f t="shared" si="113"/>
        <v>#VALUE!</v>
      </c>
      <c r="BF233" s="45" t="e">
        <f t="shared" si="114"/>
        <v>#VALUE!</v>
      </c>
      <c r="BG233" s="45" t="e">
        <f t="shared" si="115"/>
        <v>#VALUE!</v>
      </c>
      <c r="BH233" s="45" t="e">
        <f t="shared" si="116"/>
        <v>#NUM!</v>
      </c>
      <c r="BI233" s="43" t="e">
        <f t="shared" si="117"/>
        <v>#VALUE!</v>
      </c>
      <c r="BJ233" s="18" t="s">
        <v>520</v>
      </c>
      <c r="BK233" s="18" t="s">
        <v>521</v>
      </c>
      <c r="BL233" s="2" t="s">
        <v>871</v>
      </c>
      <c r="BM233" s="41">
        <v>10.4</v>
      </c>
      <c r="BN233" s="41">
        <v>180000000000000</v>
      </c>
      <c r="BO233" s="43">
        <f>BN233/(C233*1000000)</f>
        <v>85714285.714285716</v>
      </c>
      <c r="BP233" s="43" t="s">
        <v>22</v>
      </c>
      <c r="BQ233" s="43" t="s">
        <v>22</v>
      </c>
      <c r="BR233" s="43" t="s">
        <v>22</v>
      </c>
      <c r="BS233" s="2" t="s">
        <v>22</v>
      </c>
      <c r="BT233" s="2" t="s">
        <v>22</v>
      </c>
      <c r="BU233" s="43" t="s">
        <v>22</v>
      </c>
      <c r="BV233" s="43" t="s">
        <v>22</v>
      </c>
      <c r="BW233" s="43" t="s">
        <v>22</v>
      </c>
      <c r="BX233" s="43" t="s">
        <v>22</v>
      </c>
      <c r="BY233" s="43" t="s">
        <v>22</v>
      </c>
      <c r="BZ233" s="43">
        <v>2.6</v>
      </c>
      <c r="CA233" s="43">
        <v>2.6</v>
      </c>
      <c r="CB233" s="20" t="s">
        <v>872</v>
      </c>
      <c r="CC233" t="s">
        <v>1009</v>
      </c>
      <c r="CE233" s="41">
        <f>LOG10(BN233)</f>
        <v>14.255272505103306</v>
      </c>
      <c r="CF233" s="41" t="e">
        <f>LOG10(BV233)</f>
        <v>#VALUE!</v>
      </c>
      <c r="CG233" s="41" t="e">
        <f t="shared" ref="CG233:CG280" si="130">AD233*1000</f>
        <v>#VALUE!</v>
      </c>
      <c r="CH233" s="41" t="e">
        <f t="shared" si="127"/>
        <v>#VALUE!</v>
      </c>
      <c r="CI233" s="41">
        <f t="shared" si="128"/>
        <v>8.6</v>
      </c>
      <c r="CJ233" s="41">
        <f t="shared" si="129"/>
        <v>0.93449845124356767</v>
      </c>
      <c r="CL233" s="9" t="s">
        <v>1269</v>
      </c>
      <c r="CM233" s="18" t="s">
        <v>1285</v>
      </c>
      <c r="CN233" s="54">
        <v>0.41497334797081797</v>
      </c>
      <c r="CO233" s="18" t="s">
        <v>1286</v>
      </c>
    </row>
    <row r="234" spans="1:93" x14ac:dyDescent="0.25">
      <c r="A234" t="s">
        <v>352</v>
      </c>
      <c r="B234" s="41">
        <v>8</v>
      </c>
      <c r="C234" s="41">
        <v>2.1</v>
      </c>
      <c r="D234" s="43">
        <f>0.001*(B234*10^6)/(C234*0.001*100^3)</f>
        <v>3.8095238095238089</v>
      </c>
      <c r="E234" s="41" t="s">
        <v>22</v>
      </c>
      <c r="F234" t="s">
        <v>22</v>
      </c>
      <c r="G234" t="s">
        <v>22</v>
      </c>
      <c r="H234" t="s">
        <v>22</v>
      </c>
      <c r="I234" t="s">
        <v>22</v>
      </c>
      <c r="J234" s="41" t="s">
        <v>22</v>
      </c>
      <c r="K234" t="s">
        <v>22</v>
      </c>
      <c r="L234" s="41" t="s">
        <v>22</v>
      </c>
      <c r="M234" t="s">
        <v>23</v>
      </c>
      <c r="N234" s="41" t="s">
        <v>22</v>
      </c>
      <c r="O234" s="41" t="s">
        <v>22</v>
      </c>
      <c r="P234" s="41" t="s">
        <v>22</v>
      </c>
      <c r="R234" s="41" t="s">
        <v>22</v>
      </c>
      <c r="S234" s="41" t="s">
        <v>22</v>
      </c>
      <c r="T234" s="41">
        <v>15.3</v>
      </c>
      <c r="U234" s="41">
        <v>15.3</v>
      </c>
      <c r="V234">
        <v>20200512</v>
      </c>
      <c r="W234" s="21" t="s">
        <v>922</v>
      </c>
      <c r="X234">
        <v>2001</v>
      </c>
      <c r="Y234" t="s">
        <v>527</v>
      </c>
      <c r="Z234" t="s">
        <v>32</v>
      </c>
      <c r="AA234" s="18"/>
      <c r="AC234" t="s">
        <v>514</v>
      </c>
      <c r="AD234" s="41" t="s">
        <v>22</v>
      </c>
      <c r="AE234" s="41" t="s">
        <v>22</v>
      </c>
      <c r="AF234" s="41" t="s">
        <v>22</v>
      </c>
      <c r="AG234" s="41" t="s">
        <v>22</v>
      </c>
      <c r="AH234" s="41" t="s">
        <v>22</v>
      </c>
      <c r="AI234" s="41" t="s">
        <v>22</v>
      </c>
      <c r="AJ234" s="41" t="s">
        <v>22</v>
      </c>
      <c r="AK234" s="41" t="s">
        <v>22</v>
      </c>
      <c r="AL234" s="41" t="s">
        <v>22</v>
      </c>
      <c r="AM234" s="43" t="e">
        <f t="shared" si="100"/>
        <v>#VALUE!</v>
      </c>
      <c r="AN234" s="43" t="e">
        <f t="shared" si="101"/>
        <v>#VALUE!</v>
      </c>
      <c r="AO234" s="19" t="s">
        <v>354</v>
      </c>
      <c r="AT234" s="2">
        <f t="shared" si="102"/>
        <v>2</v>
      </c>
      <c r="AU234" s="45">
        <f t="shared" si="103"/>
        <v>0.90308998699194354</v>
      </c>
      <c r="AV234" s="45">
        <f t="shared" si="104"/>
        <v>0.3222192947339193</v>
      </c>
      <c r="AW234" s="45">
        <f t="shared" si="105"/>
        <v>0.58087069225802423</v>
      </c>
      <c r="AX234" s="45" t="e">
        <f t="shared" si="106"/>
        <v>#VALUE!</v>
      </c>
      <c r="AY234" s="45" t="e">
        <f t="shared" si="107"/>
        <v>#VALUE!</v>
      </c>
      <c r="AZ234" s="45" t="e">
        <f t="shared" si="108"/>
        <v>#VALUE!</v>
      </c>
      <c r="BA234" s="45" t="e">
        <f t="shared" si="109"/>
        <v>#VALUE!</v>
      </c>
      <c r="BB234" s="45" t="e">
        <f t="shared" si="110"/>
        <v>#VALUE!</v>
      </c>
      <c r="BC234" s="45">
        <f t="shared" si="111"/>
        <v>1.1846914308175989</v>
      </c>
      <c r="BD234" s="45" t="e">
        <f t="shared" si="112"/>
        <v>#VALUE!</v>
      </c>
      <c r="BE234" s="45" t="e">
        <f t="shared" si="113"/>
        <v>#VALUE!</v>
      </c>
      <c r="BF234" s="45" t="e">
        <f t="shared" si="114"/>
        <v>#VALUE!</v>
      </c>
      <c r="BG234" s="45" t="e">
        <f t="shared" si="115"/>
        <v>#VALUE!</v>
      </c>
      <c r="BH234" s="45" t="e">
        <f t="shared" si="116"/>
        <v>#NUM!</v>
      </c>
      <c r="BI234" s="43" t="e">
        <f t="shared" si="117"/>
        <v>#VALUE!</v>
      </c>
      <c r="BJ234" s="18" t="s">
        <v>528</v>
      </c>
      <c r="BK234" s="18" t="s">
        <v>521</v>
      </c>
      <c r="BL234" s="2" t="s">
        <v>871</v>
      </c>
      <c r="BM234" s="41">
        <v>10</v>
      </c>
      <c r="BN234" s="41">
        <v>54000000000000</v>
      </c>
      <c r="BO234" s="43">
        <f>BN234/(C234*1000000)</f>
        <v>25714285.714285713</v>
      </c>
      <c r="BP234" s="43" t="s">
        <v>22</v>
      </c>
      <c r="BQ234" s="43" t="s">
        <v>22</v>
      </c>
      <c r="BR234" s="43" t="s">
        <v>22</v>
      </c>
      <c r="BS234" s="2" t="s">
        <v>22</v>
      </c>
      <c r="BT234" s="2" t="s">
        <v>22</v>
      </c>
      <c r="BU234" s="43" t="s">
        <v>22</v>
      </c>
      <c r="BV234" s="43" t="s">
        <v>22</v>
      </c>
      <c r="BW234" s="43" t="s">
        <v>22</v>
      </c>
      <c r="BX234" s="43" t="s">
        <v>22</v>
      </c>
      <c r="BY234" s="43" t="s">
        <v>22</v>
      </c>
      <c r="BZ234" s="43">
        <v>2.5</v>
      </c>
      <c r="CA234" s="43">
        <v>2.5</v>
      </c>
      <c r="CB234" s="20" t="s">
        <v>872</v>
      </c>
      <c r="CC234" t="s">
        <v>1009</v>
      </c>
      <c r="CE234" s="41">
        <f>LOG10(BN234)</f>
        <v>13.732393759822969</v>
      </c>
      <c r="CF234" s="41" t="e">
        <f>LOG10(BV234)</f>
        <v>#VALUE!</v>
      </c>
      <c r="CG234" s="41" t="e">
        <f t="shared" si="130"/>
        <v>#VALUE!</v>
      </c>
      <c r="CH234" s="41" t="e">
        <f t="shared" si="127"/>
        <v>#VALUE!</v>
      </c>
      <c r="CI234" s="41">
        <f t="shared" si="128"/>
        <v>15.3</v>
      </c>
      <c r="CJ234" s="41">
        <f t="shared" si="129"/>
        <v>1.1846914308175989</v>
      </c>
      <c r="CL234" s="9" t="s">
        <v>1269</v>
      </c>
      <c r="CM234" s="18" t="s">
        <v>1285</v>
      </c>
      <c r="CN234" s="54">
        <v>0.3979400086720376</v>
      </c>
      <c r="CO234" s="18" t="s">
        <v>1286</v>
      </c>
    </row>
    <row r="235" spans="1:93" x14ac:dyDescent="0.25">
      <c r="A235" t="s">
        <v>352</v>
      </c>
      <c r="B235" s="41" t="s">
        <v>22</v>
      </c>
      <c r="C235" s="41">
        <v>2.1</v>
      </c>
      <c r="D235" s="41" t="s">
        <v>22</v>
      </c>
      <c r="E235" s="41" t="s">
        <v>22</v>
      </c>
      <c r="F235" t="s">
        <v>22</v>
      </c>
      <c r="G235" t="s">
        <v>22</v>
      </c>
      <c r="H235" t="s">
        <v>22</v>
      </c>
      <c r="I235" t="s">
        <v>22</v>
      </c>
      <c r="J235" s="41" t="s">
        <v>22</v>
      </c>
      <c r="K235" t="s">
        <v>22</v>
      </c>
      <c r="M235" t="s">
        <v>23</v>
      </c>
      <c r="N235" s="41" t="s">
        <v>22</v>
      </c>
      <c r="O235" s="41" t="s">
        <v>22</v>
      </c>
      <c r="P235" s="41" t="s">
        <v>22</v>
      </c>
      <c r="R235" s="41" t="s">
        <v>22</v>
      </c>
      <c r="S235" s="41" t="s">
        <v>22</v>
      </c>
      <c r="T235" s="41">
        <v>14</v>
      </c>
      <c r="U235" s="41">
        <v>14</v>
      </c>
      <c r="V235">
        <v>20200514</v>
      </c>
      <c r="W235" s="21" t="s">
        <v>942</v>
      </c>
      <c r="X235" s="6">
        <v>2001</v>
      </c>
      <c r="Y235" t="s">
        <v>22</v>
      </c>
      <c r="Z235" t="s">
        <v>32</v>
      </c>
      <c r="AA235" s="18"/>
      <c r="AC235" s="6" t="s">
        <v>514</v>
      </c>
      <c r="AD235" s="41" t="s">
        <v>22</v>
      </c>
      <c r="AE235" s="41" t="s">
        <v>22</v>
      </c>
      <c r="AF235" s="41">
        <v>3165.3884182678098</v>
      </c>
      <c r="AG235" s="41" t="s">
        <v>22</v>
      </c>
      <c r="AH235" s="41" t="s">
        <v>22</v>
      </c>
      <c r="AI235" s="41" t="s">
        <v>22</v>
      </c>
      <c r="AJ235" s="41" t="s">
        <v>22</v>
      </c>
      <c r="AK235" s="41" t="s">
        <v>22</v>
      </c>
      <c r="AL235" s="41" t="s">
        <v>22</v>
      </c>
      <c r="AM235" s="43" t="e">
        <f t="shared" si="100"/>
        <v>#VALUE!</v>
      </c>
      <c r="AN235" s="43" t="e">
        <f t="shared" si="101"/>
        <v>#VALUE!</v>
      </c>
      <c r="AO235" s="19" t="s">
        <v>730</v>
      </c>
      <c r="AT235" s="2">
        <f t="shared" si="102"/>
        <v>3</v>
      </c>
      <c r="AU235" s="45" t="e">
        <f t="shared" si="103"/>
        <v>#VALUE!</v>
      </c>
      <c r="AV235" s="45">
        <f t="shared" si="104"/>
        <v>0.3222192947339193</v>
      </c>
      <c r="AW235" s="45" t="e">
        <f t="shared" si="105"/>
        <v>#VALUE!</v>
      </c>
      <c r="AX235" s="45" t="e">
        <f t="shared" si="106"/>
        <v>#VALUE!</v>
      </c>
      <c r="AY235" s="45" t="e">
        <f t="shared" si="107"/>
        <v>#VALUE!</v>
      </c>
      <c r="AZ235" s="45" t="e">
        <f t="shared" si="108"/>
        <v>#VALUE!</v>
      </c>
      <c r="BA235" s="45" t="e">
        <f t="shared" si="109"/>
        <v>#VALUE!</v>
      </c>
      <c r="BB235" s="45" t="e">
        <f t="shared" si="110"/>
        <v>#NUM!</v>
      </c>
      <c r="BC235" s="45">
        <f t="shared" si="111"/>
        <v>1.146128035678238</v>
      </c>
      <c r="BD235" s="45" t="e">
        <f t="shared" si="112"/>
        <v>#VALUE!</v>
      </c>
      <c r="BE235" s="45">
        <f t="shared" si="113"/>
        <v>3.5004270090011733</v>
      </c>
      <c r="BF235" s="45" t="e">
        <f t="shared" si="114"/>
        <v>#VALUE!</v>
      </c>
      <c r="BG235" s="45" t="e">
        <f t="shared" si="115"/>
        <v>#VALUE!</v>
      </c>
      <c r="BH235" s="45" t="e">
        <f t="shared" si="116"/>
        <v>#NUM!</v>
      </c>
      <c r="BI235" s="43">
        <f t="shared" si="117"/>
        <v>3.5004270090011733</v>
      </c>
      <c r="BJ235" s="18"/>
      <c r="BK235" s="18"/>
      <c r="BL235" s="20"/>
      <c r="BT235" s="18"/>
      <c r="CA235" s="41" t="s">
        <v>22</v>
      </c>
      <c r="CC235" t="s">
        <v>22</v>
      </c>
      <c r="CE235" s="41" t="s">
        <v>22</v>
      </c>
      <c r="CF235" s="41" t="s">
        <v>22</v>
      </c>
      <c r="CG235" s="41" t="e">
        <f t="shared" si="130"/>
        <v>#VALUE!</v>
      </c>
      <c r="CH235" s="41" t="e">
        <f t="shared" si="127"/>
        <v>#VALUE!</v>
      </c>
      <c r="CI235" s="41">
        <f t="shared" si="128"/>
        <v>14</v>
      </c>
      <c r="CJ235" s="41">
        <f t="shared" si="129"/>
        <v>1.146128035678238</v>
      </c>
      <c r="CL235" s="9" t="s">
        <v>1269</v>
      </c>
      <c r="CM235" s="18" t="s">
        <v>1285</v>
      </c>
      <c r="CN235" s="54" t="s">
        <v>1284</v>
      </c>
      <c r="CO235" s="18" t="s">
        <v>1284</v>
      </c>
    </row>
    <row r="236" spans="1:93" x14ac:dyDescent="0.25">
      <c r="A236" t="s">
        <v>731</v>
      </c>
      <c r="B236" s="41" t="s">
        <v>22</v>
      </c>
      <c r="C236" s="41">
        <v>1.1000000000000001</v>
      </c>
      <c r="D236" s="41" t="s">
        <v>22</v>
      </c>
      <c r="E236" s="41" t="s">
        <v>22</v>
      </c>
      <c r="F236" t="s">
        <v>22</v>
      </c>
      <c r="G236" t="s">
        <v>22</v>
      </c>
      <c r="H236" t="s">
        <v>22</v>
      </c>
      <c r="I236" t="s">
        <v>22</v>
      </c>
      <c r="J236" s="41" t="s">
        <v>22</v>
      </c>
      <c r="K236" t="s">
        <v>22</v>
      </c>
      <c r="M236" t="s">
        <v>23</v>
      </c>
      <c r="N236" s="41" t="s">
        <v>22</v>
      </c>
      <c r="O236" s="41" t="s">
        <v>22</v>
      </c>
      <c r="P236" s="41" t="s">
        <v>22</v>
      </c>
      <c r="R236" s="41" t="s">
        <v>22</v>
      </c>
      <c r="S236" s="41" t="s">
        <v>22</v>
      </c>
      <c r="T236" s="41" t="s">
        <v>22</v>
      </c>
      <c r="U236" s="41" t="s">
        <v>22</v>
      </c>
      <c r="V236">
        <v>20200514</v>
      </c>
      <c r="W236" s="16" t="s">
        <v>943</v>
      </c>
      <c r="X236" s="6">
        <v>2001</v>
      </c>
      <c r="Y236" t="s">
        <v>22</v>
      </c>
      <c r="Z236" t="s">
        <v>32</v>
      </c>
      <c r="AC236" s="6" t="s">
        <v>514</v>
      </c>
      <c r="AD236" s="41" t="s">
        <v>22</v>
      </c>
      <c r="AE236" s="41" t="s">
        <v>22</v>
      </c>
      <c r="AF236" s="41">
        <v>1299.3773549611101</v>
      </c>
      <c r="AG236" s="41" t="s">
        <v>22</v>
      </c>
      <c r="AH236" s="41" t="s">
        <v>22</v>
      </c>
      <c r="AI236" s="41" t="s">
        <v>22</v>
      </c>
      <c r="AJ236" s="41" t="s">
        <v>22</v>
      </c>
      <c r="AK236" s="41" t="s">
        <v>22</v>
      </c>
      <c r="AL236" s="41" t="s">
        <v>22</v>
      </c>
      <c r="AM236" s="43" t="e">
        <f t="shared" si="100"/>
        <v>#VALUE!</v>
      </c>
      <c r="AN236" s="43" t="e">
        <f t="shared" si="101"/>
        <v>#VALUE!</v>
      </c>
      <c r="AO236" s="19" t="s">
        <v>730</v>
      </c>
      <c r="AT236" s="2">
        <f t="shared" si="102"/>
        <v>3</v>
      </c>
      <c r="AU236" s="45" t="e">
        <f t="shared" si="103"/>
        <v>#VALUE!</v>
      </c>
      <c r="AV236" s="45">
        <f t="shared" si="104"/>
        <v>4.1392685158225077E-2</v>
      </c>
      <c r="AW236" s="45" t="e">
        <f t="shared" si="105"/>
        <v>#VALUE!</v>
      </c>
      <c r="AX236" s="45" t="e">
        <f t="shared" si="106"/>
        <v>#VALUE!</v>
      </c>
      <c r="AY236" s="45" t="e">
        <f t="shared" si="107"/>
        <v>#VALUE!</v>
      </c>
      <c r="AZ236" s="45" t="e">
        <f t="shared" si="108"/>
        <v>#VALUE!</v>
      </c>
      <c r="BA236" s="45" t="e">
        <f t="shared" si="109"/>
        <v>#VALUE!</v>
      </c>
      <c r="BB236" s="45" t="e">
        <f t="shared" si="110"/>
        <v>#NUM!</v>
      </c>
      <c r="BC236" s="45" t="e">
        <f t="shared" si="111"/>
        <v>#VALUE!</v>
      </c>
      <c r="BD236" s="45" t="e">
        <f t="shared" si="112"/>
        <v>#VALUE!</v>
      </c>
      <c r="BE236" s="45">
        <f t="shared" si="113"/>
        <v>3.1137352937814131</v>
      </c>
      <c r="BF236" s="45" t="e">
        <f t="shared" si="114"/>
        <v>#VALUE!</v>
      </c>
      <c r="BG236" s="45" t="e">
        <f t="shared" si="115"/>
        <v>#VALUE!</v>
      </c>
      <c r="BH236" s="45" t="e">
        <f t="shared" si="116"/>
        <v>#NUM!</v>
      </c>
      <c r="BI236" s="43">
        <f t="shared" si="117"/>
        <v>3.1137352937814131</v>
      </c>
      <c r="CA236" s="41" t="s">
        <v>22</v>
      </c>
      <c r="CC236" t="s">
        <v>22</v>
      </c>
      <c r="CE236" s="41" t="s">
        <v>22</v>
      </c>
      <c r="CF236" s="41" t="s">
        <v>22</v>
      </c>
      <c r="CG236" s="41" t="e">
        <f t="shared" si="130"/>
        <v>#VALUE!</v>
      </c>
      <c r="CH236" s="41" t="e">
        <f t="shared" si="127"/>
        <v>#VALUE!</v>
      </c>
      <c r="CI236" s="41" t="str">
        <f t="shared" si="128"/>
        <v>Not Reported/ Can not calculate</v>
      </c>
      <c r="CJ236" s="41" t="e">
        <f t="shared" si="129"/>
        <v>#VALUE!</v>
      </c>
      <c r="CL236" s="9" t="s">
        <v>1269</v>
      </c>
      <c r="CM236" s="18" t="s">
        <v>1284</v>
      </c>
      <c r="CN236" s="54" t="s">
        <v>1284</v>
      </c>
      <c r="CO236" s="18" t="s">
        <v>1284</v>
      </c>
    </row>
    <row r="237" spans="1:93" x14ac:dyDescent="0.25">
      <c r="A237" t="s">
        <v>731</v>
      </c>
      <c r="B237" s="41" t="s">
        <v>22</v>
      </c>
      <c r="C237" s="41">
        <v>1.1000000000000001</v>
      </c>
      <c r="D237" s="41" t="s">
        <v>22</v>
      </c>
      <c r="E237" s="41" t="s">
        <v>22</v>
      </c>
      <c r="F237" t="s">
        <v>22</v>
      </c>
      <c r="G237" t="s">
        <v>22</v>
      </c>
      <c r="H237" t="s">
        <v>22</v>
      </c>
      <c r="I237" t="s">
        <v>22</v>
      </c>
      <c r="J237" s="41" t="s">
        <v>22</v>
      </c>
      <c r="K237" t="s">
        <v>22</v>
      </c>
      <c r="M237" t="s">
        <v>23</v>
      </c>
      <c r="N237" s="41" t="s">
        <v>22</v>
      </c>
      <c r="O237" s="41" t="s">
        <v>22</v>
      </c>
      <c r="P237" s="41" t="s">
        <v>22</v>
      </c>
      <c r="R237" s="41" t="s">
        <v>22</v>
      </c>
      <c r="S237" s="41" t="s">
        <v>22</v>
      </c>
      <c r="T237" s="41" t="s">
        <v>22</v>
      </c>
      <c r="U237" s="41" t="s">
        <v>22</v>
      </c>
      <c r="V237">
        <v>20200514</v>
      </c>
      <c r="W237" s="16" t="s">
        <v>944</v>
      </c>
      <c r="X237" s="6">
        <v>2001</v>
      </c>
      <c r="Y237" t="s">
        <v>22</v>
      </c>
      <c r="Z237" t="s">
        <v>32</v>
      </c>
      <c r="AC237" s="6" t="s">
        <v>514</v>
      </c>
      <c r="AD237" s="41" t="s">
        <v>22</v>
      </c>
      <c r="AE237" s="41" t="s">
        <v>22</v>
      </c>
      <c r="AF237" s="41">
        <v>332.88795061596397</v>
      </c>
      <c r="AG237" s="41" t="s">
        <v>22</v>
      </c>
      <c r="AH237" s="41" t="s">
        <v>22</v>
      </c>
      <c r="AI237" s="41" t="s">
        <v>22</v>
      </c>
      <c r="AJ237" s="41" t="s">
        <v>22</v>
      </c>
      <c r="AK237" s="41" t="s">
        <v>22</v>
      </c>
      <c r="AL237" s="41" t="s">
        <v>22</v>
      </c>
      <c r="AM237" s="43" t="e">
        <f t="shared" si="100"/>
        <v>#VALUE!</v>
      </c>
      <c r="AN237" s="43" t="e">
        <f t="shared" si="101"/>
        <v>#VALUE!</v>
      </c>
      <c r="AO237" s="19" t="s">
        <v>730</v>
      </c>
      <c r="AT237" s="2">
        <f t="shared" si="102"/>
        <v>3</v>
      </c>
      <c r="AU237" s="45" t="e">
        <f t="shared" si="103"/>
        <v>#VALUE!</v>
      </c>
      <c r="AV237" s="45">
        <f t="shared" si="104"/>
        <v>4.1392685158225077E-2</v>
      </c>
      <c r="AW237" s="45" t="e">
        <f t="shared" si="105"/>
        <v>#VALUE!</v>
      </c>
      <c r="AX237" s="45" t="e">
        <f t="shared" si="106"/>
        <v>#VALUE!</v>
      </c>
      <c r="AY237" s="45" t="e">
        <f t="shared" si="107"/>
        <v>#VALUE!</v>
      </c>
      <c r="AZ237" s="45" t="e">
        <f t="shared" si="108"/>
        <v>#VALUE!</v>
      </c>
      <c r="BA237" s="45" t="e">
        <f t="shared" si="109"/>
        <v>#VALUE!</v>
      </c>
      <c r="BB237" s="45" t="e">
        <f t="shared" si="110"/>
        <v>#NUM!</v>
      </c>
      <c r="BC237" s="45" t="e">
        <f t="shared" si="111"/>
        <v>#VALUE!</v>
      </c>
      <c r="BD237" s="45" t="e">
        <f t="shared" si="112"/>
        <v>#VALUE!</v>
      </c>
      <c r="BE237" s="45">
        <f t="shared" si="113"/>
        <v>2.5222980754939943</v>
      </c>
      <c r="BF237" s="45" t="e">
        <f t="shared" si="114"/>
        <v>#VALUE!</v>
      </c>
      <c r="BG237" s="45" t="e">
        <f t="shared" si="115"/>
        <v>#VALUE!</v>
      </c>
      <c r="BH237" s="45" t="e">
        <f t="shared" si="116"/>
        <v>#NUM!</v>
      </c>
      <c r="BI237" s="43">
        <f t="shared" si="117"/>
        <v>2.5222980754939943</v>
      </c>
      <c r="CA237" s="41" t="s">
        <v>22</v>
      </c>
      <c r="CC237" t="s">
        <v>22</v>
      </c>
      <c r="CE237" s="41" t="s">
        <v>22</v>
      </c>
      <c r="CF237" s="41" t="s">
        <v>22</v>
      </c>
      <c r="CG237" s="41" t="e">
        <f t="shared" si="130"/>
        <v>#VALUE!</v>
      </c>
      <c r="CH237" s="41" t="e">
        <f t="shared" si="127"/>
        <v>#VALUE!</v>
      </c>
      <c r="CI237" s="41" t="str">
        <f t="shared" si="128"/>
        <v>Not Reported/ Can not calculate</v>
      </c>
      <c r="CJ237" s="41" t="e">
        <f t="shared" si="129"/>
        <v>#VALUE!</v>
      </c>
      <c r="CL237" s="9" t="s">
        <v>1269</v>
      </c>
      <c r="CM237" s="18" t="s">
        <v>1284</v>
      </c>
      <c r="CN237" s="54" t="s">
        <v>1284</v>
      </c>
      <c r="CO237" s="18" t="s">
        <v>1284</v>
      </c>
    </row>
    <row r="238" spans="1:93" x14ac:dyDescent="0.25">
      <c r="A238" t="s">
        <v>352</v>
      </c>
      <c r="B238" s="41">
        <v>0.5</v>
      </c>
      <c r="C238" s="43">
        <v>2.1</v>
      </c>
      <c r="D238" s="41">
        <f>0.001*(B238*10^6)/(C238*0.001*100^3)</f>
        <v>0.23809523809523805</v>
      </c>
      <c r="E238" s="41" t="s">
        <v>22</v>
      </c>
      <c r="F238" t="s">
        <v>22</v>
      </c>
      <c r="G238" t="s">
        <v>22</v>
      </c>
      <c r="H238" t="s">
        <v>22</v>
      </c>
      <c r="I238" t="s">
        <v>22</v>
      </c>
      <c r="J238" s="41" t="s">
        <v>22</v>
      </c>
      <c r="K238" t="s">
        <v>22</v>
      </c>
      <c r="M238" t="s">
        <v>23</v>
      </c>
      <c r="N238" s="41" t="s">
        <v>22</v>
      </c>
      <c r="O238" s="41" t="s">
        <v>22</v>
      </c>
      <c r="P238" s="41" t="s">
        <v>22</v>
      </c>
      <c r="R238" s="41" t="s">
        <v>22</v>
      </c>
      <c r="S238" s="41" t="s">
        <v>22</v>
      </c>
      <c r="T238" s="41">
        <v>8</v>
      </c>
      <c r="U238" s="41">
        <v>8</v>
      </c>
      <c r="V238">
        <v>20200518</v>
      </c>
      <c r="W238" s="9" t="s">
        <v>953</v>
      </c>
      <c r="X238" s="18">
        <v>2001</v>
      </c>
      <c r="Y238" t="s">
        <v>527</v>
      </c>
      <c r="Z238" t="s">
        <v>32</v>
      </c>
      <c r="AA238" s="2" t="s">
        <v>22</v>
      </c>
      <c r="AB238" s="43" t="s">
        <v>22</v>
      </c>
      <c r="AC238" s="2" t="s">
        <v>514</v>
      </c>
      <c r="AD238" s="41" t="s">
        <v>22</v>
      </c>
      <c r="AE238" s="41" t="s">
        <v>22</v>
      </c>
      <c r="AF238" s="41" t="s">
        <v>22</v>
      </c>
      <c r="AG238" s="41" t="s">
        <v>22</v>
      </c>
      <c r="AH238" s="41" t="s">
        <v>22</v>
      </c>
      <c r="AI238" s="41" t="s">
        <v>22</v>
      </c>
      <c r="AJ238" s="41" t="s">
        <v>22</v>
      </c>
      <c r="AK238" s="41" t="s">
        <v>22</v>
      </c>
      <c r="AL238" s="41" t="s">
        <v>22</v>
      </c>
      <c r="AM238" s="43" t="e">
        <f t="shared" si="100"/>
        <v>#VALUE!</v>
      </c>
      <c r="AN238" s="43" t="e">
        <f t="shared" si="101"/>
        <v>#VALUE!</v>
      </c>
      <c r="AO238" s="18" t="s">
        <v>828</v>
      </c>
      <c r="AT238" s="2">
        <f t="shared" si="102"/>
        <v>2</v>
      </c>
      <c r="AU238" s="45">
        <f t="shared" si="103"/>
        <v>-0.3010299956639812</v>
      </c>
      <c r="AV238" s="45">
        <f t="shared" si="104"/>
        <v>0.3222192947339193</v>
      </c>
      <c r="AW238" s="45">
        <f t="shared" si="105"/>
        <v>-0.62324929039790056</v>
      </c>
      <c r="AX238" s="45" t="e">
        <f t="shared" si="106"/>
        <v>#VALUE!</v>
      </c>
      <c r="AY238" s="45" t="e">
        <f t="shared" si="107"/>
        <v>#VALUE!</v>
      </c>
      <c r="AZ238" s="45" t="e">
        <f t="shared" si="108"/>
        <v>#VALUE!</v>
      </c>
      <c r="BA238" s="45" t="e">
        <f t="shared" si="109"/>
        <v>#VALUE!</v>
      </c>
      <c r="BB238" s="45" t="e">
        <f t="shared" si="110"/>
        <v>#NUM!</v>
      </c>
      <c r="BC238" s="45">
        <f t="shared" si="111"/>
        <v>0.90308998699194354</v>
      </c>
      <c r="BD238" s="45" t="e">
        <f t="shared" si="112"/>
        <v>#VALUE!</v>
      </c>
      <c r="BE238" s="45" t="e">
        <f t="shared" si="113"/>
        <v>#VALUE!</v>
      </c>
      <c r="BF238" s="45" t="e">
        <f t="shared" si="114"/>
        <v>#VALUE!</v>
      </c>
      <c r="BG238" s="45" t="e">
        <f t="shared" si="115"/>
        <v>#VALUE!</v>
      </c>
      <c r="BH238" s="45" t="e">
        <f t="shared" si="116"/>
        <v>#VALUE!</v>
      </c>
      <c r="BI238" s="43" t="e">
        <f t="shared" si="117"/>
        <v>#VALUE!</v>
      </c>
      <c r="BJ238" s="2" t="s">
        <v>528</v>
      </c>
      <c r="BK238" s="2" t="s">
        <v>521</v>
      </c>
      <c r="BL238" s="2" t="s">
        <v>871</v>
      </c>
      <c r="BM238" s="41">
        <v>0.17</v>
      </c>
      <c r="BN238" s="41">
        <v>3400000000000</v>
      </c>
      <c r="BO238" s="43">
        <f>BN238/(C238*1000000)</f>
        <v>1619047.6190476189</v>
      </c>
      <c r="BP238" s="43" t="s">
        <v>22</v>
      </c>
      <c r="BQ238" s="43" t="s">
        <v>22</v>
      </c>
      <c r="BR238" s="43" t="s">
        <v>22</v>
      </c>
      <c r="BS238" s="2" t="s">
        <v>22</v>
      </c>
      <c r="BT238" s="2" t="s">
        <v>22</v>
      </c>
      <c r="BU238" s="43" t="s">
        <v>22</v>
      </c>
      <c r="BV238" s="43" t="s">
        <v>22</v>
      </c>
      <c r="BW238" s="43" t="s">
        <v>22</v>
      </c>
      <c r="BX238" s="43" t="s">
        <v>22</v>
      </c>
      <c r="BY238" s="43" t="s">
        <v>22</v>
      </c>
      <c r="BZ238" s="41">
        <v>0.2</v>
      </c>
      <c r="CA238" s="41">
        <v>0.2</v>
      </c>
      <c r="CC238" t="s">
        <v>1009</v>
      </c>
      <c r="CE238" s="41">
        <f>LOG10(BN238)</f>
        <v>12.531478917042255</v>
      </c>
      <c r="CF238" s="41" t="e">
        <f>LOG10(BV238)</f>
        <v>#VALUE!</v>
      </c>
      <c r="CG238" s="41" t="e">
        <f t="shared" si="130"/>
        <v>#VALUE!</v>
      </c>
      <c r="CH238" s="41" t="e">
        <f t="shared" si="127"/>
        <v>#VALUE!</v>
      </c>
      <c r="CI238" s="41">
        <f t="shared" si="128"/>
        <v>8</v>
      </c>
      <c r="CJ238" s="41">
        <f t="shared" si="129"/>
        <v>0.90308998699194354</v>
      </c>
      <c r="CL238" s="9" t="s">
        <v>1269</v>
      </c>
      <c r="CM238" s="18" t="s">
        <v>1285</v>
      </c>
      <c r="CN238" s="54">
        <v>-0.69897000433601875</v>
      </c>
      <c r="CO238" s="18" t="s">
        <v>1286</v>
      </c>
    </row>
    <row r="239" spans="1:93" x14ac:dyDescent="0.25">
      <c r="A239" t="s">
        <v>352</v>
      </c>
      <c r="B239" s="41">
        <v>0.3</v>
      </c>
      <c r="C239" s="43">
        <v>2.1</v>
      </c>
      <c r="D239" s="41">
        <f>0.001*(B239*10^6)/(C239*0.001*100^3)</f>
        <v>0.14285714285714282</v>
      </c>
      <c r="E239" s="41" t="s">
        <v>22</v>
      </c>
      <c r="F239" t="s">
        <v>22</v>
      </c>
      <c r="G239" t="s">
        <v>22</v>
      </c>
      <c r="H239" t="s">
        <v>22</v>
      </c>
      <c r="I239" t="s">
        <v>22</v>
      </c>
      <c r="J239" s="41" t="s">
        <v>22</v>
      </c>
      <c r="K239" t="s">
        <v>22</v>
      </c>
      <c r="M239" t="s">
        <v>23</v>
      </c>
      <c r="N239" s="41" t="s">
        <v>22</v>
      </c>
      <c r="O239" s="41" t="s">
        <v>22</v>
      </c>
      <c r="P239" s="41" t="s">
        <v>22</v>
      </c>
      <c r="R239" s="41" t="s">
        <v>22</v>
      </c>
      <c r="S239" s="41" t="s">
        <v>22</v>
      </c>
      <c r="T239" s="41">
        <v>14</v>
      </c>
      <c r="U239" s="41">
        <v>14</v>
      </c>
      <c r="V239">
        <v>20200518</v>
      </c>
      <c r="W239" s="9" t="s">
        <v>953</v>
      </c>
      <c r="X239" s="18">
        <v>2001</v>
      </c>
      <c r="Y239" t="s">
        <v>527</v>
      </c>
      <c r="Z239" t="s">
        <v>32</v>
      </c>
      <c r="AA239" s="2" t="s">
        <v>22</v>
      </c>
      <c r="AB239" s="43" t="s">
        <v>22</v>
      </c>
      <c r="AC239" s="2" t="s">
        <v>514</v>
      </c>
      <c r="AD239" s="41" t="s">
        <v>22</v>
      </c>
      <c r="AE239" s="41" t="s">
        <v>22</v>
      </c>
      <c r="AF239" s="41" t="s">
        <v>22</v>
      </c>
      <c r="AG239" s="41" t="s">
        <v>22</v>
      </c>
      <c r="AH239" s="41" t="s">
        <v>22</v>
      </c>
      <c r="AI239" s="41" t="s">
        <v>22</v>
      </c>
      <c r="AJ239" s="41" t="s">
        <v>22</v>
      </c>
      <c r="AK239" s="41" t="s">
        <v>22</v>
      </c>
      <c r="AL239" s="41" t="s">
        <v>22</v>
      </c>
      <c r="AM239" s="43" t="e">
        <f t="shared" si="100"/>
        <v>#VALUE!</v>
      </c>
      <c r="AN239" s="43" t="e">
        <f t="shared" si="101"/>
        <v>#VALUE!</v>
      </c>
      <c r="AO239" s="18" t="s">
        <v>828</v>
      </c>
      <c r="AT239" s="2">
        <f t="shared" si="102"/>
        <v>2</v>
      </c>
      <c r="AU239" s="45">
        <f t="shared" si="103"/>
        <v>-0.52287874528033762</v>
      </c>
      <c r="AV239" s="45">
        <f t="shared" si="104"/>
        <v>0.3222192947339193</v>
      </c>
      <c r="AW239" s="45">
        <f t="shared" si="105"/>
        <v>-0.84509804001425692</v>
      </c>
      <c r="AX239" s="45" t="e">
        <f t="shared" si="106"/>
        <v>#VALUE!</v>
      </c>
      <c r="AY239" s="45" t="e">
        <f t="shared" si="107"/>
        <v>#VALUE!</v>
      </c>
      <c r="AZ239" s="45" t="e">
        <f t="shared" si="108"/>
        <v>#VALUE!</v>
      </c>
      <c r="BA239" s="45" t="e">
        <f t="shared" si="109"/>
        <v>#VALUE!</v>
      </c>
      <c r="BB239" s="45" t="e">
        <f t="shared" si="110"/>
        <v>#NUM!</v>
      </c>
      <c r="BC239" s="45">
        <f t="shared" si="111"/>
        <v>1.146128035678238</v>
      </c>
      <c r="BD239" s="45" t="e">
        <f t="shared" si="112"/>
        <v>#VALUE!</v>
      </c>
      <c r="BE239" s="45" t="e">
        <f t="shared" si="113"/>
        <v>#VALUE!</v>
      </c>
      <c r="BF239" s="45" t="e">
        <f t="shared" si="114"/>
        <v>#VALUE!</v>
      </c>
      <c r="BG239" s="45" t="e">
        <f t="shared" si="115"/>
        <v>#VALUE!</v>
      </c>
      <c r="BH239" s="45" t="e">
        <f t="shared" si="116"/>
        <v>#VALUE!</v>
      </c>
      <c r="BI239" s="43" t="e">
        <f t="shared" si="117"/>
        <v>#VALUE!</v>
      </c>
      <c r="BJ239" s="2" t="s">
        <v>528</v>
      </c>
      <c r="BK239" s="2" t="s">
        <v>521</v>
      </c>
      <c r="BL239" s="2" t="s">
        <v>871</v>
      </c>
      <c r="BM239" s="41">
        <v>0.21</v>
      </c>
      <c r="BN239" s="41">
        <v>1360000000000</v>
      </c>
      <c r="BO239" s="43">
        <f>BN239/(C239*1000000)</f>
        <v>647619.04761904757</v>
      </c>
      <c r="BP239" s="43" t="s">
        <v>22</v>
      </c>
      <c r="BQ239" s="43" t="s">
        <v>22</v>
      </c>
      <c r="BR239" s="43" t="s">
        <v>22</v>
      </c>
      <c r="BS239" t="s">
        <v>522</v>
      </c>
      <c r="BT239" s="2" t="s">
        <v>871</v>
      </c>
      <c r="BU239" s="41">
        <v>0.23499999999999999</v>
      </c>
      <c r="BV239" s="41">
        <v>1530000000000</v>
      </c>
      <c r="BW239" s="43">
        <f>BV239/(C239*1000000)</f>
        <v>728571.42857142852</v>
      </c>
      <c r="BX239" s="43" t="s">
        <v>22</v>
      </c>
      <c r="BY239" s="43" t="s">
        <v>22</v>
      </c>
      <c r="BZ239" s="41">
        <v>0.2</v>
      </c>
      <c r="CA239" s="41">
        <v>0.2</v>
      </c>
      <c r="CC239" t="s">
        <v>1009</v>
      </c>
      <c r="CE239" s="41">
        <f>LOG10(BN239)</f>
        <v>12.133538908370218</v>
      </c>
      <c r="CF239" s="41">
        <f>LOG10(BV239)</f>
        <v>12.184691430817599</v>
      </c>
      <c r="CG239" s="41" t="e">
        <f t="shared" si="130"/>
        <v>#VALUE!</v>
      </c>
      <c r="CH239" s="41" t="e">
        <f t="shared" si="127"/>
        <v>#VALUE!</v>
      </c>
      <c r="CI239" s="41">
        <f t="shared" si="128"/>
        <v>14</v>
      </c>
      <c r="CJ239" s="41">
        <f t="shared" si="129"/>
        <v>1.146128035678238</v>
      </c>
      <c r="CL239" s="9" t="s">
        <v>1269</v>
      </c>
      <c r="CM239" s="18" t="s">
        <v>1285</v>
      </c>
      <c r="CN239" s="54">
        <v>-0.69897000433601875</v>
      </c>
      <c r="CO239" s="18" t="s">
        <v>1286</v>
      </c>
    </row>
    <row r="240" spans="1:93" x14ac:dyDescent="0.25">
      <c r="A240" t="s">
        <v>365</v>
      </c>
      <c r="B240" s="41">
        <v>142</v>
      </c>
      <c r="C240" s="41">
        <v>2.8</v>
      </c>
      <c r="D240" s="41">
        <f>0.001*(B240*10^6)/(C240*0.001*100^3)</f>
        <v>50.714285714285715</v>
      </c>
      <c r="E240" s="41" t="s">
        <v>22</v>
      </c>
      <c r="F240" t="s">
        <v>22</v>
      </c>
      <c r="G240" t="s">
        <v>22</v>
      </c>
      <c r="H240" t="s">
        <v>22</v>
      </c>
      <c r="I240" t="s">
        <v>22</v>
      </c>
      <c r="J240" s="41" t="s">
        <v>22</v>
      </c>
      <c r="K240" t="s">
        <v>22</v>
      </c>
      <c r="L240" s="41" t="e">
        <f>IF((10^-12)*J240*K240^4=0,"",(10^-12)*J240*K240^4)</f>
        <v>#VALUE!</v>
      </c>
      <c r="M240" t="s">
        <v>23</v>
      </c>
      <c r="N240" s="41" t="s">
        <v>22</v>
      </c>
      <c r="O240" s="41" t="s">
        <v>22</v>
      </c>
      <c r="P240" s="41" t="s">
        <v>22</v>
      </c>
      <c r="R240" s="41" t="s">
        <v>22</v>
      </c>
      <c r="S240" s="41" t="s">
        <v>22</v>
      </c>
      <c r="T240" s="41">
        <v>1</v>
      </c>
      <c r="U240" s="41">
        <v>1</v>
      </c>
      <c r="V240">
        <v>20200512</v>
      </c>
      <c r="W240" s="16" t="s">
        <v>932</v>
      </c>
      <c r="X240" s="18">
        <v>2002</v>
      </c>
      <c r="Y240" t="s">
        <v>22</v>
      </c>
      <c r="Z240" t="s">
        <v>32</v>
      </c>
      <c r="AC240" s="18" t="s">
        <v>514</v>
      </c>
      <c r="AD240" s="41" t="s">
        <v>22</v>
      </c>
      <c r="AE240" s="41" t="s">
        <v>22</v>
      </c>
      <c r="AF240" s="41" t="s">
        <v>22</v>
      </c>
      <c r="AG240" s="41" t="s">
        <v>22</v>
      </c>
      <c r="AH240" s="41" t="s">
        <v>22</v>
      </c>
      <c r="AI240" s="41" t="s">
        <v>22</v>
      </c>
      <c r="AJ240" s="41" t="s">
        <v>22</v>
      </c>
      <c r="AK240" s="41" t="s">
        <v>22</v>
      </c>
      <c r="AL240" s="41" t="s">
        <v>22</v>
      </c>
      <c r="AM240" s="43" t="e">
        <f t="shared" si="100"/>
        <v>#VALUE!</v>
      </c>
      <c r="AN240" s="43" t="e">
        <f t="shared" si="101"/>
        <v>#VALUE!</v>
      </c>
      <c r="AO240" s="3" t="s">
        <v>366</v>
      </c>
      <c r="AT240" s="2">
        <f t="shared" si="102"/>
        <v>3</v>
      </c>
      <c r="AU240" s="45">
        <f t="shared" si="103"/>
        <v>2.1522883443830563</v>
      </c>
      <c r="AV240" s="45">
        <f t="shared" si="104"/>
        <v>0.44715803134221921</v>
      </c>
      <c r="AW240" s="45">
        <f t="shared" si="105"/>
        <v>1.7051303130408373</v>
      </c>
      <c r="AX240" s="45" t="e">
        <f t="shared" si="106"/>
        <v>#VALUE!</v>
      </c>
      <c r="AY240" s="45" t="e">
        <f t="shared" si="107"/>
        <v>#VALUE!</v>
      </c>
      <c r="AZ240" s="45" t="e">
        <f t="shared" si="108"/>
        <v>#VALUE!</v>
      </c>
      <c r="BA240" s="45" t="e">
        <f t="shared" si="109"/>
        <v>#VALUE!</v>
      </c>
      <c r="BB240" s="45" t="e">
        <f t="shared" si="110"/>
        <v>#VALUE!</v>
      </c>
      <c r="BC240" s="45">
        <f t="shared" si="111"/>
        <v>0</v>
      </c>
      <c r="BD240" s="45" t="e">
        <f t="shared" si="112"/>
        <v>#VALUE!</v>
      </c>
      <c r="BE240" s="45" t="e">
        <f t="shared" si="113"/>
        <v>#VALUE!</v>
      </c>
      <c r="BF240" s="45" t="e">
        <f t="shared" si="114"/>
        <v>#VALUE!</v>
      </c>
      <c r="BG240" s="45" t="e">
        <f t="shared" si="115"/>
        <v>#VALUE!</v>
      </c>
      <c r="BH240" s="45" t="e">
        <f t="shared" si="116"/>
        <v>#NUM!</v>
      </c>
      <c r="BI240" s="43" t="e">
        <f t="shared" si="117"/>
        <v>#VALUE!</v>
      </c>
      <c r="CA240" s="41" t="s">
        <v>22</v>
      </c>
      <c r="CC240" t="s">
        <v>22</v>
      </c>
      <c r="CE240" s="41" t="s">
        <v>22</v>
      </c>
      <c r="CF240" s="41" t="s">
        <v>22</v>
      </c>
      <c r="CG240" s="41" t="e">
        <f t="shared" si="130"/>
        <v>#VALUE!</v>
      </c>
      <c r="CH240" s="41" t="e">
        <f t="shared" si="127"/>
        <v>#VALUE!</v>
      </c>
      <c r="CI240" s="41">
        <f t="shared" si="128"/>
        <v>1</v>
      </c>
      <c r="CJ240" s="41">
        <f t="shared" si="129"/>
        <v>0</v>
      </c>
      <c r="CL240" s="9" t="s">
        <v>1269</v>
      </c>
      <c r="CM240" s="18" t="s">
        <v>1285</v>
      </c>
      <c r="CN240" s="54" t="s">
        <v>1284</v>
      </c>
      <c r="CO240" s="18" t="s">
        <v>1284</v>
      </c>
    </row>
    <row r="241" spans="1:93" x14ac:dyDescent="0.25">
      <c r="A241" t="s">
        <v>365</v>
      </c>
      <c r="B241" s="41">
        <v>53</v>
      </c>
      <c r="C241" s="41">
        <v>1.47</v>
      </c>
      <c r="D241" s="41">
        <f>0.001*(B241*10^6)/(C241*0.001*100^3)</f>
        <v>36.054421768707485</v>
      </c>
      <c r="E241" s="41" t="s">
        <v>22</v>
      </c>
      <c r="F241" t="s">
        <v>22</v>
      </c>
      <c r="G241" t="s">
        <v>22</v>
      </c>
      <c r="H241" t="s">
        <v>22</v>
      </c>
      <c r="I241" t="s">
        <v>22</v>
      </c>
      <c r="J241" s="41" t="s">
        <v>22</v>
      </c>
      <c r="K241" t="s">
        <v>22</v>
      </c>
      <c r="L241" s="41" t="e">
        <f>IF((10^-12)*J241*K241^4=0,"",(10^-12)*J241*K241^4)</f>
        <v>#VALUE!</v>
      </c>
      <c r="M241" t="s">
        <v>23</v>
      </c>
      <c r="N241" s="41" t="s">
        <v>22</v>
      </c>
      <c r="O241" s="41" t="s">
        <v>22</v>
      </c>
      <c r="P241" s="41" t="s">
        <v>22</v>
      </c>
      <c r="R241" s="41" t="s">
        <v>22</v>
      </c>
      <c r="S241" s="41" t="s">
        <v>22</v>
      </c>
      <c r="T241" s="41">
        <v>2</v>
      </c>
      <c r="U241" s="41">
        <v>2</v>
      </c>
      <c r="V241">
        <v>20200512</v>
      </c>
      <c r="W241" s="16" t="s">
        <v>933</v>
      </c>
      <c r="X241" s="18">
        <v>2002</v>
      </c>
      <c r="Y241" t="s">
        <v>22</v>
      </c>
      <c r="Z241" t="s">
        <v>32</v>
      </c>
      <c r="AC241" s="18" t="s">
        <v>514</v>
      </c>
      <c r="AD241" s="41" t="s">
        <v>22</v>
      </c>
      <c r="AE241" s="41" t="s">
        <v>22</v>
      </c>
      <c r="AF241" s="41" t="s">
        <v>22</v>
      </c>
      <c r="AG241" s="41" t="s">
        <v>22</v>
      </c>
      <c r="AH241" s="41" t="s">
        <v>22</v>
      </c>
      <c r="AI241" s="41" t="s">
        <v>22</v>
      </c>
      <c r="AJ241" s="41" t="s">
        <v>22</v>
      </c>
      <c r="AK241" s="41" t="s">
        <v>22</v>
      </c>
      <c r="AL241" s="41" t="s">
        <v>22</v>
      </c>
      <c r="AM241" s="43" t="e">
        <f t="shared" si="100"/>
        <v>#VALUE!</v>
      </c>
      <c r="AN241" s="43" t="e">
        <f t="shared" si="101"/>
        <v>#VALUE!</v>
      </c>
      <c r="AO241" s="3" t="s">
        <v>366</v>
      </c>
      <c r="AT241" s="2">
        <f t="shared" si="102"/>
        <v>3</v>
      </c>
      <c r="AU241" s="45">
        <f t="shared" si="103"/>
        <v>1.7242758696007889</v>
      </c>
      <c r="AV241" s="45">
        <f t="shared" si="104"/>
        <v>0.16731733474817609</v>
      </c>
      <c r="AW241" s="45">
        <f t="shared" si="105"/>
        <v>1.5569585348526129</v>
      </c>
      <c r="AX241" s="45" t="e">
        <f t="shared" si="106"/>
        <v>#VALUE!</v>
      </c>
      <c r="AY241" s="45" t="e">
        <f t="shared" si="107"/>
        <v>#VALUE!</v>
      </c>
      <c r="AZ241" s="45" t="e">
        <f t="shared" si="108"/>
        <v>#VALUE!</v>
      </c>
      <c r="BA241" s="45" t="e">
        <f t="shared" si="109"/>
        <v>#VALUE!</v>
      </c>
      <c r="BB241" s="45" t="e">
        <f t="shared" si="110"/>
        <v>#VALUE!</v>
      </c>
      <c r="BC241" s="45">
        <f t="shared" si="111"/>
        <v>0.3010299956639812</v>
      </c>
      <c r="BD241" s="45" t="e">
        <f t="shared" si="112"/>
        <v>#VALUE!</v>
      </c>
      <c r="BE241" s="45" t="e">
        <f t="shared" si="113"/>
        <v>#VALUE!</v>
      </c>
      <c r="BF241" s="45" t="e">
        <f t="shared" si="114"/>
        <v>#VALUE!</v>
      </c>
      <c r="BG241" s="45" t="e">
        <f t="shared" si="115"/>
        <v>#VALUE!</v>
      </c>
      <c r="BH241" s="45" t="e">
        <f t="shared" si="116"/>
        <v>#NUM!</v>
      </c>
      <c r="BI241" s="43" t="e">
        <f t="shared" si="117"/>
        <v>#VALUE!</v>
      </c>
      <c r="CA241" s="41" t="s">
        <v>22</v>
      </c>
      <c r="CC241" t="s">
        <v>22</v>
      </c>
      <c r="CE241" s="41" t="s">
        <v>22</v>
      </c>
      <c r="CF241" s="41" t="s">
        <v>22</v>
      </c>
      <c r="CG241" s="41" t="e">
        <f t="shared" si="130"/>
        <v>#VALUE!</v>
      </c>
      <c r="CH241" s="41" t="e">
        <f t="shared" si="127"/>
        <v>#VALUE!</v>
      </c>
      <c r="CI241" s="41">
        <f t="shared" si="128"/>
        <v>2</v>
      </c>
      <c r="CJ241" s="41">
        <f t="shared" si="129"/>
        <v>0.3010299956639812</v>
      </c>
      <c r="CL241" s="9" t="s">
        <v>1269</v>
      </c>
      <c r="CM241" s="18" t="s">
        <v>1285</v>
      </c>
      <c r="CN241" s="54" t="s">
        <v>1284</v>
      </c>
      <c r="CO241" s="18" t="s">
        <v>1284</v>
      </c>
    </row>
    <row r="242" spans="1:93" x14ac:dyDescent="0.25">
      <c r="A242" t="s">
        <v>365</v>
      </c>
      <c r="B242" s="41">
        <v>200</v>
      </c>
      <c r="C242" s="41">
        <v>2.8</v>
      </c>
      <c r="D242" s="41">
        <f>0.001*(B242*10^6)/(C242*0.001*100^3)</f>
        <v>71.428571428571431</v>
      </c>
      <c r="E242" s="41" t="s">
        <v>22</v>
      </c>
      <c r="F242" t="s">
        <v>22</v>
      </c>
      <c r="G242" t="s">
        <v>22</v>
      </c>
      <c r="H242" t="s">
        <v>22</v>
      </c>
      <c r="I242" t="s">
        <v>22</v>
      </c>
      <c r="J242" s="41" t="s">
        <v>22</v>
      </c>
      <c r="K242" t="s">
        <v>22</v>
      </c>
      <c r="L242" s="41" t="e">
        <f>IF((10^-12)*J242*K242^4=0,"",(10^-12)*J242*K242^4)</f>
        <v>#VALUE!</v>
      </c>
      <c r="M242" t="s">
        <v>23</v>
      </c>
      <c r="N242" s="41" t="s">
        <v>22</v>
      </c>
      <c r="O242" s="41" t="s">
        <v>22</v>
      </c>
      <c r="P242" s="41" t="s">
        <v>22</v>
      </c>
      <c r="R242" s="41" t="s">
        <v>22</v>
      </c>
      <c r="S242" s="41" t="s">
        <v>22</v>
      </c>
      <c r="T242" s="41">
        <v>1</v>
      </c>
      <c r="U242" s="41">
        <v>1</v>
      </c>
      <c r="V242">
        <v>20200512</v>
      </c>
      <c r="W242" s="16" t="s">
        <v>931</v>
      </c>
      <c r="X242" s="18">
        <v>2002</v>
      </c>
      <c r="Y242" t="s">
        <v>22</v>
      </c>
      <c r="Z242" t="s">
        <v>32</v>
      </c>
      <c r="AC242" s="18" t="s">
        <v>514</v>
      </c>
      <c r="AD242" s="41" t="s">
        <v>22</v>
      </c>
      <c r="AE242" s="41" t="s">
        <v>22</v>
      </c>
      <c r="AF242" s="41" t="s">
        <v>22</v>
      </c>
      <c r="AG242" s="41" t="s">
        <v>22</v>
      </c>
      <c r="AH242" s="41" t="s">
        <v>22</v>
      </c>
      <c r="AI242" s="41" t="s">
        <v>22</v>
      </c>
      <c r="AJ242" s="41" t="s">
        <v>22</v>
      </c>
      <c r="AK242" s="41" t="s">
        <v>22</v>
      </c>
      <c r="AL242" s="41" t="s">
        <v>22</v>
      </c>
      <c r="AM242" s="43" t="e">
        <f t="shared" si="100"/>
        <v>#VALUE!</v>
      </c>
      <c r="AN242" s="43" t="e">
        <f t="shared" si="101"/>
        <v>#VALUE!</v>
      </c>
      <c r="AO242" s="3" t="s">
        <v>366</v>
      </c>
      <c r="AT242" s="2">
        <f t="shared" si="102"/>
        <v>3</v>
      </c>
      <c r="AU242" s="45">
        <f t="shared" si="103"/>
        <v>2.3010299956639813</v>
      </c>
      <c r="AV242" s="45">
        <f t="shared" si="104"/>
        <v>0.44715803134221921</v>
      </c>
      <c r="AW242" s="45">
        <f t="shared" si="105"/>
        <v>1.853871964321762</v>
      </c>
      <c r="AX242" s="45" t="e">
        <f t="shared" si="106"/>
        <v>#VALUE!</v>
      </c>
      <c r="AY242" s="45" t="e">
        <f t="shared" si="107"/>
        <v>#VALUE!</v>
      </c>
      <c r="AZ242" s="45" t="e">
        <f t="shared" si="108"/>
        <v>#VALUE!</v>
      </c>
      <c r="BA242" s="45" t="e">
        <f t="shared" si="109"/>
        <v>#VALUE!</v>
      </c>
      <c r="BB242" s="45" t="e">
        <f t="shared" si="110"/>
        <v>#VALUE!</v>
      </c>
      <c r="BC242" s="45">
        <f t="shared" si="111"/>
        <v>0</v>
      </c>
      <c r="BD242" s="45" t="e">
        <f t="shared" si="112"/>
        <v>#VALUE!</v>
      </c>
      <c r="BE242" s="45" t="e">
        <f t="shared" si="113"/>
        <v>#VALUE!</v>
      </c>
      <c r="BF242" s="45" t="e">
        <f t="shared" si="114"/>
        <v>#VALUE!</v>
      </c>
      <c r="BG242" s="45" t="e">
        <f t="shared" si="115"/>
        <v>#VALUE!</v>
      </c>
      <c r="BH242" s="45" t="e">
        <f t="shared" si="116"/>
        <v>#NUM!</v>
      </c>
      <c r="BI242" s="43" t="e">
        <f t="shared" si="117"/>
        <v>#VALUE!</v>
      </c>
      <c r="CA242" s="41" t="s">
        <v>22</v>
      </c>
      <c r="CC242" t="s">
        <v>22</v>
      </c>
      <c r="CE242" s="41" t="s">
        <v>22</v>
      </c>
      <c r="CF242" s="41" t="s">
        <v>22</v>
      </c>
      <c r="CG242" s="41" t="e">
        <f t="shared" si="130"/>
        <v>#VALUE!</v>
      </c>
      <c r="CH242" s="41" t="e">
        <f t="shared" si="127"/>
        <v>#VALUE!</v>
      </c>
      <c r="CI242" s="41">
        <f t="shared" si="128"/>
        <v>1</v>
      </c>
      <c r="CJ242" s="41">
        <f t="shared" si="129"/>
        <v>0</v>
      </c>
      <c r="CL242" s="9" t="s">
        <v>1269</v>
      </c>
      <c r="CM242" s="18" t="s">
        <v>1285</v>
      </c>
      <c r="CN242" s="54" t="s">
        <v>1284</v>
      </c>
      <c r="CO242" s="18" t="s">
        <v>1284</v>
      </c>
    </row>
    <row r="243" spans="1:93" x14ac:dyDescent="0.25">
      <c r="A243" t="s">
        <v>342</v>
      </c>
      <c r="B243" s="41" t="s">
        <v>22</v>
      </c>
      <c r="C243" s="41" t="s">
        <v>22</v>
      </c>
      <c r="D243" s="41" t="s">
        <v>22</v>
      </c>
      <c r="E243" s="41" t="s">
        <v>22</v>
      </c>
      <c r="F243" t="s">
        <v>22</v>
      </c>
      <c r="G243" t="s">
        <v>22</v>
      </c>
      <c r="H243" t="s">
        <v>22</v>
      </c>
      <c r="I243" t="s">
        <v>22</v>
      </c>
      <c r="J243" s="41" t="s">
        <v>22</v>
      </c>
      <c r="K243" t="s">
        <v>22</v>
      </c>
      <c r="L243" s="41" t="s">
        <v>22</v>
      </c>
      <c r="M243" t="s">
        <v>23</v>
      </c>
      <c r="N243" s="41" t="s">
        <v>22</v>
      </c>
      <c r="O243" s="41" t="s">
        <v>22</v>
      </c>
      <c r="P243" s="41" t="s">
        <v>22</v>
      </c>
      <c r="R243" s="41" t="s">
        <v>22</v>
      </c>
      <c r="S243" s="41" t="s">
        <v>22</v>
      </c>
      <c r="T243" s="41" t="s">
        <v>728</v>
      </c>
      <c r="U243" s="41">
        <v>70</v>
      </c>
      <c r="V243">
        <v>20200514</v>
      </c>
      <c r="X243" s="6">
        <v>2002</v>
      </c>
      <c r="Y243" t="s">
        <v>1133</v>
      </c>
      <c r="Z243" t="s">
        <v>32</v>
      </c>
      <c r="AC243" s="6" t="s">
        <v>514</v>
      </c>
      <c r="AD243" s="41" t="s">
        <v>22</v>
      </c>
      <c r="AE243" s="41" t="s">
        <v>22</v>
      </c>
      <c r="AF243" s="41">
        <v>15</v>
      </c>
      <c r="AG243" s="41" t="s">
        <v>22</v>
      </c>
      <c r="AH243" s="41" t="s">
        <v>22</v>
      </c>
      <c r="AI243" s="41" t="s">
        <v>22</v>
      </c>
      <c r="AJ243" s="41" t="s">
        <v>22</v>
      </c>
      <c r="AK243" s="41" t="s">
        <v>22</v>
      </c>
      <c r="AL243" s="41" t="s">
        <v>22</v>
      </c>
      <c r="AM243" s="43" t="e">
        <f t="shared" si="100"/>
        <v>#VALUE!</v>
      </c>
      <c r="AN243" s="43" t="e">
        <f t="shared" si="101"/>
        <v>#VALUE!</v>
      </c>
      <c r="AO243" s="3" t="s">
        <v>729</v>
      </c>
      <c r="AT243" s="2">
        <f t="shared" si="102"/>
        <v>1</v>
      </c>
      <c r="AU243" s="45" t="e">
        <f t="shared" si="103"/>
        <v>#VALUE!</v>
      </c>
      <c r="AV243" s="45" t="e">
        <f t="shared" si="104"/>
        <v>#VALUE!</v>
      </c>
      <c r="AW243" s="45" t="e">
        <f t="shared" si="105"/>
        <v>#VALUE!</v>
      </c>
      <c r="AX243" s="45" t="e">
        <f t="shared" si="106"/>
        <v>#VALUE!</v>
      </c>
      <c r="AY243" s="45" t="e">
        <f t="shared" si="107"/>
        <v>#VALUE!</v>
      </c>
      <c r="AZ243" s="45" t="e">
        <f t="shared" si="108"/>
        <v>#VALUE!</v>
      </c>
      <c r="BA243" s="45" t="e">
        <f t="shared" si="109"/>
        <v>#VALUE!</v>
      </c>
      <c r="BB243" s="45" t="e">
        <f t="shared" si="110"/>
        <v>#VALUE!</v>
      </c>
      <c r="BC243" s="45">
        <f t="shared" si="111"/>
        <v>1.8450980400142569</v>
      </c>
      <c r="BD243" s="45" t="e">
        <f t="shared" si="112"/>
        <v>#VALUE!</v>
      </c>
      <c r="BE243" s="45">
        <f t="shared" si="113"/>
        <v>1.1760912590556813</v>
      </c>
      <c r="BF243" s="45" t="e">
        <f t="shared" si="114"/>
        <v>#VALUE!</v>
      </c>
      <c r="BG243" s="45" t="e">
        <f t="shared" si="115"/>
        <v>#VALUE!</v>
      </c>
      <c r="BH243" s="45" t="e">
        <f t="shared" si="116"/>
        <v>#NUM!</v>
      </c>
      <c r="BI243" s="43">
        <f t="shared" si="117"/>
        <v>1.1760912590556813</v>
      </c>
      <c r="CA243" s="41" t="s">
        <v>22</v>
      </c>
      <c r="CC243" t="s">
        <v>22</v>
      </c>
      <c r="CE243" s="41" t="s">
        <v>22</v>
      </c>
      <c r="CF243" s="41" t="s">
        <v>22</v>
      </c>
      <c r="CG243" s="41" t="e">
        <f t="shared" si="130"/>
        <v>#VALUE!</v>
      </c>
      <c r="CH243" s="41" t="e">
        <f t="shared" si="127"/>
        <v>#VALUE!</v>
      </c>
      <c r="CI243" s="41">
        <f t="shared" si="128"/>
        <v>70</v>
      </c>
      <c r="CJ243" s="41">
        <f t="shared" si="129"/>
        <v>1.8450980400142569</v>
      </c>
      <c r="CL243" s="9" t="s">
        <v>1269</v>
      </c>
      <c r="CM243" s="18" t="s">
        <v>1285</v>
      </c>
      <c r="CN243" s="54" t="s">
        <v>1284</v>
      </c>
      <c r="CO243" s="18" t="s">
        <v>1284</v>
      </c>
    </row>
    <row r="244" spans="1:93" x14ac:dyDescent="0.25">
      <c r="A244" t="s">
        <v>266</v>
      </c>
      <c r="B244" s="41">
        <v>0.81200000000000006</v>
      </c>
      <c r="C244" s="41">
        <v>0.9</v>
      </c>
      <c r="D244" s="41">
        <f>0.001*(B244*10^6)/(C244*0.001*100^3)</f>
        <v>0.90222222222222215</v>
      </c>
      <c r="E244" s="41">
        <v>6</v>
      </c>
      <c r="F244">
        <v>4</v>
      </c>
      <c r="G244" t="s">
        <v>52</v>
      </c>
      <c r="H244">
        <v>33</v>
      </c>
      <c r="I244" t="s">
        <v>199</v>
      </c>
      <c r="J244" s="41">
        <v>4.8</v>
      </c>
      <c r="K244">
        <v>514.5</v>
      </c>
      <c r="L244" s="41">
        <f>IF((10^-12)*J244*K244^4=0,"",(10^-12)*J244*K244^4)</f>
        <v>0.3363432789843</v>
      </c>
      <c r="M244" t="s">
        <v>23</v>
      </c>
      <c r="N244" s="41" t="s">
        <v>22</v>
      </c>
      <c r="O244" s="41" t="s">
        <v>22</v>
      </c>
      <c r="P244" s="41" t="s">
        <v>22</v>
      </c>
      <c r="R244" s="41" t="s">
        <v>22</v>
      </c>
      <c r="S244" s="41" t="s">
        <v>22</v>
      </c>
      <c r="T244" s="41">
        <v>1.3</v>
      </c>
      <c r="U244" s="41">
        <v>1.3</v>
      </c>
      <c r="V244">
        <v>20200406</v>
      </c>
      <c r="W244" s="16" t="s">
        <v>200</v>
      </c>
      <c r="X244">
        <v>2003</v>
      </c>
      <c r="Y244" t="s">
        <v>59</v>
      </c>
      <c r="Z244" t="s">
        <v>34</v>
      </c>
      <c r="AA244" s="18"/>
      <c r="AC244" t="s">
        <v>514</v>
      </c>
      <c r="AD244" s="41" t="s">
        <v>22</v>
      </c>
      <c r="AE244" s="41">
        <v>1590</v>
      </c>
      <c r="AF244" s="41" t="s">
        <v>22</v>
      </c>
      <c r="AG244" s="41" t="s">
        <v>22</v>
      </c>
      <c r="AH244" s="41">
        <v>3.5294720550204901</v>
      </c>
      <c r="AI244" s="41">
        <v>2.4862190028218101</v>
      </c>
      <c r="AJ244" s="41">
        <v>2.00048043389083</v>
      </c>
      <c r="AK244" s="41">
        <v>1.22572495500415</v>
      </c>
      <c r="AL244" s="41">
        <v>0.92315698680792302</v>
      </c>
      <c r="AM244" s="43">
        <f t="shared" si="100"/>
        <v>0.37130960135054791</v>
      </c>
      <c r="AN244" s="43">
        <f t="shared" si="101"/>
        <v>0.46146764105681898</v>
      </c>
      <c r="AO244" s="3" t="s">
        <v>201</v>
      </c>
      <c r="AT244" s="2">
        <f t="shared" si="102"/>
        <v>2</v>
      </c>
      <c r="AU244" s="45">
        <f t="shared" si="103"/>
        <v>-9.0443970758824668E-2</v>
      </c>
      <c r="AV244" s="45">
        <f t="shared" si="104"/>
        <v>-4.5757490560675115E-2</v>
      </c>
      <c r="AW244" s="45">
        <f t="shared" si="105"/>
        <v>-4.4686480198149602E-2</v>
      </c>
      <c r="AX244" s="45" t="e">
        <f t="shared" si="106"/>
        <v>#VALUE!</v>
      </c>
      <c r="AY244" s="45" t="e">
        <f t="shared" si="107"/>
        <v>#VALUE!</v>
      </c>
      <c r="AZ244" s="45" t="e">
        <f t="shared" si="108"/>
        <v>#VALUE!</v>
      </c>
      <c r="BA244" s="45">
        <f t="shared" si="109"/>
        <v>0.68124123737558717</v>
      </c>
      <c r="BB244" s="45">
        <f t="shared" si="110"/>
        <v>-0.47321724623060585</v>
      </c>
      <c r="BC244" s="45">
        <f t="shared" si="111"/>
        <v>0.11394335230683679</v>
      </c>
      <c r="BD244" s="45" t="e">
        <f t="shared" si="112"/>
        <v>#VALUE!</v>
      </c>
      <c r="BE244" s="45" t="e">
        <f t="shared" si="113"/>
        <v>#VALUE!</v>
      </c>
      <c r="BF244" s="45">
        <f t="shared" si="114"/>
        <v>-0.43026382061049706</v>
      </c>
      <c r="BG244" s="45">
        <f t="shared" si="115"/>
        <v>-0.33585874708264979</v>
      </c>
      <c r="BH244" s="45" t="e">
        <f t="shared" si="116"/>
        <v>#NUM!</v>
      </c>
      <c r="BI244" s="43" t="e">
        <f t="shared" si="117"/>
        <v>#VALUE!</v>
      </c>
      <c r="CA244" s="41" t="s">
        <v>22</v>
      </c>
      <c r="CC244" t="s">
        <v>22</v>
      </c>
      <c r="CE244" s="41" t="s">
        <v>22</v>
      </c>
      <c r="CF244" s="41" t="s">
        <v>22</v>
      </c>
      <c r="CG244" s="41" t="e">
        <f t="shared" si="130"/>
        <v>#VALUE!</v>
      </c>
      <c r="CH244" s="41" t="e">
        <f t="shared" si="127"/>
        <v>#VALUE!</v>
      </c>
      <c r="CI244" s="41">
        <f t="shared" si="128"/>
        <v>1.3</v>
      </c>
      <c r="CJ244" s="41">
        <f t="shared" si="129"/>
        <v>0.11394335230683679</v>
      </c>
      <c r="CL244" s="9" t="s">
        <v>1269</v>
      </c>
      <c r="CM244" s="18" t="s">
        <v>1285</v>
      </c>
      <c r="CN244" s="54" t="s">
        <v>1284</v>
      </c>
      <c r="CO244" s="18" t="s">
        <v>1284</v>
      </c>
    </row>
    <row r="245" spans="1:93" x14ac:dyDescent="0.25">
      <c r="A245" t="s">
        <v>266</v>
      </c>
      <c r="B245" s="41">
        <f>((0.91*(10^-3)*0.01)^-1)*10^-6</f>
        <v>0.10989010989010987</v>
      </c>
      <c r="C245" s="41">
        <v>0.6</v>
      </c>
      <c r="D245" s="41">
        <f>0.001*(B245*10^6)/(C245*0.001*100^3)</f>
        <v>0.18315018315018311</v>
      </c>
      <c r="E245" s="41">
        <v>8</v>
      </c>
      <c r="F245">
        <v>3</v>
      </c>
      <c r="G245" t="s">
        <v>52</v>
      </c>
      <c r="H245">
        <v>34</v>
      </c>
      <c r="I245" t="s">
        <v>82</v>
      </c>
      <c r="J245" s="41">
        <v>4.8</v>
      </c>
      <c r="K245">
        <v>514.5</v>
      </c>
      <c r="L245" s="41">
        <f>IF((10^-12)*J245*K245^4=0,"",(10^-12)*J245*K245^4)</f>
        <v>0.3363432789843</v>
      </c>
      <c r="M245" t="s">
        <v>23</v>
      </c>
      <c r="N245" s="41" t="s">
        <v>22</v>
      </c>
      <c r="O245" s="41" t="s">
        <v>22</v>
      </c>
      <c r="P245" s="41" t="s">
        <v>22</v>
      </c>
      <c r="R245" s="41" t="s">
        <v>22</v>
      </c>
      <c r="S245" s="41" t="s">
        <v>22</v>
      </c>
      <c r="T245" s="41">
        <v>1.3</v>
      </c>
      <c r="U245" s="41">
        <v>1.3</v>
      </c>
      <c r="V245">
        <v>20200406</v>
      </c>
      <c r="W245" s="16" t="s">
        <v>202</v>
      </c>
      <c r="X245" s="18">
        <v>2003</v>
      </c>
      <c r="Y245" t="s">
        <v>59</v>
      </c>
      <c r="Z245" t="s">
        <v>34</v>
      </c>
      <c r="AC245" t="s">
        <v>514</v>
      </c>
      <c r="AD245" s="41" t="s">
        <v>22</v>
      </c>
      <c r="AE245" s="41">
        <v>1590</v>
      </c>
      <c r="AF245" s="41" t="s">
        <v>22</v>
      </c>
      <c r="AG245" s="41" t="s">
        <v>22</v>
      </c>
      <c r="AH245" s="41" t="s">
        <v>22</v>
      </c>
      <c r="AI245" s="41" t="s">
        <v>22</v>
      </c>
      <c r="AJ245" s="41" t="s">
        <v>22</v>
      </c>
      <c r="AK245" s="41" t="s">
        <v>22</v>
      </c>
      <c r="AL245" s="41" t="s">
        <v>22</v>
      </c>
      <c r="AM245" s="43" t="e">
        <f t="shared" si="100"/>
        <v>#VALUE!</v>
      </c>
      <c r="AN245" s="43" t="e">
        <f t="shared" si="101"/>
        <v>#VALUE!</v>
      </c>
      <c r="AO245" s="3" t="s">
        <v>201</v>
      </c>
      <c r="AT245" s="2">
        <f t="shared" si="102"/>
        <v>2</v>
      </c>
      <c r="AU245" s="45">
        <f t="shared" si="103"/>
        <v>-0.95904139232109364</v>
      </c>
      <c r="AV245" s="45">
        <f t="shared" si="104"/>
        <v>-0.22184874961635639</v>
      </c>
      <c r="AW245" s="45">
        <f t="shared" si="105"/>
        <v>-0.73719264270473728</v>
      </c>
      <c r="AX245" s="45" t="e">
        <f t="shared" si="106"/>
        <v>#VALUE!</v>
      </c>
      <c r="AY245" s="45" t="e">
        <f t="shared" si="107"/>
        <v>#VALUE!</v>
      </c>
      <c r="AZ245" s="45" t="e">
        <f t="shared" si="108"/>
        <v>#VALUE!</v>
      </c>
      <c r="BA245" s="45">
        <f t="shared" si="109"/>
        <v>0.68124123737558717</v>
      </c>
      <c r="BB245" s="45">
        <f t="shared" si="110"/>
        <v>-0.47321724623060585</v>
      </c>
      <c r="BC245" s="45">
        <f t="shared" si="111"/>
        <v>0.11394335230683679</v>
      </c>
      <c r="BD245" s="45" t="e">
        <f t="shared" si="112"/>
        <v>#VALUE!</v>
      </c>
      <c r="BE245" s="45" t="e">
        <f t="shared" si="113"/>
        <v>#VALUE!</v>
      </c>
      <c r="BF245" s="45" t="e">
        <f t="shared" si="114"/>
        <v>#VALUE!</v>
      </c>
      <c r="BG245" s="45" t="e">
        <f t="shared" si="115"/>
        <v>#VALUE!</v>
      </c>
      <c r="BH245" s="45" t="e">
        <f t="shared" si="116"/>
        <v>#NUM!</v>
      </c>
      <c r="BI245" s="43" t="e">
        <f t="shared" si="117"/>
        <v>#VALUE!</v>
      </c>
      <c r="CA245" s="41" t="s">
        <v>22</v>
      </c>
      <c r="CC245" t="s">
        <v>22</v>
      </c>
      <c r="CE245" s="41" t="s">
        <v>22</v>
      </c>
      <c r="CF245" s="41" t="s">
        <v>22</v>
      </c>
      <c r="CG245" s="41" t="e">
        <f t="shared" si="130"/>
        <v>#VALUE!</v>
      </c>
      <c r="CH245" s="41" t="e">
        <f t="shared" si="127"/>
        <v>#VALUE!</v>
      </c>
      <c r="CI245" s="41">
        <f t="shared" si="128"/>
        <v>1.3</v>
      </c>
      <c r="CJ245" s="41">
        <f t="shared" si="129"/>
        <v>0.11394335230683679</v>
      </c>
      <c r="CL245" s="9" t="s">
        <v>1269</v>
      </c>
      <c r="CM245" s="18" t="s">
        <v>1285</v>
      </c>
      <c r="CN245" s="54" t="s">
        <v>1284</v>
      </c>
      <c r="CO245" s="18" t="s">
        <v>1284</v>
      </c>
    </row>
    <row r="246" spans="1:93" x14ac:dyDescent="0.25">
      <c r="A246" t="s">
        <v>315</v>
      </c>
      <c r="B246" s="41">
        <v>0.13</v>
      </c>
      <c r="C246" s="41">
        <v>0.9</v>
      </c>
      <c r="D246" s="41">
        <f>0.001*(B246*10^6)/(C246*0.001*100^3)</f>
        <v>0.14444444444444443</v>
      </c>
      <c r="E246" s="41" t="s">
        <v>22</v>
      </c>
      <c r="F246" t="s">
        <v>22</v>
      </c>
      <c r="G246" t="s">
        <v>22</v>
      </c>
      <c r="H246" t="s">
        <v>22</v>
      </c>
      <c r="I246" t="s">
        <v>22</v>
      </c>
      <c r="J246" s="41" t="s">
        <v>22</v>
      </c>
      <c r="K246" t="s">
        <v>22</v>
      </c>
      <c r="L246" s="41" t="e">
        <f>IF((10^-12)*J246*K246^4=0,"",(10^-12)*J246*K246^4)</f>
        <v>#VALUE!</v>
      </c>
      <c r="M246" t="s">
        <v>45</v>
      </c>
      <c r="N246" s="41" t="s">
        <v>22</v>
      </c>
      <c r="O246" s="41" t="s">
        <v>22</v>
      </c>
      <c r="P246" s="41" t="s">
        <v>22</v>
      </c>
      <c r="R246" s="41" t="s">
        <v>22</v>
      </c>
      <c r="S246" s="41" t="s">
        <v>22</v>
      </c>
      <c r="T246" s="41" t="s">
        <v>22</v>
      </c>
      <c r="U246" s="41" t="s">
        <v>22</v>
      </c>
      <c r="V246">
        <v>20200511</v>
      </c>
      <c r="W246" s="16" t="s">
        <v>306</v>
      </c>
      <c r="X246">
        <v>2003</v>
      </c>
      <c r="Y246" t="s">
        <v>328</v>
      </c>
      <c r="Z246" t="s">
        <v>77</v>
      </c>
      <c r="AA246" t="s">
        <v>268</v>
      </c>
      <c r="AB246" s="41">
        <v>0.09</v>
      </c>
      <c r="AC246" t="s">
        <v>269</v>
      </c>
      <c r="AD246" s="41" t="s">
        <v>22</v>
      </c>
      <c r="AE246" s="41">
        <v>1597</v>
      </c>
      <c r="AF246" s="41" t="s">
        <v>22</v>
      </c>
      <c r="AG246" s="41" t="s">
        <v>22</v>
      </c>
      <c r="AH246" s="41" t="s">
        <v>22</v>
      </c>
      <c r="AI246" s="41" t="s">
        <v>22</v>
      </c>
      <c r="AJ246" s="41" t="s">
        <v>22</v>
      </c>
      <c r="AK246" s="41" t="s">
        <v>22</v>
      </c>
      <c r="AL246" s="41" t="s">
        <v>22</v>
      </c>
      <c r="AM246" s="43" t="e">
        <f t="shared" si="100"/>
        <v>#VALUE!</v>
      </c>
      <c r="AN246" s="43" t="e">
        <f t="shared" si="101"/>
        <v>#VALUE!</v>
      </c>
      <c r="AO246" s="3" t="s">
        <v>307</v>
      </c>
      <c r="AT246" s="2">
        <f t="shared" si="102"/>
        <v>2</v>
      </c>
      <c r="AU246" s="45">
        <f t="shared" si="103"/>
        <v>-0.88605664769316317</v>
      </c>
      <c r="AV246" s="45">
        <f t="shared" si="104"/>
        <v>-4.5757490560675115E-2</v>
      </c>
      <c r="AW246" s="45">
        <f t="shared" si="105"/>
        <v>-0.84029915713248815</v>
      </c>
      <c r="AX246" s="45" t="e">
        <f t="shared" si="106"/>
        <v>#VALUE!</v>
      </c>
      <c r="AY246" s="45" t="e">
        <f t="shared" si="107"/>
        <v>#VALUE!</v>
      </c>
      <c r="AZ246" s="45" t="e">
        <f t="shared" si="108"/>
        <v>#VALUE!</v>
      </c>
      <c r="BA246" s="45" t="e">
        <f t="shared" si="109"/>
        <v>#VALUE!</v>
      </c>
      <c r="BB246" s="45" t="e">
        <f t="shared" si="110"/>
        <v>#VALUE!</v>
      </c>
      <c r="BC246" s="45" t="e">
        <f t="shared" si="111"/>
        <v>#VALUE!</v>
      </c>
      <c r="BD246" s="45" t="e">
        <f t="shared" si="112"/>
        <v>#VALUE!</v>
      </c>
      <c r="BE246" s="45" t="e">
        <f t="shared" si="113"/>
        <v>#VALUE!</v>
      </c>
      <c r="BF246" s="45" t="e">
        <f t="shared" si="114"/>
        <v>#VALUE!</v>
      </c>
      <c r="BG246" s="45" t="e">
        <f t="shared" si="115"/>
        <v>#VALUE!</v>
      </c>
      <c r="BH246" s="45">
        <f t="shared" si="116"/>
        <v>-1.0457574905606752</v>
      </c>
      <c r="BI246" s="43" t="e">
        <f t="shared" si="117"/>
        <v>#VALUE!</v>
      </c>
      <c r="CA246" s="41" t="s">
        <v>22</v>
      </c>
      <c r="CC246" t="s">
        <v>22</v>
      </c>
      <c r="CE246" s="41" t="s">
        <v>22</v>
      </c>
      <c r="CF246" s="41" t="s">
        <v>22</v>
      </c>
      <c r="CG246" s="41" t="e">
        <f t="shared" si="130"/>
        <v>#VALUE!</v>
      </c>
      <c r="CH246" s="41" t="e">
        <f t="shared" si="127"/>
        <v>#VALUE!</v>
      </c>
      <c r="CI246" s="41" t="str">
        <f t="shared" si="128"/>
        <v>Not Reported/ Can not calculate</v>
      </c>
      <c r="CJ246" s="41" t="e">
        <f t="shared" si="129"/>
        <v>#VALUE!</v>
      </c>
      <c r="CL246" s="9" t="s">
        <v>1269</v>
      </c>
      <c r="CM246" s="18" t="s">
        <v>1284</v>
      </c>
      <c r="CN246" s="54" t="s">
        <v>1284</v>
      </c>
      <c r="CO246" s="18" t="s">
        <v>1284</v>
      </c>
    </row>
    <row r="247" spans="1:93" x14ac:dyDescent="0.25">
      <c r="A247" t="s">
        <v>315</v>
      </c>
      <c r="B247" s="41">
        <v>0.09</v>
      </c>
      <c r="C247" s="41">
        <v>0.9</v>
      </c>
      <c r="D247" s="41">
        <f>0.001*(B247*10^6)/(C247*0.001*100^3)</f>
        <v>9.9999999999999992E-2</v>
      </c>
      <c r="E247" s="41" t="s">
        <v>22</v>
      </c>
      <c r="F247" t="s">
        <v>22</v>
      </c>
      <c r="G247" t="s">
        <v>22</v>
      </c>
      <c r="H247" t="s">
        <v>22</v>
      </c>
      <c r="I247" t="s">
        <v>22</v>
      </c>
      <c r="J247" s="41" t="s">
        <v>22</v>
      </c>
      <c r="K247" t="s">
        <v>22</v>
      </c>
      <c r="L247" s="41" t="e">
        <f>IF((10^-12)*J247*K247^4=0,"",(10^-12)*J247*K247^4)</f>
        <v>#VALUE!</v>
      </c>
      <c r="M247" t="s">
        <v>23</v>
      </c>
      <c r="N247" s="41">
        <v>30</v>
      </c>
      <c r="O247" s="41">
        <f>0.001*N247/C247</f>
        <v>3.3333333333333333E-2</v>
      </c>
      <c r="P247" s="41">
        <v>8</v>
      </c>
      <c r="R247" s="41">
        <f>N247*B247</f>
        <v>2.6999999999999997</v>
      </c>
      <c r="S247" s="41">
        <f>O247*D247</f>
        <v>3.3333333333333331E-3</v>
      </c>
      <c r="T247" s="41" t="s">
        <v>22</v>
      </c>
      <c r="U247" s="41" t="s">
        <v>22</v>
      </c>
      <c r="V247">
        <v>20200511</v>
      </c>
      <c r="W247" s="16" t="s">
        <v>308</v>
      </c>
      <c r="X247">
        <v>2003</v>
      </c>
      <c r="Y247" t="s">
        <v>328</v>
      </c>
      <c r="Z247" t="s">
        <v>144</v>
      </c>
      <c r="AC247" t="s">
        <v>269</v>
      </c>
      <c r="AD247" s="41" t="s">
        <v>22</v>
      </c>
      <c r="AE247" s="41">
        <v>1593</v>
      </c>
      <c r="AF247" s="41" t="s">
        <v>22</v>
      </c>
      <c r="AG247" s="41" t="s">
        <v>22</v>
      </c>
      <c r="AH247" s="41" t="s">
        <v>22</v>
      </c>
      <c r="AI247" s="41" t="s">
        <v>22</v>
      </c>
      <c r="AJ247" s="41" t="s">
        <v>22</v>
      </c>
      <c r="AK247" s="41" t="s">
        <v>22</v>
      </c>
      <c r="AL247" s="41" t="s">
        <v>22</v>
      </c>
      <c r="AM247" s="43" t="e">
        <f t="shared" si="100"/>
        <v>#VALUE!</v>
      </c>
      <c r="AN247" s="43" t="e">
        <f t="shared" si="101"/>
        <v>#VALUE!</v>
      </c>
      <c r="AO247" s="3" t="s">
        <v>307</v>
      </c>
      <c r="AT247" s="2">
        <f t="shared" si="102"/>
        <v>2</v>
      </c>
      <c r="AU247" s="45">
        <f t="shared" si="103"/>
        <v>-1.0457574905606752</v>
      </c>
      <c r="AV247" s="45">
        <f t="shared" si="104"/>
        <v>-4.5757490560675115E-2</v>
      </c>
      <c r="AW247" s="45">
        <f t="shared" si="105"/>
        <v>-1</v>
      </c>
      <c r="AX247" s="45">
        <f t="shared" si="106"/>
        <v>1.4771212547196624</v>
      </c>
      <c r="AY247" s="45">
        <f t="shared" si="107"/>
        <v>-1.4771212547196624</v>
      </c>
      <c r="AZ247" s="45">
        <f t="shared" si="108"/>
        <v>0.90308998699194354</v>
      </c>
      <c r="BA247" s="45" t="e">
        <f t="shared" si="109"/>
        <v>#VALUE!</v>
      </c>
      <c r="BB247" s="45" t="e">
        <f t="shared" si="110"/>
        <v>#VALUE!</v>
      </c>
      <c r="BC247" s="45" t="e">
        <f t="shared" si="111"/>
        <v>#VALUE!</v>
      </c>
      <c r="BD247" s="45" t="e">
        <f t="shared" si="112"/>
        <v>#VALUE!</v>
      </c>
      <c r="BE247" s="45" t="e">
        <f t="shared" si="113"/>
        <v>#VALUE!</v>
      </c>
      <c r="BF247" s="45" t="e">
        <f t="shared" si="114"/>
        <v>#VALUE!</v>
      </c>
      <c r="BG247" s="45" t="e">
        <f t="shared" si="115"/>
        <v>#VALUE!</v>
      </c>
      <c r="BH247" s="45" t="e">
        <f t="shared" si="116"/>
        <v>#NUM!</v>
      </c>
      <c r="BI247" s="43" t="e">
        <f t="shared" si="117"/>
        <v>#VALUE!</v>
      </c>
      <c r="CA247" s="41" t="s">
        <v>22</v>
      </c>
      <c r="CC247" t="s">
        <v>22</v>
      </c>
      <c r="CE247" s="41" t="s">
        <v>22</v>
      </c>
      <c r="CF247" s="41" t="s">
        <v>22</v>
      </c>
      <c r="CG247" s="41" t="e">
        <f t="shared" si="130"/>
        <v>#VALUE!</v>
      </c>
      <c r="CH247" s="41" t="e">
        <f t="shared" si="127"/>
        <v>#VALUE!</v>
      </c>
      <c r="CI247" s="41" t="str">
        <f t="shared" si="128"/>
        <v>Not Reported/ Can not calculate</v>
      </c>
      <c r="CJ247" s="41" t="e">
        <f t="shared" si="129"/>
        <v>#VALUE!</v>
      </c>
      <c r="CL247" s="9" t="s">
        <v>1269</v>
      </c>
      <c r="CM247" s="18" t="s">
        <v>1284</v>
      </c>
      <c r="CN247" s="54" t="s">
        <v>1284</v>
      </c>
      <c r="CO247" s="18" t="s">
        <v>1284</v>
      </c>
    </row>
    <row r="248" spans="1:93" x14ac:dyDescent="0.25">
      <c r="A248" t="s">
        <v>266</v>
      </c>
      <c r="B248" s="41">
        <f>((0.00555751887257525*0.01)^-1)*10^-6</f>
        <v>1.799364110007275E-2</v>
      </c>
      <c r="C248" s="41" t="s">
        <v>22</v>
      </c>
      <c r="D248" s="41" t="s">
        <v>22</v>
      </c>
      <c r="E248" s="41" t="s">
        <v>22</v>
      </c>
      <c r="F248" t="s">
        <v>22</v>
      </c>
      <c r="G248" t="s">
        <v>22</v>
      </c>
      <c r="H248" t="s">
        <v>22</v>
      </c>
      <c r="I248" t="s">
        <v>22</v>
      </c>
      <c r="J248" s="41" t="s">
        <v>22</v>
      </c>
      <c r="K248" t="s">
        <v>22</v>
      </c>
      <c r="M248" t="s">
        <v>23</v>
      </c>
      <c r="N248" s="41" t="s">
        <v>22</v>
      </c>
      <c r="O248" s="41" t="s">
        <v>22</v>
      </c>
      <c r="P248" s="41" t="s">
        <v>22</v>
      </c>
      <c r="R248" s="41" t="s">
        <v>22</v>
      </c>
      <c r="S248" s="41" t="s">
        <v>22</v>
      </c>
      <c r="T248" s="41" t="s">
        <v>22</v>
      </c>
      <c r="U248" s="41" t="s">
        <v>22</v>
      </c>
      <c r="V248">
        <v>20200513</v>
      </c>
      <c r="W248" s="16" t="s">
        <v>690</v>
      </c>
      <c r="X248" s="6">
        <v>2004</v>
      </c>
      <c r="Y248" s="6" t="s">
        <v>143</v>
      </c>
      <c r="Z248" s="6" t="s">
        <v>34</v>
      </c>
      <c r="AA248" s="6"/>
      <c r="AB248" s="47"/>
      <c r="AC248" s="6" t="s">
        <v>514</v>
      </c>
      <c r="AD248" s="41" t="s">
        <v>22</v>
      </c>
      <c r="AE248" s="41" t="s">
        <v>22</v>
      </c>
      <c r="AF248" s="41" t="s">
        <v>22</v>
      </c>
      <c r="AG248" s="41" t="s">
        <v>22</v>
      </c>
      <c r="AH248" s="41">
        <v>13.471693242995499</v>
      </c>
      <c r="AI248" s="41">
        <v>0.51113965055491795</v>
      </c>
      <c r="AJ248" s="41">
        <v>9.43022296415756E-2</v>
      </c>
      <c r="AK248" s="41">
        <v>1.1043701948507199E-2</v>
      </c>
      <c r="AL248" s="41">
        <v>5.5575188725752499E-3</v>
      </c>
      <c r="AM248" s="43">
        <f t="shared" si="100"/>
        <v>1.087279937399053E-2</v>
      </c>
      <c r="AN248" s="43">
        <f t="shared" si="101"/>
        <v>5.8933059098372292E-2</v>
      </c>
      <c r="AO248" s="3" t="s">
        <v>693</v>
      </c>
      <c r="AT248" s="2">
        <f t="shared" si="102"/>
        <v>3</v>
      </c>
      <c r="AU248" s="45">
        <f t="shared" si="103"/>
        <v>-1.744880946178293</v>
      </c>
      <c r="AV248" s="45" t="e">
        <f t="shared" si="104"/>
        <v>#VALUE!</v>
      </c>
      <c r="AW248" s="45" t="e">
        <f t="shared" si="105"/>
        <v>#VALUE!</v>
      </c>
      <c r="AX248" s="45" t="e">
        <f t="shared" si="106"/>
        <v>#VALUE!</v>
      </c>
      <c r="AY248" s="45" t="e">
        <f t="shared" si="107"/>
        <v>#VALUE!</v>
      </c>
      <c r="AZ248" s="45" t="e">
        <f t="shared" si="108"/>
        <v>#VALUE!</v>
      </c>
      <c r="BA248" s="45" t="e">
        <f t="shared" si="109"/>
        <v>#VALUE!</v>
      </c>
      <c r="BB248" s="45" t="e">
        <f t="shared" si="110"/>
        <v>#NUM!</v>
      </c>
      <c r="BC248" s="45" t="e">
        <f t="shared" si="111"/>
        <v>#VALUE!</v>
      </c>
      <c r="BD248" s="45" t="e">
        <f t="shared" si="112"/>
        <v>#VALUE!</v>
      </c>
      <c r="BE248" s="45" t="e">
        <f t="shared" si="113"/>
        <v>#VALUE!</v>
      </c>
      <c r="BF248" s="45">
        <f t="shared" si="114"/>
        <v>-1.9636586255405619</v>
      </c>
      <c r="BG248" s="45">
        <f t="shared" si="115"/>
        <v>-1.2296410149533676</v>
      </c>
      <c r="BH248" s="45" t="e">
        <f t="shared" si="116"/>
        <v>#NUM!</v>
      </c>
      <c r="BI248" s="43" t="e">
        <f t="shared" si="117"/>
        <v>#VALUE!</v>
      </c>
      <c r="CA248" s="41" t="s">
        <v>22</v>
      </c>
      <c r="CC248" t="s">
        <v>22</v>
      </c>
      <c r="CE248" s="41" t="s">
        <v>22</v>
      </c>
      <c r="CF248" s="41" t="s">
        <v>22</v>
      </c>
      <c r="CG248" s="41" t="e">
        <f t="shared" si="130"/>
        <v>#VALUE!</v>
      </c>
      <c r="CH248" s="41" t="e">
        <f t="shared" si="127"/>
        <v>#VALUE!</v>
      </c>
      <c r="CI248" s="41" t="str">
        <f t="shared" si="128"/>
        <v>Not Reported/ Can not calculate</v>
      </c>
      <c r="CJ248" s="41" t="e">
        <f t="shared" si="129"/>
        <v>#VALUE!</v>
      </c>
      <c r="CL248" s="9" t="s">
        <v>1269</v>
      </c>
      <c r="CM248" s="18" t="s">
        <v>1284</v>
      </c>
      <c r="CN248" s="54" t="s">
        <v>1284</v>
      </c>
      <c r="CO248" s="18" t="s">
        <v>1284</v>
      </c>
    </row>
    <row r="249" spans="1:93" x14ac:dyDescent="0.25">
      <c r="A249" t="s">
        <v>266</v>
      </c>
      <c r="B249" s="41" t="s">
        <v>22</v>
      </c>
      <c r="C249" s="41" t="s">
        <v>22</v>
      </c>
      <c r="D249" s="41" t="s">
        <v>22</v>
      </c>
      <c r="E249" s="41" t="s">
        <v>22</v>
      </c>
      <c r="F249" t="s">
        <v>22</v>
      </c>
      <c r="G249" t="s">
        <v>22</v>
      </c>
      <c r="H249" t="s">
        <v>22</v>
      </c>
      <c r="I249" t="s">
        <v>22</v>
      </c>
      <c r="J249" s="41" t="s">
        <v>22</v>
      </c>
      <c r="K249" t="s">
        <v>22</v>
      </c>
      <c r="L249" s="41" t="s">
        <v>22</v>
      </c>
      <c r="M249" t="s">
        <v>23</v>
      </c>
      <c r="N249" s="41" t="s">
        <v>22</v>
      </c>
      <c r="O249" s="41" t="s">
        <v>22</v>
      </c>
      <c r="P249" s="41" t="s">
        <v>22</v>
      </c>
      <c r="R249" s="41" t="s">
        <v>22</v>
      </c>
      <c r="S249" s="41" t="s">
        <v>22</v>
      </c>
      <c r="T249" s="41" t="s">
        <v>22</v>
      </c>
      <c r="U249" s="41" t="s">
        <v>22</v>
      </c>
      <c r="V249">
        <v>20200513</v>
      </c>
      <c r="W249" s="21" t="s">
        <v>691</v>
      </c>
      <c r="X249" s="6">
        <v>2004</v>
      </c>
      <c r="Y249" s="6" t="s">
        <v>143</v>
      </c>
      <c r="Z249" s="6" t="s">
        <v>34</v>
      </c>
      <c r="AA249" s="6"/>
      <c r="AB249" s="47"/>
      <c r="AC249" s="6" t="s">
        <v>514</v>
      </c>
      <c r="AD249" s="41" t="s">
        <v>22</v>
      </c>
      <c r="AE249" s="41" t="s">
        <v>22</v>
      </c>
      <c r="AF249" s="41">
        <v>10</v>
      </c>
      <c r="AG249" s="41" t="s">
        <v>22</v>
      </c>
      <c r="AH249" s="41" t="s">
        <v>22</v>
      </c>
      <c r="AI249" s="41" t="s">
        <v>22</v>
      </c>
      <c r="AJ249" s="41" t="s">
        <v>22</v>
      </c>
      <c r="AK249" s="41" t="s">
        <v>22</v>
      </c>
      <c r="AL249" s="41" t="s">
        <v>22</v>
      </c>
      <c r="AM249" s="43" t="e">
        <f t="shared" si="100"/>
        <v>#VALUE!</v>
      </c>
      <c r="AN249" s="43" t="e">
        <f t="shared" si="101"/>
        <v>#VALUE!</v>
      </c>
      <c r="AO249" s="19" t="s">
        <v>693</v>
      </c>
      <c r="AT249" s="2">
        <f t="shared" si="102"/>
        <v>3</v>
      </c>
      <c r="AU249" s="45" t="e">
        <f t="shared" si="103"/>
        <v>#VALUE!</v>
      </c>
      <c r="AV249" s="45" t="e">
        <f t="shared" si="104"/>
        <v>#VALUE!</v>
      </c>
      <c r="AW249" s="45" t="e">
        <f t="shared" si="105"/>
        <v>#VALUE!</v>
      </c>
      <c r="AX249" s="45" t="e">
        <f t="shared" si="106"/>
        <v>#VALUE!</v>
      </c>
      <c r="AY249" s="45" t="e">
        <f t="shared" si="107"/>
        <v>#VALUE!</v>
      </c>
      <c r="AZ249" s="45" t="e">
        <f t="shared" si="108"/>
        <v>#VALUE!</v>
      </c>
      <c r="BA249" s="45" t="e">
        <f t="shared" si="109"/>
        <v>#VALUE!</v>
      </c>
      <c r="BB249" s="45" t="e">
        <f t="shared" si="110"/>
        <v>#VALUE!</v>
      </c>
      <c r="BC249" s="45" t="e">
        <f t="shared" si="111"/>
        <v>#VALUE!</v>
      </c>
      <c r="BD249" s="45" t="e">
        <f t="shared" si="112"/>
        <v>#VALUE!</v>
      </c>
      <c r="BE249" s="45">
        <f t="shared" si="113"/>
        <v>1</v>
      </c>
      <c r="BF249" s="45" t="e">
        <f t="shared" si="114"/>
        <v>#VALUE!</v>
      </c>
      <c r="BG249" s="45" t="e">
        <f t="shared" si="115"/>
        <v>#VALUE!</v>
      </c>
      <c r="BH249" s="45" t="e">
        <f t="shared" si="116"/>
        <v>#NUM!</v>
      </c>
      <c r="BI249" s="43">
        <f t="shared" si="117"/>
        <v>1</v>
      </c>
      <c r="BJ249" s="18"/>
      <c r="BK249" s="18"/>
      <c r="BL249" s="20"/>
      <c r="BT249" s="18"/>
      <c r="CA249" s="41" t="s">
        <v>22</v>
      </c>
      <c r="CC249" t="s">
        <v>22</v>
      </c>
      <c r="CE249" s="41" t="s">
        <v>22</v>
      </c>
      <c r="CF249" s="41" t="s">
        <v>22</v>
      </c>
      <c r="CG249" s="41" t="e">
        <f t="shared" si="130"/>
        <v>#VALUE!</v>
      </c>
      <c r="CH249" s="41" t="e">
        <f t="shared" si="127"/>
        <v>#VALUE!</v>
      </c>
      <c r="CI249" s="41" t="str">
        <f t="shared" si="128"/>
        <v>Not Reported/ Can not calculate</v>
      </c>
      <c r="CJ249" s="41" t="e">
        <f t="shared" si="129"/>
        <v>#VALUE!</v>
      </c>
      <c r="CL249" s="9" t="s">
        <v>1269</v>
      </c>
      <c r="CM249" s="18" t="s">
        <v>1284</v>
      </c>
      <c r="CN249" s="54" t="s">
        <v>1284</v>
      </c>
      <c r="CO249" s="18" t="s">
        <v>1284</v>
      </c>
    </row>
    <row r="250" spans="1:93" x14ac:dyDescent="0.25">
      <c r="A250" t="s">
        <v>266</v>
      </c>
      <c r="B250" s="41" t="s">
        <v>22</v>
      </c>
      <c r="C250" s="41" t="s">
        <v>22</v>
      </c>
      <c r="D250" s="41" t="s">
        <v>22</v>
      </c>
      <c r="E250" s="41" t="s">
        <v>22</v>
      </c>
      <c r="F250" t="s">
        <v>22</v>
      </c>
      <c r="G250" t="s">
        <v>22</v>
      </c>
      <c r="H250" t="s">
        <v>22</v>
      </c>
      <c r="I250" t="s">
        <v>22</v>
      </c>
      <c r="J250" s="41" t="s">
        <v>22</v>
      </c>
      <c r="K250" t="s">
        <v>22</v>
      </c>
      <c r="L250" s="41" t="s">
        <v>22</v>
      </c>
      <c r="M250" t="s">
        <v>23</v>
      </c>
      <c r="N250" s="41" t="s">
        <v>22</v>
      </c>
      <c r="O250" s="41" t="s">
        <v>22</v>
      </c>
      <c r="P250" s="41" t="s">
        <v>22</v>
      </c>
      <c r="R250" s="41" t="s">
        <v>22</v>
      </c>
      <c r="S250" s="41" t="s">
        <v>22</v>
      </c>
      <c r="T250" s="41" t="s">
        <v>22</v>
      </c>
      <c r="U250" s="41" t="s">
        <v>22</v>
      </c>
      <c r="V250">
        <v>20200513</v>
      </c>
      <c r="W250" s="21" t="s">
        <v>692</v>
      </c>
      <c r="X250" s="6">
        <v>2004</v>
      </c>
      <c r="Y250" s="6" t="s">
        <v>143</v>
      </c>
      <c r="Z250" s="6" t="s">
        <v>34</v>
      </c>
      <c r="AA250" s="6"/>
      <c r="AB250" s="47"/>
      <c r="AC250" s="6" t="s">
        <v>514</v>
      </c>
      <c r="AD250" s="41" t="s">
        <v>22</v>
      </c>
      <c r="AE250" s="41" t="s">
        <v>22</v>
      </c>
      <c r="AF250" s="41">
        <v>4</v>
      </c>
      <c r="AG250" s="41" t="s">
        <v>22</v>
      </c>
      <c r="AH250" s="41" t="s">
        <v>22</v>
      </c>
      <c r="AI250" s="41" t="s">
        <v>22</v>
      </c>
      <c r="AJ250" s="41" t="s">
        <v>22</v>
      </c>
      <c r="AK250" s="41" t="s">
        <v>22</v>
      </c>
      <c r="AL250" s="41" t="s">
        <v>22</v>
      </c>
      <c r="AM250" s="43" t="e">
        <f t="shared" si="100"/>
        <v>#VALUE!</v>
      </c>
      <c r="AN250" s="43" t="e">
        <f t="shared" si="101"/>
        <v>#VALUE!</v>
      </c>
      <c r="AO250" s="19" t="s">
        <v>693</v>
      </c>
      <c r="AT250" s="2">
        <f t="shared" si="102"/>
        <v>3</v>
      </c>
      <c r="AU250" s="45" t="e">
        <f t="shared" si="103"/>
        <v>#VALUE!</v>
      </c>
      <c r="AV250" s="45" t="e">
        <f t="shared" si="104"/>
        <v>#VALUE!</v>
      </c>
      <c r="AW250" s="45" t="e">
        <f t="shared" si="105"/>
        <v>#VALUE!</v>
      </c>
      <c r="AX250" s="45" t="e">
        <f t="shared" si="106"/>
        <v>#VALUE!</v>
      </c>
      <c r="AY250" s="45" t="e">
        <f t="shared" si="107"/>
        <v>#VALUE!</v>
      </c>
      <c r="AZ250" s="45" t="e">
        <f t="shared" si="108"/>
        <v>#VALUE!</v>
      </c>
      <c r="BA250" s="45" t="e">
        <f t="shared" si="109"/>
        <v>#VALUE!</v>
      </c>
      <c r="BB250" s="45" t="e">
        <f t="shared" si="110"/>
        <v>#VALUE!</v>
      </c>
      <c r="BC250" s="45" t="e">
        <f t="shared" si="111"/>
        <v>#VALUE!</v>
      </c>
      <c r="BD250" s="45" t="e">
        <f t="shared" si="112"/>
        <v>#VALUE!</v>
      </c>
      <c r="BE250" s="45">
        <f t="shared" si="113"/>
        <v>0.6020599913279624</v>
      </c>
      <c r="BF250" s="45" t="e">
        <f t="shared" si="114"/>
        <v>#VALUE!</v>
      </c>
      <c r="BG250" s="45" t="e">
        <f t="shared" si="115"/>
        <v>#VALUE!</v>
      </c>
      <c r="BH250" s="45" t="e">
        <f t="shared" si="116"/>
        <v>#NUM!</v>
      </c>
      <c r="BI250" s="43">
        <f t="shared" si="117"/>
        <v>0.6020599913279624</v>
      </c>
      <c r="BJ250" s="18"/>
      <c r="BK250" s="18"/>
      <c r="BL250" s="20"/>
      <c r="BT250" s="18"/>
      <c r="CA250" s="41" t="s">
        <v>22</v>
      </c>
      <c r="CC250" t="s">
        <v>22</v>
      </c>
      <c r="CE250" s="41" t="s">
        <v>22</v>
      </c>
      <c r="CF250" s="41" t="s">
        <v>22</v>
      </c>
      <c r="CG250" s="41" t="e">
        <f t="shared" si="130"/>
        <v>#VALUE!</v>
      </c>
      <c r="CH250" s="41" t="e">
        <f t="shared" si="127"/>
        <v>#VALUE!</v>
      </c>
      <c r="CI250" s="41" t="str">
        <f t="shared" si="128"/>
        <v>Not Reported/ Can not calculate</v>
      </c>
      <c r="CJ250" s="41" t="e">
        <f t="shared" si="129"/>
        <v>#VALUE!</v>
      </c>
      <c r="CL250" s="9" t="s">
        <v>1269</v>
      </c>
      <c r="CM250" s="18" t="s">
        <v>1284</v>
      </c>
      <c r="CN250" s="54" t="s">
        <v>1284</v>
      </c>
      <c r="CO250" s="18" t="s">
        <v>1284</v>
      </c>
    </row>
    <row r="251" spans="1:93" x14ac:dyDescent="0.25">
      <c r="A251" t="s">
        <v>266</v>
      </c>
      <c r="B251" s="41" t="s">
        <v>207</v>
      </c>
      <c r="C251" s="41" t="s">
        <v>22</v>
      </c>
      <c r="D251" s="41" t="s">
        <v>22</v>
      </c>
      <c r="E251" s="41" t="s">
        <v>22</v>
      </c>
      <c r="F251" t="s">
        <v>22</v>
      </c>
      <c r="G251" t="s">
        <v>22</v>
      </c>
      <c r="H251">
        <v>11</v>
      </c>
      <c r="I251" t="s">
        <v>187</v>
      </c>
      <c r="J251" s="41" t="s">
        <v>22</v>
      </c>
      <c r="K251" t="s">
        <v>22</v>
      </c>
      <c r="L251" s="41" t="e">
        <f t="shared" ref="L251:L258" si="131">IF((10^-12)*J251*K251^4=0,"",(10^-12)*J251*K251^4)</f>
        <v>#VALUE!</v>
      </c>
      <c r="M251" t="s">
        <v>23</v>
      </c>
      <c r="N251" s="41" t="s">
        <v>207</v>
      </c>
      <c r="O251" s="41" t="s">
        <v>207</v>
      </c>
      <c r="P251" s="41" t="s">
        <v>207</v>
      </c>
      <c r="R251" s="41" t="s">
        <v>22</v>
      </c>
      <c r="S251" s="41" t="s">
        <v>22</v>
      </c>
      <c r="T251" s="41" t="s">
        <v>208</v>
      </c>
      <c r="U251" s="41">
        <f>1.6+(3.5-1.6)/2</f>
        <v>2.5499999999999998</v>
      </c>
      <c r="V251">
        <v>20200510</v>
      </c>
      <c r="W251" s="21" t="s">
        <v>209</v>
      </c>
      <c r="X251">
        <v>2004</v>
      </c>
      <c r="Y251" t="s">
        <v>76</v>
      </c>
      <c r="Z251" t="s">
        <v>32</v>
      </c>
      <c r="AA251" s="18"/>
      <c r="AC251" s="18" t="s">
        <v>514</v>
      </c>
      <c r="AD251" s="41" t="s">
        <v>22</v>
      </c>
      <c r="AE251" s="41" t="s">
        <v>22</v>
      </c>
      <c r="AF251" s="41" t="s">
        <v>22</v>
      </c>
      <c r="AG251" s="41" t="s">
        <v>22</v>
      </c>
      <c r="AH251" s="41" t="s">
        <v>22</v>
      </c>
      <c r="AI251" s="41" t="s">
        <v>22</v>
      </c>
      <c r="AJ251" s="41" t="s">
        <v>22</v>
      </c>
      <c r="AK251" s="41" t="s">
        <v>22</v>
      </c>
      <c r="AL251" s="41" t="s">
        <v>22</v>
      </c>
      <c r="AM251" s="43" t="e">
        <f t="shared" si="100"/>
        <v>#VALUE!</v>
      </c>
      <c r="AN251" s="43" t="e">
        <f t="shared" si="101"/>
        <v>#VALUE!</v>
      </c>
      <c r="AO251" s="19" t="s">
        <v>210</v>
      </c>
      <c r="AT251" s="2">
        <f t="shared" si="102"/>
        <v>1</v>
      </c>
      <c r="AU251" s="45" t="e">
        <f t="shared" si="103"/>
        <v>#VALUE!</v>
      </c>
      <c r="AV251" s="45" t="e">
        <f t="shared" si="104"/>
        <v>#VALUE!</v>
      </c>
      <c r="AW251" s="45" t="e">
        <f t="shared" si="105"/>
        <v>#VALUE!</v>
      </c>
      <c r="AX251" s="45" t="e">
        <f t="shared" si="106"/>
        <v>#VALUE!</v>
      </c>
      <c r="AY251" s="45" t="e">
        <f t="shared" si="107"/>
        <v>#VALUE!</v>
      </c>
      <c r="AZ251" s="45" t="e">
        <f t="shared" si="108"/>
        <v>#VALUE!</v>
      </c>
      <c r="BA251" s="45" t="e">
        <f t="shared" si="109"/>
        <v>#VALUE!</v>
      </c>
      <c r="BB251" s="45" t="e">
        <f t="shared" si="110"/>
        <v>#VALUE!</v>
      </c>
      <c r="BC251" s="45">
        <f t="shared" si="111"/>
        <v>0.40654018043395512</v>
      </c>
      <c r="BD251" s="45" t="e">
        <f t="shared" si="112"/>
        <v>#VALUE!</v>
      </c>
      <c r="BE251" s="45" t="e">
        <f t="shared" si="113"/>
        <v>#VALUE!</v>
      </c>
      <c r="BF251" s="45" t="e">
        <f t="shared" si="114"/>
        <v>#VALUE!</v>
      </c>
      <c r="BG251" s="45" t="e">
        <f t="shared" si="115"/>
        <v>#VALUE!</v>
      </c>
      <c r="BH251" s="45" t="e">
        <f t="shared" si="116"/>
        <v>#NUM!</v>
      </c>
      <c r="BI251" s="43" t="e">
        <f t="shared" si="117"/>
        <v>#VALUE!</v>
      </c>
      <c r="BJ251" s="18"/>
      <c r="BK251" s="18"/>
      <c r="BL251" s="20"/>
      <c r="BT251" s="18"/>
      <c r="CA251" s="41" t="s">
        <v>22</v>
      </c>
      <c r="CC251" t="s">
        <v>22</v>
      </c>
      <c r="CE251" s="41" t="s">
        <v>22</v>
      </c>
      <c r="CF251" s="41" t="s">
        <v>22</v>
      </c>
      <c r="CG251" s="41" t="e">
        <f t="shared" si="130"/>
        <v>#VALUE!</v>
      </c>
      <c r="CH251" s="41" t="e">
        <f t="shared" si="127"/>
        <v>#VALUE!</v>
      </c>
      <c r="CI251" s="41">
        <f t="shared" si="128"/>
        <v>2.5499999999999998</v>
      </c>
      <c r="CJ251" s="41">
        <f t="shared" si="129"/>
        <v>0.40654018043395512</v>
      </c>
      <c r="CL251" s="9" t="s">
        <v>1269</v>
      </c>
      <c r="CM251" s="18" t="s">
        <v>1285</v>
      </c>
      <c r="CN251" s="54" t="s">
        <v>1284</v>
      </c>
      <c r="CO251" s="18" t="s">
        <v>1284</v>
      </c>
    </row>
    <row r="252" spans="1:93" x14ac:dyDescent="0.25">
      <c r="A252" t="s">
        <v>315</v>
      </c>
      <c r="B252" s="41">
        <v>0.35</v>
      </c>
      <c r="C252" s="41" t="s">
        <v>22</v>
      </c>
      <c r="D252" s="41" t="s">
        <v>22</v>
      </c>
      <c r="E252" s="41" t="s">
        <v>22</v>
      </c>
      <c r="F252" t="s">
        <v>22</v>
      </c>
      <c r="G252" t="s">
        <v>22</v>
      </c>
      <c r="H252" t="s">
        <v>22</v>
      </c>
      <c r="I252" t="s">
        <v>22</v>
      </c>
      <c r="J252" s="41" t="s">
        <v>22</v>
      </c>
      <c r="K252" t="s">
        <v>22</v>
      </c>
      <c r="L252" s="41" t="e">
        <f t="shared" si="131"/>
        <v>#VALUE!</v>
      </c>
      <c r="M252" t="s">
        <v>45</v>
      </c>
      <c r="N252" s="41">
        <v>11</v>
      </c>
      <c r="O252" s="41" t="s">
        <v>22</v>
      </c>
      <c r="P252" s="41">
        <v>0.66</v>
      </c>
      <c r="R252" s="41">
        <f>N252*B252</f>
        <v>3.8499999999999996</v>
      </c>
      <c r="S252" s="41" t="s">
        <v>22</v>
      </c>
      <c r="T252" s="41" t="s">
        <v>22</v>
      </c>
      <c r="U252" s="41" t="s">
        <v>22</v>
      </c>
      <c r="V252">
        <v>20200511</v>
      </c>
      <c r="W252" s="21" t="s">
        <v>299</v>
      </c>
      <c r="X252">
        <v>2004</v>
      </c>
      <c r="Y252" t="s">
        <v>328</v>
      </c>
      <c r="Z252" t="s">
        <v>124</v>
      </c>
      <c r="AA252" s="18" t="s">
        <v>743</v>
      </c>
      <c r="AB252" s="41">
        <v>7.0000000000000007E-2</v>
      </c>
      <c r="AC252" t="s">
        <v>269</v>
      </c>
      <c r="AD252" s="41" t="s">
        <v>22</v>
      </c>
      <c r="AE252" s="41">
        <v>1606.5</v>
      </c>
      <c r="AF252" s="41" t="s">
        <v>22</v>
      </c>
      <c r="AG252" s="41" t="s">
        <v>22</v>
      </c>
      <c r="AH252" s="41">
        <v>1.27101868686325</v>
      </c>
      <c r="AI252" s="41">
        <v>1.27101868686325</v>
      </c>
      <c r="AJ252" s="41">
        <v>1.1921293556958801</v>
      </c>
      <c r="AK252" s="41">
        <v>0.96859703290910404</v>
      </c>
      <c r="AL252" s="41">
        <v>0.99414757995976399</v>
      </c>
      <c r="AM252" s="43">
        <f t="shared" si="100"/>
        <v>0.78216598247915858</v>
      </c>
      <c r="AN252" s="43">
        <f t="shared" si="101"/>
        <v>0.83392592859979653</v>
      </c>
      <c r="AO252" s="19" t="s">
        <v>300</v>
      </c>
      <c r="AT252" s="2">
        <f t="shared" si="102"/>
        <v>6</v>
      </c>
      <c r="AU252" s="45">
        <f t="shared" si="103"/>
        <v>-0.45593195564972439</v>
      </c>
      <c r="AV252" s="45" t="e">
        <f t="shared" si="104"/>
        <v>#VALUE!</v>
      </c>
      <c r="AW252" s="45" t="e">
        <f t="shared" si="105"/>
        <v>#VALUE!</v>
      </c>
      <c r="AX252" s="45">
        <f t="shared" si="106"/>
        <v>1.0413926851582251</v>
      </c>
      <c r="AY252" s="45" t="e">
        <f t="shared" si="107"/>
        <v>#VALUE!</v>
      </c>
      <c r="AZ252" s="45">
        <f t="shared" si="108"/>
        <v>-0.18045606445813131</v>
      </c>
      <c r="BA252" s="45" t="e">
        <f t="shared" si="109"/>
        <v>#VALUE!</v>
      </c>
      <c r="BB252" s="45" t="e">
        <f t="shared" si="110"/>
        <v>#VALUE!</v>
      </c>
      <c r="BC252" s="45" t="e">
        <f t="shared" si="111"/>
        <v>#VALUE!</v>
      </c>
      <c r="BD252" s="45" t="e">
        <f t="shared" si="112"/>
        <v>#VALUE!</v>
      </c>
      <c r="BE252" s="45" t="e">
        <f t="shared" si="113"/>
        <v>#VALUE!</v>
      </c>
      <c r="BF252" s="45">
        <f t="shared" si="114"/>
        <v>-0.10670107606331511</v>
      </c>
      <c r="BG252" s="45">
        <f t="shared" si="115"/>
        <v>-7.8872522778316245E-2</v>
      </c>
      <c r="BH252" s="45">
        <f t="shared" si="116"/>
        <v>-1.1549019599857431</v>
      </c>
      <c r="BI252" s="43" t="e">
        <f t="shared" si="117"/>
        <v>#VALUE!</v>
      </c>
      <c r="BJ252" s="18"/>
      <c r="BK252" s="18"/>
      <c r="BL252" s="20"/>
      <c r="BT252" s="18"/>
      <c r="CA252" s="41" t="s">
        <v>22</v>
      </c>
      <c r="CC252" t="s">
        <v>22</v>
      </c>
      <c r="CE252" s="41" t="s">
        <v>22</v>
      </c>
      <c r="CF252" s="41" t="s">
        <v>22</v>
      </c>
      <c r="CG252" s="41" t="e">
        <f t="shared" si="130"/>
        <v>#VALUE!</v>
      </c>
      <c r="CH252" s="41" t="e">
        <f t="shared" si="127"/>
        <v>#VALUE!</v>
      </c>
      <c r="CI252" s="41" t="str">
        <f t="shared" si="128"/>
        <v>Not Reported/ Can not calculate</v>
      </c>
      <c r="CJ252" s="41" t="e">
        <f t="shared" si="129"/>
        <v>#VALUE!</v>
      </c>
      <c r="CL252" s="9" t="s">
        <v>1269</v>
      </c>
      <c r="CM252" s="18" t="s">
        <v>1284</v>
      </c>
      <c r="CN252" s="54" t="s">
        <v>1284</v>
      </c>
      <c r="CO252" s="18" t="s">
        <v>1284</v>
      </c>
    </row>
    <row r="253" spans="1:93" x14ac:dyDescent="0.25">
      <c r="A253" t="s">
        <v>315</v>
      </c>
      <c r="B253" s="41">
        <v>7.0000000000000007E-2</v>
      </c>
      <c r="C253" s="41" t="s">
        <v>22</v>
      </c>
      <c r="D253" s="41" t="s">
        <v>22</v>
      </c>
      <c r="E253" s="41" t="s">
        <v>22</v>
      </c>
      <c r="F253" t="s">
        <v>22</v>
      </c>
      <c r="G253" t="s">
        <v>22</v>
      </c>
      <c r="H253" t="s">
        <v>22</v>
      </c>
      <c r="I253" t="s">
        <v>22</v>
      </c>
      <c r="J253" s="41" t="s">
        <v>22</v>
      </c>
      <c r="K253" t="s">
        <v>22</v>
      </c>
      <c r="L253" s="41" t="e">
        <f t="shared" si="131"/>
        <v>#VALUE!</v>
      </c>
      <c r="M253" t="s">
        <v>23</v>
      </c>
      <c r="N253" s="41">
        <v>37</v>
      </c>
      <c r="O253" s="41" t="s">
        <v>22</v>
      </c>
      <c r="P253" s="41">
        <v>0.95</v>
      </c>
      <c r="R253" s="41">
        <f>N253*B253</f>
        <v>2.5900000000000003</v>
      </c>
      <c r="S253" s="41" t="s">
        <v>22</v>
      </c>
      <c r="T253" s="41" t="s">
        <v>22</v>
      </c>
      <c r="U253" s="41" t="s">
        <v>22</v>
      </c>
      <c r="V253">
        <v>20200511</v>
      </c>
      <c r="W253" s="21" t="s">
        <v>301</v>
      </c>
      <c r="X253">
        <v>2004</v>
      </c>
      <c r="Y253" t="s">
        <v>328</v>
      </c>
      <c r="Z253" t="s">
        <v>32</v>
      </c>
      <c r="AA253" s="18"/>
      <c r="AC253" t="s">
        <v>269</v>
      </c>
      <c r="AD253" s="41" t="s">
        <v>22</v>
      </c>
      <c r="AE253" s="41">
        <v>1587.7</v>
      </c>
      <c r="AF253" s="41" t="s">
        <v>22</v>
      </c>
      <c r="AG253" s="41" t="s">
        <v>22</v>
      </c>
      <c r="AH253" s="41">
        <v>2.4983809021763599</v>
      </c>
      <c r="AI253" s="41">
        <v>2.4983809021763599</v>
      </c>
      <c r="AJ253" s="41">
        <v>2.0201176938883001</v>
      </c>
      <c r="AK253" s="41">
        <v>1.1172850795563301</v>
      </c>
      <c r="AL253" s="41">
        <v>0.99414757995976499</v>
      </c>
      <c r="AM253" s="43">
        <f t="shared" si="100"/>
        <v>0.39791673843398134</v>
      </c>
      <c r="AN253" s="43">
        <f t="shared" si="101"/>
        <v>0.49212359406953204</v>
      </c>
      <c r="AO253" s="19" t="s">
        <v>300</v>
      </c>
      <c r="AT253" s="2">
        <f t="shared" si="102"/>
        <v>6</v>
      </c>
      <c r="AU253" s="45">
        <f t="shared" si="103"/>
        <v>-1.1549019599857431</v>
      </c>
      <c r="AV253" s="45" t="e">
        <f t="shared" si="104"/>
        <v>#VALUE!</v>
      </c>
      <c r="AW253" s="45" t="e">
        <f t="shared" si="105"/>
        <v>#VALUE!</v>
      </c>
      <c r="AX253" s="45">
        <f t="shared" si="106"/>
        <v>1.568201724066995</v>
      </c>
      <c r="AY253" s="45" t="e">
        <f t="shared" si="107"/>
        <v>#VALUE!</v>
      </c>
      <c r="AZ253" s="45">
        <f t="shared" si="108"/>
        <v>-2.2276394711152253E-2</v>
      </c>
      <c r="BA253" s="45" t="e">
        <f t="shared" si="109"/>
        <v>#VALUE!</v>
      </c>
      <c r="BB253" s="45" t="e">
        <f t="shared" si="110"/>
        <v>#VALUE!</v>
      </c>
      <c r="BC253" s="45" t="e">
        <f t="shared" si="111"/>
        <v>#VALUE!</v>
      </c>
      <c r="BD253" s="45" t="e">
        <f t="shared" si="112"/>
        <v>#VALUE!</v>
      </c>
      <c r="BE253" s="45" t="e">
        <f t="shared" si="113"/>
        <v>#VALUE!</v>
      </c>
      <c r="BF253" s="45">
        <f t="shared" si="114"/>
        <v>-0.40020779179953481</v>
      </c>
      <c r="BG253" s="45">
        <f t="shared" si="115"/>
        <v>-0.30792581292046711</v>
      </c>
      <c r="BH253" s="45" t="e">
        <f t="shared" si="116"/>
        <v>#NUM!</v>
      </c>
      <c r="BI253" s="43" t="e">
        <f t="shared" si="117"/>
        <v>#VALUE!</v>
      </c>
      <c r="BJ253" s="18"/>
      <c r="BK253" s="18"/>
      <c r="BL253" s="20"/>
      <c r="BT253" s="18"/>
      <c r="CA253" s="41" t="s">
        <v>22</v>
      </c>
      <c r="CC253" t="s">
        <v>22</v>
      </c>
      <c r="CE253" s="41" t="s">
        <v>22</v>
      </c>
      <c r="CF253" s="41" t="s">
        <v>22</v>
      </c>
      <c r="CG253" s="41" t="e">
        <f t="shared" si="130"/>
        <v>#VALUE!</v>
      </c>
      <c r="CH253" s="41" t="e">
        <f t="shared" si="127"/>
        <v>#VALUE!</v>
      </c>
      <c r="CI253" s="41" t="str">
        <f t="shared" si="128"/>
        <v>Not Reported/ Can not calculate</v>
      </c>
      <c r="CJ253" s="41" t="e">
        <f t="shared" si="129"/>
        <v>#VALUE!</v>
      </c>
      <c r="CL253" s="9" t="s">
        <v>1269</v>
      </c>
      <c r="CM253" s="18" t="s">
        <v>1284</v>
      </c>
      <c r="CN253" s="54" t="s">
        <v>1284</v>
      </c>
      <c r="CO253" s="18" t="s">
        <v>1284</v>
      </c>
    </row>
    <row r="254" spans="1:93" x14ac:dyDescent="0.25">
      <c r="A254" t="s">
        <v>315</v>
      </c>
      <c r="B254" s="41">
        <v>0.12</v>
      </c>
      <c r="C254" s="41" t="s">
        <v>22</v>
      </c>
      <c r="D254" s="41" t="s">
        <v>22</v>
      </c>
      <c r="E254" s="41" t="s">
        <v>22</v>
      </c>
      <c r="F254" t="s">
        <v>22</v>
      </c>
      <c r="G254" t="s">
        <v>22</v>
      </c>
      <c r="H254" t="s">
        <v>22</v>
      </c>
      <c r="I254" t="s">
        <v>22</v>
      </c>
      <c r="J254" s="41" t="s">
        <v>22</v>
      </c>
      <c r="K254" t="s">
        <v>22</v>
      </c>
      <c r="L254" s="41" t="e">
        <f t="shared" si="131"/>
        <v>#VALUE!</v>
      </c>
      <c r="M254" t="s">
        <v>45</v>
      </c>
      <c r="N254" s="41" t="s">
        <v>22</v>
      </c>
      <c r="O254" s="41" t="s">
        <v>22</v>
      </c>
      <c r="P254" s="41" t="s">
        <v>22</v>
      </c>
      <c r="R254" s="41" t="s">
        <v>22</v>
      </c>
      <c r="S254" s="41" t="s">
        <v>22</v>
      </c>
      <c r="T254" s="41" t="s">
        <v>22</v>
      </c>
      <c r="U254" s="41" t="s">
        <v>22</v>
      </c>
      <c r="V254">
        <v>20200511</v>
      </c>
      <c r="W254" s="21" t="s">
        <v>302</v>
      </c>
      <c r="X254">
        <v>2004</v>
      </c>
      <c r="Y254" t="s">
        <v>328</v>
      </c>
      <c r="Z254" t="s">
        <v>124</v>
      </c>
      <c r="AA254" s="18" t="s">
        <v>743</v>
      </c>
      <c r="AB254" s="41">
        <v>3.6999999999999998E-2</v>
      </c>
      <c r="AC254" t="s">
        <v>269</v>
      </c>
      <c r="AD254" s="41" t="s">
        <v>22</v>
      </c>
      <c r="AE254" s="41">
        <v>1598.5</v>
      </c>
      <c r="AF254" s="41" t="s">
        <v>22</v>
      </c>
      <c r="AG254" s="41" t="s">
        <v>22</v>
      </c>
      <c r="AH254" s="41" t="s">
        <v>22</v>
      </c>
      <c r="AI254" s="41" t="s">
        <v>22</v>
      </c>
      <c r="AJ254" s="41" t="s">
        <v>22</v>
      </c>
      <c r="AK254" s="41" t="s">
        <v>22</v>
      </c>
      <c r="AL254" s="41" t="s">
        <v>22</v>
      </c>
      <c r="AM254" s="43" t="e">
        <f t="shared" si="100"/>
        <v>#VALUE!</v>
      </c>
      <c r="AN254" s="43" t="e">
        <f t="shared" si="101"/>
        <v>#VALUE!</v>
      </c>
      <c r="AO254" s="19" t="s">
        <v>300</v>
      </c>
      <c r="AT254" s="2">
        <f t="shared" si="102"/>
        <v>6</v>
      </c>
      <c r="AU254" s="45">
        <f t="shared" si="103"/>
        <v>-0.92081875395237522</v>
      </c>
      <c r="AV254" s="45" t="e">
        <f t="shared" si="104"/>
        <v>#VALUE!</v>
      </c>
      <c r="AW254" s="45" t="e">
        <f t="shared" si="105"/>
        <v>#VALUE!</v>
      </c>
      <c r="AX254" s="45" t="e">
        <f t="shared" si="106"/>
        <v>#VALUE!</v>
      </c>
      <c r="AY254" s="45" t="e">
        <f t="shared" si="107"/>
        <v>#VALUE!</v>
      </c>
      <c r="AZ254" s="45" t="e">
        <f t="shared" si="108"/>
        <v>#VALUE!</v>
      </c>
      <c r="BA254" s="45" t="e">
        <f t="shared" si="109"/>
        <v>#VALUE!</v>
      </c>
      <c r="BB254" s="45" t="e">
        <f t="shared" si="110"/>
        <v>#VALUE!</v>
      </c>
      <c r="BC254" s="45" t="e">
        <f t="shared" si="111"/>
        <v>#VALUE!</v>
      </c>
      <c r="BD254" s="45" t="e">
        <f t="shared" si="112"/>
        <v>#VALUE!</v>
      </c>
      <c r="BE254" s="45" t="e">
        <f t="shared" si="113"/>
        <v>#VALUE!</v>
      </c>
      <c r="BF254" s="45" t="e">
        <f t="shared" si="114"/>
        <v>#VALUE!</v>
      </c>
      <c r="BG254" s="45" t="e">
        <f t="shared" si="115"/>
        <v>#VALUE!</v>
      </c>
      <c r="BH254" s="45">
        <f t="shared" si="116"/>
        <v>-1.431798275933005</v>
      </c>
      <c r="BI254" s="43" t="e">
        <f t="shared" si="117"/>
        <v>#VALUE!</v>
      </c>
      <c r="BJ254" s="18"/>
      <c r="BK254" s="18"/>
      <c r="BL254" s="20"/>
      <c r="BT254" s="18"/>
      <c r="CA254" s="41" t="s">
        <v>22</v>
      </c>
      <c r="CC254" t="s">
        <v>22</v>
      </c>
      <c r="CE254" s="41" t="s">
        <v>22</v>
      </c>
      <c r="CF254" s="41" t="s">
        <v>22</v>
      </c>
      <c r="CG254" s="41" t="e">
        <f t="shared" si="130"/>
        <v>#VALUE!</v>
      </c>
      <c r="CH254" s="41" t="e">
        <f t="shared" si="127"/>
        <v>#VALUE!</v>
      </c>
      <c r="CI254" s="41" t="str">
        <f t="shared" si="128"/>
        <v>Not Reported/ Can not calculate</v>
      </c>
      <c r="CJ254" s="41" t="e">
        <f t="shared" si="129"/>
        <v>#VALUE!</v>
      </c>
      <c r="CL254" s="9" t="s">
        <v>1269</v>
      </c>
      <c r="CM254" s="18" t="s">
        <v>1284</v>
      </c>
      <c r="CN254" s="54" t="s">
        <v>1284</v>
      </c>
      <c r="CO254" s="18" t="s">
        <v>1284</v>
      </c>
    </row>
    <row r="255" spans="1:93" x14ac:dyDescent="0.25">
      <c r="A255" t="s">
        <v>315</v>
      </c>
      <c r="B255" s="41">
        <v>3.6999999999999998E-2</v>
      </c>
      <c r="C255" s="41" t="s">
        <v>22</v>
      </c>
      <c r="D255" s="41" t="s">
        <v>22</v>
      </c>
      <c r="E255" s="41" t="s">
        <v>22</v>
      </c>
      <c r="F255" t="s">
        <v>22</v>
      </c>
      <c r="G255" t="s">
        <v>22</v>
      </c>
      <c r="H255" t="s">
        <v>22</v>
      </c>
      <c r="I255" t="s">
        <v>22</v>
      </c>
      <c r="J255" s="41" t="s">
        <v>22</v>
      </c>
      <c r="K255" t="s">
        <v>22</v>
      </c>
      <c r="L255" s="41" t="e">
        <f t="shared" si="131"/>
        <v>#VALUE!</v>
      </c>
      <c r="M255" t="s">
        <v>23</v>
      </c>
      <c r="N255" s="41" t="s">
        <v>22</v>
      </c>
      <c r="O255" s="41" t="s">
        <v>22</v>
      </c>
      <c r="P255" s="41" t="s">
        <v>22</v>
      </c>
      <c r="R255" s="41" t="s">
        <v>22</v>
      </c>
      <c r="S255" s="41" t="s">
        <v>22</v>
      </c>
      <c r="T255" s="41" t="s">
        <v>22</v>
      </c>
      <c r="U255" s="41" t="s">
        <v>22</v>
      </c>
      <c r="V255">
        <v>20200511</v>
      </c>
      <c r="W255" s="21" t="s">
        <v>303</v>
      </c>
      <c r="X255" s="18">
        <v>2004</v>
      </c>
      <c r="Y255" t="s">
        <v>328</v>
      </c>
      <c r="Z255" t="s">
        <v>32</v>
      </c>
      <c r="AA255" s="18"/>
      <c r="AC255" t="s">
        <v>269</v>
      </c>
      <c r="AD255" s="41" t="s">
        <v>22</v>
      </c>
      <c r="AE255" s="41">
        <v>1589.7</v>
      </c>
      <c r="AF255" s="41" t="s">
        <v>22</v>
      </c>
      <c r="AG255" s="41" t="s">
        <v>22</v>
      </c>
      <c r="AH255" s="41" t="s">
        <v>22</v>
      </c>
      <c r="AI255" s="41" t="s">
        <v>22</v>
      </c>
      <c r="AJ255" s="41" t="s">
        <v>22</v>
      </c>
      <c r="AK255" s="41" t="s">
        <v>22</v>
      </c>
      <c r="AL255" s="41" t="s">
        <v>22</v>
      </c>
      <c r="AM255" s="43" t="e">
        <f t="shared" si="100"/>
        <v>#VALUE!</v>
      </c>
      <c r="AN255" s="43" t="e">
        <f t="shared" si="101"/>
        <v>#VALUE!</v>
      </c>
      <c r="AO255" s="19" t="s">
        <v>300</v>
      </c>
      <c r="AT255" s="2">
        <f t="shared" si="102"/>
        <v>6</v>
      </c>
      <c r="AU255" s="45">
        <f t="shared" si="103"/>
        <v>-1.431798275933005</v>
      </c>
      <c r="AV255" s="45" t="e">
        <f t="shared" si="104"/>
        <v>#VALUE!</v>
      </c>
      <c r="AW255" s="45" t="e">
        <f t="shared" si="105"/>
        <v>#VALUE!</v>
      </c>
      <c r="AX255" s="45" t="e">
        <f t="shared" si="106"/>
        <v>#VALUE!</v>
      </c>
      <c r="AY255" s="45" t="e">
        <f t="shared" si="107"/>
        <v>#VALUE!</v>
      </c>
      <c r="AZ255" s="45" t="e">
        <f t="shared" si="108"/>
        <v>#VALUE!</v>
      </c>
      <c r="BA255" s="45" t="e">
        <f t="shared" si="109"/>
        <v>#VALUE!</v>
      </c>
      <c r="BB255" s="45" t="e">
        <f t="shared" si="110"/>
        <v>#VALUE!</v>
      </c>
      <c r="BC255" s="45" t="e">
        <f t="shared" si="111"/>
        <v>#VALUE!</v>
      </c>
      <c r="BD255" s="45" t="e">
        <f t="shared" si="112"/>
        <v>#VALUE!</v>
      </c>
      <c r="BE255" s="45" t="e">
        <f t="shared" si="113"/>
        <v>#VALUE!</v>
      </c>
      <c r="BF255" s="45" t="e">
        <f t="shared" si="114"/>
        <v>#VALUE!</v>
      </c>
      <c r="BG255" s="45" t="e">
        <f t="shared" si="115"/>
        <v>#VALUE!</v>
      </c>
      <c r="BH255" s="45" t="e">
        <f t="shared" si="116"/>
        <v>#NUM!</v>
      </c>
      <c r="BI255" s="43" t="e">
        <f t="shared" si="117"/>
        <v>#VALUE!</v>
      </c>
      <c r="BJ255" s="18"/>
      <c r="BK255" s="18"/>
      <c r="BL255" s="20"/>
      <c r="BT255" s="18"/>
      <c r="CA255" s="41" t="s">
        <v>22</v>
      </c>
      <c r="CC255" t="s">
        <v>22</v>
      </c>
      <c r="CE255" s="41" t="s">
        <v>22</v>
      </c>
      <c r="CF255" s="41" t="s">
        <v>22</v>
      </c>
      <c r="CG255" s="41" t="e">
        <f t="shared" si="130"/>
        <v>#VALUE!</v>
      </c>
      <c r="CH255" s="41" t="e">
        <f t="shared" si="127"/>
        <v>#VALUE!</v>
      </c>
      <c r="CI255" s="41" t="str">
        <f t="shared" si="128"/>
        <v>Not Reported/ Can not calculate</v>
      </c>
      <c r="CJ255" s="41" t="e">
        <f t="shared" si="129"/>
        <v>#VALUE!</v>
      </c>
      <c r="CL255" s="9" t="s">
        <v>1269</v>
      </c>
      <c r="CM255" s="18" t="s">
        <v>1284</v>
      </c>
      <c r="CN255" s="54" t="s">
        <v>1284</v>
      </c>
      <c r="CO255" s="18" t="s">
        <v>1284</v>
      </c>
    </row>
    <row r="256" spans="1:93" x14ac:dyDescent="0.25">
      <c r="A256" t="s">
        <v>315</v>
      </c>
      <c r="B256" s="41">
        <v>9.6000000000000002E-2</v>
      </c>
      <c r="C256" s="41" t="s">
        <v>22</v>
      </c>
      <c r="D256" s="41" t="s">
        <v>22</v>
      </c>
      <c r="E256" s="41" t="s">
        <v>22</v>
      </c>
      <c r="F256" t="s">
        <v>22</v>
      </c>
      <c r="G256" t="s">
        <v>22</v>
      </c>
      <c r="H256" t="s">
        <v>22</v>
      </c>
      <c r="I256" t="s">
        <v>22</v>
      </c>
      <c r="J256" s="41" t="s">
        <v>22</v>
      </c>
      <c r="K256" t="s">
        <v>22</v>
      </c>
      <c r="L256" s="41" t="e">
        <f t="shared" si="131"/>
        <v>#VALUE!</v>
      </c>
      <c r="M256" t="s">
        <v>45</v>
      </c>
      <c r="N256" s="41" t="s">
        <v>22</v>
      </c>
      <c r="O256" s="41" t="s">
        <v>22</v>
      </c>
      <c r="P256" s="41" t="s">
        <v>22</v>
      </c>
      <c r="R256" s="41" t="s">
        <v>22</v>
      </c>
      <c r="S256" s="41" t="s">
        <v>22</v>
      </c>
      <c r="T256" s="41" t="s">
        <v>22</v>
      </c>
      <c r="U256" s="41" t="s">
        <v>22</v>
      </c>
      <c r="V256">
        <v>20200511</v>
      </c>
      <c r="W256" s="21" t="s">
        <v>304</v>
      </c>
      <c r="X256" s="18">
        <v>2004</v>
      </c>
      <c r="Y256" s="18" t="s">
        <v>328</v>
      </c>
      <c r="Z256" s="18" t="s">
        <v>124</v>
      </c>
      <c r="AA256" s="18" t="s">
        <v>743</v>
      </c>
      <c r="AB256" s="41">
        <v>2.4E-2</v>
      </c>
      <c r="AC256" s="18" t="s">
        <v>269</v>
      </c>
      <c r="AD256" s="41" t="s">
        <v>22</v>
      </c>
      <c r="AE256" s="41" t="s">
        <v>22</v>
      </c>
      <c r="AF256" s="41" t="s">
        <v>22</v>
      </c>
      <c r="AG256" s="41" t="s">
        <v>22</v>
      </c>
      <c r="AH256" s="41" t="s">
        <v>22</v>
      </c>
      <c r="AI256" s="41" t="s">
        <v>22</v>
      </c>
      <c r="AJ256" s="41" t="s">
        <v>22</v>
      </c>
      <c r="AK256" s="41" t="s">
        <v>22</v>
      </c>
      <c r="AL256" s="41" t="s">
        <v>22</v>
      </c>
      <c r="AM256" s="43" t="e">
        <f t="shared" si="100"/>
        <v>#VALUE!</v>
      </c>
      <c r="AN256" s="43" t="e">
        <f t="shared" si="101"/>
        <v>#VALUE!</v>
      </c>
      <c r="AO256" s="19" t="s">
        <v>300</v>
      </c>
      <c r="AT256" s="2">
        <f t="shared" si="102"/>
        <v>6</v>
      </c>
      <c r="AU256" s="45">
        <f t="shared" si="103"/>
        <v>-1.0177287669604316</v>
      </c>
      <c r="AV256" s="45" t="e">
        <f t="shared" si="104"/>
        <v>#VALUE!</v>
      </c>
      <c r="AW256" s="45" t="e">
        <f t="shared" si="105"/>
        <v>#VALUE!</v>
      </c>
      <c r="AX256" s="45" t="e">
        <f t="shared" si="106"/>
        <v>#VALUE!</v>
      </c>
      <c r="AY256" s="45" t="e">
        <f t="shared" si="107"/>
        <v>#VALUE!</v>
      </c>
      <c r="AZ256" s="45" t="e">
        <f t="shared" si="108"/>
        <v>#VALUE!</v>
      </c>
      <c r="BA256" s="45" t="e">
        <f t="shared" si="109"/>
        <v>#VALUE!</v>
      </c>
      <c r="BB256" s="45" t="e">
        <f t="shared" si="110"/>
        <v>#VALUE!</v>
      </c>
      <c r="BC256" s="45" t="e">
        <f t="shared" si="111"/>
        <v>#VALUE!</v>
      </c>
      <c r="BD256" s="45" t="e">
        <f t="shared" si="112"/>
        <v>#VALUE!</v>
      </c>
      <c r="BE256" s="45" t="e">
        <f t="shared" si="113"/>
        <v>#VALUE!</v>
      </c>
      <c r="BF256" s="45" t="e">
        <f t="shared" si="114"/>
        <v>#VALUE!</v>
      </c>
      <c r="BG256" s="45" t="e">
        <f t="shared" si="115"/>
        <v>#VALUE!</v>
      </c>
      <c r="BH256" s="45">
        <f t="shared" si="116"/>
        <v>-1.6197887582883939</v>
      </c>
      <c r="BI256" s="43" t="e">
        <f t="shared" si="117"/>
        <v>#VALUE!</v>
      </c>
      <c r="BJ256" s="18"/>
      <c r="BK256" s="18"/>
      <c r="BL256" s="20"/>
      <c r="BT256" s="18"/>
      <c r="CA256" s="41" t="s">
        <v>22</v>
      </c>
      <c r="CC256" t="s">
        <v>22</v>
      </c>
      <c r="CE256" s="41" t="s">
        <v>22</v>
      </c>
      <c r="CF256" s="41" t="s">
        <v>22</v>
      </c>
      <c r="CG256" s="41" t="e">
        <f t="shared" si="130"/>
        <v>#VALUE!</v>
      </c>
      <c r="CH256" s="41" t="e">
        <f t="shared" si="127"/>
        <v>#VALUE!</v>
      </c>
      <c r="CI256" s="41" t="str">
        <f t="shared" si="128"/>
        <v>Not Reported/ Can not calculate</v>
      </c>
      <c r="CJ256" s="41" t="e">
        <f t="shared" si="129"/>
        <v>#VALUE!</v>
      </c>
      <c r="CL256" s="9" t="s">
        <v>1269</v>
      </c>
      <c r="CM256" s="18" t="s">
        <v>1284</v>
      </c>
      <c r="CN256" s="54" t="s">
        <v>1284</v>
      </c>
      <c r="CO256" s="18" t="s">
        <v>1284</v>
      </c>
    </row>
    <row r="257" spans="1:93" x14ac:dyDescent="0.25">
      <c r="A257" t="s">
        <v>315</v>
      </c>
      <c r="B257" s="41">
        <v>2.4E-2</v>
      </c>
      <c r="C257" s="41" t="s">
        <v>22</v>
      </c>
      <c r="D257" s="41" t="s">
        <v>22</v>
      </c>
      <c r="E257" s="41" t="s">
        <v>22</v>
      </c>
      <c r="F257" t="s">
        <v>22</v>
      </c>
      <c r="G257" t="s">
        <v>22</v>
      </c>
      <c r="H257" t="s">
        <v>22</v>
      </c>
      <c r="I257" t="s">
        <v>22</v>
      </c>
      <c r="J257" s="41" t="s">
        <v>22</v>
      </c>
      <c r="K257" t="s">
        <v>22</v>
      </c>
      <c r="L257" s="41" t="e">
        <f t="shared" si="131"/>
        <v>#VALUE!</v>
      </c>
      <c r="M257" t="s">
        <v>23</v>
      </c>
      <c r="N257" s="41" t="s">
        <v>22</v>
      </c>
      <c r="O257" s="41" t="s">
        <v>22</v>
      </c>
      <c r="P257" s="41" t="s">
        <v>22</v>
      </c>
      <c r="R257" s="41" t="s">
        <v>22</v>
      </c>
      <c r="S257" s="41" t="s">
        <v>22</v>
      </c>
      <c r="T257" s="41" t="s">
        <v>22</v>
      </c>
      <c r="U257" s="41" t="s">
        <v>22</v>
      </c>
      <c r="V257">
        <v>20200511</v>
      </c>
      <c r="W257" s="16" t="s">
        <v>305</v>
      </c>
      <c r="X257" s="18">
        <v>2004</v>
      </c>
      <c r="Y257" s="18" t="s">
        <v>328</v>
      </c>
      <c r="Z257" s="18" t="s">
        <v>32</v>
      </c>
      <c r="AA257" s="18"/>
      <c r="AC257" s="18" t="s">
        <v>269</v>
      </c>
      <c r="AD257" s="41" t="s">
        <v>22</v>
      </c>
      <c r="AE257" s="41" t="s">
        <v>22</v>
      </c>
      <c r="AF257" s="41" t="s">
        <v>22</v>
      </c>
      <c r="AG257" s="41" t="s">
        <v>22</v>
      </c>
      <c r="AH257" s="41" t="s">
        <v>22</v>
      </c>
      <c r="AI257" s="41" t="s">
        <v>22</v>
      </c>
      <c r="AJ257" s="41" t="s">
        <v>22</v>
      </c>
      <c r="AK257" s="41" t="s">
        <v>22</v>
      </c>
      <c r="AL257" s="41" t="s">
        <v>22</v>
      </c>
      <c r="AM257" s="43" t="e">
        <f t="shared" si="100"/>
        <v>#VALUE!</v>
      </c>
      <c r="AN257" s="43" t="e">
        <f t="shared" si="101"/>
        <v>#VALUE!</v>
      </c>
      <c r="AO257" s="3" t="s">
        <v>300</v>
      </c>
      <c r="AT257" s="2">
        <f t="shared" si="102"/>
        <v>6</v>
      </c>
      <c r="AU257" s="45">
        <f t="shared" si="103"/>
        <v>-1.6197887582883939</v>
      </c>
      <c r="AV257" s="45" t="e">
        <f t="shared" si="104"/>
        <v>#VALUE!</v>
      </c>
      <c r="AW257" s="45" t="e">
        <f t="shared" si="105"/>
        <v>#VALUE!</v>
      </c>
      <c r="AX257" s="45" t="e">
        <f t="shared" si="106"/>
        <v>#VALUE!</v>
      </c>
      <c r="AY257" s="45" t="e">
        <f t="shared" si="107"/>
        <v>#VALUE!</v>
      </c>
      <c r="AZ257" s="45" t="e">
        <f t="shared" si="108"/>
        <v>#VALUE!</v>
      </c>
      <c r="BA257" s="45" t="e">
        <f t="shared" si="109"/>
        <v>#VALUE!</v>
      </c>
      <c r="BB257" s="45" t="e">
        <f t="shared" si="110"/>
        <v>#VALUE!</v>
      </c>
      <c r="BC257" s="45" t="e">
        <f t="shared" si="111"/>
        <v>#VALUE!</v>
      </c>
      <c r="BD257" s="45" t="e">
        <f t="shared" si="112"/>
        <v>#VALUE!</v>
      </c>
      <c r="BE257" s="45" t="e">
        <f t="shared" si="113"/>
        <v>#VALUE!</v>
      </c>
      <c r="BF257" s="45" t="e">
        <f t="shared" si="114"/>
        <v>#VALUE!</v>
      </c>
      <c r="BG257" s="45" t="e">
        <f t="shared" si="115"/>
        <v>#VALUE!</v>
      </c>
      <c r="BH257" s="45" t="e">
        <f t="shared" si="116"/>
        <v>#NUM!</v>
      </c>
      <c r="BI257" s="43" t="e">
        <f t="shared" si="117"/>
        <v>#VALUE!</v>
      </c>
      <c r="CA257" s="41" t="s">
        <v>22</v>
      </c>
      <c r="CC257" t="s">
        <v>22</v>
      </c>
      <c r="CE257" s="41" t="s">
        <v>22</v>
      </c>
      <c r="CF257" s="41" t="s">
        <v>22</v>
      </c>
      <c r="CG257" s="41" t="e">
        <f t="shared" si="130"/>
        <v>#VALUE!</v>
      </c>
      <c r="CH257" s="41" t="e">
        <f t="shared" si="127"/>
        <v>#VALUE!</v>
      </c>
      <c r="CI257" s="41" t="str">
        <f t="shared" si="128"/>
        <v>Not Reported/ Can not calculate</v>
      </c>
      <c r="CJ257" s="41" t="e">
        <f t="shared" si="129"/>
        <v>#VALUE!</v>
      </c>
      <c r="CL257" s="9" t="s">
        <v>1269</v>
      </c>
      <c r="CM257" s="18" t="s">
        <v>1284</v>
      </c>
      <c r="CN257" s="54" t="s">
        <v>1284</v>
      </c>
      <c r="CO257" s="18" t="s">
        <v>1284</v>
      </c>
    </row>
    <row r="258" spans="1:93" x14ac:dyDescent="0.25">
      <c r="A258" s="18" t="s">
        <v>266</v>
      </c>
      <c r="B258" s="41">
        <v>0.49999999999999994</v>
      </c>
      <c r="C258" s="41">
        <v>1.1100000000000001</v>
      </c>
      <c r="D258" s="41">
        <f>0.001*(B258*10^6)/(C258*0.001*100^3)</f>
        <v>0.4504504504504504</v>
      </c>
      <c r="E258" s="41" t="s">
        <v>22</v>
      </c>
      <c r="F258" s="18">
        <v>20</v>
      </c>
      <c r="G258" s="18" t="s">
        <v>52</v>
      </c>
      <c r="H258" s="18">
        <v>32.1</v>
      </c>
      <c r="I258" s="18" t="s">
        <v>82</v>
      </c>
      <c r="J258" s="41" t="s">
        <v>22</v>
      </c>
      <c r="K258" s="18" t="s">
        <v>22</v>
      </c>
      <c r="L258" s="41" t="e">
        <f t="shared" si="131"/>
        <v>#VALUE!</v>
      </c>
      <c r="M258" s="18" t="s">
        <v>45</v>
      </c>
      <c r="N258" s="41">
        <v>116</v>
      </c>
      <c r="O258" s="41">
        <v>0.104</v>
      </c>
      <c r="P258" s="41">
        <v>120</v>
      </c>
      <c r="R258" s="41">
        <f>N258*B258</f>
        <v>57.999999999999993</v>
      </c>
      <c r="S258" s="41">
        <f>O258*D258</f>
        <v>4.684684684684684E-2</v>
      </c>
      <c r="T258" s="41">
        <v>1</v>
      </c>
      <c r="U258" s="41">
        <v>1</v>
      </c>
      <c r="V258" s="18">
        <v>20200510</v>
      </c>
      <c r="W258" s="21" t="s">
        <v>905</v>
      </c>
      <c r="X258" s="18">
        <v>2004</v>
      </c>
      <c r="Y258" s="18" t="s">
        <v>143</v>
      </c>
      <c r="Z258" s="18" t="s">
        <v>32</v>
      </c>
      <c r="AA258" s="18"/>
      <c r="AC258" s="18" t="s">
        <v>514</v>
      </c>
      <c r="AD258" s="41">
        <v>52.7</v>
      </c>
      <c r="AE258" s="41" t="s">
        <v>22</v>
      </c>
      <c r="AF258" s="41">
        <v>21</v>
      </c>
      <c r="AG258" s="41" t="s">
        <v>22</v>
      </c>
      <c r="AH258" s="41" t="s">
        <v>22</v>
      </c>
      <c r="AI258" s="41" t="s">
        <v>22</v>
      </c>
      <c r="AJ258" s="41" t="s">
        <v>22</v>
      </c>
      <c r="AK258" s="41" t="s">
        <v>22</v>
      </c>
      <c r="AL258" s="41" t="s">
        <v>22</v>
      </c>
      <c r="AM258" s="43" t="e">
        <f t="shared" ref="AM258:AM321" si="132">AL258/AI258</f>
        <v>#VALUE!</v>
      </c>
      <c r="AN258" s="43" t="e">
        <f t="shared" ref="AN258:AN321" si="133">AL258/AJ258</f>
        <v>#VALUE!</v>
      </c>
      <c r="AO258" s="19" t="s">
        <v>237</v>
      </c>
      <c r="AP258" s="18"/>
      <c r="AQ258" s="18"/>
      <c r="AR258" s="18"/>
      <c r="AS258" s="18"/>
      <c r="AT258" s="2">
        <f t="shared" ref="AT258:AT321" si="134">COUNTIF($AO$2:$AO$1400,AO258)</f>
        <v>2</v>
      </c>
      <c r="AU258" s="45">
        <f t="shared" ref="AU258:AU321" si="135">LOG10(B258)</f>
        <v>-0.30102999566398125</v>
      </c>
      <c r="AV258" s="45">
        <f t="shared" ref="AV258:AV321" si="136">LOG10(C258)</f>
        <v>4.5322978786657475E-2</v>
      </c>
      <c r="AW258" s="45">
        <f t="shared" ref="AW258:AW321" si="137">LOG10(D258)</f>
        <v>-0.34635297445063867</v>
      </c>
      <c r="AX258" s="45">
        <f t="shared" ref="AX258:AX321" si="138">LOG10(N258)</f>
        <v>2.0644579892269186</v>
      </c>
      <c r="AY258" s="45">
        <f t="shared" ref="AY258:AY321" si="139">LOG10(O258)</f>
        <v>-0.98296666070121963</v>
      </c>
      <c r="AZ258" s="45">
        <f t="shared" ref="AZ258:AZ321" si="140">LOG10(P258)</f>
        <v>2.0791812460476247</v>
      </c>
      <c r="BA258" s="45" t="e">
        <f t="shared" ref="BA258:BA321" si="141">LOG10(J258)</f>
        <v>#VALUE!</v>
      </c>
      <c r="BB258" s="45" t="e">
        <f t="shared" ref="BB258:BB321" si="142">LOG10(L258)</f>
        <v>#VALUE!</v>
      </c>
      <c r="BC258" s="45">
        <f t="shared" ref="BC258:BC321" si="143">LOG10(U258)</f>
        <v>0</v>
      </c>
      <c r="BD258" s="45">
        <f t="shared" ref="BD258:BD321" si="144">LOG10(AD258)</f>
        <v>1.7218106152125465</v>
      </c>
      <c r="BE258" s="45">
        <f t="shared" ref="BE258:BE321" si="145">LOG10(AF258)</f>
        <v>1.3222192947339193</v>
      </c>
      <c r="BF258" s="45" t="e">
        <f t="shared" ref="BF258:BF321" si="146">LOG10(AM258)</f>
        <v>#VALUE!</v>
      </c>
      <c r="BG258" s="45" t="e">
        <f t="shared" ref="BG258:BG321" si="147">LOG10(AN258)</f>
        <v>#VALUE!</v>
      </c>
      <c r="BH258" s="45" t="e">
        <f t="shared" ref="BH258:BH321" si="148">LOG10(AB258)</f>
        <v>#NUM!</v>
      </c>
      <c r="BI258" s="43">
        <f t="shared" ref="BI258:BI321" si="149">LOG10(AF258)</f>
        <v>1.3222192947339193</v>
      </c>
      <c r="BJ258" s="18"/>
      <c r="BK258" s="18"/>
      <c r="BL258" s="20"/>
      <c r="BS258" s="18"/>
      <c r="BT258" s="18"/>
      <c r="CA258" s="41" t="s">
        <v>22</v>
      </c>
      <c r="CB258" s="18"/>
      <c r="CC258" t="s">
        <v>22</v>
      </c>
      <c r="CE258" s="41" t="s">
        <v>22</v>
      </c>
      <c r="CF258" s="41" t="s">
        <v>22</v>
      </c>
      <c r="CG258" s="41">
        <f t="shared" si="130"/>
        <v>52700</v>
      </c>
      <c r="CH258" s="41">
        <f t="shared" si="127"/>
        <v>4.7218106152125463</v>
      </c>
      <c r="CI258" s="41">
        <f t="shared" si="128"/>
        <v>52700</v>
      </c>
      <c r="CJ258" s="41">
        <f t="shared" si="129"/>
        <v>4.7218106152125463</v>
      </c>
      <c r="CL258" s="9" t="s">
        <v>1269</v>
      </c>
      <c r="CM258" s="18" t="s">
        <v>1283</v>
      </c>
      <c r="CN258" s="54" t="s">
        <v>1284</v>
      </c>
      <c r="CO258" s="18" t="s">
        <v>1284</v>
      </c>
    </row>
    <row r="259" spans="1:93" x14ac:dyDescent="0.25">
      <c r="A259" s="18" t="s">
        <v>266</v>
      </c>
      <c r="B259" s="41">
        <v>4.9999999999999996E-2</v>
      </c>
      <c r="C259" s="41" t="s">
        <v>22</v>
      </c>
      <c r="D259" s="41" t="s">
        <v>22</v>
      </c>
      <c r="E259" s="41" t="s">
        <v>22</v>
      </c>
      <c r="F259" s="18" t="s">
        <v>22</v>
      </c>
      <c r="G259" s="18" t="s">
        <v>22</v>
      </c>
      <c r="H259" s="18">
        <v>31</v>
      </c>
      <c r="I259" s="18" t="s">
        <v>82</v>
      </c>
      <c r="J259" s="41" t="s">
        <v>22</v>
      </c>
      <c r="K259" s="18"/>
      <c r="M259" s="18" t="s">
        <v>23</v>
      </c>
      <c r="N259" s="41" t="s">
        <v>22</v>
      </c>
      <c r="O259" s="41" t="s">
        <v>22</v>
      </c>
      <c r="P259" s="41" t="s">
        <v>22</v>
      </c>
      <c r="R259" s="41" t="s">
        <v>22</v>
      </c>
      <c r="S259" s="41" t="s">
        <v>22</v>
      </c>
      <c r="T259" s="41">
        <v>1</v>
      </c>
      <c r="U259" s="41">
        <v>1</v>
      </c>
      <c r="V259" s="18">
        <v>20200525</v>
      </c>
      <c r="W259" s="21" t="s">
        <v>904</v>
      </c>
      <c r="X259" s="6">
        <v>2004</v>
      </c>
      <c r="Y259" s="18" t="s">
        <v>143</v>
      </c>
      <c r="Z259" s="18" t="s">
        <v>34</v>
      </c>
      <c r="AA259" s="18"/>
      <c r="AC259" s="18" t="s">
        <v>514</v>
      </c>
      <c r="AD259" s="41" t="s">
        <v>22</v>
      </c>
      <c r="AE259" s="41" t="s">
        <v>22</v>
      </c>
      <c r="AF259" s="41" t="s">
        <v>22</v>
      </c>
      <c r="AG259" s="41" t="s">
        <v>22</v>
      </c>
      <c r="AH259" s="41" t="s">
        <v>22</v>
      </c>
      <c r="AI259" s="41" t="s">
        <v>22</v>
      </c>
      <c r="AJ259" s="41" t="s">
        <v>22</v>
      </c>
      <c r="AK259" s="41" t="s">
        <v>22</v>
      </c>
      <c r="AL259" s="41" t="s">
        <v>22</v>
      </c>
      <c r="AM259" s="43" t="e">
        <f t="shared" si="132"/>
        <v>#VALUE!</v>
      </c>
      <c r="AN259" s="43" t="e">
        <f t="shared" si="133"/>
        <v>#VALUE!</v>
      </c>
      <c r="AO259" s="19" t="s">
        <v>237</v>
      </c>
      <c r="AP259" s="18"/>
      <c r="AQ259" s="18"/>
      <c r="AR259" s="18"/>
      <c r="AS259" s="18"/>
      <c r="AT259" s="2">
        <f t="shared" si="134"/>
        <v>2</v>
      </c>
      <c r="AU259" s="45">
        <f t="shared" si="135"/>
        <v>-1.3010299956639813</v>
      </c>
      <c r="AV259" s="45" t="e">
        <f t="shared" si="136"/>
        <v>#VALUE!</v>
      </c>
      <c r="AW259" s="45" t="e">
        <f t="shared" si="137"/>
        <v>#VALUE!</v>
      </c>
      <c r="AX259" s="45" t="e">
        <f t="shared" si="138"/>
        <v>#VALUE!</v>
      </c>
      <c r="AY259" s="45" t="e">
        <f t="shared" si="139"/>
        <v>#VALUE!</v>
      </c>
      <c r="AZ259" s="45" t="e">
        <f t="shared" si="140"/>
        <v>#VALUE!</v>
      </c>
      <c r="BA259" s="45" t="e">
        <f t="shared" si="141"/>
        <v>#VALUE!</v>
      </c>
      <c r="BB259" s="45" t="e">
        <f t="shared" si="142"/>
        <v>#NUM!</v>
      </c>
      <c r="BC259" s="45">
        <f t="shared" si="143"/>
        <v>0</v>
      </c>
      <c r="BD259" s="45" t="e">
        <f t="shared" si="144"/>
        <v>#VALUE!</v>
      </c>
      <c r="BE259" s="45" t="e">
        <f t="shared" si="145"/>
        <v>#VALUE!</v>
      </c>
      <c r="BF259" s="45" t="e">
        <f t="shared" si="146"/>
        <v>#VALUE!</v>
      </c>
      <c r="BG259" s="45" t="e">
        <f t="shared" si="147"/>
        <v>#VALUE!</v>
      </c>
      <c r="BH259" s="45" t="e">
        <f t="shared" si="148"/>
        <v>#NUM!</v>
      </c>
      <c r="BI259" s="43" t="e">
        <f t="shared" si="149"/>
        <v>#VALUE!</v>
      </c>
      <c r="BJ259" s="18"/>
      <c r="BK259" s="18"/>
      <c r="BL259" s="20"/>
      <c r="BS259" s="18"/>
      <c r="BT259" s="18"/>
      <c r="CA259" s="41" t="s">
        <v>22</v>
      </c>
      <c r="CB259" s="18"/>
      <c r="CC259" t="s">
        <v>22</v>
      </c>
      <c r="CE259" s="41" t="s">
        <v>22</v>
      </c>
      <c r="CF259" s="41" t="s">
        <v>22</v>
      </c>
      <c r="CG259" s="41" t="e">
        <f t="shared" si="130"/>
        <v>#VALUE!</v>
      </c>
      <c r="CH259" s="41" t="e">
        <f t="shared" si="127"/>
        <v>#VALUE!</v>
      </c>
      <c r="CI259" s="41">
        <f t="shared" si="128"/>
        <v>1</v>
      </c>
      <c r="CJ259" s="41">
        <f t="shared" si="129"/>
        <v>0</v>
      </c>
      <c r="CL259" s="9" t="s">
        <v>1269</v>
      </c>
      <c r="CM259" s="18" t="s">
        <v>1285</v>
      </c>
      <c r="CN259" s="54" t="s">
        <v>1284</v>
      </c>
      <c r="CO259" s="18" t="s">
        <v>1284</v>
      </c>
    </row>
    <row r="260" spans="1:93" x14ac:dyDescent="0.25">
      <c r="A260" s="18" t="s">
        <v>266</v>
      </c>
      <c r="B260" s="41">
        <v>0.15625</v>
      </c>
      <c r="C260" s="41" t="s">
        <v>22</v>
      </c>
      <c r="D260" s="41" t="s">
        <v>22</v>
      </c>
      <c r="E260" s="41" t="s">
        <v>22</v>
      </c>
      <c r="F260" s="18" t="s">
        <v>22</v>
      </c>
      <c r="G260" s="18" t="s">
        <v>22</v>
      </c>
      <c r="H260" s="18">
        <v>63</v>
      </c>
      <c r="I260" s="18" t="s">
        <v>82</v>
      </c>
      <c r="J260" s="41" t="s">
        <v>22</v>
      </c>
      <c r="K260" s="18">
        <v>514.5</v>
      </c>
      <c r="M260" s="18" t="s">
        <v>45</v>
      </c>
      <c r="N260" s="41" t="s">
        <v>22</v>
      </c>
      <c r="O260" s="41" t="s">
        <v>22</v>
      </c>
      <c r="P260" s="41" t="s">
        <v>22</v>
      </c>
      <c r="R260" s="41" t="s">
        <v>22</v>
      </c>
      <c r="S260" s="41" t="s">
        <v>22</v>
      </c>
      <c r="T260" s="41" t="s">
        <v>22</v>
      </c>
      <c r="U260" s="41" t="s">
        <v>22</v>
      </c>
      <c r="V260" s="18">
        <v>20200509</v>
      </c>
      <c r="W260" s="21" t="s">
        <v>629</v>
      </c>
      <c r="X260" s="18">
        <v>2004</v>
      </c>
      <c r="Y260" s="18" t="s">
        <v>143</v>
      </c>
      <c r="Z260" s="18" t="s">
        <v>632</v>
      </c>
      <c r="AA260" s="18"/>
      <c r="AC260" s="18" t="s">
        <v>514</v>
      </c>
      <c r="AD260" s="41">
        <v>220</v>
      </c>
      <c r="AE260" s="41" t="s">
        <v>22</v>
      </c>
      <c r="AF260" s="41">
        <v>5</v>
      </c>
      <c r="AG260" s="41">
        <v>197</v>
      </c>
      <c r="AH260" s="41">
        <v>0.66900749791724501</v>
      </c>
      <c r="AI260" s="41" t="s">
        <v>22</v>
      </c>
      <c r="AJ260" s="41" t="s">
        <v>22</v>
      </c>
      <c r="AK260" s="41">
        <v>0.66900749791724501</v>
      </c>
      <c r="AL260" s="41">
        <v>0.64252152179949995</v>
      </c>
      <c r="AM260" s="43" t="e">
        <f t="shared" si="132"/>
        <v>#VALUE!</v>
      </c>
      <c r="AN260" s="43" t="e">
        <f t="shared" si="133"/>
        <v>#VALUE!</v>
      </c>
      <c r="AO260" s="19" t="s">
        <v>631</v>
      </c>
      <c r="AP260" s="18"/>
      <c r="AQ260" s="18"/>
      <c r="AR260" s="18"/>
      <c r="AS260" s="18"/>
      <c r="AT260" s="2">
        <f t="shared" si="134"/>
        <v>6</v>
      </c>
      <c r="AU260" s="45">
        <f t="shared" si="135"/>
        <v>-0.80617997398388719</v>
      </c>
      <c r="AV260" s="45" t="e">
        <f t="shared" si="136"/>
        <v>#VALUE!</v>
      </c>
      <c r="AW260" s="45" t="e">
        <f t="shared" si="137"/>
        <v>#VALUE!</v>
      </c>
      <c r="AX260" s="45" t="e">
        <f t="shared" si="138"/>
        <v>#VALUE!</v>
      </c>
      <c r="AY260" s="45" t="e">
        <f t="shared" si="139"/>
        <v>#VALUE!</v>
      </c>
      <c r="AZ260" s="45" t="e">
        <f t="shared" si="140"/>
        <v>#VALUE!</v>
      </c>
      <c r="BA260" s="45" t="e">
        <f t="shared" si="141"/>
        <v>#VALUE!</v>
      </c>
      <c r="BB260" s="45" t="e">
        <f t="shared" si="142"/>
        <v>#NUM!</v>
      </c>
      <c r="BC260" s="45" t="e">
        <f t="shared" si="143"/>
        <v>#VALUE!</v>
      </c>
      <c r="BD260" s="45">
        <f t="shared" si="144"/>
        <v>2.3424226808222062</v>
      </c>
      <c r="BE260" s="45">
        <f t="shared" si="145"/>
        <v>0.69897000433601886</v>
      </c>
      <c r="BF260" s="45" t="e">
        <f t="shared" si="146"/>
        <v>#VALUE!</v>
      </c>
      <c r="BG260" s="45" t="e">
        <f t="shared" si="147"/>
        <v>#VALUE!</v>
      </c>
      <c r="BH260" s="45" t="e">
        <f t="shared" si="148"/>
        <v>#NUM!</v>
      </c>
      <c r="BI260" s="43">
        <f t="shared" si="149"/>
        <v>0.69897000433601886</v>
      </c>
      <c r="BJ260" s="18"/>
      <c r="BK260" s="18"/>
      <c r="BL260" s="20"/>
      <c r="BS260" s="18"/>
      <c r="BT260" s="18"/>
      <c r="CA260" s="41" t="s">
        <v>22</v>
      </c>
      <c r="CB260" s="18"/>
      <c r="CC260" t="s">
        <v>22</v>
      </c>
      <c r="CE260" s="41" t="s">
        <v>22</v>
      </c>
      <c r="CF260" s="41" t="s">
        <v>22</v>
      </c>
      <c r="CG260" s="41">
        <f t="shared" si="130"/>
        <v>220000</v>
      </c>
      <c r="CH260" s="41">
        <f t="shared" si="127"/>
        <v>5.3424226808222066</v>
      </c>
      <c r="CI260" s="41">
        <f t="shared" si="128"/>
        <v>220000</v>
      </c>
      <c r="CJ260" s="41">
        <f t="shared" si="129"/>
        <v>5.3424226808222066</v>
      </c>
      <c r="CL260" s="9" t="s">
        <v>1269</v>
      </c>
      <c r="CM260" s="18" t="s">
        <v>1283</v>
      </c>
      <c r="CN260" s="54" t="s">
        <v>1284</v>
      </c>
      <c r="CO260" s="18" t="s">
        <v>1284</v>
      </c>
    </row>
    <row r="261" spans="1:93" x14ac:dyDescent="0.25">
      <c r="A261" s="18" t="s">
        <v>266</v>
      </c>
      <c r="B261" s="41">
        <v>1.2345679012345677E-2</v>
      </c>
      <c r="C261" s="41" t="s">
        <v>22</v>
      </c>
      <c r="D261" s="41" t="s">
        <v>22</v>
      </c>
      <c r="E261" s="41" t="s">
        <v>22</v>
      </c>
      <c r="F261" s="18" t="s">
        <v>22</v>
      </c>
      <c r="G261" s="18" t="s">
        <v>22</v>
      </c>
      <c r="H261" s="18">
        <v>64</v>
      </c>
      <c r="I261" s="18" t="s">
        <v>82</v>
      </c>
      <c r="J261" s="41" t="s">
        <v>22</v>
      </c>
      <c r="K261" s="18">
        <v>514.5</v>
      </c>
      <c r="M261" s="18" t="s">
        <v>23</v>
      </c>
      <c r="N261" s="41" t="s">
        <v>22</v>
      </c>
      <c r="O261" s="41" t="s">
        <v>22</v>
      </c>
      <c r="P261" s="41" t="s">
        <v>22</v>
      </c>
      <c r="R261" s="41" t="s">
        <v>22</v>
      </c>
      <c r="S261" s="41" t="s">
        <v>22</v>
      </c>
      <c r="T261" s="41" t="s">
        <v>22</v>
      </c>
      <c r="U261" s="41" t="s">
        <v>22</v>
      </c>
      <c r="V261" s="18">
        <v>20200509</v>
      </c>
      <c r="W261" s="21" t="s">
        <v>630</v>
      </c>
      <c r="X261" s="18">
        <v>2004</v>
      </c>
      <c r="Y261" s="18" t="s">
        <v>143</v>
      </c>
      <c r="Z261" s="18" t="s">
        <v>34</v>
      </c>
      <c r="AA261" s="18"/>
      <c r="AC261" s="18" t="s">
        <v>514</v>
      </c>
      <c r="AD261" s="41">
        <v>220</v>
      </c>
      <c r="AE261" s="41" t="s">
        <v>22</v>
      </c>
      <c r="AF261" s="41">
        <v>5</v>
      </c>
      <c r="AG261" s="41" t="s">
        <v>22</v>
      </c>
      <c r="AH261" s="41">
        <v>30.513072528004301</v>
      </c>
      <c r="AI261" s="41" t="s">
        <v>22</v>
      </c>
      <c r="AJ261" s="41" t="s">
        <v>22</v>
      </c>
      <c r="AK261" s="41">
        <v>14.7979409460092</v>
      </c>
      <c r="AL261" s="41">
        <v>8.0205622600429596</v>
      </c>
      <c r="AM261" s="43" t="e">
        <f t="shared" si="132"/>
        <v>#VALUE!</v>
      </c>
      <c r="AN261" s="43" t="e">
        <f t="shared" si="133"/>
        <v>#VALUE!</v>
      </c>
      <c r="AO261" s="19" t="s">
        <v>631</v>
      </c>
      <c r="AP261" s="18"/>
      <c r="AQ261" s="18"/>
      <c r="AR261" s="18"/>
      <c r="AS261" s="18"/>
      <c r="AT261" s="2">
        <f t="shared" si="134"/>
        <v>6</v>
      </c>
      <c r="AU261" s="45">
        <f t="shared" si="135"/>
        <v>-1.9084850188786497</v>
      </c>
      <c r="AV261" s="45" t="e">
        <f t="shared" si="136"/>
        <v>#VALUE!</v>
      </c>
      <c r="AW261" s="45" t="e">
        <f t="shared" si="137"/>
        <v>#VALUE!</v>
      </c>
      <c r="AX261" s="45" t="e">
        <f t="shared" si="138"/>
        <v>#VALUE!</v>
      </c>
      <c r="AY261" s="45" t="e">
        <f t="shared" si="139"/>
        <v>#VALUE!</v>
      </c>
      <c r="AZ261" s="45" t="e">
        <f t="shared" si="140"/>
        <v>#VALUE!</v>
      </c>
      <c r="BA261" s="45" t="e">
        <f t="shared" si="141"/>
        <v>#VALUE!</v>
      </c>
      <c r="BB261" s="45" t="e">
        <f t="shared" si="142"/>
        <v>#NUM!</v>
      </c>
      <c r="BC261" s="45" t="e">
        <f t="shared" si="143"/>
        <v>#VALUE!</v>
      </c>
      <c r="BD261" s="45">
        <f t="shared" si="144"/>
        <v>2.3424226808222062</v>
      </c>
      <c r="BE261" s="45">
        <f t="shared" si="145"/>
        <v>0.69897000433601886</v>
      </c>
      <c r="BF261" s="45" t="e">
        <f t="shared" si="146"/>
        <v>#VALUE!</v>
      </c>
      <c r="BG261" s="45" t="e">
        <f t="shared" si="147"/>
        <v>#VALUE!</v>
      </c>
      <c r="BH261" s="45" t="e">
        <f t="shared" si="148"/>
        <v>#NUM!</v>
      </c>
      <c r="BI261" s="43">
        <f t="shared" si="149"/>
        <v>0.69897000433601886</v>
      </c>
      <c r="BJ261" s="18"/>
      <c r="BK261" s="18"/>
      <c r="BL261" s="20"/>
      <c r="BS261" s="18"/>
      <c r="BT261" s="18"/>
      <c r="CA261" s="41" t="s">
        <v>22</v>
      </c>
      <c r="CB261" s="18"/>
      <c r="CC261" t="s">
        <v>22</v>
      </c>
      <c r="CE261" s="41" t="s">
        <v>22</v>
      </c>
      <c r="CF261" s="41" t="s">
        <v>22</v>
      </c>
      <c r="CG261" s="41">
        <f t="shared" si="130"/>
        <v>220000</v>
      </c>
      <c r="CH261" s="41">
        <f t="shared" si="127"/>
        <v>5.3424226808222066</v>
      </c>
      <c r="CI261" s="41">
        <f t="shared" si="128"/>
        <v>220000</v>
      </c>
      <c r="CJ261" s="41">
        <f t="shared" si="129"/>
        <v>5.3424226808222066</v>
      </c>
      <c r="CL261" s="9" t="s">
        <v>1269</v>
      </c>
      <c r="CM261" s="18" t="s">
        <v>1283</v>
      </c>
      <c r="CN261" s="54" t="s">
        <v>1284</v>
      </c>
      <c r="CO261" s="18" t="s">
        <v>1284</v>
      </c>
    </row>
    <row r="262" spans="1:93" x14ac:dyDescent="0.25">
      <c r="A262" s="18" t="s">
        <v>266</v>
      </c>
      <c r="B262" s="41">
        <v>0.19607843137254899</v>
      </c>
      <c r="C262" s="41" t="s">
        <v>22</v>
      </c>
      <c r="D262" s="41" t="s">
        <v>22</v>
      </c>
      <c r="E262" s="41" t="s">
        <v>22</v>
      </c>
      <c r="F262" s="18" t="s">
        <v>22</v>
      </c>
      <c r="G262" s="18" t="s">
        <v>22</v>
      </c>
      <c r="H262" s="18">
        <v>55</v>
      </c>
      <c r="I262" s="18" t="s">
        <v>82</v>
      </c>
      <c r="J262" s="41" t="s">
        <v>22</v>
      </c>
      <c r="K262" s="18">
        <v>514.5</v>
      </c>
      <c r="M262" s="18" t="s">
        <v>45</v>
      </c>
      <c r="N262" s="41" t="s">
        <v>22</v>
      </c>
      <c r="O262" s="41" t="s">
        <v>22</v>
      </c>
      <c r="P262" s="41" t="s">
        <v>22</v>
      </c>
      <c r="R262" s="41" t="s">
        <v>22</v>
      </c>
      <c r="S262" s="41" t="s">
        <v>22</v>
      </c>
      <c r="T262" s="41" t="s">
        <v>22</v>
      </c>
      <c r="U262" s="41" t="s">
        <v>22</v>
      </c>
      <c r="V262" s="18">
        <v>20200509</v>
      </c>
      <c r="W262" s="21" t="s">
        <v>627</v>
      </c>
      <c r="X262" s="18">
        <v>2004</v>
      </c>
      <c r="Y262" s="18" t="s">
        <v>143</v>
      </c>
      <c r="Z262" s="18" t="s">
        <v>632</v>
      </c>
      <c r="AA262" s="18"/>
      <c r="AC262" s="18" t="s">
        <v>514</v>
      </c>
      <c r="AD262" s="41">
        <v>110</v>
      </c>
      <c r="AE262" s="41" t="s">
        <v>22</v>
      </c>
      <c r="AF262" s="41" t="s">
        <v>22</v>
      </c>
      <c r="AG262" s="41">
        <v>215.5</v>
      </c>
      <c r="AH262" s="41">
        <v>0.80187725631768902</v>
      </c>
      <c r="AI262" s="41">
        <v>0.77486475978894698</v>
      </c>
      <c r="AJ262" s="41">
        <v>0.71217883921132996</v>
      </c>
      <c r="AK262" s="41">
        <v>0.55185670647042495</v>
      </c>
      <c r="AL262" s="41">
        <v>0.512957511802277</v>
      </c>
      <c r="AM262" s="43">
        <f t="shared" si="132"/>
        <v>0.66199618103937685</v>
      </c>
      <c r="AN262" s="43">
        <f t="shared" si="133"/>
        <v>0.7202650283323897</v>
      </c>
      <c r="AO262" s="19" t="s">
        <v>631</v>
      </c>
      <c r="AP262" s="18"/>
      <c r="AQ262" s="18"/>
      <c r="AR262" s="18"/>
      <c r="AS262" s="18"/>
      <c r="AT262" s="2">
        <f t="shared" si="134"/>
        <v>6</v>
      </c>
      <c r="AU262" s="45">
        <f t="shared" si="135"/>
        <v>-0.70757017609793649</v>
      </c>
      <c r="AV262" s="45" t="e">
        <f t="shared" si="136"/>
        <v>#VALUE!</v>
      </c>
      <c r="AW262" s="45" t="e">
        <f t="shared" si="137"/>
        <v>#VALUE!</v>
      </c>
      <c r="AX262" s="45" t="e">
        <f t="shared" si="138"/>
        <v>#VALUE!</v>
      </c>
      <c r="AY262" s="45" t="e">
        <f t="shared" si="139"/>
        <v>#VALUE!</v>
      </c>
      <c r="AZ262" s="45" t="e">
        <f t="shared" si="140"/>
        <v>#VALUE!</v>
      </c>
      <c r="BA262" s="45" t="e">
        <f t="shared" si="141"/>
        <v>#VALUE!</v>
      </c>
      <c r="BB262" s="45" t="e">
        <f t="shared" si="142"/>
        <v>#NUM!</v>
      </c>
      <c r="BC262" s="45" t="e">
        <f t="shared" si="143"/>
        <v>#VALUE!</v>
      </c>
      <c r="BD262" s="45">
        <f t="shared" si="144"/>
        <v>2.0413926851582249</v>
      </c>
      <c r="BE262" s="45" t="e">
        <f t="shared" si="145"/>
        <v>#VALUE!</v>
      </c>
      <c r="BF262" s="45">
        <f t="shared" si="146"/>
        <v>-0.17914451593538949</v>
      </c>
      <c r="BG262" s="45">
        <f t="shared" si="147"/>
        <v>-0.14250767139709675</v>
      </c>
      <c r="BH262" s="45" t="e">
        <f t="shared" si="148"/>
        <v>#NUM!</v>
      </c>
      <c r="BI262" s="43" t="e">
        <f t="shared" si="149"/>
        <v>#VALUE!</v>
      </c>
      <c r="BJ262" s="18"/>
      <c r="BK262" s="18"/>
      <c r="BL262" s="20"/>
      <c r="BS262" s="18"/>
      <c r="BT262" s="18"/>
      <c r="CA262" s="41" t="s">
        <v>22</v>
      </c>
      <c r="CB262" s="18"/>
      <c r="CC262" t="s">
        <v>22</v>
      </c>
      <c r="CE262" s="41" t="s">
        <v>22</v>
      </c>
      <c r="CF262" s="41" t="s">
        <v>22</v>
      </c>
      <c r="CG262" s="41">
        <f t="shared" si="130"/>
        <v>110000</v>
      </c>
      <c r="CH262" s="41">
        <f t="shared" si="127"/>
        <v>5.0413926851582254</v>
      </c>
      <c r="CI262" s="41">
        <f t="shared" si="128"/>
        <v>110000</v>
      </c>
      <c r="CJ262" s="41">
        <f t="shared" si="129"/>
        <v>5.0413926851582254</v>
      </c>
      <c r="CL262" s="9" t="s">
        <v>1269</v>
      </c>
      <c r="CM262" s="18" t="s">
        <v>1283</v>
      </c>
      <c r="CN262" s="54" t="s">
        <v>1284</v>
      </c>
      <c r="CO262" s="18" t="s">
        <v>1284</v>
      </c>
    </row>
    <row r="263" spans="1:93" x14ac:dyDescent="0.25">
      <c r="A263" s="18" t="s">
        <v>266</v>
      </c>
      <c r="B263" s="41">
        <v>1.8148820326678763E-2</v>
      </c>
      <c r="C263" s="41" t="s">
        <v>22</v>
      </c>
      <c r="D263" s="41" t="s">
        <v>22</v>
      </c>
      <c r="E263" s="41" t="s">
        <v>22</v>
      </c>
      <c r="F263" s="18" t="s">
        <v>22</v>
      </c>
      <c r="G263" s="18" t="s">
        <v>22</v>
      </c>
      <c r="H263" s="18">
        <v>54</v>
      </c>
      <c r="I263" s="18" t="s">
        <v>82</v>
      </c>
      <c r="J263" s="41" t="s">
        <v>22</v>
      </c>
      <c r="K263" s="18">
        <v>514.5</v>
      </c>
      <c r="M263" s="18" t="s">
        <v>23</v>
      </c>
      <c r="N263" s="41" t="s">
        <v>22</v>
      </c>
      <c r="O263" s="41" t="s">
        <v>22</v>
      </c>
      <c r="P263" s="41" t="s">
        <v>22</v>
      </c>
      <c r="R263" s="41" t="s">
        <v>22</v>
      </c>
      <c r="S263" s="41" t="s">
        <v>22</v>
      </c>
      <c r="T263" s="41" t="s">
        <v>22</v>
      </c>
      <c r="U263" s="41" t="s">
        <v>22</v>
      </c>
      <c r="V263" s="18">
        <v>20200509</v>
      </c>
      <c r="W263" s="21" t="s">
        <v>628</v>
      </c>
      <c r="X263" s="18">
        <v>2004</v>
      </c>
      <c r="Y263" s="18" t="s">
        <v>143</v>
      </c>
      <c r="Z263" s="18" t="s">
        <v>34</v>
      </c>
      <c r="AA263" s="18"/>
      <c r="AC263" s="18" t="s">
        <v>514</v>
      </c>
      <c r="AD263" s="41">
        <v>110</v>
      </c>
      <c r="AE263" s="41" t="s">
        <v>22</v>
      </c>
      <c r="AF263" s="41">
        <v>19</v>
      </c>
      <c r="AG263" s="41" t="s">
        <v>22</v>
      </c>
      <c r="AH263" s="41">
        <v>333.59799176543498</v>
      </c>
      <c r="AI263" s="41">
        <v>174.27174879208999</v>
      </c>
      <c r="AJ263" s="41">
        <v>53.777984364084197</v>
      </c>
      <c r="AK263" s="41">
        <v>9.78563030164824</v>
      </c>
      <c r="AL263" s="41">
        <v>5.3935401500897999</v>
      </c>
      <c r="AM263" s="43">
        <f t="shared" si="132"/>
        <v>3.0949021786224291E-2</v>
      </c>
      <c r="AN263" s="43">
        <f t="shared" si="133"/>
        <v>0.10029271669192372</v>
      </c>
      <c r="AO263" s="19" t="s">
        <v>631</v>
      </c>
      <c r="AP263" s="18"/>
      <c r="AQ263" s="18"/>
      <c r="AR263" s="18"/>
      <c r="AS263" s="18"/>
      <c r="AT263" s="2">
        <f t="shared" si="134"/>
        <v>6</v>
      </c>
      <c r="AU263" s="45">
        <f t="shared" si="135"/>
        <v>-1.7411515988517852</v>
      </c>
      <c r="AV263" s="45" t="e">
        <f t="shared" si="136"/>
        <v>#VALUE!</v>
      </c>
      <c r="AW263" s="45" t="e">
        <f t="shared" si="137"/>
        <v>#VALUE!</v>
      </c>
      <c r="AX263" s="45" t="e">
        <f t="shared" si="138"/>
        <v>#VALUE!</v>
      </c>
      <c r="AY263" s="45" t="e">
        <f t="shared" si="139"/>
        <v>#VALUE!</v>
      </c>
      <c r="AZ263" s="45" t="e">
        <f t="shared" si="140"/>
        <v>#VALUE!</v>
      </c>
      <c r="BA263" s="45" t="e">
        <f t="shared" si="141"/>
        <v>#VALUE!</v>
      </c>
      <c r="BB263" s="45" t="e">
        <f t="shared" si="142"/>
        <v>#NUM!</v>
      </c>
      <c r="BC263" s="45" t="e">
        <f t="shared" si="143"/>
        <v>#VALUE!</v>
      </c>
      <c r="BD263" s="45">
        <f t="shared" si="144"/>
        <v>2.0413926851582249</v>
      </c>
      <c r="BE263" s="45">
        <f t="shared" si="145"/>
        <v>1.2787536009528289</v>
      </c>
      <c r="BF263" s="45">
        <f t="shared" si="146"/>
        <v>-1.5093530732855027</v>
      </c>
      <c r="BG263" s="45">
        <f t="shared" si="147"/>
        <v>-0.99873060452053641</v>
      </c>
      <c r="BH263" s="45" t="e">
        <f t="shared" si="148"/>
        <v>#NUM!</v>
      </c>
      <c r="BI263" s="43">
        <f t="shared" si="149"/>
        <v>1.2787536009528289</v>
      </c>
      <c r="BJ263" s="18"/>
      <c r="BK263" s="18"/>
      <c r="BL263" s="20"/>
      <c r="BS263" s="18"/>
      <c r="BT263" s="18"/>
      <c r="CA263" s="41" t="s">
        <v>22</v>
      </c>
      <c r="CB263" s="18"/>
      <c r="CC263" s="18" t="s">
        <v>22</v>
      </c>
      <c r="CD263" s="18"/>
      <c r="CE263" s="41" t="s">
        <v>22</v>
      </c>
      <c r="CF263" s="41" t="s">
        <v>22</v>
      </c>
      <c r="CG263" s="41">
        <f t="shared" si="130"/>
        <v>110000</v>
      </c>
      <c r="CH263" s="41">
        <f t="shared" ref="CH263:CH280" si="150">LOG10(CG263)</f>
        <v>5.0413926851582254</v>
      </c>
      <c r="CI263" s="41">
        <f t="shared" ref="CI263:CI280" si="151">IF(ISNUMBER(CG263),CG263,U263)</f>
        <v>110000</v>
      </c>
      <c r="CJ263" s="41">
        <f t="shared" ref="CJ263:CJ280" si="152">LOG10(CI263)</f>
        <v>5.0413926851582254</v>
      </c>
      <c r="CK263" s="18"/>
      <c r="CL263" s="9" t="s">
        <v>1269</v>
      </c>
      <c r="CM263" s="18" t="s">
        <v>1283</v>
      </c>
      <c r="CN263" s="54" t="s">
        <v>1284</v>
      </c>
      <c r="CO263" s="18" t="s">
        <v>1284</v>
      </c>
    </row>
    <row r="264" spans="1:93" x14ac:dyDescent="0.25">
      <c r="A264" s="18" t="s">
        <v>266</v>
      </c>
      <c r="B264" s="41">
        <v>0.39999999999999991</v>
      </c>
      <c r="C264" s="41" t="s">
        <v>22</v>
      </c>
      <c r="D264" s="41" t="s">
        <v>22</v>
      </c>
      <c r="E264" s="41" t="s">
        <v>22</v>
      </c>
      <c r="F264" s="18" t="s">
        <v>22</v>
      </c>
      <c r="G264" s="18" t="s">
        <v>22</v>
      </c>
      <c r="H264" s="18">
        <v>45</v>
      </c>
      <c r="I264" s="18" t="s">
        <v>82</v>
      </c>
      <c r="J264" s="41" t="s">
        <v>22</v>
      </c>
      <c r="K264" s="18">
        <v>514.5</v>
      </c>
      <c r="M264" s="18" t="s">
        <v>45</v>
      </c>
      <c r="N264" s="41" t="s">
        <v>22</v>
      </c>
      <c r="O264" s="41" t="s">
        <v>22</v>
      </c>
      <c r="P264" s="41" t="s">
        <v>22</v>
      </c>
      <c r="R264" s="41" t="s">
        <v>22</v>
      </c>
      <c r="S264" s="41" t="s">
        <v>22</v>
      </c>
      <c r="T264" s="41" t="s">
        <v>22</v>
      </c>
      <c r="U264" s="41" t="s">
        <v>22</v>
      </c>
      <c r="V264" s="18">
        <v>20200509</v>
      </c>
      <c r="W264" s="21" t="s">
        <v>625</v>
      </c>
      <c r="X264" s="18">
        <v>2004</v>
      </c>
      <c r="Y264" s="18" t="s">
        <v>143</v>
      </c>
      <c r="Z264" s="18" t="s">
        <v>632</v>
      </c>
      <c r="AA264" s="18"/>
      <c r="AC264" s="18" t="s">
        <v>514</v>
      </c>
      <c r="AD264" s="41">
        <v>60</v>
      </c>
      <c r="AE264" s="41">
        <v>1594.6</v>
      </c>
      <c r="AF264" s="41" t="s">
        <v>22</v>
      </c>
      <c r="AG264" s="41">
        <v>200.95</v>
      </c>
      <c r="AH264" s="41">
        <v>0.39337406276034398</v>
      </c>
      <c r="AI264" s="41">
        <v>0.35524132185503998</v>
      </c>
      <c r="AJ264" s="41">
        <v>0.32354679255762198</v>
      </c>
      <c r="AK264" s="41">
        <v>0.24813773951679999</v>
      </c>
      <c r="AL264" s="41">
        <v>0.239610108303249</v>
      </c>
      <c r="AM264" s="43">
        <f t="shared" si="132"/>
        <v>0.67449954034633519</v>
      </c>
      <c r="AN264" s="43">
        <f t="shared" si="133"/>
        <v>0.74057327661678396</v>
      </c>
      <c r="AO264" s="19" t="s">
        <v>631</v>
      </c>
      <c r="AP264" s="18"/>
      <c r="AQ264" s="18"/>
      <c r="AR264" s="18"/>
      <c r="AS264" s="18"/>
      <c r="AT264" s="2">
        <f t="shared" si="134"/>
        <v>6</v>
      </c>
      <c r="AU264" s="45">
        <f t="shared" si="135"/>
        <v>-0.39794000867203771</v>
      </c>
      <c r="AV264" s="45" t="e">
        <f t="shared" si="136"/>
        <v>#VALUE!</v>
      </c>
      <c r="AW264" s="45" t="e">
        <f t="shared" si="137"/>
        <v>#VALUE!</v>
      </c>
      <c r="AX264" s="45" t="e">
        <f t="shared" si="138"/>
        <v>#VALUE!</v>
      </c>
      <c r="AY264" s="45" t="e">
        <f t="shared" si="139"/>
        <v>#VALUE!</v>
      </c>
      <c r="AZ264" s="45" t="e">
        <f t="shared" si="140"/>
        <v>#VALUE!</v>
      </c>
      <c r="BA264" s="45" t="e">
        <f t="shared" si="141"/>
        <v>#VALUE!</v>
      </c>
      <c r="BB264" s="45" t="e">
        <f t="shared" si="142"/>
        <v>#NUM!</v>
      </c>
      <c r="BC264" s="45" t="e">
        <f t="shared" si="143"/>
        <v>#VALUE!</v>
      </c>
      <c r="BD264" s="45">
        <f t="shared" si="144"/>
        <v>1.7781512503836436</v>
      </c>
      <c r="BE264" s="45" t="e">
        <f t="shared" si="145"/>
        <v>#VALUE!</v>
      </c>
      <c r="BF264" s="45">
        <f t="shared" si="146"/>
        <v>-0.1710183419522226</v>
      </c>
      <c r="BG264" s="45">
        <f t="shared" si="147"/>
        <v>-0.13043196340089214</v>
      </c>
      <c r="BH264" s="45" t="e">
        <f t="shared" si="148"/>
        <v>#NUM!</v>
      </c>
      <c r="BI264" s="43" t="e">
        <f t="shared" si="149"/>
        <v>#VALUE!</v>
      </c>
      <c r="BJ264" s="18"/>
      <c r="BK264" s="18"/>
      <c r="BL264" s="20"/>
      <c r="BS264" s="18"/>
      <c r="BT264" s="18"/>
      <c r="CA264" s="41" t="s">
        <v>22</v>
      </c>
      <c r="CB264" s="18"/>
      <c r="CC264" s="18" t="s">
        <v>22</v>
      </c>
      <c r="CD264" s="18"/>
      <c r="CE264" s="41" t="s">
        <v>22</v>
      </c>
      <c r="CF264" s="41" t="s">
        <v>22</v>
      </c>
      <c r="CG264" s="41">
        <f t="shared" si="130"/>
        <v>60000</v>
      </c>
      <c r="CH264" s="41">
        <f t="shared" si="150"/>
        <v>4.7781512503836439</v>
      </c>
      <c r="CI264" s="41">
        <f t="shared" si="151"/>
        <v>60000</v>
      </c>
      <c r="CJ264" s="41">
        <f t="shared" si="152"/>
        <v>4.7781512503836439</v>
      </c>
      <c r="CK264" s="18"/>
      <c r="CL264" s="9" t="s">
        <v>1269</v>
      </c>
      <c r="CM264" s="18" t="s">
        <v>1283</v>
      </c>
      <c r="CN264" s="54" t="s">
        <v>1284</v>
      </c>
      <c r="CO264" s="18" t="s">
        <v>1284</v>
      </c>
    </row>
    <row r="265" spans="1:93" x14ac:dyDescent="0.25">
      <c r="A265" s="18" t="s">
        <v>266</v>
      </c>
      <c r="B265" s="41">
        <v>3.8167938931297704E-2</v>
      </c>
      <c r="C265" s="41" t="s">
        <v>22</v>
      </c>
      <c r="D265" s="41" t="s">
        <v>22</v>
      </c>
      <c r="E265" s="41" t="s">
        <v>22</v>
      </c>
      <c r="F265" s="18" t="s">
        <v>22</v>
      </c>
      <c r="G265" s="18" t="s">
        <v>22</v>
      </c>
      <c r="H265" s="18">
        <v>43</v>
      </c>
      <c r="I265" s="18" t="s">
        <v>82</v>
      </c>
      <c r="J265" s="41" t="s">
        <v>22</v>
      </c>
      <c r="K265" s="18">
        <v>514.5</v>
      </c>
      <c r="M265" s="18" t="s">
        <v>23</v>
      </c>
      <c r="N265" s="41" t="s">
        <v>22</v>
      </c>
      <c r="O265" s="41" t="s">
        <v>22</v>
      </c>
      <c r="P265" s="41" t="s">
        <v>22</v>
      </c>
      <c r="R265" s="41" t="s">
        <v>22</v>
      </c>
      <c r="S265" s="41" t="s">
        <v>22</v>
      </c>
      <c r="T265" s="41" t="s">
        <v>22</v>
      </c>
      <c r="U265" s="41" t="s">
        <v>22</v>
      </c>
      <c r="V265" s="18">
        <v>20200509</v>
      </c>
      <c r="W265" s="21" t="s">
        <v>626</v>
      </c>
      <c r="X265" s="18">
        <v>2004</v>
      </c>
      <c r="Y265" s="18" t="s">
        <v>143</v>
      </c>
      <c r="Z265" s="18" t="s">
        <v>34</v>
      </c>
      <c r="AA265" s="18"/>
      <c r="AC265" s="18" t="s">
        <v>514</v>
      </c>
      <c r="AD265" s="41">
        <v>60</v>
      </c>
      <c r="AE265" s="41">
        <v>1588.2</v>
      </c>
      <c r="AF265" s="41">
        <v>17</v>
      </c>
      <c r="AG265" s="41" t="s">
        <v>22</v>
      </c>
      <c r="AH265" s="41">
        <v>228.53145425778001</v>
      </c>
      <c r="AI265" s="41">
        <v>30.645997389152701</v>
      </c>
      <c r="AJ265" s="41">
        <v>11.6286590024802</v>
      </c>
      <c r="AK265" s="41">
        <v>2.8297713631528101</v>
      </c>
      <c r="AL265" s="41">
        <v>1.76374081713519</v>
      </c>
      <c r="AM265" s="43">
        <f t="shared" si="132"/>
        <v>5.7552077510764084E-2</v>
      </c>
      <c r="AN265" s="43">
        <f t="shared" si="133"/>
        <v>0.15167190101274905</v>
      </c>
      <c r="AO265" s="19" t="s">
        <v>631</v>
      </c>
      <c r="AP265" s="18"/>
      <c r="AQ265" s="18"/>
      <c r="AR265" s="18"/>
      <c r="AS265" s="18"/>
      <c r="AT265" s="2">
        <f t="shared" si="134"/>
        <v>6</v>
      </c>
      <c r="AU265" s="45">
        <f t="shared" si="135"/>
        <v>-1.4183012913197455</v>
      </c>
      <c r="AV265" s="45" t="e">
        <f t="shared" si="136"/>
        <v>#VALUE!</v>
      </c>
      <c r="AW265" s="45" t="e">
        <f t="shared" si="137"/>
        <v>#VALUE!</v>
      </c>
      <c r="AX265" s="45" t="e">
        <f t="shared" si="138"/>
        <v>#VALUE!</v>
      </c>
      <c r="AY265" s="45" t="e">
        <f t="shared" si="139"/>
        <v>#VALUE!</v>
      </c>
      <c r="AZ265" s="45" t="e">
        <f t="shared" si="140"/>
        <v>#VALUE!</v>
      </c>
      <c r="BA265" s="45" t="e">
        <f t="shared" si="141"/>
        <v>#VALUE!</v>
      </c>
      <c r="BB265" s="45" t="e">
        <f t="shared" si="142"/>
        <v>#NUM!</v>
      </c>
      <c r="BC265" s="45" t="e">
        <f t="shared" si="143"/>
        <v>#VALUE!</v>
      </c>
      <c r="BD265" s="45">
        <f t="shared" si="144"/>
        <v>1.7781512503836436</v>
      </c>
      <c r="BE265" s="45">
        <f t="shared" si="145"/>
        <v>1.2304489213782739</v>
      </c>
      <c r="BF265" s="45">
        <f t="shared" si="146"/>
        <v>-1.2399389946201835</v>
      </c>
      <c r="BG265" s="45">
        <f t="shared" si="147"/>
        <v>-0.81909486987534019</v>
      </c>
      <c r="BH265" s="45" t="e">
        <f t="shared" si="148"/>
        <v>#NUM!</v>
      </c>
      <c r="BI265" s="43">
        <f t="shared" si="149"/>
        <v>1.2304489213782739</v>
      </c>
      <c r="BJ265" s="18"/>
      <c r="BK265" s="18"/>
      <c r="BL265" s="20"/>
      <c r="BS265" s="18"/>
      <c r="BT265" s="18"/>
      <c r="CA265" s="41" t="s">
        <v>22</v>
      </c>
      <c r="CB265" s="18"/>
      <c r="CC265" s="18" t="s">
        <v>22</v>
      </c>
      <c r="CD265" s="18"/>
      <c r="CE265" s="41" t="s">
        <v>22</v>
      </c>
      <c r="CF265" s="41" t="s">
        <v>22</v>
      </c>
      <c r="CG265" s="41">
        <f t="shared" si="130"/>
        <v>60000</v>
      </c>
      <c r="CH265" s="41">
        <f t="shared" si="150"/>
        <v>4.7781512503836439</v>
      </c>
      <c r="CI265" s="41">
        <f t="shared" si="151"/>
        <v>60000</v>
      </c>
      <c r="CJ265" s="41">
        <f t="shared" si="152"/>
        <v>4.7781512503836439</v>
      </c>
      <c r="CK265" s="18"/>
      <c r="CL265" s="9" t="s">
        <v>1269</v>
      </c>
      <c r="CM265" s="18" t="s">
        <v>1283</v>
      </c>
      <c r="CN265" s="54" t="s">
        <v>1284</v>
      </c>
      <c r="CO265" s="18" t="s">
        <v>1284</v>
      </c>
    </row>
    <row r="266" spans="1:93" x14ac:dyDescent="0.25">
      <c r="A266" s="18" t="s">
        <v>315</v>
      </c>
      <c r="B266" s="41">
        <v>0.01</v>
      </c>
      <c r="C266" s="41" t="s">
        <v>22</v>
      </c>
      <c r="D266" s="41" t="s">
        <v>22</v>
      </c>
      <c r="E266" s="41" t="s">
        <v>22</v>
      </c>
      <c r="F266" s="18" t="s">
        <v>22</v>
      </c>
      <c r="G266" s="18" t="s">
        <v>22</v>
      </c>
      <c r="H266" s="18" t="s">
        <v>22</v>
      </c>
      <c r="I266" s="18" t="s">
        <v>22</v>
      </c>
      <c r="K266" s="18">
        <v>632</v>
      </c>
      <c r="M266" s="18" t="s">
        <v>23</v>
      </c>
      <c r="N266" s="41" t="s">
        <v>22</v>
      </c>
      <c r="O266" s="41" t="s">
        <v>22</v>
      </c>
      <c r="P266" s="41" t="s">
        <v>22</v>
      </c>
      <c r="R266" s="41" t="s">
        <v>22</v>
      </c>
      <c r="S266" s="41" t="s">
        <v>22</v>
      </c>
      <c r="T266" s="41">
        <v>1.36</v>
      </c>
      <c r="U266" s="41">
        <v>1.36</v>
      </c>
      <c r="V266" s="18">
        <v>20200509</v>
      </c>
      <c r="W266" s="21" t="s">
        <v>621</v>
      </c>
      <c r="X266" s="18">
        <v>2005</v>
      </c>
      <c r="Y266" s="18" t="s">
        <v>328</v>
      </c>
      <c r="Z266" s="18" t="s">
        <v>32</v>
      </c>
      <c r="AA266" s="18"/>
      <c r="AC266" s="18" t="s">
        <v>514</v>
      </c>
      <c r="AD266" s="41" t="s">
        <v>22</v>
      </c>
      <c r="AE266" s="41">
        <v>1587.3</v>
      </c>
      <c r="AF266" s="41" t="s">
        <v>22</v>
      </c>
      <c r="AG266" s="41">
        <v>248</v>
      </c>
      <c r="AH266" s="41">
        <v>57.284091064345098</v>
      </c>
      <c r="AI266" s="41">
        <v>32.388957931169202</v>
      </c>
      <c r="AJ266" s="41">
        <v>20.2412899130046</v>
      </c>
      <c r="AK266" s="41">
        <v>9.8702674907419699</v>
      </c>
      <c r="AL266" s="41">
        <v>8.2211739497335898</v>
      </c>
      <c r="AM266" s="43">
        <f t="shared" si="132"/>
        <v>0.25382644193754755</v>
      </c>
      <c r="AN266" s="43">
        <f t="shared" si="133"/>
        <v>0.40615859883769856</v>
      </c>
      <c r="AO266" s="19" t="s">
        <v>624</v>
      </c>
      <c r="AP266" s="18"/>
      <c r="AQ266" s="18"/>
      <c r="AR266" s="18"/>
      <c r="AS266" s="18"/>
      <c r="AT266" s="2">
        <f t="shared" si="134"/>
        <v>3</v>
      </c>
      <c r="AU266" s="45">
        <f t="shared" si="135"/>
        <v>-2</v>
      </c>
      <c r="AV266" s="45" t="e">
        <f t="shared" si="136"/>
        <v>#VALUE!</v>
      </c>
      <c r="AW266" s="45" t="e">
        <f t="shared" si="137"/>
        <v>#VALUE!</v>
      </c>
      <c r="AX266" s="45" t="e">
        <f t="shared" si="138"/>
        <v>#VALUE!</v>
      </c>
      <c r="AY266" s="45" t="e">
        <f t="shared" si="139"/>
        <v>#VALUE!</v>
      </c>
      <c r="AZ266" s="45" t="e">
        <f t="shared" si="140"/>
        <v>#VALUE!</v>
      </c>
      <c r="BA266" s="45" t="e">
        <f t="shared" si="141"/>
        <v>#NUM!</v>
      </c>
      <c r="BB266" s="45" t="e">
        <f t="shared" si="142"/>
        <v>#NUM!</v>
      </c>
      <c r="BC266" s="45">
        <f t="shared" si="143"/>
        <v>0.13353890837021754</v>
      </c>
      <c r="BD266" s="45" t="e">
        <f t="shared" si="144"/>
        <v>#VALUE!</v>
      </c>
      <c r="BE266" s="45" t="e">
        <f t="shared" si="145"/>
        <v>#VALUE!</v>
      </c>
      <c r="BF266" s="45">
        <f t="shared" si="146"/>
        <v>-0.59546313799621797</v>
      </c>
      <c r="BG266" s="45">
        <f t="shared" si="147"/>
        <v>-0.39130434782608631</v>
      </c>
      <c r="BH266" s="45" t="e">
        <f t="shared" si="148"/>
        <v>#NUM!</v>
      </c>
      <c r="BI266" s="43" t="e">
        <f t="shared" si="149"/>
        <v>#VALUE!</v>
      </c>
      <c r="BJ266" s="18"/>
      <c r="BK266" s="18"/>
      <c r="BL266" s="20"/>
      <c r="BS266" s="18"/>
      <c r="BT266" s="18"/>
      <c r="CA266" s="41" t="s">
        <v>22</v>
      </c>
      <c r="CB266" s="18"/>
      <c r="CC266" s="18" t="s">
        <v>22</v>
      </c>
      <c r="CD266" s="18"/>
      <c r="CE266" s="41" t="s">
        <v>22</v>
      </c>
      <c r="CF266" s="41" t="s">
        <v>22</v>
      </c>
      <c r="CG266" s="41" t="e">
        <f t="shared" si="130"/>
        <v>#VALUE!</v>
      </c>
      <c r="CH266" s="41" t="e">
        <f t="shared" si="150"/>
        <v>#VALUE!</v>
      </c>
      <c r="CI266" s="41">
        <f t="shared" si="151"/>
        <v>1.36</v>
      </c>
      <c r="CJ266" s="41">
        <f t="shared" si="152"/>
        <v>0.13353890837021754</v>
      </c>
      <c r="CK266" s="18"/>
      <c r="CL266" s="9" t="s">
        <v>1269</v>
      </c>
      <c r="CM266" s="18" t="s">
        <v>1285</v>
      </c>
      <c r="CN266" s="54" t="s">
        <v>1284</v>
      </c>
      <c r="CO266" s="18" t="s">
        <v>1284</v>
      </c>
    </row>
    <row r="267" spans="1:93" x14ac:dyDescent="0.25">
      <c r="A267" s="18" t="s">
        <v>315</v>
      </c>
      <c r="B267" s="41">
        <v>7.1400000000000005E-2</v>
      </c>
      <c r="C267" s="41" t="s">
        <v>22</v>
      </c>
      <c r="D267" s="41" t="s">
        <v>22</v>
      </c>
      <c r="E267" s="41" t="s">
        <v>22</v>
      </c>
      <c r="F267" s="18" t="s">
        <v>22</v>
      </c>
      <c r="G267" s="18" t="s">
        <v>22</v>
      </c>
      <c r="H267" s="18" t="s">
        <v>22</v>
      </c>
      <c r="I267" s="18" t="s">
        <v>22</v>
      </c>
      <c r="K267" s="18">
        <v>632</v>
      </c>
      <c r="M267" s="18" t="s">
        <v>45</v>
      </c>
      <c r="N267" s="41" t="s">
        <v>22</v>
      </c>
      <c r="O267" s="41" t="s">
        <v>22</v>
      </c>
      <c r="P267" s="41" t="s">
        <v>22</v>
      </c>
      <c r="R267" s="41" t="s">
        <v>22</v>
      </c>
      <c r="S267" s="41" t="s">
        <v>22</v>
      </c>
      <c r="T267" s="41">
        <v>1.36</v>
      </c>
      <c r="U267" s="41">
        <v>1.36</v>
      </c>
      <c r="V267" s="18">
        <v>20200509</v>
      </c>
      <c r="W267" s="21" t="s">
        <v>622</v>
      </c>
      <c r="X267" s="18">
        <v>2005</v>
      </c>
      <c r="Y267" s="18" t="s">
        <v>328</v>
      </c>
      <c r="Z267" s="18" t="s">
        <v>124</v>
      </c>
      <c r="AA267" s="18" t="s">
        <v>737</v>
      </c>
      <c r="AB267" s="41">
        <v>0.01</v>
      </c>
      <c r="AC267" s="18" t="s">
        <v>514</v>
      </c>
      <c r="AD267" s="41" t="s">
        <v>22</v>
      </c>
      <c r="AE267" s="41">
        <v>1591.5</v>
      </c>
      <c r="AF267" s="41" t="s">
        <v>22</v>
      </c>
      <c r="AG267" s="41">
        <v>128</v>
      </c>
      <c r="AH267" s="41">
        <v>1.92111726601671</v>
      </c>
      <c r="AI267" s="41">
        <v>1.79969324972811</v>
      </c>
      <c r="AJ267" s="41">
        <v>1.6713306662107601</v>
      </c>
      <c r="AK267" s="41">
        <v>1.39816251990089</v>
      </c>
      <c r="AM267" s="43">
        <f t="shared" si="132"/>
        <v>0</v>
      </c>
      <c r="AN267" s="43">
        <f t="shared" si="133"/>
        <v>0</v>
      </c>
      <c r="AO267" s="19" t="s">
        <v>624</v>
      </c>
      <c r="AP267" s="18"/>
      <c r="AQ267" s="18"/>
      <c r="AR267" s="18"/>
      <c r="AS267" s="18"/>
      <c r="AT267" s="2">
        <f t="shared" si="134"/>
        <v>3</v>
      </c>
      <c r="AU267" s="45">
        <f t="shared" si="135"/>
        <v>-1.1463017882238256</v>
      </c>
      <c r="AV267" s="45" t="e">
        <f t="shared" si="136"/>
        <v>#VALUE!</v>
      </c>
      <c r="AW267" s="45" t="e">
        <f t="shared" si="137"/>
        <v>#VALUE!</v>
      </c>
      <c r="AX267" s="45" t="e">
        <f t="shared" si="138"/>
        <v>#VALUE!</v>
      </c>
      <c r="AY267" s="45" t="e">
        <f t="shared" si="139"/>
        <v>#VALUE!</v>
      </c>
      <c r="AZ267" s="45" t="e">
        <f t="shared" si="140"/>
        <v>#VALUE!</v>
      </c>
      <c r="BA267" s="45" t="e">
        <f t="shared" si="141"/>
        <v>#NUM!</v>
      </c>
      <c r="BB267" s="45" t="e">
        <f t="shared" si="142"/>
        <v>#NUM!</v>
      </c>
      <c r="BC267" s="45">
        <f t="shared" si="143"/>
        <v>0.13353890837021754</v>
      </c>
      <c r="BD267" s="45" t="e">
        <f t="shared" si="144"/>
        <v>#VALUE!</v>
      </c>
      <c r="BE267" s="45" t="e">
        <f t="shared" si="145"/>
        <v>#VALUE!</v>
      </c>
      <c r="BF267" s="45" t="e">
        <f t="shared" si="146"/>
        <v>#NUM!</v>
      </c>
      <c r="BG267" s="45" t="e">
        <f t="shared" si="147"/>
        <v>#NUM!</v>
      </c>
      <c r="BH267" s="45">
        <f t="shared" si="148"/>
        <v>-2</v>
      </c>
      <c r="BI267" s="43" t="e">
        <f t="shared" si="149"/>
        <v>#VALUE!</v>
      </c>
      <c r="BJ267" s="18"/>
      <c r="BK267" s="18"/>
      <c r="BL267" s="20"/>
      <c r="BS267" s="18"/>
      <c r="BT267" s="18"/>
      <c r="CA267" s="41" t="s">
        <v>22</v>
      </c>
      <c r="CB267" s="18"/>
      <c r="CC267" s="18" t="s">
        <v>22</v>
      </c>
      <c r="CD267" s="18"/>
      <c r="CE267" s="41" t="s">
        <v>22</v>
      </c>
      <c r="CF267" s="41" t="s">
        <v>22</v>
      </c>
      <c r="CG267" s="41" t="e">
        <f t="shared" si="130"/>
        <v>#VALUE!</v>
      </c>
      <c r="CH267" s="41" t="e">
        <f t="shared" si="150"/>
        <v>#VALUE!</v>
      </c>
      <c r="CI267" s="41">
        <f t="shared" si="151"/>
        <v>1.36</v>
      </c>
      <c r="CJ267" s="41">
        <f t="shared" si="152"/>
        <v>0.13353890837021754</v>
      </c>
      <c r="CK267" s="18"/>
      <c r="CL267" s="9" t="s">
        <v>1269</v>
      </c>
      <c r="CM267" s="18" t="s">
        <v>1285</v>
      </c>
      <c r="CN267" s="54" t="s">
        <v>1284</v>
      </c>
      <c r="CO267" s="18" t="s">
        <v>1284</v>
      </c>
    </row>
    <row r="268" spans="1:93" x14ac:dyDescent="0.25">
      <c r="A268" s="18" t="s">
        <v>315</v>
      </c>
      <c r="B268" s="41">
        <v>9.8000000000000004E-2</v>
      </c>
      <c r="C268" s="41" t="s">
        <v>22</v>
      </c>
      <c r="D268" s="41" t="s">
        <v>22</v>
      </c>
      <c r="E268" s="41" t="s">
        <v>22</v>
      </c>
      <c r="F268" s="18" t="s">
        <v>22</v>
      </c>
      <c r="G268" s="18" t="s">
        <v>22</v>
      </c>
      <c r="H268" s="18" t="s">
        <v>22</v>
      </c>
      <c r="I268" s="18" t="s">
        <v>22</v>
      </c>
      <c r="K268" s="18">
        <v>632</v>
      </c>
      <c r="M268" s="18" t="s">
        <v>45</v>
      </c>
      <c r="N268" s="41" t="s">
        <v>22</v>
      </c>
      <c r="O268" s="41" t="s">
        <v>22</v>
      </c>
      <c r="P268" s="41" t="s">
        <v>22</v>
      </c>
      <c r="R268" s="41" t="s">
        <v>22</v>
      </c>
      <c r="S268" s="41" t="s">
        <v>22</v>
      </c>
      <c r="T268" s="41">
        <v>1.36</v>
      </c>
      <c r="U268" s="41">
        <v>1.36</v>
      </c>
      <c r="V268" s="18">
        <v>20200509</v>
      </c>
      <c r="W268" s="21" t="s">
        <v>623</v>
      </c>
      <c r="X268" s="18">
        <v>2005</v>
      </c>
      <c r="Y268" s="18" t="s">
        <v>328</v>
      </c>
      <c r="Z268" s="18" t="s">
        <v>124</v>
      </c>
      <c r="AA268" s="18" t="s">
        <v>268</v>
      </c>
      <c r="AB268" s="41">
        <v>0.01</v>
      </c>
      <c r="AC268" s="18" t="s">
        <v>514</v>
      </c>
      <c r="AD268" s="41" t="s">
        <v>22</v>
      </c>
      <c r="AE268" s="41">
        <v>1603.5</v>
      </c>
      <c r="AF268" s="41" t="s">
        <v>22</v>
      </c>
      <c r="AG268" s="41">
        <v>100</v>
      </c>
      <c r="AH268" s="41">
        <v>1.0175633037273399</v>
      </c>
      <c r="AI268" s="41">
        <v>1.0043621996551999</v>
      </c>
      <c r="AJ268" s="41">
        <v>0.98702674907419496</v>
      </c>
      <c r="AK268" s="41">
        <v>0.91662736099456898</v>
      </c>
      <c r="AL268" s="41">
        <v>1.0175633037273399</v>
      </c>
      <c r="AM268" s="43">
        <f t="shared" si="132"/>
        <v>1.0131437683304609</v>
      </c>
      <c r="AN268" s="43">
        <f t="shared" si="133"/>
        <v>1.0309379200531166</v>
      </c>
      <c r="AO268" s="19" t="s">
        <v>624</v>
      </c>
      <c r="AP268" s="18"/>
      <c r="AQ268" s="18"/>
      <c r="AR268" s="18"/>
      <c r="AS268" s="18"/>
      <c r="AT268" s="2">
        <f t="shared" si="134"/>
        <v>3</v>
      </c>
      <c r="AU268" s="45">
        <f t="shared" si="135"/>
        <v>-1.0087739243075051</v>
      </c>
      <c r="AV268" s="45" t="e">
        <f t="shared" si="136"/>
        <v>#VALUE!</v>
      </c>
      <c r="AW268" s="45" t="e">
        <f t="shared" si="137"/>
        <v>#VALUE!</v>
      </c>
      <c r="AX268" s="45" t="e">
        <f t="shared" si="138"/>
        <v>#VALUE!</v>
      </c>
      <c r="AY268" s="45" t="e">
        <f t="shared" si="139"/>
        <v>#VALUE!</v>
      </c>
      <c r="AZ268" s="45" t="e">
        <f t="shared" si="140"/>
        <v>#VALUE!</v>
      </c>
      <c r="BA268" s="45" t="e">
        <f t="shared" si="141"/>
        <v>#NUM!</v>
      </c>
      <c r="BB268" s="45" t="e">
        <f t="shared" si="142"/>
        <v>#NUM!</v>
      </c>
      <c r="BC268" s="45">
        <f t="shared" si="143"/>
        <v>0.13353890837021754</v>
      </c>
      <c r="BD268" s="45" t="e">
        <f t="shared" si="144"/>
        <v>#VALUE!</v>
      </c>
      <c r="BE268" s="45" t="e">
        <f t="shared" si="145"/>
        <v>#VALUE!</v>
      </c>
      <c r="BF268" s="45">
        <f t="shared" si="146"/>
        <v>5.6710775047238253E-3</v>
      </c>
      <c r="BG268" s="45">
        <f t="shared" si="147"/>
        <v>1.3232514177691041E-2</v>
      </c>
      <c r="BH268" s="45">
        <f t="shared" si="148"/>
        <v>-2</v>
      </c>
      <c r="BI268" s="43" t="e">
        <f t="shared" si="149"/>
        <v>#VALUE!</v>
      </c>
      <c r="BJ268" s="18"/>
      <c r="BK268" s="18"/>
      <c r="BL268" s="20"/>
      <c r="BS268" s="18"/>
      <c r="BT268" s="18"/>
      <c r="CA268" s="41" t="s">
        <v>22</v>
      </c>
      <c r="CB268" s="18"/>
      <c r="CC268" s="18" t="s">
        <v>22</v>
      </c>
      <c r="CD268" s="18"/>
      <c r="CE268" s="41" t="s">
        <v>22</v>
      </c>
      <c r="CF268" s="41" t="s">
        <v>22</v>
      </c>
      <c r="CG268" s="41" t="e">
        <f t="shared" si="130"/>
        <v>#VALUE!</v>
      </c>
      <c r="CH268" s="41" t="e">
        <f t="shared" si="150"/>
        <v>#VALUE!</v>
      </c>
      <c r="CI268" s="41">
        <f t="shared" si="151"/>
        <v>1.36</v>
      </c>
      <c r="CJ268" s="41">
        <f t="shared" si="152"/>
        <v>0.13353890837021754</v>
      </c>
      <c r="CK268" s="18"/>
      <c r="CL268" s="9" t="s">
        <v>1269</v>
      </c>
      <c r="CM268" s="18" t="s">
        <v>1285</v>
      </c>
      <c r="CN268" s="54" t="s">
        <v>1284</v>
      </c>
      <c r="CO268" s="18" t="s">
        <v>1284</v>
      </c>
    </row>
    <row r="269" spans="1:93" x14ac:dyDescent="0.25">
      <c r="A269" s="18" t="s">
        <v>315</v>
      </c>
      <c r="B269" s="41">
        <v>0.3</v>
      </c>
      <c r="C269" s="41" t="s">
        <v>22</v>
      </c>
      <c r="D269" s="41" t="s">
        <v>22</v>
      </c>
      <c r="E269" s="41" t="s">
        <v>22</v>
      </c>
      <c r="F269" s="18" t="s">
        <v>22</v>
      </c>
      <c r="G269" s="18" t="s">
        <v>22</v>
      </c>
      <c r="H269" s="18" t="s">
        <v>22</v>
      </c>
      <c r="I269" s="18" t="s">
        <v>22</v>
      </c>
      <c r="J269" s="41" t="s">
        <v>22</v>
      </c>
      <c r="K269" s="18">
        <v>632</v>
      </c>
      <c r="L269" s="41" t="e">
        <f>IF((10^-12)*J269*K269^4=0,"",(10^-12)*J269*K269^4)</f>
        <v>#VALUE!</v>
      </c>
      <c r="M269" s="18" t="s">
        <v>45</v>
      </c>
      <c r="N269" s="41" t="s">
        <v>22</v>
      </c>
      <c r="O269" s="41" t="s">
        <v>22</v>
      </c>
      <c r="P269" s="41" t="s">
        <v>22</v>
      </c>
      <c r="R269" s="41" t="s">
        <v>22</v>
      </c>
      <c r="S269" s="41" t="s">
        <v>22</v>
      </c>
      <c r="T269" s="41" t="s">
        <v>22</v>
      </c>
      <c r="U269" s="41" t="s">
        <v>22</v>
      </c>
      <c r="V269" s="18">
        <v>20200511</v>
      </c>
      <c r="W269" s="21" t="s">
        <v>309</v>
      </c>
      <c r="X269" s="18">
        <v>2005</v>
      </c>
      <c r="Y269" s="18" t="s">
        <v>328</v>
      </c>
      <c r="Z269" s="18" t="s">
        <v>124</v>
      </c>
      <c r="AA269" s="18" t="s">
        <v>743</v>
      </c>
      <c r="AB269" s="41">
        <v>5.5E-2</v>
      </c>
      <c r="AC269" s="18" t="s">
        <v>269</v>
      </c>
      <c r="AD269" s="41" t="s">
        <v>22</v>
      </c>
      <c r="AE269" s="41">
        <v>1607.2</v>
      </c>
      <c r="AF269" s="41" t="s">
        <v>22</v>
      </c>
      <c r="AG269" s="41">
        <v>228</v>
      </c>
      <c r="AH269" s="41">
        <v>1.6666666666666694</v>
      </c>
      <c r="AI269" s="41">
        <v>1.6666666666666694</v>
      </c>
      <c r="AJ269" s="41">
        <v>1.4740740740740739</v>
      </c>
      <c r="AK269" s="41">
        <v>1.0607675906183369</v>
      </c>
      <c r="AL269" s="41">
        <v>1</v>
      </c>
      <c r="AM269" s="43">
        <f t="shared" si="132"/>
        <v>0.59999999999999898</v>
      </c>
      <c r="AN269" s="43">
        <f t="shared" si="133"/>
        <v>0.67839195979899503</v>
      </c>
      <c r="AO269" s="19" t="s">
        <v>310</v>
      </c>
      <c r="AP269" s="18"/>
      <c r="AQ269" s="18"/>
      <c r="AR269" s="18"/>
      <c r="AS269" s="18"/>
      <c r="AT269" s="2">
        <f t="shared" si="134"/>
        <v>5</v>
      </c>
      <c r="AU269" s="45">
        <f t="shared" si="135"/>
        <v>-0.52287874528033762</v>
      </c>
      <c r="AV269" s="45" t="e">
        <f t="shared" si="136"/>
        <v>#VALUE!</v>
      </c>
      <c r="AW269" s="45" t="e">
        <f t="shared" si="137"/>
        <v>#VALUE!</v>
      </c>
      <c r="AX269" s="45" t="e">
        <f t="shared" si="138"/>
        <v>#VALUE!</v>
      </c>
      <c r="AY269" s="45" t="e">
        <f t="shared" si="139"/>
        <v>#VALUE!</v>
      </c>
      <c r="AZ269" s="45" t="e">
        <f t="shared" si="140"/>
        <v>#VALUE!</v>
      </c>
      <c r="BA269" s="45" t="e">
        <f t="shared" si="141"/>
        <v>#VALUE!</v>
      </c>
      <c r="BB269" s="45" t="e">
        <f t="shared" si="142"/>
        <v>#VALUE!</v>
      </c>
      <c r="BC269" s="45" t="e">
        <f t="shared" si="143"/>
        <v>#VALUE!</v>
      </c>
      <c r="BD269" s="45" t="e">
        <f t="shared" si="144"/>
        <v>#VALUE!</v>
      </c>
      <c r="BE269" s="45" t="e">
        <f t="shared" si="145"/>
        <v>#VALUE!</v>
      </c>
      <c r="BF269" s="45">
        <f t="shared" si="146"/>
        <v>-0.22184874961635712</v>
      </c>
      <c r="BG269" s="45">
        <f t="shared" si="147"/>
        <v>-0.16851930791470049</v>
      </c>
      <c r="BH269" s="45">
        <f t="shared" si="148"/>
        <v>-1.2596373105057561</v>
      </c>
      <c r="BI269" s="43" t="e">
        <f t="shared" si="149"/>
        <v>#VALUE!</v>
      </c>
      <c r="BJ269" s="18"/>
      <c r="BK269" s="18"/>
      <c r="BL269" s="20"/>
      <c r="BS269" s="18"/>
      <c r="BT269" s="18"/>
      <c r="CA269" s="41" t="s">
        <v>22</v>
      </c>
      <c r="CB269" s="18"/>
      <c r="CC269" s="18" t="s">
        <v>22</v>
      </c>
      <c r="CD269" s="18"/>
      <c r="CE269" s="41" t="s">
        <v>22</v>
      </c>
      <c r="CF269" s="41" t="s">
        <v>22</v>
      </c>
      <c r="CG269" s="41" t="e">
        <f t="shared" si="130"/>
        <v>#VALUE!</v>
      </c>
      <c r="CH269" s="41" t="e">
        <f t="shared" si="150"/>
        <v>#VALUE!</v>
      </c>
      <c r="CI269" s="41" t="str">
        <f t="shared" si="151"/>
        <v>Not Reported/ Can not calculate</v>
      </c>
      <c r="CJ269" s="41" t="e">
        <f t="shared" si="152"/>
        <v>#VALUE!</v>
      </c>
      <c r="CK269" s="18"/>
      <c r="CL269" s="9" t="s">
        <v>1269</v>
      </c>
      <c r="CM269" s="18" t="s">
        <v>1284</v>
      </c>
      <c r="CN269" s="54" t="s">
        <v>1284</v>
      </c>
      <c r="CO269" s="18" t="s">
        <v>1284</v>
      </c>
    </row>
    <row r="270" spans="1:93" x14ac:dyDescent="0.25">
      <c r="A270" t="s">
        <v>315</v>
      </c>
      <c r="B270" s="41">
        <v>5.5E-2</v>
      </c>
      <c r="C270" s="41" t="s">
        <v>22</v>
      </c>
      <c r="D270" s="41" t="s">
        <v>22</v>
      </c>
      <c r="E270" s="41" t="s">
        <v>22</v>
      </c>
      <c r="F270" t="s">
        <v>22</v>
      </c>
      <c r="G270" t="s">
        <v>22</v>
      </c>
      <c r="H270" t="s">
        <v>22</v>
      </c>
      <c r="I270" t="s">
        <v>22</v>
      </c>
      <c r="J270" s="41" t="s">
        <v>22</v>
      </c>
      <c r="K270">
        <v>632</v>
      </c>
      <c r="L270" s="41" t="e">
        <f>IF((10^-12)*J270*K270^4=0,"",(10^-12)*J270*K270^4)</f>
        <v>#VALUE!</v>
      </c>
      <c r="M270" t="s">
        <v>23</v>
      </c>
      <c r="N270" s="41" t="s">
        <v>22</v>
      </c>
      <c r="O270" s="41" t="s">
        <v>22</v>
      </c>
      <c r="P270" s="41" t="s">
        <v>22</v>
      </c>
      <c r="R270" s="41" t="s">
        <v>22</v>
      </c>
      <c r="S270" s="41" t="s">
        <v>22</v>
      </c>
      <c r="T270" s="41" t="s">
        <v>22</v>
      </c>
      <c r="U270" s="41" t="s">
        <v>22</v>
      </c>
      <c r="V270">
        <v>20200511</v>
      </c>
      <c r="W270" s="16" t="s">
        <v>32</v>
      </c>
      <c r="X270">
        <v>2005</v>
      </c>
      <c r="Y270" t="s">
        <v>328</v>
      </c>
      <c r="Z270" t="s">
        <v>32</v>
      </c>
      <c r="AA270" s="18"/>
      <c r="AC270" t="s">
        <v>269</v>
      </c>
      <c r="AD270" s="41" t="s">
        <v>22</v>
      </c>
      <c r="AE270" s="41">
        <v>1588.0090211739</v>
      </c>
      <c r="AF270" s="41" t="s">
        <v>22</v>
      </c>
      <c r="AG270" s="41">
        <v>228</v>
      </c>
      <c r="AH270" s="41">
        <v>2.1011946591707686</v>
      </c>
      <c r="AI270" s="41">
        <v>2.1011946591707686</v>
      </c>
      <c r="AJ270" s="41">
        <v>1.7787031528851898</v>
      </c>
      <c r="AK270" s="41">
        <v>1.1106983655274891</v>
      </c>
      <c r="AL270" s="41">
        <v>0.99833055091820266</v>
      </c>
      <c r="AM270" s="43">
        <f t="shared" si="132"/>
        <v>0.47512520868113733</v>
      </c>
      <c r="AN270" s="43">
        <f t="shared" si="133"/>
        <v>0.56126878130217273</v>
      </c>
      <c r="AO270" s="3" t="s">
        <v>310</v>
      </c>
      <c r="AT270" s="2">
        <f t="shared" si="134"/>
        <v>5</v>
      </c>
      <c r="AU270" s="45">
        <f t="shared" si="135"/>
        <v>-1.2596373105057561</v>
      </c>
      <c r="AV270" s="45" t="e">
        <f t="shared" si="136"/>
        <v>#VALUE!</v>
      </c>
      <c r="AW270" s="45" t="e">
        <f t="shared" si="137"/>
        <v>#VALUE!</v>
      </c>
      <c r="AX270" s="45" t="e">
        <f t="shared" si="138"/>
        <v>#VALUE!</v>
      </c>
      <c r="AY270" s="45" t="e">
        <f t="shared" si="139"/>
        <v>#VALUE!</v>
      </c>
      <c r="AZ270" s="45" t="e">
        <f t="shared" si="140"/>
        <v>#VALUE!</v>
      </c>
      <c r="BA270" s="45" t="e">
        <f t="shared" si="141"/>
        <v>#VALUE!</v>
      </c>
      <c r="BB270" s="45" t="e">
        <f t="shared" si="142"/>
        <v>#VALUE!</v>
      </c>
      <c r="BC270" s="45" t="e">
        <f t="shared" si="143"/>
        <v>#VALUE!</v>
      </c>
      <c r="BD270" s="45" t="e">
        <f t="shared" si="144"/>
        <v>#VALUE!</v>
      </c>
      <c r="BE270" s="45" t="e">
        <f t="shared" si="145"/>
        <v>#VALUE!</v>
      </c>
      <c r="BF270" s="45">
        <f t="shared" si="146"/>
        <v>-0.3231919266410439</v>
      </c>
      <c r="BG270" s="45">
        <f t="shared" si="147"/>
        <v>-0.25082911328585733</v>
      </c>
      <c r="BH270" s="45" t="e">
        <f t="shared" si="148"/>
        <v>#NUM!</v>
      </c>
      <c r="BI270" s="43" t="e">
        <f t="shared" si="149"/>
        <v>#VALUE!</v>
      </c>
      <c r="CA270" s="41" t="s">
        <v>22</v>
      </c>
      <c r="CC270" t="s">
        <v>22</v>
      </c>
      <c r="CE270" s="41" t="s">
        <v>22</v>
      </c>
      <c r="CF270" s="41" t="s">
        <v>22</v>
      </c>
      <c r="CG270" s="41" t="e">
        <f t="shared" si="130"/>
        <v>#VALUE!</v>
      </c>
      <c r="CH270" s="41" t="e">
        <f t="shared" si="150"/>
        <v>#VALUE!</v>
      </c>
      <c r="CI270" s="41" t="str">
        <f t="shared" si="151"/>
        <v>Not Reported/ Can not calculate</v>
      </c>
      <c r="CJ270" s="41" t="e">
        <f t="shared" si="152"/>
        <v>#VALUE!</v>
      </c>
      <c r="CL270" s="9" t="s">
        <v>1269</v>
      </c>
      <c r="CM270" s="18" t="s">
        <v>1284</v>
      </c>
      <c r="CN270" s="54" t="s">
        <v>1284</v>
      </c>
      <c r="CO270" s="18" t="s">
        <v>1284</v>
      </c>
    </row>
    <row r="271" spans="1:93" x14ac:dyDescent="0.25">
      <c r="A271" t="s">
        <v>315</v>
      </c>
      <c r="B271" s="41">
        <v>0.09</v>
      </c>
      <c r="C271" s="41" t="s">
        <v>22</v>
      </c>
      <c r="D271" s="41" t="s">
        <v>22</v>
      </c>
      <c r="E271" s="41" t="s">
        <v>22</v>
      </c>
      <c r="F271" t="s">
        <v>22</v>
      </c>
      <c r="G271" t="s">
        <v>22</v>
      </c>
      <c r="H271" t="s">
        <v>22</v>
      </c>
      <c r="I271" t="s">
        <v>22</v>
      </c>
      <c r="J271" s="41" t="s">
        <v>22</v>
      </c>
      <c r="K271">
        <v>632</v>
      </c>
      <c r="M271" t="s">
        <v>45</v>
      </c>
      <c r="N271" s="41" t="s">
        <v>22</v>
      </c>
      <c r="O271" s="41" t="s">
        <v>22</v>
      </c>
      <c r="P271" s="41" t="s">
        <v>22</v>
      </c>
      <c r="R271" s="41" t="s">
        <v>22</v>
      </c>
      <c r="S271" s="41" t="s">
        <v>22</v>
      </c>
      <c r="T271" s="41" t="s">
        <v>22</v>
      </c>
      <c r="U271" s="41" t="s">
        <v>22</v>
      </c>
      <c r="V271">
        <v>20200511</v>
      </c>
      <c r="W271" s="16" t="s">
        <v>671</v>
      </c>
      <c r="X271" s="18">
        <v>2005</v>
      </c>
      <c r="Y271" t="s">
        <v>328</v>
      </c>
      <c r="Z271" t="s">
        <v>124</v>
      </c>
      <c r="AA271" t="s">
        <v>268</v>
      </c>
      <c r="AB271" s="41">
        <v>5.5E-2</v>
      </c>
      <c r="AC271" t="s">
        <v>269</v>
      </c>
      <c r="AD271" s="41" t="s">
        <v>22</v>
      </c>
      <c r="AE271" s="41">
        <v>1590.22667854167</v>
      </c>
      <c r="AF271" s="41" t="s">
        <v>22</v>
      </c>
      <c r="AG271" s="41" t="s">
        <v>22</v>
      </c>
      <c r="AH271" s="41" t="s">
        <v>22</v>
      </c>
      <c r="AI271" s="41" t="s">
        <v>22</v>
      </c>
      <c r="AJ271" s="41" t="s">
        <v>22</v>
      </c>
      <c r="AK271" s="41" t="s">
        <v>22</v>
      </c>
      <c r="AL271" s="41" t="s">
        <v>22</v>
      </c>
      <c r="AM271" s="43" t="e">
        <f t="shared" si="132"/>
        <v>#VALUE!</v>
      </c>
      <c r="AN271" s="43" t="e">
        <f t="shared" si="133"/>
        <v>#VALUE!</v>
      </c>
      <c r="AO271" s="3" t="s">
        <v>310</v>
      </c>
      <c r="AT271" s="2">
        <f t="shared" si="134"/>
        <v>5</v>
      </c>
      <c r="AU271" s="45">
        <f t="shared" si="135"/>
        <v>-1.0457574905606752</v>
      </c>
      <c r="AV271" s="45" t="e">
        <f t="shared" si="136"/>
        <v>#VALUE!</v>
      </c>
      <c r="AW271" s="45" t="e">
        <f t="shared" si="137"/>
        <v>#VALUE!</v>
      </c>
      <c r="AX271" s="45" t="e">
        <f t="shared" si="138"/>
        <v>#VALUE!</v>
      </c>
      <c r="AY271" s="45" t="e">
        <f t="shared" si="139"/>
        <v>#VALUE!</v>
      </c>
      <c r="AZ271" s="45" t="e">
        <f t="shared" si="140"/>
        <v>#VALUE!</v>
      </c>
      <c r="BA271" s="45" t="e">
        <f t="shared" si="141"/>
        <v>#VALUE!</v>
      </c>
      <c r="BB271" s="45" t="e">
        <f t="shared" si="142"/>
        <v>#NUM!</v>
      </c>
      <c r="BC271" s="45" t="e">
        <f t="shared" si="143"/>
        <v>#VALUE!</v>
      </c>
      <c r="BD271" s="45" t="e">
        <f t="shared" si="144"/>
        <v>#VALUE!</v>
      </c>
      <c r="BE271" s="45" t="e">
        <f t="shared" si="145"/>
        <v>#VALUE!</v>
      </c>
      <c r="BF271" s="45" t="e">
        <f t="shared" si="146"/>
        <v>#VALUE!</v>
      </c>
      <c r="BG271" s="45" t="e">
        <f t="shared" si="147"/>
        <v>#VALUE!</v>
      </c>
      <c r="BH271" s="45">
        <f t="shared" si="148"/>
        <v>-1.2596373105057561</v>
      </c>
      <c r="BI271" s="43" t="e">
        <f t="shared" si="149"/>
        <v>#VALUE!</v>
      </c>
      <c r="CA271" s="41" t="s">
        <v>22</v>
      </c>
      <c r="CC271" t="s">
        <v>22</v>
      </c>
      <c r="CE271" s="41" t="s">
        <v>22</v>
      </c>
      <c r="CF271" s="41" t="s">
        <v>22</v>
      </c>
      <c r="CG271" s="41" t="e">
        <f t="shared" si="130"/>
        <v>#VALUE!</v>
      </c>
      <c r="CH271" s="41" t="e">
        <f t="shared" si="150"/>
        <v>#VALUE!</v>
      </c>
      <c r="CI271" s="41" t="str">
        <f t="shared" si="151"/>
        <v>Not Reported/ Can not calculate</v>
      </c>
      <c r="CJ271" s="41" t="e">
        <f t="shared" si="152"/>
        <v>#VALUE!</v>
      </c>
      <c r="CL271" s="9" t="s">
        <v>1269</v>
      </c>
      <c r="CM271" s="18" t="s">
        <v>1284</v>
      </c>
      <c r="CN271" s="54" t="s">
        <v>1284</v>
      </c>
      <c r="CO271" s="18" t="s">
        <v>1284</v>
      </c>
    </row>
    <row r="272" spans="1:93" x14ac:dyDescent="0.25">
      <c r="A272" t="s">
        <v>315</v>
      </c>
      <c r="B272" s="41">
        <v>0.14499999999999999</v>
      </c>
      <c r="C272" s="41" t="s">
        <v>22</v>
      </c>
      <c r="D272" s="41" t="s">
        <v>22</v>
      </c>
      <c r="E272" s="41" t="s">
        <v>22</v>
      </c>
      <c r="F272" t="s">
        <v>22</v>
      </c>
      <c r="G272" t="s">
        <v>22</v>
      </c>
      <c r="H272" t="s">
        <v>22</v>
      </c>
      <c r="I272" t="s">
        <v>22</v>
      </c>
      <c r="J272" s="41" t="s">
        <v>22</v>
      </c>
      <c r="K272">
        <v>632</v>
      </c>
      <c r="M272" t="s">
        <v>45</v>
      </c>
      <c r="N272" s="41" t="s">
        <v>22</v>
      </c>
      <c r="O272" s="41" t="s">
        <v>22</v>
      </c>
      <c r="P272" s="41" t="s">
        <v>22</v>
      </c>
      <c r="R272" s="41" t="s">
        <v>22</v>
      </c>
      <c r="S272" s="41" t="s">
        <v>22</v>
      </c>
      <c r="T272" s="41" t="s">
        <v>22</v>
      </c>
      <c r="U272" s="41" t="s">
        <v>22</v>
      </c>
      <c r="V272">
        <v>20200511</v>
      </c>
      <c r="W272" s="16" t="s">
        <v>182</v>
      </c>
      <c r="X272" s="18">
        <v>2005</v>
      </c>
      <c r="Y272" t="s">
        <v>328</v>
      </c>
      <c r="Z272" t="s">
        <v>124</v>
      </c>
      <c r="AA272" t="s">
        <v>894</v>
      </c>
      <c r="AB272" s="41">
        <v>5.5E-2</v>
      </c>
      <c r="AC272" t="s">
        <v>269</v>
      </c>
      <c r="AD272" s="41" t="s">
        <v>22</v>
      </c>
      <c r="AE272" s="41">
        <v>1591.81055534806</v>
      </c>
      <c r="AF272" s="41" t="s">
        <v>22</v>
      </c>
      <c r="AG272" s="41" t="s">
        <v>22</v>
      </c>
      <c r="AH272" s="41">
        <v>2.3322932917316748</v>
      </c>
      <c r="AI272" s="41">
        <v>2.3322932917316748</v>
      </c>
      <c r="AJ272" s="41">
        <v>1.934023285899098</v>
      </c>
      <c r="AK272" s="41">
        <v>1.1412213740458024</v>
      </c>
      <c r="AL272" s="41">
        <v>0.99933155080213931</v>
      </c>
      <c r="AM272" s="43">
        <f t="shared" si="132"/>
        <v>0.42847593582887611</v>
      </c>
      <c r="AN272" s="43">
        <f t="shared" si="133"/>
        <v>0.5167112299465233</v>
      </c>
      <c r="AO272" s="3" t="s">
        <v>310</v>
      </c>
      <c r="AT272" s="2">
        <f t="shared" si="134"/>
        <v>5</v>
      </c>
      <c r="AU272" s="45">
        <f t="shared" si="135"/>
        <v>-0.83863199776502517</v>
      </c>
      <c r="AV272" s="45" t="e">
        <f t="shared" si="136"/>
        <v>#VALUE!</v>
      </c>
      <c r="AW272" s="45" t="e">
        <f t="shared" si="137"/>
        <v>#VALUE!</v>
      </c>
      <c r="AX272" s="45" t="e">
        <f t="shared" si="138"/>
        <v>#VALUE!</v>
      </c>
      <c r="AY272" s="45" t="e">
        <f t="shared" si="139"/>
        <v>#VALUE!</v>
      </c>
      <c r="AZ272" s="45" t="e">
        <f t="shared" si="140"/>
        <v>#VALUE!</v>
      </c>
      <c r="BA272" s="45" t="e">
        <f t="shared" si="141"/>
        <v>#VALUE!</v>
      </c>
      <c r="BB272" s="45" t="e">
        <f t="shared" si="142"/>
        <v>#NUM!</v>
      </c>
      <c r="BC272" s="45" t="e">
        <f t="shared" si="143"/>
        <v>#VALUE!</v>
      </c>
      <c r="BD272" s="45" t="e">
        <f t="shared" si="144"/>
        <v>#VALUE!</v>
      </c>
      <c r="BE272" s="45" t="e">
        <f t="shared" si="145"/>
        <v>#VALUE!</v>
      </c>
      <c r="BF272" s="45">
        <f t="shared" si="146"/>
        <v>-0.36807356400962604</v>
      </c>
      <c r="BG272" s="45">
        <f t="shared" si="147"/>
        <v>-0.28675209961011827</v>
      </c>
      <c r="BH272" s="45">
        <f t="shared" si="148"/>
        <v>-1.2596373105057561</v>
      </c>
      <c r="BI272" s="43" t="e">
        <f t="shared" si="149"/>
        <v>#VALUE!</v>
      </c>
      <c r="CA272" s="41" t="s">
        <v>22</v>
      </c>
      <c r="CC272" t="s">
        <v>22</v>
      </c>
      <c r="CE272" s="41" t="s">
        <v>22</v>
      </c>
      <c r="CF272" s="41" t="s">
        <v>22</v>
      </c>
      <c r="CG272" s="41" t="e">
        <f t="shared" si="130"/>
        <v>#VALUE!</v>
      </c>
      <c r="CH272" s="41" t="e">
        <f t="shared" si="150"/>
        <v>#VALUE!</v>
      </c>
      <c r="CI272" s="41" t="str">
        <f t="shared" si="151"/>
        <v>Not Reported/ Can not calculate</v>
      </c>
      <c r="CJ272" s="41" t="e">
        <f t="shared" si="152"/>
        <v>#VALUE!</v>
      </c>
      <c r="CL272" s="9" t="s">
        <v>1269</v>
      </c>
      <c r="CM272" s="18" t="s">
        <v>1284</v>
      </c>
      <c r="CN272" s="54" t="s">
        <v>1284</v>
      </c>
      <c r="CO272" s="18" t="s">
        <v>1284</v>
      </c>
    </row>
    <row r="273" spans="1:93" x14ac:dyDescent="0.25">
      <c r="A273" t="s">
        <v>315</v>
      </c>
      <c r="B273" s="41">
        <v>0.14599999999999999</v>
      </c>
      <c r="C273" s="41" t="s">
        <v>22</v>
      </c>
      <c r="D273" s="41" t="s">
        <v>22</v>
      </c>
      <c r="E273" s="41" t="s">
        <v>22</v>
      </c>
      <c r="F273" t="s">
        <v>22</v>
      </c>
      <c r="G273" t="s">
        <v>22</v>
      </c>
      <c r="H273" t="s">
        <v>22</v>
      </c>
      <c r="I273" t="s">
        <v>22</v>
      </c>
      <c r="J273" s="41" t="s">
        <v>22</v>
      </c>
      <c r="K273">
        <v>632</v>
      </c>
      <c r="M273" t="s">
        <v>45</v>
      </c>
      <c r="N273" s="41" t="s">
        <v>22</v>
      </c>
      <c r="O273" s="41" t="s">
        <v>22</v>
      </c>
      <c r="P273" s="41" t="s">
        <v>22</v>
      </c>
      <c r="R273" s="41" t="s">
        <v>22</v>
      </c>
      <c r="S273" s="41" t="s">
        <v>22</v>
      </c>
      <c r="T273" s="41" t="s">
        <v>22</v>
      </c>
      <c r="U273" s="41" t="s">
        <v>22</v>
      </c>
      <c r="V273">
        <v>20200511</v>
      </c>
      <c r="W273" s="16" t="s">
        <v>672</v>
      </c>
      <c r="X273" s="18">
        <v>2005</v>
      </c>
      <c r="Y273" t="s">
        <v>328</v>
      </c>
      <c r="Z273" t="s">
        <v>124</v>
      </c>
      <c r="AA273" t="s">
        <v>750</v>
      </c>
      <c r="AB273" s="41">
        <v>5.5E-2</v>
      </c>
      <c r="AC273" t="s">
        <v>269</v>
      </c>
      <c r="AD273" s="41" t="s">
        <v>22</v>
      </c>
      <c r="AE273" s="41">
        <v>1595.29433734593</v>
      </c>
      <c r="AF273" s="41" t="s">
        <v>22</v>
      </c>
      <c r="AG273" s="41" t="s">
        <v>22</v>
      </c>
      <c r="AH273" s="41" t="s">
        <v>22</v>
      </c>
      <c r="AI273" s="41" t="s">
        <v>22</v>
      </c>
      <c r="AJ273" s="41" t="s">
        <v>22</v>
      </c>
      <c r="AK273" s="41" t="s">
        <v>22</v>
      </c>
      <c r="AL273" s="41" t="s">
        <v>22</v>
      </c>
      <c r="AM273" s="43" t="e">
        <f t="shared" si="132"/>
        <v>#VALUE!</v>
      </c>
      <c r="AN273" s="43" t="e">
        <f t="shared" si="133"/>
        <v>#VALUE!</v>
      </c>
      <c r="AO273" s="3" t="s">
        <v>310</v>
      </c>
      <c r="AT273" s="2">
        <f t="shared" si="134"/>
        <v>5</v>
      </c>
      <c r="AU273" s="45">
        <f t="shared" si="135"/>
        <v>-0.83564714421556296</v>
      </c>
      <c r="AV273" s="45" t="e">
        <f t="shared" si="136"/>
        <v>#VALUE!</v>
      </c>
      <c r="AW273" s="45" t="e">
        <f t="shared" si="137"/>
        <v>#VALUE!</v>
      </c>
      <c r="AX273" s="45" t="e">
        <f t="shared" si="138"/>
        <v>#VALUE!</v>
      </c>
      <c r="AY273" s="45" t="e">
        <f t="shared" si="139"/>
        <v>#VALUE!</v>
      </c>
      <c r="AZ273" s="45" t="e">
        <f t="shared" si="140"/>
        <v>#VALUE!</v>
      </c>
      <c r="BA273" s="45" t="e">
        <f t="shared" si="141"/>
        <v>#VALUE!</v>
      </c>
      <c r="BB273" s="45" t="e">
        <f t="shared" si="142"/>
        <v>#NUM!</v>
      </c>
      <c r="BC273" s="45" t="e">
        <f t="shared" si="143"/>
        <v>#VALUE!</v>
      </c>
      <c r="BD273" s="45" t="e">
        <f t="shared" si="144"/>
        <v>#VALUE!</v>
      </c>
      <c r="BE273" s="45" t="e">
        <f t="shared" si="145"/>
        <v>#VALUE!</v>
      </c>
      <c r="BF273" s="45" t="e">
        <f t="shared" si="146"/>
        <v>#VALUE!</v>
      </c>
      <c r="BG273" s="45" t="e">
        <f t="shared" si="147"/>
        <v>#VALUE!</v>
      </c>
      <c r="BH273" s="45">
        <f t="shared" si="148"/>
        <v>-1.2596373105057561</v>
      </c>
      <c r="BI273" s="43" t="e">
        <f t="shared" si="149"/>
        <v>#VALUE!</v>
      </c>
      <c r="CA273" s="41" t="s">
        <v>22</v>
      </c>
      <c r="CC273" t="s">
        <v>22</v>
      </c>
      <c r="CE273" s="41" t="s">
        <v>22</v>
      </c>
      <c r="CF273" s="41" t="s">
        <v>22</v>
      </c>
      <c r="CG273" s="41" t="e">
        <f t="shared" si="130"/>
        <v>#VALUE!</v>
      </c>
      <c r="CH273" s="41" t="e">
        <f t="shared" si="150"/>
        <v>#VALUE!</v>
      </c>
      <c r="CI273" s="41" t="str">
        <f t="shared" si="151"/>
        <v>Not Reported/ Can not calculate</v>
      </c>
      <c r="CJ273" s="41" t="e">
        <f t="shared" si="152"/>
        <v>#VALUE!</v>
      </c>
      <c r="CL273" s="9" t="s">
        <v>1269</v>
      </c>
      <c r="CM273" s="18" t="s">
        <v>1284</v>
      </c>
      <c r="CN273" s="54" t="s">
        <v>1284</v>
      </c>
      <c r="CO273" s="18" t="s">
        <v>1284</v>
      </c>
    </row>
    <row r="274" spans="1:93" x14ac:dyDescent="0.25">
      <c r="A274" t="s">
        <v>352</v>
      </c>
      <c r="B274" s="41">
        <v>0.65300000000000002</v>
      </c>
      <c r="C274" s="41">
        <v>2.1</v>
      </c>
      <c r="D274" s="41">
        <f>0.001*(B274*10^6)/(C274*0.001*100^3)</f>
        <v>0.31095238095238087</v>
      </c>
      <c r="E274" s="41" t="s">
        <v>22</v>
      </c>
      <c r="F274" t="s">
        <v>22</v>
      </c>
      <c r="G274" t="s">
        <v>22</v>
      </c>
      <c r="H274" t="s">
        <v>22</v>
      </c>
      <c r="I274" t="s">
        <v>22</v>
      </c>
      <c r="J274" s="41" t="s">
        <v>22</v>
      </c>
      <c r="K274" t="s">
        <v>22</v>
      </c>
      <c r="L274" s="41" t="e">
        <f>IF((10^-12)*J274*K274^4=0,"",(10^-12)*J274*K274^4)</f>
        <v>#VALUE!</v>
      </c>
      <c r="M274" t="s">
        <v>23</v>
      </c>
      <c r="N274" s="41" t="s">
        <v>22</v>
      </c>
      <c r="O274" s="41" t="s">
        <v>22</v>
      </c>
      <c r="P274" s="41" t="s">
        <v>22</v>
      </c>
      <c r="R274" s="41" t="s">
        <v>22</v>
      </c>
      <c r="S274" s="41" t="s">
        <v>22</v>
      </c>
      <c r="T274" s="41">
        <v>46</v>
      </c>
      <c r="U274" s="41">
        <v>46</v>
      </c>
      <c r="V274">
        <v>20200524</v>
      </c>
      <c r="W274" s="16" t="s">
        <v>956</v>
      </c>
      <c r="X274" s="6">
        <v>2005</v>
      </c>
      <c r="Y274" t="s">
        <v>559</v>
      </c>
      <c r="Z274" t="s">
        <v>32</v>
      </c>
      <c r="AC274" t="s">
        <v>514</v>
      </c>
      <c r="AD274" s="41" t="s">
        <v>22</v>
      </c>
      <c r="AE274" s="41" t="s">
        <v>22</v>
      </c>
      <c r="AF274" s="41">
        <v>650</v>
      </c>
      <c r="AG274" s="41" t="s">
        <v>22</v>
      </c>
      <c r="AH274" s="41" t="s">
        <v>22</v>
      </c>
      <c r="AI274" s="41" t="s">
        <v>22</v>
      </c>
      <c r="AJ274" s="41" t="s">
        <v>22</v>
      </c>
      <c r="AK274" s="41" t="s">
        <v>22</v>
      </c>
      <c r="AL274" s="41" t="s">
        <v>22</v>
      </c>
      <c r="AM274" s="43" t="e">
        <f t="shared" si="132"/>
        <v>#VALUE!</v>
      </c>
      <c r="AN274" s="43" t="e">
        <f t="shared" si="133"/>
        <v>#VALUE!</v>
      </c>
      <c r="AO274" s="15" t="s">
        <v>898</v>
      </c>
      <c r="AT274" s="2">
        <f t="shared" si="134"/>
        <v>2</v>
      </c>
      <c r="AU274" s="45">
        <f t="shared" si="135"/>
        <v>-0.18508681872492605</v>
      </c>
      <c r="AV274" s="45">
        <f t="shared" si="136"/>
        <v>0.3222192947339193</v>
      </c>
      <c r="AW274" s="45">
        <f t="shared" si="137"/>
        <v>-0.50730611345884546</v>
      </c>
      <c r="AX274" s="45" t="e">
        <f t="shared" si="138"/>
        <v>#VALUE!</v>
      </c>
      <c r="AY274" s="45" t="e">
        <f t="shared" si="139"/>
        <v>#VALUE!</v>
      </c>
      <c r="AZ274" s="45" t="e">
        <f t="shared" si="140"/>
        <v>#VALUE!</v>
      </c>
      <c r="BA274" s="45" t="e">
        <f t="shared" si="141"/>
        <v>#VALUE!</v>
      </c>
      <c r="BB274" s="45" t="e">
        <f t="shared" si="142"/>
        <v>#VALUE!</v>
      </c>
      <c r="BC274" s="45">
        <f t="shared" si="143"/>
        <v>1.6627578316815741</v>
      </c>
      <c r="BD274" s="45" t="e">
        <f t="shared" si="144"/>
        <v>#VALUE!</v>
      </c>
      <c r="BE274" s="45">
        <f t="shared" si="145"/>
        <v>2.8129133566428557</v>
      </c>
      <c r="BF274" s="45" t="e">
        <f t="shared" si="146"/>
        <v>#VALUE!</v>
      </c>
      <c r="BG274" s="45" t="e">
        <f t="shared" si="147"/>
        <v>#VALUE!</v>
      </c>
      <c r="BH274" s="45" t="e">
        <f t="shared" si="148"/>
        <v>#NUM!</v>
      </c>
      <c r="BI274" s="43">
        <f t="shared" si="149"/>
        <v>2.8129133566428557</v>
      </c>
      <c r="CA274" s="41" t="s">
        <v>22</v>
      </c>
      <c r="CC274" t="s">
        <v>22</v>
      </c>
      <c r="CE274" s="41" t="s">
        <v>22</v>
      </c>
      <c r="CF274" s="41" t="s">
        <v>22</v>
      </c>
      <c r="CG274" s="41" t="e">
        <f t="shared" si="130"/>
        <v>#VALUE!</v>
      </c>
      <c r="CH274" s="41" t="e">
        <f t="shared" si="150"/>
        <v>#VALUE!</v>
      </c>
      <c r="CI274" s="41">
        <f t="shared" si="151"/>
        <v>46</v>
      </c>
      <c r="CJ274" s="41">
        <f t="shared" si="152"/>
        <v>1.6627578316815741</v>
      </c>
      <c r="CL274" s="9" t="s">
        <v>1269</v>
      </c>
      <c r="CM274" s="18" t="s">
        <v>1285</v>
      </c>
      <c r="CN274" s="54" t="s">
        <v>1284</v>
      </c>
      <c r="CO274" s="18" t="s">
        <v>1284</v>
      </c>
    </row>
    <row r="275" spans="1:93" x14ac:dyDescent="0.25">
      <c r="A275" t="s">
        <v>352</v>
      </c>
      <c r="B275" s="41">
        <v>0.60199999999999998</v>
      </c>
      <c r="C275" s="41">
        <v>2.1</v>
      </c>
      <c r="D275" s="41">
        <f>0.001*(B275*10^6)/(C275*0.001*100^3)</f>
        <v>0.28666666666666663</v>
      </c>
      <c r="E275" s="41" t="s">
        <v>22</v>
      </c>
      <c r="F275" t="s">
        <v>22</v>
      </c>
      <c r="G275" t="s">
        <v>22</v>
      </c>
      <c r="H275" t="s">
        <v>22</v>
      </c>
      <c r="I275" t="s">
        <v>22</v>
      </c>
      <c r="J275" s="41" t="s">
        <v>22</v>
      </c>
      <c r="K275" t="s">
        <v>22</v>
      </c>
      <c r="L275" s="41" t="e">
        <f>IF((10^-12)*J275*K275^4=0,"",(10^-12)*J275*K275^4)</f>
        <v>#VALUE!</v>
      </c>
      <c r="M275" t="s">
        <v>23</v>
      </c>
      <c r="N275" s="41" t="s">
        <v>22</v>
      </c>
      <c r="O275" s="41" t="s">
        <v>22</v>
      </c>
      <c r="P275" s="41" t="s">
        <v>22</v>
      </c>
      <c r="R275" s="41" t="s">
        <v>22</v>
      </c>
      <c r="S275" s="41" t="s">
        <v>22</v>
      </c>
      <c r="T275" s="41">
        <v>42</v>
      </c>
      <c r="U275" s="41">
        <v>42</v>
      </c>
      <c r="V275">
        <v>20200524</v>
      </c>
      <c r="W275" s="16" t="s">
        <v>956</v>
      </c>
      <c r="X275" s="6">
        <v>2005</v>
      </c>
      <c r="Y275" t="s">
        <v>559</v>
      </c>
      <c r="Z275" t="s">
        <v>32</v>
      </c>
      <c r="AC275" t="s">
        <v>514</v>
      </c>
      <c r="AD275" s="41" t="s">
        <v>22</v>
      </c>
      <c r="AE275" s="41" t="s">
        <v>22</v>
      </c>
      <c r="AF275" s="41">
        <v>830</v>
      </c>
      <c r="AG275" s="41" t="s">
        <v>22</v>
      </c>
      <c r="AH275" s="41" t="s">
        <v>22</v>
      </c>
      <c r="AI275" s="41" t="s">
        <v>22</v>
      </c>
      <c r="AJ275" s="41" t="s">
        <v>22</v>
      </c>
      <c r="AK275" s="41" t="s">
        <v>22</v>
      </c>
      <c r="AL275" s="41" t="s">
        <v>22</v>
      </c>
      <c r="AM275" s="43" t="e">
        <f t="shared" si="132"/>
        <v>#VALUE!</v>
      </c>
      <c r="AN275" s="43" t="e">
        <f t="shared" si="133"/>
        <v>#VALUE!</v>
      </c>
      <c r="AO275" s="15" t="s">
        <v>898</v>
      </c>
      <c r="AT275" s="2">
        <f t="shared" si="134"/>
        <v>2</v>
      </c>
      <c r="AU275" s="45">
        <f t="shared" si="135"/>
        <v>-0.22040350874217546</v>
      </c>
      <c r="AV275" s="45">
        <f t="shared" si="136"/>
        <v>0.3222192947339193</v>
      </c>
      <c r="AW275" s="45">
        <f t="shared" si="137"/>
        <v>-0.54262280347609482</v>
      </c>
      <c r="AX275" s="45" t="e">
        <f t="shared" si="138"/>
        <v>#VALUE!</v>
      </c>
      <c r="AY275" s="45" t="e">
        <f t="shared" si="139"/>
        <v>#VALUE!</v>
      </c>
      <c r="AZ275" s="45" t="e">
        <f t="shared" si="140"/>
        <v>#VALUE!</v>
      </c>
      <c r="BA275" s="45" t="e">
        <f t="shared" si="141"/>
        <v>#VALUE!</v>
      </c>
      <c r="BB275" s="45" t="e">
        <f t="shared" si="142"/>
        <v>#VALUE!</v>
      </c>
      <c r="BC275" s="45">
        <f t="shared" si="143"/>
        <v>1.6232492903979006</v>
      </c>
      <c r="BD275" s="45" t="e">
        <f t="shared" si="144"/>
        <v>#VALUE!</v>
      </c>
      <c r="BE275" s="45">
        <f t="shared" si="145"/>
        <v>2.9190780923760737</v>
      </c>
      <c r="BF275" s="45" t="e">
        <f t="shared" si="146"/>
        <v>#VALUE!</v>
      </c>
      <c r="BG275" s="45" t="e">
        <f t="shared" si="147"/>
        <v>#VALUE!</v>
      </c>
      <c r="BH275" s="45" t="e">
        <f t="shared" si="148"/>
        <v>#NUM!</v>
      </c>
      <c r="BI275" s="43">
        <f t="shared" si="149"/>
        <v>2.9190780923760737</v>
      </c>
      <c r="CA275" s="41" t="s">
        <v>22</v>
      </c>
      <c r="CC275" t="s">
        <v>22</v>
      </c>
      <c r="CE275" s="41" t="s">
        <v>22</v>
      </c>
      <c r="CF275" s="41" t="s">
        <v>22</v>
      </c>
      <c r="CG275" s="41" t="e">
        <f t="shared" si="130"/>
        <v>#VALUE!</v>
      </c>
      <c r="CH275" s="41" t="e">
        <f t="shared" si="150"/>
        <v>#VALUE!</v>
      </c>
      <c r="CI275" s="41">
        <f t="shared" si="151"/>
        <v>42</v>
      </c>
      <c r="CJ275" s="41">
        <f t="shared" si="152"/>
        <v>1.6232492903979006</v>
      </c>
      <c r="CL275" s="9" t="s">
        <v>1269</v>
      </c>
      <c r="CM275" s="18" t="s">
        <v>1285</v>
      </c>
      <c r="CN275" s="54" t="s">
        <v>1284</v>
      </c>
      <c r="CO275" s="18" t="s">
        <v>1284</v>
      </c>
    </row>
    <row r="276" spans="1:93" x14ac:dyDescent="0.25">
      <c r="A276" t="s">
        <v>352</v>
      </c>
      <c r="B276" s="41" t="s">
        <v>22</v>
      </c>
      <c r="C276" s="41">
        <v>2.1</v>
      </c>
      <c r="D276" s="41" t="s">
        <v>22</v>
      </c>
      <c r="E276" s="41" t="s">
        <v>22</v>
      </c>
      <c r="F276" t="s">
        <v>22</v>
      </c>
      <c r="G276" t="s">
        <v>22</v>
      </c>
      <c r="H276" t="s">
        <v>22</v>
      </c>
      <c r="I276" t="s">
        <v>22</v>
      </c>
      <c r="J276" s="41" t="s">
        <v>22</v>
      </c>
      <c r="K276" t="s">
        <v>22</v>
      </c>
      <c r="L276" s="41" t="s">
        <v>22</v>
      </c>
      <c r="M276" t="s">
        <v>23</v>
      </c>
      <c r="N276" s="41" t="s">
        <v>22</v>
      </c>
      <c r="O276" s="41" t="s">
        <v>22</v>
      </c>
      <c r="P276" s="41" t="s">
        <v>22</v>
      </c>
      <c r="R276" s="41" t="s">
        <v>22</v>
      </c>
      <c r="S276" s="41" t="s">
        <v>22</v>
      </c>
      <c r="T276" s="41">
        <v>28.221070811744301</v>
      </c>
      <c r="U276" s="41">
        <v>28.221070811744301</v>
      </c>
      <c r="V276">
        <v>20200514</v>
      </c>
      <c r="W276" s="16" t="s">
        <v>942</v>
      </c>
      <c r="X276" s="6">
        <v>2005</v>
      </c>
      <c r="Y276" t="s">
        <v>22</v>
      </c>
      <c r="Z276" t="s">
        <v>22</v>
      </c>
      <c r="AC276" s="6" t="s">
        <v>514</v>
      </c>
      <c r="AD276" s="41" t="s">
        <v>22</v>
      </c>
      <c r="AE276" s="41" t="s">
        <v>22</v>
      </c>
      <c r="AF276" s="41">
        <v>489.44337811900101</v>
      </c>
      <c r="AG276" s="41" t="s">
        <v>22</v>
      </c>
      <c r="AH276" s="41" t="s">
        <v>22</v>
      </c>
      <c r="AI276" s="41" t="s">
        <v>22</v>
      </c>
      <c r="AJ276" s="41" t="s">
        <v>22</v>
      </c>
      <c r="AK276" s="41" t="s">
        <v>22</v>
      </c>
      <c r="AL276" s="41" t="s">
        <v>22</v>
      </c>
      <c r="AM276" s="43" t="e">
        <f t="shared" si="132"/>
        <v>#VALUE!</v>
      </c>
      <c r="AN276" s="43" t="e">
        <f t="shared" si="133"/>
        <v>#VALUE!</v>
      </c>
      <c r="AO276" s="3" t="s">
        <v>727</v>
      </c>
      <c r="AT276" s="2">
        <f t="shared" si="134"/>
        <v>3</v>
      </c>
      <c r="AU276" s="45" t="e">
        <f t="shared" si="135"/>
        <v>#VALUE!</v>
      </c>
      <c r="AV276" s="45">
        <f t="shared" si="136"/>
        <v>0.3222192947339193</v>
      </c>
      <c r="AW276" s="45" t="e">
        <f t="shared" si="137"/>
        <v>#VALUE!</v>
      </c>
      <c r="AX276" s="45" t="e">
        <f t="shared" si="138"/>
        <v>#VALUE!</v>
      </c>
      <c r="AY276" s="45" t="e">
        <f t="shared" si="139"/>
        <v>#VALUE!</v>
      </c>
      <c r="AZ276" s="45" t="e">
        <f t="shared" si="140"/>
        <v>#VALUE!</v>
      </c>
      <c r="BA276" s="45" t="e">
        <f t="shared" si="141"/>
        <v>#VALUE!</v>
      </c>
      <c r="BB276" s="45" t="e">
        <f t="shared" si="142"/>
        <v>#VALUE!</v>
      </c>
      <c r="BC276" s="45">
        <f t="shared" si="143"/>
        <v>1.4505734884689592</v>
      </c>
      <c r="BD276" s="45" t="e">
        <f t="shared" si="144"/>
        <v>#VALUE!</v>
      </c>
      <c r="BE276" s="45">
        <f t="shared" si="145"/>
        <v>2.6897024571344299</v>
      </c>
      <c r="BF276" s="45" t="e">
        <f t="shared" si="146"/>
        <v>#VALUE!</v>
      </c>
      <c r="BG276" s="45" t="e">
        <f t="shared" si="147"/>
        <v>#VALUE!</v>
      </c>
      <c r="BH276" s="45" t="e">
        <f t="shared" si="148"/>
        <v>#NUM!</v>
      </c>
      <c r="BI276" s="43">
        <f t="shared" si="149"/>
        <v>2.6897024571344299</v>
      </c>
      <c r="CA276" s="41" t="s">
        <v>22</v>
      </c>
      <c r="CC276" t="s">
        <v>22</v>
      </c>
      <c r="CE276" s="41" t="s">
        <v>22</v>
      </c>
      <c r="CF276" s="41" t="s">
        <v>22</v>
      </c>
      <c r="CG276" s="41" t="e">
        <f t="shared" si="130"/>
        <v>#VALUE!</v>
      </c>
      <c r="CH276" s="41" t="e">
        <f t="shared" si="150"/>
        <v>#VALUE!</v>
      </c>
      <c r="CI276" s="41">
        <f t="shared" si="151"/>
        <v>28.221070811744301</v>
      </c>
      <c r="CJ276" s="41">
        <f t="shared" si="152"/>
        <v>1.4505734884689592</v>
      </c>
      <c r="CL276" s="9" t="s">
        <v>1269</v>
      </c>
      <c r="CM276" s="18" t="s">
        <v>1285</v>
      </c>
      <c r="CN276" s="54" t="s">
        <v>1284</v>
      </c>
      <c r="CO276" s="18" t="s">
        <v>1284</v>
      </c>
    </row>
    <row r="277" spans="1:93" x14ac:dyDescent="0.25">
      <c r="A277" t="s">
        <v>352</v>
      </c>
      <c r="B277" s="41" t="s">
        <v>22</v>
      </c>
      <c r="C277" s="41">
        <v>2.1</v>
      </c>
      <c r="D277" s="41" t="s">
        <v>22</v>
      </c>
      <c r="E277" s="41" t="s">
        <v>22</v>
      </c>
      <c r="F277" t="s">
        <v>22</v>
      </c>
      <c r="G277" t="s">
        <v>22</v>
      </c>
      <c r="H277" t="s">
        <v>22</v>
      </c>
      <c r="I277" t="s">
        <v>22</v>
      </c>
      <c r="J277" s="41" t="s">
        <v>22</v>
      </c>
      <c r="K277" t="s">
        <v>22</v>
      </c>
      <c r="L277" s="41" t="s">
        <v>22</v>
      </c>
      <c r="M277" t="s">
        <v>23</v>
      </c>
      <c r="N277" s="41" t="s">
        <v>22</v>
      </c>
      <c r="O277" s="41" t="s">
        <v>22</v>
      </c>
      <c r="P277" s="41" t="s">
        <v>22</v>
      </c>
      <c r="R277" s="41" t="s">
        <v>22</v>
      </c>
      <c r="S277" s="41" t="s">
        <v>22</v>
      </c>
      <c r="T277" s="41">
        <v>16.131260794473199</v>
      </c>
      <c r="U277" s="41">
        <v>16.131260794473199</v>
      </c>
      <c r="V277">
        <v>20200514</v>
      </c>
      <c r="W277" s="16" t="s">
        <v>942</v>
      </c>
      <c r="X277" s="6">
        <v>2005</v>
      </c>
      <c r="Y277" t="s">
        <v>22</v>
      </c>
      <c r="Z277" s="18" t="s">
        <v>22</v>
      </c>
      <c r="AC277" s="6" t="s">
        <v>514</v>
      </c>
      <c r="AD277" s="41" t="s">
        <v>22</v>
      </c>
      <c r="AE277" s="41" t="s">
        <v>22</v>
      </c>
      <c r="AF277" s="41">
        <v>1637.2360844529701</v>
      </c>
      <c r="AG277" s="41" t="s">
        <v>22</v>
      </c>
      <c r="AH277" s="41" t="s">
        <v>22</v>
      </c>
      <c r="AI277" s="41" t="s">
        <v>22</v>
      </c>
      <c r="AJ277" s="41" t="s">
        <v>22</v>
      </c>
      <c r="AK277" s="41" t="s">
        <v>22</v>
      </c>
      <c r="AL277" s="41" t="s">
        <v>22</v>
      </c>
      <c r="AM277" s="43" t="e">
        <f t="shared" si="132"/>
        <v>#VALUE!</v>
      </c>
      <c r="AN277" s="43" t="e">
        <f t="shared" si="133"/>
        <v>#VALUE!</v>
      </c>
      <c r="AO277" s="3" t="s">
        <v>727</v>
      </c>
      <c r="AT277" s="2">
        <f t="shared" si="134"/>
        <v>3</v>
      </c>
      <c r="AU277" s="45" t="e">
        <f t="shared" si="135"/>
        <v>#VALUE!</v>
      </c>
      <c r="AV277" s="45">
        <f t="shared" si="136"/>
        <v>0.3222192947339193</v>
      </c>
      <c r="AW277" s="45" t="e">
        <f t="shared" si="137"/>
        <v>#VALUE!</v>
      </c>
      <c r="AX277" s="45" t="e">
        <f t="shared" si="138"/>
        <v>#VALUE!</v>
      </c>
      <c r="AY277" s="45" t="e">
        <f t="shared" si="139"/>
        <v>#VALUE!</v>
      </c>
      <c r="AZ277" s="45" t="e">
        <f t="shared" si="140"/>
        <v>#VALUE!</v>
      </c>
      <c r="BA277" s="45" t="e">
        <f t="shared" si="141"/>
        <v>#VALUE!</v>
      </c>
      <c r="BB277" s="45" t="e">
        <f t="shared" si="142"/>
        <v>#VALUE!</v>
      </c>
      <c r="BC277" s="45">
        <f t="shared" si="143"/>
        <v>1.2076683125026564</v>
      </c>
      <c r="BD277" s="45" t="e">
        <f t="shared" si="144"/>
        <v>#VALUE!</v>
      </c>
      <c r="BE277" s="45">
        <f t="shared" si="145"/>
        <v>3.2141113078679973</v>
      </c>
      <c r="BF277" s="45" t="e">
        <f t="shared" si="146"/>
        <v>#VALUE!</v>
      </c>
      <c r="BG277" s="45" t="e">
        <f t="shared" si="147"/>
        <v>#VALUE!</v>
      </c>
      <c r="BH277" s="45" t="e">
        <f t="shared" si="148"/>
        <v>#NUM!</v>
      </c>
      <c r="BI277" s="43">
        <f t="shared" si="149"/>
        <v>3.2141113078679973</v>
      </c>
      <c r="CA277" s="41" t="s">
        <v>22</v>
      </c>
      <c r="CC277" t="s">
        <v>22</v>
      </c>
      <c r="CE277" s="41" t="s">
        <v>22</v>
      </c>
      <c r="CF277" s="41" t="s">
        <v>22</v>
      </c>
      <c r="CG277" s="41" t="e">
        <f t="shared" si="130"/>
        <v>#VALUE!</v>
      </c>
      <c r="CH277" s="41" t="e">
        <f t="shared" si="150"/>
        <v>#VALUE!</v>
      </c>
      <c r="CI277" s="41">
        <f t="shared" si="151"/>
        <v>16.131260794473199</v>
      </c>
      <c r="CJ277" s="41">
        <f t="shared" si="152"/>
        <v>1.2076683125026564</v>
      </c>
      <c r="CL277" s="9" t="s">
        <v>1269</v>
      </c>
      <c r="CM277" s="18" t="s">
        <v>1285</v>
      </c>
      <c r="CN277" s="54" t="s">
        <v>1284</v>
      </c>
      <c r="CO277" s="18" t="s">
        <v>1284</v>
      </c>
    </row>
    <row r="278" spans="1:93" x14ac:dyDescent="0.25">
      <c r="A278" t="s">
        <v>352</v>
      </c>
      <c r="B278" s="41" t="s">
        <v>22</v>
      </c>
      <c r="C278" s="41">
        <v>2.1</v>
      </c>
      <c r="D278" s="41" t="s">
        <v>22</v>
      </c>
      <c r="E278" s="41" t="s">
        <v>22</v>
      </c>
      <c r="F278" t="s">
        <v>22</v>
      </c>
      <c r="G278" t="s">
        <v>22</v>
      </c>
      <c r="H278" t="s">
        <v>22</v>
      </c>
      <c r="I278" t="s">
        <v>22</v>
      </c>
      <c r="J278" s="41" t="s">
        <v>22</v>
      </c>
      <c r="K278" t="s">
        <v>22</v>
      </c>
      <c r="L278" s="41" t="s">
        <v>22</v>
      </c>
      <c r="M278" t="s">
        <v>23</v>
      </c>
      <c r="N278" s="41" t="s">
        <v>22</v>
      </c>
      <c r="O278" s="41" t="s">
        <v>22</v>
      </c>
      <c r="P278" s="41" t="s">
        <v>22</v>
      </c>
      <c r="R278" s="41" t="s">
        <v>22</v>
      </c>
      <c r="S278" s="41" t="s">
        <v>22</v>
      </c>
      <c r="T278" s="41">
        <v>9.8272884283246906</v>
      </c>
      <c r="U278" s="41">
        <v>9.8272884283246906</v>
      </c>
      <c r="V278">
        <v>20200514</v>
      </c>
      <c r="W278" s="16" t="s">
        <v>942</v>
      </c>
      <c r="X278" s="6">
        <v>2005</v>
      </c>
      <c r="Y278" t="s">
        <v>22</v>
      </c>
      <c r="Z278" s="18" t="s">
        <v>22</v>
      </c>
      <c r="AC278" s="6" t="s">
        <v>514</v>
      </c>
      <c r="AD278" s="41" t="s">
        <v>22</v>
      </c>
      <c r="AE278" s="41" t="s">
        <v>22</v>
      </c>
      <c r="AF278" s="41">
        <v>2067.17850287907</v>
      </c>
      <c r="AG278" s="41" t="s">
        <v>22</v>
      </c>
      <c r="AH278" s="41" t="s">
        <v>22</v>
      </c>
      <c r="AI278" s="41" t="s">
        <v>22</v>
      </c>
      <c r="AJ278" s="41" t="s">
        <v>22</v>
      </c>
      <c r="AK278" s="41" t="s">
        <v>22</v>
      </c>
      <c r="AL278" s="41" t="s">
        <v>22</v>
      </c>
      <c r="AM278" s="43" t="e">
        <f t="shared" si="132"/>
        <v>#VALUE!</v>
      </c>
      <c r="AN278" s="43" t="e">
        <f t="shared" si="133"/>
        <v>#VALUE!</v>
      </c>
      <c r="AO278" s="3" t="s">
        <v>727</v>
      </c>
      <c r="AT278" s="2">
        <f t="shared" si="134"/>
        <v>3</v>
      </c>
      <c r="AU278" s="45" t="e">
        <f t="shared" si="135"/>
        <v>#VALUE!</v>
      </c>
      <c r="AV278" s="45">
        <f t="shared" si="136"/>
        <v>0.3222192947339193</v>
      </c>
      <c r="AW278" s="45" t="e">
        <f t="shared" si="137"/>
        <v>#VALUE!</v>
      </c>
      <c r="AX278" s="45" t="e">
        <f t="shared" si="138"/>
        <v>#VALUE!</v>
      </c>
      <c r="AY278" s="45" t="e">
        <f t="shared" si="139"/>
        <v>#VALUE!</v>
      </c>
      <c r="AZ278" s="45" t="e">
        <f t="shared" si="140"/>
        <v>#VALUE!</v>
      </c>
      <c r="BA278" s="45" t="e">
        <f t="shared" si="141"/>
        <v>#VALUE!</v>
      </c>
      <c r="BB278" s="45" t="e">
        <f t="shared" si="142"/>
        <v>#VALUE!</v>
      </c>
      <c r="BC278" s="45">
        <f t="shared" si="143"/>
        <v>0.99243370266763464</v>
      </c>
      <c r="BD278" s="45" t="e">
        <f t="shared" si="144"/>
        <v>#VALUE!</v>
      </c>
      <c r="BE278" s="45">
        <f t="shared" si="145"/>
        <v>3.3153779799984551</v>
      </c>
      <c r="BF278" s="45" t="e">
        <f t="shared" si="146"/>
        <v>#VALUE!</v>
      </c>
      <c r="BG278" s="45" t="e">
        <f t="shared" si="147"/>
        <v>#VALUE!</v>
      </c>
      <c r="BH278" s="45" t="e">
        <f t="shared" si="148"/>
        <v>#NUM!</v>
      </c>
      <c r="BI278" s="43">
        <f t="shared" si="149"/>
        <v>3.3153779799984551</v>
      </c>
      <c r="CA278" s="41" t="s">
        <v>22</v>
      </c>
      <c r="CC278" t="s">
        <v>22</v>
      </c>
      <c r="CE278" s="41" t="s">
        <v>22</v>
      </c>
      <c r="CF278" s="41" t="s">
        <v>22</v>
      </c>
      <c r="CG278" s="41" t="e">
        <f t="shared" si="130"/>
        <v>#VALUE!</v>
      </c>
      <c r="CH278" s="41" t="e">
        <f t="shared" si="150"/>
        <v>#VALUE!</v>
      </c>
      <c r="CI278" s="41">
        <f t="shared" si="151"/>
        <v>9.8272884283246906</v>
      </c>
      <c r="CJ278" s="41">
        <f t="shared" si="152"/>
        <v>0.99243370266763464</v>
      </c>
      <c r="CL278" s="9" t="s">
        <v>1269</v>
      </c>
      <c r="CM278" s="18" t="s">
        <v>1285</v>
      </c>
      <c r="CN278" s="54" t="s">
        <v>1284</v>
      </c>
      <c r="CO278" s="18" t="s">
        <v>1284</v>
      </c>
    </row>
    <row r="279" spans="1:93" x14ac:dyDescent="0.25">
      <c r="A279" t="s">
        <v>266</v>
      </c>
      <c r="B279" s="41">
        <f>((0.3*10^-5)^-1)*10^-6</f>
        <v>0.33333333333333331</v>
      </c>
      <c r="C279" s="41" t="s">
        <v>22</v>
      </c>
      <c r="D279" s="41" t="s">
        <v>22</v>
      </c>
      <c r="E279" s="41" t="s">
        <v>22</v>
      </c>
      <c r="F279" t="s">
        <v>22</v>
      </c>
      <c r="G279" t="s">
        <v>22</v>
      </c>
      <c r="H279">
        <v>44</v>
      </c>
      <c r="I279" t="s">
        <v>82</v>
      </c>
      <c r="J279" s="41" t="s">
        <v>22</v>
      </c>
      <c r="K279" t="s">
        <v>22</v>
      </c>
      <c r="L279" s="41" t="e">
        <f>IF((10^-12)*J279*K279^4=0,"",(10^-12)*J279*K279^4)</f>
        <v>#VALUE!</v>
      </c>
      <c r="M279" t="s">
        <v>45</v>
      </c>
      <c r="N279" s="41" t="s">
        <v>22</v>
      </c>
      <c r="O279" s="41" t="s">
        <v>22</v>
      </c>
      <c r="P279" s="41" t="s">
        <v>22</v>
      </c>
      <c r="R279" s="41" t="s">
        <v>22</v>
      </c>
      <c r="S279" s="41" t="s">
        <v>22</v>
      </c>
      <c r="T279" s="41" t="s">
        <v>617</v>
      </c>
      <c r="U279" s="41">
        <v>1.3</v>
      </c>
      <c r="V279">
        <v>20200508</v>
      </c>
      <c r="W279" s="16" t="s">
        <v>142</v>
      </c>
      <c r="X279">
        <v>2005</v>
      </c>
      <c r="Y279" t="s">
        <v>143</v>
      </c>
      <c r="Z279" s="18"/>
      <c r="AC279" t="s">
        <v>514</v>
      </c>
      <c r="AD279" s="41" t="s">
        <v>22</v>
      </c>
      <c r="AE279" s="41" t="s">
        <v>22</v>
      </c>
      <c r="AF279" s="41" t="s">
        <v>22</v>
      </c>
      <c r="AG279" s="41" t="s">
        <v>22</v>
      </c>
      <c r="AH279" s="41">
        <v>0.43401026364474399</v>
      </c>
      <c r="AI279" s="41">
        <v>0.40194503336151199</v>
      </c>
      <c r="AJ279" s="41">
        <v>0.37224882307444901</v>
      </c>
      <c r="AK279" s="41">
        <v>0.29006811986931502</v>
      </c>
      <c r="AL279" s="41">
        <v>0.279147236854351</v>
      </c>
      <c r="AM279" s="43">
        <f t="shared" si="132"/>
        <v>0.69449107137812083</v>
      </c>
      <c r="AN279" s="43">
        <f t="shared" si="133"/>
        <v>0.74989420933245532</v>
      </c>
      <c r="AO279" s="3" t="s">
        <v>1152</v>
      </c>
      <c r="AT279" s="2">
        <f t="shared" si="134"/>
        <v>7</v>
      </c>
      <c r="AU279" s="45">
        <f t="shared" si="135"/>
        <v>-0.47712125471966244</v>
      </c>
      <c r="AV279" s="45" t="e">
        <f t="shared" si="136"/>
        <v>#VALUE!</v>
      </c>
      <c r="AW279" s="45" t="e">
        <f t="shared" si="137"/>
        <v>#VALUE!</v>
      </c>
      <c r="AX279" s="45" t="e">
        <f t="shared" si="138"/>
        <v>#VALUE!</v>
      </c>
      <c r="AY279" s="45" t="e">
        <f t="shared" si="139"/>
        <v>#VALUE!</v>
      </c>
      <c r="AZ279" s="45" t="e">
        <f t="shared" si="140"/>
        <v>#VALUE!</v>
      </c>
      <c r="BA279" s="45" t="e">
        <f t="shared" si="141"/>
        <v>#VALUE!</v>
      </c>
      <c r="BB279" s="45" t="e">
        <f t="shared" si="142"/>
        <v>#VALUE!</v>
      </c>
      <c r="BC279" s="45">
        <f t="shared" si="143"/>
        <v>0.11394335230683679</v>
      </c>
      <c r="BD279" s="45" t="e">
        <f t="shared" si="144"/>
        <v>#VALUE!</v>
      </c>
      <c r="BE279" s="45" t="e">
        <f t="shared" si="145"/>
        <v>#VALUE!</v>
      </c>
      <c r="BF279" s="45">
        <f t="shared" si="146"/>
        <v>-0.15833333333333358</v>
      </c>
      <c r="BG279" s="45">
        <f t="shared" si="147"/>
        <v>-0.12500000000000031</v>
      </c>
      <c r="BH279" s="45" t="e">
        <f t="shared" si="148"/>
        <v>#NUM!</v>
      </c>
      <c r="BI279" s="43" t="e">
        <f t="shared" si="149"/>
        <v>#VALUE!</v>
      </c>
      <c r="CA279" s="41" t="s">
        <v>22</v>
      </c>
      <c r="CC279" t="s">
        <v>22</v>
      </c>
      <c r="CE279" s="41" t="s">
        <v>22</v>
      </c>
      <c r="CF279" s="41" t="s">
        <v>22</v>
      </c>
      <c r="CG279" s="41" t="e">
        <f t="shared" si="130"/>
        <v>#VALUE!</v>
      </c>
      <c r="CH279" s="41" t="e">
        <f t="shared" si="150"/>
        <v>#VALUE!</v>
      </c>
      <c r="CI279" s="41">
        <f t="shared" si="151"/>
        <v>1.3</v>
      </c>
      <c r="CJ279" s="41">
        <f t="shared" si="152"/>
        <v>0.11394335230683679</v>
      </c>
      <c r="CL279" s="9" t="s">
        <v>1269</v>
      </c>
      <c r="CM279" s="18" t="s">
        <v>1285</v>
      </c>
      <c r="CN279" s="54" t="s">
        <v>1284</v>
      </c>
      <c r="CO279" s="18" t="s">
        <v>1284</v>
      </c>
    </row>
    <row r="280" spans="1:93" x14ac:dyDescent="0.25">
      <c r="A280" t="s">
        <v>266</v>
      </c>
      <c r="B280" s="41">
        <f>((5*10^-5)^-1)*10^-6</f>
        <v>0.02</v>
      </c>
      <c r="C280" s="41" t="s">
        <v>22</v>
      </c>
      <c r="D280" s="41" t="s">
        <v>22</v>
      </c>
      <c r="E280" s="41" t="s">
        <v>22</v>
      </c>
      <c r="F280" t="s">
        <v>22</v>
      </c>
      <c r="G280" t="s">
        <v>22</v>
      </c>
      <c r="H280" t="s">
        <v>22</v>
      </c>
      <c r="I280" t="s">
        <v>22</v>
      </c>
      <c r="J280" s="41" t="s">
        <v>22</v>
      </c>
      <c r="K280" t="s">
        <v>22</v>
      </c>
      <c r="L280" s="41" t="e">
        <f>IF((10^-12)*J280*K280^4=0,"",(10^-12)*J280*K280^4)</f>
        <v>#VALUE!</v>
      </c>
      <c r="M280" t="s">
        <v>23</v>
      </c>
      <c r="N280" s="41" t="s">
        <v>22</v>
      </c>
      <c r="O280" s="41" t="s">
        <v>22</v>
      </c>
      <c r="P280" s="41" t="s">
        <v>22</v>
      </c>
      <c r="R280" s="41" t="s">
        <v>22</v>
      </c>
      <c r="S280" s="41" t="s">
        <v>22</v>
      </c>
      <c r="T280" s="41" t="s">
        <v>617</v>
      </c>
      <c r="U280" s="41">
        <v>1.3</v>
      </c>
      <c r="V280">
        <v>20200508</v>
      </c>
      <c r="W280" s="16" t="s">
        <v>1126</v>
      </c>
      <c r="X280" s="18">
        <v>2005</v>
      </c>
      <c r="Y280" s="18" t="s">
        <v>143</v>
      </c>
      <c r="Z280" s="18" t="s">
        <v>145</v>
      </c>
      <c r="AA280" s="18"/>
      <c r="AC280" s="18" t="s">
        <v>514</v>
      </c>
      <c r="AD280" s="41" t="s">
        <v>22</v>
      </c>
      <c r="AE280" s="41" t="s">
        <v>22</v>
      </c>
      <c r="AF280" s="41" t="s">
        <v>22</v>
      </c>
      <c r="AG280" s="41" t="s">
        <v>22</v>
      </c>
      <c r="AH280" s="41">
        <v>3514.25550108067</v>
      </c>
      <c r="AI280" s="41">
        <v>215.443469003188</v>
      </c>
      <c r="AJ280" s="41">
        <v>57.8761988349126</v>
      </c>
      <c r="AK280" s="41">
        <v>8.9984284272897401</v>
      </c>
      <c r="AL280" s="41">
        <v>4.5972698853087204</v>
      </c>
      <c r="AM280" s="43">
        <f t="shared" si="132"/>
        <v>2.1338636564753294E-2</v>
      </c>
      <c r="AN280" s="43">
        <f t="shared" si="133"/>
        <v>7.9432823472427389E-2</v>
      </c>
      <c r="AO280" s="3" t="s">
        <v>1152</v>
      </c>
      <c r="AT280" s="2">
        <f t="shared" si="134"/>
        <v>7</v>
      </c>
      <c r="AU280" s="45">
        <f t="shared" si="135"/>
        <v>-1.6989700043360187</v>
      </c>
      <c r="AV280" s="45" t="e">
        <f t="shared" si="136"/>
        <v>#VALUE!</v>
      </c>
      <c r="AW280" s="45" t="e">
        <f t="shared" si="137"/>
        <v>#VALUE!</v>
      </c>
      <c r="AX280" s="45" t="e">
        <f t="shared" si="138"/>
        <v>#VALUE!</v>
      </c>
      <c r="AY280" s="45" t="e">
        <f t="shared" si="139"/>
        <v>#VALUE!</v>
      </c>
      <c r="AZ280" s="45" t="e">
        <f t="shared" si="140"/>
        <v>#VALUE!</v>
      </c>
      <c r="BA280" s="45" t="e">
        <f t="shared" si="141"/>
        <v>#VALUE!</v>
      </c>
      <c r="BB280" s="45" t="e">
        <f t="shared" si="142"/>
        <v>#VALUE!</v>
      </c>
      <c r="BC280" s="45">
        <f t="shared" si="143"/>
        <v>0.11394335230683679</v>
      </c>
      <c r="BD280" s="45" t="e">
        <f t="shared" si="144"/>
        <v>#VALUE!</v>
      </c>
      <c r="BE280" s="45" t="e">
        <f t="shared" si="145"/>
        <v>#VALUE!</v>
      </c>
      <c r="BF280" s="45">
        <f t="shared" si="146"/>
        <v>-1.6708333333333327</v>
      </c>
      <c r="BG280" s="45">
        <f t="shared" si="147"/>
        <v>-1.1000000000000041</v>
      </c>
      <c r="BH280" s="45" t="e">
        <f t="shared" si="148"/>
        <v>#NUM!</v>
      </c>
      <c r="BI280" s="43" t="e">
        <f t="shared" si="149"/>
        <v>#VALUE!</v>
      </c>
      <c r="CA280" s="41" t="s">
        <v>22</v>
      </c>
      <c r="CC280" t="s">
        <v>22</v>
      </c>
      <c r="CE280" s="41" t="s">
        <v>22</v>
      </c>
      <c r="CF280" s="41" t="s">
        <v>22</v>
      </c>
      <c r="CG280" s="41" t="e">
        <f t="shared" si="130"/>
        <v>#VALUE!</v>
      </c>
      <c r="CH280" s="41" t="e">
        <f t="shared" si="150"/>
        <v>#VALUE!</v>
      </c>
      <c r="CI280" s="41">
        <f t="shared" si="151"/>
        <v>1.3</v>
      </c>
      <c r="CJ280" s="41">
        <f t="shared" si="152"/>
        <v>0.11394335230683679</v>
      </c>
      <c r="CL280" s="9" t="s">
        <v>1269</v>
      </c>
      <c r="CM280" s="18" t="s">
        <v>1285</v>
      </c>
      <c r="CN280" s="54" t="s">
        <v>1284</v>
      </c>
      <c r="CO280" s="18" t="s">
        <v>1284</v>
      </c>
    </row>
    <row r="281" spans="1:93" x14ac:dyDescent="0.25">
      <c r="A281" t="s">
        <v>266</v>
      </c>
      <c r="B281" s="41">
        <f>((1.78229829713172*10^-5)^-1)*10^-6</f>
        <v>5.6107330720638351E-2</v>
      </c>
      <c r="C281" s="41" t="s">
        <v>22</v>
      </c>
      <c r="D281" s="41" t="s">
        <v>22</v>
      </c>
      <c r="E281" s="41" t="s">
        <v>22</v>
      </c>
      <c r="F281" t="s">
        <v>22</v>
      </c>
      <c r="G281" t="s">
        <v>22</v>
      </c>
      <c r="H281" t="s">
        <v>22</v>
      </c>
      <c r="I281" t="s">
        <v>22</v>
      </c>
      <c r="J281" s="41" t="s">
        <v>22</v>
      </c>
      <c r="K281" t="s">
        <v>22</v>
      </c>
      <c r="M281" t="s">
        <v>23</v>
      </c>
      <c r="N281" s="41" t="s">
        <v>22</v>
      </c>
      <c r="O281" s="41" t="s">
        <v>22</v>
      </c>
      <c r="P281" s="41" t="s">
        <v>22</v>
      </c>
      <c r="R281" s="41" t="s">
        <v>22</v>
      </c>
      <c r="S281" s="41" t="s">
        <v>22</v>
      </c>
      <c r="T281" s="41" t="s">
        <v>617</v>
      </c>
      <c r="U281" s="41">
        <v>1.3</v>
      </c>
      <c r="V281">
        <v>20200719</v>
      </c>
      <c r="W281" s="16" t="s">
        <v>1126</v>
      </c>
      <c r="X281" s="18">
        <v>2005</v>
      </c>
      <c r="Y281" s="18" t="s">
        <v>143</v>
      </c>
      <c r="Z281" s="18" t="s">
        <v>145</v>
      </c>
      <c r="AA281" s="18"/>
      <c r="AC281" s="18" t="s">
        <v>514</v>
      </c>
      <c r="AD281" s="41" t="s">
        <v>22</v>
      </c>
      <c r="AE281" s="41" t="s">
        <v>22</v>
      </c>
      <c r="AF281" s="41" t="s">
        <v>22</v>
      </c>
      <c r="AG281" s="41" t="s">
        <v>22</v>
      </c>
      <c r="AH281" s="41">
        <v>38.398452793253398</v>
      </c>
      <c r="AI281" s="41">
        <v>17.662770399664399</v>
      </c>
      <c r="AJ281" s="41">
        <v>8.7332616238284206</v>
      </c>
      <c r="AK281" s="41">
        <v>2.7492591952007199</v>
      </c>
      <c r="AL281" s="41">
        <v>1.7822982971317201</v>
      </c>
      <c r="AM281" s="43">
        <f t="shared" si="132"/>
        <v>0.10090706366004647</v>
      </c>
      <c r="AN281" s="43">
        <f t="shared" si="133"/>
        <v>0.20408163340358165</v>
      </c>
      <c r="AO281" s="3" t="s">
        <v>1152</v>
      </c>
      <c r="AT281" s="2">
        <f t="shared" si="134"/>
        <v>7</v>
      </c>
      <c r="AU281" s="45">
        <f t="shared" si="135"/>
        <v>-1.2509803921568607</v>
      </c>
      <c r="AV281" s="45" t="e">
        <f t="shared" si="136"/>
        <v>#VALUE!</v>
      </c>
      <c r="AW281" s="45" t="e">
        <f t="shared" si="137"/>
        <v>#VALUE!</v>
      </c>
      <c r="AX281" s="45" t="e">
        <f t="shared" si="138"/>
        <v>#VALUE!</v>
      </c>
      <c r="AY281" s="45" t="e">
        <f t="shared" si="139"/>
        <v>#VALUE!</v>
      </c>
      <c r="AZ281" s="45" t="e">
        <f t="shared" si="140"/>
        <v>#VALUE!</v>
      </c>
      <c r="BA281" s="45" t="e">
        <f t="shared" si="141"/>
        <v>#VALUE!</v>
      </c>
      <c r="BB281" s="45" t="e">
        <f t="shared" si="142"/>
        <v>#NUM!</v>
      </c>
      <c r="BC281" s="45">
        <f t="shared" si="143"/>
        <v>0.11394335230683679</v>
      </c>
      <c r="BD281" s="45" t="e">
        <f t="shared" si="144"/>
        <v>#VALUE!</v>
      </c>
      <c r="BE281" s="45" t="e">
        <f t="shared" si="145"/>
        <v>#VALUE!</v>
      </c>
      <c r="BF281" s="45">
        <f t="shared" si="146"/>
        <v>-0.99607843137255037</v>
      </c>
      <c r="BG281" s="45">
        <f t="shared" si="147"/>
        <v>-0.69019607843137398</v>
      </c>
      <c r="BH281" s="45" t="e">
        <f t="shared" si="148"/>
        <v>#NUM!</v>
      </c>
      <c r="BI281" s="43" t="e">
        <f t="shared" si="149"/>
        <v>#VALUE!</v>
      </c>
      <c r="CA281" s="41" t="s">
        <v>22</v>
      </c>
      <c r="CI281" s="41">
        <f>IF(ISNUMBER(CG281),CG281,U281)</f>
        <v>1.3</v>
      </c>
      <c r="CJ281" s="41">
        <f>LOG10(CI281)</f>
        <v>0.11394335230683679</v>
      </c>
      <c r="CL281" s="9" t="s">
        <v>1269</v>
      </c>
      <c r="CM281" s="18" t="s">
        <v>1285</v>
      </c>
      <c r="CN281" s="54" t="s">
        <v>1284</v>
      </c>
      <c r="CO281" s="18" t="s">
        <v>1284</v>
      </c>
    </row>
    <row r="282" spans="1:93" x14ac:dyDescent="0.25">
      <c r="A282" s="18" t="s">
        <v>315</v>
      </c>
      <c r="B282" s="41">
        <f>((0.6*10^-5)^-1)*10^-6</f>
        <v>0.16666666666666666</v>
      </c>
      <c r="C282" s="41" t="s">
        <v>22</v>
      </c>
      <c r="D282" s="41" t="s">
        <v>22</v>
      </c>
      <c r="E282" s="41" t="s">
        <v>22</v>
      </c>
      <c r="F282" s="18" t="s">
        <v>22</v>
      </c>
      <c r="G282" s="18" t="s">
        <v>22</v>
      </c>
      <c r="H282" s="18" t="s">
        <v>22</v>
      </c>
      <c r="I282" s="18" t="s">
        <v>22</v>
      </c>
      <c r="J282" s="41" t="s">
        <v>22</v>
      </c>
      <c r="K282" s="18" t="s">
        <v>22</v>
      </c>
      <c r="L282" s="41" t="e">
        <f>IF((10^-12)*J282*K282^4=0,"",(10^-12)*J282*K282^4)</f>
        <v>#VALUE!</v>
      </c>
      <c r="M282" s="18" t="s">
        <v>45</v>
      </c>
      <c r="N282" s="41" t="s">
        <v>22</v>
      </c>
      <c r="O282" s="41" t="s">
        <v>22</v>
      </c>
      <c r="P282" s="41" t="s">
        <v>22</v>
      </c>
      <c r="R282" s="41" t="s">
        <v>22</v>
      </c>
      <c r="S282" s="41" t="s">
        <v>22</v>
      </c>
      <c r="T282" s="41" t="s">
        <v>22</v>
      </c>
      <c r="U282" s="41" t="s">
        <v>22</v>
      </c>
      <c r="V282" s="18">
        <v>20200511</v>
      </c>
      <c r="W282" s="21" t="s">
        <v>267</v>
      </c>
      <c r="X282" s="18">
        <v>2005</v>
      </c>
      <c r="Y282" s="18" t="s">
        <v>328</v>
      </c>
      <c r="Z282" s="18" t="s">
        <v>268</v>
      </c>
      <c r="AA282" s="18" t="s">
        <v>268</v>
      </c>
      <c r="AC282" s="18" t="s">
        <v>269</v>
      </c>
      <c r="AD282" s="41" t="s">
        <v>22</v>
      </c>
      <c r="AE282" s="41" t="s">
        <v>22</v>
      </c>
      <c r="AF282" s="41" t="s">
        <v>22</v>
      </c>
      <c r="AG282" s="41" t="s">
        <v>22</v>
      </c>
      <c r="AH282" s="41">
        <v>1.0193734859388699</v>
      </c>
      <c r="AI282" s="41">
        <v>0.95316188323478801</v>
      </c>
      <c r="AJ282" s="41">
        <v>0.87431245802207302</v>
      </c>
      <c r="AK282" s="41">
        <v>0.69449107137812105</v>
      </c>
      <c r="AL282" s="41">
        <v>0.63703994711821699</v>
      </c>
      <c r="AM282" s="43">
        <f t="shared" si="132"/>
        <v>0.668343917568615</v>
      </c>
      <c r="AN282" s="43">
        <f t="shared" si="133"/>
        <v>0.72861817451322897</v>
      </c>
      <c r="AO282" s="19" t="s">
        <v>1152</v>
      </c>
      <c r="AP282" s="18"/>
      <c r="AQ282" s="18"/>
      <c r="AR282" s="18"/>
      <c r="AS282" s="18"/>
      <c r="AT282" s="2">
        <f t="shared" si="134"/>
        <v>7</v>
      </c>
      <c r="AU282" s="45">
        <f t="shared" si="135"/>
        <v>-0.77815125038364363</v>
      </c>
      <c r="AV282" s="45" t="e">
        <f t="shared" si="136"/>
        <v>#VALUE!</v>
      </c>
      <c r="AW282" s="45" t="e">
        <f t="shared" si="137"/>
        <v>#VALUE!</v>
      </c>
      <c r="AX282" s="45" t="e">
        <f t="shared" si="138"/>
        <v>#VALUE!</v>
      </c>
      <c r="AY282" s="45" t="e">
        <f t="shared" si="139"/>
        <v>#VALUE!</v>
      </c>
      <c r="AZ282" s="45" t="e">
        <f t="shared" si="140"/>
        <v>#VALUE!</v>
      </c>
      <c r="BA282" s="45" t="e">
        <f t="shared" si="141"/>
        <v>#VALUE!</v>
      </c>
      <c r="BB282" s="45" t="e">
        <f t="shared" si="142"/>
        <v>#VALUE!</v>
      </c>
      <c r="BC282" s="45" t="e">
        <f t="shared" si="143"/>
        <v>#VALUE!</v>
      </c>
      <c r="BD282" s="45" t="e">
        <f t="shared" si="144"/>
        <v>#VALUE!</v>
      </c>
      <c r="BE282" s="45" t="e">
        <f t="shared" si="145"/>
        <v>#VALUE!</v>
      </c>
      <c r="BF282" s="45">
        <f t="shared" si="146"/>
        <v>-0.17499999999999974</v>
      </c>
      <c r="BG282" s="45">
        <f t="shared" si="147"/>
        <v>-0.13749999999999926</v>
      </c>
      <c r="BH282" s="45" t="e">
        <f t="shared" si="148"/>
        <v>#NUM!</v>
      </c>
      <c r="BI282" s="43" t="e">
        <f t="shared" si="149"/>
        <v>#VALUE!</v>
      </c>
      <c r="BJ282" s="18"/>
      <c r="BK282" s="18"/>
      <c r="BL282" s="20"/>
      <c r="BS282" s="18"/>
      <c r="BT282" s="18"/>
      <c r="CA282" s="41" t="s">
        <v>22</v>
      </c>
      <c r="CB282" s="18"/>
      <c r="CC282" t="s">
        <v>22</v>
      </c>
      <c r="CE282" s="41" t="s">
        <v>22</v>
      </c>
      <c r="CF282" s="41" t="s">
        <v>22</v>
      </c>
      <c r="CG282" s="41" t="e">
        <f>AD282*1000</f>
        <v>#VALUE!</v>
      </c>
      <c r="CH282" s="41" t="e">
        <f>LOG10(CG282)</f>
        <v>#VALUE!</v>
      </c>
      <c r="CI282" s="41" t="str">
        <f>IF(ISNUMBER(CG282),CG282,U282)</f>
        <v>Not Reported/ Can not calculate</v>
      </c>
      <c r="CJ282" s="41" t="e">
        <f>LOG10(CI282)</f>
        <v>#VALUE!</v>
      </c>
      <c r="CL282" s="9" t="s">
        <v>1269</v>
      </c>
      <c r="CM282" s="18" t="s">
        <v>1284</v>
      </c>
      <c r="CN282" s="54" t="s">
        <v>1284</v>
      </c>
      <c r="CO282" s="18" t="s">
        <v>1284</v>
      </c>
    </row>
    <row r="283" spans="1:93" x14ac:dyDescent="0.25">
      <c r="A283" s="18" t="s">
        <v>315</v>
      </c>
      <c r="B283" s="41">
        <f>((9*10^-5)^-1)*10^-6</f>
        <v>1.1111111111111112E-2</v>
      </c>
      <c r="C283" s="41" t="s">
        <v>22</v>
      </c>
      <c r="D283" s="41" t="s">
        <v>22</v>
      </c>
      <c r="E283" s="41" t="s">
        <v>22</v>
      </c>
      <c r="F283" s="18" t="s">
        <v>22</v>
      </c>
      <c r="G283" s="18" t="s">
        <v>22</v>
      </c>
      <c r="H283" s="18" t="s">
        <v>22</v>
      </c>
      <c r="I283" s="18" t="s">
        <v>22</v>
      </c>
      <c r="J283" s="41" t="s">
        <v>22</v>
      </c>
      <c r="K283" s="18" t="s">
        <v>22</v>
      </c>
      <c r="L283" s="41" t="e">
        <f>IF((10^-12)*J283*K283^4=0,"",(10^-12)*J283*K283^4)</f>
        <v>#VALUE!</v>
      </c>
      <c r="M283" s="18" t="s">
        <v>23</v>
      </c>
      <c r="N283" s="41" t="s">
        <v>22</v>
      </c>
      <c r="O283" s="41" t="s">
        <v>22</v>
      </c>
      <c r="P283" s="41" t="s">
        <v>22</v>
      </c>
      <c r="R283" s="41" t="s">
        <v>22</v>
      </c>
      <c r="S283" s="41" t="s">
        <v>22</v>
      </c>
      <c r="T283" s="41" t="s">
        <v>22</v>
      </c>
      <c r="U283" s="41" t="s">
        <v>22</v>
      </c>
      <c r="V283" s="18">
        <v>20200511</v>
      </c>
      <c r="W283" s="21" t="s">
        <v>1127</v>
      </c>
      <c r="X283" s="18">
        <v>2005</v>
      </c>
      <c r="Y283" s="18" t="s">
        <v>328</v>
      </c>
      <c r="Z283" s="18" t="s">
        <v>1129</v>
      </c>
      <c r="AA283" s="18"/>
      <c r="AC283" s="18" t="s">
        <v>269</v>
      </c>
      <c r="AD283" s="41" t="s">
        <v>22</v>
      </c>
      <c r="AE283" s="41" t="s">
        <v>22</v>
      </c>
      <c r="AF283" s="41" t="s">
        <v>22</v>
      </c>
      <c r="AG283" s="41" t="s">
        <v>22</v>
      </c>
      <c r="AH283" s="41">
        <v>8912.5093813374497</v>
      </c>
      <c r="AI283" s="41">
        <v>383.11868495572901</v>
      </c>
      <c r="AJ283" s="41">
        <v>98.099471272687694</v>
      </c>
      <c r="AK283" s="41">
        <v>15.848931924611099</v>
      </c>
      <c r="AL283" s="41">
        <v>8.6596432336006508</v>
      </c>
      <c r="AM283" s="43">
        <f t="shared" si="132"/>
        <v>2.2603030271419178E-2</v>
      </c>
      <c r="AN283" s="43">
        <f t="shared" si="133"/>
        <v>8.8274107100224708E-2</v>
      </c>
      <c r="AO283" s="19" t="s">
        <v>1152</v>
      </c>
      <c r="AP283" s="18"/>
      <c r="AQ283" s="18"/>
      <c r="AR283" s="18"/>
      <c r="AS283" s="18"/>
      <c r="AT283" s="2">
        <f t="shared" si="134"/>
        <v>7</v>
      </c>
      <c r="AU283" s="45">
        <f t="shared" si="135"/>
        <v>-1.9542425094393248</v>
      </c>
      <c r="AV283" s="45" t="e">
        <f t="shared" si="136"/>
        <v>#VALUE!</v>
      </c>
      <c r="AW283" s="45" t="e">
        <f t="shared" si="137"/>
        <v>#VALUE!</v>
      </c>
      <c r="AX283" s="45" t="e">
        <f t="shared" si="138"/>
        <v>#VALUE!</v>
      </c>
      <c r="AY283" s="45" t="e">
        <f t="shared" si="139"/>
        <v>#VALUE!</v>
      </c>
      <c r="AZ283" s="45" t="e">
        <f t="shared" si="140"/>
        <v>#VALUE!</v>
      </c>
      <c r="BA283" s="45" t="e">
        <f t="shared" si="141"/>
        <v>#VALUE!</v>
      </c>
      <c r="BB283" s="45" t="e">
        <f t="shared" si="142"/>
        <v>#VALUE!</v>
      </c>
      <c r="BC283" s="45" t="e">
        <f t="shared" si="143"/>
        <v>#VALUE!</v>
      </c>
      <c r="BD283" s="45" t="e">
        <f t="shared" si="144"/>
        <v>#VALUE!</v>
      </c>
      <c r="BE283" s="45" t="e">
        <f t="shared" si="145"/>
        <v>#VALUE!</v>
      </c>
      <c r="BF283" s="45">
        <f t="shared" si="146"/>
        <v>-1.6458333333333337</v>
      </c>
      <c r="BG283" s="45">
        <f t="shared" si="147"/>
        <v>-1.0541666666666667</v>
      </c>
      <c r="BH283" s="45" t="e">
        <f t="shared" si="148"/>
        <v>#NUM!</v>
      </c>
      <c r="BI283" s="43" t="e">
        <f t="shared" si="149"/>
        <v>#VALUE!</v>
      </c>
      <c r="BJ283" s="18"/>
      <c r="BK283" s="18"/>
      <c r="BL283" s="20"/>
      <c r="BS283" s="18"/>
      <c r="BT283" s="18"/>
      <c r="CA283" s="41" t="s">
        <v>22</v>
      </c>
      <c r="CB283" s="18"/>
      <c r="CC283" t="s">
        <v>22</v>
      </c>
      <c r="CE283" s="41" t="s">
        <v>22</v>
      </c>
      <c r="CF283" s="41" t="s">
        <v>22</v>
      </c>
      <c r="CG283" s="41" t="e">
        <f>AD283*1000</f>
        <v>#VALUE!</v>
      </c>
      <c r="CH283" s="41" t="e">
        <f>LOG10(CG283)</f>
        <v>#VALUE!</v>
      </c>
      <c r="CI283" s="41" t="str">
        <f>IF(ISNUMBER(CG283),CG283,U283)</f>
        <v>Not Reported/ Can not calculate</v>
      </c>
      <c r="CJ283" s="41" t="e">
        <f>LOG10(CI283)</f>
        <v>#VALUE!</v>
      </c>
      <c r="CL283" s="9" t="s">
        <v>1269</v>
      </c>
      <c r="CM283" s="18" t="s">
        <v>1284</v>
      </c>
      <c r="CN283" s="54" t="s">
        <v>1284</v>
      </c>
      <c r="CO283" s="18" t="s">
        <v>1284</v>
      </c>
    </row>
    <row r="284" spans="1:93" x14ac:dyDescent="0.25">
      <c r="A284" s="18" t="s">
        <v>315</v>
      </c>
      <c r="B284" s="41">
        <f>((0.709545732153428*10^-5)^-1)*10^-6</f>
        <v>0.1409352427453916</v>
      </c>
      <c r="C284" s="41" t="s">
        <v>22</v>
      </c>
      <c r="D284" s="41" t="s">
        <v>22</v>
      </c>
      <c r="E284" s="41" t="s">
        <v>22</v>
      </c>
      <c r="F284" s="18" t="s">
        <v>22</v>
      </c>
      <c r="G284" s="18" t="s">
        <v>22</v>
      </c>
      <c r="H284" s="18" t="s">
        <v>22</v>
      </c>
      <c r="I284" s="18" t="s">
        <v>22</v>
      </c>
      <c r="J284" s="41" t="s">
        <v>22</v>
      </c>
      <c r="K284" s="18" t="s">
        <v>22</v>
      </c>
      <c r="M284" s="18" t="s">
        <v>45</v>
      </c>
      <c r="N284" s="41" t="s">
        <v>22</v>
      </c>
      <c r="O284" s="41" t="s">
        <v>22</v>
      </c>
      <c r="P284" s="41" t="s">
        <v>22</v>
      </c>
      <c r="R284" s="41" t="s">
        <v>22</v>
      </c>
      <c r="S284" s="41" t="s">
        <v>22</v>
      </c>
      <c r="T284" s="41" t="s">
        <v>22</v>
      </c>
      <c r="U284" s="41" t="s">
        <v>22</v>
      </c>
      <c r="V284" s="18">
        <v>20200719</v>
      </c>
      <c r="W284" s="21" t="s">
        <v>1128</v>
      </c>
      <c r="X284" s="18">
        <v>2005</v>
      </c>
      <c r="Y284" s="18" t="s">
        <v>328</v>
      </c>
      <c r="Z284" s="18" t="s">
        <v>32</v>
      </c>
      <c r="AA284" s="18"/>
      <c r="AC284" s="18" t="s">
        <v>514</v>
      </c>
      <c r="AD284" s="41" t="s">
        <v>22</v>
      </c>
      <c r="AE284" s="41" t="s">
        <v>22</v>
      </c>
      <c r="AF284" s="41" t="s">
        <v>22</v>
      </c>
      <c r="AG284" s="41" t="s">
        <v>22</v>
      </c>
      <c r="AH284" s="41">
        <v>2.2135943580475499</v>
      </c>
      <c r="AI284" s="41">
        <v>1.54253594901881</v>
      </c>
      <c r="AJ284" s="41">
        <v>1.2197603440923399</v>
      </c>
      <c r="AK284" s="41">
        <v>0.79075002749090795</v>
      </c>
      <c r="AL284" s="41">
        <v>0.70954573215342798</v>
      </c>
      <c r="AM284" s="43">
        <f t="shared" si="132"/>
        <v>0.45998651286199338</v>
      </c>
      <c r="AN284" s="43">
        <f t="shared" si="133"/>
        <v>0.58170913293743953</v>
      </c>
      <c r="AO284" s="19" t="s">
        <v>1152</v>
      </c>
      <c r="AP284" s="18"/>
      <c r="AQ284" s="18"/>
      <c r="AR284" s="18"/>
      <c r="AS284" s="18"/>
      <c r="AT284" s="2">
        <f t="shared" si="134"/>
        <v>7</v>
      </c>
      <c r="AU284" s="45">
        <f t="shared" si="135"/>
        <v>-0.85098039215686239</v>
      </c>
      <c r="AV284" s="45" t="e">
        <f t="shared" si="136"/>
        <v>#VALUE!</v>
      </c>
      <c r="AW284" s="45" t="e">
        <f t="shared" si="137"/>
        <v>#VALUE!</v>
      </c>
      <c r="AX284" s="45" t="e">
        <f t="shared" si="138"/>
        <v>#VALUE!</v>
      </c>
      <c r="AY284" s="45" t="e">
        <f t="shared" si="139"/>
        <v>#VALUE!</v>
      </c>
      <c r="AZ284" s="45" t="e">
        <f t="shared" si="140"/>
        <v>#VALUE!</v>
      </c>
      <c r="BA284" s="45" t="e">
        <f t="shared" si="141"/>
        <v>#VALUE!</v>
      </c>
      <c r="BB284" s="45" t="e">
        <f t="shared" si="142"/>
        <v>#NUM!</v>
      </c>
      <c r="BC284" s="45" t="e">
        <f t="shared" si="143"/>
        <v>#VALUE!</v>
      </c>
      <c r="BD284" s="45" t="e">
        <f t="shared" si="144"/>
        <v>#VALUE!</v>
      </c>
      <c r="BE284" s="45" t="e">
        <f t="shared" si="145"/>
        <v>#VALUE!</v>
      </c>
      <c r="BF284" s="45">
        <f t="shared" si="146"/>
        <v>-0.33725490196078151</v>
      </c>
      <c r="BG284" s="45">
        <f t="shared" si="147"/>
        <v>-0.23529411764705607</v>
      </c>
      <c r="BH284" s="45" t="e">
        <f t="shared" si="148"/>
        <v>#NUM!</v>
      </c>
      <c r="BI284" s="43" t="e">
        <f t="shared" si="149"/>
        <v>#VALUE!</v>
      </c>
      <c r="BJ284" s="18"/>
      <c r="BK284" s="18"/>
      <c r="BL284" s="20"/>
      <c r="BS284" s="18"/>
      <c r="BT284" s="18"/>
      <c r="CA284" s="41" t="s">
        <v>22</v>
      </c>
      <c r="CB284" s="18"/>
      <c r="CI284" s="41" t="str">
        <f>IF(ISNUMBER(CG284),CG284,U284)</f>
        <v>Not Reported/ Can not calculate</v>
      </c>
      <c r="CJ284" s="41" t="e">
        <f>LOG10(CI284)</f>
        <v>#VALUE!</v>
      </c>
      <c r="CL284" s="9" t="s">
        <v>1269</v>
      </c>
      <c r="CM284" s="18" t="s">
        <v>1284</v>
      </c>
      <c r="CN284" s="54" t="s">
        <v>1284</v>
      </c>
      <c r="CO284" s="18" t="s">
        <v>1284</v>
      </c>
    </row>
    <row r="285" spans="1:93" x14ac:dyDescent="0.25">
      <c r="A285" s="18" t="s">
        <v>347</v>
      </c>
      <c r="B285" s="41">
        <v>0.05</v>
      </c>
      <c r="C285" s="41" t="s">
        <v>22</v>
      </c>
      <c r="D285" s="41" t="s">
        <v>22</v>
      </c>
      <c r="E285" s="41" t="s">
        <v>22</v>
      </c>
      <c r="F285" s="18" t="s">
        <v>22</v>
      </c>
      <c r="G285" s="18" t="s">
        <v>22</v>
      </c>
      <c r="H285" s="18" t="s">
        <v>22</v>
      </c>
      <c r="I285" s="18" t="s">
        <v>22</v>
      </c>
      <c r="J285" s="41" t="s">
        <v>22</v>
      </c>
      <c r="K285" s="18" t="s">
        <v>22</v>
      </c>
      <c r="L285" s="41" t="s">
        <v>22</v>
      </c>
      <c r="M285" s="18" t="s">
        <v>23</v>
      </c>
      <c r="N285" s="41" t="s">
        <v>22</v>
      </c>
      <c r="O285" s="41" t="s">
        <v>22</v>
      </c>
      <c r="P285" s="41" t="s">
        <v>22</v>
      </c>
      <c r="R285" s="41" t="s">
        <v>22</v>
      </c>
      <c r="S285" s="41" t="s">
        <v>22</v>
      </c>
      <c r="T285" s="41" t="s">
        <v>22</v>
      </c>
      <c r="U285" s="41" t="s">
        <v>22</v>
      </c>
      <c r="V285" s="18">
        <v>20191229</v>
      </c>
      <c r="W285" s="21" t="s">
        <v>348</v>
      </c>
      <c r="X285" s="18">
        <v>2005</v>
      </c>
      <c r="Y285" s="18" t="s">
        <v>22</v>
      </c>
      <c r="Z285" s="18" t="s">
        <v>22</v>
      </c>
      <c r="AA285" s="18"/>
      <c r="AC285" s="18" t="s">
        <v>22</v>
      </c>
      <c r="AD285" s="41" t="s">
        <v>22</v>
      </c>
      <c r="AE285" s="41" t="s">
        <v>22</v>
      </c>
      <c r="AF285" s="41" t="s">
        <v>22</v>
      </c>
      <c r="AG285" s="41" t="s">
        <v>22</v>
      </c>
      <c r="AH285" s="41" t="s">
        <v>22</v>
      </c>
      <c r="AI285" s="41" t="s">
        <v>22</v>
      </c>
      <c r="AJ285" s="41" t="s">
        <v>22</v>
      </c>
      <c r="AK285" s="41" t="s">
        <v>22</v>
      </c>
      <c r="AL285" s="41" t="s">
        <v>22</v>
      </c>
      <c r="AM285" s="43" t="e">
        <f t="shared" si="132"/>
        <v>#VALUE!</v>
      </c>
      <c r="AN285" s="43" t="e">
        <f t="shared" si="133"/>
        <v>#VALUE!</v>
      </c>
      <c r="AO285" s="19" t="s">
        <v>1152</v>
      </c>
      <c r="AP285" s="18"/>
      <c r="AQ285" s="18"/>
      <c r="AR285" s="18"/>
      <c r="AS285" s="18"/>
      <c r="AT285" s="2">
        <f t="shared" si="134"/>
        <v>7</v>
      </c>
      <c r="AU285" s="45">
        <f t="shared" si="135"/>
        <v>-1.3010299956639813</v>
      </c>
      <c r="AV285" s="45" t="e">
        <f t="shared" si="136"/>
        <v>#VALUE!</v>
      </c>
      <c r="AW285" s="45" t="e">
        <f t="shared" si="137"/>
        <v>#VALUE!</v>
      </c>
      <c r="AX285" s="45" t="e">
        <f t="shared" si="138"/>
        <v>#VALUE!</v>
      </c>
      <c r="AY285" s="45" t="e">
        <f t="shared" si="139"/>
        <v>#VALUE!</v>
      </c>
      <c r="AZ285" s="45" t="e">
        <f t="shared" si="140"/>
        <v>#VALUE!</v>
      </c>
      <c r="BA285" s="45" t="e">
        <f t="shared" si="141"/>
        <v>#VALUE!</v>
      </c>
      <c r="BB285" s="45" t="e">
        <f t="shared" si="142"/>
        <v>#VALUE!</v>
      </c>
      <c r="BC285" s="45" t="e">
        <f t="shared" si="143"/>
        <v>#VALUE!</v>
      </c>
      <c r="BD285" s="45" t="e">
        <f t="shared" si="144"/>
        <v>#VALUE!</v>
      </c>
      <c r="BE285" s="45" t="e">
        <f t="shared" si="145"/>
        <v>#VALUE!</v>
      </c>
      <c r="BF285" s="45" t="e">
        <f t="shared" si="146"/>
        <v>#VALUE!</v>
      </c>
      <c r="BG285" s="45" t="e">
        <f t="shared" si="147"/>
        <v>#VALUE!</v>
      </c>
      <c r="BH285" s="45" t="e">
        <f t="shared" si="148"/>
        <v>#NUM!</v>
      </c>
      <c r="BI285" s="43" t="e">
        <f t="shared" si="149"/>
        <v>#VALUE!</v>
      </c>
      <c r="BJ285" s="18"/>
      <c r="BK285" s="18"/>
      <c r="BL285" s="20"/>
      <c r="BS285" s="18"/>
      <c r="BT285" s="18"/>
      <c r="CA285" s="41" t="s">
        <v>22</v>
      </c>
      <c r="CB285" s="18"/>
      <c r="CC285" t="s">
        <v>22</v>
      </c>
      <c r="CE285" s="41" t="s">
        <v>22</v>
      </c>
      <c r="CF285" s="41" t="s">
        <v>22</v>
      </c>
      <c r="CG285" s="41" t="e">
        <f t="shared" ref="CG285:CG301" si="153">AD285*1000</f>
        <v>#VALUE!</v>
      </c>
      <c r="CH285" s="41" t="e">
        <f t="shared" ref="CH285:CH301" si="154">LOG10(CG285)</f>
        <v>#VALUE!</v>
      </c>
      <c r="CI285" s="41" t="str">
        <f t="shared" ref="CI285:CI301" si="155">IF(ISNUMBER(CG285),CG285,U285)</f>
        <v>Not Reported/ Can not calculate</v>
      </c>
      <c r="CJ285" s="41" t="e">
        <f t="shared" ref="CJ285:CJ301" si="156">LOG10(CI285)</f>
        <v>#VALUE!</v>
      </c>
      <c r="CL285" s="9" t="e">
        <v>#N/A</v>
      </c>
      <c r="CM285" s="18" t="s">
        <v>1284</v>
      </c>
      <c r="CN285" s="54" t="s">
        <v>1284</v>
      </c>
      <c r="CO285" s="18" t="s">
        <v>1284</v>
      </c>
    </row>
    <row r="286" spans="1:93" x14ac:dyDescent="0.25">
      <c r="A286" s="18" t="s">
        <v>352</v>
      </c>
      <c r="B286" s="41" t="s">
        <v>429</v>
      </c>
      <c r="E286" s="41" t="s">
        <v>22</v>
      </c>
      <c r="F286" s="18" t="s">
        <v>22</v>
      </c>
      <c r="G286" s="18" t="s">
        <v>22</v>
      </c>
      <c r="H286" s="18" t="s">
        <v>22</v>
      </c>
      <c r="I286" s="18" t="s">
        <v>22</v>
      </c>
      <c r="J286" s="41" t="s">
        <v>22</v>
      </c>
      <c r="K286" s="18" t="s">
        <v>22</v>
      </c>
      <c r="L286" s="41" t="e">
        <f>IF((10^-12)*J286*K286^4=0,"",(10^-12)*J286*K286^4)</f>
        <v>#VALUE!</v>
      </c>
      <c r="M286" s="18" t="s">
        <v>23</v>
      </c>
      <c r="N286" s="41" t="s">
        <v>22</v>
      </c>
      <c r="O286" s="41" t="s">
        <v>22</v>
      </c>
      <c r="P286" s="41" t="s">
        <v>22</v>
      </c>
      <c r="R286" s="41" t="s">
        <v>22</v>
      </c>
      <c r="S286" s="41" t="s">
        <v>22</v>
      </c>
      <c r="T286" s="41">
        <v>100</v>
      </c>
      <c r="U286" s="41">
        <v>100</v>
      </c>
      <c r="V286" s="18">
        <v>20200525</v>
      </c>
      <c r="W286" s="21" t="s">
        <v>901</v>
      </c>
      <c r="X286" s="18">
        <v>2005</v>
      </c>
      <c r="Y286" s="18" t="s">
        <v>1133</v>
      </c>
      <c r="Z286" s="18" t="s">
        <v>32</v>
      </c>
      <c r="AA286" s="18"/>
      <c r="AC286" s="18" t="s">
        <v>514</v>
      </c>
      <c r="AD286" s="41" t="s">
        <v>22</v>
      </c>
      <c r="AE286" s="41" t="s">
        <v>22</v>
      </c>
      <c r="AF286" s="41" t="s">
        <v>22</v>
      </c>
      <c r="AG286" s="41" t="s">
        <v>22</v>
      </c>
      <c r="AH286" s="41" t="s">
        <v>22</v>
      </c>
      <c r="AI286" s="41" t="s">
        <v>22</v>
      </c>
      <c r="AJ286" s="41" t="s">
        <v>22</v>
      </c>
      <c r="AK286" s="41" t="s">
        <v>22</v>
      </c>
      <c r="AL286" s="41" t="s">
        <v>22</v>
      </c>
      <c r="AM286" s="43" t="e">
        <f t="shared" si="132"/>
        <v>#VALUE!</v>
      </c>
      <c r="AN286" s="43" t="e">
        <f t="shared" si="133"/>
        <v>#VALUE!</v>
      </c>
      <c r="AO286" s="19" t="s">
        <v>356</v>
      </c>
      <c r="AP286" s="18"/>
      <c r="AQ286" s="18"/>
      <c r="AR286" s="18"/>
      <c r="AS286" s="18"/>
      <c r="AT286" s="2">
        <f t="shared" si="134"/>
        <v>1</v>
      </c>
      <c r="AU286" s="45" t="e">
        <f t="shared" si="135"/>
        <v>#VALUE!</v>
      </c>
      <c r="AV286" s="45" t="e">
        <f t="shared" si="136"/>
        <v>#NUM!</v>
      </c>
      <c r="AW286" s="45" t="e">
        <f t="shared" si="137"/>
        <v>#NUM!</v>
      </c>
      <c r="AX286" s="45" t="e">
        <f t="shared" si="138"/>
        <v>#VALUE!</v>
      </c>
      <c r="AY286" s="45" t="e">
        <f t="shared" si="139"/>
        <v>#VALUE!</v>
      </c>
      <c r="AZ286" s="45" t="e">
        <f t="shared" si="140"/>
        <v>#VALUE!</v>
      </c>
      <c r="BA286" s="45" t="e">
        <f t="shared" si="141"/>
        <v>#VALUE!</v>
      </c>
      <c r="BB286" s="45" t="e">
        <f t="shared" si="142"/>
        <v>#VALUE!</v>
      </c>
      <c r="BC286" s="45">
        <f t="shared" si="143"/>
        <v>2</v>
      </c>
      <c r="BD286" s="45" t="e">
        <f t="shared" si="144"/>
        <v>#VALUE!</v>
      </c>
      <c r="BE286" s="45" t="e">
        <f t="shared" si="145"/>
        <v>#VALUE!</v>
      </c>
      <c r="BF286" s="45" t="e">
        <f t="shared" si="146"/>
        <v>#VALUE!</v>
      </c>
      <c r="BG286" s="45" t="e">
        <f t="shared" si="147"/>
        <v>#VALUE!</v>
      </c>
      <c r="BH286" s="45" t="e">
        <f t="shared" si="148"/>
        <v>#NUM!</v>
      </c>
      <c r="BI286" s="43" t="e">
        <f t="shared" si="149"/>
        <v>#VALUE!</v>
      </c>
      <c r="BJ286" s="18"/>
      <c r="BK286" s="18"/>
      <c r="BL286" s="20"/>
      <c r="BS286" s="18"/>
      <c r="BT286" s="18"/>
      <c r="CA286" s="41" t="s">
        <v>22</v>
      </c>
      <c r="CB286" s="18"/>
      <c r="CC286" t="s">
        <v>22</v>
      </c>
      <c r="CE286" s="41" t="s">
        <v>22</v>
      </c>
      <c r="CF286" s="41" t="s">
        <v>22</v>
      </c>
      <c r="CG286" s="41" t="e">
        <f t="shared" si="153"/>
        <v>#VALUE!</v>
      </c>
      <c r="CH286" s="41" t="e">
        <f t="shared" si="154"/>
        <v>#VALUE!</v>
      </c>
      <c r="CI286" s="41">
        <f t="shared" si="155"/>
        <v>100</v>
      </c>
      <c r="CJ286" s="41">
        <f t="shared" si="156"/>
        <v>2</v>
      </c>
      <c r="CL286" s="9" t="s">
        <v>1269</v>
      </c>
      <c r="CM286" s="18" t="s">
        <v>1285</v>
      </c>
      <c r="CN286" s="54" t="s">
        <v>1284</v>
      </c>
      <c r="CO286" s="18" t="s">
        <v>1284</v>
      </c>
    </row>
    <row r="287" spans="1:93" x14ac:dyDescent="0.25">
      <c r="A287" s="18" t="s">
        <v>352</v>
      </c>
      <c r="B287" s="41">
        <v>0.13</v>
      </c>
      <c r="C287" s="41">
        <v>2.1</v>
      </c>
      <c r="D287" s="41">
        <f>0.001*(B287*10^6)/(C287*0.001*100^3)</f>
        <v>6.1904761904761893E-2</v>
      </c>
      <c r="E287" s="41" t="s">
        <v>22</v>
      </c>
      <c r="F287" s="18" t="s">
        <v>22</v>
      </c>
      <c r="G287" s="18" t="s">
        <v>22</v>
      </c>
      <c r="H287" s="18" t="s">
        <v>22</v>
      </c>
      <c r="I287" s="18" t="s">
        <v>22</v>
      </c>
      <c r="J287" s="41" t="s">
        <v>22</v>
      </c>
      <c r="K287" s="18" t="s">
        <v>22</v>
      </c>
      <c r="M287" s="18" t="s">
        <v>23</v>
      </c>
      <c r="N287" s="41" t="s">
        <v>22</v>
      </c>
      <c r="O287" s="41" t="s">
        <v>22</v>
      </c>
      <c r="P287" s="41" t="s">
        <v>22</v>
      </c>
      <c r="R287" s="41" t="s">
        <v>22</v>
      </c>
      <c r="S287" s="41" t="s">
        <v>22</v>
      </c>
      <c r="T287" s="41">
        <v>12</v>
      </c>
      <c r="U287" s="41">
        <v>12</v>
      </c>
      <c r="V287" s="18">
        <v>20200518</v>
      </c>
      <c r="W287" s="9" t="s">
        <v>954</v>
      </c>
      <c r="X287" s="18">
        <v>2005</v>
      </c>
      <c r="Y287" s="18" t="s">
        <v>22</v>
      </c>
      <c r="Z287" s="18" t="s">
        <v>32</v>
      </c>
      <c r="AA287" s="2" t="s">
        <v>22</v>
      </c>
      <c r="AB287" s="43" t="s">
        <v>22</v>
      </c>
      <c r="AC287" s="2" t="s">
        <v>514</v>
      </c>
      <c r="AD287" s="41" t="s">
        <v>22</v>
      </c>
      <c r="AE287" s="41" t="s">
        <v>22</v>
      </c>
      <c r="AF287" s="41" t="s">
        <v>22</v>
      </c>
      <c r="AG287" s="41" t="s">
        <v>22</v>
      </c>
      <c r="AH287" s="41" t="s">
        <v>22</v>
      </c>
      <c r="AI287" s="41" t="s">
        <v>22</v>
      </c>
      <c r="AJ287" s="41" t="s">
        <v>22</v>
      </c>
      <c r="AK287" s="41" t="s">
        <v>22</v>
      </c>
      <c r="AL287" s="41" t="s">
        <v>22</v>
      </c>
      <c r="AM287" s="43" t="e">
        <f t="shared" si="132"/>
        <v>#VALUE!</v>
      </c>
      <c r="AN287" s="43" t="e">
        <f t="shared" si="133"/>
        <v>#VALUE!</v>
      </c>
      <c r="AO287" s="18" t="s">
        <v>829</v>
      </c>
      <c r="AP287" s="18"/>
      <c r="AQ287" s="18"/>
      <c r="AR287" s="18"/>
      <c r="AS287" s="18"/>
      <c r="AT287" s="2">
        <f t="shared" si="134"/>
        <v>6</v>
      </c>
      <c r="AU287" s="45">
        <f t="shared" si="135"/>
        <v>-0.88605664769316317</v>
      </c>
      <c r="AV287" s="45">
        <f t="shared" si="136"/>
        <v>0.3222192947339193</v>
      </c>
      <c r="AW287" s="45">
        <f t="shared" si="137"/>
        <v>-1.2082759424270826</v>
      </c>
      <c r="AX287" s="45" t="e">
        <f t="shared" si="138"/>
        <v>#VALUE!</v>
      </c>
      <c r="AY287" s="45" t="e">
        <f t="shared" si="139"/>
        <v>#VALUE!</v>
      </c>
      <c r="AZ287" s="45" t="e">
        <f t="shared" si="140"/>
        <v>#VALUE!</v>
      </c>
      <c r="BA287" s="45" t="e">
        <f t="shared" si="141"/>
        <v>#VALUE!</v>
      </c>
      <c r="BB287" s="45" t="e">
        <f t="shared" si="142"/>
        <v>#NUM!</v>
      </c>
      <c r="BC287" s="45">
        <f t="shared" si="143"/>
        <v>1.0791812460476249</v>
      </c>
      <c r="BD287" s="45" t="e">
        <f t="shared" si="144"/>
        <v>#VALUE!</v>
      </c>
      <c r="BE287" s="45" t="e">
        <f t="shared" si="145"/>
        <v>#VALUE!</v>
      </c>
      <c r="BF287" s="45" t="e">
        <f t="shared" si="146"/>
        <v>#VALUE!</v>
      </c>
      <c r="BG287" s="45" t="e">
        <f t="shared" si="147"/>
        <v>#VALUE!</v>
      </c>
      <c r="BH287" s="45" t="e">
        <f t="shared" si="148"/>
        <v>#VALUE!</v>
      </c>
      <c r="BI287" s="43" t="e">
        <f t="shared" si="149"/>
        <v>#VALUE!</v>
      </c>
      <c r="BJ287" s="2" t="s">
        <v>520</v>
      </c>
      <c r="BK287" s="2" t="s">
        <v>22</v>
      </c>
      <c r="BL287" s="2" t="s">
        <v>22</v>
      </c>
      <c r="BM287" s="41" t="s">
        <v>22</v>
      </c>
      <c r="BN287" s="41" t="s">
        <v>22</v>
      </c>
      <c r="BO287" s="43" t="e">
        <f t="shared" ref="BO287:BO292" si="157">BN287/(C287*1000000)</f>
        <v>#VALUE!</v>
      </c>
      <c r="BP287" s="41" t="s">
        <v>22</v>
      </c>
      <c r="BQ287" s="41" t="s">
        <v>22</v>
      </c>
      <c r="BR287" s="41" t="s">
        <v>22</v>
      </c>
      <c r="BS287" s="18" t="s">
        <v>522</v>
      </c>
      <c r="BT287" s="2" t="s">
        <v>871</v>
      </c>
      <c r="BU287" s="41">
        <v>0.24</v>
      </c>
      <c r="BV287" s="41">
        <v>2480135465761.2129</v>
      </c>
      <c r="BW287" s="43">
        <f t="shared" ref="BW287:BW292" si="158">BV287/(C287*1000000)</f>
        <v>1181016.8884577204</v>
      </c>
      <c r="BX287" s="43" t="s">
        <v>22</v>
      </c>
      <c r="BY287" s="43" t="s">
        <v>22</v>
      </c>
      <c r="BZ287" s="41">
        <v>0.2</v>
      </c>
      <c r="CA287" s="41">
        <v>0.2</v>
      </c>
      <c r="CB287" s="18" t="s">
        <v>866</v>
      </c>
      <c r="CC287" t="s">
        <v>1009</v>
      </c>
      <c r="CE287" s="41" t="e">
        <f t="shared" ref="CE287:CE292" si="159">LOG10(BN287)</f>
        <v>#VALUE!</v>
      </c>
      <c r="CF287" s="41">
        <f t="shared" ref="CF287:CF292" si="160">LOG10(BV287)</f>
        <v>12.39447540277212</v>
      </c>
      <c r="CG287" s="41" t="e">
        <f t="shared" si="153"/>
        <v>#VALUE!</v>
      </c>
      <c r="CH287" s="41" t="e">
        <f t="shared" si="154"/>
        <v>#VALUE!</v>
      </c>
      <c r="CI287" s="41">
        <f t="shared" si="155"/>
        <v>12</v>
      </c>
      <c r="CJ287" s="41">
        <f t="shared" si="156"/>
        <v>1.0791812460476249</v>
      </c>
      <c r="CL287" s="9" t="s">
        <v>1269</v>
      </c>
      <c r="CM287" s="18" t="s">
        <v>1285</v>
      </c>
      <c r="CN287" s="54">
        <v>-0.69897000433601875</v>
      </c>
      <c r="CO287" s="18" t="s">
        <v>1286</v>
      </c>
    </row>
    <row r="288" spans="1:93" x14ac:dyDescent="0.25">
      <c r="A288" s="18" t="s">
        <v>352</v>
      </c>
      <c r="B288" s="41" t="s">
        <v>22</v>
      </c>
      <c r="C288" s="41">
        <v>2.1</v>
      </c>
      <c r="D288" s="41" t="s">
        <v>22</v>
      </c>
      <c r="E288" s="41" t="s">
        <v>22</v>
      </c>
      <c r="F288" s="18" t="s">
        <v>22</v>
      </c>
      <c r="G288" s="18" t="s">
        <v>22</v>
      </c>
      <c r="H288" s="18" t="s">
        <v>22</v>
      </c>
      <c r="I288" s="18" t="s">
        <v>22</v>
      </c>
      <c r="J288" s="41" t="s">
        <v>22</v>
      </c>
      <c r="K288" s="18" t="s">
        <v>22</v>
      </c>
      <c r="M288" s="18" t="s">
        <v>23</v>
      </c>
      <c r="N288" s="41" t="s">
        <v>22</v>
      </c>
      <c r="O288" s="41" t="s">
        <v>22</v>
      </c>
      <c r="P288" s="41" t="s">
        <v>22</v>
      </c>
      <c r="R288" s="41" t="s">
        <v>22</v>
      </c>
      <c r="S288" s="41" t="s">
        <v>22</v>
      </c>
      <c r="T288" s="41">
        <f t="shared" ref="T288:U292" si="161">T287-0.7</f>
        <v>11.3</v>
      </c>
      <c r="U288" s="41">
        <f t="shared" si="161"/>
        <v>11.3</v>
      </c>
      <c r="V288" s="18">
        <v>20200518</v>
      </c>
      <c r="W288" s="9" t="s">
        <v>954</v>
      </c>
      <c r="X288" s="18">
        <v>2005</v>
      </c>
      <c r="Y288" s="18" t="s">
        <v>22</v>
      </c>
      <c r="Z288" s="18" t="s">
        <v>32</v>
      </c>
      <c r="AA288" s="2" t="s">
        <v>22</v>
      </c>
      <c r="AB288" s="43" t="s">
        <v>22</v>
      </c>
      <c r="AC288" s="18" t="s">
        <v>514</v>
      </c>
      <c r="AD288" s="41" t="s">
        <v>22</v>
      </c>
      <c r="AE288" s="41" t="s">
        <v>22</v>
      </c>
      <c r="AF288" s="41" t="s">
        <v>22</v>
      </c>
      <c r="AG288" s="41" t="s">
        <v>22</v>
      </c>
      <c r="AH288" s="41" t="s">
        <v>22</v>
      </c>
      <c r="AI288" s="41" t="s">
        <v>22</v>
      </c>
      <c r="AJ288" s="41" t="s">
        <v>22</v>
      </c>
      <c r="AK288" s="41" t="s">
        <v>22</v>
      </c>
      <c r="AL288" s="41" t="s">
        <v>22</v>
      </c>
      <c r="AM288" s="43" t="e">
        <f t="shared" si="132"/>
        <v>#VALUE!</v>
      </c>
      <c r="AN288" s="43" t="e">
        <f t="shared" si="133"/>
        <v>#VALUE!</v>
      </c>
      <c r="AO288" s="18" t="s">
        <v>829</v>
      </c>
      <c r="AP288" s="18"/>
      <c r="AQ288" s="18"/>
      <c r="AR288" s="18"/>
      <c r="AS288" s="18"/>
      <c r="AT288" s="2">
        <f t="shared" si="134"/>
        <v>6</v>
      </c>
      <c r="AU288" s="45" t="e">
        <f t="shared" si="135"/>
        <v>#VALUE!</v>
      </c>
      <c r="AV288" s="45">
        <f t="shared" si="136"/>
        <v>0.3222192947339193</v>
      </c>
      <c r="AW288" s="45" t="e">
        <f t="shared" si="137"/>
        <v>#VALUE!</v>
      </c>
      <c r="AX288" s="45" t="e">
        <f t="shared" si="138"/>
        <v>#VALUE!</v>
      </c>
      <c r="AY288" s="45" t="e">
        <f t="shared" si="139"/>
        <v>#VALUE!</v>
      </c>
      <c r="AZ288" s="45" t="e">
        <f t="shared" si="140"/>
        <v>#VALUE!</v>
      </c>
      <c r="BA288" s="45" t="e">
        <f t="shared" si="141"/>
        <v>#VALUE!</v>
      </c>
      <c r="BB288" s="45" t="e">
        <f t="shared" si="142"/>
        <v>#NUM!</v>
      </c>
      <c r="BC288" s="45">
        <f t="shared" si="143"/>
        <v>1.0530784434834197</v>
      </c>
      <c r="BD288" s="45" t="e">
        <f t="shared" si="144"/>
        <v>#VALUE!</v>
      </c>
      <c r="BE288" s="45" t="e">
        <f t="shared" si="145"/>
        <v>#VALUE!</v>
      </c>
      <c r="BF288" s="45" t="e">
        <f t="shared" si="146"/>
        <v>#VALUE!</v>
      </c>
      <c r="BG288" s="45" t="e">
        <f t="shared" si="147"/>
        <v>#VALUE!</v>
      </c>
      <c r="BH288" s="45" t="e">
        <f t="shared" si="148"/>
        <v>#VALUE!</v>
      </c>
      <c r="BI288" s="43" t="e">
        <f t="shared" si="149"/>
        <v>#VALUE!</v>
      </c>
      <c r="BJ288" s="2" t="s">
        <v>520</v>
      </c>
      <c r="BK288" s="2" t="s">
        <v>22</v>
      </c>
      <c r="BL288" s="2" t="s">
        <v>22</v>
      </c>
      <c r="BM288" s="41" t="s">
        <v>22</v>
      </c>
      <c r="BN288" s="41" t="s">
        <v>22</v>
      </c>
      <c r="BO288" s="43" t="e">
        <f t="shared" si="157"/>
        <v>#VALUE!</v>
      </c>
      <c r="BP288" s="41" t="s">
        <v>22</v>
      </c>
      <c r="BQ288" s="41" t="s">
        <v>22</v>
      </c>
      <c r="BR288" s="41" t="s">
        <v>22</v>
      </c>
      <c r="BS288" s="18" t="s">
        <v>522</v>
      </c>
      <c r="BT288" s="2" t="s">
        <v>871</v>
      </c>
      <c r="BU288" s="41">
        <v>0.22700000000000001</v>
      </c>
      <c r="BV288" s="41">
        <v>2672202077060.6685</v>
      </c>
      <c r="BW288" s="43">
        <f t="shared" si="158"/>
        <v>1272477.1795526992</v>
      </c>
      <c r="BX288" s="43" t="s">
        <v>22</v>
      </c>
      <c r="BY288" s="43" t="s">
        <v>22</v>
      </c>
      <c r="BZ288" s="41">
        <v>0.2</v>
      </c>
      <c r="CA288" s="41">
        <v>0.2</v>
      </c>
      <c r="CB288" s="18" t="s">
        <v>866</v>
      </c>
      <c r="CC288" t="s">
        <v>1009</v>
      </c>
      <c r="CE288" s="41" t="e">
        <f t="shared" si="159"/>
        <v>#VALUE!</v>
      </c>
      <c r="CF288" s="41">
        <f t="shared" si="160"/>
        <v>12.426869297229391</v>
      </c>
      <c r="CG288" s="41" t="e">
        <f t="shared" si="153"/>
        <v>#VALUE!</v>
      </c>
      <c r="CH288" s="41" t="e">
        <f t="shared" si="154"/>
        <v>#VALUE!</v>
      </c>
      <c r="CI288" s="41">
        <f t="shared" si="155"/>
        <v>11.3</v>
      </c>
      <c r="CJ288" s="41">
        <f t="shared" si="156"/>
        <v>1.0530784434834197</v>
      </c>
      <c r="CL288" s="9" t="s">
        <v>1269</v>
      </c>
      <c r="CM288" s="18" t="s">
        <v>1285</v>
      </c>
      <c r="CN288" s="54">
        <v>-0.69897000433601875</v>
      </c>
      <c r="CO288" s="18" t="s">
        <v>1286</v>
      </c>
    </row>
    <row r="289" spans="1:93" x14ac:dyDescent="0.25">
      <c r="A289" s="18" t="s">
        <v>352</v>
      </c>
      <c r="B289" s="41" t="s">
        <v>22</v>
      </c>
      <c r="C289" s="41">
        <v>2.1</v>
      </c>
      <c r="D289" s="41" t="s">
        <v>22</v>
      </c>
      <c r="E289" s="41" t="s">
        <v>22</v>
      </c>
      <c r="F289" s="18" t="s">
        <v>22</v>
      </c>
      <c r="G289" s="18" t="s">
        <v>22</v>
      </c>
      <c r="H289" s="18" t="s">
        <v>22</v>
      </c>
      <c r="I289" s="18" t="s">
        <v>22</v>
      </c>
      <c r="J289" s="41" t="s">
        <v>22</v>
      </c>
      <c r="K289" s="18" t="s">
        <v>22</v>
      </c>
      <c r="M289" s="18" t="s">
        <v>23</v>
      </c>
      <c r="N289" s="41" t="s">
        <v>22</v>
      </c>
      <c r="O289" s="41" t="s">
        <v>22</v>
      </c>
      <c r="P289" s="41" t="s">
        <v>22</v>
      </c>
      <c r="R289" s="41" t="s">
        <v>22</v>
      </c>
      <c r="S289" s="41" t="s">
        <v>22</v>
      </c>
      <c r="T289" s="41">
        <f t="shared" si="161"/>
        <v>10.600000000000001</v>
      </c>
      <c r="U289" s="41">
        <f t="shared" si="161"/>
        <v>10.600000000000001</v>
      </c>
      <c r="V289" s="18">
        <v>20200518</v>
      </c>
      <c r="W289" s="9" t="s">
        <v>954</v>
      </c>
      <c r="X289" s="18">
        <v>2005</v>
      </c>
      <c r="Y289" s="18" t="s">
        <v>22</v>
      </c>
      <c r="Z289" s="18" t="s">
        <v>32</v>
      </c>
      <c r="AA289" s="2" t="s">
        <v>22</v>
      </c>
      <c r="AB289" s="43" t="s">
        <v>22</v>
      </c>
      <c r="AC289" s="18" t="s">
        <v>514</v>
      </c>
      <c r="AD289" s="41" t="s">
        <v>22</v>
      </c>
      <c r="AE289" s="41" t="s">
        <v>22</v>
      </c>
      <c r="AF289" s="41" t="s">
        <v>22</v>
      </c>
      <c r="AG289" s="41" t="s">
        <v>22</v>
      </c>
      <c r="AH289" s="41" t="s">
        <v>22</v>
      </c>
      <c r="AI289" s="41" t="s">
        <v>22</v>
      </c>
      <c r="AJ289" s="41" t="s">
        <v>22</v>
      </c>
      <c r="AK289" s="41" t="s">
        <v>22</v>
      </c>
      <c r="AL289" s="41" t="s">
        <v>22</v>
      </c>
      <c r="AM289" s="43" t="e">
        <f t="shared" si="132"/>
        <v>#VALUE!</v>
      </c>
      <c r="AN289" s="43" t="e">
        <f t="shared" si="133"/>
        <v>#VALUE!</v>
      </c>
      <c r="AO289" s="18" t="s">
        <v>829</v>
      </c>
      <c r="AP289" s="18"/>
      <c r="AQ289" s="18"/>
      <c r="AR289" s="18"/>
      <c r="AS289" s="18"/>
      <c r="AT289" s="2">
        <f t="shared" si="134"/>
        <v>6</v>
      </c>
      <c r="AU289" s="45" t="e">
        <f t="shared" si="135"/>
        <v>#VALUE!</v>
      </c>
      <c r="AV289" s="45">
        <f t="shared" si="136"/>
        <v>0.3222192947339193</v>
      </c>
      <c r="AW289" s="45" t="e">
        <f t="shared" si="137"/>
        <v>#VALUE!</v>
      </c>
      <c r="AX289" s="45" t="e">
        <f t="shared" si="138"/>
        <v>#VALUE!</v>
      </c>
      <c r="AY289" s="45" t="e">
        <f t="shared" si="139"/>
        <v>#VALUE!</v>
      </c>
      <c r="AZ289" s="45" t="e">
        <f t="shared" si="140"/>
        <v>#VALUE!</v>
      </c>
      <c r="BA289" s="45" t="e">
        <f t="shared" si="141"/>
        <v>#VALUE!</v>
      </c>
      <c r="BB289" s="45" t="e">
        <f t="shared" si="142"/>
        <v>#NUM!</v>
      </c>
      <c r="BC289" s="45">
        <f t="shared" si="143"/>
        <v>1.0253058652647702</v>
      </c>
      <c r="BD289" s="45" t="e">
        <f t="shared" si="144"/>
        <v>#VALUE!</v>
      </c>
      <c r="BE289" s="45" t="e">
        <f t="shared" si="145"/>
        <v>#VALUE!</v>
      </c>
      <c r="BF289" s="45" t="e">
        <f t="shared" si="146"/>
        <v>#VALUE!</v>
      </c>
      <c r="BG289" s="45" t="e">
        <f t="shared" si="147"/>
        <v>#VALUE!</v>
      </c>
      <c r="BH289" s="45" t="e">
        <f t="shared" si="148"/>
        <v>#VALUE!</v>
      </c>
      <c r="BI289" s="43" t="e">
        <f t="shared" si="149"/>
        <v>#VALUE!</v>
      </c>
      <c r="BJ289" s="2" t="s">
        <v>520</v>
      </c>
      <c r="BK289" s="2" t="s">
        <v>22</v>
      </c>
      <c r="BL289" s="2" t="s">
        <v>22</v>
      </c>
      <c r="BM289" s="41" t="s">
        <v>22</v>
      </c>
      <c r="BN289" s="41" t="s">
        <v>22</v>
      </c>
      <c r="BO289" s="43" t="e">
        <f t="shared" si="157"/>
        <v>#VALUE!</v>
      </c>
      <c r="BP289" s="41" t="s">
        <v>22</v>
      </c>
      <c r="BQ289" s="41" t="s">
        <v>22</v>
      </c>
      <c r="BR289" s="41" t="s">
        <v>22</v>
      </c>
      <c r="BS289" s="18" t="s">
        <v>522</v>
      </c>
      <c r="BT289" s="2" t="s">
        <v>871</v>
      </c>
      <c r="BU289" s="41">
        <v>0.21</v>
      </c>
      <c r="BV289" s="41">
        <v>2841750498399.2368</v>
      </c>
      <c r="BW289" s="43">
        <f t="shared" si="158"/>
        <v>1353214.5230472556</v>
      </c>
      <c r="BX289" s="43" t="s">
        <v>22</v>
      </c>
      <c r="BY289" s="43" t="s">
        <v>22</v>
      </c>
      <c r="BZ289" s="41">
        <v>0.2</v>
      </c>
      <c r="CA289" s="41">
        <v>0.2</v>
      </c>
      <c r="CB289" s="18" t="s">
        <v>866</v>
      </c>
      <c r="CC289" t="s">
        <v>1009</v>
      </c>
      <c r="CE289" s="41" t="e">
        <f t="shared" si="159"/>
        <v>#VALUE!</v>
      </c>
      <c r="CF289" s="41">
        <f t="shared" si="160"/>
        <v>12.453585944835257</v>
      </c>
      <c r="CG289" s="41" t="e">
        <f t="shared" si="153"/>
        <v>#VALUE!</v>
      </c>
      <c r="CH289" s="41" t="e">
        <f t="shared" si="154"/>
        <v>#VALUE!</v>
      </c>
      <c r="CI289" s="41">
        <f t="shared" si="155"/>
        <v>10.600000000000001</v>
      </c>
      <c r="CJ289" s="41">
        <f t="shared" si="156"/>
        <v>1.0253058652647702</v>
      </c>
      <c r="CL289" s="9" t="s">
        <v>1269</v>
      </c>
      <c r="CM289" s="18" t="s">
        <v>1285</v>
      </c>
      <c r="CN289" s="54">
        <v>-0.69897000433601875</v>
      </c>
      <c r="CO289" s="18" t="s">
        <v>1286</v>
      </c>
    </row>
    <row r="290" spans="1:93" x14ac:dyDescent="0.25">
      <c r="A290" s="18" t="s">
        <v>352</v>
      </c>
      <c r="B290" s="41" t="s">
        <v>22</v>
      </c>
      <c r="C290" s="41">
        <v>2.1</v>
      </c>
      <c r="D290" s="41" t="s">
        <v>22</v>
      </c>
      <c r="E290" s="41" t="s">
        <v>22</v>
      </c>
      <c r="F290" s="18" t="s">
        <v>22</v>
      </c>
      <c r="G290" s="18" t="s">
        <v>22</v>
      </c>
      <c r="H290" s="18" t="s">
        <v>22</v>
      </c>
      <c r="I290" s="18" t="s">
        <v>22</v>
      </c>
      <c r="J290" s="41" t="s">
        <v>22</v>
      </c>
      <c r="K290" s="18" t="s">
        <v>22</v>
      </c>
      <c r="M290" s="18" t="s">
        <v>23</v>
      </c>
      <c r="N290" s="41" t="s">
        <v>22</v>
      </c>
      <c r="O290" s="41" t="s">
        <v>22</v>
      </c>
      <c r="P290" s="41" t="s">
        <v>22</v>
      </c>
      <c r="R290" s="41" t="s">
        <v>22</v>
      </c>
      <c r="S290" s="41" t="s">
        <v>22</v>
      </c>
      <c r="T290" s="41">
        <f t="shared" si="161"/>
        <v>9.9000000000000021</v>
      </c>
      <c r="U290" s="41">
        <f t="shared" si="161"/>
        <v>9.9000000000000021</v>
      </c>
      <c r="V290" s="18">
        <v>20200518</v>
      </c>
      <c r="W290" s="9" t="s">
        <v>954</v>
      </c>
      <c r="X290" s="18">
        <v>2005</v>
      </c>
      <c r="Y290" s="18" t="s">
        <v>22</v>
      </c>
      <c r="Z290" s="18" t="s">
        <v>32</v>
      </c>
      <c r="AA290" s="2" t="s">
        <v>22</v>
      </c>
      <c r="AB290" s="43" t="s">
        <v>22</v>
      </c>
      <c r="AC290" s="18" t="s">
        <v>514</v>
      </c>
      <c r="AD290" s="41" t="s">
        <v>22</v>
      </c>
      <c r="AE290" s="41" t="s">
        <v>22</v>
      </c>
      <c r="AF290" s="41" t="s">
        <v>22</v>
      </c>
      <c r="AG290" s="41" t="s">
        <v>22</v>
      </c>
      <c r="AH290" s="41" t="s">
        <v>22</v>
      </c>
      <c r="AI290" s="41" t="s">
        <v>22</v>
      </c>
      <c r="AJ290" s="41" t="s">
        <v>22</v>
      </c>
      <c r="AK290" s="41" t="s">
        <v>22</v>
      </c>
      <c r="AL290" s="41" t="s">
        <v>22</v>
      </c>
      <c r="AM290" s="43" t="e">
        <f t="shared" si="132"/>
        <v>#VALUE!</v>
      </c>
      <c r="AN290" s="43" t="e">
        <f t="shared" si="133"/>
        <v>#VALUE!</v>
      </c>
      <c r="AO290" s="18" t="s">
        <v>829</v>
      </c>
      <c r="AP290" s="18"/>
      <c r="AQ290" s="18"/>
      <c r="AR290" s="18"/>
      <c r="AS290" s="18"/>
      <c r="AT290" s="2">
        <f t="shared" si="134"/>
        <v>6</v>
      </c>
      <c r="AU290" s="45" t="e">
        <f t="shared" si="135"/>
        <v>#VALUE!</v>
      </c>
      <c r="AV290" s="45">
        <f t="shared" si="136"/>
        <v>0.3222192947339193</v>
      </c>
      <c r="AW290" s="45" t="e">
        <f t="shared" si="137"/>
        <v>#VALUE!</v>
      </c>
      <c r="AX290" s="45" t="e">
        <f t="shared" si="138"/>
        <v>#VALUE!</v>
      </c>
      <c r="AY290" s="45" t="e">
        <f t="shared" si="139"/>
        <v>#VALUE!</v>
      </c>
      <c r="AZ290" s="45" t="e">
        <f t="shared" si="140"/>
        <v>#VALUE!</v>
      </c>
      <c r="BA290" s="45" t="e">
        <f t="shared" si="141"/>
        <v>#VALUE!</v>
      </c>
      <c r="BB290" s="45" t="e">
        <f t="shared" si="142"/>
        <v>#NUM!</v>
      </c>
      <c r="BC290" s="45">
        <f t="shared" si="143"/>
        <v>0.99563519459755001</v>
      </c>
      <c r="BD290" s="45" t="e">
        <f t="shared" si="144"/>
        <v>#VALUE!</v>
      </c>
      <c r="BE290" s="45" t="e">
        <f t="shared" si="145"/>
        <v>#VALUE!</v>
      </c>
      <c r="BF290" s="45" t="e">
        <f t="shared" si="146"/>
        <v>#VALUE!</v>
      </c>
      <c r="BG290" s="45" t="e">
        <f t="shared" si="147"/>
        <v>#VALUE!</v>
      </c>
      <c r="BH290" s="45" t="e">
        <f t="shared" si="148"/>
        <v>#VALUE!</v>
      </c>
      <c r="BI290" s="43" t="e">
        <f t="shared" si="149"/>
        <v>#VALUE!</v>
      </c>
      <c r="BJ290" s="2" t="s">
        <v>520</v>
      </c>
      <c r="BK290" s="2" t="s">
        <v>22</v>
      </c>
      <c r="BL290" s="2" t="s">
        <v>22</v>
      </c>
      <c r="BM290" s="41" t="s">
        <v>22</v>
      </c>
      <c r="BN290" s="41" t="s">
        <v>22</v>
      </c>
      <c r="BO290" s="43" t="e">
        <f t="shared" si="157"/>
        <v>#VALUE!</v>
      </c>
      <c r="BP290" s="41" t="s">
        <v>22</v>
      </c>
      <c r="BQ290" s="41" t="s">
        <v>22</v>
      </c>
      <c r="BR290" s="41" t="s">
        <v>22</v>
      </c>
      <c r="BS290" s="18" t="s">
        <v>522</v>
      </c>
      <c r="BT290" s="2" t="s">
        <v>871</v>
      </c>
      <c r="BU290" s="41">
        <v>0.185</v>
      </c>
      <c r="BV290" s="41">
        <v>2908016244148.2104</v>
      </c>
      <c r="BW290" s="43">
        <f t="shared" si="158"/>
        <v>1384769.6400705765</v>
      </c>
      <c r="BX290" s="43" t="s">
        <v>22</v>
      </c>
      <c r="BY290" s="43" t="s">
        <v>22</v>
      </c>
      <c r="BZ290" s="41">
        <v>0.2</v>
      </c>
      <c r="CA290" s="41">
        <v>0.2</v>
      </c>
      <c r="CB290" s="18" t="s">
        <v>866</v>
      </c>
      <c r="CC290" t="s">
        <v>1009</v>
      </c>
      <c r="CE290" s="41" t="e">
        <f t="shared" si="159"/>
        <v>#VALUE!</v>
      </c>
      <c r="CF290" s="41">
        <f t="shared" si="160"/>
        <v>12.463596828158192</v>
      </c>
      <c r="CG290" s="41" t="e">
        <f t="shared" si="153"/>
        <v>#VALUE!</v>
      </c>
      <c r="CH290" s="41" t="e">
        <f t="shared" si="154"/>
        <v>#VALUE!</v>
      </c>
      <c r="CI290" s="41">
        <f t="shared" si="155"/>
        <v>9.9000000000000021</v>
      </c>
      <c r="CJ290" s="41">
        <f t="shared" si="156"/>
        <v>0.99563519459755001</v>
      </c>
      <c r="CL290" s="9" t="s">
        <v>1269</v>
      </c>
      <c r="CM290" s="18" t="s">
        <v>1285</v>
      </c>
      <c r="CN290" s="54">
        <v>-0.69897000433601875</v>
      </c>
      <c r="CO290" s="18" t="s">
        <v>1286</v>
      </c>
    </row>
    <row r="291" spans="1:93" x14ac:dyDescent="0.25">
      <c r="A291" s="18" t="s">
        <v>352</v>
      </c>
      <c r="B291" s="41" t="s">
        <v>22</v>
      </c>
      <c r="C291" s="41">
        <v>2.1</v>
      </c>
      <c r="D291" s="41" t="s">
        <v>22</v>
      </c>
      <c r="E291" s="41" t="s">
        <v>22</v>
      </c>
      <c r="F291" s="18" t="s">
        <v>22</v>
      </c>
      <c r="G291" s="18" t="s">
        <v>22</v>
      </c>
      <c r="H291" s="18" t="s">
        <v>22</v>
      </c>
      <c r="I291" s="18" t="s">
        <v>22</v>
      </c>
      <c r="J291" s="41" t="s">
        <v>22</v>
      </c>
      <c r="K291" s="18" t="s">
        <v>22</v>
      </c>
      <c r="M291" s="18" t="s">
        <v>23</v>
      </c>
      <c r="N291" s="41" t="s">
        <v>22</v>
      </c>
      <c r="O291" s="41" t="s">
        <v>22</v>
      </c>
      <c r="P291" s="41" t="s">
        <v>22</v>
      </c>
      <c r="R291" s="41" t="s">
        <v>22</v>
      </c>
      <c r="S291" s="41" t="s">
        <v>22</v>
      </c>
      <c r="T291" s="41">
        <f t="shared" si="161"/>
        <v>9.2000000000000028</v>
      </c>
      <c r="U291" s="41">
        <f t="shared" si="161"/>
        <v>9.2000000000000028</v>
      </c>
      <c r="V291" s="18">
        <v>20200518</v>
      </c>
      <c r="W291" s="9" t="s">
        <v>954</v>
      </c>
      <c r="X291" s="18">
        <v>2005</v>
      </c>
      <c r="Y291" s="18" t="s">
        <v>22</v>
      </c>
      <c r="Z291" s="18" t="s">
        <v>32</v>
      </c>
      <c r="AA291" s="2" t="s">
        <v>22</v>
      </c>
      <c r="AB291" s="43" t="s">
        <v>22</v>
      </c>
      <c r="AC291" s="18" t="s">
        <v>514</v>
      </c>
      <c r="AD291" s="41" t="s">
        <v>22</v>
      </c>
      <c r="AE291" s="41" t="s">
        <v>22</v>
      </c>
      <c r="AF291" s="41" t="s">
        <v>22</v>
      </c>
      <c r="AG291" s="41" t="s">
        <v>22</v>
      </c>
      <c r="AH291" s="41" t="s">
        <v>22</v>
      </c>
      <c r="AI291" s="41" t="s">
        <v>22</v>
      </c>
      <c r="AJ291" s="41" t="s">
        <v>22</v>
      </c>
      <c r="AK291" s="41" t="s">
        <v>22</v>
      </c>
      <c r="AL291" s="41" t="s">
        <v>22</v>
      </c>
      <c r="AM291" s="43" t="e">
        <f t="shared" si="132"/>
        <v>#VALUE!</v>
      </c>
      <c r="AN291" s="43" t="e">
        <f t="shared" si="133"/>
        <v>#VALUE!</v>
      </c>
      <c r="AO291" s="18" t="s">
        <v>829</v>
      </c>
      <c r="AP291" s="18"/>
      <c r="AQ291" s="18"/>
      <c r="AR291" s="18"/>
      <c r="AS291" s="18"/>
      <c r="AT291" s="2">
        <f t="shared" si="134"/>
        <v>6</v>
      </c>
      <c r="AU291" s="45" t="e">
        <f t="shared" si="135"/>
        <v>#VALUE!</v>
      </c>
      <c r="AV291" s="45">
        <f t="shared" si="136"/>
        <v>0.3222192947339193</v>
      </c>
      <c r="AW291" s="45" t="e">
        <f t="shared" si="137"/>
        <v>#VALUE!</v>
      </c>
      <c r="AX291" s="45" t="e">
        <f t="shared" si="138"/>
        <v>#VALUE!</v>
      </c>
      <c r="AY291" s="45" t="e">
        <f t="shared" si="139"/>
        <v>#VALUE!</v>
      </c>
      <c r="AZ291" s="45" t="e">
        <f t="shared" si="140"/>
        <v>#VALUE!</v>
      </c>
      <c r="BA291" s="45" t="e">
        <f t="shared" si="141"/>
        <v>#VALUE!</v>
      </c>
      <c r="BB291" s="45" t="e">
        <f t="shared" si="142"/>
        <v>#NUM!</v>
      </c>
      <c r="BC291" s="45">
        <f t="shared" si="143"/>
        <v>0.96378782734555546</v>
      </c>
      <c r="BD291" s="45" t="e">
        <f t="shared" si="144"/>
        <v>#VALUE!</v>
      </c>
      <c r="BE291" s="45" t="e">
        <f t="shared" si="145"/>
        <v>#VALUE!</v>
      </c>
      <c r="BF291" s="45" t="e">
        <f t="shared" si="146"/>
        <v>#VALUE!</v>
      </c>
      <c r="BG291" s="45" t="e">
        <f t="shared" si="147"/>
        <v>#VALUE!</v>
      </c>
      <c r="BH291" s="45" t="e">
        <f t="shared" si="148"/>
        <v>#VALUE!</v>
      </c>
      <c r="BI291" s="43" t="e">
        <f t="shared" si="149"/>
        <v>#VALUE!</v>
      </c>
      <c r="BJ291" s="2" t="s">
        <v>520</v>
      </c>
      <c r="BK291" s="2" t="s">
        <v>22</v>
      </c>
      <c r="BL291" s="2" t="s">
        <v>22</v>
      </c>
      <c r="BM291" s="41" t="s">
        <v>22</v>
      </c>
      <c r="BN291" s="41" t="s">
        <v>22</v>
      </c>
      <c r="BO291" s="43" t="e">
        <f t="shared" si="157"/>
        <v>#VALUE!</v>
      </c>
      <c r="BP291" s="41" t="s">
        <v>22</v>
      </c>
      <c r="BQ291" s="41" t="s">
        <v>22</v>
      </c>
      <c r="BR291" s="41" t="s">
        <v>22</v>
      </c>
      <c r="BS291" s="18" t="s">
        <v>522</v>
      </c>
      <c r="BT291" s="2" t="s">
        <v>871</v>
      </c>
      <c r="BU291" s="41">
        <v>0.154</v>
      </c>
      <c r="BV291" s="41">
        <v>2846260558705.3999</v>
      </c>
      <c r="BW291" s="43">
        <f t="shared" si="158"/>
        <v>1355362.1708120953</v>
      </c>
      <c r="BX291" s="43" t="s">
        <v>22</v>
      </c>
      <c r="BY291" s="43" t="s">
        <v>22</v>
      </c>
      <c r="BZ291" s="41">
        <v>0.2</v>
      </c>
      <c r="CA291" s="41">
        <v>0.2</v>
      </c>
      <c r="CB291" s="18" t="s">
        <v>866</v>
      </c>
      <c r="CC291" t="s">
        <v>1009</v>
      </c>
      <c r="CE291" s="41" t="e">
        <f t="shared" si="159"/>
        <v>#VALUE!</v>
      </c>
      <c r="CF291" s="41">
        <f t="shared" si="160"/>
        <v>12.454274654718144</v>
      </c>
      <c r="CG291" s="41" t="e">
        <f t="shared" si="153"/>
        <v>#VALUE!</v>
      </c>
      <c r="CH291" s="41" t="e">
        <f t="shared" si="154"/>
        <v>#VALUE!</v>
      </c>
      <c r="CI291" s="41">
        <f t="shared" si="155"/>
        <v>9.2000000000000028</v>
      </c>
      <c r="CJ291" s="41">
        <f t="shared" si="156"/>
        <v>0.96378782734555546</v>
      </c>
      <c r="CL291" s="9" t="s">
        <v>1269</v>
      </c>
      <c r="CM291" s="18" t="s">
        <v>1285</v>
      </c>
      <c r="CN291" s="54">
        <v>-0.69897000433601875</v>
      </c>
      <c r="CO291" s="18" t="s">
        <v>1286</v>
      </c>
    </row>
    <row r="292" spans="1:93" x14ac:dyDescent="0.25">
      <c r="A292" s="18" t="s">
        <v>352</v>
      </c>
      <c r="B292" s="41">
        <v>7.0000000000000007E-2</v>
      </c>
      <c r="C292" s="41">
        <v>2.1</v>
      </c>
      <c r="D292" s="41" t="s">
        <v>22</v>
      </c>
      <c r="E292" s="41" t="s">
        <v>22</v>
      </c>
      <c r="F292" s="18" t="s">
        <v>22</v>
      </c>
      <c r="G292" s="18" t="s">
        <v>22</v>
      </c>
      <c r="H292" s="18" t="s">
        <v>22</v>
      </c>
      <c r="I292" s="18" t="s">
        <v>22</v>
      </c>
      <c r="J292" s="41" t="s">
        <v>22</v>
      </c>
      <c r="K292" s="18" t="s">
        <v>22</v>
      </c>
      <c r="M292" s="18" t="s">
        <v>23</v>
      </c>
      <c r="N292" s="41" t="s">
        <v>22</v>
      </c>
      <c r="O292" s="41" t="s">
        <v>22</v>
      </c>
      <c r="P292" s="41" t="s">
        <v>22</v>
      </c>
      <c r="R292" s="41" t="s">
        <v>22</v>
      </c>
      <c r="S292" s="41" t="s">
        <v>22</v>
      </c>
      <c r="T292" s="41">
        <f t="shared" si="161"/>
        <v>8.5000000000000036</v>
      </c>
      <c r="U292" s="41">
        <f t="shared" si="161"/>
        <v>8.5000000000000036</v>
      </c>
      <c r="V292" s="18">
        <v>20200518</v>
      </c>
      <c r="W292" s="9" t="s">
        <v>954</v>
      </c>
      <c r="X292" s="18">
        <v>2005</v>
      </c>
      <c r="Y292" s="18" t="s">
        <v>22</v>
      </c>
      <c r="Z292" s="18" t="s">
        <v>32</v>
      </c>
      <c r="AA292" s="2" t="s">
        <v>22</v>
      </c>
      <c r="AB292" s="43" t="s">
        <v>22</v>
      </c>
      <c r="AC292" s="18" t="s">
        <v>514</v>
      </c>
      <c r="AD292" s="41" t="s">
        <v>22</v>
      </c>
      <c r="AE292" s="41" t="s">
        <v>22</v>
      </c>
      <c r="AF292" s="41" t="s">
        <v>22</v>
      </c>
      <c r="AG292" s="41" t="s">
        <v>22</v>
      </c>
      <c r="AH292" s="41" t="s">
        <v>22</v>
      </c>
      <c r="AI292" s="41" t="s">
        <v>22</v>
      </c>
      <c r="AJ292" s="41" t="s">
        <v>22</v>
      </c>
      <c r="AK292" s="41" t="s">
        <v>22</v>
      </c>
      <c r="AL292" s="41" t="s">
        <v>22</v>
      </c>
      <c r="AM292" s="43" t="e">
        <f t="shared" si="132"/>
        <v>#VALUE!</v>
      </c>
      <c r="AN292" s="43" t="e">
        <f t="shared" si="133"/>
        <v>#VALUE!</v>
      </c>
      <c r="AO292" s="18" t="s">
        <v>829</v>
      </c>
      <c r="AP292" s="18"/>
      <c r="AQ292" s="18"/>
      <c r="AR292" s="18"/>
      <c r="AS292" s="18"/>
      <c r="AT292" s="2">
        <f t="shared" si="134"/>
        <v>6</v>
      </c>
      <c r="AU292" s="45">
        <f t="shared" si="135"/>
        <v>-1.1549019599857431</v>
      </c>
      <c r="AV292" s="45">
        <f t="shared" si="136"/>
        <v>0.3222192947339193</v>
      </c>
      <c r="AW292" s="45" t="e">
        <f t="shared" si="137"/>
        <v>#VALUE!</v>
      </c>
      <c r="AX292" s="45" t="e">
        <f t="shared" si="138"/>
        <v>#VALUE!</v>
      </c>
      <c r="AY292" s="45" t="e">
        <f t="shared" si="139"/>
        <v>#VALUE!</v>
      </c>
      <c r="AZ292" s="45" t="e">
        <f t="shared" si="140"/>
        <v>#VALUE!</v>
      </c>
      <c r="BA292" s="45" t="e">
        <f t="shared" si="141"/>
        <v>#VALUE!</v>
      </c>
      <c r="BB292" s="45" t="e">
        <f t="shared" si="142"/>
        <v>#NUM!</v>
      </c>
      <c r="BC292" s="45">
        <f t="shared" si="143"/>
        <v>0.92941892571429296</v>
      </c>
      <c r="BD292" s="45" t="e">
        <f t="shared" si="144"/>
        <v>#VALUE!</v>
      </c>
      <c r="BE292" s="45" t="e">
        <f t="shared" si="145"/>
        <v>#VALUE!</v>
      </c>
      <c r="BF292" s="45" t="e">
        <f t="shared" si="146"/>
        <v>#VALUE!</v>
      </c>
      <c r="BG292" s="45" t="e">
        <f t="shared" si="147"/>
        <v>#VALUE!</v>
      </c>
      <c r="BH292" s="45" t="e">
        <f t="shared" si="148"/>
        <v>#VALUE!</v>
      </c>
      <c r="BI292" s="43" t="e">
        <f t="shared" si="149"/>
        <v>#VALUE!</v>
      </c>
      <c r="BJ292" s="2" t="s">
        <v>520</v>
      </c>
      <c r="BK292" s="2" t="s">
        <v>22</v>
      </c>
      <c r="BL292" s="2" t="s">
        <v>22</v>
      </c>
      <c r="BM292" s="41" t="s">
        <v>22</v>
      </c>
      <c r="BN292" s="41" t="s">
        <v>22</v>
      </c>
      <c r="BO292" s="43" t="e">
        <f t="shared" si="157"/>
        <v>#VALUE!</v>
      </c>
      <c r="BP292" s="41" t="s">
        <v>22</v>
      </c>
      <c r="BQ292" s="41" t="s">
        <v>22</v>
      </c>
      <c r="BR292" s="41" t="s">
        <v>22</v>
      </c>
      <c r="BS292" s="18" t="s">
        <v>522</v>
      </c>
      <c r="BT292" s="2" t="s">
        <v>871</v>
      </c>
      <c r="BU292" s="41">
        <v>3.2000000000000001E-2</v>
      </c>
      <c r="BV292" s="41">
        <v>705395869659.36987</v>
      </c>
      <c r="BW292" s="43">
        <f t="shared" si="158"/>
        <v>335902.79507589043</v>
      </c>
      <c r="BX292" s="43" t="s">
        <v>22</v>
      </c>
      <c r="BY292" s="43" t="s">
        <v>22</v>
      </c>
      <c r="BZ292" s="41">
        <v>0.2</v>
      </c>
      <c r="CA292" s="41">
        <v>0.2</v>
      </c>
      <c r="CB292" s="18" t="s">
        <v>866</v>
      </c>
      <c r="CC292" t="s">
        <v>1009</v>
      </c>
      <c r="CE292" s="41" t="e">
        <f t="shared" si="159"/>
        <v>#VALUE!</v>
      </c>
      <c r="CF292" s="41">
        <f t="shared" si="160"/>
        <v>11.848432912392152</v>
      </c>
      <c r="CG292" s="41" t="e">
        <f t="shared" si="153"/>
        <v>#VALUE!</v>
      </c>
      <c r="CH292" s="41" t="e">
        <f t="shared" si="154"/>
        <v>#VALUE!</v>
      </c>
      <c r="CI292" s="41">
        <f t="shared" si="155"/>
        <v>8.5000000000000036</v>
      </c>
      <c r="CJ292" s="41">
        <f t="shared" si="156"/>
        <v>0.92941892571429296</v>
      </c>
      <c r="CL292" s="9" t="s">
        <v>1269</v>
      </c>
      <c r="CM292" s="18" t="s">
        <v>1285</v>
      </c>
      <c r="CN292" s="54">
        <v>-0.69897000433601875</v>
      </c>
      <c r="CO292" s="18" t="s">
        <v>1286</v>
      </c>
    </row>
    <row r="293" spans="1:93" x14ac:dyDescent="0.25">
      <c r="A293" s="18" t="s">
        <v>731</v>
      </c>
      <c r="B293" s="41" t="s">
        <v>22</v>
      </c>
      <c r="C293" s="41">
        <v>1.87</v>
      </c>
      <c r="D293" s="41" t="s">
        <v>22</v>
      </c>
      <c r="E293" s="41" t="s">
        <v>22</v>
      </c>
      <c r="F293" s="18" t="s">
        <v>22</v>
      </c>
      <c r="G293" s="18" t="s">
        <v>22</v>
      </c>
      <c r="H293" s="18" t="s">
        <v>22</v>
      </c>
      <c r="I293" s="18" t="s">
        <v>22</v>
      </c>
      <c r="J293" s="41" t="s">
        <v>22</v>
      </c>
      <c r="K293" s="18">
        <v>514.5</v>
      </c>
      <c r="M293" s="18" t="s">
        <v>23</v>
      </c>
      <c r="N293" s="41" t="s">
        <v>22</v>
      </c>
      <c r="O293" s="41" t="s">
        <v>22</v>
      </c>
      <c r="P293" s="41" t="s">
        <v>22</v>
      </c>
      <c r="R293" s="41" t="s">
        <v>22</v>
      </c>
      <c r="S293" s="41" t="s">
        <v>22</v>
      </c>
      <c r="T293" s="41">
        <v>1.44</v>
      </c>
      <c r="U293" s="41">
        <v>1.44</v>
      </c>
      <c r="V293" s="18">
        <v>20200525</v>
      </c>
      <c r="W293" s="21" t="s">
        <v>911</v>
      </c>
      <c r="X293" s="6">
        <v>2006</v>
      </c>
      <c r="Y293" s="18" t="s">
        <v>527</v>
      </c>
      <c r="Z293" s="18" t="s">
        <v>32</v>
      </c>
      <c r="AA293" s="18"/>
      <c r="AC293" s="18" t="s">
        <v>514</v>
      </c>
      <c r="AD293" s="41" t="s">
        <v>22</v>
      </c>
      <c r="AE293" s="41" t="s">
        <v>22</v>
      </c>
      <c r="AF293" s="41" t="s">
        <v>22</v>
      </c>
      <c r="AG293" s="41" t="s">
        <v>22</v>
      </c>
      <c r="AH293" s="41" t="s">
        <v>22</v>
      </c>
      <c r="AI293" s="41" t="s">
        <v>22</v>
      </c>
      <c r="AJ293" s="41" t="s">
        <v>22</v>
      </c>
      <c r="AK293" s="41" t="s">
        <v>22</v>
      </c>
      <c r="AL293" s="41" t="s">
        <v>22</v>
      </c>
      <c r="AM293" s="43" t="e">
        <f t="shared" si="132"/>
        <v>#VALUE!</v>
      </c>
      <c r="AN293" s="43" t="e">
        <f t="shared" si="133"/>
        <v>#VALUE!</v>
      </c>
      <c r="AO293" s="19" t="s">
        <v>910</v>
      </c>
      <c r="AP293" s="18"/>
      <c r="AQ293" s="18"/>
      <c r="AR293" s="18"/>
      <c r="AS293" s="18"/>
      <c r="AT293" s="2">
        <f t="shared" si="134"/>
        <v>4</v>
      </c>
      <c r="AU293" s="45" t="e">
        <f t="shared" si="135"/>
        <v>#VALUE!</v>
      </c>
      <c r="AV293" s="45">
        <f t="shared" si="136"/>
        <v>0.27184160653649897</v>
      </c>
      <c r="AW293" s="45" t="e">
        <f t="shared" si="137"/>
        <v>#VALUE!</v>
      </c>
      <c r="AX293" s="45" t="e">
        <f t="shared" si="138"/>
        <v>#VALUE!</v>
      </c>
      <c r="AY293" s="45" t="e">
        <f t="shared" si="139"/>
        <v>#VALUE!</v>
      </c>
      <c r="AZ293" s="45" t="e">
        <f t="shared" si="140"/>
        <v>#VALUE!</v>
      </c>
      <c r="BA293" s="45" t="e">
        <f t="shared" si="141"/>
        <v>#VALUE!</v>
      </c>
      <c r="BB293" s="45" t="e">
        <f t="shared" si="142"/>
        <v>#NUM!</v>
      </c>
      <c r="BC293" s="45">
        <f t="shared" si="143"/>
        <v>0.15836249209524964</v>
      </c>
      <c r="BD293" s="45" t="e">
        <f t="shared" si="144"/>
        <v>#VALUE!</v>
      </c>
      <c r="BE293" s="45" t="e">
        <f t="shared" si="145"/>
        <v>#VALUE!</v>
      </c>
      <c r="BF293" s="45" t="e">
        <f t="shared" si="146"/>
        <v>#VALUE!</v>
      </c>
      <c r="BG293" s="45" t="e">
        <f t="shared" si="147"/>
        <v>#VALUE!</v>
      </c>
      <c r="BH293" s="45" t="e">
        <f t="shared" si="148"/>
        <v>#NUM!</v>
      </c>
      <c r="BI293" s="43" t="e">
        <f t="shared" si="149"/>
        <v>#VALUE!</v>
      </c>
      <c r="BJ293" s="18"/>
      <c r="BK293" s="18"/>
      <c r="BL293" s="20"/>
      <c r="BS293" s="18"/>
      <c r="BT293" s="18"/>
      <c r="CA293" s="41" t="s">
        <v>22</v>
      </c>
      <c r="CB293" s="18"/>
      <c r="CC293" t="s">
        <v>22</v>
      </c>
      <c r="CE293" s="41" t="s">
        <v>22</v>
      </c>
      <c r="CF293" s="41" t="s">
        <v>22</v>
      </c>
      <c r="CG293" s="41" t="e">
        <f t="shared" si="153"/>
        <v>#VALUE!</v>
      </c>
      <c r="CH293" s="41" t="e">
        <f t="shared" si="154"/>
        <v>#VALUE!</v>
      </c>
      <c r="CI293" s="41">
        <f t="shared" si="155"/>
        <v>1.44</v>
      </c>
      <c r="CJ293" s="41">
        <f t="shared" si="156"/>
        <v>0.15836249209524964</v>
      </c>
      <c r="CL293" s="9" t="s">
        <v>1269</v>
      </c>
      <c r="CM293" s="18" t="s">
        <v>1285</v>
      </c>
      <c r="CN293" s="54" t="s">
        <v>1284</v>
      </c>
      <c r="CO293" s="18" t="s">
        <v>1284</v>
      </c>
    </row>
    <row r="294" spans="1:93" x14ac:dyDescent="0.25">
      <c r="A294" s="18" t="s">
        <v>352</v>
      </c>
      <c r="B294" s="41" t="s">
        <v>22</v>
      </c>
      <c r="C294" s="41">
        <v>2.11</v>
      </c>
      <c r="D294" s="41" t="s">
        <v>22</v>
      </c>
      <c r="E294" s="41" t="s">
        <v>22</v>
      </c>
      <c r="F294" s="18" t="s">
        <v>22</v>
      </c>
      <c r="G294" s="18" t="s">
        <v>22</v>
      </c>
      <c r="H294" s="18" t="s">
        <v>22</v>
      </c>
      <c r="I294" s="18" t="s">
        <v>22</v>
      </c>
      <c r="J294" s="41" t="s">
        <v>22</v>
      </c>
      <c r="K294" s="18">
        <v>514.5</v>
      </c>
      <c r="M294" s="18" t="s">
        <v>23</v>
      </c>
      <c r="N294" s="41" t="s">
        <v>22</v>
      </c>
      <c r="O294" s="41" t="s">
        <v>22</v>
      </c>
      <c r="P294" s="41" t="s">
        <v>22</v>
      </c>
      <c r="R294" s="41" t="s">
        <v>22</v>
      </c>
      <c r="S294" s="41" t="s">
        <v>22</v>
      </c>
      <c r="T294" s="41">
        <v>50</v>
      </c>
      <c r="U294" s="41">
        <v>50</v>
      </c>
      <c r="V294" s="18">
        <v>20200525</v>
      </c>
      <c r="W294" s="21" t="s">
        <v>913</v>
      </c>
      <c r="X294" s="6">
        <v>2006</v>
      </c>
      <c r="Y294" s="18" t="s">
        <v>527</v>
      </c>
      <c r="Z294" s="18" t="s">
        <v>32</v>
      </c>
      <c r="AA294" s="18"/>
      <c r="AC294" s="18" t="s">
        <v>514</v>
      </c>
      <c r="AD294" s="41" t="s">
        <v>22</v>
      </c>
      <c r="AE294" s="41" t="s">
        <v>22</v>
      </c>
      <c r="AF294" s="41" t="s">
        <v>22</v>
      </c>
      <c r="AG294" s="41" t="s">
        <v>22</v>
      </c>
      <c r="AH294" s="41" t="s">
        <v>22</v>
      </c>
      <c r="AI294" s="41" t="s">
        <v>22</v>
      </c>
      <c r="AJ294" s="41" t="s">
        <v>22</v>
      </c>
      <c r="AK294" s="41" t="s">
        <v>22</v>
      </c>
      <c r="AL294" s="41" t="s">
        <v>22</v>
      </c>
      <c r="AM294" s="43" t="e">
        <f t="shared" si="132"/>
        <v>#VALUE!</v>
      </c>
      <c r="AN294" s="43" t="e">
        <f t="shared" si="133"/>
        <v>#VALUE!</v>
      </c>
      <c r="AO294" s="19" t="s">
        <v>910</v>
      </c>
      <c r="AP294" s="18"/>
      <c r="AQ294" s="18"/>
      <c r="AR294" s="18"/>
      <c r="AS294" s="18"/>
      <c r="AT294" s="2">
        <f t="shared" si="134"/>
        <v>4</v>
      </c>
      <c r="AU294" s="45" t="e">
        <f t="shared" si="135"/>
        <v>#VALUE!</v>
      </c>
      <c r="AV294" s="45">
        <f t="shared" si="136"/>
        <v>0.32428245529769262</v>
      </c>
      <c r="AW294" s="45" t="e">
        <f t="shared" si="137"/>
        <v>#VALUE!</v>
      </c>
      <c r="AX294" s="45" t="e">
        <f t="shared" si="138"/>
        <v>#VALUE!</v>
      </c>
      <c r="AY294" s="45" t="e">
        <f t="shared" si="139"/>
        <v>#VALUE!</v>
      </c>
      <c r="AZ294" s="45" t="e">
        <f t="shared" si="140"/>
        <v>#VALUE!</v>
      </c>
      <c r="BA294" s="45" t="e">
        <f t="shared" si="141"/>
        <v>#VALUE!</v>
      </c>
      <c r="BB294" s="45" t="e">
        <f t="shared" si="142"/>
        <v>#NUM!</v>
      </c>
      <c r="BC294" s="45">
        <f t="shared" si="143"/>
        <v>1.6989700043360187</v>
      </c>
      <c r="BD294" s="45" t="e">
        <f t="shared" si="144"/>
        <v>#VALUE!</v>
      </c>
      <c r="BE294" s="45" t="e">
        <f t="shared" si="145"/>
        <v>#VALUE!</v>
      </c>
      <c r="BF294" s="45" t="e">
        <f t="shared" si="146"/>
        <v>#VALUE!</v>
      </c>
      <c r="BG294" s="45" t="e">
        <f t="shared" si="147"/>
        <v>#VALUE!</v>
      </c>
      <c r="BH294" s="45" t="e">
        <f t="shared" si="148"/>
        <v>#NUM!</v>
      </c>
      <c r="BI294" s="43" t="e">
        <f t="shared" si="149"/>
        <v>#VALUE!</v>
      </c>
      <c r="BJ294" s="18"/>
      <c r="BK294" s="18"/>
      <c r="BL294" s="20"/>
      <c r="BS294" s="18"/>
      <c r="BT294" s="18"/>
      <c r="CA294" s="41" t="s">
        <v>22</v>
      </c>
      <c r="CB294" s="18"/>
      <c r="CC294" s="18" t="s">
        <v>22</v>
      </c>
      <c r="CD294" s="18"/>
      <c r="CE294" s="41" t="s">
        <v>22</v>
      </c>
      <c r="CF294" s="41" t="s">
        <v>22</v>
      </c>
      <c r="CG294" s="41" t="e">
        <f t="shared" si="153"/>
        <v>#VALUE!</v>
      </c>
      <c r="CH294" s="41" t="e">
        <f t="shared" si="154"/>
        <v>#VALUE!</v>
      </c>
      <c r="CI294" s="41">
        <f t="shared" si="155"/>
        <v>50</v>
      </c>
      <c r="CJ294" s="41">
        <f t="shared" si="156"/>
        <v>1.6989700043360187</v>
      </c>
      <c r="CK294" s="18"/>
      <c r="CL294" s="9" t="s">
        <v>1269</v>
      </c>
      <c r="CM294" s="18" t="s">
        <v>1285</v>
      </c>
      <c r="CN294" s="54" t="s">
        <v>1284</v>
      </c>
      <c r="CO294" s="18" t="s">
        <v>1284</v>
      </c>
    </row>
    <row r="295" spans="1:93" x14ac:dyDescent="0.25">
      <c r="A295" s="18" t="s">
        <v>352</v>
      </c>
      <c r="B295" s="41" t="s">
        <v>22</v>
      </c>
      <c r="C295" s="41">
        <v>2.09</v>
      </c>
      <c r="D295" s="41" t="s">
        <v>22</v>
      </c>
      <c r="E295" s="41" t="s">
        <v>22</v>
      </c>
      <c r="F295" s="18" t="s">
        <v>22</v>
      </c>
      <c r="G295" s="18" t="s">
        <v>22</v>
      </c>
      <c r="H295" s="18" t="s">
        <v>22</v>
      </c>
      <c r="I295" s="18" t="s">
        <v>22</v>
      </c>
      <c r="J295" s="41" t="s">
        <v>22</v>
      </c>
      <c r="K295" s="18">
        <v>514.5</v>
      </c>
      <c r="M295" s="18" t="s">
        <v>23</v>
      </c>
      <c r="N295" s="41" t="s">
        <v>22</v>
      </c>
      <c r="O295" s="41" t="s">
        <v>22</v>
      </c>
      <c r="P295" s="41" t="s">
        <v>22</v>
      </c>
      <c r="R295" s="41" t="s">
        <v>22</v>
      </c>
      <c r="S295" s="41" t="s">
        <v>22</v>
      </c>
      <c r="T295" s="41">
        <v>48</v>
      </c>
      <c r="U295" s="41">
        <v>48</v>
      </c>
      <c r="V295" s="18">
        <v>20200525</v>
      </c>
      <c r="W295" s="21" t="s">
        <v>913</v>
      </c>
      <c r="X295" s="6">
        <v>2006</v>
      </c>
      <c r="Y295" s="18" t="s">
        <v>1133</v>
      </c>
      <c r="Z295" s="18" t="s">
        <v>32</v>
      </c>
      <c r="AA295" s="18"/>
      <c r="AC295" s="18" t="s">
        <v>514</v>
      </c>
      <c r="AD295" s="41" t="s">
        <v>22</v>
      </c>
      <c r="AE295" s="41" t="s">
        <v>22</v>
      </c>
      <c r="AF295" s="41" t="s">
        <v>22</v>
      </c>
      <c r="AG295" s="41" t="s">
        <v>22</v>
      </c>
      <c r="AH295" s="41" t="s">
        <v>22</v>
      </c>
      <c r="AI295" s="41" t="s">
        <v>22</v>
      </c>
      <c r="AJ295" s="41" t="s">
        <v>22</v>
      </c>
      <c r="AK295" s="41" t="s">
        <v>22</v>
      </c>
      <c r="AL295" s="41" t="s">
        <v>22</v>
      </c>
      <c r="AM295" s="43" t="e">
        <f t="shared" si="132"/>
        <v>#VALUE!</v>
      </c>
      <c r="AN295" s="43" t="e">
        <f t="shared" si="133"/>
        <v>#VALUE!</v>
      </c>
      <c r="AO295" s="19" t="s">
        <v>910</v>
      </c>
      <c r="AP295" s="18"/>
      <c r="AQ295" s="18"/>
      <c r="AR295" s="18"/>
      <c r="AS295" s="18"/>
      <c r="AT295" s="2">
        <f t="shared" si="134"/>
        <v>4</v>
      </c>
      <c r="AU295" s="45" t="e">
        <f t="shared" si="135"/>
        <v>#VALUE!</v>
      </c>
      <c r="AV295" s="45">
        <f t="shared" si="136"/>
        <v>0.32014628611105395</v>
      </c>
      <c r="AW295" s="45" t="e">
        <f t="shared" si="137"/>
        <v>#VALUE!</v>
      </c>
      <c r="AX295" s="45" t="e">
        <f t="shared" si="138"/>
        <v>#VALUE!</v>
      </c>
      <c r="AY295" s="45" t="e">
        <f t="shared" si="139"/>
        <v>#VALUE!</v>
      </c>
      <c r="AZ295" s="45" t="e">
        <f t="shared" si="140"/>
        <v>#VALUE!</v>
      </c>
      <c r="BA295" s="45" t="e">
        <f t="shared" si="141"/>
        <v>#VALUE!</v>
      </c>
      <c r="BB295" s="45" t="e">
        <f t="shared" si="142"/>
        <v>#NUM!</v>
      </c>
      <c r="BC295" s="45">
        <f t="shared" si="143"/>
        <v>1.6812412373755872</v>
      </c>
      <c r="BD295" s="45" t="e">
        <f t="shared" si="144"/>
        <v>#VALUE!</v>
      </c>
      <c r="BE295" s="45" t="e">
        <f t="shared" si="145"/>
        <v>#VALUE!</v>
      </c>
      <c r="BF295" s="45" t="e">
        <f t="shared" si="146"/>
        <v>#VALUE!</v>
      </c>
      <c r="BG295" s="45" t="e">
        <f t="shared" si="147"/>
        <v>#VALUE!</v>
      </c>
      <c r="BH295" s="45" t="e">
        <f t="shared" si="148"/>
        <v>#NUM!</v>
      </c>
      <c r="BI295" s="43" t="e">
        <f t="shared" si="149"/>
        <v>#VALUE!</v>
      </c>
      <c r="BJ295" s="18"/>
      <c r="BK295" s="18"/>
      <c r="BL295" s="20"/>
      <c r="BS295" s="18"/>
      <c r="BT295" s="18"/>
      <c r="CA295" s="41" t="s">
        <v>22</v>
      </c>
      <c r="CB295" s="18"/>
      <c r="CC295" t="s">
        <v>22</v>
      </c>
      <c r="CE295" s="41" t="s">
        <v>22</v>
      </c>
      <c r="CF295" s="41" t="s">
        <v>22</v>
      </c>
      <c r="CG295" s="41" t="e">
        <f t="shared" si="153"/>
        <v>#VALUE!</v>
      </c>
      <c r="CH295" s="41" t="e">
        <f t="shared" si="154"/>
        <v>#VALUE!</v>
      </c>
      <c r="CI295" s="41">
        <f t="shared" si="155"/>
        <v>48</v>
      </c>
      <c r="CJ295" s="41">
        <f t="shared" si="156"/>
        <v>1.6812412373755872</v>
      </c>
      <c r="CL295" s="9" t="s">
        <v>1269</v>
      </c>
      <c r="CM295" s="18" t="s">
        <v>1285</v>
      </c>
      <c r="CN295" s="54" t="s">
        <v>1284</v>
      </c>
      <c r="CO295" s="18" t="s">
        <v>1284</v>
      </c>
    </row>
    <row r="296" spans="1:93" x14ac:dyDescent="0.25">
      <c r="A296" s="18" t="s">
        <v>365</v>
      </c>
      <c r="B296" s="41" t="s">
        <v>22</v>
      </c>
      <c r="C296" s="41">
        <v>2.13</v>
      </c>
      <c r="D296" s="41" t="s">
        <v>22</v>
      </c>
      <c r="E296" s="41" t="s">
        <v>22</v>
      </c>
      <c r="F296" s="18" t="s">
        <v>22</v>
      </c>
      <c r="G296" s="18" t="s">
        <v>22</v>
      </c>
      <c r="H296" s="18" t="s">
        <v>22</v>
      </c>
      <c r="I296" s="18" t="s">
        <v>22</v>
      </c>
      <c r="J296" s="41" t="s">
        <v>22</v>
      </c>
      <c r="K296" s="18">
        <v>514.5</v>
      </c>
      <c r="M296" s="18" t="s">
        <v>23</v>
      </c>
      <c r="N296" s="41" t="s">
        <v>22</v>
      </c>
      <c r="O296" s="41" t="s">
        <v>22</v>
      </c>
      <c r="P296" s="41" t="s">
        <v>22</v>
      </c>
      <c r="R296" s="41" t="s">
        <v>22</v>
      </c>
      <c r="S296" s="41" t="s">
        <v>22</v>
      </c>
      <c r="T296" s="41" t="s">
        <v>22</v>
      </c>
      <c r="U296" s="41" t="s">
        <v>22</v>
      </c>
      <c r="V296" s="18">
        <v>20200525</v>
      </c>
      <c r="W296" s="21" t="s">
        <v>914</v>
      </c>
      <c r="X296" s="6">
        <v>2006</v>
      </c>
      <c r="Y296" s="18" t="s">
        <v>1133</v>
      </c>
      <c r="Z296" s="18" t="s">
        <v>32</v>
      </c>
      <c r="AA296" s="18"/>
      <c r="AC296" s="18" t="s">
        <v>514</v>
      </c>
      <c r="AD296" s="41" t="s">
        <v>22</v>
      </c>
      <c r="AE296" s="41" t="s">
        <v>22</v>
      </c>
      <c r="AF296" s="41" t="s">
        <v>22</v>
      </c>
      <c r="AG296" s="41" t="s">
        <v>22</v>
      </c>
      <c r="AH296" s="41" t="s">
        <v>22</v>
      </c>
      <c r="AI296" s="41" t="s">
        <v>22</v>
      </c>
      <c r="AJ296" s="41" t="s">
        <v>22</v>
      </c>
      <c r="AK296" s="41" t="s">
        <v>22</v>
      </c>
      <c r="AL296" s="41" t="s">
        <v>22</v>
      </c>
      <c r="AM296" s="43" t="e">
        <f t="shared" si="132"/>
        <v>#VALUE!</v>
      </c>
      <c r="AN296" s="43" t="e">
        <f t="shared" si="133"/>
        <v>#VALUE!</v>
      </c>
      <c r="AO296" s="19" t="s">
        <v>910</v>
      </c>
      <c r="AP296" s="18"/>
      <c r="AQ296" s="18"/>
      <c r="AR296" s="18"/>
      <c r="AS296" s="18"/>
      <c r="AT296" s="2">
        <f t="shared" si="134"/>
        <v>4</v>
      </c>
      <c r="AU296" s="45" t="e">
        <f t="shared" si="135"/>
        <v>#VALUE!</v>
      </c>
      <c r="AV296" s="45">
        <f t="shared" si="136"/>
        <v>0.32837960343873768</v>
      </c>
      <c r="AW296" s="45" t="e">
        <f t="shared" si="137"/>
        <v>#VALUE!</v>
      </c>
      <c r="AX296" s="45" t="e">
        <f t="shared" si="138"/>
        <v>#VALUE!</v>
      </c>
      <c r="AY296" s="45" t="e">
        <f t="shared" si="139"/>
        <v>#VALUE!</v>
      </c>
      <c r="AZ296" s="45" t="e">
        <f t="shared" si="140"/>
        <v>#VALUE!</v>
      </c>
      <c r="BA296" s="45" t="e">
        <f t="shared" si="141"/>
        <v>#VALUE!</v>
      </c>
      <c r="BB296" s="45" t="e">
        <f t="shared" si="142"/>
        <v>#NUM!</v>
      </c>
      <c r="BC296" s="45" t="e">
        <f t="shared" si="143"/>
        <v>#VALUE!</v>
      </c>
      <c r="BD296" s="45" t="e">
        <f t="shared" si="144"/>
        <v>#VALUE!</v>
      </c>
      <c r="BE296" s="45" t="e">
        <f t="shared" si="145"/>
        <v>#VALUE!</v>
      </c>
      <c r="BF296" s="45" t="e">
        <f t="shared" si="146"/>
        <v>#VALUE!</v>
      </c>
      <c r="BG296" s="45" t="e">
        <f t="shared" si="147"/>
        <v>#VALUE!</v>
      </c>
      <c r="BH296" s="45" t="e">
        <f t="shared" si="148"/>
        <v>#NUM!</v>
      </c>
      <c r="BI296" s="43" t="e">
        <f t="shared" si="149"/>
        <v>#VALUE!</v>
      </c>
      <c r="BJ296" s="18"/>
      <c r="BK296" s="18"/>
      <c r="BL296" s="20"/>
      <c r="BS296" s="18"/>
      <c r="BT296" s="18"/>
      <c r="CA296" s="41" t="s">
        <v>22</v>
      </c>
      <c r="CB296" s="18"/>
      <c r="CC296" s="18" t="s">
        <v>22</v>
      </c>
      <c r="CD296" s="18"/>
      <c r="CE296" s="41" t="s">
        <v>22</v>
      </c>
      <c r="CF296" s="41" t="s">
        <v>22</v>
      </c>
      <c r="CG296" s="41" t="e">
        <f t="shared" si="153"/>
        <v>#VALUE!</v>
      </c>
      <c r="CH296" s="41" t="e">
        <f t="shared" si="154"/>
        <v>#VALUE!</v>
      </c>
      <c r="CI296" s="41" t="str">
        <f t="shared" si="155"/>
        <v>Not Reported/ Can not calculate</v>
      </c>
      <c r="CJ296" s="41" t="e">
        <f t="shared" si="156"/>
        <v>#VALUE!</v>
      </c>
      <c r="CK296" s="18"/>
      <c r="CL296" s="9" t="s">
        <v>1269</v>
      </c>
      <c r="CM296" s="18" t="s">
        <v>1284</v>
      </c>
      <c r="CN296" s="54" t="s">
        <v>1284</v>
      </c>
      <c r="CO296" s="18" t="s">
        <v>1284</v>
      </c>
    </row>
    <row r="297" spans="1:93" x14ac:dyDescent="0.25">
      <c r="A297" s="18" t="s">
        <v>141</v>
      </c>
      <c r="B297" s="41">
        <v>6.0000000000000001E-3</v>
      </c>
      <c r="C297" s="41" t="s">
        <v>22</v>
      </c>
      <c r="D297" s="41" t="s">
        <v>22</v>
      </c>
      <c r="E297" s="41" t="s">
        <v>22</v>
      </c>
      <c r="F297" s="18" t="s">
        <v>22</v>
      </c>
      <c r="G297" s="18" t="s">
        <v>22</v>
      </c>
      <c r="H297" s="18" t="s">
        <v>22</v>
      </c>
      <c r="I297" s="18" t="s">
        <v>22</v>
      </c>
      <c r="J297" s="41" t="s">
        <v>22</v>
      </c>
      <c r="K297" s="18" t="s">
        <v>22</v>
      </c>
      <c r="L297" s="41" t="e">
        <f t="shared" ref="L297:L303" si="162">IF((10^-12)*J297*K297^4=0,"",(10^-12)*J297*K297^4)</f>
        <v>#VALUE!</v>
      </c>
      <c r="M297" s="18" t="s">
        <v>23</v>
      </c>
      <c r="N297" s="41" t="s">
        <v>22</v>
      </c>
      <c r="O297" s="41" t="s">
        <v>22</v>
      </c>
      <c r="P297" s="41" t="s">
        <v>22</v>
      </c>
      <c r="R297" s="41" t="s">
        <v>22</v>
      </c>
      <c r="S297" s="41" t="s">
        <v>22</v>
      </c>
      <c r="T297" s="41" t="s">
        <v>24</v>
      </c>
      <c r="U297" s="41">
        <v>13</v>
      </c>
      <c r="V297" s="18">
        <v>20200507</v>
      </c>
      <c r="W297" s="16" t="s">
        <v>25</v>
      </c>
      <c r="X297" s="18">
        <v>2006</v>
      </c>
      <c r="Y297" s="18" t="s">
        <v>26</v>
      </c>
      <c r="Z297" s="18" t="s">
        <v>27</v>
      </c>
      <c r="AC297" s="18" t="s">
        <v>514</v>
      </c>
      <c r="AD297" s="41" t="s">
        <v>22</v>
      </c>
      <c r="AE297" s="41" t="s">
        <v>22</v>
      </c>
      <c r="AF297" s="41">
        <v>23.36</v>
      </c>
      <c r="AG297" s="41" t="s">
        <v>22</v>
      </c>
      <c r="AH297" s="41">
        <v>30.951000000000001</v>
      </c>
      <c r="AI297" s="41">
        <v>30.951000000000001</v>
      </c>
      <c r="AJ297" s="41">
        <v>26.89</v>
      </c>
      <c r="AK297" s="41">
        <v>21.8</v>
      </c>
      <c r="AL297" s="41">
        <v>16.739999999999998</v>
      </c>
      <c r="AM297" s="43">
        <f t="shared" si="132"/>
        <v>0.54085489968013956</v>
      </c>
      <c r="AN297" s="43">
        <f t="shared" si="133"/>
        <v>0.62253625883227959</v>
      </c>
      <c r="AO297" s="19" t="s">
        <v>28</v>
      </c>
      <c r="AT297" s="2">
        <f t="shared" si="134"/>
        <v>4</v>
      </c>
      <c r="AU297" s="45">
        <f t="shared" si="135"/>
        <v>-2.2218487496163561</v>
      </c>
      <c r="AV297" s="45" t="e">
        <f t="shared" si="136"/>
        <v>#VALUE!</v>
      </c>
      <c r="AW297" s="45" t="e">
        <f t="shared" si="137"/>
        <v>#VALUE!</v>
      </c>
      <c r="AX297" s="45" t="e">
        <f t="shared" si="138"/>
        <v>#VALUE!</v>
      </c>
      <c r="AY297" s="45" t="e">
        <f t="shared" si="139"/>
        <v>#VALUE!</v>
      </c>
      <c r="AZ297" s="45" t="e">
        <f t="shared" si="140"/>
        <v>#VALUE!</v>
      </c>
      <c r="BA297" s="45" t="e">
        <f t="shared" si="141"/>
        <v>#VALUE!</v>
      </c>
      <c r="BB297" s="45" t="e">
        <f t="shared" si="142"/>
        <v>#VALUE!</v>
      </c>
      <c r="BC297" s="45">
        <f t="shared" si="143"/>
        <v>1.1139433523068367</v>
      </c>
      <c r="BD297" s="45" t="e">
        <f t="shared" si="144"/>
        <v>#VALUE!</v>
      </c>
      <c r="BE297" s="45">
        <f t="shared" si="145"/>
        <v>1.3684728384403619</v>
      </c>
      <c r="BF297" s="45">
        <f t="shared" si="146"/>
        <v>-0.2669192316040972</v>
      </c>
      <c r="BG297" s="45">
        <f t="shared" si="147"/>
        <v>-0.20583534856606048</v>
      </c>
      <c r="BH297" s="45" t="e">
        <f t="shared" si="148"/>
        <v>#NUM!</v>
      </c>
      <c r="BI297" s="43">
        <f t="shared" si="149"/>
        <v>1.3684728384403619</v>
      </c>
      <c r="CA297" s="41" t="s">
        <v>22</v>
      </c>
      <c r="CC297" t="s">
        <v>22</v>
      </c>
      <c r="CE297" s="41" t="s">
        <v>22</v>
      </c>
      <c r="CF297" s="41" t="s">
        <v>22</v>
      </c>
      <c r="CG297" s="41" t="e">
        <f t="shared" si="153"/>
        <v>#VALUE!</v>
      </c>
      <c r="CH297" s="41" t="e">
        <f t="shared" si="154"/>
        <v>#VALUE!</v>
      </c>
      <c r="CI297" s="41">
        <f t="shared" si="155"/>
        <v>13</v>
      </c>
      <c r="CJ297" s="41">
        <f t="shared" si="156"/>
        <v>1.1139433523068367</v>
      </c>
      <c r="CL297" s="9" t="s">
        <v>1269</v>
      </c>
      <c r="CM297" s="18" t="s">
        <v>1285</v>
      </c>
      <c r="CN297" s="54" t="s">
        <v>1284</v>
      </c>
      <c r="CO297" s="18" t="s">
        <v>1284</v>
      </c>
    </row>
    <row r="298" spans="1:93" x14ac:dyDescent="0.25">
      <c r="A298" s="18" t="s">
        <v>141</v>
      </c>
      <c r="B298" s="41">
        <v>4.0000000000000001E-3</v>
      </c>
      <c r="C298" s="41" t="s">
        <v>22</v>
      </c>
      <c r="D298" s="41" t="s">
        <v>22</v>
      </c>
      <c r="E298" s="41" t="s">
        <v>22</v>
      </c>
      <c r="F298" s="18" t="s">
        <v>22</v>
      </c>
      <c r="G298" s="18" t="s">
        <v>22</v>
      </c>
      <c r="H298" s="18" t="s">
        <v>22</v>
      </c>
      <c r="I298" s="18" t="s">
        <v>22</v>
      </c>
      <c r="J298" s="41" t="s">
        <v>22</v>
      </c>
      <c r="K298" s="18" t="s">
        <v>22</v>
      </c>
      <c r="L298" s="41" t="e">
        <f t="shared" si="162"/>
        <v>#VALUE!</v>
      </c>
      <c r="M298" s="18" t="s">
        <v>23</v>
      </c>
      <c r="N298" s="41" t="s">
        <v>22</v>
      </c>
      <c r="O298" s="41" t="s">
        <v>22</v>
      </c>
      <c r="P298" s="41" t="s">
        <v>22</v>
      </c>
      <c r="R298" s="41" t="s">
        <v>22</v>
      </c>
      <c r="S298" s="41" t="s">
        <v>22</v>
      </c>
      <c r="T298" s="41" t="s">
        <v>24</v>
      </c>
      <c r="U298" s="41">
        <v>13</v>
      </c>
      <c r="V298" s="18">
        <v>20200507</v>
      </c>
      <c r="W298" s="16" t="s">
        <v>29</v>
      </c>
      <c r="X298" s="18">
        <v>2006</v>
      </c>
      <c r="Y298" s="18" t="s">
        <v>26</v>
      </c>
      <c r="Z298" s="18" t="s">
        <v>30</v>
      </c>
      <c r="AC298" s="18" t="s">
        <v>514</v>
      </c>
      <c r="AD298" s="41" t="s">
        <v>22</v>
      </c>
      <c r="AE298" s="41" t="s">
        <v>22</v>
      </c>
      <c r="AF298" s="41">
        <v>8.07</v>
      </c>
      <c r="AG298" s="41" t="s">
        <v>22</v>
      </c>
      <c r="AH298" s="41">
        <v>38.055</v>
      </c>
      <c r="AI298" s="41">
        <v>38.055</v>
      </c>
      <c r="AJ298" s="41">
        <v>36.024999999999999</v>
      </c>
      <c r="AK298" s="41">
        <v>30.613</v>
      </c>
      <c r="AL298" s="41">
        <v>24.863</v>
      </c>
      <c r="AM298" s="43">
        <f t="shared" si="132"/>
        <v>0.65334384443568516</v>
      </c>
      <c r="AN298" s="43">
        <f t="shared" si="133"/>
        <v>0.69015961138098547</v>
      </c>
      <c r="AO298" s="19" t="s">
        <v>28</v>
      </c>
      <c r="AT298" s="2">
        <f t="shared" si="134"/>
        <v>4</v>
      </c>
      <c r="AU298" s="45">
        <f t="shared" si="135"/>
        <v>-2.3979400086720375</v>
      </c>
      <c r="AV298" s="45" t="e">
        <f t="shared" si="136"/>
        <v>#VALUE!</v>
      </c>
      <c r="AW298" s="45" t="e">
        <f t="shared" si="137"/>
        <v>#VALUE!</v>
      </c>
      <c r="AX298" s="45" t="e">
        <f t="shared" si="138"/>
        <v>#VALUE!</v>
      </c>
      <c r="AY298" s="45" t="e">
        <f t="shared" si="139"/>
        <v>#VALUE!</v>
      </c>
      <c r="AZ298" s="45" t="e">
        <f t="shared" si="140"/>
        <v>#VALUE!</v>
      </c>
      <c r="BA298" s="45" t="e">
        <f t="shared" si="141"/>
        <v>#VALUE!</v>
      </c>
      <c r="BB298" s="45" t="e">
        <f t="shared" si="142"/>
        <v>#VALUE!</v>
      </c>
      <c r="BC298" s="45">
        <f t="shared" si="143"/>
        <v>1.1139433523068367</v>
      </c>
      <c r="BD298" s="45" t="e">
        <f t="shared" si="144"/>
        <v>#VALUE!</v>
      </c>
      <c r="BE298" s="45">
        <f t="shared" si="145"/>
        <v>0.90687353472207044</v>
      </c>
      <c r="BF298" s="45">
        <f t="shared" si="146"/>
        <v>-0.18485819630650877</v>
      </c>
      <c r="BG298" s="45">
        <f t="shared" si="147"/>
        <v>-0.16105045951512367</v>
      </c>
      <c r="BH298" s="45" t="e">
        <f t="shared" si="148"/>
        <v>#NUM!</v>
      </c>
      <c r="BI298" s="43">
        <f t="shared" si="149"/>
        <v>0.90687353472207044</v>
      </c>
      <c r="CA298" s="41" t="s">
        <v>22</v>
      </c>
      <c r="CC298" t="s">
        <v>22</v>
      </c>
      <c r="CE298" s="41" t="s">
        <v>22</v>
      </c>
      <c r="CF298" s="41" t="s">
        <v>22</v>
      </c>
      <c r="CG298" s="41" t="e">
        <f t="shared" si="153"/>
        <v>#VALUE!</v>
      </c>
      <c r="CH298" s="41" t="e">
        <f t="shared" si="154"/>
        <v>#VALUE!</v>
      </c>
      <c r="CI298" s="41">
        <f t="shared" si="155"/>
        <v>13</v>
      </c>
      <c r="CJ298" s="41">
        <f t="shared" si="156"/>
        <v>1.1139433523068367</v>
      </c>
      <c r="CL298" s="9" t="s">
        <v>1269</v>
      </c>
      <c r="CM298" s="18" t="s">
        <v>1285</v>
      </c>
      <c r="CN298" s="54" t="s">
        <v>1284</v>
      </c>
      <c r="CO298" s="18" t="s">
        <v>1284</v>
      </c>
    </row>
    <row r="299" spans="1:93" x14ac:dyDescent="0.25">
      <c r="A299" s="18" t="s">
        <v>141</v>
      </c>
      <c r="B299" s="41">
        <v>2.7000000000000001E-3</v>
      </c>
      <c r="C299" s="41" t="s">
        <v>22</v>
      </c>
      <c r="D299" s="41" t="s">
        <v>22</v>
      </c>
      <c r="E299" s="41" t="s">
        <v>22</v>
      </c>
      <c r="F299" s="18" t="s">
        <v>22</v>
      </c>
      <c r="G299" s="18" t="s">
        <v>22</v>
      </c>
      <c r="H299" s="18" t="s">
        <v>22</v>
      </c>
      <c r="I299" s="18" t="s">
        <v>22</v>
      </c>
      <c r="J299" s="41" t="s">
        <v>22</v>
      </c>
      <c r="K299" s="18" t="s">
        <v>22</v>
      </c>
      <c r="L299" s="41" t="e">
        <f t="shared" si="162"/>
        <v>#VALUE!</v>
      </c>
      <c r="M299" s="18" t="s">
        <v>23</v>
      </c>
      <c r="N299" s="41" t="s">
        <v>22</v>
      </c>
      <c r="O299" s="41" t="s">
        <v>22</v>
      </c>
      <c r="P299" s="41" t="s">
        <v>22</v>
      </c>
      <c r="R299" s="41" t="s">
        <v>22</v>
      </c>
      <c r="S299" s="41" t="s">
        <v>22</v>
      </c>
      <c r="T299" s="41" t="s">
        <v>24</v>
      </c>
      <c r="U299" s="41">
        <v>13</v>
      </c>
      <c r="V299" s="18">
        <v>20200507</v>
      </c>
      <c r="W299" s="16" t="s">
        <v>31</v>
      </c>
      <c r="X299" s="18">
        <v>2006</v>
      </c>
      <c r="Y299" s="18" t="s">
        <v>26</v>
      </c>
      <c r="Z299" s="18" t="s">
        <v>32</v>
      </c>
      <c r="AC299" s="18" t="s">
        <v>514</v>
      </c>
      <c r="AD299" s="41" t="s">
        <v>22</v>
      </c>
      <c r="AE299" s="41" t="s">
        <v>22</v>
      </c>
      <c r="AF299" s="41">
        <v>2.69</v>
      </c>
      <c r="AG299" s="41" t="s">
        <v>22</v>
      </c>
      <c r="AH299" s="41">
        <v>61.395000000000003</v>
      </c>
      <c r="AI299" s="41">
        <v>61.395000000000003</v>
      </c>
      <c r="AJ299" s="41">
        <v>54.292000000000002</v>
      </c>
      <c r="AK299" s="41">
        <v>45.835000000000001</v>
      </c>
      <c r="AL299" s="41">
        <v>37.04</v>
      </c>
      <c r="AM299" s="43">
        <f t="shared" si="132"/>
        <v>0.60330645818063355</v>
      </c>
      <c r="AN299" s="43">
        <f t="shared" si="133"/>
        <v>0.68223679363442125</v>
      </c>
      <c r="AO299" s="19" t="s">
        <v>28</v>
      </c>
      <c r="AT299" s="2">
        <f t="shared" si="134"/>
        <v>4</v>
      </c>
      <c r="AU299" s="45">
        <f t="shared" si="135"/>
        <v>-2.5686362358410126</v>
      </c>
      <c r="AV299" s="45" t="e">
        <f t="shared" si="136"/>
        <v>#VALUE!</v>
      </c>
      <c r="AW299" s="45" t="e">
        <f t="shared" si="137"/>
        <v>#VALUE!</v>
      </c>
      <c r="AX299" s="45" t="e">
        <f t="shared" si="138"/>
        <v>#VALUE!</v>
      </c>
      <c r="AY299" s="45" t="e">
        <f t="shared" si="139"/>
        <v>#VALUE!</v>
      </c>
      <c r="AZ299" s="45" t="e">
        <f t="shared" si="140"/>
        <v>#VALUE!</v>
      </c>
      <c r="BA299" s="45" t="e">
        <f t="shared" si="141"/>
        <v>#VALUE!</v>
      </c>
      <c r="BB299" s="45" t="e">
        <f t="shared" si="142"/>
        <v>#VALUE!</v>
      </c>
      <c r="BC299" s="45">
        <f t="shared" si="143"/>
        <v>1.1139433523068367</v>
      </c>
      <c r="BD299" s="45" t="e">
        <f t="shared" si="144"/>
        <v>#VALUE!</v>
      </c>
      <c r="BE299" s="45">
        <f t="shared" si="145"/>
        <v>0.42975228000240795</v>
      </c>
      <c r="BF299" s="45">
        <f t="shared" si="146"/>
        <v>-0.21946202569105411</v>
      </c>
      <c r="BG299" s="45">
        <f t="shared" si="147"/>
        <v>-0.16606486241102791</v>
      </c>
      <c r="BH299" s="45" t="e">
        <f t="shared" si="148"/>
        <v>#NUM!</v>
      </c>
      <c r="BI299" s="43">
        <f t="shared" si="149"/>
        <v>0.42975228000240795</v>
      </c>
      <c r="CA299" s="41" t="s">
        <v>22</v>
      </c>
      <c r="CC299" t="s">
        <v>22</v>
      </c>
      <c r="CE299" s="41" t="s">
        <v>22</v>
      </c>
      <c r="CF299" s="41" t="s">
        <v>22</v>
      </c>
      <c r="CG299" s="41" t="e">
        <f t="shared" si="153"/>
        <v>#VALUE!</v>
      </c>
      <c r="CH299" s="41" t="e">
        <f t="shared" si="154"/>
        <v>#VALUE!</v>
      </c>
      <c r="CI299" s="41">
        <f t="shared" si="155"/>
        <v>13</v>
      </c>
      <c r="CJ299" s="41">
        <f t="shared" si="156"/>
        <v>1.1139433523068367</v>
      </c>
      <c r="CL299" s="9" t="s">
        <v>1269</v>
      </c>
      <c r="CM299" s="18" t="s">
        <v>1285</v>
      </c>
      <c r="CN299" s="54" t="s">
        <v>1284</v>
      </c>
      <c r="CO299" s="18" t="s">
        <v>1284</v>
      </c>
    </row>
    <row r="300" spans="1:93" x14ac:dyDescent="0.25">
      <c r="A300" s="18" t="s">
        <v>141</v>
      </c>
      <c r="B300" s="41">
        <v>2.0999999999999999E-3</v>
      </c>
      <c r="C300" s="41" t="s">
        <v>22</v>
      </c>
      <c r="D300" s="41" t="s">
        <v>22</v>
      </c>
      <c r="E300" s="41" t="s">
        <v>22</v>
      </c>
      <c r="F300" s="18" t="s">
        <v>22</v>
      </c>
      <c r="G300" s="18" t="s">
        <v>22</v>
      </c>
      <c r="H300" s="18" t="s">
        <v>22</v>
      </c>
      <c r="I300" s="18" t="s">
        <v>22</v>
      </c>
      <c r="J300" s="41" t="s">
        <v>22</v>
      </c>
      <c r="K300" s="18" t="s">
        <v>22</v>
      </c>
      <c r="L300" s="41" t="e">
        <f t="shared" si="162"/>
        <v>#VALUE!</v>
      </c>
      <c r="M300" s="18" t="s">
        <v>23</v>
      </c>
      <c r="N300" s="41" t="s">
        <v>22</v>
      </c>
      <c r="O300" s="41" t="s">
        <v>22</v>
      </c>
      <c r="P300" s="41" t="s">
        <v>22</v>
      </c>
      <c r="R300" s="41" t="s">
        <v>22</v>
      </c>
      <c r="S300" s="41" t="s">
        <v>22</v>
      </c>
      <c r="T300" s="41" t="s">
        <v>24</v>
      </c>
      <c r="U300" s="41">
        <v>13</v>
      </c>
      <c r="V300" s="18">
        <v>20200507</v>
      </c>
      <c r="W300" s="16" t="s">
        <v>33</v>
      </c>
      <c r="X300" s="18">
        <v>2006</v>
      </c>
      <c r="Y300" s="18" t="s">
        <v>26</v>
      </c>
      <c r="Z300" s="18" t="s">
        <v>34</v>
      </c>
      <c r="AC300" s="18" t="s">
        <v>514</v>
      </c>
      <c r="AD300" s="41" t="s">
        <v>22</v>
      </c>
      <c r="AE300" s="41" t="s">
        <v>22</v>
      </c>
      <c r="AF300" s="41">
        <v>3.2286999999999999</v>
      </c>
      <c r="AG300" s="41" t="s">
        <v>22</v>
      </c>
      <c r="AH300" s="41">
        <v>90.825000000000003</v>
      </c>
      <c r="AI300" s="41">
        <v>90.825000000000003</v>
      </c>
      <c r="AJ300" s="41">
        <v>75.941000000000003</v>
      </c>
      <c r="AK300" s="41">
        <v>61.734000000000002</v>
      </c>
      <c r="AL300" s="41">
        <v>48.878999999999998</v>
      </c>
      <c r="AM300" s="43">
        <f t="shared" si="132"/>
        <v>0.5381668042939719</v>
      </c>
      <c r="AN300" s="43">
        <f t="shared" si="133"/>
        <v>0.64364440815896551</v>
      </c>
      <c r="AO300" s="19" t="s">
        <v>28</v>
      </c>
      <c r="AT300" s="2">
        <f t="shared" si="134"/>
        <v>4</v>
      </c>
      <c r="AU300" s="45">
        <f t="shared" si="135"/>
        <v>-2.6777807052660809</v>
      </c>
      <c r="AV300" s="45" t="e">
        <f t="shared" si="136"/>
        <v>#VALUE!</v>
      </c>
      <c r="AW300" s="45" t="e">
        <f t="shared" si="137"/>
        <v>#VALUE!</v>
      </c>
      <c r="AX300" s="45" t="e">
        <f t="shared" si="138"/>
        <v>#VALUE!</v>
      </c>
      <c r="AY300" s="45" t="e">
        <f t="shared" si="139"/>
        <v>#VALUE!</v>
      </c>
      <c r="AZ300" s="45" t="e">
        <f t="shared" si="140"/>
        <v>#VALUE!</v>
      </c>
      <c r="BA300" s="45" t="e">
        <f t="shared" si="141"/>
        <v>#VALUE!</v>
      </c>
      <c r="BB300" s="45" t="e">
        <f t="shared" si="142"/>
        <v>#VALUE!</v>
      </c>
      <c r="BC300" s="45">
        <f t="shared" si="143"/>
        <v>1.1139433523068367</v>
      </c>
      <c r="BD300" s="45" t="e">
        <f t="shared" si="144"/>
        <v>#VALUE!</v>
      </c>
      <c r="BE300" s="45">
        <f t="shared" si="145"/>
        <v>0.50902769370178158</v>
      </c>
      <c r="BF300" s="45">
        <f t="shared" si="146"/>
        <v>-0.26908309430279992</v>
      </c>
      <c r="BG300" s="45">
        <f t="shared" si="147"/>
        <v>-0.1913539994501835</v>
      </c>
      <c r="BH300" s="45" t="e">
        <f t="shared" si="148"/>
        <v>#NUM!</v>
      </c>
      <c r="BI300" s="43">
        <f t="shared" si="149"/>
        <v>0.50902769370178158</v>
      </c>
      <c r="CA300" s="41" t="s">
        <v>22</v>
      </c>
      <c r="CC300" t="s">
        <v>22</v>
      </c>
      <c r="CE300" s="41" t="s">
        <v>22</v>
      </c>
      <c r="CF300" s="41" t="s">
        <v>22</v>
      </c>
      <c r="CG300" s="41" t="e">
        <f t="shared" si="153"/>
        <v>#VALUE!</v>
      </c>
      <c r="CH300" s="41" t="e">
        <f t="shared" si="154"/>
        <v>#VALUE!</v>
      </c>
      <c r="CI300" s="41">
        <f t="shared" si="155"/>
        <v>13</v>
      </c>
      <c r="CJ300" s="41">
        <f t="shared" si="156"/>
        <v>1.1139433523068367</v>
      </c>
      <c r="CL300" s="9" t="s">
        <v>1269</v>
      </c>
      <c r="CM300" s="18" t="s">
        <v>1285</v>
      </c>
      <c r="CN300" s="54" t="s">
        <v>1284</v>
      </c>
      <c r="CO300" s="18" t="s">
        <v>1284</v>
      </c>
    </row>
    <row r="301" spans="1:93" x14ac:dyDescent="0.25">
      <c r="A301" s="18" t="s">
        <v>352</v>
      </c>
      <c r="B301" s="41" t="s">
        <v>22</v>
      </c>
      <c r="C301" s="41">
        <v>2.1</v>
      </c>
      <c r="D301" s="41" t="s">
        <v>22</v>
      </c>
      <c r="E301" s="41" t="s">
        <v>22</v>
      </c>
      <c r="F301" s="18" t="s">
        <v>22</v>
      </c>
      <c r="G301" s="18" t="s">
        <v>22</v>
      </c>
      <c r="H301" s="18" t="s">
        <v>22</v>
      </c>
      <c r="I301" s="18" t="s">
        <v>22</v>
      </c>
      <c r="J301" s="41" t="s">
        <v>22</v>
      </c>
      <c r="K301" s="18">
        <v>514.5</v>
      </c>
      <c r="L301" s="41" t="e">
        <f t="shared" si="162"/>
        <v>#VALUE!</v>
      </c>
      <c r="M301" s="18" t="s">
        <v>23</v>
      </c>
      <c r="N301" s="41" t="s">
        <v>22</v>
      </c>
      <c r="O301" s="41" t="s">
        <v>22</v>
      </c>
      <c r="P301" s="41" t="s">
        <v>22</v>
      </c>
      <c r="R301" s="41" t="s">
        <v>22</v>
      </c>
      <c r="S301" s="41" t="s">
        <v>22</v>
      </c>
      <c r="T301" s="41" t="s">
        <v>912</v>
      </c>
      <c r="U301" s="41">
        <v>11.5</v>
      </c>
      <c r="V301" s="18">
        <v>20210320</v>
      </c>
      <c r="X301" s="6">
        <v>2005</v>
      </c>
      <c r="Y301" s="18"/>
      <c r="Z301" s="18" t="s">
        <v>22</v>
      </c>
      <c r="AC301" s="18" t="s">
        <v>514</v>
      </c>
      <c r="AD301" s="41" t="s">
        <v>22</v>
      </c>
      <c r="AE301" s="41" t="s">
        <v>22</v>
      </c>
      <c r="AF301" s="41" t="s">
        <v>22</v>
      </c>
      <c r="AG301" s="41" t="s">
        <v>22</v>
      </c>
      <c r="AH301" s="41" t="s">
        <v>22</v>
      </c>
      <c r="AI301" s="41" t="s">
        <v>22</v>
      </c>
      <c r="AJ301" s="41" t="s">
        <v>22</v>
      </c>
      <c r="AK301" s="41" t="s">
        <v>22</v>
      </c>
      <c r="AL301" s="41" t="s">
        <v>22</v>
      </c>
      <c r="AM301" s="43" t="e">
        <f t="shared" si="132"/>
        <v>#VALUE!</v>
      </c>
      <c r="AN301" s="43" t="e">
        <f t="shared" si="133"/>
        <v>#VALUE!</v>
      </c>
      <c r="AO301" s="37" t="s">
        <v>1247</v>
      </c>
      <c r="AT301" s="2">
        <f t="shared" si="134"/>
        <v>1</v>
      </c>
      <c r="AU301" s="45" t="e">
        <f t="shared" si="135"/>
        <v>#VALUE!</v>
      </c>
      <c r="AV301" s="45">
        <f t="shared" si="136"/>
        <v>0.3222192947339193</v>
      </c>
      <c r="AW301" s="45" t="e">
        <f t="shared" si="137"/>
        <v>#VALUE!</v>
      </c>
      <c r="AX301" s="45" t="e">
        <f t="shared" si="138"/>
        <v>#VALUE!</v>
      </c>
      <c r="AY301" s="45" t="e">
        <f t="shared" si="139"/>
        <v>#VALUE!</v>
      </c>
      <c r="AZ301" s="45" t="e">
        <f t="shared" si="140"/>
        <v>#VALUE!</v>
      </c>
      <c r="BA301" s="45" t="e">
        <f t="shared" si="141"/>
        <v>#VALUE!</v>
      </c>
      <c r="BB301" s="45" t="e">
        <f t="shared" si="142"/>
        <v>#VALUE!</v>
      </c>
      <c r="BC301" s="45">
        <f t="shared" si="143"/>
        <v>1.0606978403536116</v>
      </c>
      <c r="BD301" s="45" t="e">
        <f t="shared" si="144"/>
        <v>#VALUE!</v>
      </c>
      <c r="BE301" s="45" t="e">
        <f t="shared" si="145"/>
        <v>#VALUE!</v>
      </c>
      <c r="BF301" s="45" t="e">
        <f t="shared" si="146"/>
        <v>#VALUE!</v>
      </c>
      <c r="BG301" s="45" t="e">
        <f t="shared" si="147"/>
        <v>#VALUE!</v>
      </c>
      <c r="BH301" s="45" t="e">
        <f t="shared" si="148"/>
        <v>#NUM!</v>
      </c>
      <c r="BI301" s="43" t="e">
        <f t="shared" si="149"/>
        <v>#VALUE!</v>
      </c>
      <c r="CA301" s="41" t="s">
        <v>22</v>
      </c>
      <c r="CC301" t="s">
        <v>22</v>
      </c>
      <c r="CE301" s="41" t="s">
        <v>22</v>
      </c>
      <c r="CF301" s="41" t="s">
        <v>22</v>
      </c>
      <c r="CG301" s="41" t="e">
        <f t="shared" si="153"/>
        <v>#VALUE!</v>
      </c>
      <c r="CH301" s="41" t="e">
        <f t="shared" si="154"/>
        <v>#VALUE!</v>
      </c>
      <c r="CI301" s="41">
        <f t="shared" si="155"/>
        <v>11.5</v>
      </c>
      <c r="CJ301" s="41">
        <f t="shared" si="156"/>
        <v>1.0606978403536116</v>
      </c>
      <c r="CL301" s="9" t="s">
        <v>1269</v>
      </c>
      <c r="CM301" s="18" t="s">
        <v>1285</v>
      </c>
      <c r="CN301" s="54" t="s">
        <v>1284</v>
      </c>
      <c r="CO301" s="18" t="s">
        <v>1284</v>
      </c>
    </row>
    <row r="302" spans="1:93" s="9" customFormat="1" x14ac:dyDescent="0.25">
      <c r="A302" s="9" t="s">
        <v>343</v>
      </c>
      <c r="B302" s="50">
        <v>0.10833333333333332</v>
      </c>
      <c r="C302" s="50" t="s">
        <v>22</v>
      </c>
      <c r="D302" s="50" t="s">
        <v>22</v>
      </c>
      <c r="E302" s="50" t="s">
        <v>22</v>
      </c>
      <c r="F302" s="9" t="s">
        <v>22</v>
      </c>
      <c r="G302" s="9" t="s">
        <v>22</v>
      </c>
      <c r="H302" s="9" t="s">
        <v>22</v>
      </c>
      <c r="I302" s="9" t="s">
        <v>22</v>
      </c>
      <c r="J302" s="50" t="s">
        <v>22</v>
      </c>
      <c r="K302" s="9" t="s">
        <v>22</v>
      </c>
      <c r="L302" s="50" t="e">
        <f t="shared" si="162"/>
        <v>#VALUE!</v>
      </c>
      <c r="M302" s="9" t="s">
        <v>45</v>
      </c>
      <c r="N302" s="50" t="s">
        <v>22</v>
      </c>
      <c r="O302" s="50" t="s">
        <v>22</v>
      </c>
      <c r="P302" s="50" t="s">
        <v>22</v>
      </c>
      <c r="Q302" s="50"/>
      <c r="R302" s="50" t="s">
        <v>22</v>
      </c>
      <c r="S302" s="50" t="s">
        <v>22</v>
      </c>
      <c r="T302" s="50" t="s">
        <v>22</v>
      </c>
      <c r="U302" s="50" t="s">
        <v>22</v>
      </c>
      <c r="V302" s="9">
        <v>20200719</v>
      </c>
      <c r="W302" s="21"/>
      <c r="X302" s="21">
        <v>2006</v>
      </c>
      <c r="Y302" s="9" t="s">
        <v>343</v>
      </c>
      <c r="Z302" s="9" t="s">
        <v>1105</v>
      </c>
      <c r="AA302" s="56" t="s">
        <v>1106</v>
      </c>
      <c r="AB302" s="50"/>
      <c r="AC302" s="9" t="s">
        <v>22</v>
      </c>
      <c r="AD302" s="50" t="s">
        <v>22</v>
      </c>
      <c r="AE302" s="50" t="s">
        <v>22</v>
      </c>
      <c r="AF302" s="50" t="s">
        <v>22</v>
      </c>
      <c r="AG302" s="50" t="s">
        <v>22</v>
      </c>
      <c r="AH302" s="50">
        <v>0.82051282051282104</v>
      </c>
      <c r="AI302" s="50" t="s">
        <v>22</v>
      </c>
      <c r="AJ302" s="50">
        <v>0.82051282051282104</v>
      </c>
      <c r="AK302" s="50">
        <v>0.81196581196581097</v>
      </c>
      <c r="AL302" s="50">
        <v>0.92307692307692302</v>
      </c>
      <c r="AM302" s="43" t="e">
        <f t="shared" si="132"/>
        <v>#VALUE!</v>
      </c>
      <c r="AN302" s="43">
        <f t="shared" si="133"/>
        <v>1.1249999999999991</v>
      </c>
      <c r="AO302" s="21" t="s">
        <v>1104</v>
      </c>
      <c r="AT302" s="2">
        <f t="shared" si="134"/>
        <v>2</v>
      </c>
      <c r="AU302" s="45">
        <f t="shared" si="135"/>
        <v>-0.96523789374078806</v>
      </c>
      <c r="AV302" s="45" t="e">
        <f t="shared" si="136"/>
        <v>#VALUE!</v>
      </c>
      <c r="AW302" s="45" t="e">
        <f t="shared" si="137"/>
        <v>#VALUE!</v>
      </c>
      <c r="AX302" s="45" t="e">
        <f t="shared" si="138"/>
        <v>#VALUE!</v>
      </c>
      <c r="AY302" s="45" t="e">
        <f t="shared" si="139"/>
        <v>#VALUE!</v>
      </c>
      <c r="AZ302" s="45" t="e">
        <f t="shared" si="140"/>
        <v>#VALUE!</v>
      </c>
      <c r="BA302" s="45" t="e">
        <f t="shared" si="141"/>
        <v>#VALUE!</v>
      </c>
      <c r="BB302" s="45" t="e">
        <f t="shared" si="142"/>
        <v>#VALUE!</v>
      </c>
      <c r="BC302" s="45" t="e">
        <f t="shared" si="143"/>
        <v>#VALUE!</v>
      </c>
      <c r="BD302" s="45" t="e">
        <f t="shared" si="144"/>
        <v>#VALUE!</v>
      </c>
      <c r="BE302" s="45" t="e">
        <f t="shared" si="145"/>
        <v>#VALUE!</v>
      </c>
      <c r="BF302" s="45" t="e">
        <f t="shared" si="146"/>
        <v>#VALUE!</v>
      </c>
      <c r="BG302" s="45">
        <f t="shared" si="147"/>
        <v>5.1152522447380944E-2</v>
      </c>
      <c r="BH302" s="45" t="e">
        <f t="shared" si="148"/>
        <v>#NUM!</v>
      </c>
      <c r="BI302" s="43" t="e">
        <f t="shared" si="149"/>
        <v>#VALUE!</v>
      </c>
      <c r="BL302" s="20"/>
      <c r="BM302" s="50"/>
      <c r="BN302" s="50"/>
      <c r="BO302" s="50"/>
      <c r="BP302" s="50"/>
      <c r="BQ302" s="50"/>
      <c r="BR302" s="50"/>
      <c r="BU302" s="50"/>
      <c r="BV302" s="50"/>
      <c r="BW302" s="50"/>
      <c r="BX302" s="50"/>
      <c r="BY302" s="50"/>
      <c r="BZ302" s="50"/>
      <c r="CA302" s="50" t="s">
        <v>22</v>
      </c>
      <c r="CE302" s="50"/>
      <c r="CF302" s="50"/>
      <c r="CG302" s="50"/>
      <c r="CH302" s="50"/>
      <c r="CI302" s="50" t="str">
        <f t="shared" ref="CI302" si="163">IF(ISNUMBER(CG302),CG302,U302)</f>
        <v>Not Reported/ Can not calculate</v>
      </c>
      <c r="CJ302" s="50" t="e">
        <f t="shared" ref="CJ302" si="164">LOG10(CI302)</f>
        <v>#VALUE!</v>
      </c>
      <c r="CL302" s="9" t="s">
        <v>343</v>
      </c>
      <c r="CM302" s="9" t="s">
        <v>1284</v>
      </c>
      <c r="CN302" s="55" t="s">
        <v>1284</v>
      </c>
      <c r="CO302" s="9" t="s">
        <v>1284</v>
      </c>
    </row>
    <row r="303" spans="1:93" s="9" customFormat="1" x14ac:dyDescent="0.25">
      <c r="A303" s="9" t="s">
        <v>343</v>
      </c>
      <c r="B303" s="50">
        <v>0.1329545454545453</v>
      </c>
      <c r="C303" s="50" t="s">
        <v>22</v>
      </c>
      <c r="D303" s="50" t="s">
        <v>22</v>
      </c>
      <c r="E303" s="50" t="s">
        <v>22</v>
      </c>
      <c r="F303" s="9" t="s">
        <v>22</v>
      </c>
      <c r="G303" s="9" t="s">
        <v>22</v>
      </c>
      <c r="H303" s="9" t="s">
        <v>22</v>
      </c>
      <c r="I303" s="9" t="s">
        <v>22</v>
      </c>
      <c r="J303" s="50" t="s">
        <v>22</v>
      </c>
      <c r="K303" s="9" t="s">
        <v>22</v>
      </c>
      <c r="L303" s="50" t="e">
        <f t="shared" si="162"/>
        <v>#VALUE!</v>
      </c>
      <c r="M303" s="9" t="s">
        <v>45</v>
      </c>
      <c r="N303" s="50" t="s">
        <v>22</v>
      </c>
      <c r="O303" s="50" t="s">
        <v>22</v>
      </c>
      <c r="P303" s="50" t="s">
        <v>22</v>
      </c>
      <c r="Q303" s="50"/>
      <c r="R303" s="50" t="s">
        <v>22</v>
      </c>
      <c r="S303" s="50" t="s">
        <v>22</v>
      </c>
      <c r="T303" s="50" t="s">
        <v>22</v>
      </c>
      <c r="U303" s="50" t="s">
        <v>22</v>
      </c>
      <c r="V303" s="9">
        <v>20200719</v>
      </c>
      <c r="W303" s="21"/>
      <c r="X303" s="21">
        <v>2006</v>
      </c>
      <c r="Y303" s="9" t="s">
        <v>343</v>
      </c>
      <c r="Z303" s="9" t="s">
        <v>1105</v>
      </c>
      <c r="AA303" s="56" t="s">
        <v>1106</v>
      </c>
      <c r="AB303" s="50"/>
      <c r="AC303" s="9" t="s">
        <v>22</v>
      </c>
      <c r="AD303" s="50" t="s">
        <v>22</v>
      </c>
      <c r="AE303" s="50" t="s">
        <v>22</v>
      </c>
      <c r="AF303" s="50" t="s">
        <v>22</v>
      </c>
      <c r="AG303" s="50" t="s">
        <v>22</v>
      </c>
      <c r="AH303" s="50">
        <v>0.341880341880342</v>
      </c>
      <c r="AI303" s="50">
        <v>0.341880341880342</v>
      </c>
      <c r="AJ303" s="50">
        <v>0.341880341880342</v>
      </c>
      <c r="AK303" s="50">
        <v>0.35042735042735002</v>
      </c>
      <c r="AL303" s="50">
        <v>0.75213675213675302</v>
      </c>
      <c r="AM303" s="43">
        <f t="shared" si="132"/>
        <v>2.200000000000002</v>
      </c>
      <c r="AN303" s="43">
        <f t="shared" si="133"/>
        <v>2.200000000000002</v>
      </c>
      <c r="AO303" s="21" t="s">
        <v>1104</v>
      </c>
      <c r="AT303" s="2">
        <f t="shared" si="134"/>
        <v>2</v>
      </c>
      <c r="AU303" s="45">
        <f t="shared" si="135"/>
        <v>-0.87629681040400753</v>
      </c>
      <c r="AV303" s="45" t="e">
        <f t="shared" si="136"/>
        <v>#VALUE!</v>
      </c>
      <c r="AW303" s="45" t="e">
        <f t="shared" si="137"/>
        <v>#VALUE!</v>
      </c>
      <c r="AX303" s="45" t="e">
        <f t="shared" si="138"/>
        <v>#VALUE!</v>
      </c>
      <c r="AY303" s="45" t="e">
        <f t="shared" si="139"/>
        <v>#VALUE!</v>
      </c>
      <c r="AZ303" s="45" t="e">
        <f t="shared" si="140"/>
        <v>#VALUE!</v>
      </c>
      <c r="BA303" s="45" t="e">
        <f t="shared" si="141"/>
        <v>#VALUE!</v>
      </c>
      <c r="BB303" s="45" t="e">
        <f t="shared" si="142"/>
        <v>#VALUE!</v>
      </c>
      <c r="BC303" s="45" t="e">
        <f t="shared" si="143"/>
        <v>#VALUE!</v>
      </c>
      <c r="BD303" s="45" t="e">
        <f t="shared" si="144"/>
        <v>#VALUE!</v>
      </c>
      <c r="BE303" s="45" t="e">
        <f t="shared" si="145"/>
        <v>#VALUE!</v>
      </c>
      <c r="BF303" s="45">
        <f t="shared" si="146"/>
        <v>0.34242268082220662</v>
      </c>
      <c r="BG303" s="45">
        <f t="shared" si="147"/>
        <v>0.34242268082220662</v>
      </c>
      <c r="BH303" s="45" t="e">
        <f t="shared" si="148"/>
        <v>#NUM!</v>
      </c>
      <c r="BI303" s="43" t="e">
        <f t="shared" si="149"/>
        <v>#VALUE!</v>
      </c>
      <c r="BL303" s="20"/>
      <c r="BM303" s="50"/>
      <c r="BN303" s="50"/>
      <c r="BO303" s="50"/>
      <c r="BP303" s="50"/>
      <c r="BQ303" s="50"/>
      <c r="BR303" s="50"/>
      <c r="BU303" s="50"/>
      <c r="BV303" s="50"/>
      <c r="BW303" s="50"/>
      <c r="BX303" s="50"/>
      <c r="BY303" s="50"/>
      <c r="BZ303" s="50"/>
      <c r="CA303" s="50" t="s">
        <v>22</v>
      </c>
      <c r="CE303" s="50"/>
      <c r="CF303" s="50"/>
      <c r="CG303" s="50"/>
      <c r="CH303" s="50"/>
      <c r="CI303" s="50" t="str">
        <f t="shared" ref="CI303:CI306" si="165">IF(ISNUMBER(CG303),CG303,U303)</f>
        <v>Not Reported/ Can not calculate</v>
      </c>
      <c r="CJ303" s="50" t="e">
        <f t="shared" ref="CJ303:CJ306" si="166">LOG10(CI303)</f>
        <v>#VALUE!</v>
      </c>
      <c r="CL303" s="9" t="s">
        <v>343</v>
      </c>
      <c r="CM303" s="9" t="s">
        <v>1284</v>
      </c>
      <c r="CN303" s="55" t="s">
        <v>1284</v>
      </c>
      <c r="CO303" s="9" t="s">
        <v>1284</v>
      </c>
    </row>
    <row r="304" spans="1:93" s="9" customFormat="1" x14ac:dyDescent="0.25">
      <c r="A304" s="9" t="s">
        <v>365</v>
      </c>
      <c r="B304" s="50" t="s">
        <v>22</v>
      </c>
      <c r="C304" s="50" t="s">
        <v>22</v>
      </c>
      <c r="D304" s="50" t="s">
        <v>22</v>
      </c>
      <c r="E304" s="50" t="s">
        <v>22</v>
      </c>
      <c r="F304" s="9" t="s">
        <v>22</v>
      </c>
      <c r="G304" s="9" t="s">
        <v>22</v>
      </c>
      <c r="H304" s="9" t="s">
        <v>22</v>
      </c>
      <c r="I304" s="9" t="s">
        <v>22</v>
      </c>
      <c r="J304" s="50" t="s">
        <v>22</v>
      </c>
      <c r="K304" s="9" t="s">
        <v>22</v>
      </c>
      <c r="L304" s="50"/>
      <c r="M304" s="9" t="s">
        <v>23</v>
      </c>
      <c r="N304" s="50" t="s">
        <v>22</v>
      </c>
      <c r="O304" s="50" t="s">
        <v>22</v>
      </c>
      <c r="P304" s="50" t="s">
        <v>22</v>
      </c>
      <c r="Q304" s="50"/>
      <c r="R304" s="50" t="s">
        <v>22</v>
      </c>
      <c r="S304" s="50" t="s">
        <v>22</v>
      </c>
      <c r="T304" s="50">
        <v>1.7</v>
      </c>
      <c r="U304" s="50">
        <v>1.7</v>
      </c>
      <c r="V304" s="9">
        <v>20200713</v>
      </c>
      <c r="W304" s="21"/>
      <c r="X304" s="21">
        <v>2006</v>
      </c>
      <c r="Y304" s="9" t="s">
        <v>1133</v>
      </c>
      <c r="Z304" s="9" t="s">
        <v>32</v>
      </c>
      <c r="AB304" s="50"/>
      <c r="AC304" s="9" t="s">
        <v>287</v>
      </c>
      <c r="AD304" s="50" t="s">
        <v>22</v>
      </c>
      <c r="AE304" s="50" t="s">
        <v>22</v>
      </c>
      <c r="AF304" s="50">
        <v>3500</v>
      </c>
      <c r="AG304" s="50" t="s">
        <v>22</v>
      </c>
      <c r="AH304" s="50" t="s">
        <v>22</v>
      </c>
      <c r="AI304" s="50" t="s">
        <v>22</v>
      </c>
      <c r="AJ304" s="50" t="s">
        <v>22</v>
      </c>
      <c r="AK304" s="50" t="s">
        <v>22</v>
      </c>
      <c r="AL304" s="50" t="s">
        <v>22</v>
      </c>
      <c r="AM304" s="43" t="e">
        <f t="shared" si="132"/>
        <v>#VALUE!</v>
      </c>
      <c r="AN304" s="43" t="e">
        <f t="shared" si="133"/>
        <v>#VALUE!</v>
      </c>
      <c r="AO304" s="21" t="s">
        <v>1064</v>
      </c>
      <c r="AT304" s="2">
        <f t="shared" si="134"/>
        <v>1</v>
      </c>
      <c r="AU304" s="45" t="e">
        <f t="shared" si="135"/>
        <v>#VALUE!</v>
      </c>
      <c r="AV304" s="45" t="e">
        <f t="shared" si="136"/>
        <v>#VALUE!</v>
      </c>
      <c r="AW304" s="45" t="e">
        <f t="shared" si="137"/>
        <v>#VALUE!</v>
      </c>
      <c r="AX304" s="45" t="e">
        <f t="shared" si="138"/>
        <v>#VALUE!</v>
      </c>
      <c r="AY304" s="45" t="e">
        <f t="shared" si="139"/>
        <v>#VALUE!</v>
      </c>
      <c r="AZ304" s="45" t="e">
        <f t="shared" si="140"/>
        <v>#VALUE!</v>
      </c>
      <c r="BA304" s="45" t="e">
        <f t="shared" si="141"/>
        <v>#VALUE!</v>
      </c>
      <c r="BB304" s="45" t="e">
        <f t="shared" si="142"/>
        <v>#NUM!</v>
      </c>
      <c r="BC304" s="45">
        <f t="shared" si="143"/>
        <v>0.23044892137827391</v>
      </c>
      <c r="BD304" s="45" t="e">
        <f t="shared" si="144"/>
        <v>#VALUE!</v>
      </c>
      <c r="BE304" s="45">
        <f t="shared" si="145"/>
        <v>3.5440680443502757</v>
      </c>
      <c r="BF304" s="45" t="e">
        <f t="shared" si="146"/>
        <v>#VALUE!</v>
      </c>
      <c r="BG304" s="45" t="e">
        <f t="shared" si="147"/>
        <v>#VALUE!</v>
      </c>
      <c r="BH304" s="45" t="e">
        <f t="shared" si="148"/>
        <v>#NUM!</v>
      </c>
      <c r="BI304" s="43">
        <f t="shared" si="149"/>
        <v>3.5440680443502757</v>
      </c>
      <c r="BL304" s="20"/>
      <c r="BM304" s="50"/>
      <c r="BN304" s="50"/>
      <c r="BO304" s="50"/>
      <c r="BP304" s="50"/>
      <c r="BQ304" s="50"/>
      <c r="BR304" s="50"/>
      <c r="BU304" s="50"/>
      <c r="BV304" s="50"/>
      <c r="BW304" s="50"/>
      <c r="BX304" s="50"/>
      <c r="BY304" s="50"/>
      <c r="BZ304" s="50"/>
      <c r="CA304" s="50" t="s">
        <v>22</v>
      </c>
      <c r="CE304" s="50"/>
      <c r="CF304" s="50"/>
      <c r="CG304" s="50"/>
      <c r="CH304" s="50"/>
      <c r="CI304" s="50">
        <f t="shared" si="165"/>
        <v>1.7</v>
      </c>
      <c r="CJ304" s="50">
        <f t="shared" si="166"/>
        <v>0.23044892137827391</v>
      </c>
      <c r="CL304" s="9" t="s">
        <v>1269</v>
      </c>
      <c r="CM304" s="9" t="s">
        <v>1285</v>
      </c>
      <c r="CN304" s="55" t="s">
        <v>1284</v>
      </c>
      <c r="CO304" s="9" t="s">
        <v>1284</v>
      </c>
    </row>
    <row r="305" spans="1:93" s="9" customFormat="1" x14ac:dyDescent="0.25">
      <c r="A305" s="9" t="s">
        <v>266</v>
      </c>
      <c r="B305" s="50" t="s">
        <v>22</v>
      </c>
      <c r="C305" s="50" t="s">
        <v>22</v>
      </c>
      <c r="D305" s="50" t="s">
        <v>22</v>
      </c>
      <c r="E305" s="50" t="s">
        <v>22</v>
      </c>
      <c r="F305" s="9" t="s">
        <v>22</v>
      </c>
      <c r="G305" s="9" t="s">
        <v>22</v>
      </c>
      <c r="H305" s="9" t="s">
        <v>22</v>
      </c>
      <c r="I305" s="9" t="s">
        <v>22</v>
      </c>
      <c r="J305" s="50" t="s">
        <v>22</v>
      </c>
      <c r="K305" s="9" t="s">
        <v>22</v>
      </c>
      <c r="L305" s="50"/>
      <c r="M305" s="9" t="s">
        <v>23</v>
      </c>
      <c r="N305" s="50" t="s">
        <v>22</v>
      </c>
      <c r="O305" s="50" t="s">
        <v>22</v>
      </c>
      <c r="P305" s="50" t="s">
        <v>22</v>
      </c>
      <c r="Q305" s="50"/>
      <c r="R305" s="50" t="s">
        <v>22</v>
      </c>
      <c r="S305" s="50" t="s">
        <v>22</v>
      </c>
      <c r="T305" s="50" t="s">
        <v>22</v>
      </c>
      <c r="U305" s="50" t="s">
        <v>22</v>
      </c>
      <c r="V305" s="9">
        <v>20200713</v>
      </c>
      <c r="W305" s="21" t="s">
        <v>1059</v>
      </c>
      <c r="X305" s="21">
        <v>2006</v>
      </c>
      <c r="Y305" s="9" t="s">
        <v>59</v>
      </c>
      <c r="Z305" s="21" t="s">
        <v>1060</v>
      </c>
      <c r="AB305" s="50"/>
      <c r="AC305" s="9" t="s">
        <v>514</v>
      </c>
      <c r="AD305" s="50" t="s">
        <v>22</v>
      </c>
      <c r="AE305" s="50" t="s">
        <v>22</v>
      </c>
      <c r="AF305" s="50">
        <v>41.4</v>
      </c>
      <c r="AG305" s="50" t="s">
        <v>22</v>
      </c>
      <c r="AH305" s="50" t="s">
        <v>22</v>
      </c>
      <c r="AI305" s="50" t="s">
        <v>22</v>
      </c>
      <c r="AJ305" s="50" t="s">
        <v>22</v>
      </c>
      <c r="AK305" s="50" t="s">
        <v>22</v>
      </c>
      <c r="AL305" s="50" t="s">
        <v>22</v>
      </c>
      <c r="AM305" s="43" t="e">
        <f t="shared" si="132"/>
        <v>#VALUE!</v>
      </c>
      <c r="AN305" s="43" t="e">
        <f t="shared" si="133"/>
        <v>#VALUE!</v>
      </c>
      <c r="AO305" s="21" t="s">
        <v>1061</v>
      </c>
      <c r="AT305" s="2">
        <f t="shared" si="134"/>
        <v>2</v>
      </c>
      <c r="AU305" s="45" t="e">
        <f t="shared" si="135"/>
        <v>#VALUE!</v>
      </c>
      <c r="AV305" s="45" t="e">
        <f t="shared" si="136"/>
        <v>#VALUE!</v>
      </c>
      <c r="AW305" s="45" t="e">
        <f t="shared" si="137"/>
        <v>#VALUE!</v>
      </c>
      <c r="AX305" s="45" t="e">
        <f t="shared" si="138"/>
        <v>#VALUE!</v>
      </c>
      <c r="AY305" s="45" t="e">
        <f t="shared" si="139"/>
        <v>#VALUE!</v>
      </c>
      <c r="AZ305" s="45" t="e">
        <f t="shared" si="140"/>
        <v>#VALUE!</v>
      </c>
      <c r="BA305" s="45" t="e">
        <f t="shared" si="141"/>
        <v>#VALUE!</v>
      </c>
      <c r="BB305" s="45" t="e">
        <f t="shared" si="142"/>
        <v>#NUM!</v>
      </c>
      <c r="BC305" s="45" t="e">
        <f t="shared" si="143"/>
        <v>#VALUE!</v>
      </c>
      <c r="BD305" s="45" t="e">
        <f t="shared" si="144"/>
        <v>#VALUE!</v>
      </c>
      <c r="BE305" s="45">
        <f t="shared" si="145"/>
        <v>1.6170003411208989</v>
      </c>
      <c r="BF305" s="45" t="e">
        <f t="shared" si="146"/>
        <v>#VALUE!</v>
      </c>
      <c r="BG305" s="45" t="e">
        <f t="shared" si="147"/>
        <v>#VALUE!</v>
      </c>
      <c r="BH305" s="45" t="e">
        <f t="shared" si="148"/>
        <v>#NUM!</v>
      </c>
      <c r="BI305" s="43">
        <f t="shared" si="149"/>
        <v>1.6170003411208989</v>
      </c>
      <c r="BL305" s="20"/>
      <c r="BM305" s="50"/>
      <c r="BN305" s="50"/>
      <c r="BO305" s="50"/>
      <c r="BP305" s="50"/>
      <c r="BQ305" s="50"/>
      <c r="BR305" s="50"/>
      <c r="BU305" s="50"/>
      <c r="BV305" s="50"/>
      <c r="BW305" s="50"/>
      <c r="BX305" s="50"/>
      <c r="BY305" s="50"/>
      <c r="BZ305" s="50"/>
      <c r="CA305" s="50" t="s">
        <v>22</v>
      </c>
      <c r="CE305" s="50"/>
      <c r="CF305" s="50"/>
      <c r="CG305" s="50"/>
      <c r="CH305" s="50"/>
      <c r="CI305" s="50" t="str">
        <f t="shared" si="165"/>
        <v>Not Reported/ Can not calculate</v>
      </c>
      <c r="CJ305" s="50" t="e">
        <f t="shared" si="166"/>
        <v>#VALUE!</v>
      </c>
      <c r="CL305" s="9" t="s">
        <v>1269</v>
      </c>
      <c r="CM305" s="9" t="s">
        <v>1284</v>
      </c>
      <c r="CN305" s="55" t="s">
        <v>1284</v>
      </c>
      <c r="CO305" s="9" t="s">
        <v>1284</v>
      </c>
    </row>
    <row r="306" spans="1:93" s="9" customFormat="1" x14ac:dyDescent="0.25">
      <c r="A306" s="9" t="s">
        <v>315</v>
      </c>
      <c r="B306" s="50" t="s">
        <v>22</v>
      </c>
      <c r="C306" s="50" t="s">
        <v>22</v>
      </c>
      <c r="D306" s="50" t="s">
        <v>22</v>
      </c>
      <c r="E306" s="50" t="s">
        <v>22</v>
      </c>
      <c r="F306" s="9" t="s">
        <v>22</v>
      </c>
      <c r="G306" s="9" t="s">
        <v>22</v>
      </c>
      <c r="H306" s="9" t="s">
        <v>22</v>
      </c>
      <c r="I306" s="9" t="s">
        <v>22</v>
      </c>
      <c r="J306" s="50" t="s">
        <v>22</v>
      </c>
      <c r="K306" s="9" t="s">
        <v>22</v>
      </c>
      <c r="L306" s="50"/>
      <c r="M306" s="9" t="s">
        <v>23</v>
      </c>
      <c r="N306" s="50" t="s">
        <v>22</v>
      </c>
      <c r="O306" s="50" t="s">
        <v>22</v>
      </c>
      <c r="P306" s="50" t="s">
        <v>22</v>
      </c>
      <c r="Q306" s="50"/>
      <c r="R306" s="50" t="s">
        <v>22</v>
      </c>
      <c r="S306" s="50" t="s">
        <v>22</v>
      </c>
      <c r="T306" s="50" t="s">
        <v>22</v>
      </c>
      <c r="U306" s="50" t="s">
        <v>22</v>
      </c>
      <c r="V306" s="9">
        <v>20200713</v>
      </c>
      <c r="W306" s="21"/>
      <c r="X306" s="21">
        <v>2006</v>
      </c>
      <c r="Y306" s="9" t="s">
        <v>328</v>
      </c>
      <c r="AB306" s="50"/>
      <c r="AC306" s="9" t="s">
        <v>514</v>
      </c>
      <c r="AD306" s="50" t="s">
        <v>22</v>
      </c>
      <c r="AE306" s="50" t="s">
        <v>22</v>
      </c>
      <c r="AF306" s="50">
        <v>18.7</v>
      </c>
      <c r="AG306" s="50" t="s">
        <v>22</v>
      </c>
      <c r="AH306" s="50" t="s">
        <v>22</v>
      </c>
      <c r="AI306" s="50" t="s">
        <v>22</v>
      </c>
      <c r="AJ306" s="50" t="s">
        <v>22</v>
      </c>
      <c r="AK306" s="50" t="s">
        <v>22</v>
      </c>
      <c r="AL306" s="50" t="s">
        <v>22</v>
      </c>
      <c r="AM306" s="43" t="e">
        <f t="shared" si="132"/>
        <v>#VALUE!</v>
      </c>
      <c r="AN306" s="43" t="e">
        <f t="shared" si="133"/>
        <v>#VALUE!</v>
      </c>
      <c r="AO306" s="21" t="s">
        <v>1061</v>
      </c>
      <c r="AT306" s="2">
        <f t="shared" si="134"/>
        <v>2</v>
      </c>
      <c r="AU306" s="45" t="e">
        <f t="shared" si="135"/>
        <v>#VALUE!</v>
      </c>
      <c r="AV306" s="45" t="e">
        <f t="shared" si="136"/>
        <v>#VALUE!</v>
      </c>
      <c r="AW306" s="45" t="e">
        <f t="shared" si="137"/>
        <v>#VALUE!</v>
      </c>
      <c r="AX306" s="45" t="e">
        <f t="shared" si="138"/>
        <v>#VALUE!</v>
      </c>
      <c r="AY306" s="45" t="e">
        <f t="shared" si="139"/>
        <v>#VALUE!</v>
      </c>
      <c r="AZ306" s="45" t="e">
        <f t="shared" si="140"/>
        <v>#VALUE!</v>
      </c>
      <c r="BA306" s="45" t="e">
        <f t="shared" si="141"/>
        <v>#VALUE!</v>
      </c>
      <c r="BB306" s="45" t="e">
        <f t="shared" si="142"/>
        <v>#NUM!</v>
      </c>
      <c r="BC306" s="45" t="e">
        <f t="shared" si="143"/>
        <v>#VALUE!</v>
      </c>
      <c r="BD306" s="45" t="e">
        <f t="shared" si="144"/>
        <v>#VALUE!</v>
      </c>
      <c r="BE306" s="45">
        <f t="shared" si="145"/>
        <v>1.271841606536499</v>
      </c>
      <c r="BF306" s="45" t="e">
        <f t="shared" si="146"/>
        <v>#VALUE!</v>
      </c>
      <c r="BG306" s="45" t="e">
        <f t="shared" si="147"/>
        <v>#VALUE!</v>
      </c>
      <c r="BH306" s="45" t="e">
        <f t="shared" si="148"/>
        <v>#NUM!</v>
      </c>
      <c r="BI306" s="43">
        <f t="shared" si="149"/>
        <v>1.271841606536499</v>
      </c>
      <c r="BL306" s="20"/>
      <c r="BM306" s="50"/>
      <c r="BN306" s="50"/>
      <c r="BO306" s="50"/>
      <c r="BP306" s="50"/>
      <c r="BQ306" s="50"/>
      <c r="BR306" s="50"/>
      <c r="BU306" s="50"/>
      <c r="BV306" s="50"/>
      <c r="BW306" s="50"/>
      <c r="BX306" s="50"/>
      <c r="BY306" s="50"/>
      <c r="BZ306" s="50"/>
      <c r="CA306" s="50" t="s">
        <v>22</v>
      </c>
      <c r="CE306" s="50"/>
      <c r="CF306" s="50"/>
      <c r="CG306" s="50"/>
      <c r="CH306" s="50"/>
      <c r="CI306" s="50" t="str">
        <f t="shared" si="165"/>
        <v>Not Reported/ Can not calculate</v>
      </c>
      <c r="CJ306" s="50" t="e">
        <f t="shared" si="166"/>
        <v>#VALUE!</v>
      </c>
      <c r="CL306" s="9" t="s">
        <v>1269</v>
      </c>
      <c r="CM306" s="9" t="s">
        <v>1284</v>
      </c>
      <c r="CN306" s="55" t="s">
        <v>1284</v>
      </c>
      <c r="CO306" s="9" t="s">
        <v>1284</v>
      </c>
    </row>
    <row r="307" spans="1:93" x14ac:dyDescent="0.25">
      <c r="A307" t="s">
        <v>266</v>
      </c>
      <c r="B307" s="41">
        <v>0.2</v>
      </c>
      <c r="C307" s="41">
        <v>1.29</v>
      </c>
      <c r="D307" s="41">
        <f>0.001*(B307*10^6)/(C307*0.001*100^3)</f>
        <v>0.15503875968992245</v>
      </c>
      <c r="E307" s="41" t="s">
        <v>22</v>
      </c>
      <c r="F307" t="s">
        <v>22</v>
      </c>
      <c r="G307" t="s">
        <v>22</v>
      </c>
      <c r="H307" t="s">
        <v>22</v>
      </c>
      <c r="I307" t="s">
        <v>22</v>
      </c>
      <c r="J307" s="41">
        <v>58.809172172561226</v>
      </c>
      <c r="K307">
        <v>532</v>
      </c>
      <c r="L307" s="41">
        <f>IF((10^-12)*J307*K307^4=0,"",(10^-12)*J307*K307^4)</f>
        <v>4.7107666877971308</v>
      </c>
      <c r="M307" t="s">
        <v>23</v>
      </c>
      <c r="N307" s="41">
        <v>360</v>
      </c>
      <c r="O307" s="41">
        <v>0.28000000000000003</v>
      </c>
      <c r="P307" s="41">
        <v>5</v>
      </c>
      <c r="R307" s="41">
        <f>N307*B307</f>
        <v>72</v>
      </c>
      <c r="S307" s="41">
        <f>O307*D307</f>
        <v>4.3410852713178287E-2</v>
      </c>
      <c r="T307" s="41" t="s">
        <v>223</v>
      </c>
      <c r="U307" s="41">
        <f>1.2+(2-1.2)/2</f>
        <v>1.6</v>
      </c>
      <c r="V307">
        <v>20200510</v>
      </c>
      <c r="W307" s="16" t="s">
        <v>224</v>
      </c>
      <c r="X307" s="18">
        <v>2007</v>
      </c>
      <c r="Y307" t="s">
        <v>76</v>
      </c>
      <c r="Z307" t="s">
        <v>32</v>
      </c>
      <c r="AA307" s="12"/>
      <c r="AC307" t="s">
        <v>514</v>
      </c>
      <c r="AD307" s="41" t="s">
        <v>22</v>
      </c>
      <c r="AE307" s="41">
        <v>1590.4</v>
      </c>
      <c r="AF307" s="41" t="s">
        <v>22</v>
      </c>
      <c r="AG307" s="41" t="s">
        <v>22</v>
      </c>
      <c r="AH307" s="41" t="s">
        <v>22</v>
      </c>
      <c r="AI307" s="41" t="s">
        <v>22</v>
      </c>
      <c r="AJ307" s="41" t="s">
        <v>22</v>
      </c>
      <c r="AK307" s="41" t="s">
        <v>22</v>
      </c>
      <c r="AL307" s="41" t="s">
        <v>22</v>
      </c>
      <c r="AM307" s="43" t="e">
        <f t="shared" si="132"/>
        <v>#VALUE!</v>
      </c>
      <c r="AN307" s="43" t="e">
        <f t="shared" si="133"/>
        <v>#VALUE!</v>
      </c>
      <c r="AO307" s="3" t="s">
        <v>225</v>
      </c>
      <c r="AT307" s="2">
        <f t="shared" si="134"/>
        <v>1</v>
      </c>
      <c r="AU307" s="45">
        <f t="shared" si="135"/>
        <v>-0.69897000433601875</v>
      </c>
      <c r="AV307" s="45">
        <f t="shared" si="136"/>
        <v>0.11058971029924898</v>
      </c>
      <c r="AW307" s="45">
        <f t="shared" si="137"/>
        <v>-0.80955971463526788</v>
      </c>
      <c r="AX307" s="45">
        <f t="shared" si="138"/>
        <v>2.5563025007672873</v>
      </c>
      <c r="AY307" s="45">
        <f t="shared" si="139"/>
        <v>-0.55284196865778079</v>
      </c>
      <c r="AZ307" s="45">
        <f t="shared" si="140"/>
        <v>0.69897000433601886</v>
      </c>
      <c r="BA307" s="45">
        <f t="shared" si="141"/>
        <v>1.7694450660978545</v>
      </c>
      <c r="BB307" s="45">
        <f t="shared" si="142"/>
        <v>0.67309159527804707</v>
      </c>
      <c r="BC307" s="45">
        <f t="shared" si="143"/>
        <v>0.20411998265592479</v>
      </c>
      <c r="BD307" s="45" t="e">
        <f t="shared" si="144"/>
        <v>#VALUE!</v>
      </c>
      <c r="BE307" s="45" t="e">
        <f t="shared" si="145"/>
        <v>#VALUE!</v>
      </c>
      <c r="BF307" s="45" t="e">
        <f t="shared" si="146"/>
        <v>#VALUE!</v>
      </c>
      <c r="BG307" s="45" t="e">
        <f t="shared" si="147"/>
        <v>#VALUE!</v>
      </c>
      <c r="BH307" s="45" t="e">
        <f t="shared" si="148"/>
        <v>#NUM!</v>
      </c>
      <c r="BI307" s="43" t="e">
        <f t="shared" si="149"/>
        <v>#VALUE!</v>
      </c>
      <c r="CA307" s="41" t="s">
        <v>22</v>
      </c>
      <c r="CC307" t="s">
        <v>22</v>
      </c>
      <c r="CE307" s="41" t="s">
        <v>22</v>
      </c>
      <c r="CF307" s="41" t="s">
        <v>22</v>
      </c>
      <c r="CG307" s="41" t="e">
        <f t="shared" ref="CG307:CG332" si="167">AD307*1000</f>
        <v>#VALUE!</v>
      </c>
      <c r="CH307" s="41" t="e">
        <f t="shared" ref="CH307:CH332" si="168">LOG10(CG307)</f>
        <v>#VALUE!</v>
      </c>
      <c r="CI307" s="41">
        <f t="shared" ref="CI307:CI333" si="169">IF(ISNUMBER(CG307),CG307,U307)</f>
        <v>1.6</v>
      </c>
      <c r="CJ307" s="41">
        <f t="shared" ref="CJ307:CJ333" si="170">LOG10(CI307)</f>
        <v>0.20411998265592479</v>
      </c>
      <c r="CL307" s="9" t="s">
        <v>1269</v>
      </c>
      <c r="CM307" s="18" t="s">
        <v>1285</v>
      </c>
      <c r="CN307" s="54" t="s">
        <v>1284</v>
      </c>
      <c r="CO307" s="18" t="s">
        <v>1284</v>
      </c>
    </row>
    <row r="308" spans="1:93" x14ac:dyDescent="0.25">
      <c r="A308" t="s">
        <v>365</v>
      </c>
      <c r="B308" s="41">
        <v>40.22</v>
      </c>
      <c r="C308" s="41">
        <v>1.76</v>
      </c>
      <c r="D308" s="41">
        <f>0.001*(B308*10^6)/(C308*0.001*100^3)</f>
        <v>22.852272727272727</v>
      </c>
      <c r="E308" s="41" t="s">
        <v>22</v>
      </c>
      <c r="F308" t="s">
        <v>22</v>
      </c>
      <c r="G308" t="s">
        <v>22</v>
      </c>
      <c r="H308" t="s">
        <v>22</v>
      </c>
      <c r="I308" t="s">
        <v>22</v>
      </c>
      <c r="J308" s="41" t="s">
        <v>22</v>
      </c>
      <c r="K308" t="s">
        <v>22</v>
      </c>
      <c r="L308" s="41" t="s">
        <v>22</v>
      </c>
      <c r="M308" t="s">
        <v>23</v>
      </c>
      <c r="N308" s="41" t="s">
        <v>22</v>
      </c>
      <c r="O308" s="41" t="s">
        <v>22</v>
      </c>
      <c r="P308" s="41" t="s">
        <v>22</v>
      </c>
      <c r="R308" s="41" t="s">
        <v>22</v>
      </c>
      <c r="S308" s="41" t="s">
        <v>22</v>
      </c>
      <c r="T308" s="41">
        <v>1.7</v>
      </c>
      <c r="U308" s="41">
        <v>1.7</v>
      </c>
      <c r="V308">
        <v>20200512</v>
      </c>
      <c r="W308" s="16" t="s">
        <v>938</v>
      </c>
      <c r="X308" s="6">
        <v>2007</v>
      </c>
      <c r="Z308" s="18" t="s">
        <v>32</v>
      </c>
      <c r="AC308" t="s">
        <v>282</v>
      </c>
      <c r="AD308" s="41" t="s">
        <v>22</v>
      </c>
      <c r="AE308" s="41" t="s">
        <v>22</v>
      </c>
      <c r="AF308" s="41" t="s">
        <v>22</v>
      </c>
      <c r="AG308" s="41" t="s">
        <v>22</v>
      </c>
      <c r="AH308" s="41">
        <v>1.0200451805019699</v>
      </c>
      <c r="AI308" s="41">
        <v>1.0200451805019699</v>
      </c>
      <c r="AJ308" s="41">
        <v>1.02077863020932</v>
      </c>
      <c r="AK308" s="41">
        <v>2.01181587478546</v>
      </c>
      <c r="AL308" s="41">
        <v>10.798433351425</v>
      </c>
      <c r="AM308" s="43">
        <f t="shared" si="132"/>
        <v>10.586230451195339</v>
      </c>
      <c r="AN308" s="43">
        <f t="shared" si="133"/>
        <v>10.57862403448893</v>
      </c>
      <c r="AO308" s="3" t="s">
        <v>675</v>
      </c>
      <c r="AT308" s="2">
        <f t="shared" si="134"/>
        <v>1</v>
      </c>
      <c r="AU308" s="45">
        <f t="shared" si="135"/>
        <v>1.6044420662607231</v>
      </c>
      <c r="AV308" s="45">
        <f t="shared" si="136"/>
        <v>0.24551266781414982</v>
      </c>
      <c r="AW308" s="45">
        <f t="shared" si="137"/>
        <v>1.3589293984465733</v>
      </c>
      <c r="AX308" s="45" t="e">
        <f t="shared" si="138"/>
        <v>#VALUE!</v>
      </c>
      <c r="AY308" s="45" t="e">
        <f t="shared" si="139"/>
        <v>#VALUE!</v>
      </c>
      <c r="AZ308" s="45" t="e">
        <f t="shared" si="140"/>
        <v>#VALUE!</v>
      </c>
      <c r="BA308" s="45" t="e">
        <f t="shared" si="141"/>
        <v>#VALUE!</v>
      </c>
      <c r="BB308" s="45" t="e">
        <f t="shared" si="142"/>
        <v>#VALUE!</v>
      </c>
      <c r="BC308" s="45">
        <f t="shared" si="143"/>
        <v>0.23044892137827391</v>
      </c>
      <c r="BD308" s="45" t="e">
        <f t="shared" si="144"/>
        <v>#VALUE!</v>
      </c>
      <c r="BE308" s="45" t="e">
        <f t="shared" si="145"/>
        <v>#VALUE!</v>
      </c>
      <c r="BF308" s="45">
        <f t="shared" si="146"/>
        <v>1.0247413438960498</v>
      </c>
      <c r="BG308" s="45">
        <f t="shared" si="147"/>
        <v>1.024429182529941</v>
      </c>
      <c r="BH308" s="45" t="e">
        <f t="shared" si="148"/>
        <v>#NUM!</v>
      </c>
      <c r="BI308" s="43" t="e">
        <f t="shared" si="149"/>
        <v>#VALUE!</v>
      </c>
      <c r="CA308" s="41" t="s">
        <v>22</v>
      </c>
      <c r="CC308" t="s">
        <v>22</v>
      </c>
      <c r="CE308" s="41" t="s">
        <v>22</v>
      </c>
      <c r="CF308" s="41" t="s">
        <v>22</v>
      </c>
      <c r="CG308" s="41" t="e">
        <f t="shared" si="167"/>
        <v>#VALUE!</v>
      </c>
      <c r="CH308" s="41" t="e">
        <f t="shared" si="168"/>
        <v>#VALUE!</v>
      </c>
      <c r="CI308" s="41">
        <f t="shared" si="169"/>
        <v>1.7</v>
      </c>
      <c r="CJ308" s="41">
        <f t="shared" si="170"/>
        <v>0.23044892137827391</v>
      </c>
      <c r="CL308" s="9" t="s">
        <v>1269</v>
      </c>
      <c r="CM308" s="18" t="s">
        <v>1285</v>
      </c>
      <c r="CN308" s="54" t="s">
        <v>1284</v>
      </c>
      <c r="CO308" s="18" t="s">
        <v>1284</v>
      </c>
    </row>
    <row r="309" spans="1:93" x14ac:dyDescent="0.25">
      <c r="A309" t="s">
        <v>141</v>
      </c>
      <c r="B309" s="41">
        <f>1.7*(10^4)*10^-6</f>
        <v>1.6999999999999998E-2</v>
      </c>
      <c r="C309" s="41" t="s">
        <v>22</v>
      </c>
      <c r="D309" s="41" t="s">
        <v>22</v>
      </c>
      <c r="E309" s="41" t="s">
        <v>22</v>
      </c>
      <c r="F309" t="s">
        <v>22</v>
      </c>
      <c r="G309" t="s">
        <v>22</v>
      </c>
      <c r="H309" t="s">
        <v>22</v>
      </c>
      <c r="I309" t="s">
        <v>22</v>
      </c>
      <c r="J309" s="41" t="s">
        <v>22</v>
      </c>
      <c r="K309" t="s">
        <v>22</v>
      </c>
      <c r="L309" s="41" t="e">
        <f t="shared" ref="L309:L318" si="171">IF((10^-12)*J309*K309^4=0,"",(10^-12)*J309*K309^4)</f>
        <v>#VALUE!</v>
      </c>
      <c r="M309" t="s">
        <v>23</v>
      </c>
      <c r="N309" s="41">
        <v>850</v>
      </c>
      <c r="O309" s="41" t="s">
        <v>22</v>
      </c>
      <c r="P309" s="41">
        <v>275</v>
      </c>
      <c r="R309" s="41">
        <f>N309*B309</f>
        <v>14.449999999999998</v>
      </c>
      <c r="S309" s="41" t="s">
        <v>22</v>
      </c>
      <c r="T309" s="41">
        <v>10</v>
      </c>
      <c r="U309" s="41">
        <v>10</v>
      </c>
      <c r="V309">
        <v>20200508</v>
      </c>
      <c r="X309" s="18">
        <v>2007</v>
      </c>
      <c r="Y309" t="s">
        <v>26</v>
      </c>
      <c r="Z309" s="18" t="s">
        <v>32</v>
      </c>
      <c r="AC309" t="s">
        <v>514</v>
      </c>
      <c r="AD309" s="41">
        <v>4</v>
      </c>
      <c r="AE309" s="41" t="s">
        <v>22</v>
      </c>
      <c r="AF309" s="41" t="s">
        <v>22</v>
      </c>
      <c r="AG309" s="41" t="s">
        <v>22</v>
      </c>
      <c r="AH309" s="41">
        <v>7.7044776119403</v>
      </c>
      <c r="AI309" s="41" t="s">
        <v>22</v>
      </c>
      <c r="AJ309" s="41" t="s">
        <v>22</v>
      </c>
      <c r="AK309" s="41">
        <v>7.7044776119403</v>
      </c>
      <c r="AL309" s="41">
        <v>5.7791044776119396</v>
      </c>
      <c r="AM309" s="43" t="e">
        <f t="shared" si="132"/>
        <v>#VALUE!</v>
      </c>
      <c r="AN309" s="43" t="e">
        <f t="shared" si="133"/>
        <v>#VALUE!</v>
      </c>
      <c r="AO309" s="3" t="s">
        <v>138</v>
      </c>
      <c r="AT309" s="2">
        <f t="shared" si="134"/>
        <v>4</v>
      </c>
      <c r="AU309" s="45">
        <f t="shared" si="135"/>
        <v>-1.7695510786217261</v>
      </c>
      <c r="AV309" s="45" t="e">
        <f t="shared" si="136"/>
        <v>#VALUE!</v>
      </c>
      <c r="AW309" s="45" t="e">
        <f t="shared" si="137"/>
        <v>#VALUE!</v>
      </c>
      <c r="AX309" s="45">
        <f t="shared" si="138"/>
        <v>2.9294189257142929</v>
      </c>
      <c r="AY309" s="45" t="e">
        <f t="shared" si="139"/>
        <v>#VALUE!</v>
      </c>
      <c r="AZ309" s="45">
        <f t="shared" si="140"/>
        <v>2.4393326938302629</v>
      </c>
      <c r="BA309" s="45" t="e">
        <f t="shared" si="141"/>
        <v>#VALUE!</v>
      </c>
      <c r="BB309" s="45" t="e">
        <f t="shared" si="142"/>
        <v>#VALUE!</v>
      </c>
      <c r="BC309" s="45">
        <f t="shared" si="143"/>
        <v>1</v>
      </c>
      <c r="BD309" s="45">
        <f t="shared" si="144"/>
        <v>0.6020599913279624</v>
      </c>
      <c r="BE309" s="45" t="e">
        <f t="shared" si="145"/>
        <v>#VALUE!</v>
      </c>
      <c r="BF309" s="45" t="e">
        <f t="shared" si="146"/>
        <v>#VALUE!</v>
      </c>
      <c r="BG309" s="45" t="e">
        <f t="shared" si="147"/>
        <v>#VALUE!</v>
      </c>
      <c r="BH309" s="45" t="e">
        <f t="shared" si="148"/>
        <v>#NUM!</v>
      </c>
      <c r="BI309" s="43" t="e">
        <f t="shared" si="149"/>
        <v>#VALUE!</v>
      </c>
      <c r="CA309" s="41" t="s">
        <v>22</v>
      </c>
      <c r="CC309" t="s">
        <v>22</v>
      </c>
      <c r="CE309" s="41" t="s">
        <v>22</v>
      </c>
      <c r="CF309" s="41" t="s">
        <v>22</v>
      </c>
      <c r="CG309" s="41">
        <f t="shared" si="167"/>
        <v>4000</v>
      </c>
      <c r="CH309" s="41">
        <f t="shared" si="168"/>
        <v>3.6020599913279625</v>
      </c>
      <c r="CI309" s="41">
        <f t="shared" si="169"/>
        <v>4000</v>
      </c>
      <c r="CJ309" s="41">
        <f t="shared" si="170"/>
        <v>3.6020599913279625</v>
      </c>
      <c r="CL309" s="9" t="s">
        <v>1269</v>
      </c>
      <c r="CM309" s="18" t="s">
        <v>1283</v>
      </c>
      <c r="CN309" s="54" t="s">
        <v>1284</v>
      </c>
      <c r="CO309" s="18" t="s">
        <v>1284</v>
      </c>
    </row>
    <row r="310" spans="1:93" x14ac:dyDescent="0.25">
      <c r="A310" t="s">
        <v>141</v>
      </c>
      <c r="B310" s="41" t="s">
        <v>22</v>
      </c>
      <c r="C310" s="41" t="s">
        <v>22</v>
      </c>
      <c r="D310" s="41" t="s">
        <v>22</v>
      </c>
      <c r="E310" s="41" t="s">
        <v>22</v>
      </c>
      <c r="F310" t="s">
        <v>22</v>
      </c>
      <c r="G310" t="s">
        <v>22</v>
      </c>
      <c r="H310" t="s">
        <v>22</v>
      </c>
      <c r="I310" t="s">
        <v>22</v>
      </c>
      <c r="J310" s="41" t="s">
        <v>22</v>
      </c>
      <c r="K310" t="s">
        <v>22</v>
      </c>
      <c r="L310" s="41" t="e">
        <f t="shared" si="171"/>
        <v>#VALUE!</v>
      </c>
      <c r="M310" t="s">
        <v>23</v>
      </c>
      <c r="N310" s="41">
        <v>170</v>
      </c>
      <c r="O310" s="41" t="s">
        <v>22</v>
      </c>
      <c r="P310" s="41">
        <v>89</v>
      </c>
      <c r="R310" s="41" t="s">
        <v>22</v>
      </c>
      <c r="S310" s="41" t="s">
        <v>22</v>
      </c>
      <c r="T310" s="41">
        <v>10</v>
      </c>
      <c r="U310" s="41">
        <v>10</v>
      </c>
      <c r="V310">
        <v>20200508</v>
      </c>
      <c r="X310" s="18">
        <v>2007</v>
      </c>
      <c r="Y310" t="s">
        <v>26</v>
      </c>
      <c r="Z310" s="18" t="s">
        <v>32</v>
      </c>
      <c r="AC310" t="s">
        <v>514</v>
      </c>
      <c r="AD310" s="41">
        <v>13</v>
      </c>
      <c r="AE310" s="41" t="s">
        <v>22</v>
      </c>
      <c r="AF310" s="41" t="s">
        <v>22</v>
      </c>
      <c r="AG310" s="41" t="s">
        <v>22</v>
      </c>
      <c r="AH310" s="41" t="s">
        <v>22</v>
      </c>
      <c r="AI310" s="41" t="s">
        <v>22</v>
      </c>
      <c r="AJ310" s="41" t="s">
        <v>22</v>
      </c>
      <c r="AK310" s="41" t="s">
        <v>22</v>
      </c>
      <c r="AM310" s="43" t="e">
        <f t="shared" si="132"/>
        <v>#VALUE!</v>
      </c>
      <c r="AN310" s="43" t="e">
        <f t="shared" si="133"/>
        <v>#VALUE!</v>
      </c>
      <c r="AO310" s="3" t="s">
        <v>138</v>
      </c>
      <c r="AT310" s="2">
        <f t="shared" si="134"/>
        <v>4</v>
      </c>
      <c r="AU310" s="45" t="e">
        <f t="shared" si="135"/>
        <v>#VALUE!</v>
      </c>
      <c r="AV310" s="45" t="e">
        <f t="shared" si="136"/>
        <v>#VALUE!</v>
      </c>
      <c r="AW310" s="45" t="e">
        <f t="shared" si="137"/>
        <v>#VALUE!</v>
      </c>
      <c r="AX310" s="45">
        <f t="shared" si="138"/>
        <v>2.2304489213782741</v>
      </c>
      <c r="AY310" s="45" t="e">
        <f t="shared" si="139"/>
        <v>#VALUE!</v>
      </c>
      <c r="AZ310" s="45">
        <f t="shared" si="140"/>
        <v>1.9493900066449128</v>
      </c>
      <c r="BA310" s="45" t="e">
        <f t="shared" si="141"/>
        <v>#VALUE!</v>
      </c>
      <c r="BB310" s="45" t="e">
        <f t="shared" si="142"/>
        <v>#VALUE!</v>
      </c>
      <c r="BC310" s="45">
        <f t="shared" si="143"/>
        <v>1</v>
      </c>
      <c r="BD310" s="45">
        <f t="shared" si="144"/>
        <v>1.1139433523068367</v>
      </c>
      <c r="BE310" s="45" t="e">
        <f t="shared" si="145"/>
        <v>#VALUE!</v>
      </c>
      <c r="BF310" s="45" t="e">
        <f t="shared" si="146"/>
        <v>#VALUE!</v>
      </c>
      <c r="BG310" s="45" t="e">
        <f t="shared" si="147"/>
        <v>#VALUE!</v>
      </c>
      <c r="BH310" s="45" t="e">
        <f t="shared" si="148"/>
        <v>#NUM!</v>
      </c>
      <c r="BI310" s="43" t="e">
        <f t="shared" si="149"/>
        <v>#VALUE!</v>
      </c>
      <c r="CA310" s="41" t="s">
        <v>22</v>
      </c>
      <c r="CC310" t="s">
        <v>22</v>
      </c>
      <c r="CE310" s="41" t="s">
        <v>22</v>
      </c>
      <c r="CF310" s="41" t="s">
        <v>22</v>
      </c>
      <c r="CG310" s="41">
        <f t="shared" si="167"/>
        <v>13000</v>
      </c>
      <c r="CH310" s="41">
        <f t="shared" si="168"/>
        <v>4.1139433523068369</v>
      </c>
      <c r="CI310" s="41">
        <f t="shared" si="169"/>
        <v>13000</v>
      </c>
      <c r="CJ310" s="41">
        <f t="shared" si="170"/>
        <v>4.1139433523068369</v>
      </c>
      <c r="CL310" s="9" t="s">
        <v>1269</v>
      </c>
      <c r="CM310" s="18" t="s">
        <v>1283</v>
      </c>
      <c r="CN310" s="54" t="s">
        <v>1284</v>
      </c>
      <c r="CO310" s="18" t="s">
        <v>1284</v>
      </c>
    </row>
    <row r="311" spans="1:93" x14ac:dyDescent="0.25">
      <c r="A311" t="s">
        <v>141</v>
      </c>
      <c r="B311" s="41">
        <f>4.1*(10^4)*10^-6</f>
        <v>4.0999999999999995E-2</v>
      </c>
      <c r="C311" s="41" t="s">
        <v>22</v>
      </c>
      <c r="D311" s="41" t="s">
        <v>22</v>
      </c>
      <c r="E311" s="41" t="s">
        <v>22</v>
      </c>
      <c r="F311" t="s">
        <v>22</v>
      </c>
      <c r="G311" t="s">
        <v>22</v>
      </c>
      <c r="H311" t="s">
        <v>22</v>
      </c>
      <c r="I311" t="s">
        <v>22</v>
      </c>
      <c r="J311" s="41" t="s">
        <v>22</v>
      </c>
      <c r="K311" t="s">
        <v>22</v>
      </c>
      <c r="L311" s="41" t="e">
        <f t="shared" si="171"/>
        <v>#VALUE!</v>
      </c>
      <c r="M311" t="s">
        <v>23</v>
      </c>
      <c r="N311" s="41">
        <v>1910</v>
      </c>
      <c r="O311" s="41" t="s">
        <v>22</v>
      </c>
      <c r="P311" s="41">
        <v>330</v>
      </c>
      <c r="R311" s="41">
        <f>N311*B311</f>
        <v>78.309999999999988</v>
      </c>
      <c r="S311" s="41" t="s">
        <v>22</v>
      </c>
      <c r="T311" s="41">
        <v>10</v>
      </c>
      <c r="U311" s="41">
        <v>10</v>
      </c>
      <c r="V311">
        <v>20200508</v>
      </c>
      <c r="X311" s="18">
        <v>2007</v>
      </c>
      <c r="Y311" t="s">
        <v>26</v>
      </c>
      <c r="Z311" s="18" t="s">
        <v>40</v>
      </c>
      <c r="AC311" t="s">
        <v>514</v>
      </c>
      <c r="AD311" s="41">
        <v>3</v>
      </c>
      <c r="AE311" s="41" t="s">
        <v>22</v>
      </c>
      <c r="AF311" s="41" t="s">
        <v>22</v>
      </c>
      <c r="AG311" s="41" t="s">
        <v>22</v>
      </c>
      <c r="AH311" s="41">
        <v>3.0656716417910399</v>
      </c>
      <c r="AI311" s="41" t="s">
        <v>22</v>
      </c>
      <c r="AJ311" s="41" t="s">
        <v>22</v>
      </c>
      <c r="AK311" s="41">
        <v>3.0656716417910399</v>
      </c>
      <c r="AL311" s="41">
        <v>2.40298507462686</v>
      </c>
      <c r="AM311" s="43" t="e">
        <f t="shared" si="132"/>
        <v>#VALUE!</v>
      </c>
      <c r="AN311" s="43" t="e">
        <f t="shared" si="133"/>
        <v>#VALUE!</v>
      </c>
      <c r="AO311" s="3" t="s">
        <v>138</v>
      </c>
      <c r="AT311" s="2">
        <f t="shared" si="134"/>
        <v>4</v>
      </c>
      <c r="AU311" s="45">
        <f t="shared" si="135"/>
        <v>-1.3872161432802645</v>
      </c>
      <c r="AV311" s="45" t="e">
        <f t="shared" si="136"/>
        <v>#VALUE!</v>
      </c>
      <c r="AW311" s="45" t="e">
        <f t="shared" si="137"/>
        <v>#VALUE!</v>
      </c>
      <c r="AX311" s="45">
        <f t="shared" si="138"/>
        <v>3.2810333672477277</v>
      </c>
      <c r="AY311" s="45" t="e">
        <f t="shared" si="139"/>
        <v>#VALUE!</v>
      </c>
      <c r="AZ311" s="45">
        <f t="shared" si="140"/>
        <v>2.5185139398778875</v>
      </c>
      <c r="BA311" s="45" t="e">
        <f t="shared" si="141"/>
        <v>#VALUE!</v>
      </c>
      <c r="BB311" s="45" t="e">
        <f t="shared" si="142"/>
        <v>#VALUE!</v>
      </c>
      <c r="BC311" s="45">
        <f t="shared" si="143"/>
        <v>1</v>
      </c>
      <c r="BD311" s="45">
        <f t="shared" si="144"/>
        <v>0.47712125471966244</v>
      </c>
      <c r="BE311" s="45" t="e">
        <f t="shared" si="145"/>
        <v>#VALUE!</v>
      </c>
      <c r="BF311" s="45" t="e">
        <f t="shared" si="146"/>
        <v>#VALUE!</v>
      </c>
      <c r="BG311" s="45" t="e">
        <f t="shared" si="147"/>
        <v>#VALUE!</v>
      </c>
      <c r="BH311" s="45" t="e">
        <f t="shared" si="148"/>
        <v>#NUM!</v>
      </c>
      <c r="BI311" s="43" t="e">
        <f t="shared" si="149"/>
        <v>#VALUE!</v>
      </c>
      <c r="CA311" s="41" t="s">
        <v>22</v>
      </c>
      <c r="CC311" t="s">
        <v>22</v>
      </c>
      <c r="CE311" s="41" t="s">
        <v>22</v>
      </c>
      <c r="CF311" s="41" t="s">
        <v>22</v>
      </c>
      <c r="CG311" s="41">
        <f t="shared" si="167"/>
        <v>3000</v>
      </c>
      <c r="CH311" s="41">
        <f t="shared" si="168"/>
        <v>3.4771212547196626</v>
      </c>
      <c r="CI311" s="41">
        <f t="shared" si="169"/>
        <v>3000</v>
      </c>
      <c r="CJ311" s="41">
        <f t="shared" si="170"/>
        <v>3.4771212547196626</v>
      </c>
      <c r="CL311" s="9" t="s">
        <v>1269</v>
      </c>
      <c r="CM311" s="18" t="s">
        <v>1283</v>
      </c>
      <c r="CN311" s="54" t="s">
        <v>1284</v>
      </c>
      <c r="CO311" s="18" t="s">
        <v>1284</v>
      </c>
    </row>
    <row r="312" spans="1:93" x14ac:dyDescent="0.25">
      <c r="A312" t="s">
        <v>141</v>
      </c>
      <c r="B312" s="41" t="s">
        <v>22</v>
      </c>
      <c r="C312" s="41" t="s">
        <v>22</v>
      </c>
      <c r="D312" s="41" t="s">
        <v>22</v>
      </c>
      <c r="E312" s="41" t="s">
        <v>22</v>
      </c>
      <c r="F312" t="s">
        <v>22</v>
      </c>
      <c r="G312" t="s">
        <v>22</v>
      </c>
      <c r="H312" t="s">
        <v>22</v>
      </c>
      <c r="I312" t="s">
        <v>22</v>
      </c>
      <c r="J312" s="41" t="s">
        <v>22</v>
      </c>
      <c r="K312" t="s">
        <v>22</v>
      </c>
      <c r="L312" s="41" t="e">
        <f t="shared" si="171"/>
        <v>#VALUE!</v>
      </c>
      <c r="M312" t="s">
        <v>23</v>
      </c>
      <c r="N312" s="41">
        <v>410</v>
      </c>
      <c r="O312" s="41" t="s">
        <v>22</v>
      </c>
      <c r="P312" s="41">
        <v>241</v>
      </c>
      <c r="R312" s="41" t="s">
        <v>22</v>
      </c>
      <c r="S312" s="41" t="s">
        <v>22</v>
      </c>
      <c r="T312" s="41">
        <v>10</v>
      </c>
      <c r="U312" s="41">
        <v>10</v>
      </c>
      <c r="V312">
        <v>20200508</v>
      </c>
      <c r="X312" s="18">
        <v>2007</v>
      </c>
      <c r="Y312" t="s">
        <v>26</v>
      </c>
      <c r="Z312" s="18" t="s">
        <v>40</v>
      </c>
      <c r="AC312" t="s">
        <v>514</v>
      </c>
      <c r="AD312" s="41">
        <v>10</v>
      </c>
      <c r="AE312" s="41" t="s">
        <v>22</v>
      </c>
      <c r="AF312" s="41" t="s">
        <v>22</v>
      </c>
      <c r="AG312" s="41" t="s">
        <v>22</v>
      </c>
      <c r="AH312" s="41" t="s">
        <v>22</v>
      </c>
      <c r="AI312" s="41" t="s">
        <v>22</v>
      </c>
      <c r="AJ312" s="41" t="s">
        <v>22</v>
      </c>
      <c r="AK312" s="41" t="s">
        <v>22</v>
      </c>
      <c r="AL312" s="41" t="s">
        <v>22</v>
      </c>
      <c r="AM312" s="43" t="e">
        <f t="shared" si="132"/>
        <v>#VALUE!</v>
      </c>
      <c r="AN312" s="43" t="e">
        <f t="shared" si="133"/>
        <v>#VALUE!</v>
      </c>
      <c r="AO312" s="3" t="s">
        <v>138</v>
      </c>
      <c r="AT312" s="2">
        <f t="shared" si="134"/>
        <v>4</v>
      </c>
      <c r="AU312" s="45" t="e">
        <f t="shared" si="135"/>
        <v>#VALUE!</v>
      </c>
      <c r="AV312" s="45" t="e">
        <f t="shared" si="136"/>
        <v>#VALUE!</v>
      </c>
      <c r="AW312" s="45" t="e">
        <f t="shared" si="137"/>
        <v>#VALUE!</v>
      </c>
      <c r="AX312" s="45">
        <f t="shared" si="138"/>
        <v>2.6127838567197355</v>
      </c>
      <c r="AY312" s="45" t="e">
        <f t="shared" si="139"/>
        <v>#VALUE!</v>
      </c>
      <c r="AZ312" s="45">
        <f t="shared" si="140"/>
        <v>2.3820170425748683</v>
      </c>
      <c r="BA312" s="45" t="e">
        <f t="shared" si="141"/>
        <v>#VALUE!</v>
      </c>
      <c r="BB312" s="45" t="e">
        <f t="shared" si="142"/>
        <v>#VALUE!</v>
      </c>
      <c r="BC312" s="45">
        <f t="shared" si="143"/>
        <v>1</v>
      </c>
      <c r="BD312" s="45">
        <f t="shared" si="144"/>
        <v>1</v>
      </c>
      <c r="BE312" s="45" t="e">
        <f t="shared" si="145"/>
        <v>#VALUE!</v>
      </c>
      <c r="BF312" s="45" t="e">
        <f t="shared" si="146"/>
        <v>#VALUE!</v>
      </c>
      <c r="BG312" s="45" t="e">
        <f t="shared" si="147"/>
        <v>#VALUE!</v>
      </c>
      <c r="BH312" s="45" t="e">
        <f t="shared" si="148"/>
        <v>#NUM!</v>
      </c>
      <c r="BI312" s="43" t="e">
        <f t="shared" si="149"/>
        <v>#VALUE!</v>
      </c>
      <c r="CA312" s="41" t="s">
        <v>22</v>
      </c>
      <c r="CC312" t="s">
        <v>22</v>
      </c>
      <c r="CE312" s="41" t="s">
        <v>22</v>
      </c>
      <c r="CF312" s="41" t="s">
        <v>22</v>
      </c>
      <c r="CG312" s="41">
        <f t="shared" si="167"/>
        <v>10000</v>
      </c>
      <c r="CH312" s="41">
        <f t="shared" si="168"/>
        <v>4</v>
      </c>
      <c r="CI312" s="41">
        <f t="shared" si="169"/>
        <v>10000</v>
      </c>
      <c r="CJ312" s="41">
        <f t="shared" si="170"/>
        <v>4</v>
      </c>
      <c r="CL312" s="9" t="s">
        <v>1269</v>
      </c>
      <c r="CM312" s="18" t="s">
        <v>1283</v>
      </c>
      <c r="CN312" s="54" t="s">
        <v>1284</v>
      </c>
      <c r="CO312" s="18" t="s">
        <v>1284</v>
      </c>
    </row>
    <row r="313" spans="1:93" x14ac:dyDescent="0.25">
      <c r="A313" t="s">
        <v>141</v>
      </c>
      <c r="B313" s="41">
        <v>5.9520000000000003E-2</v>
      </c>
      <c r="C313" s="41" t="s">
        <v>22</v>
      </c>
      <c r="D313" s="41" t="s">
        <v>22</v>
      </c>
      <c r="E313" s="41" t="s">
        <v>22</v>
      </c>
      <c r="F313" t="s">
        <v>22</v>
      </c>
      <c r="G313" t="s">
        <v>22</v>
      </c>
      <c r="H313" t="s">
        <v>22</v>
      </c>
      <c r="I313" t="s">
        <v>22</v>
      </c>
      <c r="J313" s="41">
        <v>0.67</v>
      </c>
      <c r="K313" t="s">
        <v>22</v>
      </c>
      <c r="L313" s="41" t="e">
        <f t="shared" si="171"/>
        <v>#VALUE!</v>
      </c>
      <c r="M313" t="s">
        <v>23</v>
      </c>
      <c r="N313" s="41" t="s">
        <v>22</v>
      </c>
      <c r="O313" s="41" t="s">
        <v>22</v>
      </c>
      <c r="P313" s="41" t="s">
        <v>22</v>
      </c>
      <c r="R313" s="41" t="s">
        <v>22</v>
      </c>
      <c r="S313" s="41" t="s">
        <v>22</v>
      </c>
      <c r="T313" s="41">
        <v>7</v>
      </c>
      <c r="U313" s="41">
        <v>7</v>
      </c>
      <c r="V313">
        <v>20200507</v>
      </c>
      <c r="W313" s="16" t="s">
        <v>31</v>
      </c>
      <c r="X313" s="18">
        <v>2007</v>
      </c>
      <c r="Y313" t="s">
        <v>26</v>
      </c>
      <c r="Z313" s="18" t="s">
        <v>31</v>
      </c>
      <c r="AC313" t="s">
        <v>514</v>
      </c>
      <c r="AD313" s="41">
        <v>3</v>
      </c>
      <c r="AE313" s="41">
        <v>1593</v>
      </c>
      <c r="AF313" s="41" t="s">
        <v>22</v>
      </c>
      <c r="AG313" s="41" t="s">
        <v>22</v>
      </c>
      <c r="AH313" s="41">
        <v>2.1897000000000002</v>
      </c>
      <c r="AI313" s="41" t="s">
        <v>22</v>
      </c>
      <c r="AJ313" s="41" t="s">
        <v>22</v>
      </c>
      <c r="AK313" s="41">
        <v>2.1897000000000002</v>
      </c>
      <c r="AL313" s="41">
        <v>1.68</v>
      </c>
      <c r="AM313" s="43" t="e">
        <f t="shared" si="132"/>
        <v>#VALUE!</v>
      </c>
      <c r="AN313" s="43" t="e">
        <f t="shared" si="133"/>
        <v>#VALUE!</v>
      </c>
      <c r="AO313" s="3" t="s">
        <v>42</v>
      </c>
      <c r="AT313" s="2">
        <f t="shared" si="134"/>
        <v>6</v>
      </c>
      <c r="AU313" s="45">
        <f t="shared" si="135"/>
        <v>-1.2253370774621777</v>
      </c>
      <c r="AV313" s="45" t="e">
        <f t="shared" si="136"/>
        <v>#VALUE!</v>
      </c>
      <c r="AW313" s="45" t="e">
        <f t="shared" si="137"/>
        <v>#VALUE!</v>
      </c>
      <c r="AX313" s="45" t="e">
        <f t="shared" si="138"/>
        <v>#VALUE!</v>
      </c>
      <c r="AY313" s="45" t="e">
        <f t="shared" si="139"/>
        <v>#VALUE!</v>
      </c>
      <c r="AZ313" s="45" t="e">
        <f t="shared" si="140"/>
        <v>#VALUE!</v>
      </c>
      <c r="BA313" s="45">
        <f t="shared" si="141"/>
        <v>-0.17392519729917355</v>
      </c>
      <c r="BB313" s="45" t="e">
        <f t="shared" si="142"/>
        <v>#VALUE!</v>
      </c>
      <c r="BC313" s="45">
        <f t="shared" si="143"/>
        <v>0.84509804001425681</v>
      </c>
      <c r="BD313" s="45">
        <f t="shared" si="144"/>
        <v>0.47712125471966244</v>
      </c>
      <c r="BE313" s="45" t="e">
        <f t="shared" si="145"/>
        <v>#VALUE!</v>
      </c>
      <c r="BF313" s="45" t="e">
        <f t="shared" si="146"/>
        <v>#VALUE!</v>
      </c>
      <c r="BG313" s="45" t="e">
        <f t="shared" si="147"/>
        <v>#VALUE!</v>
      </c>
      <c r="BH313" s="45" t="e">
        <f t="shared" si="148"/>
        <v>#NUM!</v>
      </c>
      <c r="BI313" s="43" t="e">
        <f t="shared" si="149"/>
        <v>#VALUE!</v>
      </c>
      <c r="CA313" s="41" t="s">
        <v>22</v>
      </c>
      <c r="CC313" t="s">
        <v>22</v>
      </c>
      <c r="CE313" s="41" t="s">
        <v>22</v>
      </c>
      <c r="CF313" s="41" t="s">
        <v>22</v>
      </c>
      <c r="CG313" s="41">
        <f t="shared" si="167"/>
        <v>3000</v>
      </c>
      <c r="CH313" s="41">
        <f t="shared" si="168"/>
        <v>3.4771212547196626</v>
      </c>
      <c r="CI313" s="41">
        <f t="shared" si="169"/>
        <v>3000</v>
      </c>
      <c r="CJ313" s="41">
        <f t="shared" si="170"/>
        <v>3.4771212547196626</v>
      </c>
      <c r="CL313" s="9" t="s">
        <v>1269</v>
      </c>
      <c r="CM313" s="18" t="s">
        <v>1283</v>
      </c>
      <c r="CN313" s="54" t="s">
        <v>1284</v>
      </c>
      <c r="CO313" s="18" t="s">
        <v>1284</v>
      </c>
    </row>
    <row r="314" spans="1:93" x14ac:dyDescent="0.25">
      <c r="A314" t="s">
        <v>141</v>
      </c>
      <c r="B314" s="41">
        <v>8.183E-2</v>
      </c>
      <c r="C314" s="41" t="s">
        <v>22</v>
      </c>
      <c r="D314" s="41" t="s">
        <v>22</v>
      </c>
      <c r="E314" s="41" t="s">
        <v>22</v>
      </c>
      <c r="F314" t="s">
        <v>22</v>
      </c>
      <c r="G314" t="s">
        <v>22</v>
      </c>
      <c r="H314" t="s">
        <v>22</v>
      </c>
      <c r="I314" t="s">
        <v>22</v>
      </c>
      <c r="J314" s="41">
        <v>0.54</v>
      </c>
      <c r="K314" t="s">
        <v>22</v>
      </c>
      <c r="L314" s="41" t="e">
        <f t="shared" si="171"/>
        <v>#VALUE!</v>
      </c>
      <c r="M314" t="s">
        <v>23</v>
      </c>
      <c r="N314" s="41" t="s">
        <v>22</v>
      </c>
      <c r="O314" s="41" t="s">
        <v>22</v>
      </c>
      <c r="P314" s="41" t="s">
        <v>22</v>
      </c>
      <c r="R314" s="41" t="s">
        <v>22</v>
      </c>
      <c r="S314" s="41" t="s">
        <v>22</v>
      </c>
      <c r="T314" s="41">
        <v>7</v>
      </c>
      <c r="U314" s="41">
        <v>7</v>
      </c>
      <c r="V314">
        <v>20200507</v>
      </c>
      <c r="W314" s="16" t="s">
        <v>43</v>
      </c>
      <c r="X314">
        <v>2007</v>
      </c>
      <c r="Y314" t="s">
        <v>26</v>
      </c>
      <c r="Z314" t="s">
        <v>43</v>
      </c>
      <c r="AC314" t="s">
        <v>514</v>
      </c>
      <c r="AD314" s="41">
        <v>3</v>
      </c>
      <c r="AE314" s="41">
        <v>1598</v>
      </c>
      <c r="AF314" s="41" t="s">
        <v>22</v>
      </c>
      <c r="AG314" s="41" t="s">
        <v>22</v>
      </c>
      <c r="AH314" s="41" t="s">
        <v>22</v>
      </c>
      <c r="AI314" s="41" t="s">
        <v>22</v>
      </c>
      <c r="AJ314" s="41" t="s">
        <v>22</v>
      </c>
      <c r="AK314" s="41" t="s">
        <v>22</v>
      </c>
      <c r="AL314" s="41" t="s">
        <v>22</v>
      </c>
      <c r="AM314" s="43" t="e">
        <f t="shared" si="132"/>
        <v>#VALUE!</v>
      </c>
      <c r="AN314" s="43" t="e">
        <f t="shared" si="133"/>
        <v>#VALUE!</v>
      </c>
      <c r="AO314" s="3" t="s">
        <v>42</v>
      </c>
      <c r="AT314" s="2">
        <f t="shared" si="134"/>
        <v>6</v>
      </c>
      <c r="AU314" s="45">
        <f t="shared" si="135"/>
        <v>-1.0870874488239031</v>
      </c>
      <c r="AV314" s="45" t="e">
        <f t="shared" si="136"/>
        <v>#VALUE!</v>
      </c>
      <c r="AW314" s="45" t="e">
        <f t="shared" si="137"/>
        <v>#VALUE!</v>
      </c>
      <c r="AX314" s="45" t="e">
        <f t="shared" si="138"/>
        <v>#VALUE!</v>
      </c>
      <c r="AY314" s="45" t="e">
        <f t="shared" si="139"/>
        <v>#VALUE!</v>
      </c>
      <c r="AZ314" s="45" t="e">
        <f t="shared" si="140"/>
        <v>#VALUE!</v>
      </c>
      <c r="BA314" s="45">
        <f t="shared" si="141"/>
        <v>-0.26760624017703144</v>
      </c>
      <c r="BB314" s="45" t="e">
        <f t="shared" si="142"/>
        <v>#VALUE!</v>
      </c>
      <c r="BC314" s="45">
        <f t="shared" si="143"/>
        <v>0.84509804001425681</v>
      </c>
      <c r="BD314" s="45">
        <f t="shared" si="144"/>
        <v>0.47712125471966244</v>
      </c>
      <c r="BE314" s="45" t="e">
        <f t="shared" si="145"/>
        <v>#VALUE!</v>
      </c>
      <c r="BF314" s="45" t="e">
        <f t="shared" si="146"/>
        <v>#VALUE!</v>
      </c>
      <c r="BG314" s="45" t="e">
        <f t="shared" si="147"/>
        <v>#VALUE!</v>
      </c>
      <c r="BH314" s="45" t="e">
        <f t="shared" si="148"/>
        <v>#NUM!</v>
      </c>
      <c r="BI314" s="43" t="e">
        <f t="shared" si="149"/>
        <v>#VALUE!</v>
      </c>
      <c r="CA314" s="41" t="s">
        <v>22</v>
      </c>
      <c r="CC314" t="s">
        <v>22</v>
      </c>
      <c r="CE314" s="41" t="s">
        <v>22</v>
      </c>
      <c r="CF314" s="41" t="s">
        <v>22</v>
      </c>
      <c r="CG314" s="41">
        <f t="shared" si="167"/>
        <v>3000</v>
      </c>
      <c r="CH314" s="41">
        <f t="shared" si="168"/>
        <v>3.4771212547196626</v>
      </c>
      <c r="CI314" s="41">
        <f t="shared" si="169"/>
        <v>3000</v>
      </c>
      <c r="CJ314" s="41">
        <f t="shared" si="170"/>
        <v>3.4771212547196626</v>
      </c>
      <c r="CL314" s="9" t="s">
        <v>1269</v>
      </c>
      <c r="CM314" s="18" t="s">
        <v>1283</v>
      </c>
      <c r="CN314" s="54" t="s">
        <v>1284</v>
      </c>
      <c r="CO314" s="18" t="s">
        <v>1284</v>
      </c>
    </row>
    <row r="315" spans="1:93" x14ac:dyDescent="0.25">
      <c r="A315" t="s">
        <v>141</v>
      </c>
      <c r="B315" s="41">
        <v>6.9999999999999993E-3</v>
      </c>
      <c r="C315" s="41" t="s">
        <v>22</v>
      </c>
      <c r="D315" s="41" t="s">
        <v>22</v>
      </c>
      <c r="E315" s="41" t="s">
        <v>22</v>
      </c>
      <c r="F315" t="s">
        <v>22</v>
      </c>
      <c r="G315" t="s">
        <v>22</v>
      </c>
      <c r="H315" t="s">
        <v>22</v>
      </c>
      <c r="I315" t="s">
        <v>22</v>
      </c>
      <c r="J315" s="41">
        <v>0.48</v>
      </c>
      <c r="K315" t="s">
        <v>22</v>
      </c>
      <c r="L315" s="41" t="e">
        <f t="shared" si="171"/>
        <v>#VALUE!</v>
      </c>
      <c r="M315" t="s">
        <v>23</v>
      </c>
      <c r="N315" s="41" t="s">
        <v>22</v>
      </c>
      <c r="O315" s="41" t="s">
        <v>22</v>
      </c>
      <c r="P315" s="41" t="s">
        <v>22</v>
      </c>
      <c r="R315" s="41" t="s">
        <v>22</v>
      </c>
      <c r="S315" s="41" t="s">
        <v>22</v>
      </c>
      <c r="T315" s="41">
        <v>7</v>
      </c>
      <c r="U315" s="41">
        <v>7</v>
      </c>
      <c r="V315">
        <v>20200507</v>
      </c>
      <c r="W315" s="16" t="s">
        <v>44</v>
      </c>
      <c r="X315">
        <v>2007</v>
      </c>
      <c r="Y315" t="s">
        <v>26</v>
      </c>
      <c r="Z315" t="s">
        <v>44</v>
      </c>
      <c r="AC315" t="s">
        <v>514</v>
      </c>
      <c r="AD315" s="41">
        <v>3</v>
      </c>
      <c r="AE315" s="41">
        <v>1598</v>
      </c>
      <c r="AF315" s="41" t="s">
        <v>22</v>
      </c>
      <c r="AG315" s="41" t="s">
        <v>22</v>
      </c>
      <c r="AH315" s="41" t="s">
        <v>22</v>
      </c>
      <c r="AI315" s="41" t="s">
        <v>22</v>
      </c>
      <c r="AJ315" s="41" t="s">
        <v>22</v>
      </c>
      <c r="AK315" s="41" t="s">
        <v>22</v>
      </c>
      <c r="AL315" s="41" t="s">
        <v>22</v>
      </c>
      <c r="AM315" s="43" t="e">
        <f t="shared" si="132"/>
        <v>#VALUE!</v>
      </c>
      <c r="AN315" s="43" t="e">
        <f t="shared" si="133"/>
        <v>#VALUE!</v>
      </c>
      <c r="AO315" s="3" t="s">
        <v>42</v>
      </c>
      <c r="AT315" s="2">
        <f t="shared" si="134"/>
        <v>6</v>
      </c>
      <c r="AU315" s="45">
        <f t="shared" si="135"/>
        <v>-2.1549019599857431</v>
      </c>
      <c r="AV315" s="45" t="e">
        <f t="shared" si="136"/>
        <v>#VALUE!</v>
      </c>
      <c r="AW315" s="45" t="e">
        <f t="shared" si="137"/>
        <v>#VALUE!</v>
      </c>
      <c r="AX315" s="45" t="e">
        <f t="shared" si="138"/>
        <v>#VALUE!</v>
      </c>
      <c r="AY315" s="45" t="e">
        <f t="shared" si="139"/>
        <v>#VALUE!</v>
      </c>
      <c r="AZ315" s="45" t="e">
        <f t="shared" si="140"/>
        <v>#VALUE!</v>
      </c>
      <c r="BA315" s="45">
        <f t="shared" si="141"/>
        <v>-0.31875876262441277</v>
      </c>
      <c r="BB315" s="45" t="e">
        <f t="shared" si="142"/>
        <v>#VALUE!</v>
      </c>
      <c r="BC315" s="45">
        <f t="shared" si="143"/>
        <v>0.84509804001425681</v>
      </c>
      <c r="BD315" s="45">
        <f t="shared" si="144"/>
        <v>0.47712125471966244</v>
      </c>
      <c r="BE315" s="45" t="e">
        <f t="shared" si="145"/>
        <v>#VALUE!</v>
      </c>
      <c r="BF315" s="45" t="e">
        <f t="shared" si="146"/>
        <v>#VALUE!</v>
      </c>
      <c r="BG315" s="45" t="e">
        <f t="shared" si="147"/>
        <v>#VALUE!</v>
      </c>
      <c r="BH315" s="45" t="e">
        <f t="shared" si="148"/>
        <v>#NUM!</v>
      </c>
      <c r="BI315" s="43" t="e">
        <f t="shared" si="149"/>
        <v>#VALUE!</v>
      </c>
      <c r="CA315" s="41" t="s">
        <v>22</v>
      </c>
      <c r="CC315" t="s">
        <v>22</v>
      </c>
      <c r="CE315" s="41" t="s">
        <v>22</v>
      </c>
      <c r="CF315" s="41" t="s">
        <v>22</v>
      </c>
      <c r="CG315" s="41">
        <f t="shared" si="167"/>
        <v>3000</v>
      </c>
      <c r="CH315" s="41">
        <f t="shared" si="168"/>
        <v>3.4771212547196626</v>
      </c>
      <c r="CI315" s="41">
        <f t="shared" si="169"/>
        <v>3000</v>
      </c>
      <c r="CJ315" s="41">
        <f t="shared" si="170"/>
        <v>3.4771212547196626</v>
      </c>
      <c r="CL315" s="9" t="s">
        <v>1269</v>
      </c>
      <c r="CM315" s="18" t="s">
        <v>1283</v>
      </c>
      <c r="CN315" s="54" t="s">
        <v>1284</v>
      </c>
      <c r="CO315" s="18" t="s">
        <v>1284</v>
      </c>
    </row>
    <row r="316" spans="1:93" x14ac:dyDescent="0.25">
      <c r="A316" t="s">
        <v>141</v>
      </c>
      <c r="B316" s="41">
        <v>9.69E-2</v>
      </c>
      <c r="C316" s="41" t="s">
        <v>22</v>
      </c>
      <c r="D316" s="41" t="s">
        <v>22</v>
      </c>
      <c r="E316" s="41" t="s">
        <v>22</v>
      </c>
      <c r="F316" t="s">
        <v>22</v>
      </c>
      <c r="G316" t="s">
        <v>22</v>
      </c>
      <c r="H316" t="s">
        <v>22</v>
      </c>
      <c r="I316" t="s">
        <v>22</v>
      </c>
      <c r="J316" s="41">
        <v>0.41</v>
      </c>
      <c r="K316" t="s">
        <v>22</v>
      </c>
      <c r="L316" s="41" t="e">
        <f t="shared" si="171"/>
        <v>#VALUE!</v>
      </c>
      <c r="M316" t="s">
        <v>45</v>
      </c>
      <c r="N316" s="41" t="s">
        <v>22</v>
      </c>
      <c r="O316" s="41" t="s">
        <v>22</v>
      </c>
      <c r="P316" s="41" t="s">
        <v>22</v>
      </c>
      <c r="R316" s="41" t="s">
        <v>22</v>
      </c>
      <c r="S316" s="41" t="s">
        <v>22</v>
      </c>
      <c r="T316" s="41">
        <v>7</v>
      </c>
      <c r="U316" s="41">
        <v>7</v>
      </c>
      <c r="V316">
        <v>20200507</v>
      </c>
      <c r="W316" s="16" t="s">
        <v>46</v>
      </c>
      <c r="X316">
        <v>2007</v>
      </c>
      <c r="Y316" t="s">
        <v>26</v>
      </c>
      <c r="Z316" t="s">
        <v>492</v>
      </c>
      <c r="AA316" t="s">
        <v>737</v>
      </c>
      <c r="AB316" s="41">
        <v>5.9520000000000003E-2</v>
      </c>
      <c r="AC316" t="s">
        <v>514</v>
      </c>
      <c r="AD316" s="41">
        <v>3</v>
      </c>
      <c r="AE316" s="41">
        <v>1594</v>
      </c>
      <c r="AF316" s="41" t="s">
        <v>22</v>
      </c>
      <c r="AG316" s="41" t="s">
        <v>22</v>
      </c>
      <c r="AH316" s="41" t="s">
        <v>22</v>
      </c>
      <c r="AI316" s="41" t="s">
        <v>22</v>
      </c>
      <c r="AJ316" s="41" t="s">
        <v>22</v>
      </c>
      <c r="AK316" s="41" t="s">
        <v>22</v>
      </c>
      <c r="AL316" s="41" t="s">
        <v>22</v>
      </c>
      <c r="AM316" s="43" t="e">
        <f t="shared" si="132"/>
        <v>#VALUE!</v>
      </c>
      <c r="AN316" s="43" t="e">
        <f t="shared" si="133"/>
        <v>#VALUE!</v>
      </c>
      <c r="AO316" s="3" t="s">
        <v>42</v>
      </c>
      <c r="AT316" s="2">
        <f t="shared" si="134"/>
        <v>6</v>
      </c>
      <c r="AU316" s="45">
        <f t="shared" si="135"/>
        <v>-1.0136762229492347</v>
      </c>
      <c r="AV316" s="45" t="e">
        <f t="shared" si="136"/>
        <v>#VALUE!</v>
      </c>
      <c r="AW316" s="45" t="e">
        <f t="shared" si="137"/>
        <v>#VALUE!</v>
      </c>
      <c r="AX316" s="45" t="e">
        <f t="shared" si="138"/>
        <v>#VALUE!</v>
      </c>
      <c r="AY316" s="45" t="e">
        <f t="shared" si="139"/>
        <v>#VALUE!</v>
      </c>
      <c r="AZ316" s="45" t="e">
        <f t="shared" si="140"/>
        <v>#VALUE!</v>
      </c>
      <c r="BA316" s="45">
        <f t="shared" si="141"/>
        <v>-0.38721614328026455</v>
      </c>
      <c r="BB316" s="45" t="e">
        <f t="shared" si="142"/>
        <v>#VALUE!</v>
      </c>
      <c r="BC316" s="45">
        <f t="shared" si="143"/>
        <v>0.84509804001425681</v>
      </c>
      <c r="BD316" s="45">
        <f t="shared" si="144"/>
        <v>0.47712125471966244</v>
      </c>
      <c r="BE316" s="45" t="e">
        <f t="shared" si="145"/>
        <v>#VALUE!</v>
      </c>
      <c r="BF316" s="45" t="e">
        <f t="shared" si="146"/>
        <v>#VALUE!</v>
      </c>
      <c r="BG316" s="45" t="e">
        <f t="shared" si="147"/>
        <v>#VALUE!</v>
      </c>
      <c r="BH316" s="45">
        <f t="shared" si="148"/>
        <v>-1.2253370774621777</v>
      </c>
      <c r="BI316" s="43" t="e">
        <f t="shared" si="149"/>
        <v>#VALUE!</v>
      </c>
      <c r="CA316" s="41" t="s">
        <v>22</v>
      </c>
      <c r="CC316" t="s">
        <v>22</v>
      </c>
      <c r="CE316" s="41" t="s">
        <v>22</v>
      </c>
      <c r="CF316" s="41" t="s">
        <v>22</v>
      </c>
      <c r="CG316" s="41">
        <f t="shared" si="167"/>
        <v>3000</v>
      </c>
      <c r="CH316" s="41">
        <f t="shared" si="168"/>
        <v>3.4771212547196626</v>
      </c>
      <c r="CI316" s="41">
        <f t="shared" si="169"/>
        <v>3000</v>
      </c>
      <c r="CJ316" s="41">
        <f t="shared" si="170"/>
        <v>3.4771212547196626</v>
      </c>
      <c r="CL316" s="9" t="s">
        <v>1269</v>
      </c>
      <c r="CM316" s="18" t="s">
        <v>1283</v>
      </c>
      <c r="CN316" s="54" t="s">
        <v>1284</v>
      </c>
      <c r="CO316" s="18" t="s">
        <v>1284</v>
      </c>
    </row>
    <row r="317" spans="1:93" x14ac:dyDescent="0.25">
      <c r="A317" t="s">
        <v>141</v>
      </c>
      <c r="B317" s="41">
        <v>0.11527</v>
      </c>
      <c r="C317" s="41" t="s">
        <v>22</v>
      </c>
      <c r="D317" s="41" t="s">
        <v>22</v>
      </c>
      <c r="E317" s="41" t="s">
        <v>22</v>
      </c>
      <c r="F317" t="s">
        <v>22</v>
      </c>
      <c r="G317" t="s">
        <v>22</v>
      </c>
      <c r="H317" t="s">
        <v>22</v>
      </c>
      <c r="I317" t="s">
        <v>22</v>
      </c>
      <c r="J317" s="41">
        <v>0.52</v>
      </c>
      <c r="K317" t="s">
        <v>22</v>
      </c>
      <c r="L317" s="41" t="e">
        <f t="shared" si="171"/>
        <v>#VALUE!</v>
      </c>
      <c r="M317" t="s">
        <v>23</v>
      </c>
      <c r="N317" s="41" t="s">
        <v>22</v>
      </c>
      <c r="O317" s="41" t="s">
        <v>22</v>
      </c>
      <c r="P317" s="41" t="s">
        <v>22</v>
      </c>
      <c r="R317" s="41" t="s">
        <v>22</v>
      </c>
      <c r="S317" s="41" t="s">
        <v>22</v>
      </c>
      <c r="T317" s="41">
        <v>7</v>
      </c>
      <c r="U317" s="41">
        <v>7</v>
      </c>
      <c r="V317">
        <v>20200507</v>
      </c>
      <c r="W317" s="16" t="s">
        <v>47</v>
      </c>
      <c r="X317">
        <v>2007</v>
      </c>
      <c r="Y317" t="s">
        <v>26</v>
      </c>
      <c r="Z317" t="s">
        <v>47</v>
      </c>
      <c r="AC317" t="s">
        <v>514</v>
      </c>
      <c r="AD317" s="41">
        <v>3</v>
      </c>
      <c r="AE317" s="41">
        <v>1598</v>
      </c>
      <c r="AF317" s="41" t="s">
        <v>22</v>
      </c>
      <c r="AG317" s="41" t="s">
        <v>22</v>
      </c>
      <c r="AH317" s="41" t="s">
        <v>22</v>
      </c>
      <c r="AI317" s="41" t="s">
        <v>22</v>
      </c>
      <c r="AJ317" s="41" t="s">
        <v>22</v>
      </c>
      <c r="AK317" s="41" t="s">
        <v>22</v>
      </c>
      <c r="AL317" s="41" t="s">
        <v>22</v>
      </c>
      <c r="AM317" s="43" t="e">
        <f t="shared" si="132"/>
        <v>#VALUE!</v>
      </c>
      <c r="AN317" s="43" t="e">
        <f t="shared" si="133"/>
        <v>#VALUE!</v>
      </c>
      <c r="AO317" s="3" t="s">
        <v>42</v>
      </c>
      <c r="AT317" s="2">
        <f t="shared" si="134"/>
        <v>6</v>
      </c>
      <c r="AU317" s="45">
        <f t="shared" si="135"/>
        <v>-0.93828370684010276</v>
      </c>
      <c r="AV317" s="45" t="e">
        <f t="shared" si="136"/>
        <v>#VALUE!</v>
      </c>
      <c r="AW317" s="45" t="e">
        <f t="shared" si="137"/>
        <v>#VALUE!</v>
      </c>
      <c r="AX317" s="45" t="e">
        <f t="shared" si="138"/>
        <v>#VALUE!</v>
      </c>
      <c r="AY317" s="45" t="e">
        <f t="shared" si="139"/>
        <v>#VALUE!</v>
      </c>
      <c r="AZ317" s="45" t="e">
        <f t="shared" si="140"/>
        <v>#VALUE!</v>
      </c>
      <c r="BA317" s="45">
        <f t="shared" si="141"/>
        <v>-0.28399665636520083</v>
      </c>
      <c r="BB317" s="45" t="e">
        <f t="shared" si="142"/>
        <v>#VALUE!</v>
      </c>
      <c r="BC317" s="45">
        <f t="shared" si="143"/>
        <v>0.84509804001425681</v>
      </c>
      <c r="BD317" s="45">
        <f t="shared" si="144"/>
        <v>0.47712125471966244</v>
      </c>
      <c r="BE317" s="45" t="e">
        <f t="shared" si="145"/>
        <v>#VALUE!</v>
      </c>
      <c r="BF317" s="45" t="e">
        <f t="shared" si="146"/>
        <v>#VALUE!</v>
      </c>
      <c r="BG317" s="45" t="e">
        <f t="shared" si="147"/>
        <v>#VALUE!</v>
      </c>
      <c r="BH317" s="45" t="e">
        <f t="shared" si="148"/>
        <v>#NUM!</v>
      </c>
      <c r="BI317" s="43" t="e">
        <f t="shared" si="149"/>
        <v>#VALUE!</v>
      </c>
      <c r="CA317" s="41" t="s">
        <v>22</v>
      </c>
      <c r="CC317" t="s">
        <v>22</v>
      </c>
      <c r="CE317" s="41" t="s">
        <v>22</v>
      </c>
      <c r="CF317" s="41" t="s">
        <v>22</v>
      </c>
      <c r="CG317" s="41">
        <f t="shared" si="167"/>
        <v>3000</v>
      </c>
      <c r="CH317" s="41">
        <f t="shared" si="168"/>
        <v>3.4771212547196626</v>
      </c>
      <c r="CI317" s="41">
        <f t="shared" si="169"/>
        <v>3000</v>
      </c>
      <c r="CJ317" s="41">
        <f t="shared" si="170"/>
        <v>3.4771212547196626</v>
      </c>
      <c r="CL317" s="9" t="s">
        <v>1269</v>
      </c>
      <c r="CM317" s="18" t="s">
        <v>1283</v>
      </c>
      <c r="CN317" s="54" t="s">
        <v>1284</v>
      </c>
      <c r="CO317" s="18" t="s">
        <v>1284</v>
      </c>
    </row>
    <row r="318" spans="1:93" x14ac:dyDescent="0.25">
      <c r="A318" t="s">
        <v>141</v>
      </c>
      <c r="B318" s="41">
        <v>7.1099999999999991E-3</v>
      </c>
      <c r="C318" s="41" t="s">
        <v>22</v>
      </c>
      <c r="D318" s="41" t="s">
        <v>22</v>
      </c>
      <c r="E318" s="41" t="s">
        <v>22</v>
      </c>
      <c r="F318" t="s">
        <v>22</v>
      </c>
      <c r="G318" t="s">
        <v>22</v>
      </c>
      <c r="H318" t="s">
        <v>22</v>
      </c>
      <c r="I318" t="s">
        <v>22</v>
      </c>
      <c r="J318" s="41">
        <v>0.62</v>
      </c>
      <c r="K318" t="s">
        <v>22</v>
      </c>
      <c r="L318" s="41" t="e">
        <f t="shared" si="171"/>
        <v>#VALUE!</v>
      </c>
      <c r="M318" t="s">
        <v>23</v>
      </c>
      <c r="N318" s="41" t="s">
        <v>22</v>
      </c>
      <c r="O318" s="41" t="s">
        <v>22</v>
      </c>
      <c r="P318" s="41" t="s">
        <v>22</v>
      </c>
      <c r="R318" s="41" t="s">
        <v>22</v>
      </c>
      <c r="S318" s="41" t="s">
        <v>22</v>
      </c>
      <c r="T318" s="41">
        <v>7</v>
      </c>
      <c r="U318" s="41">
        <v>7</v>
      </c>
      <c r="V318">
        <v>20200507</v>
      </c>
      <c r="W318" s="16" t="s">
        <v>48</v>
      </c>
      <c r="X318">
        <v>2007</v>
      </c>
      <c r="Y318" t="s">
        <v>26</v>
      </c>
      <c r="Z318" t="s">
        <v>48</v>
      </c>
      <c r="AC318" t="s">
        <v>514</v>
      </c>
      <c r="AD318" s="41">
        <v>3</v>
      </c>
      <c r="AE318" s="41">
        <v>1583</v>
      </c>
      <c r="AF318" s="41" t="s">
        <v>22</v>
      </c>
      <c r="AG318" s="41" t="s">
        <v>22</v>
      </c>
      <c r="AH318" s="41" t="s">
        <v>22</v>
      </c>
      <c r="AI318" s="41" t="s">
        <v>22</v>
      </c>
      <c r="AJ318" s="41" t="s">
        <v>22</v>
      </c>
      <c r="AK318" s="41" t="s">
        <v>22</v>
      </c>
      <c r="AL318" s="41" t="s">
        <v>22</v>
      </c>
      <c r="AM318" s="43" t="e">
        <f t="shared" si="132"/>
        <v>#VALUE!</v>
      </c>
      <c r="AN318" s="43" t="e">
        <f t="shared" si="133"/>
        <v>#VALUE!</v>
      </c>
      <c r="AO318" s="3" t="s">
        <v>42</v>
      </c>
      <c r="AT318" s="2">
        <f t="shared" si="134"/>
        <v>6</v>
      </c>
      <c r="AU318" s="45">
        <f t="shared" si="135"/>
        <v>-2.1481303992702339</v>
      </c>
      <c r="AV318" s="45" t="e">
        <f t="shared" si="136"/>
        <v>#VALUE!</v>
      </c>
      <c r="AW318" s="45" t="e">
        <f t="shared" si="137"/>
        <v>#VALUE!</v>
      </c>
      <c r="AX318" s="45" t="e">
        <f t="shared" si="138"/>
        <v>#VALUE!</v>
      </c>
      <c r="AY318" s="45" t="e">
        <f t="shared" si="139"/>
        <v>#VALUE!</v>
      </c>
      <c r="AZ318" s="45" t="e">
        <f t="shared" si="140"/>
        <v>#VALUE!</v>
      </c>
      <c r="BA318" s="45">
        <f t="shared" si="141"/>
        <v>-0.20760831050174613</v>
      </c>
      <c r="BB318" s="45" t="e">
        <f t="shared" si="142"/>
        <v>#VALUE!</v>
      </c>
      <c r="BC318" s="45">
        <f t="shared" si="143"/>
        <v>0.84509804001425681</v>
      </c>
      <c r="BD318" s="45">
        <f t="shared" si="144"/>
        <v>0.47712125471966244</v>
      </c>
      <c r="BE318" s="45" t="e">
        <f t="shared" si="145"/>
        <v>#VALUE!</v>
      </c>
      <c r="BF318" s="45" t="e">
        <f t="shared" si="146"/>
        <v>#VALUE!</v>
      </c>
      <c r="BG318" s="45" t="e">
        <f t="shared" si="147"/>
        <v>#VALUE!</v>
      </c>
      <c r="BH318" s="45" t="e">
        <f t="shared" si="148"/>
        <v>#NUM!</v>
      </c>
      <c r="BI318" s="43" t="e">
        <f t="shared" si="149"/>
        <v>#VALUE!</v>
      </c>
      <c r="CA318" s="41" t="s">
        <v>22</v>
      </c>
      <c r="CC318" t="s">
        <v>22</v>
      </c>
      <c r="CE318" s="41" t="s">
        <v>22</v>
      </c>
      <c r="CF318" s="41" t="s">
        <v>22</v>
      </c>
      <c r="CG318" s="41">
        <f t="shared" si="167"/>
        <v>3000</v>
      </c>
      <c r="CH318" s="41">
        <f t="shared" si="168"/>
        <v>3.4771212547196626</v>
      </c>
      <c r="CI318" s="41">
        <f t="shared" si="169"/>
        <v>3000</v>
      </c>
      <c r="CJ318" s="41">
        <f t="shared" si="170"/>
        <v>3.4771212547196626</v>
      </c>
      <c r="CL318" s="9" t="s">
        <v>1269</v>
      </c>
      <c r="CM318" s="18" t="s">
        <v>1283</v>
      </c>
      <c r="CN318" s="54" t="s">
        <v>1284</v>
      </c>
      <c r="CO318" s="18" t="s">
        <v>1284</v>
      </c>
    </row>
    <row r="319" spans="1:93" x14ac:dyDescent="0.25">
      <c r="A319" t="s">
        <v>141</v>
      </c>
      <c r="B319" s="41">
        <v>3.092526635867832E-2</v>
      </c>
      <c r="C319" s="41">
        <v>0.6</v>
      </c>
      <c r="D319" s="41">
        <f>0.001*(B319*10^6)/(C319*0.001*100^3)</f>
        <v>5.1542110597797203E-2</v>
      </c>
      <c r="E319" s="41">
        <v>32.781211513934586</v>
      </c>
      <c r="F319" t="s">
        <v>22</v>
      </c>
      <c r="G319" t="s">
        <v>22</v>
      </c>
      <c r="H319" t="s">
        <v>22</v>
      </c>
      <c r="I319" t="s">
        <v>22</v>
      </c>
      <c r="J319" s="41" t="s">
        <v>22</v>
      </c>
      <c r="K319" t="s">
        <v>22</v>
      </c>
      <c r="M319" t="s">
        <v>23</v>
      </c>
      <c r="N319" s="41" t="s">
        <v>22</v>
      </c>
      <c r="O319" s="41" t="s">
        <v>22</v>
      </c>
      <c r="P319" s="41" t="s">
        <v>22</v>
      </c>
      <c r="R319" s="41" t="s">
        <v>22</v>
      </c>
      <c r="S319" s="41" t="s">
        <v>22</v>
      </c>
      <c r="T319" s="41">
        <v>10</v>
      </c>
      <c r="U319" s="41">
        <v>10</v>
      </c>
      <c r="V319">
        <v>20200513</v>
      </c>
      <c r="X319" s="6">
        <v>2007</v>
      </c>
      <c r="Y319" s="6" t="s">
        <v>26</v>
      </c>
      <c r="Z319" s="6" t="s">
        <v>53</v>
      </c>
      <c r="AA319" s="6"/>
      <c r="AB319" s="47"/>
      <c r="AC319" s="6" t="s">
        <v>514</v>
      </c>
      <c r="AD319" s="41" t="s">
        <v>22</v>
      </c>
      <c r="AE319" s="41" t="s">
        <v>22</v>
      </c>
      <c r="AF319" s="41">
        <v>50</v>
      </c>
      <c r="AG319" s="41" t="s">
        <v>22</v>
      </c>
      <c r="AH319" s="41" t="s">
        <v>22</v>
      </c>
      <c r="AI319" s="41" t="s">
        <v>22</v>
      </c>
      <c r="AJ319" s="41" t="s">
        <v>22</v>
      </c>
      <c r="AK319" s="41" t="s">
        <v>22</v>
      </c>
      <c r="AL319" s="41" t="s">
        <v>22</v>
      </c>
      <c r="AM319" s="43" t="e">
        <f t="shared" si="132"/>
        <v>#VALUE!</v>
      </c>
      <c r="AN319" s="43" t="e">
        <f t="shared" si="133"/>
        <v>#VALUE!</v>
      </c>
      <c r="AO319" s="3" t="s">
        <v>726</v>
      </c>
      <c r="AT319" s="2">
        <f t="shared" si="134"/>
        <v>2</v>
      </c>
      <c r="AU319" s="45">
        <f t="shared" si="135"/>
        <v>-1.5096865511133597</v>
      </c>
      <c r="AV319" s="45">
        <f t="shared" si="136"/>
        <v>-0.22184874961635639</v>
      </c>
      <c r="AW319" s="45">
        <f t="shared" si="137"/>
        <v>-1.2878378014970033</v>
      </c>
      <c r="AX319" s="45" t="e">
        <f t="shared" si="138"/>
        <v>#VALUE!</v>
      </c>
      <c r="AY319" s="45" t="e">
        <f t="shared" si="139"/>
        <v>#VALUE!</v>
      </c>
      <c r="AZ319" s="45" t="e">
        <f t="shared" si="140"/>
        <v>#VALUE!</v>
      </c>
      <c r="BA319" s="45" t="e">
        <f t="shared" si="141"/>
        <v>#VALUE!</v>
      </c>
      <c r="BB319" s="45" t="e">
        <f t="shared" si="142"/>
        <v>#NUM!</v>
      </c>
      <c r="BC319" s="45">
        <f t="shared" si="143"/>
        <v>1</v>
      </c>
      <c r="BD319" s="45" t="e">
        <f t="shared" si="144"/>
        <v>#VALUE!</v>
      </c>
      <c r="BE319" s="45">
        <f t="shared" si="145"/>
        <v>1.6989700043360187</v>
      </c>
      <c r="BF319" s="45" t="e">
        <f t="shared" si="146"/>
        <v>#VALUE!</v>
      </c>
      <c r="BG319" s="45" t="e">
        <f t="shared" si="147"/>
        <v>#VALUE!</v>
      </c>
      <c r="BH319" s="45" t="e">
        <f t="shared" si="148"/>
        <v>#NUM!</v>
      </c>
      <c r="BI319" s="43">
        <f t="shared" si="149"/>
        <v>1.6989700043360187</v>
      </c>
      <c r="CA319" s="41" t="s">
        <v>22</v>
      </c>
      <c r="CC319" t="s">
        <v>22</v>
      </c>
      <c r="CE319" s="41" t="s">
        <v>22</v>
      </c>
      <c r="CF319" s="41" t="s">
        <v>22</v>
      </c>
      <c r="CG319" s="41" t="e">
        <f t="shared" si="167"/>
        <v>#VALUE!</v>
      </c>
      <c r="CH319" s="41" t="e">
        <f t="shared" si="168"/>
        <v>#VALUE!</v>
      </c>
      <c r="CI319" s="41">
        <f t="shared" si="169"/>
        <v>10</v>
      </c>
      <c r="CJ319" s="41">
        <f t="shared" si="170"/>
        <v>1</v>
      </c>
      <c r="CL319" s="9" t="s">
        <v>1269</v>
      </c>
      <c r="CM319" s="18" t="s">
        <v>1285</v>
      </c>
      <c r="CN319" s="54" t="s">
        <v>1284</v>
      </c>
      <c r="CO319" s="18" t="s">
        <v>1284</v>
      </c>
    </row>
    <row r="320" spans="1:93" x14ac:dyDescent="0.25">
      <c r="A320" t="s">
        <v>141</v>
      </c>
      <c r="B320" s="41">
        <v>3.0330603579011226E-2</v>
      </c>
      <c r="C320" s="41" t="s">
        <v>22</v>
      </c>
      <c r="D320" s="41" t="s">
        <v>22</v>
      </c>
      <c r="E320" s="41" t="s">
        <v>22</v>
      </c>
      <c r="F320" t="s">
        <v>22</v>
      </c>
      <c r="G320" t="s">
        <v>22</v>
      </c>
      <c r="H320" t="s">
        <v>22</v>
      </c>
      <c r="I320" t="s">
        <v>22</v>
      </c>
      <c r="J320" s="41" t="s">
        <v>22</v>
      </c>
      <c r="K320" t="s">
        <v>22</v>
      </c>
      <c r="M320" t="s">
        <v>23</v>
      </c>
      <c r="N320" s="41" t="s">
        <v>22</v>
      </c>
      <c r="O320" s="41" t="s">
        <v>22</v>
      </c>
      <c r="P320" s="41" t="s">
        <v>22</v>
      </c>
      <c r="R320" s="41" t="s">
        <v>22</v>
      </c>
      <c r="S320" s="41" t="s">
        <v>22</v>
      </c>
      <c r="T320" s="41">
        <v>10</v>
      </c>
      <c r="U320" s="41">
        <v>10</v>
      </c>
      <c r="V320">
        <v>20200513</v>
      </c>
      <c r="W320" s="21"/>
      <c r="X320" s="6">
        <v>2007</v>
      </c>
      <c r="Y320" s="6" t="s">
        <v>26</v>
      </c>
      <c r="Z320" s="6" t="s">
        <v>725</v>
      </c>
      <c r="AA320" s="6"/>
      <c r="AB320" s="47"/>
      <c r="AC320" s="6" t="s">
        <v>514</v>
      </c>
      <c r="AD320" s="41">
        <v>10</v>
      </c>
      <c r="AE320" s="41" t="s">
        <v>22</v>
      </c>
      <c r="AF320" s="41">
        <v>26</v>
      </c>
      <c r="AG320" s="41" t="s">
        <v>22</v>
      </c>
      <c r="AH320" s="41" t="s">
        <v>22</v>
      </c>
      <c r="AI320" s="41" t="s">
        <v>22</v>
      </c>
      <c r="AJ320" s="41" t="s">
        <v>22</v>
      </c>
      <c r="AK320" s="41" t="s">
        <v>22</v>
      </c>
      <c r="AL320" s="41" t="s">
        <v>22</v>
      </c>
      <c r="AM320" s="43" t="e">
        <f t="shared" si="132"/>
        <v>#VALUE!</v>
      </c>
      <c r="AN320" s="43" t="e">
        <f t="shared" si="133"/>
        <v>#VALUE!</v>
      </c>
      <c r="AO320" s="19" t="s">
        <v>726</v>
      </c>
      <c r="AT320" s="2">
        <f t="shared" si="134"/>
        <v>2</v>
      </c>
      <c r="AU320" s="45">
        <f t="shared" si="135"/>
        <v>-1.5181189471431529</v>
      </c>
      <c r="AV320" s="45" t="e">
        <f t="shared" si="136"/>
        <v>#VALUE!</v>
      </c>
      <c r="AW320" s="45" t="e">
        <f t="shared" si="137"/>
        <v>#VALUE!</v>
      </c>
      <c r="AX320" s="45" t="e">
        <f t="shared" si="138"/>
        <v>#VALUE!</v>
      </c>
      <c r="AY320" s="45" t="e">
        <f t="shared" si="139"/>
        <v>#VALUE!</v>
      </c>
      <c r="AZ320" s="45" t="e">
        <f t="shared" si="140"/>
        <v>#VALUE!</v>
      </c>
      <c r="BA320" s="45" t="e">
        <f t="shared" si="141"/>
        <v>#VALUE!</v>
      </c>
      <c r="BB320" s="45" t="e">
        <f t="shared" si="142"/>
        <v>#NUM!</v>
      </c>
      <c r="BC320" s="45">
        <f t="shared" si="143"/>
        <v>1</v>
      </c>
      <c r="BD320" s="45">
        <f t="shared" si="144"/>
        <v>1</v>
      </c>
      <c r="BE320" s="45">
        <f t="shared" si="145"/>
        <v>1.414973347970818</v>
      </c>
      <c r="BF320" s="45" t="e">
        <f t="shared" si="146"/>
        <v>#VALUE!</v>
      </c>
      <c r="BG320" s="45" t="e">
        <f t="shared" si="147"/>
        <v>#VALUE!</v>
      </c>
      <c r="BH320" s="45" t="e">
        <f t="shared" si="148"/>
        <v>#NUM!</v>
      </c>
      <c r="BI320" s="43">
        <f t="shared" si="149"/>
        <v>1.414973347970818</v>
      </c>
      <c r="BL320" s="20"/>
      <c r="CA320" s="41" t="s">
        <v>22</v>
      </c>
      <c r="CC320" t="s">
        <v>22</v>
      </c>
      <c r="CE320" s="41" t="s">
        <v>22</v>
      </c>
      <c r="CF320" s="41" t="s">
        <v>22</v>
      </c>
      <c r="CG320" s="41">
        <f t="shared" si="167"/>
        <v>10000</v>
      </c>
      <c r="CH320" s="41">
        <f t="shared" si="168"/>
        <v>4</v>
      </c>
      <c r="CI320" s="41">
        <f t="shared" si="169"/>
        <v>10000</v>
      </c>
      <c r="CJ320" s="41">
        <f t="shared" si="170"/>
        <v>4</v>
      </c>
      <c r="CL320" s="9" t="s">
        <v>1269</v>
      </c>
      <c r="CM320" s="18" t="s">
        <v>1283</v>
      </c>
      <c r="CN320" s="54" t="s">
        <v>1284</v>
      </c>
      <c r="CO320" s="18" t="s">
        <v>1284</v>
      </c>
    </row>
    <row r="321" spans="1:93" x14ac:dyDescent="0.25">
      <c r="A321" s="2" t="s">
        <v>375</v>
      </c>
      <c r="B321" s="43">
        <v>0.3968253968253968</v>
      </c>
      <c r="C321" s="43" t="s">
        <v>22</v>
      </c>
      <c r="D321" s="43" t="s">
        <v>22</v>
      </c>
      <c r="E321" s="43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43" t="s">
        <v>22</v>
      </c>
      <c r="K321" s="2" t="s">
        <v>22</v>
      </c>
      <c r="L321" s="43"/>
      <c r="M321" s="2" t="s">
        <v>23</v>
      </c>
      <c r="N321" s="43" t="s">
        <v>22</v>
      </c>
      <c r="O321" s="43" t="s">
        <v>22</v>
      </c>
      <c r="P321" s="43" t="s">
        <v>22</v>
      </c>
      <c r="Q321" s="43"/>
      <c r="R321" s="43" t="s">
        <v>22</v>
      </c>
      <c r="S321" s="43" t="s">
        <v>22</v>
      </c>
      <c r="T321" s="43" t="s">
        <v>22</v>
      </c>
      <c r="U321" s="43" t="s">
        <v>22</v>
      </c>
      <c r="V321" s="2">
        <v>20200507</v>
      </c>
      <c r="W321" s="2" t="s">
        <v>821</v>
      </c>
      <c r="X321" s="2">
        <v>2007</v>
      </c>
      <c r="Y321" s="2" t="s">
        <v>1133</v>
      </c>
      <c r="Z321" s="2" t="s">
        <v>32</v>
      </c>
      <c r="AA321" s="2" t="s">
        <v>22</v>
      </c>
      <c r="AB321" s="43" t="s">
        <v>22</v>
      </c>
      <c r="AC321" s="2" t="s">
        <v>22</v>
      </c>
      <c r="AD321" s="43">
        <v>6.1700000000000005E-2</v>
      </c>
      <c r="AE321" s="43" t="s">
        <v>22</v>
      </c>
      <c r="AF321" s="43" t="s">
        <v>22</v>
      </c>
      <c r="AG321" s="43" t="s">
        <v>22</v>
      </c>
      <c r="AH321" s="43" t="s">
        <v>22</v>
      </c>
      <c r="AI321" s="43" t="s">
        <v>22</v>
      </c>
      <c r="AJ321" s="43" t="s">
        <v>22</v>
      </c>
      <c r="AK321" s="43" t="s">
        <v>22</v>
      </c>
      <c r="AL321" s="43" t="s">
        <v>22</v>
      </c>
      <c r="AM321" s="43" t="e">
        <f t="shared" si="132"/>
        <v>#VALUE!</v>
      </c>
      <c r="AN321" s="43" t="e">
        <f t="shared" si="133"/>
        <v>#VALUE!</v>
      </c>
      <c r="AO321" s="2" t="s">
        <v>822</v>
      </c>
      <c r="AP321" s="2"/>
      <c r="AQ321" s="2"/>
      <c r="AR321" s="2"/>
      <c r="AS321" s="2"/>
      <c r="AT321" s="2">
        <f t="shared" si="134"/>
        <v>12</v>
      </c>
      <c r="AU321" s="45">
        <f t="shared" si="135"/>
        <v>-0.40140054078154414</v>
      </c>
      <c r="AV321" s="45" t="e">
        <f t="shared" si="136"/>
        <v>#VALUE!</v>
      </c>
      <c r="AW321" s="45" t="e">
        <f t="shared" si="137"/>
        <v>#VALUE!</v>
      </c>
      <c r="AX321" s="45" t="e">
        <f t="shared" si="138"/>
        <v>#VALUE!</v>
      </c>
      <c r="AY321" s="45" t="e">
        <f t="shared" si="139"/>
        <v>#VALUE!</v>
      </c>
      <c r="AZ321" s="45" t="e">
        <f t="shared" si="140"/>
        <v>#VALUE!</v>
      </c>
      <c r="BA321" s="45" t="e">
        <f t="shared" si="141"/>
        <v>#VALUE!</v>
      </c>
      <c r="BB321" s="45" t="e">
        <f t="shared" si="142"/>
        <v>#NUM!</v>
      </c>
      <c r="BC321" s="45" t="e">
        <f t="shared" si="143"/>
        <v>#VALUE!</v>
      </c>
      <c r="BD321" s="45">
        <f t="shared" si="144"/>
        <v>-1.2097148359667582</v>
      </c>
      <c r="BE321" s="45" t="e">
        <f t="shared" si="145"/>
        <v>#VALUE!</v>
      </c>
      <c r="BF321" s="45" t="e">
        <f t="shared" si="146"/>
        <v>#VALUE!</v>
      </c>
      <c r="BG321" s="45" t="e">
        <f t="shared" si="147"/>
        <v>#VALUE!</v>
      </c>
      <c r="BH321" s="45" t="e">
        <f t="shared" si="148"/>
        <v>#VALUE!</v>
      </c>
      <c r="BI321" s="43" t="e">
        <f t="shared" si="149"/>
        <v>#VALUE!</v>
      </c>
      <c r="BJ321" s="2" t="s">
        <v>520</v>
      </c>
      <c r="BK321" s="2" t="s">
        <v>22</v>
      </c>
      <c r="BL321" s="2" t="s">
        <v>22</v>
      </c>
      <c r="BM321" s="43" t="s">
        <v>22</v>
      </c>
      <c r="BN321" s="43" t="s">
        <v>22</v>
      </c>
      <c r="BO321" s="43" t="s">
        <v>22</v>
      </c>
      <c r="BP321" s="43" t="s">
        <v>22</v>
      </c>
      <c r="BQ321" s="43" t="s">
        <v>22</v>
      </c>
      <c r="BR321" s="43" t="s">
        <v>22</v>
      </c>
      <c r="BS321" s="2" t="s">
        <v>522</v>
      </c>
      <c r="BT321" s="2" t="s">
        <v>974</v>
      </c>
      <c r="BU321" s="43" t="s">
        <v>22</v>
      </c>
      <c r="BV321" s="43">
        <v>98800000000</v>
      </c>
      <c r="BW321" s="43" t="s">
        <v>22</v>
      </c>
      <c r="BX321" s="43" t="s">
        <v>22</v>
      </c>
      <c r="BY321" s="43" t="s">
        <v>22</v>
      </c>
      <c r="BZ321" s="43">
        <v>5</v>
      </c>
      <c r="CA321" s="43">
        <v>5</v>
      </c>
      <c r="CB321" s="2"/>
      <c r="CC321" t="s">
        <v>1008</v>
      </c>
      <c r="CE321" s="41" t="e">
        <f t="shared" ref="CE321:CE332" si="172">LOG10(BN321)</f>
        <v>#VALUE!</v>
      </c>
      <c r="CF321" s="41">
        <f t="shared" ref="CF321:CF332" si="173">LOG10(BV321)</f>
        <v>10.994756944587628</v>
      </c>
      <c r="CG321" s="41">
        <f t="shared" si="167"/>
        <v>61.7</v>
      </c>
      <c r="CH321" s="41">
        <f t="shared" si="168"/>
        <v>1.7902851640332418</v>
      </c>
      <c r="CI321" s="41">
        <f t="shared" si="169"/>
        <v>61.7</v>
      </c>
      <c r="CJ321" s="41">
        <f t="shared" si="170"/>
        <v>1.7902851640332418</v>
      </c>
      <c r="CL321" s="9" t="s">
        <v>1268</v>
      </c>
      <c r="CM321" s="18" t="s">
        <v>1285</v>
      </c>
      <c r="CN321" s="54">
        <v>0.69897000433601886</v>
      </c>
      <c r="CO321" s="18" t="s">
        <v>1286</v>
      </c>
    </row>
    <row r="322" spans="1:93" x14ac:dyDescent="0.25">
      <c r="A322" s="2" t="s">
        <v>375</v>
      </c>
      <c r="B322" s="43">
        <v>2.6932399676811204E-2</v>
      </c>
      <c r="C322" s="43" t="s">
        <v>22</v>
      </c>
      <c r="D322" s="43" t="s">
        <v>22</v>
      </c>
      <c r="E322" s="43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43" t="s">
        <v>22</v>
      </c>
      <c r="K322" s="2" t="s">
        <v>22</v>
      </c>
      <c r="L322" s="43"/>
      <c r="M322" s="2" t="s">
        <v>23</v>
      </c>
      <c r="N322" s="43" t="s">
        <v>22</v>
      </c>
      <c r="O322" s="43" t="s">
        <v>22</v>
      </c>
      <c r="P322" s="43" t="s">
        <v>22</v>
      </c>
      <c r="Q322" s="43"/>
      <c r="R322" s="43" t="s">
        <v>22</v>
      </c>
      <c r="S322" s="43" t="s">
        <v>22</v>
      </c>
      <c r="T322" s="43" t="s">
        <v>22</v>
      </c>
      <c r="U322" s="43" t="s">
        <v>22</v>
      </c>
      <c r="V322" s="2">
        <v>20200507</v>
      </c>
      <c r="W322" s="2" t="s">
        <v>821</v>
      </c>
      <c r="X322" s="2">
        <v>2007</v>
      </c>
      <c r="Y322" s="2" t="s">
        <v>1133</v>
      </c>
      <c r="Z322" s="2" t="s">
        <v>32</v>
      </c>
      <c r="AA322" s="2" t="s">
        <v>22</v>
      </c>
      <c r="AB322" s="43" t="s">
        <v>22</v>
      </c>
      <c r="AC322" s="2" t="s">
        <v>22</v>
      </c>
      <c r="AD322" s="43">
        <v>8.2900000000000001E-2</v>
      </c>
      <c r="AE322" s="43" t="s">
        <v>22</v>
      </c>
      <c r="AF322" s="43" t="s">
        <v>22</v>
      </c>
      <c r="AG322" s="43" t="s">
        <v>22</v>
      </c>
      <c r="AH322" s="43" t="s">
        <v>22</v>
      </c>
      <c r="AI322" s="43" t="s">
        <v>22</v>
      </c>
      <c r="AJ322" s="43" t="s">
        <v>22</v>
      </c>
      <c r="AK322" s="43" t="s">
        <v>22</v>
      </c>
      <c r="AL322" s="43" t="s">
        <v>22</v>
      </c>
      <c r="AM322" s="43" t="e">
        <f t="shared" ref="AM322:AM385" si="174">AL322/AI322</f>
        <v>#VALUE!</v>
      </c>
      <c r="AN322" s="43" t="e">
        <f t="shared" ref="AN322:AN385" si="175">AL322/AJ322</f>
        <v>#VALUE!</v>
      </c>
      <c r="AO322" s="2" t="s">
        <v>822</v>
      </c>
      <c r="AP322" s="2"/>
      <c r="AQ322" s="2"/>
      <c r="AR322" s="2"/>
      <c r="AS322" s="2"/>
      <c r="AT322" s="2">
        <f t="shared" ref="AT322:AT385" si="176">COUNTIF($AO$2:$AO$1400,AO322)</f>
        <v>12</v>
      </c>
      <c r="AU322" s="45">
        <f t="shared" ref="AU322:AU385" si="177">LOG10(B322)</f>
        <v>-1.5697249492261589</v>
      </c>
      <c r="AV322" s="45" t="e">
        <f t="shared" ref="AV322:AV385" si="178">LOG10(C322)</f>
        <v>#VALUE!</v>
      </c>
      <c r="AW322" s="45" t="e">
        <f t="shared" ref="AW322:AW385" si="179">LOG10(D322)</f>
        <v>#VALUE!</v>
      </c>
      <c r="AX322" s="45" t="e">
        <f t="shared" ref="AX322:AX385" si="180">LOG10(N322)</f>
        <v>#VALUE!</v>
      </c>
      <c r="AY322" s="45" t="e">
        <f t="shared" ref="AY322:AY385" si="181">LOG10(O322)</f>
        <v>#VALUE!</v>
      </c>
      <c r="AZ322" s="45" t="e">
        <f t="shared" ref="AZ322:AZ385" si="182">LOG10(P322)</f>
        <v>#VALUE!</v>
      </c>
      <c r="BA322" s="45" t="e">
        <f t="shared" ref="BA322:BA385" si="183">LOG10(J322)</f>
        <v>#VALUE!</v>
      </c>
      <c r="BB322" s="45" t="e">
        <f t="shared" ref="BB322:BB385" si="184">LOG10(L322)</f>
        <v>#NUM!</v>
      </c>
      <c r="BC322" s="45" t="e">
        <f t="shared" ref="BC322:BC385" si="185">LOG10(U322)</f>
        <v>#VALUE!</v>
      </c>
      <c r="BD322" s="45">
        <f t="shared" ref="BD322:BD385" si="186">LOG10(AD322)</f>
        <v>-1.0814454694497264</v>
      </c>
      <c r="BE322" s="45" t="e">
        <f t="shared" ref="BE322:BE385" si="187">LOG10(AF322)</f>
        <v>#VALUE!</v>
      </c>
      <c r="BF322" s="45" t="e">
        <f t="shared" ref="BF322:BF385" si="188">LOG10(AM322)</f>
        <v>#VALUE!</v>
      </c>
      <c r="BG322" s="45" t="e">
        <f t="shared" ref="BG322:BG385" si="189">LOG10(AN322)</f>
        <v>#VALUE!</v>
      </c>
      <c r="BH322" s="45" t="e">
        <f t="shared" ref="BH322:BH385" si="190">LOG10(AB322)</f>
        <v>#VALUE!</v>
      </c>
      <c r="BI322" s="43" t="e">
        <f t="shared" ref="BI322:BI385" si="191">LOG10(AF322)</f>
        <v>#VALUE!</v>
      </c>
      <c r="BJ322" s="2" t="s">
        <v>520</v>
      </c>
      <c r="BK322" s="2" t="s">
        <v>22</v>
      </c>
      <c r="BL322" s="2" t="s">
        <v>22</v>
      </c>
      <c r="BM322" s="43" t="s">
        <v>22</v>
      </c>
      <c r="BN322" s="43" t="s">
        <v>22</v>
      </c>
      <c r="BO322" s="43" t="s">
        <v>22</v>
      </c>
      <c r="BP322" s="43" t="s">
        <v>22</v>
      </c>
      <c r="BQ322" s="43" t="s">
        <v>22</v>
      </c>
      <c r="BR322" s="43" t="s">
        <v>22</v>
      </c>
      <c r="BS322" s="2" t="s">
        <v>522</v>
      </c>
      <c r="BT322" s="2" t="s">
        <v>974</v>
      </c>
      <c r="BU322" s="43" t="s">
        <v>22</v>
      </c>
      <c r="BV322" s="43">
        <v>34000000000</v>
      </c>
      <c r="BW322" s="43" t="s">
        <v>22</v>
      </c>
      <c r="BX322" s="43" t="s">
        <v>22</v>
      </c>
      <c r="BY322" s="43" t="s">
        <v>22</v>
      </c>
      <c r="BZ322" s="43">
        <v>5</v>
      </c>
      <c r="CA322" s="43">
        <v>5</v>
      </c>
      <c r="CB322" s="2"/>
      <c r="CC322" t="s">
        <v>1008</v>
      </c>
      <c r="CE322" s="41" t="e">
        <f t="shared" si="172"/>
        <v>#VALUE!</v>
      </c>
      <c r="CF322" s="41">
        <f t="shared" si="173"/>
        <v>10.531478917042255</v>
      </c>
      <c r="CG322" s="41">
        <f t="shared" si="167"/>
        <v>82.9</v>
      </c>
      <c r="CH322" s="41">
        <f t="shared" si="168"/>
        <v>1.9185545305502736</v>
      </c>
      <c r="CI322" s="41">
        <f t="shared" si="169"/>
        <v>82.9</v>
      </c>
      <c r="CJ322" s="41">
        <f t="shared" si="170"/>
        <v>1.9185545305502736</v>
      </c>
      <c r="CL322" s="9" t="s">
        <v>1268</v>
      </c>
      <c r="CM322" s="18" t="s">
        <v>1285</v>
      </c>
      <c r="CN322" s="54">
        <v>0.69897000433601886</v>
      </c>
      <c r="CO322" s="18" t="s">
        <v>1286</v>
      </c>
    </row>
    <row r="323" spans="1:93" x14ac:dyDescent="0.25">
      <c r="A323" s="2" t="s">
        <v>375</v>
      </c>
      <c r="B323" s="43">
        <v>1.8341892883345562E-2</v>
      </c>
      <c r="C323" s="43" t="s">
        <v>22</v>
      </c>
      <c r="D323" s="43" t="s">
        <v>22</v>
      </c>
      <c r="E323" s="43" t="s">
        <v>22</v>
      </c>
      <c r="F323" s="2" t="s">
        <v>22</v>
      </c>
      <c r="G323" s="2" t="s">
        <v>22</v>
      </c>
      <c r="H323" s="2" t="s">
        <v>22</v>
      </c>
      <c r="I323" s="2" t="s">
        <v>22</v>
      </c>
      <c r="J323" s="43" t="s">
        <v>22</v>
      </c>
      <c r="K323" s="2" t="s">
        <v>22</v>
      </c>
      <c r="L323" s="43"/>
      <c r="M323" s="2" t="s">
        <v>23</v>
      </c>
      <c r="N323" s="43" t="s">
        <v>22</v>
      </c>
      <c r="O323" s="43" t="s">
        <v>22</v>
      </c>
      <c r="P323" s="43" t="s">
        <v>22</v>
      </c>
      <c r="Q323" s="43"/>
      <c r="R323" s="43" t="s">
        <v>22</v>
      </c>
      <c r="S323" s="43" t="s">
        <v>22</v>
      </c>
      <c r="T323" s="43" t="s">
        <v>22</v>
      </c>
      <c r="U323" s="43" t="s">
        <v>22</v>
      </c>
      <c r="V323" s="2">
        <v>20200507</v>
      </c>
      <c r="W323" s="2" t="s">
        <v>821</v>
      </c>
      <c r="X323" s="2">
        <v>2007</v>
      </c>
      <c r="Y323" s="2" t="s">
        <v>1133</v>
      </c>
      <c r="Z323" s="2" t="s">
        <v>32</v>
      </c>
      <c r="AA323" s="2" t="s">
        <v>22</v>
      </c>
      <c r="AB323" s="43" t="s">
        <v>22</v>
      </c>
      <c r="AC323" s="2" t="s">
        <v>22</v>
      </c>
      <c r="AD323" s="43">
        <v>0.12479999999999999</v>
      </c>
      <c r="AE323" s="43" t="s">
        <v>22</v>
      </c>
      <c r="AF323" s="43" t="s">
        <v>22</v>
      </c>
      <c r="AG323" s="43" t="s">
        <v>22</v>
      </c>
      <c r="AH323" s="43" t="s">
        <v>22</v>
      </c>
      <c r="AI323" s="43" t="s">
        <v>22</v>
      </c>
      <c r="AJ323" s="43" t="s">
        <v>22</v>
      </c>
      <c r="AK323" s="43" t="s">
        <v>22</v>
      </c>
      <c r="AL323" s="43" t="s">
        <v>22</v>
      </c>
      <c r="AM323" s="43" t="e">
        <f t="shared" si="174"/>
        <v>#VALUE!</v>
      </c>
      <c r="AN323" s="43" t="e">
        <f t="shared" si="175"/>
        <v>#VALUE!</v>
      </c>
      <c r="AO323" s="2" t="s">
        <v>822</v>
      </c>
      <c r="AP323" s="2"/>
      <c r="AQ323" s="2"/>
      <c r="AR323" s="2"/>
      <c r="AS323" s="2"/>
      <c r="AT323" s="2">
        <f t="shared" si="176"/>
        <v>12</v>
      </c>
      <c r="AU323" s="45">
        <f t="shared" si="177"/>
        <v>-1.7365558471626359</v>
      </c>
      <c r="AV323" s="45" t="e">
        <f t="shared" si="178"/>
        <v>#VALUE!</v>
      </c>
      <c r="AW323" s="45" t="e">
        <f t="shared" si="179"/>
        <v>#VALUE!</v>
      </c>
      <c r="AX323" s="45" t="e">
        <f t="shared" si="180"/>
        <v>#VALUE!</v>
      </c>
      <c r="AY323" s="45" t="e">
        <f t="shared" si="181"/>
        <v>#VALUE!</v>
      </c>
      <c r="AZ323" s="45" t="e">
        <f t="shared" si="182"/>
        <v>#VALUE!</v>
      </c>
      <c r="BA323" s="45" t="e">
        <f t="shared" si="183"/>
        <v>#VALUE!</v>
      </c>
      <c r="BB323" s="45" t="e">
        <f t="shared" si="184"/>
        <v>#NUM!</v>
      </c>
      <c r="BC323" s="45" t="e">
        <f t="shared" si="185"/>
        <v>#VALUE!</v>
      </c>
      <c r="BD323" s="45">
        <f t="shared" si="186"/>
        <v>-0.90378541465359485</v>
      </c>
      <c r="BE323" s="45" t="e">
        <f t="shared" si="187"/>
        <v>#VALUE!</v>
      </c>
      <c r="BF323" s="45" t="e">
        <f t="shared" si="188"/>
        <v>#VALUE!</v>
      </c>
      <c r="BG323" s="45" t="e">
        <f t="shared" si="189"/>
        <v>#VALUE!</v>
      </c>
      <c r="BH323" s="45" t="e">
        <f t="shared" si="190"/>
        <v>#VALUE!</v>
      </c>
      <c r="BI323" s="43" t="e">
        <f t="shared" si="191"/>
        <v>#VALUE!</v>
      </c>
      <c r="BJ323" s="2" t="s">
        <v>520</v>
      </c>
      <c r="BK323" s="2" t="s">
        <v>22</v>
      </c>
      <c r="BL323" s="2" t="s">
        <v>22</v>
      </c>
      <c r="BM323" s="43" t="s">
        <v>22</v>
      </c>
      <c r="BN323" s="43" t="s">
        <v>22</v>
      </c>
      <c r="BO323" s="43" t="s">
        <v>22</v>
      </c>
      <c r="BP323" s="43" t="s">
        <v>22</v>
      </c>
      <c r="BQ323" s="43" t="s">
        <v>22</v>
      </c>
      <c r="BR323" s="43" t="s">
        <v>22</v>
      </c>
      <c r="BS323" s="2" t="s">
        <v>522</v>
      </c>
      <c r="BT323" s="2" t="s">
        <v>974</v>
      </c>
      <c r="BU323" s="43" t="s">
        <v>22</v>
      </c>
      <c r="BV323" s="43">
        <v>13000000000</v>
      </c>
      <c r="BW323" s="43" t="s">
        <v>22</v>
      </c>
      <c r="BX323" s="43" t="s">
        <v>22</v>
      </c>
      <c r="BY323" s="43" t="s">
        <v>22</v>
      </c>
      <c r="BZ323" s="43">
        <v>5</v>
      </c>
      <c r="CA323" s="43">
        <v>5</v>
      </c>
      <c r="CB323" s="2"/>
      <c r="CC323" t="s">
        <v>1008</v>
      </c>
      <c r="CE323" s="41" t="e">
        <f t="shared" si="172"/>
        <v>#VALUE!</v>
      </c>
      <c r="CF323" s="41">
        <f t="shared" si="173"/>
        <v>10.113943352306837</v>
      </c>
      <c r="CG323" s="41">
        <f t="shared" si="167"/>
        <v>124.8</v>
      </c>
      <c r="CH323" s="41">
        <f t="shared" si="168"/>
        <v>2.0962145853464054</v>
      </c>
      <c r="CI323" s="41">
        <f t="shared" si="169"/>
        <v>124.8</v>
      </c>
      <c r="CJ323" s="41">
        <f t="shared" si="170"/>
        <v>2.0962145853464054</v>
      </c>
      <c r="CL323" s="9" t="s">
        <v>1268</v>
      </c>
      <c r="CM323" s="18" t="s">
        <v>1285</v>
      </c>
      <c r="CN323" s="54">
        <v>0.69897000433601886</v>
      </c>
      <c r="CO323" s="18" t="s">
        <v>1286</v>
      </c>
    </row>
    <row r="324" spans="1:93" x14ac:dyDescent="0.25">
      <c r="A324" s="2" t="s">
        <v>375</v>
      </c>
      <c r="B324" s="43">
        <v>4.0355125100887811E-2</v>
      </c>
      <c r="C324" s="43" t="s">
        <v>22</v>
      </c>
      <c r="D324" s="43" t="s">
        <v>22</v>
      </c>
      <c r="E324" s="43" t="s">
        <v>22</v>
      </c>
      <c r="F324" s="2" t="s">
        <v>22</v>
      </c>
      <c r="G324" s="2" t="s">
        <v>22</v>
      </c>
      <c r="H324" s="2" t="s">
        <v>22</v>
      </c>
      <c r="I324" s="2" t="s">
        <v>22</v>
      </c>
      <c r="J324" s="43" t="s">
        <v>22</v>
      </c>
      <c r="K324" s="2" t="s">
        <v>22</v>
      </c>
      <c r="L324" s="43"/>
      <c r="M324" s="2" t="s">
        <v>23</v>
      </c>
      <c r="N324" s="43" t="s">
        <v>22</v>
      </c>
      <c r="O324" s="43" t="s">
        <v>22</v>
      </c>
      <c r="P324" s="43" t="s">
        <v>22</v>
      </c>
      <c r="Q324" s="43"/>
      <c r="R324" s="43" t="s">
        <v>22</v>
      </c>
      <c r="S324" s="43" t="s">
        <v>22</v>
      </c>
      <c r="T324" s="43" t="s">
        <v>22</v>
      </c>
      <c r="U324" s="43" t="s">
        <v>22</v>
      </c>
      <c r="V324" s="2">
        <v>20200507</v>
      </c>
      <c r="W324" s="2" t="s">
        <v>821</v>
      </c>
      <c r="X324" s="2">
        <v>2007</v>
      </c>
      <c r="Y324" s="2" t="s">
        <v>1133</v>
      </c>
      <c r="Z324" s="2" t="s">
        <v>32</v>
      </c>
      <c r="AA324" s="2" t="s">
        <v>22</v>
      </c>
      <c r="AB324" s="43" t="s">
        <v>22</v>
      </c>
      <c r="AC324" s="2" t="s">
        <v>22</v>
      </c>
      <c r="AD324" s="43">
        <v>0.1399</v>
      </c>
      <c r="AE324" s="43" t="s">
        <v>22</v>
      </c>
      <c r="AF324" s="43" t="s">
        <v>22</v>
      </c>
      <c r="AG324" s="43" t="s">
        <v>22</v>
      </c>
      <c r="AH324" s="43" t="s">
        <v>22</v>
      </c>
      <c r="AI324" s="43" t="s">
        <v>22</v>
      </c>
      <c r="AJ324" s="43" t="s">
        <v>22</v>
      </c>
      <c r="AK324" s="43" t="s">
        <v>22</v>
      </c>
      <c r="AL324" s="43" t="s">
        <v>22</v>
      </c>
      <c r="AM324" s="43" t="e">
        <f t="shared" si="174"/>
        <v>#VALUE!</v>
      </c>
      <c r="AN324" s="43" t="e">
        <f t="shared" si="175"/>
        <v>#VALUE!</v>
      </c>
      <c r="AO324" s="2" t="s">
        <v>822</v>
      </c>
      <c r="AP324" s="2"/>
      <c r="AQ324" s="2"/>
      <c r="AR324" s="2"/>
      <c r="AS324" s="2"/>
      <c r="AT324" s="2">
        <f t="shared" si="176"/>
        <v>12</v>
      </c>
      <c r="AU324" s="45">
        <f t="shared" si="177"/>
        <v>-1.3941013020400446</v>
      </c>
      <c r="AV324" s="45" t="e">
        <f t="shared" si="178"/>
        <v>#VALUE!</v>
      </c>
      <c r="AW324" s="45" t="e">
        <f t="shared" si="179"/>
        <v>#VALUE!</v>
      </c>
      <c r="AX324" s="45" t="e">
        <f t="shared" si="180"/>
        <v>#VALUE!</v>
      </c>
      <c r="AY324" s="45" t="e">
        <f t="shared" si="181"/>
        <v>#VALUE!</v>
      </c>
      <c r="AZ324" s="45" t="e">
        <f t="shared" si="182"/>
        <v>#VALUE!</v>
      </c>
      <c r="BA324" s="45" t="e">
        <f t="shared" si="183"/>
        <v>#VALUE!</v>
      </c>
      <c r="BB324" s="45" t="e">
        <f t="shared" si="184"/>
        <v>#NUM!</v>
      </c>
      <c r="BC324" s="45" t="e">
        <f t="shared" si="185"/>
        <v>#VALUE!</v>
      </c>
      <c r="BD324" s="45">
        <f t="shared" si="186"/>
        <v>-0.85418228550817243</v>
      </c>
      <c r="BE324" s="45" t="e">
        <f t="shared" si="187"/>
        <v>#VALUE!</v>
      </c>
      <c r="BF324" s="45" t="e">
        <f t="shared" si="188"/>
        <v>#VALUE!</v>
      </c>
      <c r="BG324" s="45" t="e">
        <f t="shared" si="189"/>
        <v>#VALUE!</v>
      </c>
      <c r="BH324" s="45" t="e">
        <f t="shared" si="190"/>
        <v>#VALUE!</v>
      </c>
      <c r="BI324" s="43" t="e">
        <f t="shared" si="191"/>
        <v>#VALUE!</v>
      </c>
      <c r="BJ324" s="2" t="s">
        <v>520</v>
      </c>
      <c r="BK324" s="2" t="s">
        <v>22</v>
      </c>
      <c r="BL324" s="2" t="s">
        <v>22</v>
      </c>
      <c r="BM324" s="43" t="s">
        <v>22</v>
      </c>
      <c r="BN324" s="43" t="s">
        <v>22</v>
      </c>
      <c r="BO324" s="43" t="s">
        <v>22</v>
      </c>
      <c r="BP324" s="43" t="s">
        <v>22</v>
      </c>
      <c r="BQ324" s="43" t="s">
        <v>22</v>
      </c>
      <c r="BR324" s="43" t="s">
        <v>22</v>
      </c>
      <c r="BS324" s="2" t="s">
        <v>522</v>
      </c>
      <c r="BT324" s="2" t="s">
        <v>974</v>
      </c>
      <c r="BU324" s="43" t="s">
        <v>22</v>
      </c>
      <c r="BV324" s="43">
        <v>18000000000</v>
      </c>
      <c r="BW324" s="43" t="s">
        <v>22</v>
      </c>
      <c r="BX324" s="43" t="s">
        <v>22</v>
      </c>
      <c r="BY324" s="43" t="s">
        <v>22</v>
      </c>
      <c r="BZ324" s="43">
        <v>5</v>
      </c>
      <c r="CA324" s="43">
        <v>5</v>
      </c>
      <c r="CB324" s="2"/>
      <c r="CC324" t="s">
        <v>1008</v>
      </c>
      <c r="CE324" s="41" t="e">
        <f t="shared" si="172"/>
        <v>#VALUE!</v>
      </c>
      <c r="CF324" s="41">
        <f t="shared" si="173"/>
        <v>10.255272505103306</v>
      </c>
      <c r="CG324" s="41">
        <f t="shared" si="167"/>
        <v>139.9</v>
      </c>
      <c r="CH324" s="41">
        <f t="shared" si="168"/>
        <v>2.1458177144918276</v>
      </c>
      <c r="CI324" s="41">
        <f t="shared" si="169"/>
        <v>139.9</v>
      </c>
      <c r="CJ324" s="41">
        <f t="shared" si="170"/>
        <v>2.1458177144918276</v>
      </c>
      <c r="CL324" s="9" t="s">
        <v>1268</v>
      </c>
      <c r="CM324" s="18" t="s">
        <v>1285</v>
      </c>
      <c r="CN324" s="54">
        <v>0.69897000433601886</v>
      </c>
      <c r="CO324" s="18" t="s">
        <v>1286</v>
      </c>
    </row>
    <row r="325" spans="1:93" x14ac:dyDescent="0.25">
      <c r="A325" s="2" t="s">
        <v>375</v>
      </c>
      <c r="B325" s="43">
        <v>7.1638369510709935E-3</v>
      </c>
      <c r="C325" s="43" t="s">
        <v>22</v>
      </c>
      <c r="D325" s="43" t="s">
        <v>22</v>
      </c>
      <c r="E325" s="43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43" t="s">
        <v>22</v>
      </c>
      <c r="K325" s="2" t="s">
        <v>22</v>
      </c>
      <c r="L325" s="43"/>
      <c r="M325" s="2" t="s">
        <v>23</v>
      </c>
      <c r="N325" s="43" t="s">
        <v>22</v>
      </c>
      <c r="O325" s="43" t="s">
        <v>22</v>
      </c>
      <c r="P325" s="43" t="s">
        <v>22</v>
      </c>
      <c r="Q325" s="43"/>
      <c r="R325" s="43" t="s">
        <v>22</v>
      </c>
      <c r="S325" s="43" t="s">
        <v>22</v>
      </c>
      <c r="T325" s="43" t="s">
        <v>22</v>
      </c>
      <c r="U325" s="43" t="s">
        <v>22</v>
      </c>
      <c r="V325" s="2">
        <v>20200507</v>
      </c>
      <c r="W325" s="2" t="s">
        <v>821</v>
      </c>
      <c r="X325" s="2">
        <v>2007</v>
      </c>
      <c r="Y325" s="2" t="s">
        <v>1133</v>
      </c>
      <c r="Z325" s="2" t="s">
        <v>32</v>
      </c>
      <c r="AA325" s="2" t="s">
        <v>22</v>
      </c>
      <c r="AB325" s="43" t="s">
        <v>22</v>
      </c>
      <c r="AC325" s="2" t="s">
        <v>22</v>
      </c>
      <c r="AD325" s="43">
        <v>0.15010000000000001</v>
      </c>
      <c r="AE325" s="43" t="s">
        <v>22</v>
      </c>
      <c r="AF325" s="43" t="s">
        <v>22</v>
      </c>
      <c r="AG325" s="43" t="s">
        <v>22</v>
      </c>
      <c r="AH325" s="43" t="s">
        <v>22</v>
      </c>
      <c r="AI325" s="43" t="s">
        <v>22</v>
      </c>
      <c r="AJ325" s="43" t="s">
        <v>22</v>
      </c>
      <c r="AK325" s="43" t="s">
        <v>22</v>
      </c>
      <c r="AL325" s="43" t="s">
        <v>22</v>
      </c>
      <c r="AM325" s="43" t="e">
        <f t="shared" si="174"/>
        <v>#VALUE!</v>
      </c>
      <c r="AN325" s="43" t="e">
        <f t="shared" si="175"/>
        <v>#VALUE!</v>
      </c>
      <c r="AO325" s="2" t="s">
        <v>822</v>
      </c>
      <c r="AP325" s="2"/>
      <c r="AQ325" s="2"/>
      <c r="AR325" s="2"/>
      <c r="AS325" s="2"/>
      <c r="AT325" s="2">
        <f t="shared" si="176"/>
        <v>12</v>
      </c>
      <c r="AU325" s="45">
        <f t="shared" si="177"/>
        <v>-2.1448543072529298</v>
      </c>
      <c r="AV325" s="45" t="e">
        <f t="shared" si="178"/>
        <v>#VALUE!</v>
      </c>
      <c r="AW325" s="45" t="e">
        <f t="shared" si="179"/>
        <v>#VALUE!</v>
      </c>
      <c r="AX325" s="45" t="e">
        <f t="shared" si="180"/>
        <v>#VALUE!</v>
      </c>
      <c r="AY325" s="45" t="e">
        <f t="shared" si="181"/>
        <v>#VALUE!</v>
      </c>
      <c r="AZ325" s="45" t="e">
        <f t="shared" si="182"/>
        <v>#VALUE!</v>
      </c>
      <c r="BA325" s="45" t="e">
        <f t="shared" si="183"/>
        <v>#VALUE!</v>
      </c>
      <c r="BB325" s="45" t="e">
        <f t="shared" si="184"/>
        <v>#NUM!</v>
      </c>
      <c r="BC325" s="45" t="e">
        <f t="shared" si="185"/>
        <v>#VALUE!</v>
      </c>
      <c r="BD325" s="45">
        <f t="shared" si="186"/>
        <v>-0.82361930775672954</v>
      </c>
      <c r="BE325" s="45" t="e">
        <f t="shared" si="187"/>
        <v>#VALUE!</v>
      </c>
      <c r="BF325" s="45" t="e">
        <f t="shared" si="188"/>
        <v>#VALUE!</v>
      </c>
      <c r="BG325" s="45" t="e">
        <f t="shared" si="189"/>
        <v>#VALUE!</v>
      </c>
      <c r="BH325" s="45" t="e">
        <f t="shared" si="190"/>
        <v>#VALUE!</v>
      </c>
      <c r="BI325" s="43" t="e">
        <f t="shared" si="191"/>
        <v>#VALUE!</v>
      </c>
      <c r="BJ325" s="2" t="s">
        <v>520</v>
      </c>
      <c r="BK325" s="2" t="s">
        <v>22</v>
      </c>
      <c r="BL325" s="2" t="s">
        <v>22</v>
      </c>
      <c r="BM325" s="43" t="s">
        <v>22</v>
      </c>
      <c r="BN325" s="43" t="s">
        <v>22</v>
      </c>
      <c r="BO325" s="43" t="s">
        <v>22</v>
      </c>
      <c r="BP325" s="43" t="s">
        <v>22</v>
      </c>
      <c r="BQ325" s="43" t="s">
        <v>22</v>
      </c>
      <c r="BR325" s="43" t="s">
        <v>22</v>
      </c>
      <c r="BS325" s="2" t="s">
        <v>522</v>
      </c>
      <c r="BT325" s="2" t="s">
        <v>974</v>
      </c>
      <c r="BU325" s="43" t="s">
        <v>22</v>
      </c>
      <c r="BV325" s="43">
        <v>15000000000</v>
      </c>
      <c r="BW325" s="43" t="s">
        <v>22</v>
      </c>
      <c r="BX325" s="43" t="s">
        <v>22</v>
      </c>
      <c r="BY325" s="43" t="s">
        <v>22</v>
      </c>
      <c r="BZ325" s="43">
        <v>5</v>
      </c>
      <c r="CA325" s="43">
        <v>5</v>
      </c>
      <c r="CB325" s="2"/>
      <c r="CC325" t="s">
        <v>1008</v>
      </c>
      <c r="CE325" s="41" t="e">
        <f t="shared" si="172"/>
        <v>#VALUE!</v>
      </c>
      <c r="CF325" s="41">
        <f t="shared" si="173"/>
        <v>10.176091259055681</v>
      </c>
      <c r="CG325" s="41">
        <f t="shared" si="167"/>
        <v>150.10000000000002</v>
      </c>
      <c r="CH325" s="41">
        <f t="shared" si="168"/>
        <v>2.1763806922432702</v>
      </c>
      <c r="CI325" s="41">
        <f t="shared" si="169"/>
        <v>150.10000000000002</v>
      </c>
      <c r="CJ325" s="41">
        <f t="shared" si="170"/>
        <v>2.1763806922432702</v>
      </c>
      <c r="CL325" s="9" t="s">
        <v>1268</v>
      </c>
      <c r="CM325" s="18" t="s">
        <v>1285</v>
      </c>
      <c r="CN325" s="54">
        <v>0.69897000433601886</v>
      </c>
      <c r="CO325" s="18" t="s">
        <v>1286</v>
      </c>
    </row>
    <row r="326" spans="1:93" x14ac:dyDescent="0.25">
      <c r="A326" s="2" t="s">
        <v>375</v>
      </c>
      <c r="B326" s="43">
        <v>4.2016806722689072E-2</v>
      </c>
      <c r="C326" s="43" t="s">
        <v>22</v>
      </c>
      <c r="D326" s="43" t="s">
        <v>22</v>
      </c>
      <c r="E326" s="43" t="s">
        <v>22</v>
      </c>
      <c r="F326" s="2" t="s">
        <v>22</v>
      </c>
      <c r="G326" s="2" t="s">
        <v>22</v>
      </c>
      <c r="H326" s="2" t="s">
        <v>22</v>
      </c>
      <c r="I326" s="2" t="s">
        <v>22</v>
      </c>
      <c r="J326" s="43" t="s">
        <v>22</v>
      </c>
      <c r="K326" s="2" t="s">
        <v>22</v>
      </c>
      <c r="L326" s="43"/>
      <c r="M326" s="2" t="s">
        <v>23</v>
      </c>
      <c r="N326" s="43" t="s">
        <v>22</v>
      </c>
      <c r="O326" s="43" t="s">
        <v>22</v>
      </c>
      <c r="P326" s="43" t="s">
        <v>22</v>
      </c>
      <c r="Q326" s="43"/>
      <c r="R326" s="43" t="s">
        <v>22</v>
      </c>
      <c r="S326" s="43" t="s">
        <v>22</v>
      </c>
      <c r="T326" s="43" t="s">
        <v>22</v>
      </c>
      <c r="U326" s="43" t="s">
        <v>22</v>
      </c>
      <c r="V326" s="2">
        <v>20200507</v>
      </c>
      <c r="W326" s="2" t="s">
        <v>821</v>
      </c>
      <c r="X326" s="2">
        <v>2007</v>
      </c>
      <c r="Y326" s="2" t="s">
        <v>1133</v>
      </c>
      <c r="Z326" s="2" t="s">
        <v>32</v>
      </c>
      <c r="AA326" s="2" t="s">
        <v>22</v>
      </c>
      <c r="AB326" s="43" t="s">
        <v>22</v>
      </c>
      <c r="AC326" s="2" t="s">
        <v>22</v>
      </c>
      <c r="AD326" s="43">
        <v>0.15680000000000002</v>
      </c>
      <c r="AE326" s="43" t="s">
        <v>22</v>
      </c>
      <c r="AF326" s="43" t="s">
        <v>22</v>
      </c>
      <c r="AG326" s="43" t="s">
        <v>22</v>
      </c>
      <c r="AH326" s="43" t="s">
        <v>22</v>
      </c>
      <c r="AI326" s="43" t="s">
        <v>22</v>
      </c>
      <c r="AJ326" s="43" t="s">
        <v>22</v>
      </c>
      <c r="AK326" s="43" t="s">
        <v>22</v>
      </c>
      <c r="AL326" s="43" t="s">
        <v>22</v>
      </c>
      <c r="AM326" s="43" t="e">
        <f t="shared" si="174"/>
        <v>#VALUE!</v>
      </c>
      <c r="AN326" s="43" t="e">
        <f t="shared" si="175"/>
        <v>#VALUE!</v>
      </c>
      <c r="AO326" s="2" t="s">
        <v>822</v>
      </c>
      <c r="AP326" s="2"/>
      <c r="AQ326" s="2"/>
      <c r="AR326" s="2"/>
      <c r="AS326" s="2"/>
      <c r="AT326" s="2">
        <f t="shared" si="176"/>
        <v>12</v>
      </c>
      <c r="AU326" s="45">
        <f t="shared" si="177"/>
        <v>-1.3765769570565121</v>
      </c>
      <c r="AV326" s="45" t="e">
        <f t="shared" si="178"/>
        <v>#VALUE!</v>
      </c>
      <c r="AW326" s="45" t="e">
        <f t="shared" si="179"/>
        <v>#VALUE!</v>
      </c>
      <c r="AX326" s="45" t="e">
        <f t="shared" si="180"/>
        <v>#VALUE!</v>
      </c>
      <c r="AY326" s="45" t="e">
        <f t="shared" si="181"/>
        <v>#VALUE!</v>
      </c>
      <c r="AZ326" s="45" t="e">
        <f t="shared" si="182"/>
        <v>#VALUE!</v>
      </c>
      <c r="BA326" s="45" t="e">
        <f t="shared" si="183"/>
        <v>#VALUE!</v>
      </c>
      <c r="BB326" s="45" t="e">
        <f t="shared" si="184"/>
        <v>#NUM!</v>
      </c>
      <c r="BC326" s="45" t="e">
        <f t="shared" si="185"/>
        <v>#VALUE!</v>
      </c>
      <c r="BD326" s="45">
        <f t="shared" si="186"/>
        <v>-0.80465394165158033</v>
      </c>
      <c r="BE326" s="45" t="e">
        <f t="shared" si="187"/>
        <v>#VALUE!</v>
      </c>
      <c r="BF326" s="45" t="e">
        <f t="shared" si="188"/>
        <v>#VALUE!</v>
      </c>
      <c r="BG326" s="45" t="e">
        <f t="shared" si="189"/>
        <v>#VALUE!</v>
      </c>
      <c r="BH326" s="45" t="e">
        <f t="shared" si="190"/>
        <v>#VALUE!</v>
      </c>
      <c r="BI326" s="43" t="e">
        <f t="shared" si="191"/>
        <v>#VALUE!</v>
      </c>
      <c r="BJ326" s="2" t="s">
        <v>520</v>
      </c>
      <c r="BK326" s="2" t="s">
        <v>22</v>
      </c>
      <c r="BL326" s="2" t="s">
        <v>22</v>
      </c>
      <c r="BM326" s="43" t="s">
        <v>22</v>
      </c>
      <c r="BN326" s="43" t="s">
        <v>22</v>
      </c>
      <c r="BO326" s="43" t="s">
        <v>22</v>
      </c>
      <c r="BP326" s="43" t="s">
        <v>22</v>
      </c>
      <c r="BQ326" s="43" t="s">
        <v>22</v>
      </c>
      <c r="BR326" s="43" t="s">
        <v>22</v>
      </c>
      <c r="BS326" s="2" t="s">
        <v>522</v>
      </c>
      <c r="BT326" s="2" t="s">
        <v>974</v>
      </c>
      <c r="BU326" s="43" t="s">
        <v>22</v>
      </c>
      <c r="BV326" s="43">
        <v>31000000000</v>
      </c>
      <c r="BW326" s="43" t="s">
        <v>22</v>
      </c>
      <c r="BX326" s="43" t="s">
        <v>22</v>
      </c>
      <c r="BY326" s="43" t="s">
        <v>22</v>
      </c>
      <c r="BZ326" s="43">
        <v>5</v>
      </c>
      <c r="CA326" s="43">
        <v>5</v>
      </c>
      <c r="CB326" s="2"/>
      <c r="CC326" t="s">
        <v>1008</v>
      </c>
      <c r="CE326" s="41" t="e">
        <f t="shared" si="172"/>
        <v>#VALUE!</v>
      </c>
      <c r="CF326" s="41">
        <f t="shared" si="173"/>
        <v>10.491361693834273</v>
      </c>
      <c r="CG326" s="41">
        <f t="shared" si="167"/>
        <v>156.80000000000001</v>
      </c>
      <c r="CH326" s="41">
        <f t="shared" si="168"/>
        <v>2.1953460583484197</v>
      </c>
      <c r="CI326" s="41">
        <f t="shared" si="169"/>
        <v>156.80000000000001</v>
      </c>
      <c r="CJ326" s="41">
        <f t="shared" si="170"/>
        <v>2.1953460583484197</v>
      </c>
      <c r="CL326" s="9" t="s">
        <v>1268</v>
      </c>
      <c r="CM326" s="18" t="s">
        <v>1285</v>
      </c>
      <c r="CN326" s="54">
        <v>0.69897000433601886</v>
      </c>
      <c r="CO326" s="18" t="s">
        <v>1286</v>
      </c>
    </row>
    <row r="327" spans="1:93" x14ac:dyDescent="0.25">
      <c r="A327" s="2" t="s">
        <v>375</v>
      </c>
      <c r="B327" s="43">
        <v>2.5866528711846873E-2</v>
      </c>
      <c r="C327" s="43" t="s">
        <v>22</v>
      </c>
      <c r="D327" s="43" t="s">
        <v>22</v>
      </c>
      <c r="E327" s="43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43" t="s">
        <v>22</v>
      </c>
      <c r="K327" s="2" t="s">
        <v>22</v>
      </c>
      <c r="L327" s="43"/>
      <c r="M327" s="2" t="s">
        <v>23</v>
      </c>
      <c r="N327" s="43" t="s">
        <v>22</v>
      </c>
      <c r="O327" s="43" t="s">
        <v>22</v>
      </c>
      <c r="P327" s="43" t="s">
        <v>22</v>
      </c>
      <c r="Q327" s="43"/>
      <c r="R327" s="43" t="s">
        <v>22</v>
      </c>
      <c r="S327" s="43" t="s">
        <v>22</v>
      </c>
      <c r="T327" s="43" t="s">
        <v>22</v>
      </c>
      <c r="U327" s="43" t="s">
        <v>22</v>
      </c>
      <c r="V327" s="2">
        <v>20200507</v>
      </c>
      <c r="W327" s="2" t="s">
        <v>821</v>
      </c>
      <c r="X327" s="2">
        <v>2007</v>
      </c>
      <c r="Y327" s="2" t="s">
        <v>1133</v>
      </c>
      <c r="Z327" s="2" t="s">
        <v>32</v>
      </c>
      <c r="AA327" s="2" t="s">
        <v>22</v>
      </c>
      <c r="AB327" s="43" t="s">
        <v>22</v>
      </c>
      <c r="AC327" s="2" t="s">
        <v>22</v>
      </c>
      <c r="AD327" s="43">
        <v>0.15890000000000001</v>
      </c>
      <c r="AE327" s="43" t="s">
        <v>22</v>
      </c>
      <c r="AF327" s="43" t="s">
        <v>22</v>
      </c>
      <c r="AG327" s="43" t="s">
        <v>22</v>
      </c>
      <c r="AH327" s="43" t="s">
        <v>22</v>
      </c>
      <c r="AI327" s="43" t="s">
        <v>22</v>
      </c>
      <c r="AJ327" s="43" t="s">
        <v>22</v>
      </c>
      <c r="AK327" s="43" t="s">
        <v>22</v>
      </c>
      <c r="AL327" s="43" t="s">
        <v>22</v>
      </c>
      <c r="AM327" s="43" t="e">
        <f t="shared" si="174"/>
        <v>#VALUE!</v>
      </c>
      <c r="AN327" s="43" t="e">
        <f t="shared" si="175"/>
        <v>#VALUE!</v>
      </c>
      <c r="AO327" s="2" t="s">
        <v>822</v>
      </c>
      <c r="AP327" s="2"/>
      <c r="AQ327" s="2"/>
      <c r="AR327" s="2"/>
      <c r="AS327" s="2"/>
      <c r="AT327" s="2">
        <f t="shared" si="176"/>
        <v>12</v>
      </c>
      <c r="AU327" s="45">
        <f t="shared" si="177"/>
        <v>-1.5872618496925341</v>
      </c>
      <c r="AV327" s="45" t="e">
        <f t="shared" si="178"/>
        <v>#VALUE!</v>
      </c>
      <c r="AW327" s="45" t="e">
        <f t="shared" si="179"/>
        <v>#VALUE!</v>
      </c>
      <c r="AX327" s="45" t="e">
        <f t="shared" si="180"/>
        <v>#VALUE!</v>
      </c>
      <c r="AY327" s="45" t="e">
        <f t="shared" si="181"/>
        <v>#VALUE!</v>
      </c>
      <c r="AZ327" s="45" t="e">
        <f t="shared" si="182"/>
        <v>#VALUE!</v>
      </c>
      <c r="BA327" s="45" t="e">
        <f t="shared" si="183"/>
        <v>#VALUE!</v>
      </c>
      <c r="BB327" s="45" t="e">
        <f t="shared" si="184"/>
        <v>#NUM!</v>
      </c>
      <c r="BC327" s="45" t="e">
        <f t="shared" si="185"/>
        <v>#VALUE!</v>
      </c>
      <c r="BD327" s="45">
        <f t="shared" si="186"/>
        <v>-0.79887610279262045</v>
      </c>
      <c r="BE327" s="45" t="e">
        <f t="shared" si="187"/>
        <v>#VALUE!</v>
      </c>
      <c r="BF327" s="45" t="e">
        <f t="shared" si="188"/>
        <v>#VALUE!</v>
      </c>
      <c r="BG327" s="45" t="e">
        <f t="shared" si="189"/>
        <v>#VALUE!</v>
      </c>
      <c r="BH327" s="45" t="e">
        <f t="shared" si="190"/>
        <v>#VALUE!</v>
      </c>
      <c r="BI327" s="43" t="e">
        <f t="shared" si="191"/>
        <v>#VALUE!</v>
      </c>
      <c r="BJ327" s="2" t="s">
        <v>520</v>
      </c>
      <c r="BK327" s="2" t="s">
        <v>22</v>
      </c>
      <c r="BL327" s="2" t="s">
        <v>22</v>
      </c>
      <c r="BM327" s="43" t="s">
        <v>22</v>
      </c>
      <c r="BN327" s="43" t="s">
        <v>22</v>
      </c>
      <c r="BO327" s="43" t="s">
        <v>22</v>
      </c>
      <c r="BP327" s="43" t="s">
        <v>22</v>
      </c>
      <c r="BQ327" s="43" t="s">
        <v>22</v>
      </c>
      <c r="BR327" s="43" t="s">
        <v>22</v>
      </c>
      <c r="BS327" s="2" t="s">
        <v>522</v>
      </c>
      <c r="BT327" s="2" t="s">
        <v>974</v>
      </c>
      <c r="BU327" s="43" t="s">
        <v>22</v>
      </c>
      <c r="BV327" s="43">
        <v>22000000000</v>
      </c>
      <c r="BW327" s="43" t="s">
        <v>22</v>
      </c>
      <c r="BX327" s="43" t="s">
        <v>22</v>
      </c>
      <c r="BY327" s="43" t="s">
        <v>22</v>
      </c>
      <c r="BZ327" s="43">
        <v>5</v>
      </c>
      <c r="CA327" s="43">
        <v>5</v>
      </c>
      <c r="CB327" s="2"/>
      <c r="CC327" t="s">
        <v>1008</v>
      </c>
      <c r="CE327" s="41" t="e">
        <f t="shared" si="172"/>
        <v>#VALUE!</v>
      </c>
      <c r="CF327" s="41">
        <f t="shared" si="173"/>
        <v>10.342422680822207</v>
      </c>
      <c r="CG327" s="41">
        <f t="shared" si="167"/>
        <v>158.9</v>
      </c>
      <c r="CH327" s="41">
        <f t="shared" si="168"/>
        <v>2.2011238972073794</v>
      </c>
      <c r="CI327" s="41">
        <f t="shared" si="169"/>
        <v>158.9</v>
      </c>
      <c r="CJ327" s="41">
        <f t="shared" si="170"/>
        <v>2.2011238972073794</v>
      </c>
      <c r="CL327" s="9" t="s">
        <v>1268</v>
      </c>
      <c r="CM327" s="18" t="s">
        <v>1285</v>
      </c>
      <c r="CN327" s="54">
        <v>0.69897000433601886</v>
      </c>
      <c r="CO327" s="18" t="s">
        <v>1286</v>
      </c>
    </row>
    <row r="328" spans="1:93" x14ac:dyDescent="0.25">
      <c r="A328" s="2" t="s">
        <v>375</v>
      </c>
      <c r="B328" s="43">
        <v>5.9276822762299938E-2</v>
      </c>
      <c r="C328" s="43" t="s">
        <v>22</v>
      </c>
      <c r="D328" s="43" t="s">
        <v>22</v>
      </c>
      <c r="E328" s="43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43" t="s">
        <v>22</v>
      </c>
      <c r="K328" s="2" t="s">
        <v>22</v>
      </c>
      <c r="L328" s="43"/>
      <c r="M328" s="2" t="s">
        <v>23</v>
      </c>
      <c r="N328" s="43" t="s">
        <v>22</v>
      </c>
      <c r="O328" s="43" t="s">
        <v>22</v>
      </c>
      <c r="P328" s="43" t="s">
        <v>22</v>
      </c>
      <c r="Q328" s="43"/>
      <c r="R328" s="43" t="s">
        <v>22</v>
      </c>
      <c r="S328" s="43" t="s">
        <v>22</v>
      </c>
      <c r="T328" s="43" t="s">
        <v>22</v>
      </c>
      <c r="U328" s="43" t="s">
        <v>22</v>
      </c>
      <c r="V328" s="2">
        <v>20200507</v>
      </c>
      <c r="W328" s="2" t="s">
        <v>821</v>
      </c>
      <c r="X328" s="2">
        <v>2007</v>
      </c>
      <c r="Y328" s="2" t="s">
        <v>1133</v>
      </c>
      <c r="Z328" s="2" t="s">
        <v>32</v>
      </c>
      <c r="AA328" s="2" t="s">
        <v>22</v>
      </c>
      <c r="AB328" s="43" t="s">
        <v>22</v>
      </c>
      <c r="AC328" s="2" t="s">
        <v>22</v>
      </c>
      <c r="AD328" s="43">
        <v>0.16300000000000001</v>
      </c>
      <c r="AE328" s="43" t="s">
        <v>22</v>
      </c>
      <c r="AF328" s="43" t="s">
        <v>22</v>
      </c>
      <c r="AG328" s="43" t="s">
        <v>22</v>
      </c>
      <c r="AH328" s="43" t="s">
        <v>22</v>
      </c>
      <c r="AI328" s="43" t="s">
        <v>22</v>
      </c>
      <c r="AJ328" s="43" t="s">
        <v>22</v>
      </c>
      <c r="AK328" s="43" t="s">
        <v>22</v>
      </c>
      <c r="AL328" s="43" t="s">
        <v>22</v>
      </c>
      <c r="AM328" s="43" t="e">
        <f t="shared" si="174"/>
        <v>#VALUE!</v>
      </c>
      <c r="AN328" s="43" t="e">
        <f t="shared" si="175"/>
        <v>#VALUE!</v>
      </c>
      <c r="AO328" s="2" t="s">
        <v>822</v>
      </c>
      <c r="AP328" s="2"/>
      <c r="AQ328" s="2"/>
      <c r="AR328" s="2"/>
      <c r="AS328" s="2"/>
      <c r="AT328" s="2">
        <f t="shared" si="176"/>
        <v>12</v>
      </c>
      <c r="AU328" s="45">
        <f t="shared" si="177"/>
        <v>-1.2271150825891253</v>
      </c>
      <c r="AV328" s="45" t="e">
        <f t="shared" si="178"/>
        <v>#VALUE!</v>
      </c>
      <c r="AW328" s="45" t="e">
        <f t="shared" si="179"/>
        <v>#VALUE!</v>
      </c>
      <c r="AX328" s="45" t="e">
        <f t="shared" si="180"/>
        <v>#VALUE!</v>
      </c>
      <c r="AY328" s="45" t="e">
        <f t="shared" si="181"/>
        <v>#VALUE!</v>
      </c>
      <c r="AZ328" s="45" t="e">
        <f t="shared" si="182"/>
        <v>#VALUE!</v>
      </c>
      <c r="BA328" s="45" t="e">
        <f t="shared" si="183"/>
        <v>#VALUE!</v>
      </c>
      <c r="BB328" s="45" t="e">
        <f t="shared" si="184"/>
        <v>#NUM!</v>
      </c>
      <c r="BC328" s="45" t="e">
        <f t="shared" si="185"/>
        <v>#VALUE!</v>
      </c>
      <c r="BD328" s="45">
        <f t="shared" si="186"/>
        <v>-0.78781239559604221</v>
      </c>
      <c r="BE328" s="45" t="e">
        <f t="shared" si="187"/>
        <v>#VALUE!</v>
      </c>
      <c r="BF328" s="45" t="e">
        <f t="shared" si="188"/>
        <v>#VALUE!</v>
      </c>
      <c r="BG328" s="45" t="e">
        <f t="shared" si="189"/>
        <v>#VALUE!</v>
      </c>
      <c r="BH328" s="45" t="e">
        <f t="shared" si="190"/>
        <v>#VALUE!</v>
      </c>
      <c r="BI328" s="43" t="e">
        <f t="shared" si="191"/>
        <v>#VALUE!</v>
      </c>
      <c r="BJ328" s="2" t="s">
        <v>520</v>
      </c>
      <c r="BK328" s="2" t="s">
        <v>22</v>
      </c>
      <c r="BL328" s="2" t="s">
        <v>22</v>
      </c>
      <c r="BM328" s="43" t="s">
        <v>22</v>
      </c>
      <c r="BN328" s="43" t="s">
        <v>22</v>
      </c>
      <c r="BO328" s="43" t="s">
        <v>22</v>
      </c>
      <c r="BP328" s="43" t="s">
        <v>22</v>
      </c>
      <c r="BQ328" s="43" t="s">
        <v>22</v>
      </c>
      <c r="BR328" s="43" t="s">
        <v>22</v>
      </c>
      <c r="BS328" s="2" t="s">
        <v>522</v>
      </c>
      <c r="BT328" s="2" t="s">
        <v>974</v>
      </c>
      <c r="BU328" s="43" t="s">
        <v>22</v>
      </c>
      <c r="BV328" s="43">
        <v>29000000000</v>
      </c>
      <c r="BW328" s="43" t="s">
        <v>22</v>
      </c>
      <c r="BX328" s="43" t="s">
        <v>22</v>
      </c>
      <c r="BY328" s="43" t="s">
        <v>22</v>
      </c>
      <c r="BZ328" s="43">
        <v>5</v>
      </c>
      <c r="CA328" s="43">
        <v>5</v>
      </c>
      <c r="CB328" s="2"/>
      <c r="CC328" t="s">
        <v>1008</v>
      </c>
      <c r="CE328" s="41" t="e">
        <f t="shared" si="172"/>
        <v>#VALUE!</v>
      </c>
      <c r="CF328" s="41">
        <f t="shared" si="173"/>
        <v>10.462397997898956</v>
      </c>
      <c r="CG328" s="41">
        <f t="shared" si="167"/>
        <v>163</v>
      </c>
      <c r="CH328" s="41">
        <f t="shared" si="168"/>
        <v>2.2121876044039577</v>
      </c>
      <c r="CI328" s="41">
        <f t="shared" si="169"/>
        <v>163</v>
      </c>
      <c r="CJ328" s="41">
        <f t="shared" si="170"/>
        <v>2.2121876044039577</v>
      </c>
      <c r="CL328" s="9" t="s">
        <v>1268</v>
      </c>
      <c r="CM328" s="18" t="s">
        <v>1285</v>
      </c>
      <c r="CN328" s="54">
        <v>0.69897000433601886</v>
      </c>
      <c r="CO328" s="18" t="s">
        <v>1286</v>
      </c>
    </row>
    <row r="329" spans="1:93" x14ac:dyDescent="0.25">
      <c r="A329" s="2" t="s">
        <v>375</v>
      </c>
      <c r="B329" s="43">
        <v>4.2881646655231559E-2</v>
      </c>
      <c r="C329" s="43" t="s">
        <v>22</v>
      </c>
      <c r="D329" s="43" t="s">
        <v>22</v>
      </c>
      <c r="E329" s="43" t="s">
        <v>22</v>
      </c>
      <c r="F329" s="2" t="s">
        <v>22</v>
      </c>
      <c r="G329" s="2" t="s">
        <v>22</v>
      </c>
      <c r="H329" s="2" t="s">
        <v>22</v>
      </c>
      <c r="I329" s="2" t="s">
        <v>22</v>
      </c>
      <c r="J329" s="43" t="s">
        <v>22</v>
      </c>
      <c r="K329" s="2" t="s">
        <v>22</v>
      </c>
      <c r="L329" s="43"/>
      <c r="M329" s="2" t="s">
        <v>23</v>
      </c>
      <c r="N329" s="43" t="s">
        <v>22</v>
      </c>
      <c r="O329" s="43" t="s">
        <v>22</v>
      </c>
      <c r="P329" s="43" t="s">
        <v>22</v>
      </c>
      <c r="Q329" s="43"/>
      <c r="R329" s="43" t="s">
        <v>22</v>
      </c>
      <c r="S329" s="43" t="s">
        <v>22</v>
      </c>
      <c r="T329" s="43" t="s">
        <v>22</v>
      </c>
      <c r="U329" s="43" t="s">
        <v>22</v>
      </c>
      <c r="V329" s="2">
        <v>20200507</v>
      </c>
      <c r="W329" s="2" t="s">
        <v>821</v>
      </c>
      <c r="X329" s="2">
        <v>2007</v>
      </c>
      <c r="Y329" s="2" t="s">
        <v>1133</v>
      </c>
      <c r="Z329" s="2" t="s">
        <v>32</v>
      </c>
      <c r="AA329" s="2" t="s">
        <v>22</v>
      </c>
      <c r="AB329" s="43" t="s">
        <v>22</v>
      </c>
      <c r="AC329" s="2" t="s">
        <v>22</v>
      </c>
      <c r="AD329" s="43">
        <v>0.1673</v>
      </c>
      <c r="AE329" s="43" t="s">
        <v>22</v>
      </c>
      <c r="AF329" s="43" t="s">
        <v>22</v>
      </c>
      <c r="AG329" s="43" t="s">
        <v>22</v>
      </c>
      <c r="AH329" s="43" t="s">
        <v>22</v>
      </c>
      <c r="AI329" s="43" t="s">
        <v>22</v>
      </c>
      <c r="AJ329" s="43" t="s">
        <v>22</v>
      </c>
      <c r="AK329" s="43" t="s">
        <v>22</v>
      </c>
      <c r="AL329" s="43" t="s">
        <v>22</v>
      </c>
      <c r="AM329" s="43" t="e">
        <f t="shared" si="174"/>
        <v>#VALUE!</v>
      </c>
      <c r="AN329" s="43" t="e">
        <f t="shared" si="175"/>
        <v>#VALUE!</v>
      </c>
      <c r="AO329" s="2" t="s">
        <v>822</v>
      </c>
      <c r="AP329" s="2"/>
      <c r="AQ329" s="2"/>
      <c r="AR329" s="2"/>
      <c r="AS329" s="2"/>
      <c r="AT329" s="2">
        <f t="shared" si="176"/>
        <v>12</v>
      </c>
      <c r="AU329" s="45">
        <f t="shared" si="177"/>
        <v>-1.3677285460869766</v>
      </c>
      <c r="AV329" s="45" t="e">
        <f t="shared" si="178"/>
        <v>#VALUE!</v>
      </c>
      <c r="AW329" s="45" t="e">
        <f t="shared" si="179"/>
        <v>#VALUE!</v>
      </c>
      <c r="AX329" s="45" t="e">
        <f t="shared" si="180"/>
        <v>#VALUE!</v>
      </c>
      <c r="AY329" s="45" t="e">
        <f t="shared" si="181"/>
        <v>#VALUE!</v>
      </c>
      <c r="AZ329" s="45" t="e">
        <f t="shared" si="182"/>
        <v>#VALUE!</v>
      </c>
      <c r="BA329" s="45" t="e">
        <f t="shared" si="183"/>
        <v>#VALUE!</v>
      </c>
      <c r="BB329" s="45" t="e">
        <f t="shared" si="184"/>
        <v>#NUM!</v>
      </c>
      <c r="BC329" s="45" t="e">
        <f t="shared" si="185"/>
        <v>#VALUE!</v>
      </c>
      <c r="BD329" s="45">
        <f t="shared" si="186"/>
        <v>-0.77650405903760544</v>
      </c>
      <c r="BE329" s="45" t="e">
        <f t="shared" si="187"/>
        <v>#VALUE!</v>
      </c>
      <c r="BF329" s="45" t="e">
        <f t="shared" si="188"/>
        <v>#VALUE!</v>
      </c>
      <c r="BG329" s="45" t="e">
        <f t="shared" si="189"/>
        <v>#VALUE!</v>
      </c>
      <c r="BH329" s="45" t="e">
        <f t="shared" si="190"/>
        <v>#VALUE!</v>
      </c>
      <c r="BI329" s="43" t="e">
        <f t="shared" si="191"/>
        <v>#VALUE!</v>
      </c>
      <c r="BJ329" s="2" t="s">
        <v>520</v>
      </c>
      <c r="BK329" s="2" t="s">
        <v>22</v>
      </c>
      <c r="BL329" s="2" t="s">
        <v>22</v>
      </c>
      <c r="BM329" s="43" t="s">
        <v>22</v>
      </c>
      <c r="BN329" s="43" t="s">
        <v>22</v>
      </c>
      <c r="BO329" s="43" t="s">
        <v>22</v>
      </c>
      <c r="BP329" s="43" t="s">
        <v>22</v>
      </c>
      <c r="BQ329" s="43" t="s">
        <v>22</v>
      </c>
      <c r="BR329" s="43" t="s">
        <v>22</v>
      </c>
      <c r="BS329" s="2" t="s">
        <v>522</v>
      </c>
      <c r="BT329" s="2" t="s">
        <v>974</v>
      </c>
      <c r="BU329" s="43" t="s">
        <v>22</v>
      </c>
      <c r="BV329" s="43">
        <v>40400000000</v>
      </c>
      <c r="BW329" s="43" t="s">
        <v>22</v>
      </c>
      <c r="BX329" s="43" t="s">
        <v>22</v>
      </c>
      <c r="BY329" s="43" t="s">
        <v>22</v>
      </c>
      <c r="BZ329" s="43">
        <v>5</v>
      </c>
      <c r="CA329" s="43">
        <v>5</v>
      </c>
      <c r="CB329" s="2"/>
      <c r="CC329" t="s">
        <v>1008</v>
      </c>
      <c r="CE329" s="41" t="e">
        <f t="shared" si="172"/>
        <v>#VALUE!</v>
      </c>
      <c r="CF329" s="41">
        <f t="shared" si="173"/>
        <v>10.606381365110606</v>
      </c>
      <c r="CG329" s="41">
        <f t="shared" si="167"/>
        <v>167.3</v>
      </c>
      <c r="CH329" s="41">
        <f t="shared" si="168"/>
        <v>2.2234959409623944</v>
      </c>
      <c r="CI329" s="41">
        <f t="shared" si="169"/>
        <v>167.3</v>
      </c>
      <c r="CJ329" s="41">
        <f t="shared" si="170"/>
        <v>2.2234959409623944</v>
      </c>
      <c r="CL329" s="9" t="s">
        <v>1268</v>
      </c>
      <c r="CM329" s="18" t="s">
        <v>1285</v>
      </c>
      <c r="CN329" s="54">
        <v>0.69897000433601886</v>
      </c>
      <c r="CO329" s="18" t="s">
        <v>1286</v>
      </c>
    </row>
    <row r="330" spans="1:93" x14ac:dyDescent="0.25">
      <c r="A330" s="2" t="s">
        <v>375</v>
      </c>
      <c r="B330" s="43">
        <v>1.5288182235132244E-2</v>
      </c>
      <c r="C330" s="43" t="s">
        <v>22</v>
      </c>
      <c r="D330" s="43" t="s">
        <v>22</v>
      </c>
      <c r="E330" s="43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43" t="s">
        <v>22</v>
      </c>
      <c r="K330" s="2" t="s">
        <v>22</v>
      </c>
      <c r="L330" s="43"/>
      <c r="M330" s="2" t="s">
        <v>23</v>
      </c>
      <c r="N330" s="43" t="s">
        <v>22</v>
      </c>
      <c r="O330" s="43" t="s">
        <v>22</v>
      </c>
      <c r="P330" s="43" t="s">
        <v>22</v>
      </c>
      <c r="Q330" s="43"/>
      <c r="R330" s="43" t="s">
        <v>22</v>
      </c>
      <c r="S330" s="43" t="s">
        <v>22</v>
      </c>
      <c r="T330" s="43" t="s">
        <v>22</v>
      </c>
      <c r="U330" s="43" t="s">
        <v>22</v>
      </c>
      <c r="V330" s="2">
        <v>20200507</v>
      </c>
      <c r="W330" s="2" t="s">
        <v>821</v>
      </c>
      <c r="X330" s="2">
        <v>2007</v>
      </c>
      <c r="Y330" s="2" t="s">
        <v>1133</v>
      </c>
      <c r="Z330" s="2" t="s">
        <v>32</v>
      </c>
      <c r="AA330" s="2" t="s">
        <v>22</v>
      </c>
      <c r="AB330" s="43" t="s">
        <v>22</v>
      </c>
      <c r="AC330" s="2" t="s">
        <v>22</v>
      </c>
      <c r="AD330" s="43">
        <v>0.19</v>
      </c>
      <c r="AE330" s="43" t="s">
        <v>22</v>
      </c>
      <c r="AF330" s="43" t="s">
        <v>22</v>
      </c>
      <c r="AG330" s="43" t="s">
        <v>22</v>
      </c>
      <c r="AH330" s="43" t="s">
        <v>22</v>
      </c>
      <c r="AI330" s="43" t="s">
        <v>22</v>
      </c>
      <c r="AJ330" s="43" t="s">
        <v>22</v>
      </c>
      <c r="AK330" s="43" t="s">
        <v>22</v>
      </c>
      <c r="AL330" s="43" t="s">
        <v>22</v>
      </c>
      <c r="AM330" s="43" t="e">
        <f t="shared" si="174"/>
        <v>#VALUE!</v>
      </c>
      <c r="AN330" s="43" t="e">
        <f t="shared" si="175"/>
        <v>#VALUE!</v>
      </c>
      <c r="AO330" s="2" t="s">
        <v>822</v>
      </c>
      <c r="AP330" s="2"/>
      <c r="AQ330" s="2"/>
      <c r="AR330" s="2"/>
      <c r="AS330" s="2"/>
      <c r="AT330" s="2">
        <f t="shared" si="176"/>
        <v>12</v>
      </c>
      <c r="AU330" s="45">
        <f t="shared" si="177"/>
        <v>-1.8156441491319653</v>
      </c>
      <c r="AV330" s="45" t="e">
        <f t="shared" si="178"/>
        <v>#VALUE!</v>
      </c>
      <c r="AW330" s="45" t="e">
        <f t="shared" si="179"/>
        <v>#VALUE!</v>
      </c>
      <c r="AX330" s="45" t="e">
        <f t="shared" si="180"/>
        <v>#VALUE!</v>
      </c>
      <c r="AY330" s="45" t="e">
        <f t="shared" si="181"/>
        <v>#VALUE!</v>
      </c>
      <c r="AZ330" s="45" t="e">
        <f t="shared" si="182"/>
        <v>#VALUE!</v>
      </c>
      <c r="BA330" s="45" t="e">
        <f t="shared" si="183"/>
        <v>#VALUE!</v>
      </c>
      <c r="BB330" s="45" t="e">
        <f t="shared" si="184"/>
        <v>#NUM!</v>
      </c>
      <c r="BC330" s="45" t="e">
        <f t="shared" si="185"/>
        <v>#VALUE!</v>
      </c>
      <c r="BD330" s="45">
        <f t="shared" si="186"/>
        <v>-0.72124639904717103</v>
      </c>
      <c r="BE330" s="45" t="e">
        <f t="shared" si="187"/>
        <v>#VALUE!</v>
      </c>
      <c r="BF330" s="45" t="e">
        <f t="shared" si="188"/>
        <v>#VALUE!</v>
      </c>
      <c r="BG330" s="45" t="e">
        <f t="shared" si="189"/>
        <v>#VALUE!</v>
      </c>
      <c r="BH330" s="45" t="e">
        <f t="shared" si="190"/>
        <v>#VALUE!</v>
      </c>
      <c r="BI330" s="43" t="e">
        <f t="shared" si="191"/>
        <v>#VALUE!</v>
      </c>
      <c r="BJ330" s="2" t="s">
        <v>520</v>
      </c>
      <c r="BK330" s="2" t="s">
        <v>22</v>
      </c>
      <c r="BL330" s="2" t="s">
        <v>22</v>
      </c>
      <c r="BM330" s="43" t="s">
        <v>22</v>
      </c>
      <c r="BN330" s="43" t="s">
        <v>22</v>
      </c>
      <c r="BO330" s="43" t="s">
        <v>22</v>
      </c>
      <c r="BP330" s="43" t="s">
        <v>22</v>
      </c>
      <c r="BQ330" s="43" t="s">
        <v>22</v>
      </c>
      <c r="BR330" s="43" t="s">
        <v>22</v>
      </c>
      <c r="BS330" s="2" t="s">
        <v>522</v>
      </c>
      <c r="BT330" s="2" t="s">
        <v>974</v>
      </c>
      <c r="BU330" s="43" t="s">
        <v>22</v>
      </c>
      <c r="BV330" s="43">
        <v>11000000000</v>
      </c>
      <c r="BW330" s="43" t="s">
        <v>22</v>
      </c>
      <c r="BX330" s="43" t="s">
        <v>22</v>
      </c>
      <c r="BY330" s="43" t="s">
        <v>22</v>
      </c>
      <c r="BZ330" s="43">
        <v>5</v>
      </c>
      <c r="CA330" s="43">
        <v>5</v>
      </c>
      <c r="CB330" s="2"/>
      <c r="CC330" t="s">
        <v>1008</v>
      </c>
      <c r="CE330" s="41" t="e">
        <f t="shared" si="172"/>
        <v>#VALUE!</v>
      </c>
      <c r="CF330" s="41">
        <f t="shared" si="173"/>
        <v>10.041392685158225</v>
      </c>
      <c r="CG330" s="41">
        <f t="shared" si="167"/>
        <v>190</v>
      </c>
      <c r="CH330" s="41">
        <f t="shared" si="168"/>
        <v>2.2787536009528289</v>
      </c>
      <c r="CI330" s="41">
        <f t="shared" si="169"/>
        <v>190</v>
      </c>
      <c r="CJ330" s="41">
        <f t="shared" si="170"/>
        <v>2.2787536009528289</v>
      </c>
      <c r="CL330" s="9" t="s">
        <v>1268</v>
      </c>
      <c r="CM330" s="18" t="s">
        <v>1285</v>
      </c>
      <c r="CN330" s="54">
        <v>0.69897000433601886</v>
      </c>
      <c r="CO330" s="18" t="s">
        <v>1286</v>
      </c>
    </row>
    <row r="331" spans="1:93" x14ac:dyDescent="0.25">
      <c r="A331" s="2" t="s">
        <v>375</v>
      </c>
      <c r="B331" s="43">
        <v>0.19960079840319361</v>
      </c>
      <c r="C331" s="43" t="s">
        <v>22</v>
      </c>
      <c r="D331" s="43" t="s">
        <v>22</v>
      </c>
      <c r="E331" s="43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43" t="s">
        <v>22</v>
      </c>
      <c r="K331" s="2" t="s">
        <v>22</v>
      </c>
      <c r="L331" s="43"/>
      <c r="M331" s="2" t="s">
        <v>23</v>
      </c>
      <c r="N331" s="43" t="s">
        <v>22</v>
      </c>
      <c r="O331" s="43" t="s">
        <v>22</v>
      </c>
      <c r="P331" s="43" t="s">
        <v>22</v>
      </c>
      <c r="Q331" s="43"/>
      <c r="R331" s="43" t="s">
        <v>22</v>
      </c>
      <c r="S331" s="43" t="s">
        <v>22</v>
      </c>
      <c r="T331" s="43" t="s">
        <v>22</v>
      </c>
      <c r="U331" s="43" t="s">
        <v>22</v>
      </c>
      <c r="V331" s="2">
        <v>20200507</v>
      </c>
      <c r="W331" s="2" t="s">
        <v>821</v>
      </c>
      <c r="X331" s="2">
        <v>2007</v>
      </c>
      <c r="Y331" s="2" t="s">
        <v>1133</v>
      </c>
      <c r="Z331" s="2" t="s">
        <v>32</v>
      </c>
      <c r="AA331" s="2" t="s">
        <v>22</v>
      </c>
      <c r="AB331" s="43" t="s">
        <v>22</v>
      </c>
      <c r="AC331" s="2" t="s">
        <v>22</v>
      </c>
      <c r="AD331" s="43">
        <v>0.19569999999999999</v>
      </c>
      <c r="AE331" s="43" t="s">
        <v>22</v>
      </c>
      <c r="AF331" s="43" t="s">
        <v>22</v>
      </c>
      <c r="AG331" s="43" t="s">
        <v>22</v>
      </c>
      <c r="AH331" s="43" t="s">
        <v>22</v>
      </c>
      <c r="AI331" s="43" t="s">
        <v>22</v>
      </c>
      <c r="AJ331" s="43" t="s">
        <v>22</v>
      </c>
      <c r="AK331" s="43" t="s">
        <v>22</v>
      </c>
      <c r="AL331" s="43" t="s">
        <v>22</v>
      </c>
      <c r="AM331" s="43" t="e">
        <f t="shared" si="174"/>
        <v>#VALUE!</v>
      </c>
      <c r="AN331" s="43" t="e">
        <f t="shared" si="175"/>
        <v>#VALUE!</v>
      </c>
      <c r="AO331" s="2" t="s">
        <v>822</v>
      </c>
      <c r="AP331" s="2"/>
      <c r="AQ331" s="2"/>
      <c r="AR331" s="2"/>
      <c r="AS331" s="2"/>
      <c r="AT331" s="2">
        <f t="shared" si="176"/>
        <v>12</v>
      </c>
      <c r="AU331" s="45">
        <f t="shared" si="177"/>
        <v>-0.69983772586724569</v>
      </c>
      <c r="AV331" s="45" t="e">
        <f t="shared" si="178"/>
        <v>#VALUE!</v>
      </c>
      <c r="AW331" s="45" t="e">
        <f t="shared" si="179"/>
        <v>#VALUE!</v>
      </c>
      <c r="AX331" s="45" t="e">
        <f t="shared" si="180"/>
        <v>#VALUE!</v>
      </c>
      <c r="AY331" s="45" t="e">
        <f t="shared" si="181"/>
        <v>#VALUE!</v>
      </c>
      <c r="AZ331" s="45" t="e">
        <f t="shared" si="182"/>
        <v>#VALUE!</v>
      </c>
      <c r="BA331" s="45" t="e">
        <f t="shared" si="183"/>
        <v>#VALUE!</v>
      </c>
      <c r="BB331" s="45" t="e">
        <f t="shared" si="184"/>
        <v>#NUM!</v>
      </c>
      <c r="BC331" s="45" t="e">
        <f t="shared" si="185"/>
        <v>#VALUE!</v>
      </c>
      <c r="BD331" s="45">
        <f t="shared" si="186"/>
        <v>-0.7084091743419989</v>
      </c>
      <c r="BE331" s="45" t="e">
        <f t="shared" si="187"/>
        <v>#VALUE!</v>
      </c>
      <c r="BF331" s="45" t="e">
        <f t="shared" si="188"/>
        <v>#VALUE!</v>
      </c>
      <c r="BG331" s="45" t="e">
        <f t="shared" si="189"/>
        <v>#VALUE!</v>
      </c>
      <c r="BH331" s="45" t="e">
        <f t="shared" si="190"/>
        <v>#VALUE!</v>
      </c>
      <c r="BI331" s="43" t="e">
        <f t="shared" si="191"/>
        <v>#VALUE!</v>
      </c>
      <c r="BJ331" s="2" t="s">
        <v>520</v>
      </c>
      <c r="BK331" s="2" t="s">
        <v>22</v>
      </c>
      <c r="BL331" s="2" t="s">
        <v>22</v>
      </c>
      <c r="BM331" s="43" t="s">
        <v>22</v>
      </c>
      <c r="BN331" s="43" t="s">
        <v>22</v>
      </c>
      <c r="BO331" s="43" t="s">
        <v>22</v>
      </c>
      <c r="BP331" s="43" t="s">
        <v>22</v>
      </c>
      <c r="BQ331" s="43" t="s">
        <v>22</v>
      </c>
      <c r="BR331" s="43" t="s">
        <v>22</v>
      </c>
      <c r="BS331" s="2" t="s">
        <v>522</v>
      </c>
      <c r="BT331" s="2" t="s">
        <v>974</v>
      </c>
      <c r="BU331" s="43" t="s">
        <v>22</v>
      </c>
      <c r="BV331" s="43">
        <v>99200000000</v>
      </c>
      <c r="BW331" s="43" t="s">
        <v>22</v>
      </c>
      <c r="BX331" s="43" t="s">
        <v>22</v>
      </c>
      <c r="BY331" s="43" t="s">
        <v>22</v>
      </c>
      <c r="BZ331" s="43">
        <v>5</v>
      </c>
      <c r="CA331" s="43">
        <v>5</v>
      </c>
      <c r="CB331" s="2"/>
      <c r="CC331" t="s">
        <v>1008</v>
      </c>
      <c r="CE331" s="41" t="e">
        <f t="shared" si="172"/>
        <v>#VALUE!</v>
      </c>
      <c r="CF331" s="41">
        <f t="shared" si="173"/>
        <v>10.996511672154179</v>
      </c>
      <c r="CG331" s="41">
        <f t="shared" si="167"/>
        <v>195.7</v>
      </c>
      <c r="CH331" s="41">
        <f t="shared" si="168"/>
        <v>2.2915908256580013</v>
      </c>
      <c r="CI331" s="41">
        <f t="shared" si="169"/>
        <v>195.7</v>
      </c>
      <c r="CJ331" s="41">
        <f t="shared" si="170"/>
        <v>2.2915908256580013</v>
      </c>
      <c r="CL331" s="9" t="s">
        <v>1268</v>
      </c>
      <c r="CM331" s="18" t="s">
        <v>1285</v>
      </c>
      <c r="CN331" s="54">
        <v>0.69897000433601886</v>
      </c>
      <c r="CO331" s="18" t="s">
        <v>1286</v>
      </c>
    </row>
    <row r="332" spans="1:93" x14ac:dyDescent="0.25">
      <c r="A332" s="2" t="s">
        <v>375</v>
      </c>
      <c r="B332" s="43">
        <v>7.2568940493468792E-2</v>
      </c>
      <c r="C332" s="43" t="s">
        <v>22</v>
      </c>
      <c r="D332" s="43" t="s">
        <v>22</v>
      </c>
      <c r="E332" s="43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43" t="s">
        <v>22</v>
      </c>
      <c r="K332" s="2" t="s">
        <v>22</v>
      </c>
      <c r="L332" s="43"/>
      <c r="M332" s="2" t="s">
        <v>23</v>
      </c>
      <c r="N332" s="43" t="s">
        <v>22</v>
      </c>
      <c r="O332" s="43" t="s">
        <v>22</v>
      </c>
      <c r="P332" s="43" t="s">
        <v>22</v>
      </c>
      <c r="Q332" s="43"/>
      <c r="R332" s="43" t="s">
        <v>22</v>
      </c>
      <c r="S332" s="43" t="s">
        <v>22</v>
      </c>
      <c r="T332" s="43" t="s">
        <v>22</v>
      </c>
      <c r="U332" s="43" t="s">
        <v>22</v>
      </c>
      <c r="V332" s="2">
        <v>20200507</v>
      </c>
      <c r="W332" s="2" t="s">
        <v>821</v>
      </c>
      <c r="X332" s="2">
        <v>2007</v>
      </c>
      <c r="Y332" s="2" t="s">
        <v>1133</v>
      </c>
      <c r="Z332" s="2" t="s">
        <v>32</v>
      </c>
      <c r="AA332" s="2" t="s">
        <v>22</v>
      </c>
      <c r="AB332" s="43" t="s">
        <v>22</v>
      </c>
      <c r="AC332" s="2" t="s">
        <v>22</v>
      </c>
      <c r="AD332" s="43">
        <v>0.2389</v>
      </c>
      <c r="AE332" s="43" t="s">
        <v>22</v>
      </c>
      <c r="AF332" s="43" t="s">
        <v>22</v>
      </c>
      <c r="AG332" s="43" t="s">
        <v>22</v>
      </c>
      <c r="AH332" s="43" t="s">
        <v>22</v>
      </c>
      <c r="AI332" s="43" t="s">
        <v>22</v>
      </c>
      <c r="AJ332" s="43" t="s">
        <v>22</v>
      </c>
      <c r="AK332" s="43" t="s">
        <v>22</v>
      </c>
      <c r="AL332" s="43" t="s">
        <v>22</v>
      </c>
      <c r="AM332" s="43" t="e">
        <f t="shared" si="174"/>
        <v>#VALUE!</v>
      </c>
      <c r="AN332" s="43" t="e">
        <f t="shared" si="175"/>
        <v>#VALUE!</v>
      </c>
      <c r="AO332" s="2" t="s">
        <v>822</v>
      </c>
      <c r="AP332" s="2"/>
      <c r="AQ332" s="2"/>
      <c r="AR332" s="2"/>
      <c r="AS332" s="2"/>
      <c r="AT332" s="2">
        <f t="shared" si="176"/>
        <v>12</v>
      </c>
      <c r="AU332" s="45">
        <f t="shared" si="177"/>
        <v>-1.1392492175716071</v>
      </c>
      <c r="AV332" s="45" t="e">
        <f t="shared" si="178"/>
        <v>#VALUE!</v>
      </c>
      <c r="AW332" s="45" t="e">
        <f t="shared" si="179"/>
        <v>#VALUE!</v>
      </c>
      <c r="AX332" s="45" t="e">
        <f t="shared" si="180"/>
        <v>#VALUE!</v>
      </c>
      <c r="AY332" s="45" t="e">
        <f t="shared" si="181"/>
        <v>#VALUE!</v>
      </c>
      <c r="AZ332" s="45" t="e">
        <f t="shared" si="182"/>
        <v>#VALUE!</v>
      </c>
      <c r="BA332" s="45" t="e">
        <f t="shared" si="183"/>
        <v>#VALUE!</v>
      </c>
      <c r="BB332" s="45" t="e">
        <f t="shared" si="184"/>
        <v>#NUM!</v>
      </c>
      <c r="BC332" s="45" t="e">
        <f t="shared" si="185"/>
        <v>#VALUE!</v>
      </c>
      <c r="BD332" s="45">
        <f t="shared" si="186"/>
        <v>-0.62178385025012206</v>
      </c>
      <c r="BE332" s="45" t="e">
        <f t="shared" si="187"/>
        <v>#VALUE!</v>
      </c>
      <c r="BF332" s="45" t="e">
        <f t="shared" si="188"/>
        <v>#VALUE!</v>
      </c>
      <c r="BG332" s="45" t="e">
        <f t="shared" si="189"/>
        <v>#VALUE!</v>
      </c>
      <c r="BH332" s="45" t="e">
        <f t="shared" si="190"/>
        <v>#VALUE!</v>
      </c>
      <c r="BI332" s="43" t="e">
        <f t="shared" si="191"/>
        <v>#VALUE!</v>
      </c>
      <c r="BJ332" s="2" t="s">
        <v>520</v>
      </c>
      <c r="BK332" s="2" t="s">
        <v>22</v>
      </c>
      <c r="BL332" s="2" t="s">
        <v>22</v>
      </c>
      <c r="BM332" s="43" t="s">
        <v>22</v>
      </c>
      <c r="BN332" s="43" t="s">
        <v>22</v>
      </c>
      <c r="BO332" s="43" t="s">
        <v>22</v>
      </c>
      <c r="BP332" s="43" t="s">
        <v>22</v>
      </c>
      <c r="BQ332" s="43" t="s">
        <v>22</v>
      </c>
      <c r="BR332" s="43" t="s">
        <v>22</v>
      </c>
      <c r="BS332" s="2" t="s">
        <v>522</v>
      </c>
      <c r="BT332" s="2" t="s">
        <v>974</v>
      </c>
      <c r="BU332" s="43" t="s">
        <v>22</v>
      </c>
      <c r="BV332" s="43">
        <v>23000000000</v>
      </c>
      <c r="BW332" s="43" t="s">
        <v>22</v>
      </c>
      <c r="BX332" s="43" t="s">
        <v>22</v>
      </c>
      <c r="BY332" s="43" t="s">
        <v>22</v>
      </c>
      <c r="BZ332" s="43">
        <v>5</v>
      </c>
      <c r="CA332" s="43">
        <v>5</v>
      </c>
      <c r="CB332" s="2"/>
      <c r="CC332" t="s">
        <v>1008</v>
      </c>
      <c r="CE332" s="41" t="e">
        <f t="shared" si="172"/>
        <v>#VALUE!</v>
      </c>
      <c r="CF332" s="41">
        <f t="shared" si="173"/>
        <v>10.361727836017593</v>
      </c>
      <c r="CG332" s="41">
        <f t="shared" si="167"/>
        <v>238.9</v>
      </c>
      <c r="CH332" s="41">
        <f t="shared" si="168"/>
        <v>2.3782161497498779</v>
      </c>
      <c r="CI332" s="41">
        <f t="shared" si="169"/>
        <v>238.9</v>
      </c>
      <c r="CJ332" s="41">
        <f t="shared" si="170"/>
        <v>2.3782161497498779</v>
      </c>
      <c r="CL332" s="9" t="s">
        <v>1268</v>
      </c>
      <c r="CM332" s="18" t="s">
        <v>1285</v>
      </c>
      <c r="CN332" s="54">
        <v>0.69897000433601886</v>
      </c>
      <c r="CO332" s="18" t="s">
        <v>1286</v>
      </c>
    </row>
    <row r="333" spans="1:93" s="9" customFormat="1" x14ac:dyDescent="0.25">
      <c r="A333" s="9" t="s">
        <v>342</v>
      </c>
      <c r="B333" s="50">
        <v>1.0199999999999999E-2</v>
      </c>
      <c r="C333" s="50">
        <v>1.36</v>
      </c>
      <c r="D333" s="50">
        <f>0.001*(B333*10^6)/(C333*0.001*100^3)</f>
        <v>7.499999999999998E-3</v>
      </c>
      <c r="E333" s="50" t="s">
        <v>22</v>
      </c>
      <c r="F333" s="9" t="s">
        <v>22</v>
      </c>
      <c r="G333" s="9" t="s">
        <v>22</v>
      </c>
      <c r="H333" s="9" t="s">
        <v>22</v>
      </c>
      <c r="I333" s="9" t="s">
        <v>22</v>
      </c>
      <c r="J333" s="50"/>
      <c r="K333" s="9" t="s">
        <v>22</v>
      </c>
      <c r="L333" s="50"/>
      <c r="M333" s="9" t="s">
        <v>23</v>
      </c>
      <c r="N333" s="50" t="s">
        <v>22</v>
      </c>
      <c r="O333" s="50" t="s">
        <v>22</v>
      </c>
      <c r="P333" s="50" t="s">
        <v>22</v>
      </c>
      <c r="Q333" s="50"/>
      <c r="R333" s="50" t="s">
        <v>22</v>
      </c>
      <c r="S333" s="50" t="s">
        <v>22</v>
      </c>
      <c r="T333" s="50" t="s">
        <v>22</v>
      </c>
      <c r="U333" s="50" t="s">
        <v>22</v>
      </c>
      <c r="V333" s="9">
        <v>20200713</v>
      </c>
      <c r="W333" s="21"/>
      <c r="X333" s="21">
        <v>2007</v>
      </c>
      <c r="Y333" s="9" t="s">
        <v>1133</v>
      </c>
      <c r="Z333" s="21" t="s">
        <v>1057</v>
      </c>
      <c r="AB333" s="50"/>
      <c r="AC333" s="9" t="s">
        <v>514</v>
      </c>
      <c r="AD333" s="50" t="s">
        <v>22</v>
      </c>
      <c r="AE333" s="50" t="s">
        <v>22</v>
      </c>
      <c r="AF333" s="50">
        <v>3.06</v>
      </c>
      <c r="AG333" s="50" t="s">
        <v>22</v>
      </c>
      <c r="AH333" s="50" t="s">
        <v>22</v>
      </c>
      <c r="AI333" s="50" t="s">
        <v>22</v>
      </c>
      <c r="AJ333" s="50"/>
      <c r="AK333" s="50" t="s">
        <v>22</v>
      </c>
      <c r="AL333" s="50" t="s">
        <v>22</v>
      </c>
      <c r="AM333" s="43" t="e">
        <f t="shared" si="174"/>
        <v>#VALUE!</v>
      </c>
      <c r="AN333" s="43" t="e">
        <f t="shared" si="175"/>
        <v>#VALUE!</v>
      </c>
      <c r="AO333" s="21" t="s">
        <v>1058</v>
      </c>
      <c r="AT333" s="2">
        <f t="shared" si="176"/>
        <v>1</v>
      </c>
      <c r="AU333" s="45">
        <f t="shared" si="177"/>
        <v>-1.9913998282380825</v>
      </c>
      <c r="AV333" s="45">
        <f t="shared" si="178"/>
        <v>0.13353890837021754</v>
      </c>
      <c r="AW333" s="45">
        <f t="shared" si="179"/>
        <v>-2.1249387366082999</v>
      </c>
      <c r="AX333" s="45" t="e">
        <f t="shared" si="180"/>
        <v>#VALUE!</v>
      </c>
      <c r="AY333" s="45" t="e">
        <f t="shared" si="181"/>
        <v>#VALUE!</v>
      </c>
      <c r="AZ333" s="45" t="e">
        <f t="shared" si="182"/>
        <v>#VALUE!</v>
      </c>
      <c r="BA333" s="45" t="e">
        <f t="shared" si="183"/>
        <v>#NUM!</v>
      </c>
      <c r="BB333" s="45" t="e">
        <f t="shared" si="184"/>
        <v>#NUM!</v>
      </c>
      <c r="BC333" s="45" t="e">
        <f t="shared" si="185"/>
        <v>#VALUE!</v>
      </c>
      <c r="BD333" s="45" t="e">
        <f t="shared" si="186"/>
        <v>#VALUE!</v>
      </c>
      <c r="BE333" s="45">
        <f t="shared" si="187"/>
        <v>0.48572142648158001</v>
      </c>
      <c r="BF333" s="45" t="e">
        <f t="shared" si="188"/>
        <v>#VALUE!</v>
      </c>
      <c r="BG333" s="45" t="e">
        <f t="shared" si="189"/>
        <v>#VALUE!</v>
      </c>
      <c r="BH333" s="45" t="e">
        <f t="shared" si="190"/>
        <v>#NUM!</v>
      </c>
      <c r="BI333" s="43">
        <f t="shared" si="191"/>
        <v>0.48572142648158001</v>
      </c>
      <c r="BL333" s="20"/>
      <c r="BM333" s="50"/>
      <c r="BN333" s="50"/>
      <c r="BO333" s="50"/>
      <c r="BP333" s="50"/>
      <c r="BQ333" s="50"/>
      <c r="BR333" s="50"/>
      <c r="BU333" s="50"/>
      <c r="BV333" s="50"/>
      <c r="BW333" s="50"/>
      <c r="BX333" s="50"/>
      <c r="BY333" s="50"/>
      <c r="BZ333" s="50"/>
      <c r="CA333" s="50" t="s">
        <v>22</v>
      </c>
      <c r="CE333" s="50"/>
      <c r="CF333" s="50"/>
      <c r="CG333" s="50"/>
      <c r="CH333" s="50"/>
      <c r="CI333" s="50" t="str">
        <f t="shared" si="169"/>
        <v>Not Reported/ Can not calculate</v>
      </c>
      <c r="CJ333" s="50" t="e">
        <f t="shared" si="170"/>
        <v>#VALUE!</v>
      </c>
      <c r="CL333" s="9" t="s">
        <v>1269</v>
      </c>
      <c r="CM333" s="9" t="s">
        <v>1284</v>
      </c>
      <c r="CN333" s="55" t="s">
        <v>1284</v>
      </c>
      <c r="CO333" s="9" t="s">
        <v>1284</v>
      </c>
    </row>
    <row r="334" spans="1:93" s="9" customFormat="1" x14ac:dyDescent="0.25">
      <c r="A334" s="9" t="s">
        <v>266</v>
      </c>
      <c r="B334" s="50" t="s">
        <v>22</v>
      </c>
      <c r="C334" s="50" t="s">
        <v>22</v>
      </c>
      <c r="D334" s="50" t="s">
        <v>22</v>
      </c>
      <c r="E334" s="50" t="s">
        <v>22</v>
      </c>
      <c r="F334" s="9">
        <f>0.17^-1</f>
        <v>5.8823529411764701</v>
      </c>
      <c r="G334" s="9" t="s">
        <v>52</v>
      </c>
      <c r="H334" s="9" t="s">
        <v>22</v>
      </c>
      <c r="I334" s="9" t="s">
        <v>22</v>
      </c>
      <c r="J334" s="50">
        <v>10</v>
      </c>
      <c r="K334" s="9">
        <v>633</v>
      </c>
      <c r="L334" s="50">
        <f>IF((10^-12)*J334*K334^4=0,"",(10^-12)*J334*K334^4)</f>
        <v>1.6055167472099998</v>
      </c>
      <c r="M334" s="9" t="s">
        <v>23</v>
      </c>
      <c r="N334" s="50" t="s">
        <v>22</v>
      </c>
      <c r="O334" s="50">
        <v>1.2</v>
      </c>
      <c r="P334" s="50" t="s">
        <v>22</v>
      </c>
      <c r="Q334" s="50"/>
      <c r="R334" s="50" t="s">
        <v>22</v>
      </c>
      <c r="S334" s="50" t="s">
        <v>22</v>
      </c>
      <c r="T334" s="50" t="s">
        <v>1119</v>
      </c>
      <c r="U334" s="50">
        <v>7.5</v>
      </c>
      <c r="V334" s="9">
        <v>20200719</v>
      </c>
      <c r="W334" s="21"/>
      <c r="X334" s="21">
        <v>2007</v>
      </c>
      <c r="Y334" s="9" t="s">
        <v>76</v>
      </c>
      <c r="Z334" s="9" t="s">
        <v>53</v>
      </c>
      <c r="AB334" s="50"/>
      <c r="AC334" s="9" t="s">
        <v>514</v>
      </c>
      <c r="AD334" s="50" t="s">
        <v>22</v>
      </c>
      <c r="AE334" s="50">
        <v>1579.9</v>
      </c>
      <c r="AF334" s="50" t="s">
        <v>22</v>
      </c>
      <c r="AG334" s="50" t="s">
        <v>22</v>
      </c>
      <c r="AH334" s="50" t="s">
        <v>22</v>
      </c>
      <c r="AI334" s="50" t="s">
        <v>22</v>
      </c>
      <c r="AJ334" s="50" t="s">
        <v>22</v>
      </c>
      <c r="AK334" s="50" t="s">
        <v>22</v>
      </c>
      <c r="AL334" s="50" t="s">
        <v>22</v>
      </c>
      <c r="AM334" s="43" t="e">
        <f t="shared" si="174"/>
        <v>#VALUE!</v>
      </c>
      <c r="AN334" s="43" t="e">
        <f t="shared" si="175"/>
        <v>#VALUE!</v>
      </c>
      <c r="AO334" s="21" t="s">
        <v>1120</v>
      </c>
      <c r="AT334" s="2">
        <f t="shared" si="176"/>
        <v>6</v>
      </c>
      <c r="AU334" s="45" t="e">
        <f t="shared" si="177"/>
        <v>#VALUE!</v>
      </c>
      <c r="AV334" s="45" t="e">
        <f t="shared" si="178"/>
        <v>#VALUE!</v>
      </c>
      <c r="AW334" s="45" t="e">
        <f t="shared" si="179"/>
        <v>#VALUE!</v>
      </c>
      <c r="AX334" s="45" t="e">
        <f t="shared" si="180"/>
        <v>#VALUE!</v>
      </c>
      <c r="AY334" s="45">
        <f t="shared" si="181"/>
        <v>7.9181246047624818E-2</v>
      </c>
      <c r="AZ334" s="45" t="e">
        <f t="shared" si="182"/>
        <v>#VALUE!</v>
      </c>
      <c r="BA334" s="45">
        <f t="shared" si="183"/>
        <v>1</v>
      </c>
      <c r="BB334" s="45">
        <f t="shared" si="184"/>
        <v>0.20561484006942035</v>
      </c>
      <c r="BC334" s="45">
        <f t="shared" si="185"/>
        <v>0.87506126339170009</v>
      </c>
      <c r="BD334" s="45" t="e">
        <f t="shared" si="186"/>
        <v>#VALUE!</v>
      </c>
      <c r="BE334" s="45" t="e">
        <f t="shared" si="187"/>
        <v>#VALUE!</v>
      </c>
      <c r="BF334" s="45" t="e">
        <f t="shared" si="188"/>
        <v>#VALUE!</v>
      </c>
      <c r="BG334" s="45" t="e">
        <f t="shared" si="189"/>
        <v>#VALUE!</v>
      </c>
      <c r="BH334" s="45" t="e">
        <f t="shared" si="190"/>
        <v>#NUM!</v>
      </c>
      <c r="BI334" s="43" t="e">
        <f t="shared" si="191"/>
        <v>#VALUE!</v>
      </c>
      <c r="BL334" s="20"/>
      <c r="BM334" s="50"/>
      <c r="BN334" s="50"/>
      <c r="BO334" s="50"/>
      <c r="BP334" s="50"/>
      <c r="BQ334" s="50"/>
      <c r="BR334" s="50"/>
      <c r="BU334" s="50"/>
      <c r="BV334" s="50"/>
      <c r="BW334" s="50"/>
      <c r="BX334" s="50"/>
      <c r="BY334" s="50"/>
      <c r="BZ334" s="50"/>
      <c r="CA334" s="50" t="s">
        <v>22</v>
      </c>
      <c r="CE334" s="50"/>
      <c r="CF334" s="50"/>
      <c r="CG334" s="50"/>
      <c r="CH334" s="50"/>
      <c r="CI334" s="50">
        <f t="shared" ref="CI334:CI340" si="192">IF(ISNUMBER(CG334),CG334,U334)</f>
        <v>7.5</v>
      </c>
      <c r="CJ334" s="50">
        <f t="shared" ref="CJ334:CJ340" si="193">LOG10(CI334)</f>
        <v>0.87506126339170009</v>
      </c>
      <c r="CL334" s="9" t="s">
        <v>1269</v>
      </c>
      <c r="CM334" s="9" t="s">
        <v>1285</v>
      </c>
      <c r="CN334" s="55" t="s">
        <v>1284</v>
      </c>
      <c r="CO334" s="9" t="s">
        <v>1284</v>
      </c>
    </row>
    <row r="335" spans="1:93" s="9" customFormat="1" x14ac:dyDescent="0.25">
      <c r="A335" s="9" t="s">
        <v>266</v>
      </c>
      <c r="B335" s="50" t="s">
        <v>22</v>
      </c>
      <c r="C335" s="50" t="s">
        <v>22</v>
      </c>
      <c r="D335" s="50" t="s">
        <v>22</v>
      </c>
      <c r="E335" s="50" t="s">
        <v>22</v>
      </c>
      <c r="F335" s="9">
        <f>0.17^-1</f>
        <v>5.8823529411764701</v>
      </c>
      <c r="G335" s="9" t="s">
        <v>52</v>
      </c>
      <c r="H335" s="9" t="s">
        <v>22</v>
      </c>
      <c r="I335" s="9" t="s">
        <v>22</v>
      </c>
      <c r="J335" s="50">
        <v>10</v>
      </c>
      <c r="K335" s="9">
        <v>633</v>
      </c>
      <c r="L335" s="50">
        <f>IF((10^-12)*J335*K335^4=0,"",(10^-12)*J335*K335^4)</f>
        <v>1.6055167472099998</v>
      </c>
      <c r="M335" s="9" t="s">
        <v>23</v>
      </c>
      <c r="N335" s="50" t="s">
        <v>22</v>
      </c>
      <c r="O335" s="50">
        <v>2.2000000000000002</v>
      </c>
      <c r="P335" s="50" t="s">
        <v>22</v>
      </c>
      <c r="Q335" s="50"/>
      <c r="R335" s="50" t="s">
        <v>22</v>
      </c>
      <c r="S335" s="50" t="s">
        <v>22</v>
      </c>
      <c r="T335" s="50" t="s">
        <v>1119</v>
      </c>
      <c r="U335" s="50">
        <v>7.5</v>
      </c>
      <c r="V335" s="9">
        <v>20200719</v>
      </c>
      <c r="W335" s="21"/>
      <c r="X335" s="21">
        <v>2007</v>
      </c>
      <c r="Y335" s="9" t="s">
        <v>76</v>
      </c>
      <c r="Z335" s="9" t="s">
        <v>53</v>
      </c>
      <c r="AB335" s="50"/>
      <c r="AC335" s="9" t="s">
        <v>514</v>
      </c>
      <c r="AD335" s="50" t="s">
        <v>22</v>
      </c>
      <c r="AE335" s="50">
        <v>1579.9</v>
      </c>
      <c r="AF335" s="50" t="s">
        <v>22</v>
      </c>
      <c r="AG335" s="50" t="s">
        <v>22</v>
      </c>
      <c r="AH335" s="50" t="s">
        <v>22</v>
      </c>
      <c r="AI335" s="50" t="s">
        <v>22</v>
      </c>
      <c r="AJ335" s="50" t="s">
        <v>22</v>
      </c>
      <c r="AK335" s="50" t="s">
        <v>22</v>
      </c>
      <c r="AL335" s="50" t="s">
        <v>22</v>
      </c>
      <c r="AM335" s="43" t="e">
        <f t="shared" si="174"/>
        <v>#VALUE!</v>
      </c>
      <c r="AN335" s="43" t="e">
        <f t="shared" si="175"/>
        <v>#VALUE!</v>
      </c>
      <c r="AO335" s="21" t="s">
        <v>1120</v>
      </c>
      <c r="AT335" s="2">
        <f t="shared" si="176"/>
        <v>6</v>
      </c>
      <c r="AU335" s="45" t="e">
        <f t="shared" si="177"/>
        <v>#VALUE!</v>
      </c>
      <c r="AV335" s="45" t="e">
        <f t="shared" si="178"/>
        <v>#VALUE!</v>
      </c>
      <c r="AW335" s="45" t="e">
        <f t="shared" si="179"/>
        <v>#VALUE!</v>
      </c>
      <c r="AX335" s="45" t="e">
        <f t="shared" si="180"/>
        <v>#VALUE!</v>
      </c>
      <c r="AY335" s="45">
        <f t="shared" si="181"/>
        <v>0.34242268082220628</v>
      </c>
      <c r="AZ335" s="45" t="e">
        <f t="shared" si="182"/>
        <v>#VALUE!</v>
      </c>
      <c r="BA335" s="45">
        <f t="shared" si="183"/>
        <v>1</v>
      </c>
      <c r="BB335" s="45">
        <f t="shared" si="184"/>
        <v>0.20561484006942035</v>
      </c>
      <c r="BC335" s="45">
        <f t="shared" si="185"/>
        <v>0.87506126339170009</v>
      </c>
      <c r="BD335" s="45" t="e">
        <f t="shared" si="186"/>
        <v>#VALUE!</v>
      </c>
      <c r="BE335" s="45" t="e">
        <f t="shared" si="187"/>
        <v>#VALUE!</v>
      </c>
      <c r="BF335" s="45" t="e">
        <f t="shared" si="188"/>
        <v>#VALUE!</v>
      </c>
      <c r="BG335" s="45" t="e">
        <f t="shared" si="189"/>
        <v>#VALUE!</v>
      </c>
      <c r="BH335" s="45" t="e">
        <f t="shared" si="190"/>
        <v>#NUM!</v>
      </c>
      <c r="BI335" s="43" t="e">
        <f t="shared" si="191"/>
        <v>#VALUE!</v>
      </c>
      <c r="BL335" s="20"/>
      <c r="BM335" s="50"/>
      <c r="BN335" s="50"/>
      <c r="BO335" s="50"/>
      <c r="BP335" s="50"/>
      <c r="BQ335" s="50"/>
      <c r="BR335" s="50"/>
      <c r="BU335" s="50"/>
      <c r="BV335" s="50"/>
      <c r="BW335" s="50"/>
      <c r="BX335" s="50"/>
      <c r="BY335" s="50"/>
      <c r="BZ335" s="50"/>
      <c r="CA335" s="50" t="s">
        <v>22</v>
      </c>
      <c r="CE335" s="50"/>
      <c r="CF335" s="50"/>
      <c r="CG335" s="50"/>
      <c r="CH335" s="50"/>
      <c r="CI335" s="50">
        <f t="shared" si="192"/>
        <v>7.5</v>
      </c>
      <c r="CJ335" s="50">
        <f t="shared" si="193"/>
        <v>0.87506126339170009</v>
      </c>
      <c r="CL335" s="9" t="s">
        <v>1269</v>
      </c>
      <c r="CM335" s="9" t="s">
        <v>1285</v>
      </c>
      <c r="CN335" s="55" t="s">
        <v>1284</v>
      </c>
      <c r="CO335" s="9" t="s">
        <v>1284</v>
      </c>
    </row>
    <row r="336" spans="1:93" s="9" customFormat="1" x14ac:dyDescent="0.25">
      <c r="A336" s="9" t="s">
        <v>375</v>
      </c>
      <c r="B336" s="50" t="s">
        <v>22</v>
      </c>
      <c r="C336" s="50" t="s">
        <v>22</v>
      </c>
      <c r="D336" s="50" t="s">
        <v>22</v>
      </c>
      <c r="E336" s="50" t="s">
        <v>22</v>
      </c>
      <c r="F336" s="9" t="s">
        <v>22</v>
      </c>
      <c r="G336" s="9" t="s">
        <v>22</v>
      </c>
      <c r="H336" s="9" t="s">
        <v>22</v>
      </c>
      <c r="I336" s="9" t="s">
        <v>22</v>
      </c>
      <c r="J336" s="50" t="s">
        <v>22</v>
      </c>
      <c r="K336" s="9" t="s">
        <v>22</v>
      </c>
      <c r="L336" s="50"/>
      <c r="M336" s="9" t="s">
        <v>23</v>
      </c>
      <c r="N336" s="50" t="s">
        <v>22</v>
      </c>
      <c r="O336" s="50">
        <v>2.4</v>
      </c>
      <c r="P336" s="50" t="s">
        <v>22</v>
      </c>
      <c r="Q336" s="50"/>
      <c r="R336" s="50" t="s">
        <v>22</v>
      </c>
      <c r="S336" s="50" t="s">
        <v>22</v>
      </c>
      <c r="T336" s="50" t="s">
        <v>22</v>
      </c>
      <c r="U336" s="50" t="s">
        <v>22</v>
      </c>
      <c r="V336" s="9">
        <v>20200719</v>
      </c>
      <c r="W336" s="21" t="s">
        <v>1122</v>
      </c>
      <c r="X336" s="21">
        <v>2007</v>
      </c>
      <c r="Y336" s="21" t="s">
        <v>406</v>
      </c>
      <c r="Z336" s="9" t="s">
        <v>22</v>
      </c>
      <c r="AB336" s="50"/>
      <c r="AC336" s="9" t="s">
        <v>22</v>
      </c>
      <c r="AD336" s="50" t="s">
        <v>22</v>
      </c>
      <c r="AE336" s="50"/>
      <c r="AF336" s="50" t="s">
        <v>22</v>
      </c>
      <c r="AG336" s="50" t="s">
        <v>22</v>
      </c>
      <c r="AH336" s="50" t="s">
        <v>22</v>
      </c>
      <c r="AI336" s="50" t="s">
        <v>22</v>
      </c>
      <c r="AJ336" s="50" t="s">
        <v>22</v>
      </c>
      <c r="AK336" s="50" t="s">
        <v>22</v>
      </c>
      <c r="AL336" s="50" t="s">
        <v>22</v>
      </c>
      <c r="AM336" s="43" t="e">
        <f t="shared" si="174"/>
        <v>#VALUE!</v>
      </c>
      <c r="AN336" s="43" t="e">
        <f t="shared" si="175"/>
        <v>#VALUE!</v>
      </c>
      <c r="AO336" s="21" t="s">
        <v>1120</v>
      </c>
      <c r="AT336" s="2">
        <f t="shared" si="176"/>
        <v>6</v>
      </c>
      <c r="AU336" s="45" t="e">
        <f t="shared" si="177"/>
        <v>#VALUE!</v>
      </c>
      <c r="AV336" s="45" t="e">
        <f t="shared" si="178"/>
        <v>#VALUE!</v>
      </c>
      <c r="AW336" s="45" t="e">
        <f t="shared" si="179"/>
        <v>#VALUE!</v>
      </c>
      <c r="AX336" s="45" t="e">
        <f t="shared" si="180"/>
        <v>#VALUE!</v>
      </c>
      <c r="AY336" s="45">
        <f t="shared" si="181"/>
        <v>0.38021124171160603</v>
      </c>
      <c r="AZ336" s="45" t="e">
        <f t="shared" si="182"/>
        <v>#VALUE!</v>
      </c>
      <c r="BA336" s="45" t="e">
        <f t="shared" si="183"/>
        <v>#VALUE!</v>
      </c>
      <c r="BB336" s="45" t="e">
        <f t="shared" si="184"/>
        <v>#NUM!</v>
      </c>
      <c r="BC336" s="45" t="e">
        <f t="shared" si="185"/>
        <v>#VALUE!</v>
      </c>
      <c r="BD336" s="45" t="e">
        <f t="shared" si="186"/>
        <v>#VALUE!</v>
      </c>
      <c r="BE336" s="45" t="e">
        <f t="shared" si="187"/>
        <v>#VALUE!</v>
      </c>
      <c r="BF336" s="45" t="e">
        <f t="shared" si="188"/>
        <v>#VALUE!</v>
      </c>
      <c r="BG336" s="45" t="e">
        <f t="shared" si="189"/>
        <v>#VALUE!</v>
      </c>
      <c r="BH336" s="45" t="e">
        <f t="shared" si="190"/>
        <v>#NUM!</v>
      </c>
      <c r="BI336" s="43" t="e">
        <f t="shared" si="191"/>
        <v>#VALUE!</v>
      </c>
      <c r="BL336" s="20"/>
      <c r="BM336" s="50"/>
      <c r="BN336" s="50"/>
      <c r="BO336" s="50"/>
      <c r="BP336" s="50"/>
      <c r="BQ336" s="50"/>
      <c r="BR336" s="50"/>
      <c r="BU336" s="50"/>
      <c r="BV336" s="50"/>
      <c r="BW336" s="50"/>
      <c r="BX336" s="50"/>
      <c r="BY336" s="50"/>
      <c r="BZ336" s="50"/>
      <c r="CA336" s="50" t="s">
        <v>22</v>
      </c>
      <c r="CE336" s="50"/>
      <c r="CF336" s="50"/>
      <c r="CG336" s="50"/>
      <c r="CH336" s="50"/>
      <c r="CI336" s="50" t="str">
        <f t="shared" si="192"/>
        <v>Not Reported/ Can not calculate</v>
      </c>
      <c r="CJ336" s="50" t="e">
        <f t="shared" si="193"/>
        <v>#VALUE!</v>
      </c>
      <c r="CL336" s="9" t="s">
        <v>1268</v>
      </c>
      <c r="CM336" s="9" t="s">
        <v>1284</v>
      </c>
      <c r="CN336" s="55" t="s">
        <v>1284</v>
      </c>
      <c r="CO336" s="9" t="s">
        <v>1284</v>
      </c>
    </row>
    <row r="337" spans="1:93" s="9" customFormat="1" x14ac:dyDescent="0.25">
      <c r="A337" s="21" t="s">
        <v>406</v>
      </c>
      <c r="B337" s="50" t="s">
        <v>22</v>
      </c>
      <c r="C337" s="50" t="s">
        <v>22</v>
      </c>
      <c r="D337" s="50" t="s">
        <v>22</v>
      </c>
      <c r="E337" s="50" t="s">
        <v>22</v>
      </c>
      <c r="F337" s="9" t="s">
        <v>22</v>
      </c>
      <c r="G337" s="9" t="s">
        <v>22</v>
      </c>
      <c r="H337" s="9" t="s">
        <v>22</v>
      </c>
      <c r="I337" s="9" t="s">
        <v>22</v>
      </c>
      <c r="J337" s="50" t="s">
        <v>22</v>
      </c>
      <c r="K337" s="9" t="s">
        <v>22</v>
      </c>
      <c r="L337" s="50"/>
      <c r="M337" s="9" t="s">
        <v>23</v>
      </c>
      <c r="N337" s="50" t="s">
        <v>22</v>
      </c>
      <c r="O337" s="50">
        <v>2.5</v>
      </c>
      <c r="P337" s="50" t="s">
        <v>22</v>
      </c>
      <c r="Q337" s="50"/>
      <c r="R337" s="50" t="s">
        <v>22</v>
      </c>
      <c r="S337" s="50" t="s">
        <v>22</v>
      </c>
      <c r="T337" s="50" t="s">
        <v>22</v>
      </c>
      <c r="U337" s="50" t="s">
        <v>22</v>
      </c>
      <c r="V337" s="9">
        <v>20200719</v>
      </c>
      <c r="W337" s="21" t="s">
        <v>1123</v>
      </c>
      <c r="X337" s="21">
        <v>2007</v>
      </c>
      <c r="Y337" s="21" t="s">
        <v>406</v>
      </c>
      <c r="Z337" s="9" t="s">
        <v>22</v>
      </c>
      <c r="AB337" s="50"/>
      <c r="AC337" s="9" t="s">
        <v>22</v>
      </c>
      <c r="AD337" s="50" t="s">
        <v>22</v>
      </c>
      <c r="AE337" s="50"/>
      <c r="AF337" s="50" t="s">
        <v>22</v>
      </c>
      <c r="AG337" s="50" t="s">
        <v>22</v>
      </c>
      <c r="AH337" s="50" t="s">
        <v>22</v>
      </c>
      <c r="AI337" s="50" t="s">
        <v>22</v>
      </c>
      <c r="AJ337" s="50" t="s">
        <v>22</v>
      </c>
      <c r="AK337" s="50" t="s">
        <v>22</v>
      </c>
      <c r="AL337" s="50" t="s">
        <v>22</v>
      </c>
      <c r="AM337" s="43" t="e">
        <f t="shared" si="174"/>
        <v>#VALUE!</v>
      </c>
      <c r="AN337" s="43" t="e">
        <f t="shared" si="175"/>
        <v>#VALUE!</v>
      </c>
      <c r="AO337" s="21" t="s">
        <v>1120</v>
      </c>
      <c r="AT337" s="2">
        <f t="shared" si="176"/>
        <v>6</v>
      </c>
      <c r="AU337" s="45" t="e">
        <f t="shared" si="177"/>
        <v>#VALUE!</v>
      </c>
      <c r="AV337" s="45" t="e">
        <f t="shared" si="178"/>
        <v>#VALUE!</v>
      </c>
      <c r="AW337" s="45" t="e">
        <f t="shared" si="179"/>
        <v>#VALUE!</v>
      </c>
      <c r="AX337" s="45" t="e">
        <f t="shared" si="180"/>
        <v>#VALUE!</v>
      </c>
      <c r="AY337" s="45">
        <f t="shared" si="181"/>
        <v>0.3979400086720376</v>
      </c>
      <c r="AZ337" s="45" t="e">
        <f t="shared" si="182"/>
        <v>#VALUE!</v>
      </c>
      <c r="BA337" s="45" t="e">
        <f t="shared" si="183"/>
        <v>#VALUE!</v>
      </c>
      <c r="BB337" s="45" t="e">
        <f t="shared" si="184"/>
        <v>#NUM!</v>
      </c>
      <c r="BC337" s="45" t="e">
        <f t="shared" si="185"/>
        <v>#VALUE!</v>
      </c>
      <c r="BD337" s="45" t="e">
        <f t="shared" si="186"/>
        <v>#VALUE!</v>
      </c>
      <c r="BE337" s="45" t="e">
        <f t="shared" si="187"/>
        <v>#VALUE!</v>
      </c>
      <c r="BF337" s="45" t="e">
        <f t="shared" si="188"/>
        <v>#VALUE!</v>
      </c>
      <c r="BG337" s="45" t="e">
        <f t="shared" si="189"/>
        <v>#VALUE!</v>
      </c>
      <c r="BH337" s="45" t="e">
        <f t="shared" si="190"/>
        <v>#NUM!</v>
      </c>
      <c r="BI337" s="43" t="e">
        <f t="shared" si="191"/>
        <v>#VALUE!</v>
      </c>
      <c r="BL337" s="20"/>
      <c r="BM337" s="50"/>
      <c r="BN337" s="50"/>
      <c r="BO337" s="50"/>
      <c r="BP337" s="50"/>
      <c r="BQ337" s="50"/>
      <c r="BR337" s="50"/>
      <c r="BU337" s="50"/>
      <c r="BV337" s="50"/>
      <c r="BW337" s="50"/>
      <c r="BX337" s="50"/>
      <c r="BY337" s="50"/>
      <c r="BZ337" s="50"/>
      <c r="CA337" s="50" t="s">
        <v>22</v>
      </c>
      <c r="CE337" s="50"/>
      <c r="CF337" s="50"/>
      <c r="CG337" s="50"/>
      <c r="CH337" s="50"/>
      <c r="CI337" s="50" t="str">
        <f t="shared" si="192"/>
        <v>Not Reported/ Can not calculate</v>
      </c>
      <c r="CJ337" s="50" t="e">
        <f t="shared" si="193"/>
        <v>#VALUE!</v>
      </c>
      <c r="CL337" s="9" t="s">
        <v>1268</v>
      </c>
      <c r="CM337" s="9" t="s">
        <v>1284</v>
      </c>
      <c r="CN337" s="55" t="s">
        <v>1284</v>
      </c>
      <c r="CO337" s="9" t="s">
        <v>1284</v>
      </c>
    </row>
    <row r="338" spans="1:93" s="9" customFormat="1" x14ac:dyDescent="0.25">
      <c r="A338" s="21" t="s">
        <v>406</v>
      </c>
      <c r="B338" s="50" t="s">
        <v>22</v>
      </c>
      <c r="C338" s="50" t="s">
        <v>22</v>
      </c>
      <c r="D338" s="50" t="s">
        <v>22</v>
      </c>
      <c r="E338" s="50" t="s">
        <v>22</v>
      </c>
      <c r="F338" s="9" t="s">
        <v>22</v>
      </c>
      <c r="G338" s="9" t="s">
        <v>22</v>
      </c>
      <c r="H338" s="9" t="s">
        <v>22</v>
      </c>
      <c r="I338" s="9" t="s">
        <v>22</v>
      </c>
      <c r="J338" s="50" t="s">
        <v>22</v>
      </c>
      <c r="K338" s="9" t="s">
        <v>22</v>
      </c>
      <c r="L338" s="50"/>
      <c r="M338" s="9" t="s">
        <v>23</v>
      </c>
      <c r="N338" s="50" t="s">
        <v>22</v>
      </c>
      <c r="O338" s="50">
        <v>3.7</v>
      </c>
      <c r="P338" s="50" t="s">
        <v>22</v>
      </c>
      <c r="Q338" s="50"/>
      <c r="R338" s="50" t="s">
        <v>22</v>
      </c>
      <c r="S338" s="50" t="s">
        <v>22</v>
      </c>
      <c r="T338" s="50" t="s">
        <v>22</v>
      </c>
      <c r="U338" s="50" t="s">
        <v>22</v>
      </c>
      <c r="V338" s="9">
        <v>20200719</v>
      </c>
      <c r="W338" s="21" t="s">
        <v>1124</v>
      </c>
      <c r="X338" s="21">
        <v>2007</v>
      </c>
      <c r="Y338" s="21" t="s">
        <v>406</v>
      </c>
      <c r="Z338" s="9" t="s">
        <v>22</v>
      </c>
      <c r="AB338" s="50"/>
      <c r="AC338" s="9" t="s">
        <v>22</v>
      </c>
      <c r="AD338" s="50" t="s">
        <v>22</v>
      </c>
      <c r="AE338" s="50"/>
      <c r="AF338" s="50" t="s">
        <v>22</v>
      </c>
      <c r="AG338" s="50" t="s">
        <v>22</v>
      </c>
      <c r="AH338" s="50" t="s">
        <v>22</v>
      </c>
      <c r="AI338" s="50" t="s">
        <v>22</v>
      </c>
      <c r="AJ338" s="50" t="s">
        <v>22</v>
      </c>
      <c r="AK338" s="50" t="s">
        <v>22</v>
      </c>
      <c r="AL338" s="50" t="s">
        <v>22</v>
      </c>
      <c r="AM338" s="43" t="e">
        <f t="shared" si="174"/>
        <v>#VALUE!</v>
      </c>
      <c r="AN338" s="43" t="e">
        <f t="shared" si="175"/>
        <v>#VALUE!</v>
      </c>
      <c r="AO338" s="21" t="s">
        <v>1120</v>
      </c>
      <c r="AT338" s="2">
        <f t="shared" si="176"/>
        <v>6</v>
      </c>
      <c r="AU338" s="45" t="e">
        <f t="shared" si="177"/>
        <v>#VALUE!</v>
      </c>
      <c r="AV338" s="45" t="e">
        <f t="shared" si="178"/>
        <v>#VALUE!</v>
      </c>
      <c r="AW338" s="45" t="e">
        <f t="shared" si="179"/>
        <v>#VALUE!</v>
      </c>
      <c r="AX338" s="45" t="e">
        <f t="shared" si="180"/>
        <v>#VALUE!</v>
      </c>
      <c r="AY338" s="45">
        <f t="shared" si="181"/>
        <v>0.56820172406699498</v>
      </c>
      <c r="AZ338" s="45" t="e">
        <f t="shared" si="182"/>
        <v>#VALUE!</v>
      </c>
      <c r="BA338" s="45" t="e">
        <f t="shared" si="183"/>
        <v>#VALUE!</v>
      </c>
      <c r="BB338" s="45" t="e">
        <f t="shared" si="184"/>
        <v>#NUM!</v>
      </c>
      <c r="BC338" s="45" t="e">
        <f t="shared" si="185"/>
        <v>#VALUE!</v>
      </c>
      <c r="BD338" s="45" t="e">
        <f t="shared" si="186"/>
        <v>#VALUE!</v>
      </c>
      <c r="BE338" s="45" t="e">
        <f t="shared" si="187"/>
        <v>#VALUE!</v>
      </c>
      <c r="BF338" s="45" t="e">
        <f t="shared" si="188"/>
        <v>#VALUE!</v>
      </c>
      <c r="BG338" s="45" t="e">
        <f t="shared" si="189"/>
        <v>#VALUE!</v>
      </c>
      <c r="BH338" s="45" t="e">
        <f t="shared" si="190"/>
        <v>#NUM!</v>
      </c>
      <c r="BI338" s="43" t="e">
        <f t="shared" si="191"/>
        <v>#VALUE!</v>
      </c>
      <c r="BL338" s="20"/>
      <c r="BM338" s="50"/>
      <c r="BN338" s="50"/>
      <c r="BO338" s="50"/>
      <c r="BP338" s="50"/>
      <c r="BQ338" s="50"/>
      <c r="BR338" s="50"/>
      <c r="BU338" s="50"/>
      <c r="BV338" s="50"/>
      <c r="BW338" s="50"/>
      <c r="BX338" s="50"/>
      <c r="BY338" s="50"/>
      <c r="BZ338" s="50"/>
      <c r="CA338" s="50" t="s">
        <v>22</v>
      </c>
      <c r="CE338" s="50"/>
      <c r="CF338" s="50"/>
      <c r="CG338" s="50"/>
      <c r="CH338" s="50"/>
      <c r="CI338" s="50" t="str">
        <f t="shared" si="192"/>
        <v>Not Reported/ Can not calculate</v>
      </c>
      <c r="CJ338" s="50" t="e">
        <f t="shared" si="193"/>
        <v>#VALUE!</v>
      </c>
      <c r="CL338" s="9" t="s">
        <v>1268</v>
      </c>
      <c r="CM338" s="9" t="s">
        <v>1284</v>
      </c>
      <c r="CN338" s="55" t="s">
        <v>1284</v>
      </c>
      <c r="CO338" s="9" t="s">
        <v>1284</v>
      </c>
    </row>
    <row r="339" spans="1:93" s="9" customFormat="1" x14ac:dyDescent="0.25">
      <c r="A339" s="21" t="s">
        <v>406</v>
      </c>
      <c r="B339" s="50" t="s">
        <v>22</v>
      </c>
      <c r="C339" s="50" t="s">
        <v>22</v>
      </c>
      <c r="D339" s="50" t="s">
        <v>22</v>
      </c>
      <c r="E339" s="50" t="s">
        <v>22</v>
      </c>
      <c r="F339" s="9" t="s">
        <v>22</v>
      </c>
      <c r="G339" s="9" t="s">
        <v>22</v>
      </c>
      <c r="H339" s="9" t="s">
        <v>22</v>
      </c>
      <c r="I339" s="9" t="s">
        <v>22</v>
      </c>
      <c r="J339" s="50" t="s">
        <v>22</v>
      </c>
      <c r="K339" s="9" t="s">
        <v>22</v>
      </c>
      <c r="L339" s="50"/>
      <c r="M339" s="9" t="s">
        <v>23</v>
      </c>
      <c r="N339" s="50" t="s">
        <v>22</v>
      </c>
      <c r="O339" s="50">
        <v>3.5</v>
      </c>
      <c r="P339" s="50" t="s">
        <v>22</v>
      </c>
      <c r="Q339" s="50"/>
      <c r="R339" s="50" t="s">
        <v>22</v>
      </c>
      <c r="S339" s="50" t="s">
        <v>22</v>
      </c>
      <c r="T339" s="50" t="s">
        <v>22</v>
      </c>
      <c r="U339" s="50" t="s">
        <v>22</v>
      </c>
      <c r="V339" s="9">
        <v>20200719</v>
      </c>
      <c r="W339" s="21" t="s">
        <v>1125</v>
      </c>
      <c r="X339" s="21">
        <v>2007</v>
      </c>
      <c r="Y339" s="21" t="s">
        <v>406</v>
      </c>
      <c r="Z339" s="9" t="s">
        <v>22</v>
      </c>
      <c r="AB339" s="50"/>
      <c r="AC339" s="9" t="s">
        <v>22</v>
      </c>
      <c r="AD339" s="50" t="s">
        <v>22</v>
      </c>
      <c r="AE339" s="50"/>
      <c r="AF339" s="50" t="s">
        <v>22</v>
      </c>
      <c r="AG339" s="50" t="s">
        <v>22</v>
      </c>
      <c r="AH339" s="50" t="s">
        <v>22</v>
      </c>
      <c r="AI339" s="50" t="s">
        <v>22</v>
      </c>
      <c r="AJ339" s="50" t="s">
        <v>22</v>
      </c>
      <c r="AK339" s="50" t="s">
        <v>22</v>
      </c>
      <c r="AL339" s="50" t="s">
        <v>22</v>
      </c>
      <c r="AM339" s="43" t="e">
        <f t="shared" si="174"/>
        <v>#VALUE!</v>
      </c>
      <c r="AN339" s="43" t="e">
        <f t="shared" si="175"/>
        <v>#VALUE!</v>
      </c>
      <c r="AO339" s="21" t="s">
        <v>1120</v>
      </c>
      <c r="AT339" s="2">
        <f t="shared" si="176"/>
        <v>6</v>
      </c>
      <c r="AU339" s="45" t="e">
        <f t="shared" si="177"/>
        <v>#VALUE!</v>
      </c>
      <c r="AV339" s="45" t="e">
        <f t="shared" si="178"/>
        <v>#VALUE!</v>
      </c>
      <c r="AW339" s="45" t="e">
        <f t="shared" si="179"/>
        <v>#VALUE!</v>
      </c>
      <c r="AX339" s="45" t="e">
        <f t="shared" si="180"/>
        <v>#VALUE!</v>
      </c>
      <c r="AY339" s="45">
        <f t="shared" si="181"/>
        <v>0.54406804435027567</v>
      </c>
      <c r="AZ339" s="45" t="e">
        <f t="shared" si="182"/>
        <v>#VALUE!</v>
      </c>
      <c r="BA339" s="45" t="e">
        <f t="shared" si="183"/>
        <v>#VALUE!</v>
      </c>
      <c r="BB339" s="45" t="e">
        <f t="shared" si="184"/>
        <v>#NUM!</v>
      </c>
      <c r="BC339" s="45" t="e">
        <f t="shared" si="185"/>
        <v>#VALUE!</v>
      </c>
      <c r="BD339" s="45" t="e">
        <f t="shared" si="186"/>
        <v>#VALUE!</v>
      </c>
      <c r="BE339" s="45" t="e">
        <f t="shared" si="187"/>
        <v>#VALUE!</v>
      </c>
      <c r="BF339" s="45" t="e">
        <f t="shared" si="188"/>
        <v>#VALUE!</v>
      </c>
      <c r="BG339" s="45" t="e">
        <f t="shared" si="189"/>
        <v>#VALUE!</v>
      </c>
      <c r="BH339" s="45" t="e">
        <f t="shared" si="190"/>
        <v>#NUM!</v>
      </c>
      <c r="BI339" s="43" t="e">
        <f t="shared" si="191"/>
        <v>#VALUE!</v>
      </c>
      <c r="BL339" s="20"/>
      <c r="BM339" s="50"/>
      <c r="BN339" s="50"/>
      <c r="BO339" s="50"/>
      <c r="BP339" s="50"/>
      <c r="BQ339" s="50"/>
      <c r="BR339" s="50"/>
      <c r="BU339" s="50"/>
      <c r="BV339" s="50"/>
      <c r="BW339" s="50"/>
      <c r="BX339" s="50"/>
      <c r="BY339" s="50"/>
      <c r="BZ339" s="50"/>
      <c r="CA339" s="50" t="s">
        <v>22</v>
      </c>
      <c r="CE339" s="50"/>
      <c r="CF339" s="50"/>
      <c r="CG339" s="50"/>
      <c r="CH339" s="50"/>
      <c r="CI339" s="50" t="str">
        <f t="shared" si="192"/>
        <v>Not Reported/ Can not calculate</v>
      </c>
      <c r="CJ339" s="50" t="e">
        <f t="shared" si="193"/>
        <v>#VALUE!</v>
      </c>
      <c r="CL339" s="9" t="s">
        <v>1268</v>
      </c>
      <c r="CM339" s="9" t="s">
        <v>1284</v>
      </c>
      <c r="CN339" s="55" t="s">
        <v>1284</v>
      </c>
      <c r="CO339" s="9" t="s">
        <v>1284</v>
      </c>
    </row>
    <row r="340" spans="1:93" s="9" customFormat="1" x14ac:dyDescent="0.25">
      <c r="A340" s="9" t="s">
        <v>266</v>
      </c>
      <c r="B340" s="50" t="s">
        <v>22</v>
      </c>
      <c r="C340" s="50" t="s">
        <v>22</v>
      </c>
      <c r="D340" s="50" t="s">
        <v>22</v>
      </c>
      <c r="E340" s="50" t="s">
        <v>22</v>
      </c>
      <c r="F340" s="9" t="s">
        <v>22</v>
      </c>
      <c r="G340" s="9" t="s">
        <v>22</v>
      </c>
      <c r="H340" s="9" t="s">
        <v>22</v>
      </c>
      <c r="I340" s="9" t="s">
        <v>22</v>
      </c>
      <c r="J340" s="50" t="s">
        <v>22</v>
      </c>
      <c r="K340" s="9" t="s">
        <v>22</v>
      </c>
      <c r="L340" s="50"/>
      <c r="M340" s="9" t="s">
        <v>45</v>
      </c>
      <c r="N340" s="50">
        <v>299</v>
      </c>
      <c r="O340" s="50" t="s">
        <v>22</v>
      </c>
      <c r="P340" s="50">
        <v>8.3000000000000007</v>
      </c>
      <c r="Q340" s="50"/>
      <c r="R340" s="50" t="s">
        <v>22</v>
      </c>
      <c r="S340" s="50" t="s">
        <v>22</v>
      </c>
      <c r="T340" s="50" t="s">
        <v>22</v>
      </c>
      <c r="U340" s="50" t="s">
        <v>22</v>
      </c>
      <c r="V340" s="9">
        <v>20201128</v>
      </c>
      <c r="W340" s="21"/>
      <c r="X340" s="21">
        <v>2007</v>
      </c>
      <c r="Y340" s="9" t="s">
        <v>76</v>
      </c>
      <c r="Z340" s="9" t="s">
        <v>1177</v>
      </c>
      <c r="AB340" s="50"/>
      <c r="AC340" s="9" t="s">
        <v>514</v>
      </c>
      <c r="AD340" s="50" t="s">
        <v>22</v>
      </c>
      <c r="AE340" s="50" t="s">
        <v>22</v>
      </c>
      <c r="AF340" s="50" t="s">
        <v>22</v>
      </c>
      <c r="AG340" s="50" t="s">
        <v>22</v>
      </c>
      <c r="AH340" s="50" t="s">
        <v>22</v>
      </c>
      <c r="AI340" s="50" t="s">
        <v>22</v>
      </c>
      <c r="AJ340" s="50" t="s">
        <v>22</v>
      </c>
      <c r="AK340" s="50" t="s">
        <v>22</v>
      </c>
      <c r="AL340" s="50" t="s">
        <v>22</v>
      </c>
      <c r="AM340" s="43" t="e">
        <f t="shared" si="174"/>
        <v>#VALUE!</v>
      </c>
      <c r="AN340" s="43" t="e">
        <f t="shared" si="175"/>
        <v>#VALUE!</v>
      </c>
      <c r="AO340" s="21" t="s">
        <v>1178</v>
      </c>
      <c r="AT340" s="2">
        <f t="shared" si="176"/>
        <v>1</v>
      </c>
      <c r="AU340" s="45" t="e">
        <f t="shared" si="177"/>
        <v>#VALUE!</v>
      </c>
      <c r="AV340" s="45" t="e">
        <f t="shared" si="178"/>
        <v>#VALUE!</v>
      </c>
      <c r="AW340" s="45" t="e">
        <f t="shared" si="179"/>
        <v>#VALUE!</v>
      </c>
      <c r="AX340" s="45">
        <f t="shared" si="180"/>
        <v>2.4756711883244296</v>
      </c>
      <c r="AY340" s="45" t="e">
        <f t="shared" si="181"/>
        <v>#VALUE!</v>
      </c>
      <c r="AZ340" s="45">
        <f t="shared" si="182"/>
        <v>0.91907809237607396</v>
      </c>
      <c r="BA340" s="45" t="e">
        <f t="shared" si="183"/>
        <v>#VALUE!</v>
      </c>
      <c r="BB340" s="45" t="e">
        <f t="shared" si="184"/>
        <v>#NUM!</v>
      </c>
      <c r="BC340" s="45" t="e">
        <f t="shared" si="185"/>
        <v>#VALUE!</v>
      </c>
      <c r="BD340" s="45" t="e">
        <f t="shared" si="186"/>
        <v>#VALUE!</v>
      </c>
      <c r="BE340" s="45" t="e">
        <f t="shared" si="187"/>
        <v>#VALUE!</v>
      </c>
      <c r="BF340" s="45" t="e">
        <f t="shared" si="188"/>
        <v>#VALUE!</v>
      </c>
      <c r="BG340" s="45" t="e">
        <f t="shared" si="189"/>
        <v>#VALUE!</v>
      </c>
      <c r="BH340" s="45" t="e">
        <f t="shared" si="190"/>
        <v>#NUM!</v>
      </c>
      <c r="BI340" s="43" t="e">
        <f t="shared" si="191"/>
        <v>#VALUE!</v>
      </c>
      <c r="BL340" s="20"/>
      <c r="BM340" s="50"/>
      <c r="BN340" s="50"/>
      <c r="BO340" s="50"/>
      <c r="BP340" s="50"/>
      <c r="BQ340" s="50"/>
      <c r="BR340" s="50"/>
      <c r="BU340" s="50"/>
      <c r="BV340" s="50"/>
      <c r="BW340" s="50"/>
      <c r="BX340" s="50"/>
      <c r="BY340" s="50"/>
      <c r="BZ340" s="50"/>
      <c r="CA340" s="50" t="s">
        <v>22</v>
      </c>
      <c r="CE340" s="50"/>
      <c r="CF340" s="50"/>
      <c r="CG340" s="50"/>
      <c r="CH340" s="50"/>
      <c r="CI340" s="50" t="str">
        <f t="shared" si="192"/>
        <v>Not Reported/ Can not calculate</v>
      </c>
      <c r="CJ340" s="50" t="e">
        <f t="shared" si="193"/>
        <v>#VALUE!</v>
      </c>
      <c r="CL340" s="9" t="s">
        <v>1269</v>
      </c>
      <c r="CM340" s="9" t="s">
        <v>1284</v>
      </c>
      <c r="CN340" s="55" t="s">
        <v>1284</v>
      </c>
      <c r="CO340" s="9" t="s">
        <v>1284</v>
      </c>
    </row>
    <row r="341" spans="1:93" x14ac:dyDescent="0.25">
      <c r="A341" t="s">
        <v>141</v>
      </c>
      <c r="B341" s="41">
        <v>0.02</v>
      </c>
      <c r="C341" s="41">
        <v>0.62</v>
      </c>
      <c r="D341" s="41">
        <v>3.2000000000000001E-2</v>
      </c>
      <c r="E341" s="41">
        <v>1.9</v>
      </c>
      <c r="F341" t="s">
        <v>22</v>
      </c>
      <c r="G341" t="s">
        <v>22</v>
      </c>
      <c r="H341" t="s">
        <v>22</v>
      </c>
      <c r="I341" t="s">
        <v>22</v>
      </c>
      <c r="J341" s="41" t="s">
        <v>22</v>
      </c>
      <c r="K341" t="s">
        <v>22</v>
      </c>
      <c r="L341" s="41" t="e">
        <f>IF((10^-12)*J341*K341^4=0,"",(10^-12)*J341*K341^4)</f>
        <v>#VALUE!</v>
      </c>
      <c r="M341" t="s">
        <v>23</v>
      </c>
      <c r="N341" s="41" t="s">
        <v>22</v>
      </c>
      <c r="O341" s="41" t="s">
        <v>22</v>
      </c>
      <c r="P341" s="41" t="s">
        <v>22</v>
      </c>
      <c r="R341" s="41" t="s">
        <v>22</v>
      </c>
      <c r="S341" s="41" t="s">
        <v>22</v>
      </c>
      <c r="T341" s="41">
        <v>15</v>
      </c>
      <c r="U341" s="41">
        <v>15</v>
      </c>
      <c r="V341">
        <v>20200507</v>
      </c>
      <c r="W341" s="16" t="s">
        <v>49</v>
      </c>
      <c r="X341" s="18">
        <v>2008</v>
      </c>
      <c r="Y341" t="s">
        <v>26</v>
      </c>
      <c r="Z341" t="s">
        <v>50</v>
      </c>
      <c r="AC341" t="s">
        <v>514</v>
      </c>
      <c r="AD341" s="41" t="s">
        <v>22</v>
      </c>
      <c r="AE341" s="41" t="s">
        <v>22</v>
      </c>
      <c r="AF341" s="41">
        <v>153</v>
      </c>
      <c r="AG341" s="41" t="s">
        <v>22</v>
      </c>
      <c r="AH341" s="41" t="s">
        <v>22</v>
      </c>
      <c r="AI341" s="41" t="s">
        <v>22</v>
      </c>
      <c r="AJ341" s="41" t="s">
        <v>22</v>
      </c>
      <c r="AK341" s="41" t="s">
        <v>22</v>
      </c>
      <c r="AL341" s="41" t="s">
        <v>22</v>
      </c>
      <c r="AM341" s="43" t="e">
        <f t="shared" si="174"/>
        <v>#VALUE!</v>
      </c>
      <c r="AN341" s="43" t="e">
        <f t="shared" si="175"/>
        <v>#VALUE!</v>
      </c>
      <c r="AO341" s="3" t="s">
        <v>51</v>
      </c>
      <c r="AT341" s="2">
        <f t="shared" si="176"/>
        <v>2</v>
      </c>
      <c r="AU341" s="45">
        <f t="shared" si="177"/>
        <v>-1.6989700043360187</v>
      </c>
      <c r="AV341" s="45">
        <f t="shared" si="178"/>
        <v>-0.20760831050174613</v>
      </c>
      <c r="AW341" s="45">
        <f t="shared" si="179"/>
        <v>-1.494850021680094</v>
      </c>
      <c r="AX341" s="45" t="e">
        <f t="shared" si="180"/>
        <v>#VALUE!</v>
      </c>
      <c r="AY341" s="45" t="e">
        <f t="shared" si="181"/>
        <v>#VALUE!</v>
      </c>
      <c r="AZ341" s="45" t="e">
        <f t="shared" si="182"/>
        <v>#VALUE!</v>
      </c>
      <c r="BA341" s="45" t="e">
        <f t="shared" si="183"/>
        <v>#VALUE!</v>
      </c>
      <c r="BB341" s="45" t="e">
        <f t="shared" si="184"/>
        <v>#VALUE!</v>
      </c>
      <c r="BC341" s="45">
        <f t="shared" si="185"/>
        <v>1.1760912590556813</v>
      </c>
      <c r="BD341" s="45" t="e">
        <f t="shared" si="186"/>
        <v>#VALUE!</v>
      </c>
      <c r="BE341" s="45">
        <f t="shared" si="187"/>
        <v>2.1846914308175989</v>
      </c>
      <c r="BF341" s="45" t="e">
        <f t="shared" si="188"/>
        <v>#VALUE!</v>
      </c>
      <c r="BG341" s="45" t="e">
        <f t="shared" si="189"/>
        <v>#VALUE!</v>
      </c>
      <c r="BH341" s="45" t="e">
        <f t="shared" si="190"/>
        <v>#NUM!</v>
      </c>
      <c r="BI341" s="43">
        <f t="shared" si="191"/>
        <v>2.1846914308175989</v>
      </c>
      <c r="CA341" s="41" t="s">
        <v>22</v>
      </c>
      <c r="CC341" t="s">
        <v>22</v>
      </c>
      <c r="CE341" s="41" t="s">
        <v>22</v>
      </c>
      <c r="CF341" s="41" t="s">
        <v>22</v>
      </c>
      <c r="CG341" s="41" t="e">
        <f t="shared" ref="CG341:CG372" si="194">AD341*1000</f>
        <v>#VALUE!</v>
      </c>
      <c r="CH341" s="41" t="e">
        <f t="shared" ref="CH341:CH372" si="195">LOG10(CG341)</f>
        <v>#VALUE!</v>
      </c>
      <c r="CI341" s="41">
        <f t="shared" ref="CI341:CI372" si="196">IF(ISNUMBER(CG341),CG341,U341)</f>
        <v>15</v>
      </c>
      <c r="CJ341" s="41">
        <f t="shared" ref="CJ341:CJ372" si="197">LOG10(CI341)</f>
        <v>1.1760912590556813</v>
      </c>
      <c r="CL341" s="9" t="s">
        <v>1269</v>
      </c>
      <c r="CM341" s="18" t="s">
        <v>1285</v>
      </c>
      <c r="CN341" s="54" t="s">
        <v>1284</v>
      </c>
      <c r="CO341" s="18" t="s">
        <v>1284</v>
      </c>
    </row>
    <row r="342" spans="1:93" x14ac:dyDescent="0.25">
      <c r="A342" t="s">
        <v>342</v>
      </c>
      <c r="B342" s="41">
        <v>1.4999999999999999E-2</v>
      </c>
      <c r="C342" s="41">
        <v>0.54</v>
      </c>
      <c r="D342" s="41">
        <v>2.7799999999999998E-2</v>
      </c>
      <c r="E342" s="41" t="s">
        <v>22</v>
      </c>
      <c r="F342" t="s">
        <v>22</v>
      </c>
      <c r="G342" t="s">
        <v>22</v>
      </c>
      <c r="H342" t="s">
        <v>22</v>
      </c>
      <c r="I342" t="s">
        <v>22</v>
      </c>
      <c r="J342" s="41" t="s">
        <v>22</v>
      </c>
      <c r="K342" t="s">
        <v>22</v>
      </c>
      <c r="L342" s="41" t="e">
        <f>IF((10^-12)*J342*K342^4=0,"",(10^-12)*J342*K342^4)</f>
        <v>#VALUE!</v>
      </c>
      <c r="M342" t="s">
        <v>23</v>
      </c>
      <c r="N342" s="41" t="s">
        <v>22</v>
      </c>
      <c r="O342" s="41" t="s">
        <v>22</v>
      </c>
      <c r="P342" s="41" t="s">
        <v>22</v>
      </c>
      <c r="R342" s="41" t="s">
        <v>22</v>
      </c>
      <c r="S342" s="41" t="s">
        <v>22</v>
      </c>
      <c r="T342" s="41">
        <v>15</v>
      </c>
      <c r="U342" s="41">
        <v>15</v>
      </c>
      <c r="V342">
        <v>20200511</v>
      </c>
      <c r="W342" s="16" t="s">
        <v>325</v>
      </c>
      <c r="X342" s="18">
        <v>2008</v>
      </c>
      <c r="Y342" t="s">
        <v>328</v>
      </c>
      <c r="Z342" t="s">
        <v>32</v>
      </c>
      <c r="AC342" t="s">
        <v>269</v>
      </c>
      <c r="AD342" s="41" t="s">
        <v>22</v>
      </c>
      <c r="AE342" s="41" t="s">
        <v>22</v>
      </c>
      <c r="AF342" s="41">
        <v>81</v>
      </c>
      <c r="AG342" s="41" t="s">
        <v>22</v>
      </c>
      <c r="AH342" s="41" t="s">
        <v>22</v>
      </c>
      <c r="AI342" s="41" t="s">
        <v>22</v>
      </c>
      <c r="AJ342" s="41" t="s">
        <v>22</v>
      </c>
      <c r="AK342" s="41" t="s">
        <v>22</v>
      </c>
      <c r="AL342" s="41" t="s">
        <v>22</v>
      </c>
      <c r="AM342" s="43" t="e">
        <f t="shared" si="174"/>
        <v>#VALUE!</v>
      </c>
      <c r="AN342" s="43" t="e">
        <f t="shared" si="175"/>
        <v>#VALUE!</v>
      </c>
      <c r="AO342" s="3" t="s">
        <v>51</v>
      </c>
      <c r="AT342" s="2">
        <f t="shared" si="176"/>
        <v>2</v>
      </c>
      <c r="AU342" s="45">
        <f t="shared" si="177"/>
        <v>-1.8239087409443189</v>
      </c>
      <c r="AV342" s="45">
        <f t="shared" si="178"/>
        <v>-0.26760624017703144</v>
      </c>
      <c r="AW342" s="45">
        <f t="shared" si="179"/>
        <v>-1.5559552040819238</v>
      </c>
      <c r="AX342" s="45" t="e">
        <f t="shared" si="180"/>
        <v>#VALUE!</v>
      </c>
      <c r="AY342" s="45" t="e">
        <f t="shared" si="181"/>
        <v>#VALUE!</v>
      </c>
      <c r="AZ342" s="45" t="e">
        <f t="shared" si="182"/>
        <v>#VALUE!</v>
      </c>
      <c r="BA342" s="45" t="e">
        <f t="shared" si="183"/>
        <v>#VALUE!</v>
      </c>
      <c r="BB342" s="45" t="e">
        <f t="shared" si="184"/>
        <v>#VALUE!</v>
      </c>
      <c r="BC342" s="45">
        <f t="shared" si="185"/>
        <v>1.1760912590556813</v>
      </c>
      <c r="BD342" s="45" t="e">
        <f t="shared" si="186"/>
        <v>#VALUE!</v>
      </c>
      <c r="BE342" s="45">
        <f t="shared" si="187"/>
        <v>1.9084850188786497</v>
      </c>
      <c r="BF342" s="45" t="e">
        <f t="shared" si="188"/>
        <v>#VALUE!</v>
      </c>
      <c r="BG342" s="45" t="e">
        <f t="shared" si="189"/>
        <v>#VALUE!</v>
      </c>
      <c r="BH342" s="45" t="e">
        <f t="shared" si="190"/>
        <v>#NUM!</v>
      </c>
      <c r="BI342" s="43">
        <f t="shared" si="191"/>
        <v>1.9084850188786497</v>
      </c>
      <c r="CA342" s="41" t="s">
        <v>22</v>
      </c>
      <c r="CC342" t="s">
        <v>22</v>
      </c>
      <c r="CE342" s="41" t="s">
        <v>22</v>
      </c>
      <c r="CF342" s="41" t="s">
        <v>22</v>
      </c>
      <c r="CG342" s="41" t="e">
        <f t="shared" si="194"/>
        <v>#VALUE!</v>
      </c>
      <c r="CH342" s="41" t="e">
        <f t="shared" si="195"/>
        <v>#VALUE!</v>
      </c>
      <c r="CI342" s="41">
        <f t="shared" si="196"/>
        <v>15</v>
      </c>
      <c r="CJ342" s="41">
        <f t="shared" si="197"/>
        <v>1.1760912590556813</v>
      </c>
      <c r="CL342" s="9" t="s">
        <v>1269</v>
      </c>
      <c r="CM342" s="18" t="s">
        <v>1285</v>
      </c>
      <c r="CN342" s="54" t="s">
        <v>1284</v>
      </c>
      <c r="CO342" s="18" t="s">
        <v>1284</v>
      </c>
    </row>
    <row r="343" spans="1:93" x14ac:dyDescent="0.25">
      <c r="A343" t="s">
        <v>141</v>
      </c>
      <c r="B343" s="41">
        <v>8.0000000000000002E-3</v>
      </c>
      <c r="C343" s="41" t="s">
        <v>22</v>
      </c>
      <c r="D343" s="41" t="s">
        <v>22</v>
      </c>
      <c r="F343">
        <v>0.85</v>
      </c>
      <c r="G343" t="s">
        <v>78</v>
      </c>
      <c r="H343">
        <v>20.2</v>
      </c>
      <c r="I343" t="s">
        <v>82</v>
      </c>
      <c r="J343" s="41" t="s">
        <v>22</v>
      </c>
      <c r="K343" t="s">
        <v>22</v>
      </c>
      <c r="L343" s="41" t="s">
        <v>22</v>
      </c>
      <c r="M343" t="s">
        <v>23</v>
      </c>
      <c r="N343" s="41">
        <v>150</v>
      </c>
      <c r="O343" s="41" t="s">
        <v>22</v>
      </c>
      <c r="P343" s="41">
        <v>69</v>
      </c>
      <c r="R343" s="41">
        <f>N343*B343</f>
        <v>1.2</v>
      </c>
      <c r="S343" s="41" t="s">
        <v>22</v>
      </c>
      <c r="T343" s="41">
        <v>50</v>
      </c>
      <c r="U343" s="41">
        <v>50</v>
      </c>
      <c r="V343">
        <v>20200512</v>
      </c>
      <c r="X343" s="6">
        <v>2008</v>
      </c>
      <c r="Y343" t="s">
        <v>143</v>
      </c>
      <c r="AC343" t="s">
        <v>269</v>
      </c>
      <c r="AD343" s="41" t="s">
        <v>497</v>
      </c>
      <c r="AE343" s="41" t="s">
        <v>22</v>
      </c>
      <c r="AF343" s="41" t="s">
        <v>22</v>
      </c>
      <c r="AG343" s="41" t="s">
        <v>22</v>
      </c>
      <c r="AH343" s="41" t="s">
        <v>22</v>
      </c>
      <c r="AI343" s="41" t="s">
        <v>22</v>
      </c>
      <c r="AJ343" s="41" t="s">
        <v>22</v>
      </c>
      <c r="AK343" s="41" t="s">
        <v>22</v>
      </c>
      <c r="AL343" s="41" t="s">
        <v>22</v>
      </c>
      <c r="AM343" s="43" t="e">
        <f t="shared" si="174"/>
        <v>#VALUE!</v>
      </c>
      <c r="AN343" s="43" t="e">
        <f t="shared" si="175"/>
        <v>#VALUE!</v>
      </c>
      <c r="AO343" s="3" t="s">
        <v>137</v>
      </c>
      <c r="AT343" s="2">
        <f t="shared" si="176"/>
        <v>2</v>
      </c>
      <c r="AU343" s="45">
        <f t="shared" si="177"/>
        <v>-2.0969100130080562</v>
      </c>
      <c r="AV343" s="45" t="e">
        <f t="shared" si="178"/>
        <v>#VALUE!</v>
      </c>
      <c r="AW343" s="45" t="e">
        <f t="shared" si="179"/>
        <v>#VALUE!</v>
      </c>
      <c r="AX343" s="45">
        <f t="shared" si="180"/>
        <v>2.1760912590556813</v>
      </c>
      <c r="AY343" s="45" t="e">
        <f t="shared" si="181"/>
        <v>#VALUE!</v>
      </c>
      <c r="AZ343" s="45">
        <f t="shared" si="182"/>
        <v>1.8388490907372552</v>
      </c>
      <c r="BA343" s="45" t="e">
        <f t="shared" si="183"/>
        <v>#VALUE!</v>
      </c>
      <c r="BB343" s="45" t="e">
        <f t="shared" si="184"/>
        <v>#VALUE!</v>
      </c>
      <c r="BC343" s="45">
        <f t="shared" si="185"/>
        <v>1.6989700043360187</v>
      </c>
      <c r="BD343" s="45" t="e">
        <f t="shared" si="186"/>
        <v>#VALUE!</v>
      </c>
      <c r="BE343" s="45" t="e">
        <f t="shared" si="187"/>
        <v>#VALUE!</v>
      </c>
      <c r="BF343" s="45" t="e">
        <f t="shared" si="188"/>
        <v>#VALUE!</v>
      </c>
      <c r="BG343" s="45" t="e">
        <f t="shared" si="189"/>
        <v>#VALUE!</v>
      </c>
      <c r="BH343" s="45" t="e">
        <f t="shared" si="190"/>
        <v>#NUM!</v>
      </c>
      <c r="BI343" s="43" t="e">
        <f t="shared" si="191"/>
        <v>#VALUE!</v>
      </c>
      <c r="CA343" s="41" t="s">
        <v>22</v>
      </c>
      <c r="CC343" t="s">
        <v>22</v>
      </c>
      <c r="CE343" s="41" t="s">
        <v>22</v>
      </c>
      <c r="CF343" s="41" t="s">
        <v>22</v>
      </c>
      <c r="CG343" s="41" t="e">
        <f t="shared" si="194"/>
        <v>#VALUE!</v>
      </c>
      <c r="CH343" s="41" t="e">
        <f t="shared" si="195"/>
        <v>#VALUE!</v>
      </c>
      <c r="CI343" s="41">
        <f t="shared" si="196"/>
        <v>50</v>
      </c>
      <c r="CJ343" s="41">
        <f t="shared" si="197"/>
        <v>1.6989700043360187</v>
      </c>
      <c r="CL343" s="9" t="s">
        <v>1269</v>
      </c>
      <c r="CM343" s="18" t="s">
        <v>1285</v>
      </c>
      <c r="CN343" s="54" t="s">
        <v>1284</v>
      </c>
      <c r="CO343" s="18" t="s">
        <v>1284</v>
      </c>
    </row>
    <row r="344" spans="1:93" x14ac:dyDescent="0.25">
      <c r="A344" t="s">
        <v>141</v>
      </c>
      <c r="B344" s="41">
        <v>0.03</v>
      </c>
      <c r="C344" s="41" t="s">
        <v>22</v>
      </c>
      <c r="D344" s="41" t="s">
        <v>22</v>
      </c>
      <c r="F344">
        <v>0.92</v>
      </c>
      <c r="G344" t="s">
        <v>78</v>
      </c>
      <c r="H344">
        <v>15.6</v>
      </c>
      <c r="I344" t="s">
        <v>82</v>
      </c>
      <c r="J344" s="41" t="s">
        <v>22</v>
      </c>
      <c r="K344" t="s">
        <v>22</v>
      </c>
      <c r="L344" s="41" t="s">
        <v>22</v>
      </c>
      <c r="M344" t="s">
        <v>45</v>
      </c>
      <c r="N344" s="41">
        <v>170</v>
      </c>
      <c r="O344" s="41" t="s">
        <v>22</v>
      </c>
      <c r="P344" s="41">
        <v>142</v>
      </c>
      <c r="R344" s="41">
        <f>N344*B344</f>
        <v>5.0999999999999996</v>
      </c>
      <c r="S344" s="41" t="s">
        <v>22</v>
      </c>
      <c r="T344" s="41">
        <v>62</v>
      </c>
      <c r="U344" s="41">
        <v>62</v>
      </c>
      <c r="V344">
        <v>20200512</v>
      </c>
      <c r="W344" s="16" t="s">
        <v>496</v>
      </c>
      <c r="X344" s="6">
        <v>2008</v>
      </c>
      <c r="Y344" t="s">
        <v>143</v>
      </c>
      <c r="AC344" t="s">
        <v>269</v>
      </c>
      <c r="AD344" s="41" t="s">
        <v>497</v>
      </c>
      <c r="AE344" s="41" t="s">
        <v>22</v>
      </c>
      <c r="AF344" s="41" t="s">
        <v>22</v>
      </c>
      <c r="AG344" s="41" t="s">
        <v>22</v>
      </c>
      <c r="AH344" s="41" t="s">
        <v>22</v>
      </c>
      <c r="AI344" s="41" t="s">
        <v>22</v>
      </c>
      <c r="AJ344" s="41" t="s">
        <v>22</v>
      </c>
      <c r="AK344" s="41" t="s">
        <v>22</v>
      </c>
      <c r="AL344" s="41" t="s">
        <v>22</v>
      </c>
      <c r="AM344" s="43" t="e">
        <f t="shared" si="174"/>
        <v>#VALUE!</v>
      </c>
      <c r="AN344" s="43" t="e">
        <f t="shared" si="175"/>
        <v>#VALUE!</v>
      </c>
      <c r="AO344" s="3" t="s">
        <v>137</v>
      </c>
      <c r="AT344" s="2">
        <f t="shared" si="176"/>
        <v>2</v>
      </c>
      <c r="AU344" s="45">
        <f t="shared" si="177"/>
        <v>-1.5228787452803376</v>
      </c>
      <c r="AV344" s="45" t="e">
        <f t="shared" si="178"/>
        <v>#VALUE!</v>
      </c>
      <c r="AW344" s="45" t="e">
        <f t="shared" si="179"/>
        <v>#VALUE!</v>
      </c>
      <c r="AX344" s="45">
        <f t="shared" si="180"/>
        <v>2.2304489213782741</v>
      </c>
      <c r="AY344" s="45" t="e">
        <f t="shared" si="181"/>
        <v>#VALUE!</v>
      </c>
      <c r="AZ344" s="45">
        <f t="shared" si="182"/>
        <v>2.1522883443830563</v>
      </c>
      <c r="BA344" s="45" t="e">
        <f t="shared" si="183"/>
        <v>#VALUE!</v>
      </c>
      <c r="BB344" s="45" t="e">
        <f t="shared" si="184"/>
        <v>#VALUE!</v>
      </c>
      <c r="BC344" s="45">
        <f t="shared" si="185"/>
        <v>1.7923916894982539</v>
      </c>
      <c r="BD344" s="45" t="e">
        <f t="shared" si="186"/>
        <v>#VALUE!</v>
      </c>
      <c r="BE344" s="45" t="e">
        <f t="shared" si="187"/>
        <v>#VALUE!</v>
      </c>
      <c r="BF344" s="45" t="e">
        <f t="shared" si="188"/>
        <v>#VALUE!</v>
      </c>
      <c r="BG344" s="45" t="e">
        <f t="shared" si="189"/>
        <v>#VALUE!</v>
      </c>
      <c r="BH344" s="45" t="e">
        <f t="shared" si="190"/>
        <v>#NUM!</v>
      </c>
      <c r="BI344" s="43" t="e">
        <f t="shared" si="191"/>
        <v>#VALUE!</v>
      </c>
      <c r="CA344" s="41" t="s">
        <v>22</v>
      </c>
      <c r="CC344" t="s">
        <v>22</v>
      </c>
      <c r="CE344" s="41" t="s">
        <v>22</v>
      </c>
      <c r="CF344" s="41" t="s">
        <v>22</v>
      </c>
      <c r="CG344" s="41" t="e">
        <f t="shared" si="194"/>
        <v>#VALUE!</v>
      </c>
      <c r="CH344" s="41" t="e">
        <f t="shared" si="195"/>
        <v>#VALUE!</v>
      </c>
      <c r="CI344" s="41">
        <f t="shared" si="196"/>
        <v>62</v>
      </c>
      <c r="CJ344" s="41">
        <f t="shared" si="197"/>
        <v>1.7923916894982539</v>
      </c>
      <c r="CL344" s="9" t="s">
        <v>1269</v>
      </c>
      <c r="CM344" s="18" t="s">
        <v>1285</v>
      </c>
      <c r="CN344" s="54" t="s">
        <v>1284</v>
      </c>
      <c r="CO344" s="18" t="s">
        <v>1284</v>
      </c>
    </row>
    <row r="345" spans="1:93" x14ac:dyDescent="0.25">
      <c r="A345" t="s">
        <v>352</v>
      </c>
      <c r="B345" s="41" t="s">
        <v>22</v>
      </c>
      <c r="C345" s="41">
        <v>2.1</v>
      </c>
      <c r="D345" s="41" t="s">
        <v>22</v>
      </c>
      <c r="E345" s="41" t="s">
        <v>22</v>
      </c>
      <c r="F345" t="s">
        <v>22</v>
      </c>
      <c r="G345" t="s">
        <v>22</v>
      </c>
      <c r="H345" t="s">
        <v>22</v>
      </c>
      <c r="I345" t="s">
        <v>22</v>
      </c>
      <c r="J345" s="41" t="s">
        <v>22</v>
      </c>
      <c r="K345" t="s">
        <v>22</v>
      </c>
      <c r="L345" s="41" t="e">
        <f t="shared" ref="L345:L383" si="198">IF((10^-12)*J345*K345^4=0,"",(10^-12)*J345*K345^4)</f>
        <v>#VALUE!</v>
      </c>
      <c r="M345" t="s">
        <v>23</v>
      </c>
      <c r="N345" s="41">
        <v>10417.858174900364</v>
      </c>
      <c r="O345" s="41">
        <f t="shared" ref="O345:O350" si="199">0.001*N345/C345</f>
        <v>4.96088484519065</v>
      </c>
      <c r="P345" s="41">
        <v>105.24162850154448</v>
      </c>
      <c r="R345" s="41" t="s">
        <v>22</v>
      </c>
      <c r="S345" s="41" t="s">
        <v>22</v>
      </c>
      <c r="T345" s="41">
        <v>14.72</v>
      </c>
      <c r="U345" s="41">
        <v>14.72</v>
      </c>
      <c r="V345">
        <v>20200512</v>
      </c>
      <c r="W345" s="16" t="s">
        <v>923</v>
      </c>
      <c r="X345" s="18">
        <v>2008</v>
      </c>
      <c r="Y345" t="s">
        <v>527</v>
      </c>
      <c r="Z345" t="s">
        <v>32</v>
      </c>
      <c r="AC345" t="s">
        <v>514</v>
      </c>
      <c r="AD345" s="41" t="s">
        <v>22</v>
      </c>
      <c r="AE345" s="41" t="s">
        <v>22</v>
      </c>
      <c r="AF345" s="41" t="s">
        <v>22</v>
      </c>
      <c r="AG345" s="41" t="s">
        <v>22</v>
      </c>
      <c r="AH345" s="41" t="s">
        <v>22</v>
      </c>
      <c r="AI345" s="41" t="s">
        <v>22</v>
      </c>
      <c r="AJ345" s="41" t="s">
        <v>22</v>
      </c>
      <c r="AK345" s="41" t="s">
        <v>22</v>
      </c>
      <c r="AL345" s="41" t="s">
        <v>22</v>
      </c>
      <c r="AM345" s="43" t="e">
        <f t="shared" si="174"/>
        <v>#VALUE!</v>
      </c>
      <c r="AN345" s="43" t="e">
        <f t="shared" si="175"/>
        <v>#VALUE!</v>
      </c>
      <c r="AO345" s="3" t="s">
        <v>358</v>
      </c>
      <c r="AT345" s="2">
        <f t="shared" si="176"/>
        <v>6</v>
      </c>
      <c r="AU345" s="45" t="e">
        <f t="shared" si="177"/>
        <v>#VALUE!</v>
      </c>
      <c r="AV345" s="45">
        <f t="shared" si="178"/>
        <v>0.3222192947339193</v>
      </c>
      <c r="AW345" s="45" t="e">
        <f t="shared" si="179"/>
        <v>#VALUE!</v>
      </c>
      <c r="AX345" s="45">
        <f t="shared" si="180"/>
        <v>4.017778440802819</v>
      </c>
      <c r="AY345" s="45">
        <f t="shared" si="181"/>
        <v>0.69555914606890001</v>
      </c>
      <c r="AZ345" s="45">
        <f t="shared" si="182"/>
        <v>2.0221875597078744</v>
      </c>
      <c r="BA345" s="45" t="e">
        <f t="shared" si="183"/>
        <v>#VALUE!</v>
      </c>
      <c r="BB345" s="45" t="e">
        <f t="shared" si="184"/>
        <v>#VALUE!</v>
      </c>
      <c r="BC345" s="45">
        <f t="shared" si="185"/>
        <v>1.1679078100014801</v>
      </c>
      <c r="BD345" s="45" t="e">
        <f t="shared" si="186"/>
        <v>#VALUE!</v>
      </c>
      <c r="BE345" s="45" t="e">
        <f t="shared" si="187"/>
        <v>#VALUE!</v>
      </c>
      <c r="BF345" s="45" t="e">
        <f t="shared" si="188"/>
        <v>#VALUE!</v>
      </c>
      <c r="BG345" s="45" t="e">
        <f t="shared" si="189"/>
        <v>#VALUE!</v>
      </c>
      <c r="BH345" s="45" t="e">
        <f t="shared" si="190"/>
        <v>#NUM!</v>
      </c>
      <c r="BI345" s="43" t="e">
        <f t="shared" si="191"/>
        <v>#VALUE!</v>
      </c>
      <c r="CA345" s="41" t="s">
        <v>22</v>
      </c>
      <c r="CC345" t="s">
        <v>22</v>
      </c>
      <c r="CE345" s="41" t="s">
        <v>22</v>
      </c>
      <c r="CF345" s="41" t="s">
        <v>22</v>
      </c>
      <c r="CG345" s="41" t="e">
        <f t="shared" si="194"/>
        <v>#VALUE!</v>
      </c>
      <c r="CH345" s="41" t="e">
        <f t="shared" si="195"/>
        <v>#VALUE!</v>
      </c>
      <c r="CI345" s="41">
        <f t="shared" si="196"/>
        <v>14.72</v>
      </c>
      <c r="CJ345" s="41">
        <f t="shared" si="197"/>
        <v>1.1679078100014801</v>
      </c>
      <c r="CL345" s="9" t="s">
        <v>1269</v>
      </c>
      <c r="CM345" s="18" t="s">
        <v>1285</v>
      </c>
      <c r="CN345" s="54" t="s">
        <v>1284</v>
      </c>
      <c r="CO345" s="18" t="s">
        <v>1284</v>
      </c>
    </row>
    <row r="346" spans="1:93" x14ac:dyDescent="0.25">
      <c r="A346" t="s">
        <v>352</v>
      </c>
      <c r="B346" s="41" t="s">
        <v>22</v>
      </c>
      <c r="C346" s="41">
        <v>2.1</v>
      </c>
      <c r="D346" s="41" t="s">
        <v>22</v>
      </c>
      <c r="E346" s="41" t="s">
        <v>22</v>
      </c>
      <c r="F346" t="s">
        <v>22</v>
      </c>
      <c r="G346" t="s">
        <v>22</v>
      </c>
      <c r="H346" t="s">
        <v>22</v>
      </c>
      <c r="I346" t="s">
        <v>22</v>
      </c>
      <c r="J346" s="41" t="s">
        <v>22</v>
      </c>
      <c r="K346" t="s">
        <v>22</v>
      </c>
      <c r="L346" s="41" t="e">
        <f t="shared" si="198"/>
        <v>#VALUE!</v>
      </c>
      <c r="M346" t="s">
        <v>23</v>
      </c>
      <c r="N346" s="41">
        <v>9523.0122649404093</v>
      </c>
      <c r="O346" s="41">
        <f t="shared" si="199"/>
        <v>4.5347677452097184</v>
      </c>
      <c r="P346" s="41">
        <v>90.81490787202263</v>
      </c>
      <c r="R346" s="41" t="s">
        <v>22</v>
      </c>
      <c r="S346" s="41" t="s">
        <v>22</v>
      </c>
      <c r="T346" s="41">
        <v>15.71</v>
      </c>
      <c r="U346" s="41">
        <v>15.71</v>
      </c>
      <c r="V346">
        <v>20200512</v>
      </c>
      <c r="W346" s="21" t="s">
        <v>923</v>
      </c>
      <c r="X346" s="18">
        <v>2008</v>
      </c>
      <c r="Y346" t="s">
        <v>527</v>
      </c>
      <c r="Z346" t="s">
        <v>32</v>
      </c>
      <c r="AC346" t="s">
        <v>514</v>
      </c>
      <c r="AD346" s="41" t="s">
        <v>22</v>
      </c>
      <c r="AE346" s="41" t="s">
        <v>22</v>
      </c>
      <c r="AF346" s="41" t="s">
        <v>22</v>
      </c>
      <c r="AG346" s="41" t="s">
        <v>22</v>
      </c>
      <c r="AH346" s="41" t="s">
        <v>22</v>
      </c>
      <c r="AI346" s="41" t="s">
        <v>22</v>
      </c>
      <c r="AJ346" s="41" t="s">
        <v>22</v>
      </c>
      <c r="AK346" s="41" t="s">
        <v>22</v>
      </c>
      <c r="AL346" s="41" t="s">
        <v>22</v>
      </c>
      <c r="AM346" s="43" t="e">
        <f t="shared" si="174"/>
        <v>#VALUE!</v>
      </c>
      <c r="AN346" s="43" t="e">
        <f t="shared" si="175"/>
        <v>#VALUE!</v>
      </c>
      <c r="AO346" s="19" t="s">
        <v>358</v>
      </c>
      <c r="AT346" s="2">
        <f t="shared" si="176"/>
        <v>6</v>
      </c>
      <c r="AU346" s="45" t="e">
        <f t="shared" si="177"/>
        <v>#VALUE!</v>
      </c>
      <c r="AV346" s="45">
        <f t="shared" si="178"/>
        <v>0.3222192947339193</v>
      </c>
      <c r="AW346" s="45" t="e">
        <f t="shared" si="179"/>
        <v>#VALUE!</v>
      </c>
      <c r="AX346" s="45">
        <f t="shared" si="180"/>
        <v>3.9787743436698797</v>
      </c>
      <c r="AY346" s="45">
        <f t="shared" si="181"/>
        <v>0.65655504893596062</v>
      </c>
      <c r="AZ346" s="45">
        <f t="shared" si="182"/>
        <v>1.9581571467052128</v>
      </c>
      <c r="BA346" s="45" t="e">
        <f t="shared" si="183"/>
        <v>#VALUE!</v>
      </c>
      <c r="BB346" s="45" t="e">
        <f t="shared" si="184"/>
        <v>#VALUE!</v>
      </c>
      <c r="BC346" s="45">
        <f t="shared" si="185"/>
        <v>1.1961761850399732</v>
      </c>
      <c r="BD346" s="45" t="e">
        <f t="shared" si="186"/>
        <v>#VALUE!</v>
      </c>
      <c r="BE346" s="45" t="e">
        <f t="shared" si="187"/>
        <v>#VALUE!</v>
      </c>
      <c r="BF346" s="45" t="e">
        <f t="shared" si="188"/>
        <v>#VALUE!</v>
      </c>
      <c r="BG346" s="45" t="e">
        <f t="shared" si="189"/>
        <v>#VALUE!</v>
      </c>
      <c r="BH346" s="45" t="e">
        <f t="shared" si="190"/>
        <v>#NUM!</v>
      </c>
      <c r="BI346" s="43" t="e">
        <f t="shared" si="191"/>
        <v>#VALUE!</v>
      </c>
      <c r="BL346" s="20"/>
      <c r="CA346" s="41" t="s">
        <v>22</v>
      </c>
      <c r="CC346" t="s">
        <v>22</v>
      </c>
      <c r="CE346" s="41" t="s">
        <v>22</v>
      </c>
      <c r="CF346" s="41" t="s">
        <v>22</v>
      </c>
      <c r="CG346" s="41" t="e">
        <f t="shared" si="194"/>
        <v>#VALUE!</v>
      </c>
      <c r="CH346" s="41" t="e">
        <f t="shared" si="195"/>
        <v>#VALUE!</v>
      </c>
      <c r="CI346" s="41">
        <f t="shared" si="196"/>
        <v>15.71</v>
      </c>
      <c r="CJ346" s="41">
        <f t="shared" si="197"/>
        <v>1.1961761850399732</v>
      </c>
      <c r="CL346" s="9" t="s">
        <v>1269</v>
      </c>
      <c r="CM346" s="18" t="s">
        <v>1285</v>
      </c>
      <c r="CN346" s="54" t="s">
        <v>1284</v>
      </c>
      <c r="CO346" s="18" t="s">
        <v>1284</v>
      </c>
    </row>
    <row r="347" spans="1:93" x14ac:dyDescent="0.25">
      <c r="A347" t="s">
        <v>352</v>
      </c>
      <c r="B347" s="41" t="s">
        <v>22</v>
      </c>
      <c r="C347" s="41">
        <v>2.1</v>
      </c>
      <c r="D347" s="41" t="s">
        <v>22</v>
      </c>
      <c r="E347" s="41" t="s">
        <v>22</v>
      </c>
      <c r="F347" t="s">
        <v>22</v>
      </c>
      <c r="G347" t="s">
        <v>22</v>
      </c>
      <c r="H347" t="s">
        <v>22</v>
      </c>
      <c r="I347" t="s">
        <v>22</v>
      </c>
      <c r="J347" s="41" t="s">
        <v>22</v>
      </c>
      <c r="K347" t="s">
        <v>22</v>
      </c>
      <c r="L347" s="41" t="e">
        <f t="shared" si="198"/>
        <v>#VALUE!</v>
      </c>
      <c r="M347" t="s">
        <v>23</v>
      </c>
      <c r="N347" s="41">
        <v>5069.544685464326</v>
      </c>
      <c r="O347" s="41">
        <f t="shared" si="199"/>
        <v>2.414068897840155</v>
      </c>
      <c r="P347" s="41">
        <v>57.750998736475054</v>
      </c>
      <c r="R347" s="41" t="s">
        <v>22</v>
      </c>
      <c r="S347" s="41" t="s">
        <v>22</v>
      </c>
      <c r="T347" s="41">
        <v>25.97</v>
      </c>
      <c r="U347" s="41">
        <v>25.97</v>
      </c>
      <c r="V347">
        <v>20200512</v>
      </c>
      <c r="W347" s="21" t="s">
        <v>925</v>
      </c>
      <c r="X347" s="18">
        <v>2008</v>
      </c>
      <c r="Y347" t="s">
        <v>527</v>
      </c>
      <c r="Z347" t="s">
        <v>32</v>
      </c>
      <c r="AC347" t="s">
        <v>514</v>
      </c>
      <c r="AD347" s="41" t="s">
        <v>22</v>
      </c>
      <c r="AE347" s="41" t="s">
        <v>22</v>
      </c>
      <c r="AF347" s="41" t="s">
        <v>22</v>
      </c>
      <c r="AG347" s="41" t="s">
        <v>22</v>
      </c>
      <c r="AH347" s="41" t="s">
        <v>22</v>
      </c>
      <c r="AI347" s="41" t="s">
        <v>22</v>
      </c>
      <c r="AJ347" s="41" t="s">
        <v>22</v>
      </c>
      <c r="AK347" s="41" t="s">
        <v>22</v>
      </c>
      <c r="AL347" s="41" t="s">
        <v>22</v>
      </c>
      <c r="AM347" s="43" t="e">
        <f t="shared" si="174"/>
        <v>#VALUE!</v>
      </c>
      <c r="AN347" s="43" t="e">
        <f t="shared" si="175"/>
        <v>#VALUE!</v>
      </c>
      <c r="AO347" s="19" t="s">
        <v>358</v>
      </c>
      <c r="AT347" s="2">
        <f t="shared" si="176"/>
        <v>6</v>
      </c>
      <c r="AU347" s="45" t="e">
        <f t="shared" si="177"/>
        <v>#VALUE!</v>
      </c>
      <c r="AV347" s="45">
        <f t="shared" si="178"/>
        <v>0.3222192947339193</v>
      </c>
      <c r="AW347" s="45" t="e">
        <f t="shared" si="179"/>
        <v>#VALUE!</v>
      </c>
      <c r="AX347" s="45">
        <f t="shared" si="180"/>
        <v>3.7049689554930967</v>
      </c>
      <c r="AY347" s="45">
        <f t="shared" si="181"/>
        <v>0.38274966075917716</v>
      </c>
      <c r="AZ347" s="45">
        <f t="shared" si="182"/>
        <v>1.7615594992479811</v>
      </c>
      <c r="BA347" s="45" t="e">
        <f t="shared" si="183"/>
        <v>#VALUE!</v>
      </c>
      <c r="BB347" s="45" t="e">
        <f t="shared" si="184"/>
        <v>#VALUE!</v>
      </c>
      <c r="BC347" s="45">
        <f t="shared" si="185"/>
        <v>1.4144719496293028</v>
      </c>
      <c r="BD347" s="45" t="e">
        <f t="shared" si="186"/>
        <v>#VALUE!</v>
      </c>
      <c r="BE347" s="45" t="e">
        <f t="shared" si="187"/>
        <v>#VALUE!</v>
      </c>
      <c r="BF347" s="45" t="e">
        <f t="shared" si="188"/>
        <v>#VALUE!</v>
      </c>
      <c r="BG347" s="45" t="e">
        <f t="shared" si="189"/>
        <v>#VALUE!</v>
      </c>
      <c r="BH347" s="45" t="e">
        <f t="shared" si="190"/>
        <v>#NUM!</v>
      </c>
      <c r="BI347" s="43" t="e">
        <f t="shared" si="191"/>
        <v>#VALUE!</v>
      </c>
      <c r="BL347" s="20"/>
      <c r="CA347" s="41" t="s">
        <v>22</v>
      </c>
      <c r="CC347" t="s">
        <v>22</v>
      </c>
      <c r="CE347" s="41" t="s">
        <v>22</v>
      </c>
      <c r="CF347" s="41" t="s">
        <v>22</v>
      </c>
      <c r="CG347" s="41" t="e">
        <f t="shared" si="194"/>
        <v>#VALUE!</v>
      </c>
      <c r="CH347" s="41" t="e">
        <f t="shared" si="195"/>
        <v>#VALUE!</v>
      </c>
      <c r="CI347" s="41">
        <f t="shared" si="196"/>
        <v>25.97</v>
      </c>
      <c r="CJ347" s="41">
        <f t="shared" si="197"/>
        <v>1.4144719496293028</v>
      </c>
      <c r="CL347" s="9" t="s">
        <v>1269</v>
      </c>
      <c r="CM347" s="18" t="s">
        <v>1285</v>
      </c>
      <c r="CN347" s="54" t="s">
        <v>1284</v>
      </c>
      <c r="CO347" s="18" t="s">
        <v>1284</v>
      </c>
    </row>
    <row r="348" spans="1:93" x14ac:dyDescent="0.25">
      <c r="A348" t="s">
        <v>352</v>
      </c>
      <c r="B348" s="41" t="s">
        <v>22</v>
      </c>
      <c r="C348" s="41">
        <v>2.1</v>
      </c>
      <c r="D348" s="41" t="s">
        <v>22</v>
      </c>
      <c r="E348" s="41" t="s">
        <v>22</v>
      </c>
      <c r="F348" t="s">
        <v>22</v>
      </c>
      <c r="G348" t="s">
        <v>22</v>
      </c>
      <c r="H348" t="s">
        <v>22</v>
      </c>
      <c r="I348" t="s">
        <v>22</v>
      </c>
      <c r="J348" s="41" t="s">
        <v>22</v>
      </c>
      <c r="K348" t="s">
        <v>22</v>
      </c>
      <c r="L348" s="41" t="e">
        <f t="shared" si="198"/>
        <v>#VALUE!</v>
      </c>
      <c r="M348" t="s">
        <v>23</v>
      </c>
      <c r="N348" s="41">
        <v>8439.3340166006474</v>
      </c>
      <c r="O348" s="41">
        <f t="shared" si="199"/>
        <v>4.0187304840955456</v>
      </c>
      <c r="P348" s="41">
        <v>95.92023540819271</v>
      </c>
      <c r="R348" s="41" t="s">
        <v>22</v>
      </c>
      <c r="S348" s="41" t="s">
        <v>22</v>
      </c>
      <c r="T348" s="41">
        <v>39.479999999999997</v>
      </c>
      <c r="U348" s="41">
        <v>39.479999999999997</v>
      </c>
      <c r="V348">
        <v>20200512</v>
      </c>
      <c r="W348" s="21" t="s">
        <v>926</v>
      </c>
      <c r="X348">
        <v>2008</v>
      </c>
      <c r="Y348" t="s">
        <v>527</v>
      </c>
      <c r="Z348" s="6" t="s">
        <v>359</v>
      </c>
      <c r="AC348" t="s">
        <v>514</v>
      </c>
      <c r="AD348" s="41" t="s">
        <v>22</v>
      </c>
      <c r="AE348" s="41" t="s">
        <v>22</v>
      </c>
      <c r="AF348" s="41" t="s">
        <v>22</v>
      </c>
      <c r="AG348" s="41" t="s">
        <v>22</v>
      </c>
      <c r="AH348" s="41" t="s">
        <v>22</v>
      </c>
      <c r="AI348" s="41" t="s">
        <v>22</v>
      </c>
      <c r="AJ348" s="41" t="s">
        <v>22</v>
      </c>
      <c r="AK348" s="41" t="s">
        <v>22</v>
      </c>
      <c r="AL348" s="41" t="s">
        <v>22</v>
      </c>
      <c r="AM348" s="43" t="e">
        <f t="shared" si="174"/>
        <v>#VALUE!</v>
      </c>
      <c r="AN348" s="43" t="e">
        <f t="shared" si="175"/>
        <v>#VALUE!</v>
      </c>
      <c r="AO348" s="19" t="s">
        <v>358</v>
      </c>
      <c r="AT348" s="2">
        <f t="shared" si="176"/>
        <v>6</v>
      </c>
      <c r="AU348" s="45" t="e">
        <f t="shared" si="177"/>
        <v>#VALUE!</v>
      </c>
      <c r="AV348" s="45">
        <f t="shared" si="178"/>
        <v>0.3222192947339193</v>
      </c>
      <c r="AW348" s="45" t="e">
        <f t="shared" si="179"/>
        <v>#VALUE!</v>
      </c>
      <c r="AX348" s="45">
        <f t="shared" si="180"/>
        <v>3.9263081759707532</v>
      </c>
      <c r="AY348" s="45">
        <f t="shared" si="181"/>
        <v>0.6040888812368338</v>
      </c>
      <c r="AZ348" s="45">
        <f t="shared" si="182"/>
        <v>1.9819102359410179</v>
      </c>
      <c r="BA348" s="45" t="e">
        <f t="shared" si="183"/>
        <v>#VALUE!</v>
      </c>
      <c r="BB348" s="45" t="e">
        <f t="shared" si="184"/>
        <v>#VALUE!</v>
      </c>
      <c r="BC348" s="45">
        <f t="shared" si="185"/>
        <v>1.5963771439975991</v>
      </c>
      <c r="BD348" s="45" t="e">
        <f t="shared" si="186"/>
        <v>#VALUE!</v>
      </c>
      <c r="BE348" s="45" t="e">
        <f t="shared" si="187"/>
        <v>#VALUE!</v>
      </c>
      <c r="BF348" s="45" t="e">
        <f t="shared" si="188"/>
        <v>#VALUE!</v>
      </c>
      <c r="BG348" s="45" t="e">
        <f t="shared" si="189"/>
        <v>#VALUE!</v>
      </c>
      <c r="BH348" s="45" t="e">
        <f t="shared" si="190"/>
        <v>#NUM!</v>
      </c>
      <c r="BI348" s="43" t="e">
        <f t="shared" si="191"/>
        <v>#VALUE!</v>
      </c>
      <c r="BL348" s="20"/>
      <c r="CA348" s="41" t="s">
        <v>22</v>
      </c>
      <c r="CC348" t="s">
        <v>22</v>
      </c>
      <c r="CE348" s="41" t="s">
        <v>22</v>
      </c>
      <c r="CF348" s="41" t="s">
        <v>22</v>
      </c>
      <c r="CG348" s="41" t="e">
        <f t="shared" si="194"/>
        <v>#VALUE!</v>
      </c>
      <c r="CH348" s="41" t="e">
        <f t="shared" si="195"/>
        <v>#VALUE!</v>
      </c>
      <c r="CI348" s="41">
        <f t="shared" si="196"/>
        <v>39.479999999999997</v>
      </c>
      <c r="CJ348" s="41">
        <f t="shared" si="197"/>
        <v>1.5963771439975991</v>
      </c>
      <c r="CL348" s="9" t="s">
        <v>1269</v>
      </c>
      <c r="CM348" s="18" t="s">
        <v>1285</v>
      </c>
      <c r="CN348" s="54" t="s">
        <v>1284</v>
      </c>
      <c r="CO348" s="18" t="s">
        <v>1284</v>
      </c>
    </row>
    <row r="349" spans="1:93" x14ac:dyDescent="0.25">
      <c r="A349" t="s">
        <v>352</v>
      </c>
      <c r="B349" s="41" t="s">
        <v>22</v>
      </c>
      <c r="C349" s="41">
        <v>2.1</v>
      </c>
      <c r="D349" s="41" t="s">
        <v>22</v>
      </c>
      <c r="E349" s="41" t="s">
        <v>22</v>
      </c>
      <c r="F349" t="s">
        <v>22</v>
      </c>
      <c r="G349" t="s">
        <v>22</v>
      </c>
      <c r="H349" t="s">
        <v>22</v>
      </c>
      <c r="I349" t="s">
        <v>22</v>
      </c>
      <c r="J349" s="41" t="s">
        <v>22</v>
      </c>
      <c r="K349" t="s">
        <v>22</v>
      </c>
      <c r="L349" s="41" t="e">
        <f t="shared" si="198"/>
        <v>#VALUE!</v>
      </c>
      <c r="M349" s="18" t="s">
        <v>23</v>
      </c>
      <c r="N349" s="41">
        <v>41620.455568054203</v>
      </c>
      <c r="O349" s="41">
        <f t="shared" si="199"/>
        <v>19.819264556216286</v>
      </c>
      <c r="P349" s="41">
        <v>602.77901167526784</v>
      </c>
      <c r="R349" s="41" t="s">
        <v>22</v>
      </c>
      <c r="S349" s="41" t="s">
        <v>22</v>
      </c>
      <c r="T349" s="41">
        <v>25.87</v>
      </c>
      <c r="U349" s="41">
        <v>25.87</v>
      </c>
      <c r="V349">
        <v>20200512</v>
      </c>
      <c r="W349" s="16" t="s">
        <v>926</v>
      </c>
      <c r="X349">
        <v>2008</v>
      </c>
      <c r="Y349" t="s">
        <v>527</v>
      </c>
      <c r="Z349" s="6" t="s">
        <v>359</v>
      </c>
      <c r="AC349" t="s">
        <v>514</v>
      </c>
      <c r="AD349" s="41" t="s">
        <v>22</v>
      </c>
      <c r="AE349" s="41" t="s">
        <v>22</v>
      </c>
      <c r="AF349" s="41" t="s">
        <v>22</v>
      </c>
      <c r="AG349" s="41" t="s">
        <v>22</v>
      </c>
      <c r="AH349" s="41" t="s">
        <v>22</v>
      </c>
      <c r="AI349" s="41" t="s">
        <v>22</v>
      </c>
      <c r="AJ349" s="41" t="s">
        <v>22</v>
      </c>
      <c r="AK349" s="41" t="s">
        <v>22</v>
      </c>
      <c r="AL349" s="41" t="s">
        <v>22</v>
      </c>
      <c r="AM349" s="43" t="e">
        <f t="shared" si="174"/>
        <v>#VALUE!</v>
      </c>
      <c r="AN349" s="43" t="e">
        <f t="shared" si="175"/>
        <v>#VALUE!</v>
      </c>
      <c r="AO349" s="19" t="s">
        <v>358</v>
      </c>
      <c r="AT349" s="2">
        <f t="shared" si="176"/>
        <v>6</v>
      </c>
      <c r="AU349" s="45" t="e">
        <f t="shared" si="177"/>
        <v>#VALUE!</v>
      </c>
      <c r="AV349" s="45">
        <f t="shared" si="178"/>
        <v>0.3222192947339193</v>
      </c>
      <c r="AW349" s="45" t="e">
        <f t="shared" si="179"/>
        <v>#VALUE!</v>
      </c>
      <c r="AX349" s="45">
        <f t="shared" si="180"/>
        <v>4.619306829590391</v>
      </c>
      <c r="AY349" s="45">
        <f t="shared" si="181"/>
        <v>1.2970875348564714</v>
      </c>
      <c r="AZ349" s="45">
        <f t="shared" si="182"/>
        <v>2.7801581220893352</v>
      </c>
      <c r="BA349" s="45" t="e">
        <f t="shared" si="183"/>
        <v>#VALUE!</v>
      </c>
      <c r="BB349" s="45" t="e">
        <f t="shared" si="184"/>
        <v>#VALUE!</v>
      </c>
      <c r="BC349" s="45">
        <f t="shared" si="185"/>
        <v>1.4127964287165435</v>
      </c>
      <c r="BD349" s="45" t="e">
        <f t="shared" si="186"/>
        <v>#VALUE!</v>
      </c>
      <c r="BE349" s="45" t="e">
        <f t="shared" si="187"/>
        <v>#VALUE!</v>
      </c>
      <c r="BF349" s="45" t="e">
        <f t="shared" si="188"/>
        <v>#VALUE!</v>
      </c>
      <c r="BG349" s="45" t="e">
        <f t="shared" si="189"/>
        <v>#VALUE!</v>
      </c>
      <c r="BH349" s="45" t="e">
        <f t="shared" si="190"/>
        <v>#NUM!</v>
      </c>
      <c r="BI349" s="43" t="e">
        <f t="shared" si="191"/>
        <v>#VALUE!</v>
      </c>
      <c r="CA349" s="41" t="s">
        <v>22</v>
      </c>
      <c r="CB349" s="18"/>
      <c r="CC349" t="s">
        <v>22</v>
      </c>
      <c r="CE349" s="41" t="s">
        <v>22</v>
      </c>
      <c r="CF349" s="41" t="s">
        <v>22</v>
      </c>
      <c r="CG349" s="41" t="e">
        <f t="shared" si="194"/>
        <v>#VALUE!</v>
      </c>
      <c r="CH349" s="41" t="e">
        <f t="shared" si="195"/>
        <v>#VALUE!</v>
      </c>
      <c r="CI349" s="41">
        <f t="shared" si="196"/>
        <v>25.87</v>
      </c>
      <c r="CJ349" s="41">
        <f t="shared" si="197"/>
        <v>1.4127964287165435</v>
      </c>
      <c r="CL349" s="9" t="s">
        <v>1269</v>
      </c>
      <c r="CM349" s="18" t="s">
        <v>1285</v>
      </c>
      <c r="CN349" s="54" t="s">
        <v>1284</v>
      </c>
      <c r="CO349" s="18" t="s">
        <v>1284</v>
      </c>
    </row>
    <row r="350" spans="1:93" x14ac:dyDescent="0.25">
      <c r="A350" t="s">
        <v>352</v>
      </c>
      <c r="B350" s="41" t="s">
        <v>22</v>
      </c>
      <c r="C350" s="41">
        <v>2.1</v>
      </c>
      <c r="D350" s="41" t="s">
        <v>22</v>
      </c>
      <c r="E350" s="41" t="s">
        <v>22</v>
      </c>
      <c r="F350" t="s">
        <v>22</v>
      </c>
      <c r="G350" t="s">
        <v>22</v>
      </c>
      <c r="H350" t="s">
        <v>22</v>
      </c>
      <c r="I350" t="s">
        <v>22</v>
      </c>
      <c r="J350" s="41" t="s">
        <v>22</v>
      </c>
      <c r="K350" t="s">
        <v>22</v>
      </c>
      <c r="L350" s="41" t="e">
        <f t="shared" si="198"/>
        <v>#VALUE!</v>
      </c>
      <c r="M350" t="s">
        <v>23</v>
      </c>
      <c r="N350" s="41">
        <v>32094.009427689394</v>
      </c>
      <c r="O350" s="41">
        <f t="shared" si="199"/>
        <v>15.282861632233043</v>
      </c>
      <c r="P350" s="41">
        <v>541.01330178104979</v>
      </c>
      <c r="R350" s="41" t="s">
        <v>22</v>
      </c>
      <c r="S350" s="41" t="s">
        <v>22</v>
      </c>
      <c r="T350" s="41">
        <v>49.01</v>
      </c>
      <c r="U350" s="41">
        <v>49.01</v>
      </c>
      <c r="V350">
        <v>20200512</v>
      </c>
      <c r="W350" s="16" t="s">
        <v>926</v>
      </c>
      <c r="X350">
        <v>2008</v>
      </c>
      <c r="Y350" t="s">
        <v>527</v>
      </c>
      <c r="Z350" s="6" t="s">
        <v>359</v>
      </c>
      <c r="AC350" t="s">
        <v>514</v>
      </c>
      <c r="AD350" s="41" t="s">
        <v>22</v>
      </c>
      <c r="AE350" s="41" t="s">
        <v>22</v>
      </c>
      <c r="AF350" s="41" t="s">
        <v>22</v>
      </c>
      <c r="AG350" s="41" t="s">
        <v>22</v>
      </c>
      <c r="AH350" s="41" t="s">
        <v>22</v>
      </c>
      <c r="AI350" s="41" t="s">
        <v>22</v>
      </c>
      <c r="AJ350" s="41" t="s">
        <v>22</v>
      </c>
      <c r="AK350" s="41" t="s">
        <v>22</v>
      </c>
      <c r="AL350" s="41" t="s">
        <v>22</v>
      </c>
      <c r="AM350" s="43" t="e">
        <f t="shared" si="174"/>
        <v>#VALUE!</v>
      </c>
      <c r="AN350" s="43" t="e">
        <f t="shared" si="175"/>
        <v>#VALUE!</v>
      </c>
      <c r="AO350" s="3" t="s">
        <v>358</v>
      </c>
      <c r="AT350" s="2">
        <f t="shared" si="176"/>
        <v>6</v>
      </c>
      <c r="AU350" s="45" t="e">
        <f t="shared" si="177"/>
        <v>#VALUE!</v>
      </c>
      <c r="AV350" s="45">
        <f t="shared" si="178"/>
        <v>0.3222192947339193</v>
      </c>
      <c r="AW350" s="45" t="e">
        <f t="shared" si="179"/>
        <v>#VALUE!</v>
      </c>
      <c r="AX350" s="45">
        <f t="shared" si="180"/>
        <v>4.5064239758536866</v>
      </c>
      <c r="AY350" s="45">
        <f t="shared" si="181"/>
        <v>1.1842046811197673</v>
      </c>
      <c r="AZ350" s="45">
        <f t="shared" si="182"/>
        <v>2.7332079431455552</v>
      </c>
      <c r="BA350" s="45" t="e">
        <f t="shared" si="183"/>
        <v>#VALUE!</v>
      </c>
      <c r="BB350" s="45" t="e">
        <f t="shared" si="184"/>
        <v>#VALUE!</v>
      </c>
      <c r="BC350" s="45">
        <f t="shared" si="185"/>
        <v>1.6902847025126295</v>
      </c>
      <c r="BD350" s="45" t="e">
        <f t="shared" si="186"/>
        <v>#VALUE!</v>
      </c>
      <c r="BE350" s="45" t="e">
        <f t="shared" si="187"/>
        <v>#VALUE!</v>
      </c>
      <c r="BF350" s="45" t="e">
        <f t="shared" si="188"/>
        <v>#VALUE!</v>
      </c>
      <c r="BG350" s="45" t="e">
        <f t="shared" si="189"/>
        <v>#VALUE!</v>
      </c>
      <c r="BH350" s="45" t="e">
        <f t="shared" si="190"/>
        <v>#NUM!</v>
      </c>
      <c r="BI350" s="43" t="e">
        <f t="shared" si="191"/>
        <v>#VALUE!</v>
      </c>
      <c r="CA350" s="41" t="s">
        <v>22</v>
      </c>
      <c r="CC350" t="s">
        <v>22</v>
      </c>
      <c r="CE350" s="41" t="s">
        <v>22</v>
      </c>
      <c r="CF350" s="41" t="s">
        <v>22</v>
      </c>
      <c r="CG350" s="41" t="e">
        <f t="shared" si="194"/>
        <v>#VALUE!</v>
      </c>
      <c r="CH350" s="41" t="e">
        <f t="shared" si="195"/>
        <v>#VALUE!</v>
      </c>
      <c r="CI350" s="41">
        <f t="shared" si="196"/>
        <v>49.01</v>
      </c>
      <c r="CJ350" s="41">
        <f t="shared" si="197"/>
        <v>1.6902847025126295</v>
      </c>
      <c r="CL350" s="9" t="s">
        <v>1269</v>
      </c>
      <c r="CM350" s="18" t="s">
        <v>1285</v>
      </c>
      <c r="CN350" s="54" t="s">
        <v>1284</v>
      </c>
      <c r="CO350" s="18" t="s">
        <v>1284</v>
      </c>
    </row>
    <row r="351" spans="1:93" x14ac:dyDescent="0.25">
      <c r="A351" t="s">
        <v>141</v>
      </c>
      <c r="B351" s="41">
        <f>5*(10^4)*10^-6</f>
        <v>4.9999999999999996E-2</v>
      </c>
      <c r="C351" s="41" t="s">
        <v>22</v>
      </c>
      <c r="D351" s="41" t="s">
        <v>22</v>
      </c>
      <c r="E351" s="41" t="s">
        <v>22</v>
      </c>
      <c r="F351">
        <v>2.7</v>
      </c>
      <c r="G351" t="s">
        <v>52</v>
      </c>
      <c r="H351">
        <v>33</v>
      </c>
      <c r="I351" t="s">
        <v>82</v>
      </c>
      <c r="J351" s="41" t="s">
        <v>22</v>
      </c>
      <c r="L351" s="41" t="e">
        <f t="shared" si="198"/>
        <v>#VALUE!</v>
      </c>
      <c r="M351" t="s">
        <v>23</v>
      </c>
      <c r="N351" s="41">
        <v>350</v>
      </c>
      <c r="O351" s="41" t="s">
        <v>22</v>
      </c>
      <c r="P351" s="41">
        <v>25</v>
      </c>
      <c r="R351" s="41">
        <f>N351*B351</f>
        <v>17.5</v>
      </c>
      <c r="S351" s="41" t="s">
        <v>22</v>
      </c>
      <c r="T351" s="41">
        <v>10</v>
      </c>
      <c r="U351" s="41">
        <v>10</v>
      </c>
      <c r="V351">
        <v>20200508</v>
      </c>
      <c r="W351" s="21" t="s">
        <v>53</v>
      </c>
      <c r="X351">
        <v>2008</v>
      </c>
      <c r="Y351" t="s">
        <v>26</v>
      </c>
      <c r="Z351" t="s">
        <v>53</v>
      </c>
      <c r="AC351" t="s">
        <v>514</v>
      </c>
      <c r="AD351" s="41">
        <v>10</v>
      </c>
      <c r="AE351" s="41">
        <v>1590</v>
      </c>
      <c r="AF351" s="41" t="s">
        <v>22</v>
      </c>
      <c r="AG351" s="41" t="s">
        <v>22</v>
      </c>
      <c r="AH351" s="41" t="s">
        <v>22</v>
      </c>
      <c r="AI351" s="41" t="s">
        <v>22</v>
      </c>
      <c r="AJ351" s="41" t="s">
        <v>22</v>
      </c>
      <c r="AK351" s="41" t="s">
        <v>22</v>
      </c>
      <c r="AL351" s="41" t="s">
        <v>22</v>
      </c>
      <c r="AM351" s="43" t="e">
        <f t="shared" si="174"/>
        <v>#VALUE!</v>
      </c>
      <c r="AN351" s="43" t="e">
        <f t="shared" si="175"/>
        <v>#VALUE!</v>
      </c>
      <c r="AO351" s="19" t="s">
        <v>135</v>
      </c>
      <c r="AT351" s="2">
        <f t="shared" si="176"/>
        <v>3</v>
      </c>
      <c r="AU351" s="45">
        <f t="shared" si="177"/>
        <v>-1.3010299956639813</v>
      </c>
      <c r="AV351" s="45" t="e">
        <f t="shared" si="178"/>
        <v>#VALUE!</v>
      </c>
      <c r="AW351" s="45" t="e">
        <f t="shared" si="179"/>
        <v>#VALUE!</v>
      </c>
      <c r="AX351" s="45">
        <f t="shared" si="180"/>
        <v>2.5440680443502757</v>
      </c>
      <c r="AY351" s="45" t="e">
        <f t="shared" si="181"/>
        <v>#VALUE!</v>
      </c>
      <c r="AZ351" s="45">
        <f t="shared" si="182"/>
        <v>1.3979400086720377</v>
      </c>
      <c r="BA351" s="45" t="e">
        <f t="shared" si="183"/>
        <v>#VALUE!</v>
      </c>
      <c r="BB351" s="45" t="e">
        <f t="shared" si="184"/>
        <v>#VALUE!</v>
      </c>
      <c r="BC351" s="45">
        <f t="shared" si="185"/>
        <v>1</v>
      </c>
      <c r="BD351" s="45">
        <f t="shared" si="186"/>
        <v>1</v>
      </c>
      <c r="BE351" s="45" t="e">
        <f t="shared" si="187"/>
        <v>#VALUE!</v>
      </c>
      <c r="BF351" s="45" t="e">
        <f t="shared" si="188"/>
        <v>#VALUE!</v>
      </c>
      <c r="BG351" s="45" t="e">
        <f t="shared" si="189"/>
        <v>#VALUE!</v>
      </c>
      <c r="BH351" s="45" t="e">
        <f t="shared" si="190"/>
        <v>#NUM!</v>
      </c>
      <c r="BI351" s="43" t="e">
        <f t="shared" si="191"/>
        <v>#VALUE!</v>
      </c>
      <c r="BL351" s="20"/>
      <c r="CA351" s="41" t="s">
        <v>22</v>
      </c>
      <c r="CC351" t="s">
        <v>22</v>
      </c>
      <c r="CE351" s="41" t="s">
        <v>22</v>
      </c>
      <c r="CF351" s="41" t="s">
        <v>22</v>
      </c>
      <c r="CG351" s="41">
        <f t="shared" si="194"/>
        <v>10000</v>
      </c>
      <c r="CH351" s="41">
        <f t="shared" si="195"/>
        <v>4</v>
      </c>
      <c r="CI351" s="41">
        <f t="shared" si="196"/>
        <v>10000</v>
      </c>
      <c r="CJ351" s="41">
        <f t="shared" si="197"/>
        <v>4</v>
      </c>
      <c r="CL351" s="9" t="s">
        <v>1269</v>
      </c>
      <c r="CM351" s="18" t="s">
        <v>1283</v>
      </c>
      <c r="CN351" s="54" t="s">
        <v>1284</v>
      </c>
      <c r="CO351" s="18" t="s">
        <v>1284</v>
      </c>
    </row>
    <row r="352" spans="1:93" x14ac:dyDescent="0.25">
      <c r="A352" t="s">
        <v>141</v>
      </c>
      <c r="B352" s="41" t="s">
        <v>22</v>
      </c>
      <c r="C352" s="41" t="s">
        <v>22</v>
      </c>
      <c r="D352" s="41" t="s">
        <v>22</v>
      </c>
      <c r="E352" s="41" t="s">
        <v>22</v>
      </c>
      <c r="F352">
        <v>2.2000000000000002</v>
      </c>
      <c r="G352" t="s">
        <v>52</v>
      </c>
      <c r="H352">
        <v>33</v>
      </c>
      <c r="I352" t="s">
        <v>82</v>
      </c>
      <c r="J352" s="41" t="s">
        <v>22</v>
      </c>
      <c r="L352" s="41" t="e">
        <f t="shared" si="198"/>
        <v>#VALUE!</v>
      </c>
      <c r="M352" t="s">
        <v>23</v>
      </c>
      <c r="N352" s="41">
        <v>400</v>
      </c>
      <c r="O352" s="41" t="s">
        <v>22</v>
      </c>
      <c r="P352" s="41">
        <v>10</v>
      </c>
      <c r="R352" s="41" t="s">
        <v>22</v>
      </c>
      <c r="S352" s="41" t="s">
        <v>22</v>
      </c>
      <c r="T352" s="41">
        <v>10</v>
      </c>
      <c r="U352" s="41">
        <v>10</v>
      </c>
      <c r="V352">
        <v>20200508</v>
      </c>
      <c r="W352" s="16" t="s">
        <v>40</v>
      </c>
      <c r="X352">
        <v>2008</v>
      </c>
      <c r="Y352" t="s">
        <v>26</v>
      </c>
      <c r="Z352" t="s">
        <v>40</v>
      </c>
      <c r="AC352" t="s">
        <v>514</v>
      </c>
      <c r="AD352" s="41">
        <v>10</v>
      </c>
      <c r="AE352" s="41">
        <v>1590</v>
      </c>
      <c r="AF352" s="41" t="s">
        <v>22</v>
      </c>
      <c r="AG352" s="41" t="s">
        <v>22</v>
      </c>
      <c r="AH352" s="41" t="s">
        <v>22</v>
      </c>
      <c r="AI352" s="41" t="s">
        <v>22</v>
      </c>
      <c r="AJ352" s="41" t="s">
        <v>22</v>
      </c>
      <c r="AK352" s="41" t="s">
        <v>22</v>
      </c>
      <c r="AL352" s="41" t="s">
        <v>22</v>
      </c>
      <c r="AM352" s="43" t="e">
        <f t="shared" si="174"/>
        <v>#VALUE!</v>
      </c>
      <c r="AN352" s="43" t="e">
        <f t="shared" si="175"/>
        <v>#VALUE!</v>
      </c>
      <c r="AO352" s="3" t="s">
        <v>135</v>
      </c>
      <c r="AT352" s="2">
        <f t="shared" si="176"/>
        <v>3</v>
      </c>
      <c r="AU352" s="45" t="e">
        <f t="shared" si="177"/>
        <v>#VALUE!</v>
      </c>
      <c r="AV352" s="45" t="e">
        <f t="shared" si="178"/>
        <v>#VALUE!</v>
      </c>
      <c r="AW352" s="45" t="e">
        <f t="shared" si="179"/>
        <v>#VALUE!</v>
      </c>
      <c r="AX352" s="45">
        <f t="shared" si="180"/>
        <v>2.6020599913279625</v>
      </c>
      <c r="AY352" s="45" t="e">
        <f t="shared" si="181"/>
        <v>#VALUE!</v>
      </c>
      <c r="AZ352" s="45">
        <f t="shared" si="182"/>
        <v>1</v>
      </c>
      <c r="BA352" s="45" t="e">
        <f t="shared" si="183"/>
        <v>#VALUE!</v>
      </c>
      <c r="BB352" s="45" t="e">
        <f t="shared" si="184"/>
        <v>#VALUE!</v>
      </c>
      <c r="BC352" s="45">
        <f t="shared" si="185"/>
        <v>1</v>
      </c>
      <c r="BD352" s="45">
        <f t="shared" si="186"/>
        <v>1</v>
      </c>
      <c r="BE352" s="45" t="e">
        <f t="shared" si="187"/>
        <v>#VALUE!</v>
      </c>
      <c r="BF352" s="45" t="e">
        <f t="shared" si="188"/>
        <v>#VALUE!</v>
      </c>
      <c r="BG352" s="45" t="e">
        <f t="shared" si="189"/>
        <v>#VALUE!</v>
      </c>
      <c r="BH352" s="45" t="e">
        <f t="shared" si="190"/>
        <v>#NUM!</v>
      </c>
      <c r="BI352" s="43" t="e">
        <f t="shared" si="191"/>
        <v>#VALUE!</v>
      </c>
      <c r="CA352" s="41" t="s">
        <v>22</v>
      </c>
      <c r="CC352" t="s">
        <v>22</v>
      </c>
      <c r="CE352" s="41" t="s">
        <v>22</v>
      </c>
      <c r="CF352" s="41" t="s">
        <v>22</v>
      </c>
      <c r="CG352" s="41">
        <f t="shared" si="194"/>
        <v>10000</v>
      </c>
      <c r="CH352" s="41">
        <f t="shared" si="195"/>
        <v>4</v>
      </c>
      <c r="CI352" s="41">
        <f t="shared" si="196"/>
        <v>10000</v>
      </c>
      <c r="CJ352" s="41">
        <f t="shared" si="197"/>
        <v>4</v>
      </c>
      <c r="CL352" s="9" t="s">
        <v>1269</v>
      </c>
      <c r="CM352" s="18" t="s">
        <v>1283</v>
      </c>
      <c r="CN352" s="54" t="s">
        <v>1284</v>
      </c>
      <c r="CO352" s="18" t="s">
        <v>1284</v>
      </c>
    </row>
    <row r="353" spans="1:93" x14ac:dyDescent="0.25">
      <c r="A353" t="s">
        <v>141</v>
      </c>
      <c r="B353" s="41" t="s">
        <v>22</v>
      </c>
      <c r="C353" s="41" t="s">
        <v>22</v>
      </c>
      <c r="D353" s="41" t="s">
        <v>22</v>
      </c>
      <c r="E353" s="41" t="s">
        <v>22</v>
      </c>
      <c r="F353" t="s">
        <v>22</v>
      </c>
      <c r="G353" t="s">
        <v>22</v>
      </c>
      <c r="H353" t="s">
        <v>22</v>
      </c>
      <c r="I353" t="s">
        <v>22</v>
      </c>
      <c r="J353" s="41" t="s">
        <v>22</v>
      </c>
      <c r="L353" s="41" t="e">
        <f t="shared" si="198"/>
        <v>#VALUE!</v>
      </c>
      <c r="M353" t="s">
        <v>23</v>
      </c>
      <c r="N353" s="41">
        <v>500</v>
      </c>
      <c r="O353" s="41" t="s">
        <v>22</v>
      </c>
      <c r="P353" s="41">
        <v>8</v>
      </c>
      <c r="R353" s="41" t="s">
        <v>22</v>
      </c>
      <c r="S353" s="41" t="s">
        <v>22</v>
      </c>
      <c r="T353" s="41">
        <v>10</v>
      </c>
      <c r="U353" s="41">
        <v>10</v>
      </c>
      <c r="V353">
        <v>20200508</v>
      </c>
      <c r="W353" s="16" t="s">
        <v>136</v>
      </c>
      <c r="X353" s="18">
        <v>2008</v>
      </c>
      <c r="Y353" t="s">
        <v>26</v>
      </c>
      <c r="Z353" t="s">
        <v>136</v>
      </c>
      <c r="AC353" t="s">
        <v>514</v>
      </c>
      <c r="AD353" s="41">
        <v>10</v>
      </c>
      <c r="AE353" s="41">
        <v>1590</v>
      </c>
      <c r="AF353" s="41" t="s">
        <v>22</v>
      </c>
      <c r="AG353" s="41" t="s">
        <v>22</v>
      </c>
      <c r="AH353" s="41" t="s">
        <v>22</v>
      </c>
      <c r="AI353" s="41" t="s">
        <v>22</v>
      </c>
      <c r="AJ353" s="41" t="s">
        <v>22</v>
      </c>
      <c r="AK353" s="41" t="s">
        <v>22</v>
      </c>
      <c r="AL353" s="41" t="s">
        <v>22</v>
      </c>
      <c r="AM353" s="43" t="e">
        <f t="shared" si="174"/>
        <v>#VALUE!</v>
      </c>
      <c r="AN353" s="43" t="e">
        <f t="shared" si="175"/>
        <v>#VALUE!</v>
      </c>
      <c r="AO353" s="3" t="s">
        <v>135</v>
      </c>
      <c r="AT353" s="2">
        <f t="shared" si="176"/>
        <v>3</v>
      </c>
      <c r="AU353" s="45" t="e">
        <f t="shared" si="177"/>
        <v>#VALUE!</v>
      </c>
      <c r="AV353" s="45" t="e">
        <f t="shared" si="178"/>
        <v>#VALUE!</v>
      </c>
      <c r="AW353" s="45" t="e">
        <f t="shared" si="179"/>
        <v>#VALUE!</v>
      </c>
      <c r="AX353" s="45">
        <f t="shared" si="180"/>
        <v>2.6989700043360187</v>
      </c>
      <c r="AY353" s="45" t="e">
        <f t="shared" si="181"/>
        <v>#VALUE!</v>
      </c>
      <c r="AZ353" s="45">
        <f t="shared" si="182"/>
        <v>0.90308998699194354</v>
      </c>
      <c r="BA353" s="45" t="e">
        <f t="shared" si="183"/>
        <v>#VALUE!</v>
      </c>
      <c r="BB353" s="45" t="e">
        <f t="shared" si="184"/>
        <v>#VALUE!</v>
      </c>
      <c r="BC353" s="45">
        <f t="shared" si="185"/>
        <v>1</v>
      </c>
      <c r="BD353" s="45">
        <f t="shared" si="186"/>
        <v>1</v>
      </c>
      <c r="BE353" s="45" t="e">
        <f t="shared" si="187"/>
        <v>#VALUE!</v>
      </c>
      <c r="BF353" s="45" t="e">
        <f t="shared" si="188"/>
        <v>#VALUE!</v>
      </c>
      <c r="BG353" s="45" t="e">
        <f t="shared" si="189"/>
        <v>#VALUE!</v>
      </c>
      <c r="BH353" s="45" t="e">
        <f t="shared" si="190"/>
        <v>#NUM!</v>
      </c>
      <c r="BI353" s="43" t="e">
        <f t="shared" si="191"/>
        <v>#VALUE!</v>
      </c>
      <c r="CA353" s="41" t="s">
        <v>22</v>
      </c>
      <c r="CC353" t="s">
        <v>22</v>
      </c>
      <c r="CE353" s="41" t="s">
        <v>22</v>
      </c>
      <c r="CF353" s="41" t="s">
        <v>22</v>
      </c>
      <c r="CG353" s="41">
        <f t="shared" si="194"/>
        <v>10000</v>
      </c>
      <c r="CH353" s="41">
        <f t="shared" si="195"/>
        <v>4</v>
      </c>
      <c r="CI353" s="41">
        <f t="shared" si="196"/>
        <v>10000</v>
      </c>
      <c r="CJ353" s="41">
        <f t="shared" si="197"/>
        <v>4</v>
      </c>
      <c r="CL353" s="9" t="s">
        <v>1269</v>
      </c>
      <c r="CM353" s="18" t="s">
        <v>1283</v>
      </c>
      <c r="CN353" s="54" t="s">
        <v>1284</v>
      </c>
      <c r="CO353" s="18" t="s">
        <v>1284</v>
      </c>
    </row>
    <row r="354" spans="1:93" x14ac:dyDescent="0.25">
      <c r="A354" t="s">
        <v>342</v>
      </c>
      <c r="B354" s="41">
        <f>(0.83*10^4)*10^-6</f>
        <v>8.3000000000000001E-3</v>
      </c>
      <c r="C354" s="41" t="s">
        <v>22</v>
      </c>
      <c r="D354" s="41" t="s">
        <v>22</v>
      </c>
      <c r="E354" s="41" t="s">
        <v>22</v>
      </c>
      <c r="F354" t="s">
        <v>22</v>
      </c>
      <c r="G354" t="s">
        <v>22</v>
      </c>
      <c r="H354" t="s">
        <v>22</v>
      </c>
      <c r="I354" t="s">
        <v>22</v>
      </c>
      <c r="J354" s="41">
        <v>0.80685375184131769</v>
      </c>
      <c r="K354">
        <v>633</v>
      </c>
      <c r="L354" s="41">
        <f t="shared" si="198"/>
        <v>0.12954172111304568</v>
      </c>
      <c r="M354" t="s">
        <v>45</v>
      </c>
      <c r="N354" s="41">
        <v>4.3</v>
      </c>
      <c r="O354" s="41">
        <v>0.42599999999999999</v>
      </c>
      <c r="P354" s="41">
        <v>0.42599999999999999</v>
      </c>
      <c r="R354" s="41">
        <f>N354*B354</f>
        <v>3.569E-2</v>
      </c>
      <c r="S354" s="41" t="s">
        <v>22</v>
      </c>
      <c r="T354" s="41" t="s">
        <v>326</v>
      </c>
      <c r="U354" s="41">
        <v>50</v>
      </c>
      <c r="V354">
        <v>20200511</v>
      </c>
      <c r="W354" s="21" t="s">
        <v>327</v>
      </c>
      <c r="X354">
        <v>2008</v>
      </c>
      <c r="Y354" t="s">
        <v>328</v>
      </c>
      <c r="Z354" t="s">
        <v>77</v>
      </c>
      <c r="AC354" t="s">
        <v>269</v>
      </c>
      <c r="AD354" s="41" t="s">
        <v>22</v>
      </c>
      <c r="AE354" s="41">
        <v>1599.9</v>
      </c>
      <c r="AF354" s="41" t="s">
        <v>22</v>
      </c>
      <c r="AG354" s="41" t="s">
        <v>22</v>
      </c>
      <c r="AH354" s="41" t="s">
        <v>22</v>
      </c>
      <c r="AI354" s="41" t="s">
        <v>22</v>
      </c>
      <c r="AJ354" s="41" t="s">
        <v>22</v>
      </c>
      <c r="AK354" s="41" t="s">
        <v>22</v>
      </c>
      <c r="AL354" s="41" t="s">
        <v>22</v>
      </c>
      <c r="AM354" s="43" t="e">
        <f t="shared" si="174"/>
        <v>#VALUE!</v>
      </c>
      <c r="AN354" s="43" t="e">
        <f t="shared" si="175"/>
        <v>#VALUE!</v>
      </c>
      <c r="AO354" s="19" t="s">
        <v>329</v>
      </c>
      <c r="AT354" s="2">
        <f t="shared" si="176"/>
        <v>5</v>
      </c>
      <c r="AU354" s="45">
        <f t="shared" si="177"/>
        <v>-2.0809219076239263</v>
      </c>
      <c r="AV354" s="45" t="e">
        <f t="shared" si="178"/>
        <v>#VALUE!</v>
      </c>
      <c r="AW354" s="45" t="e">
        <f t="shared" si="179"/>
        <v>#VALUE!</v>
      </c>
      <c r="AX354" s="45">
        <f t="shared" si="180"/>
        <v>0.63346845557958653</v>
      </c>
      <c r="AY354" s="45">
        <f t="shared" si="181"/>
        <v>-0.37059040089728107</v>
      </c>
      <c r="AZ354" s="45">
        <f t="shared" si="182"/>
        <v>-0.37059040089728107</v>
      </c>
      <c r="BA354" s="45">
        <f t="shared" si="183"/>
        <v>-9.3205177203846828E-2</v>
      </c>
      <c r="BB354" s="45">
        <f t="shared" si="184"/>
        <v>-0.88759033713442648</v>
      </c>
      <c r="BC354" s="45">
        <f t="shared" si="185"/>
        <v>1.6989700043360187</v>
      </c>
      <c r="BD354" s="45" t="e">
        <f t="shared" si="186"/>
        <v>#VALUE!</v>
      </c>
      <c r="BE354" s="45" t="e">
        <f t="shared" si="187"/>
        <v>#VALUE!</v>
      </c>
      <c r="BF354" s="45" t="e">
        <f t="shared" si="188"/>
        <v>#VALUE!</v>
      </c>
      <c r="BG354" s="45" t="e">
        <f t="shared" si="189"/>
        <v>#VALUE!</v>
      </c>
      <c r="BH354" s="45" t="e">
        <f t="shared" si="190"/>
        <v>#NUM!</v>
      </c>
      <c r="BI354" s="43" t="e">
        <f t="shared" si="191"/>
        <v>#VALUE!</v>
      </c>
      <c r="BL354" s="20"/>
      <c r="CA354" s="41" t="s">
        <v>22</v>
      </c>
      <c r="CC354" t="s">
        <v>22</v>
      </c>
      <c r="CE354" s="41" t="s">
        <v>22</v>
      </c>
      <c r="CF354" s="41" t="s">
        <v>22</v>
      </c>
      <c r="CG354" s="41" t="e">
        <f t="shared" si="194"/>
        <v>#VALUE!</v>
      </c>
      <c r="CH354" s="41" t="e">
        <f t="shared" si="195"/>
        <v>#VALUE!</v>
      </c>
      <c r="CI354" s="41">
        <f t="shared" si="196"/>
        <v>50</v>
      </c>
      <c r="CJ354" s="41">
        <f t="shared" si="197"/>
        <v>1.6989700043360187</v>
      </c>
      <c r="CL354" s="9" t="s">
        <v>1269</v>
      </c>
      <c r="CM354" s="18" t="s">
        <v>1285</v>
      </c>
      <c r="CN354" s="54" t="s">
        <v>1284</v>
      </c>
      <c r="CO354" s="18" t="s">
        <v>1284</v>
      </c>
    </row>
    <row r="355" spans="1:93" x14ac:dyDescent="0.25">
      <c r="A355" t="s">
        <v>342</v>
      </c>
      <c r="B355" s="41">
        <f>(1*10^4)*10^-6</f>
        <v>0.01</v>
      </c>
      <c r="C355" s="41" t="s">
        <v>22</v>
      </c>
      <c r="D355" s="41" t="s">
        <v>22</v>
      </c>
      <c r="E355" s="41" t="s">
        <v>22</v>
      </c>
      <c r="F355" t="s">
        <v>22</v>
      </c>
      <c r="G355" t="s">
        <v>22</v>
      </c>
      <c r="H355" t="s">
        <v>22</v>
      </c>
      <c r="I355" t="s">
        <v>22</v>
      </c>
      <c r="J355" s="41">
        <v>0.802797110102492</v>
      </c>
      <c r="K355">
        <v>633</v>
      </c>
      <c r="L355" s="41">
        <f t="shared" si="198"/>
        <v>0.12889042048813412</v>
      </c>
      <c r="M355" t="s">
        <v>45</v>
      </c>
      <c r="N355" s="41">
        <v>4.5999999999999996</v>
      </c>
      <c r="O355" s="41">
        <v>0.439</v>
      </c>
      <c r="P355" s="41">
        <v>0.439</v>
      </c>
      <c r="R355" s="41">
        <f>N355*B355</f>
        <v>4.5999999999999999E-2</v>
      </c>
      <c r="S355" s="41" t="s">
        <v>22</v>
      </c>
      <c r="T355" s="41" t="s">
        <v>326</v>
      </c>
      <c r="U355" s="41">
        <v>50</v>
      </c>
      <c r="V355">
        <v>20200511</v>
      </c>
      <c r="W355" s="21" t="s">
        <v>330</v>
      </c>
      <c r="X355">
        <v>2008</v>
      </c>
      <c r="Y355" t="s">
        <v>328</v>
      </c>
      <c r="Z355" t="s">
        <v>77</v>
      </c>
      <c r="AC355" t="s">
        <v>269</v>
      </c>
      <c r="AD355" s="41" t="s">
        <v>22</v>
      </c>
      <c r="AE355" s="41">
        <v>1595.4</v>
      </c>
      <c r="AF355" s="41" t="s">
        <v>22</v>
      </c>
      <c r="AG355" s="41" t="s">
        <v>22</v>
      </c>
      <c r="AH355" s="41" t="s">
        <v>22</v>
      </c>
      <c r="AI355" s="41" t="s">
        <v>22</v>
      </c>
      <c r="AJ355" s="41" t="s">
        <v>22</v>
      </c>
      <c r="AK355" s="41" t="s">
        <v>22</v>
      </c>
      <c r="AL355" s="41" t="s">
        <v>22</v>
      </c>
      <c r="AM355" s="43" t="e">
        <f t="shared" si="174"/>
        <v>#VALUE!</v>
      </c>
      <c r="AN355" s="43" t="e">
        <f t="shared" si="175"/>
        <v>#VALUE!</v>
      </c>
      <c r="AO355" s="19" t="s">
        <v>329</v>
      </c>
      <c r="AT355" s="2">
        <f t="shared" si="176"/>
        <v>5</v>
      </c>
      <c r="AU355" s="45">
        <f t="shared" si="177"/>
        <v>-2</v>
      </c>
      <c r="AV355" s="45" t="e">
        <f t="shared" si="178"/>
        <v>#VALUE!</v>
      </c>
      <c r="AW355" s="45" t="e">
        <f t="shared" si="179"/>
        <v>#VALUE!</v>
      </c>
      <c r="AX355" s="45">
        <f t="shared" si="180"/>
        <v>0.66275783168157409</v>
      </c>
      <c r="AY355" s="45">
        <f t="shared" si="181"/>
        <v>-0.35753547975787864</v>
      </c>
      <c r="AZ355" s="45">
        <f t="shared" si="182"/>
        <v>-0.35753547975787864</v>
      </c>
      <c r="BA355" s="45">
        <f t="shared" si="183"/>
        <v>-9.5394199548777245E-2</v>
      </c>
      <c r="BB355" s="45">
        <f t="shared" si="184"/>
        <v>-0.88977935947935682</v>
      </c>
      <c r="BC355" s="45">
        <f t="shared" si="185"/>
        <v>1.6989700043360187</v>
      </c>
      <c r="BD355" s="45" t="e">
        <f t="shared" si="186"/>
        <v>#VALUE!</v>
      </c>
      <c r="BE355" s="45" t="e">
        <f t="shared" si="187"/>
        <v>#VALUE!</v>
      </c>
      <c r="BF355" s="45" t="e">
        <f t="shared" si="188"/>
        <v>#VALUE!</v>
      </c>
      <c r="BG355" s="45" t="e">
        <f t="shared" si="189"/>
        <v>#VALUE!</v>
      </c>
      <c r="BH355" s="45" t="e">
        <f t="shared" si="190"/>
        <v>#NUM!</v>
      </c>
      <c r="BI355" s="43" t="e">
        <f t="shared" si="191"/>
        <v>#VALUE!</v>
      </c>
      <c r="BL355" s="20"/>
      <c r="CA355" s="41" t="s">
        <v>22</v>
      </c>
      <c r="CC355" t="s">
        <v>22</v>
      </c>
      <c r="CE355" s="41" t="s">
        <v>22</v>
      </c>
      <c r="CF355" s="41" t="s">
        <v>22</v>
      </c>
      <c r="CG355" s="41" t="e">
        <f t="shared" si="194"/>
        <v>#VALUE!</v>
      </c>
      <c r="CH355" s="41" t="e">
        <f t="shared" si="195"/>
        <v>#VALUE!</v>
      </c>
      <c r="CI355" s="41">
        <f t="shared" si="196"/>
        <v>50</v>
      </c>
      <c r="CJ355" s="41">
        <f t="shared" si="197"/>
        <v>1.6989700043360187</v>
      </c>
      <c r="CL355" s="9" t="s">
        <v>1269</v>
      </c>
      <c r="CM355" s="18" t="s">
        <v>1285</v>
      </c>
      <c r="CN355" s="54" t="s">
        <v>1284</v>
      </c>
      <c r="CO355" s="18" t="s">
        <v>1284</v>
      </c>
    </row>
    <row r="356" spans="1:93" x14ac:dyDescent="0.25">
      <c r="A356" t="s">
        <v>342</v>
      </c>
      <c r="B356" s="41">
        <f>(1*10^4)*10^-6</f>
        <v>0.01</v>
      </c>
      <c r="C356" s="41" t="s">
        <v>22</v>
      </c>
      <c r="D356" s="41" t="s">
        <v>22</v>
      </c>
      <c r="E356" s="41" t="s">
        <v>22</v>
      </c>
      <c r="F356" t="s">
        <v>22</v>
      </c>
      <c r="G356" t="s">
        <v>22</v>
      </c>
      <c r="H356" t="s">
        <v>22</v>
      </c>
      <c r="I356" t="s">
        <v>22</v>
      </c>
      <c r="J356" s="41">
        <v>0.79581913421545225</v>
      </c>
      <c r="K356">
        <v>633</v>
      </c>
      <c r="L356" s="41">
        <f t="shared" si="198"/>
        <v>0.12777009477330714</v>
      </c>
      <c r="M356" t="s">
        <v>45</v>
      </c>
      <c r="N356" s="41">
        <v>7.5</v>
      </c>
      <c r="O356" s="41">
        <v>0.78500000000000003</v>
      </c>
      <c r="P356" s="41">
        <v>0.78500000000000003</v>
      </c>
      <c r="R356" s="41">
        <f>N356*B356</f>
        <v>7.4999999999999997E-2</v>
      </c>
      <c r="S356" s="41" t="s">
        <v>22</v>
      </c>
      <c r="T356" s="41" t="s">
        <v>326</v>
      </c>
      <c r="U356" s="41">
        <v>50</v>
      </c>
      <c r="V356">
        <v>20200511</v>
      </c>
      <c r="W356" s="21" t="s">
        <v>331</v>
      </c>
      <c r="X356" s="18">
        <v>2008</v>
      </c>
      <c r="Y356" t="s">
        <v>328</v>
      </c>
      <c r="Z356" t="s">
        <v>77</v>
      </c>
      <c r="AC356" t="s">
        <v>269</v>
      </c>
      <c r="AD356" s="41" t="s">
        <v>22</v>
      </c>
      <c r="AE356" s="41">
        <v>1593.5</v>
      </c>
      <c r="AF356" s="41" t="s">
        <v>22</v>
      </c>
      <c r="AG356" s="41" t="s">
        <v>22</v>
      </c>
      <c r="AH356" s="41" t="s">
        <v>22</v>
      </c>
      <c r="AI356" s="41" t="s">
        <v>22</v>
      </c>
      <c r="AJ356" s="41" t="s">
        <v>22</v>
      </c>
      <c r="AK356" s="41" t="s">
        <v>22</v>
      </c>
      <c r="AL356" s="41" t="s">
        <v>22</v>
      </c>
      <c r="AM356" s="43" t="e">
        <f t="shared" si="174"/>
        <v>#VALUE!</v>
      </c>
      <c r="AN356" s="43" t="e">
        <f t="shared" si="175"/>
        <v>#VALUE!</v>
      </c>
      <c r="AO356" s="19" t="s">
        <v>329</v>
      </c>
      <c r="AT356" s="2">
        <f t="shared" si="176"/>
        <v>5</v>
      </c>
      <c r="AU356" s="45">
        <f t="shared" si="177"/>
        <v>-2</v>
      </c>
      <c r="AV356" s="45" t="e">
        <f t="shared" si="178"/>
        <v>#VALUE!</v>
      </c>
      <c r="AW356" s="45" t="e">
        <f t="shared" si="179"/>
        <v>#VALUE!</v>
      </c>
      <c r="AX356" s="45">
        <f t="shared" si="180"/>
        <v>0.87506126339170009</v>
      </c>
      <c r="AY356" s="45">
        <f t="shared" si="181"/>
        <v>-0.10513034325474745</v>
      </c>
      <c r="AZ356" s="45">
        <f t="shared" si="182"/>
        <v>-0.10513034325474745</v>
      </c>
      <c r="BA356" s="45">
        <f t="shared" si="183"/>
        <v>-9.9185623138503806E-2</v>
      </c>
      <c r="BB356" s="45">
        <f t="shared" si="184"/>
        <v>-0.89357078306908333</v>
      </c>
      <c r="BC356" s="45">
        <f t="shared" si="185"/>
        <v>1.6989700043360187</v>
      </c>
      <c r="BD356" s="45" t="e">
        <f t="shared" si="186"/>
        <v>#VALUE!</v>
      </c>
      <c r="BE356" s="45" t="e">
        <f t="shared" si="187"/>
        <v>#VALUE!</v>
      </c>
      <c r="BF356" s="45" t="e">
        <f t="shared" si="188"/>
        <v>#VALUE!</v>
      </c>
      <c r="BG356" s="45" t="e">
        <f t="shared" si="189"/>
        <v>#VALUE!</v>
      </c>
      <c r="BH356" s="45" t="e">
        <f t="shared" si="190"/>
        <v>#NUM!</v>
      </c>
      <c r="BI356" s="43" t="e">
        <f t="shared" si="191"/>
        <v>#VALUE!</v>
      </c>
      <c r="BL356" s="20"/>
      <c r="CA356" s="41" t="s">
        <v>22</v>
      </c>
      <c r="CC356" t="s">
        <v>22</v>
      </c>
      <c r="CE356" s="41" t="s">
        <v>22</v>
      </c>
      <c r="CF356" s="41" t="s">
        <v>22</v>
      </c>
      <c r="CG356" s="41" t="e">
        <f t="shared" si="194"/>
        <v>#VALUE!</v>
      </c>
      <c r="CH356" s="41" t="e">
        <f t="shared" si="195"/>
        <v>#VALUE!</v>
      </c>
      <c r="CI356" s="41">
        <f t="shared" si="196"/>
        <v>50</v>
      </c>
      <c r="CJ356" s="41">
        <f t="shared" si="197"/>
        <v>1.6989700043360187</v>
      </c>
      <c r="CL356" s="9" t="s">
        <v>1269</v>
      </c>
      <c r="CM356" s="18" t="s">
        <v>1285</v>
      </c>
      <c r="CN356" s="54" t="s">
        <v>1284</v>
      </c>
      <c r="CO356" s="18" t="s">
        <v>1284</v>
      </c>
    </row>
    <row r="357" spans="1:93" x14ac:dyDescent="0.25">
      <c r="A357" t="s">
        <v>342</v>
      </c>
      <c r="B357" s="41">
        <f>(0.91*10^4)*10^-6</f>
        <v>9.1000000000000004E-3</v>
      </c>
      <c r="C357" s="41" t="s">
        <v>22</v>
      </c>
      <c r="D357" s="41" t="s">
        <v>22</v>
      </c>
      <c r="E357" s="41" t="s">
        <v>22</v>
      </c>
      <c r="F357" t="s">
        <v>22</v>
      </c>
      <c r="G357" t="s">
        <v>22</v>
      </c>
      <c r="H357" t="s">
        <v>22</v>
      </c>
      <c r="I357" t="s">
        <v>22</v>
      </c>
      <c r="J357" s="41">
        <v>0.71014468157762112</v>
      </c>
      <c r="K357">
        <v>633</v>
      </c>
      <c r="L357" s="41">
        <f t="shared" si="198"/>
        <v>0.11401491792149834</v>
      </c>
      <c r="M357" t="s">
        <v>45</v>
      </c>
      <c r="N357" s="41">
        <v>6</v>
      </c>
      <c r="O357" s="41">
        <v>0.55700000000000005</v>
      </c>
      <c r="P357" s="41">
        <v>0.55700000000000005</v>
      </c>
      <c r="R357" s="41">
        <f>N357*B357</f>
        <v>5.4600000000000003E-2</v>
      </c>
      <c r="S357" s="41" t="s">
        <v>22</v>
      </c>
      <c r="T357" s="41" t="s">
        <v>326</v>
      </c>
      <c r="U357" s="41">
        <v>50</v>
      </c>
      <c r="V357">
        <v>20200511</v>
      </c>
      <c r="W357" s="21" t="s">
        <v>332</v>
      </c>
      <c r="X357">
        <v>2008</v>
      </c>
      <c r="Y357" t="s">
        <v>328</v>
      </c>
      <c r="Z357" t="s">
        <v>77</v>
      </c>
      <c r="AC357" t="s">
        <v>269</v>
      </c>
      <c r="AD357" s="41" t="s">
        <v>22</v>
      </c>
      <c r="AE357" s="41">
        <v>1592</v>
      </c>
      <c r="AF357" s="41" t="s">
        <v>22</v>
      </c>
      <c r="AG357" s="41" t="s">
        <v>22</v>
      </c>
      <c r="AH357" s="41" t="s">
        <v>22</v>
      </c>
      <c r="AI357" s="41" t="s">
        <v>22</v>
      </c>
      <c r="AJ357" s="41" t="s">
        <v>22</v>
      </c>
      <c r="AK357" s="41" t="s">
        <v>22</v>
      </c>
      <c r="AL357" s="41" t="s">
        <v>22</v>
      </c>
      <c r="AM357" s="43" t="e">
        <f t="shared" si="174"/>
        <v>#VALUE!</v>
      </c>
      <c r="AN357" s="43" t="e">
        <f t="shared" si="175"/>
        <v>#VALUE!</v>
      </c>
      <c r="AO357" s="19" t="s">
        <v>329</v>
      </c>
      <c r="AT357" s="2">
        <f t="shared" si="176"/>
        <v>5</v>
      </c>
      <c r="AU357" s="45">
        <f t="shared" si="177"/>
        <v>-2.0409586076789066</v>
      </c>
      <c r="AV357" s="45" t="e">
        <f t="shared" si="178"/>
        <v>#VALUE!</v>
      </c>
      <c r="AW357" s="45" t="e">
        <f t="shared" si="179"/>
        <v>#VALUE!</v>
      </c>
      <c r="AX357" s="45">
        <f t="shared" si="180"/>
        <v>0.77815125038364363</v>
      </c>
      <c r="AY357" s="45">
        <f t="shared" si="181"/>
        <v>-0.25414480482627105</v>
      </c>
      <c r="AZ357" s="45">
        <f t="shared" si="182"/>
        <v>-0.25414480482627105</v>
      </c>
      <c r="BA357" s="45">
        <f t="shared" si="183"/>
        <v>-0.14865316112660959</v>
      </c>
      <c r="BB357" s="45">
        <f t="shared" si="184"/>
        <v>-0.94303832105718921</v>
      </c>
      <c r="BC357" s="45">
        <f t="shared" si="185"/>
        <v>1.6989700043360187</v>
      </c>
      <c r="BD357" s="45" t="e">
        <f t="shared" si="186"/>
        <v>#VALUE!</v>
      </c>
      <c r="BE357" s="45" t="e">
        <f t="shared" si="187"/>
        <v>#VALUE!</v>
      </c>
      <c r="BF357" s="45" t="e">
        <f t="shared" si="188"/>
        <v>#VALUE!</v>
      </c>
      <c r="BG357" s="45" t="e">
        <f t="shared" si="189"/>
        <v>#VALUE!</v>
      </c>
      <c r="BH357" s="45" t="e">
        <f t="shared" si="190"/>
        <v>#NUM!</v>
      </c>
      <c r="BI357" s="43" t="e">
        <f t="shared" si="191"/>
        <v>#VALUE!</v>
      </c>
      <c r="BL357" s="20"/>
      <c r="CA357" s="41" t="s">
        <v>22</v>
      </c>
      <c r="CC357" t="s">
        <v>22</v>
      </c>
      <c r="CE357" s="41" t="s">
        <v>22</v>
      </c>
      <c r="CF357" s="41" t="s">
        <v>22</v>
      </c>
      <c r="CG357" s="41" t="e">
        <f t="shared" si="194"/>
        <v>#VALUE!</v>
      </c>
      <c r="CH357" s="41" t="e">
        <f t="shared" si="195"/>
        <v>#VALUE!</v>
      </c>
      <c r="CI357" s="41">
        <f t="shared" si="196"/>
        <v>50</v>
      </c>
      <c r="CJ357" s="41">
        <f t="shared" si="197"/>
        <v>1.6989700043360187</v>
      </c>
      <c r="CL357" s="9" t="s">
        <v>1269</v>
      </c>
      <c r="CM357" s="18" t="s">
        <v>1285</v>
      </c>
      <c r="CN357" s="54" t="s">
        <v>1284</v>
      </c>
      <c r="CO357" s="18" t="s">
        <v>1284</v>
      </c>
    </row>
    <row r="358" spans="1:93" x14ac:dyDescent="0.25">
      <c r="A358" t="s">
        <v>342</v>
      </c>
      <c r="B358" s="41">
        <f>(0.91*10^4)*10^-6</f>
        <v>9.1000000000000004E-3</v>
      </c>
      <c r="C358" s="41" t="s">
        <v>22</v>
      </c>
      <c r="D358" s="41" t="s">
        <v>22</v>
      </c>
      <c r="E358" s="41" t="s">
        <v>22</v>
      </c>
      <c r="F358" t="s">
        <v>22</v>
      </c>
      <c r="G358" t="s">
        <v>22</v>
      </c>
      <c r="H358" t="s">
        <v>22</v>
      </c>
      <c r="I358" t="s">
        <v>22</v>
      </c>
      <c r="J358" s="41">
        <v>0.69827618029994154</v>
      </c>
      <c r="K358">
        <v>633</v>
      </c>
      <c r="L358" s="41">
        <f t="shared" si="198"/>
        <v>0.11210941016493856</v>
      </c>
      <c r="M358" t="s">
        <v>45</v>
      </c>
      <c r="N358" s="41">
        <v>4.5</v>
      </c>
      <c r="O358" s="41">
        <v>0.45500000000000002</v>
      </c>
      <c r="P358" s="41">
        <v>0.45500000000000002</v>
      </c>
      <c r="R358" s="41">
        <f>N358*B358</f>
        <v>4.095E-2</v>
      </c>
      <c r="S358" s="41" t="s">
        <v>22</v>
      </c>
      <c r="T358" s="41" t="s">
        <v>326</v>
      </c>
      <c r="U358" s="41">
        <v>50</v>
      </c>
      <c r="V358">
        <v>20200511</v>
      </c>
      <c r="W358" s="21" t="s">
        <v>333</v>
      </c>
      <c r="X358">
        <v>2008</v>
      </c>
      <c r="Y358" t="s">
        <v>328</v>
      </c>
      <c r="Z358" t="s">
        <v>77</v>
      </c>
      <c r="AC358" t="s">
        <v>269</v>
      </c>
      <c r="AD358" s="41" t="s">
        <v>22</v>
      </c>
      <c r="AE358" s="41">
        <v>1590.3</v>
      </c>
      <c r="AF358" s="41" t="s">
        <v>22</v>
      </c>
      <c r="AG358" s="41" t="s">
        <v>22</v>
      </c>
      <c r="AH358" s="41" t="s">
        <v>22</v>
      </c>
      <c r="AI358" s="41" t="s">
        <v>22</v>
      </c>
      <c r="AJ358" s="41" t="s">
        <v>22</v>
      </c>
      <c r="AK358" s="41" t="s">
        <v>22</v>
      </c>
      <c r="AL358" s="41" t="s">
        <v>22</v>
      </c>
      <c r="AM358" s="43" t="e">
        <f t="shared" si="174"/>
        <v>#VALUE!</v>
      </c>
      <c r="AN358" s="43" t="e">
        <f t="shared" si="175"/>
        <v>#VALUE!</v>
      </c>
      <c r="AO358" s="19" t="s">
        <v>329</v>
      </c>
      <c r="AT358" s="2">
        <f t="shared" si="176"/>
        <v>5</v>
      </c>
      <c r="AU358" s="45">
        <f t="shared" si="177"/>
        <v>-2.0409586076789066</v>
      </c>
      <c r="AV358" s="45" t="e">
        <f t="shared" si="178"/>
        <v>#VALUE!</v>
      </c>
      <c r="AW358" s="45" t="e">
        <f t="shared" si="179"/>
        <v>#VALUE!</v>
      </c>
      <c r="AX358" s="45">
        <f t="shared" si="180"/>
        <v>0.65321251377534373</v>
      </c>
      <c r="AY358" s="45">
        <f t="shared" si="181"/>
        <v>-0.34198860334288755</v>
      </c>
      <c r="AZ358" s="45">
        <f t="shared" si="182"/>
        <v>-0.34198860334288755</v>
      </c>
      <c r="BA358" s="45">
        <f t="shared" si="183"/>
        <v>-0.15597277242373364</v>
      </c>
      <c r="BB358" s="45">
        <f t="shared" si="184"/>
        <v>-0.95035793235431321</v>
      </c>
      <c r="BC358" s="45">
        <f t="shared" si="185"/>
        <v>1.6989700043360187</v>
      </c>
      <c r="BD358" s="45" t="e">
        <f t="shared" si="186"/>
        <v>#VALUE!</v>
      </c>
      <c r="BE358" s="45" t="e">
        <f t="shared" si="187"/>
        <v>#VALUE!</v>
      </c>
      <c r="BF358" s="45" t="e">
        <f t="shared" si="188"/>
        <v>#VALUE!</v>
      </c>
      <c r="BG358" s="45" t="e">
        <f t="shared" si="189"/>
        <v>#VALUE!</v>
      </c>
      <c r="BH358" s="45" t="e">
        <f t="shared" si="190"/>
        <v>#NUM!</v>
      </c>
      <c r="BI358" s="43" t="e">
        <f t="shared" si="191"/>
        <v>#VALUE!</v>
      </c>
      <c r="BL358" s="20"/>
      <c r="CA358" s="41" t="s">
        <v>22</v>
      </c>
      <c r="CC358" t="s">
        <v>22</v>
      </c>
      <c r="CE358" s="41" t="s">
        <v>22</v>
      </c>
      <c r="CF358" s="41" t="s">
        <v>22</v>
      </c>
      <c r="CG358" s="41" t="e">
        <f t="shared" si="194"/>
        <v>#VALUE!</v>
      </c>
      <c r="CH358" s="41" t="e">
        <f t="shared" si="195"/>
        <v>#VALUE!</v>
      </c>
      <c r="CI358" s="41">
        <f t="shared" si="196"/>
        <v>50</v>
      </c>
      <c r="CJ358" s="41">
        <f t="shared" si="197"/>
        <v>1.6989700043360187</v>
      </c>
      <c r="CL358" s="9" t="s">
        <v>1269</v>
      </c>
      <c r="CM358" s="18" t="s">
        <v>1285</v>
      </c>
      <c r="CN358" s="54" t="s">
        <v>1284</v>
      </c>
      <c r="CO358" s="18" t="s">
        <v>1284</v>
      </c>
    </row>
    <row r="359" spans="1:93" x14ac:dyDescent="0.25">
      <c r="A359" t="s">
        <v>315</v>
      </c>
      <c r="B359" s="41">
        <v>3.1709786460788199E-3</v>
      </c>
      <c r="C359" s="41" t="s">
        <v>22</v>
      </c>
      <c r="D359" s="41" t="s">
        <v>22</v>
      </c>
      <c r="E359" s="41" t="s">
        <v>22</v>
      </c>
      <c r="F359" t="s">
        <v>22</v>
      </c>
      <c r="G359" t="s">
        <v>22</v>
      </c>
      <c r="H359" t="s">
        <v>22</v>
      </c>
      <c r="I359" t="s">
        <v>22</v>
      </c>
      <c r="J359" s="41">
        <v>6.2222222222222197</v>
      </c>
      <c r="K359">
        <v>633</v>
      </c>
      <c r="L359" s="41">
        <f t="shared" si="198"/>
        <v>0.99898819826399965</v>
      </c>
      <c r="M359" t="s">
        <v>23</v>
      </c>
      <c r="N359" s="41" t="s">
        <v>22</v>
      </c>
      <c r="O359" s="41" t="s">
        <v>22</v>
      </c>
      <c r="P359" s="41" t="s">
        <v>22</v>
      </c>
      <c r="R359" s="41" t="s">
        <v>22</v>
      </c>
      <c r="S359" s="41" t="s">
        <v>22</v>
      </c>
      <c r="T359" s="41" t="s">
        <v>22</v>
      </c>
      <c r="U359" s="41" t="s">
        <v>22</v>
      </c>
      <c r="V359">
        <v>20200512</v>
      </c>
      <c r="W359" s="21"/>
      <c r="X359" s="6">
        <v>2008</v>
      </c>
      <c r="Y359" t="s">
        <v>328</v>
      </c>
      <c r="Z359" t="s">
        <v>251</v>
      </c>
      <c r="AC359" t="s">
        <v>514</v>
      </c>
      <c r="AD359" s="41" t="s">
        <v>22</v>
      </c>
      <c r="AE359" s="41" t="s">
        <v>22</v>
      </c>
      <c r="AF359" s="41" t="s">
        <v>22</v>
      </c>
      <c r="AG359" s="41" t="s">
        <v>22</v>
      </c>
      <c r="AH359" s="41" t="s">
        <v>22</v>
      </c>
      <c r="AI359" s="41" t="s">
        <v>22</v>
      </c>
      <c r="AJ359" s="41" t="s">
        <v>22</v>
      </c>
      <c r="AK359" s="41" t="s">
        <v>22</v>
      </c>
      <c r="AL359" s="41" t="s">
        <v>22</v>
      </c>
      <c r="AM359" s="43" t="e">
        <f t="shared" si="174"/>
        <v>#VALUE!</v>
      </c>
      <c r="AN359" s="43" t="e">
        <f t="shared" si="175"/>
        <v>#VALUE!</v>
      </c>
      <c r="AO359" s="19" t="s">
        <v>566</v>
      </c>
      <c r="AT359" s="2">
        <f t="shared" si="176"/>
        <v>25</v>
      </c>
      <c r="AU359" s="45">
        <f t="shared" si="177"/>
        <v>-2.4988066825775666</v>
      </c>
      <c r="AV359" s="45" t="e">
        <f t="shared" si="178"/>
        <v>#VALUE!</v>
      </c>
      <c r="AW359" s="45" t="e">
        <f t="shared" si="179"/>
        <v>#VALUE!</v>
      </c>
      <c r="AX359" s="45" t="e">
        <f t="shared" si="180"/>
        <v>#VALUE!</v>
      </c>
      <c r="AY359" s="45" t="e">
        <f t="shared" si="181"/>
        <v>#VALUE!</v>
      </c>
      <c r="AZ359" s="45" t="e">
        <f t="shared" si="182"/>
        <v>#VALUE!</v>
      </c>
      <c r="BA359" s="45">
        <f t="shared" si="183"/>
        <v>0.79394551756687537</v>
      </c>
      <c r="BB359" s="45">
        <f t="shared" si="184"/>
        <v>-4.3964236370420116E-4</v>
      </c>
      <c r="BC359" s="45" t="e">
        <f t="shared" si="185"/>
        <v>#VALUE!</v>
      </c>
      <c r="BD359" s="45" t="e">
        <f t="shared" si="186"/>
        <v>#VALUE!</v>
      </c>
      <c r="BE359" s="45" t="e">
        <f t="shared" si="187"/>
        <v>#VALUE!</v>
      </c>
      <c r="BF359" s="45" t="e">
        <f t="shared" si="188"/>
        <v>#VALUE!</v>
      </c>
      <c r="BG359" s="45" t="e">
        <f t="shared" si="189"/>
        <v>#VALUE!</v>
      </c>
      <c r="BH359" s="45" t="e">
        <f t="shared" si="190"/>
        <v>#NUM!</v>
      </c>
      <c r="BI359" s="43" t="e">
        <f t="shared" si="191"/>
        <v>#VALUE!</v>
      </c>
      <c r="BL359" s="20"/>
      <c r="CA359" s="41" t="s">
        <v>22</v>
      </c>
      <c r="CC359" t="s">
        <v>22</v>
      </c>
      <c r="CE359" s="41" t="s">
        <v>22</v>
      </c>
      <c r="CF359" s="41" t="s">
        <v>22</v>
      </c>
      <c r="CG359" s="41" t="e">
        <f t="shared" si="194"/>
        <v>#VALUE!</v>
      </c>
      <c r="CH359" s="41" t="e">
        <f t="shared" si="195"/>
        <v>#VALUE!</v>
      </c>
      <c r="CI359" s="41" t="str">
        <f t="shared" si="196"/>
        <v>Not Reported/ Can not calculate</v>
      </c>
      <c r="CJ359" s="41" t="e">
        <f t="shared" si="197"/>
        <v>#VALUE!</v>
      </c>
      <c r="CL359" s="9" t="s">
        <v>1269</v>
      </c>
      <c r="CM359" s="18" t="s">
        <v>1284</v>
      </c>
      <c r="CN359" s="54" t="s">
        <v>1284</v>
      </c>
      <c r="CO359" s="18" t="s">
        <v>1284</v>
      </c>
    </row>
    <row r="360" spans="1:93" x14ac:dyDescent="0.25">
      <c r="A360" t="s">
        <v>315</v>
      </c>
      <c r="B360" s="41">
        <v>2.08837780631216E-3</v>
      </c>
      <c r="C360" s="41" t="s">
        <v>22</v>
      </c>
      <c r="D360" s="41" t="s">
        <v>22</v>
      </c>
      <c r="E360" s="41" t="s">
        <v>22</v>
      </c>
      <c r="F360" t="s">
        <v>22</v>
      </c>
      <c r="G360" t="s">
        <v>22</v>
      </c>
      <c r="H360" t="s">
        <v>22</v>
      </c>
      <c r="I360" t="s">
        <v>22</v>
      </c>
      <c r="J360" s="41">
        <v>7.24444444444444</v>
      </c>
      <c r="K360">
        <v>633</v>
      </c>
      <c r="L360" s="41">
        <f t="shared" si="198"/>
        <v>1.1631076879787994</v>
      </c>
      <c r="M360" t="s">
        <v>23</v>
      </c>
      <c r="N360" s="41" t="s">
        <v>22</v>
      </c>
      <c r="O360" s="41" t="s">
        <v>22</v>
      </c>
      <c r="P360" s="41" t="s">
        <v>22</v>
      </c>
      <c r="R360" s="41" t="s">
        <v>22</v>
      </c>
      <c r="S360" s="41" t="s">
        <v>22</v>
      </c>
      <c r="T360" s="41" t="s">
        <v>22</v>
      </c>
      <c r="U360" s="41" t="s">
        <v>22</v>
      </c>
      <c r="V360">
        <v>20200512</v>
      </c>
      <c r="W360" s="21"/>
      <c r="X360" s="6">
        <v>2008</v>
      </c>
      <c r="Y360" t="s">
        <v>328</v>
      </c>
      <c r="Z360" t="s">
        <v>251</v>
      </c>
      <c r="AC360" t="s">
        <v>514</v>
      </c>
      <c r="AD360" s="41" t="s">
        <v>22</v>
      </c>
      <c r="AE360" s="41" t="s">
        <v>22</v>
      </c>
      <c r="AF360" s="41" t="s">
        <v>22</v>
      </c>
      <c r="AG360" s="41" t="s">
        <v>22</v>
      </c>
      <c r="AH360" s="41" t="s">
        <v>22</v>
      </c>
      <c r="AI360" s="41" t="s">
        <v>22</v>
      </c>
      <c r="AJ360" s="41" t="s">
        <v>22</v>
      </c>
      <c r="AK360" s="41" t="s">
        <v>22</v>
      </c>
      <c r="AL360" s="41" t="s">
        <v>22</v>
      </c>
      <c r="AM360" s="43" t="e">
        <f t="shared" si="174"/>
        <v>#VALUE!</v>
      </c>
      <c r="AN360" s="43" t="e">
        <f t="shared" si="175"/>
        <v>#VALUE!</v>
      </c>
      <c r="AO360" s="19" t="s">
        <v>566</v>
      </c>
      <c r="AT360" s="2">
        <f t="shared" si="176"/>
        <v>25</v>
      </c>
      <c r="AU360" s="45">
        <f t="shared" si="177"/>
        <v>-2.6801909307875897</v>
      </c>
      <c r="AV360" s="45" t="e">
        <f t="shared" si="178"/>
        <v>#VALUE!</v>
      </c>
      <c r="AW360" s="45" t="e">
        <f t="shared" si="179"/>
        <v>#VALUE!</v>
      </c>
      <c r="AX360" s="45" t="e">
        <f t="shared" si="180"/>
        <v>#VALUE!</v>
      </c>
      <c r="AY360" s="45" t="e">
        <f t="shared" si="181"/>
        <v>#VALUE!</v>
      </c>
      <c r="AZ360" s="45" t="e">
        <f t="shared" si="182"/>
        <v>#VALUE!</v>
      </c>
      <c r="BA360" s="45">
        <f t="shared" si="183"/>
        <v>0.86000508629259509</v>
      </c>
      <c r="BB360" s="45">
        <f t="shared" si="184"/>
        <v>6.5619926362015496E-2</v>
      </c>
      <c r="BC360" s="45" t="e">
        <f t="shared" si="185"/>
        <v>#VALUE!</v>
      </c>
      <c r="BD360" s="45" t="e">
        <f t="shared" si="186"/>
        <v>#VALUE!</v>
      </c>
      <c r="BE360" s="45" t="e">
        <f t="shared" si="187"/>
        <v>#VALUE!</v>
      </c>
      <c r="BF360" s="45" t="e">
        <f t="shared" si="188"/>
        <v>#VALUE!</v>
      </c>
      <c r="BG360" s="45" t="e">
        <f t="shared" si="189"/>
        <v>#VALUE!</v>
      </c>
      <c r="BH360" s="45" t="e">
        <f t="shared" si="190"/>
        <v>#NUM!</v>
      </c>
      <c r="BI360" s="43" t="e">
        <f t="shared" si="191"/>
        <v>#VALUE!</v>
      </c>
      <c r="BL360" s="20"/>
      <c r="CA360" s="41" t="s">
        <v>22</v>
      </c>
      <c r="CC360" t="s">
        <v>22</v>
      </c>
      <c r="CE360" s="41" t="s">
        <v>22</v>
      </c>
      <c r="CF360" s="41" t="s">
        <v>22</v>
      </c>
      <c r="CG360" s="41" t="e">
        <f t="shared" si="194"/>
        <v>#VALUE!</v>
      </c>
      <c r="CH360" s="41" t="e">
        <f t="shared" si="195"/>
        <v>#VALUE!</v>
      </c>
      <c r="CI360" s="41" t="str">
        <f t="shared" si="196"/>
        <v>Not Reported/ Can not calculate</v>
      </c>
      <c r="CJ360" s="41" t="e">
        <f t="shared" si="197"/>
        <v>#VALUE!</v>
      </c>
      <c r="CL360" s="9" t="s">
        <v>1269</v>
      </c>
      <c r="CM360" s="18" t="s">
        <v>1284</v>
      </c>
      <c r="CN360" s="54" t="s">
        <v>1284</v>
      </c>
      <c r="CO360" s="18" t="s">
        <v>1284</v>
      </c>
    </row>
    <row r="361" spans="1:93" x14ac:dyDescent="0.25">
      <c r="A361" t="s">
        <v>315</v>
      </c>
      <c r="B361" s="41">
        <v>2.2678200566489E-4</v>
      </c>
      <c r="C361" s="41" t="s">
        <v>22</v>
      </c>
      <c r="D361" s="41" t="s">
        <v>22</v>
      </c>
      <c r="E361" s="41" t="s">
        <v>22</v>
      </c>
      <c r="F361" t="s">
        <v>22</v>
      </c>
      <c r="G361" t="s">
        <v>22</v>
      </c>
      <c r="H361" t="s">
        <v>22</v>
      </c>
      <c r="I361" t="s">
        <v>22</v>
      </c>
      <c r="J361" s="41">
        <v>7.7111111111111104</v>
      </c>
      <c r="K361">
        <v>633</v>
      </c>
      <c r="L361" s="41">
        <f t="shared" si="198"/>
        <v>1.2380318028485999</v>
      </c>
      <c r="M361" t="s">
        <v>23</v>
      </c>
      <c r="N361" s="41" t="s">
        <v>22</v>
      </c>
      <c r="O361" s="41" t="s">
        <v>22</v>
      </c>
      <c r="P361" s="41" t="s">
        <v>22</v>
      </c>
      <c r="R361" s="41" t="s">
        <v>22</v>
      </c>
      <c r="S361" s="41" t="s">
        <v>22</v>
      </c>
      <c r="T361" s="41" t="s">
        <v>22</v>
      </c>
      <c r="U361" s="41" t="s">
        <v>22</v>
      </c>
      <c r="V361">
        <v>20200512</v>
      </c>
      <c r="W361" s="21"/>
      <c r="X361" s="6">
        <v>2008</v>
      </c>
      <c r="Y361" t="s">
        <v>328</v>
      </c>
      <c r="Z361" t="s">
        <v>251</v>
      </c>
      <c r="AC361" t="s">
        <v>514</v>
      </c>
      <c r="AD361" s="41" t="s">
        <v>22</v>
      </c>
      <c r="AE361" s="41" t="s">
        <v>22</v>
      </c>
      <c r="AF361" s="41" t="s">
        <v>22</v>
      </c>
      <c r="AG361" s="41" t="s">
        <v>22</v>
      </c>
      <c r="AH361" s="41" t="s">
        <v>22</v>
      </c>
      <c r="AI361" s="41" t="s">
        <v>22</v>
      </c>
      <c r="AJ361" s="41" t="s">
        <v>22</v>
      </c>
      <c r="AK361" s="41" t="s">
        <v>22</v>
      </c>
      <c r="AL361" s="41" t="s">
        <v>22</v>
      </c>
      <c r="AM361" s="43" t="e">
        <f t="shared" si="174"/>
        <v>#VALUE!</v>
      </c>
      <c r="AN361" s="43" t="e">
        <f t="shared" si="175"/>
        <v>#VALUE!</v>
      </c>
      <c r="AO361" s="19" t="s">
        <v>566</v>
      </c>
      <c r="AT361" s="2">
        <f t="shared" si="176"/>
        <v>25</v>
      </c>
      <c r="AU361" s="45">
        <f t="shared" si="177"/>
        <v>-3.6443914081145601</v>
      </c>
      <c r="AV361" s="45" t="e">
        <f t="shared" si="178"/>
        <v>#VALUE!</v>
      </c>
      <c r="AW361" s="45" t="e">
        <f t="shared" si="179"/>
        <v>#VALUE!</v>
      </c>
      <c r="AX361" s="45" t="e">
        <f t="shared" si="180"/>
        <v>#VALUE!</v>
      </c>
      <c r="AY361" s="45" t="e">
        <f t="shared" si="181"/>
        <v>#VALUE!</v>
      </c>
      <c r="AZ361" s="45" t="e">
        <f t="shared" si="182"/>
        <v>#VALUE!</v>
      </c>
      <c r="BA361" s="45">
        <f t="shared" si="183"/>
        <v>0.88711696101552995</v>
      </c>
      <c r="BB361" s="45">
        <f t="shared" si="184"/>
        <v>9.2731801084950424E-2</v>
      </c>
      <c r="BC361" s="45" t="e">
        <f t="shared" si="185"/>
        <v>#VALUE!</v>
      </c>
      <c r="BD361" s="45" t="e">
        <f t="shared" si="186"/>
        <v>#VALUE!</v>
      </c>
      <c r="BE361" s="45" t="e">
        <f t="shared" si="187"/>
        <v>#VALUE!</v>
      </c>
      <c r="BF361" s="45" t="e">
        <f t="shared" si="188"/>
        <v>#VALUE!</v>
      </c>
      <c r="BG361" s="45" t="e">
        <f t="shared" si="189"/>
        <v>#VALUE!</v>
      </c>
      <c r="BH361" s="45" t="e">
        <f t="shared" si="190"/>
        <v>#NUM!</v>
      </c>
      <c r="BI361" s="43" t="e">
        <f t="shared" si="191"/>
        <v>#VALUE!</v>
      </c>
      <c r="BL361" s="20"/>
      <c r="CA361" s="41" t="s">
        <v>22</v>
      </c>
      <c r="CC361" t="s">
        <v>22</v>
      </c>
      <c r="CE361" s="41" t="s">
        <v>22</v>
      </c>
      <c r="CF361" s="41" t="s">
        <v>22</v>
      </c>
      <c r="CG361" s="41" t="e">
        <f t="shared" si="194"/>
        <v>#VALUE!</v>
      </c>
      <c r="CH361" s="41" t="e">
        <f t="shared" si="195"/>
        <v>#VALUE!</v>
      </c>
      <c r="CI361" s="41" t="str">
        <f t="shared" si="196"/>
        <v>Not Reported/ Can not calculate</v>
      </c>
      <c r="CJ361" s="41" t="e">
        <f t="shared" si="197"/>
        <v>#VALUE!</v>
      </c>
      <c r="CL361" s="9" t="s">
        <v>1269</v>
      </c>
      <c r="CM361" s="18" t="s">
        <v>1284</v>
      </c>
      <c r="CN361" s="54" t="s">
        <v>1284</v>
      </c>
      <c r="CO361" s="18" t="s">
        <v>1284</v>
      </c>
    </row>
    <row r="362" spans="1:93" x14ac:dyDescent="0.25">
      <c r="A362" t="s">
        <v>315</v>
      </c>
      <c r="B362" s="41">
        <v>2.05423046026206E-4</v>
      </c>
      <c r="C362" s="41" t="s">
        <v>22</v>
      </c>
      <c r="D362" s="41" t="s">
        <v>22</v>
      </c>
      <c r="E362" s="41" t="s">
        <v>22</v>
      </c>
      <c r="F362" t="s">
        <v>22</v>
      </c>
      <c r="G362" t="s">
        <v>22</v>
      </c>
      <c r="H362" t="s">
        <v>22</v>
      </c>
      <c r="I362" t="s">
        <v>22</v>
      </c>
      <c r="J362" s="41">
        <v>8.3555555555555507</v>
      </c>
      <c r="K362">
        <v>633</v>
      </c>
      <c r="L362" s="41">
        <f t="shared" si="198"/>
        <v>1.3414984376687993</v>
      </c>
      <c r="M362" t="s">
        <v>23</v>
      </c>
      <c r="N362" s="41" t="s">
        <v>22</v>
      </c>
      <c r="O362" s="41" t="s">
        <v>22</v>
      </c>
      <c r="P362" s="41" t="s">
        <v>22</v>
      </c>
      <c r="R362" s="41" t="s">
        <v>22</v>
      </c>
      <c r="S362" s="41" t="s">
        <v>22</v>
      </c>
      <c r="T362" s="41" t="s">
        <v>22</v>
      </c>
      <c r="U362" s="41" t="s">
        <v>22</v>
      </c>
      <c r="V362">
        <v>20200512</v>
      </c>
      <c r="X362" s="6">
        <v>2008</v>
      </c>
      <c r="Y362" t="s">
        <v>328</v>
      </c>
      <c r="Z362" t="s">
        <v>251</v>
      </c>
      <c r="AC362" t="s">
        <v>514</v>
      </c>
      <c r="AD362" s="41" t="s">
        <v>22</v>
      </c>
      <c r="AE362" s="41" t="s">
        <v>22</v>
      </c>
      <c r="AF362" s="41" t="s">
        <v>22</v>
      </c>
      <c r="AG362" s="41" t="s">
        <v>22</v>
      </c>
      <c r="AH362" s="41" t="s">
        <v>22</v>
      </c>
      <c r="AI362" s="41" t="s">
        <v>22</v>
      </c>
      <c r="AJ362" s="41" t="s">
        <v>22</v>
      </c>
      <c r="AK362" s="41" t="s">
        <v>22</v>
      </c>
      <c r="AL362" s="41" t="s">
        <v>22</v>
      </c>
      <c r="AM362" s="43" t="e">
        <f t="shared" si="174"/>
        <v>#VALUE!</v>
      </c>
      <c r="AN362" s="43" t="e">
        <f t="shared" si="175"/>
        <v>#VALUE!</v>
      </c>
      <c r="AO362" s="3" t="s">
        <v>566</v>
      </c>
      <c r="AT362" s="2">
        <f t="shared" si="176"/>
        <v>25</v>
      </c>
      <c r="AU362" s="45">
        <f t="shared" si="177"/>
        <v>-3.6873508353221975</v>
      </c>
      <c r="AV362" s="45" t="e">
        <f t="shared" si="178"/>
        <v>#VALUE!</v>
      </c>
      <c r="AW362" s="45" t="e">
        <f t="shared" si="179"/>
        <v>#VALUE!</v>
      </c>
      <c r="AX362" s="45" t="e">
        <f t="shared" si="180"/>
        <v>#VALUE!</v>
      </c>
      <c r="AY362" s="45" t="e">
        <f t="shared" si="181"/>
        <v>#VALUE!</v>
      </c>
      <c r="AZ362" s="45" t="e">
        <f t="shared" si="182"/>
        <v>#VALUE!</v>
      </c>
      <c r="BA362" s="45">
        <f t="shared" si="183"/>
        <v>0.92197533115231711</v>
      </c>
      <c r="BB362" s="45">
        <f t="shared" si="184"/>
        <v>0.12759017122173755</v>
      </c>
      <c r="BC362" s="45" t="e">
        <f t="shared" si="185"/>
        <v>#VALUE!</v>
      </c>
      <c r="BD362" s="45" t="e">
        <f t="shared" si="186"/>
        <v>#VALUE!</v>
      </c>
      <c r="BE362" s="45" t="e">
        <f t="shared" si="187"/>
        <v>#VALUE!</v>
      </c>
      <c r="BF362" s="45" t="e">
        <f t="shared" si="188"/>
        <v>#VALUE!</v>
      </c>
      <c r="BG362" s="45" t="e">
        <f t="shared" si="189"/>
        <v>#VALUE!</v>
      </c>
      <c r="BH362" s="45" t="e">
        <f t="shared" si="190"/>
        <v>#NUM!</v>
      </c>
      <c r="BI362" s="43" t="e">
        <f t="shared" si="191"/>
        <v>#VALUE!</v>
      </c>
      <c r="CA362" s="41" t="s">
        <v>22</v>
      </c>
      <c r="CC362" t="s">
        <v>22</v>
      </c>
      <c r="CE362" s="41" t="s">
        <v>22</v>
      </c>
      <c r="CF362" s="41" t="s">
        <v>22</v>
      </c>
      <c r="CG362" s="41" t="e">
        <f t="shared" si="194"/>
        <v>#VALUE!</v>
      </c>
      <c r="CH362" s="41" t="e">
        <f t="shared" si="195"/>
        <v>#VALUE!</v>
      </c>
      <c r="CI362" s="41" t="str">
        <f t="shared" si="196"/>
        <v>Not Reported/ Can not calculate</v>
      </c>
      <c r="CJ362" s="41" t="e">
        <f t="shared" si="197"/>
        <v>#VALUE!</v>
      </c>
      <c r="CL362" s="9" t="s">
        <v>1269</v>
      </c>
      <c r="CM362" s="18" t="s">
        <v>1284</v>
      </c>
      <c r="CN362" s="54" t="s">
        <v>1284</v>
      </c>
      <c r="CO362" s="18" t="s">
        <v>1284</v>
      </c>
    </row>
    <row r="363" spans="1:93" x14ac:dyDescent="0.25">
      <c r="A363" t="s">
        <v>315</v>
      </c>
      <c r="B363" s="41">
        <v>3.3317547919707195E-4</v>
      </c>
      <c r="C363" s="41" t="s">
        <v>22</v>
      </c>
      <c r="D363" s="41" t="s">
        <v>22</v>
      </c>
      <c r="E363" s="41" t="s">
        <v>22</v>
      </c>
      <c r="F363" t="s">
        <v>22</v>
      </c>
      <c r="G363" t="s">
        <v>22</v>
      </c>
      <c r="H363" t="s">
        <v>22</v>
      </c>
      <c r="I363" t="s">
        <v>22</v>
      </c>
      <c r="J363" s="41">
        <v>10.288888888888801</v>
      </c>
      <c r="K363">
        <v>633</v>
      </c>
      <c r="L363" s="41">
        <f t="shared" si="198"/>
        <v>1.6518983421293858</v>
      </c>
      <c r="M363" t="s">
        <v>23</v>
      </c>
      <c r="N363" s="41" t="s">
        <v>22</v>
      </c>
      <c r="O363" s="41" t="s">
        <v>22</v>
      </c>
      <c r="P363" s="41" t="s">
        <v>22</v>
      </c>
      <c r="R363" s="41" t="s">
        <v>22</v>
      </c>
      <c r="S363" s="41" t="s">
        <v>22</v>
      </c>
      <c r="T363" s="41" t="s">
        <v>22</v>
      </c>
      <c r="U363" s="41" t="s">
        <v>22</v>
      </c>
      <c r="V363">
        <v>20200512</v>
      </c>
      <c r="X363" s="6">
        <v>2008</v>
      </c>
      <c r="Y363" t="s">
        <v>328</v>
      </c>
      <c r="Z363" t="s">
        <v>251</v>
      </c>
      <c r="AC363" t="s">
        <v>514</v>
      </c>
      <c r="AD363" s="41" t="s">
        <v>22</v>
      </c>
      <c r="AE363" s="41" t="s">
        <v>22</v>
      </c>
      <c r="AF363" s="41" t="s">
        <v>22</v>
      </c>
      <c r="AG363" s="41" t="s">
        <v>22</v>
      </c>
      <c r="AH363" s="41" t="s">
        <v>22</v>
      </c>
      <c r="AI363" s="41" t="s">
        <v>22</v>
      </c>
      <c r="AJ363" s="41" t="s">
        <v>22</v>
      </c>
      <c r="AK363" s="41" t="s">
        <v>22</v>
      </c>
      <c r="AL363" s="41" t="s">
        <v>22</v>
      </c>
      <c r="AM363" s="43" t="e">
        <f t="shared" si="174"/>
        <v>#VALUE!</v>
      </c>
      <c r="AN363" s="43" t="e">
        <f t="shared" si="175"/>
        <v>#VALUE!</v>
      </c>
      <c r="AO363" s="3" t="s">
        <v>566</v>
      </c>
      <c r="AT363" s="2">
        <f t="shared" si="176"/>
        <v>25</v>
      </c>
      <c r="AU363" s="45">
        <f t="shared" si="177"/>
        <v>-3.4773269689737485</v>
      </c>
      <c r="AV363" s="45" t="e">
        <f t="shared" si="178"/>
        <v>#VALUE!</v>
      </c>
      <c r="AW363" s="45" t="e">
        <f t="shared" si="179"/>
        <v>#VALUE!</v>
      </c>
      <c r="AX363" s="45" t="e">
        <f t="shared" si="180"/>
        <v>#VALUE!</v>
      </c>
      <c r="AY363" s="45" t="e">
        <f t="shared" si="181"/>
        <v>#VALUE!</v>
      </c>
      <c r="AZ363" s="45" t="e">
        <f t="shared" si="182"/>
        <v>#VALUE!</v>
      </c>
      <c r="BA363" s="45">
        <f t="shared" si="183"/>
        <v>1.0123684772426058</v>
      </c>
      <c r="BB363" s="45">
        <f t="shared" si="184"/>
        <v>0.21798331731202614</v>
      </c>
      <c r="BC363" s="45" t="e">
        <f t="shared" si="185"/>
        <v>#VALUE!</v>
      </c>
      <c r="BD363" s="45" t="e">
        <f t="shared" si="186"/>
        <v>#VALUE!</v>
      </c>
      <c r="BE363" s="45" t="e">
        <f t="shared" si="187"/>
        <v>#VALUE!</v>
      </c>
      <c r="BF363" s="45" t="e">
        <f t="shared" si="188"/>
        <v>#VALUE!</v>
      </c>
      <c r="BG363" s="45" t="e">
        <f t="shared" si="189"/>
        <v>#VALUE!</v>
      </c>
      <c r="BH363" s="45" t="e">
        <f t="shared" si="190"/>
        <v>#NUM!</v>
      </c>
      <c r="BI363" s="43" t="e">
        <f t="shared" si="191"/>
        <v>#VALUE!</v>
      </c>
      <c r="CA363" s="41" t="s">
        <v>22</v>
      </c>
      <c r="CC363" t="s">
        <v>22</v>
      </c>
      <c r="CE363" s="41" t="s">
        <v>22</v>
      </c>
      <c r="CF363" s="41" t="s">
        <v>22</v>
      </c>
      <c r="CG363" s="41" t="e">
        <f t="shared" si="194"/>
        <v>#VALUE!</v>
      </c>
      <c r="CH363" s="41" t="e">
        <f t="shared" si="195"/>
        <v>#VALUE!</v>
      </c>
      <c r="CI363" s="41" t="str">
        <f t="shared" si="196"/>
        <v>Not Reported/ Can not calculate</v>
      </c>
      <c r="CJ363" s="41" t="e">
        <f t="shared" si="197"/>
        <v>#VALUE!</v>
      </c>
      <c r="CL363" s="9" t="s">
        <v>1269</v>
      </c>
      <c r="CM363" s="18" t="s">
        <v>1284</v>
      </c>
      <c r="CN363" s="54" t="s">
        <v>1284</v>
      </c>
      <c r="CO363" s="18" t="s">
        <v>1284</v>
      </c>
    </row>
    <row r="364" spans="1:93" x14ac:dyDescent="0.25">
      <c r="A364" t="s">
        <v>315</v>
      </c>
      <c r="B364" s="41">
        <v>6.2337503174310805E-4</v>
      </c>
      <c r="C364" s="41" t="s">
        <v>22</v>
      </c>
      <c r="D364" s="41" t="s">
        <v>22</v>
      </c>
      <c r="E364" s="41" t="s">
        <v>22</v>
      </c>
      <c r="F364" t="s">
        <v>22</v>
      </c>
      <c r="G364" t="s">
        <v>22</v>
      </c>
      <c r="H364" t="s">
        <v>22</v>
      </c>
      <c r="I364" t="s">
        <v>22</v>
      </c>
      <c r="J364" s="41">
        <v>13.0888888888888</v>
      </c>
      <c r="K364">
        <v>633</v>
      </c>
      <c r="L364" s="41">
        <f t="shared" si="198"/>
        <v>2.1014430313481856</v>
      </c>
      <c r="M364" t="s">
        <v>23</v>
      </c>
      <c r="N364" s="41" t="s">
        <v>22</v>
      </c>
      <c r="O364" s="41" t="s">
        <v>22</v>
      </c>
      <c r="P364" s="41" t="s">
        <v>22</v>
      </c>
      <c r="R364" s="41" t="s">
        <v>22</v>
      </c>
      <c r="S364" s="41" t="s">
        <v>22</v>
      </c>
      <c r="T364" s="41" t="s">
        <v>22</v>
      </c>
      <c r="U364" s="41" t="s">
        <v>22</v>
      </c>
      <c r="V364">
        <v>20200512</v>
      </c>
      <c r="X364" s="6">
        <v>2008</v>
      </c>
      <c r="Y364" t="s">
        <v>328</v>
      </c>
      <c r="Z364" t="s">
        <v>251</v>
      </c>
      <c r="AC364" t="s">
        <v>514</v>
      </c>
      <c r="AD364" s="41" t="s">
        <v>22</v>
      </c>
      <c r="AE364" s="41" t="s">
        <v>22</v>
      </c>
      <c r="AF364" s="41" t="s">
        <v>22</v>
      </c>
      <c r="AG364" s="41" t="s">
        <v>22</v>
      </c>
      <c r="AH364" s="41" t="s">
        <v>22</v>
      </c>
      <c r="AI364" s="41" t="s">
        <v>22</v>
      </c>
      <c r="AJ364" s="41" t="s">
        <v>22</v>
      </c>
      <c r="AK364" s="41" t="s">
        <v>22</v>
      </c>
      <c r="AL364" s="41" t="s">
        <v>22</v>
      </c>
      <c r="AM364" s="43" t="e">
        <f t="shared" si="174"/>
        <v>#VALUE!</v>
      </c>
      <c r="AN364" s="43" t="e">
        <f t="shared" si="175"/>
        <v>#VALUE!</v>
      </c>
      <c r="AO364" s="3" t="s">
        <v>566</v>
      </c>
      <c r="AT364" s="2">
        <f t="shared" si="176"/>
        <v>25</v>
      </c>
      <c r="AU364" s="45">
        <f t="shared" si="177"/>
        <v>-3.2052505966587117</v>
      </c>
      <c r="AV364" s="45" t="e">
        <f t="shared" si="178"/>
        <v>#VALUE!</v>
      </c>
      <c r="AW364" s="45" t="e">
        <f t="shared" si="179"/>
        <v>#VALUE!</v>
      </c>
      <c r="AX364" s="45" t="e">
        <f t="shared" si="180"/>
        <v>#VALUE!</v>
      </c>
      <c r="AY364" s="45" t="e">
        <f t="shared" si="181"/>
        <v>#VALUE!</v>
      </c>
      <c r="AZ364" s="45" t="e">
        <f t="shared" si="182"/>
        <v>#VALUE!</v>
      </c>
      <c r="BA364" s="45">
        <f t="shared" si="183"/>
        <v>1.1169027810117551</v>
      </c>
      <c r="BB364" s="45">
        <f t="shared" si="184"/>
        <v>0.32251762108117538</v>
      </c>
      <c r="BC364" s="45" t="e">
        <f t="shared" si="185"/>
        <v>#VALUE!</v>
      </c>
      <c r="BD364" s="45" t="e">
        <f t="shared" si="186"/>
        <v>#VALUE!</v>
      </c>
      <c r="BE364" s="45" t="e">
        <f t="shared" si="187"/>
        <v>#VALUE!</v>
      </c>
      <c r="BF364" s="45" t="e">
        <f t="shared" si="188"/>
        <v>#VALUE!</v>
      </c>
      <c r="BG364" s="45" t="e">
        <f t="shared" si="189"/>
        <v>#VALUE!</v>
      </c>
      <c r="BH364" s="45" t="e">
        <f t="shared" si="190"/>
        <v>#NUM!</v>
      </c>
      <c r="BI364" s="43" t="e">
        <f t="shared" si="191"/>
        <v>#VALUE!</v>
      </c>
      <c r="CA364" s="41" t="s">
        <v>22</v>
      </c>
      <c r="CC364" t="s">
        <v>22</v>
      </c>
      <c r="CE364" s="41" t="s">
        <v>22</v>
      </c>
      <c r="CF364" s="41" t="s">
        <v>22</v>
      </c>
      <c r="CG364" s="41" t="e">
        <f t="shared" si="194"/>
        <v>#VALUE!</v>
      </c>
      <c r="CH364" s="41" t="e">
        <f t="shared" si="195"/>
        <v>#VALUE!</v>
      </c>
      <c r="CI364" s="41" t="str">
        <f t="shared" si="196"/>
        <v>Not Reported/ Can not calculate</v>
      </c>
      <c r="CJ364" s="41" t="e">
        <f t="shared" si="197"/>
        <v>#VALUE!</v>
      </c>
      <c r="CL364" s="9" t="s">
        <v>1269</v>
      </c>
      <c r="CM364" s="18" t="s">
        <v>1284</v>
      </c>
      <c r="CN364" s="54" t="s">
        <v>1284</v>
      </c>
      <c r="CO364" s="18" t="s">
        <v>1284</v>
      </c>
    </row>
    <row r="365" spans="1:93" x14ac:dyDescent="0.25">
      <c r="A365" t="s">
        <v>315</v>
      </c>
      <c r="B365" s="41">
        <v>4.4095209276774402E-3</v>
      </c>
      <c r="C365" s="41" t="s">
        <v>22</v>
      </c>
      <c r="D365" s="41" t="s">
        <v>22</v>
      </c>
      <c r="E365" s="41" t="s">
        <v>22</v>
      </c>
      <c r="F365" t="s">
        <v>22</v>
      </c>
      <c r="G365" t="s">
        <v>22</v>
      </c>
      <c r="H365" t="s">
        <v>22</v>
      </c>
      <c r="I365" t="s">
        <v>22</v>
      </c>
      <c r="J365" s="41">
        <v>11.3777777777777</v>
      </c>
      <c r="K365">
        <v>633</v>
      </c>
      <c r="L365" s="41">
        <f t="shared" si="198"/>
        <v>1.8267212768255874</v>
      </c>
      <c r="M365" t="s">
        <v>23</v>
      </c>
      <c r="N365" s="41" t="s">
        <v>22</v>
      </c>
      <c r="O365" s="41" t="s">
        <v>22</v>
      </c>
      <c r="P365" s="41" t="s">
        <v>22</v>
      </c>
      <c r="R365" s="41" t="s">
        <v>22</v>
      </c>
      <c r="S365" s="41" t="s">
        <v>22</v>
      </c>
      <c r="T365" s="41" t="s">
        <v>22</v>
      </c>
      <c r="U365" s="41" t="s">
        <v>22</v>
      </c>
      <c r="V365">
        <v>20200512</v>
      </c>
      <c r="X365" s="6">
        <v>2008</v>
      </c>
      <c r="Y365" t="s">
        <v>328</v>
      </c>
      <c r="Z365" t="s">
        <v>251</v>
      </c>
      <c r="AC365" t="s">
        <v>514</v>
      </c>
      <c r="AD365" s="41" t="s">
        <v>22</v>
      </c>
      <c r="AE365" s="41" t="s">
        <v>22</v>
      </c>
      <c r="AF365" s="41" t="s">
        <v>22</v>
      </c>
      <c r="AG365" s="41" t="s">
        <v>22</v>
      </c>
      <c r="AH365" s="41" t="s">
        <v>22</v>
      </c>
      <c r="AI365" s="41" t="s">
        <v>22</v>
      </c>
      <c r="AJ365" s="41" t="s">
        <v>22</v>
      </c>
      <c r="AK365" s="41" t="s">
        <v>22</v>
      </c>
      <c r="AL365" s="41" t="s">
        <v>22</v>
      </c>
      <c r="AM365" s="43" t="e">
        <f t="shared" si="174"/>
        <v>#VALUE!</v>
      </c>
      <c r="AN365" s="43" t="e">
        <f t="shared" si="175"/>
        <v>#VALUE!</v>
      </c>
      <c r="AO365" s="3" t="s">
        <v>566</v>
      </c>
      <c r="AT365" s="2">
        <f t="shared" si="176"/>
        <v>25</v>
      </c>
      <c r="AU365" s="45">
        <f t="shared" si="177"/>
        <v>-2.3556085918854417</v>
      </c>
      <c r="AV365" s="45" t="e">
        <f t="shared" si="178"/>
        <v>#VALUE!</v>
      </c>
      <c r="AW365" s="45" t="e">
        <f t="shared" si="179"/>
        <v>#VALUE!</v>
      </c>
      <c r="AX365" s="45" t="e">
        <f t="shared" si="180"/>
        <v>#VALUE!</v>
      </c>
      <c r="AY365" s="45" t="e">
        <f t="shared" si="181"/>
        <v>#VALUE!</v>
      </c>
      <c r="AZ365" s="45" t="e">
        <f t="shared" si="182"/>
        <v>#VALUE!</v>
      </c>
      <c r="BA365" s="45">
        <f t="shared" si="183"/>
        <v>1.056057447200484</v>
      </c>
      <c r="BB365" s="45">
        <f t="shared" si="184"/>
        <v>0.26167228726990449</v>
      </c>
      <c r="BC365" s="45" t="e">
        <f t="shared" si="185"/>
        <v>#VALUE!</v>
      </c>
      <c r="BD365" s="45" t="e">
        <f t="shared" si="186"/>
        <v>#VALUE!</v>
      </c>
      <c r="BE365" s="45" t="e">
        <f t="shared" si="187"/>
        <v>#VALUE!</v>
      </c>
      <c r="BF365" s="45" t="e">
        <f t="shared" si="188"/>
        <v>#VALUE!</v>
      </c>
      <c r="BG365" s="45" t="e">
        <f t="shared" si="189"/>
        <v>#VALUE!</v>
      </c>
      <c r="BH365" s="45" t="e">
        <f t="shared" si="190"/>
        <v>#NUM!</v>
      </c>
      <c r="BI365" s="43" t="e">
        <f t="shared" si="191"/>
        <v>#VALUE!</v>
      </c>
      <c r="CA365" s="41" t="s">
        <v>22</v>
      </c>
      <c r="CC365" t="s">
        <v>22</v>
      </c>
      <c r="CE365" s="41" t="s">
        <v>22</v>
      </c>
      <c r="CF365" s="41" t="s">
        <v>22</v>
      </c>
      <c r="CG365" s="41" t="e">
        <f t="shared" si="194"/>
        <v>#VALUE!</v>
      </c>
      <c r="CH365" s="41" t="e">
        <f t="shared" si="195"/>
        <v>#VALUE!</v>
      </c>
      <c r="CI365" s="41" t="str">
        <f t="shared" si="196"/>
        <v>Not Reported/ Can not calculate</v>
      </c>
      <c r="CJ365" s="41" t="e">
        <f t="shared" si="197"/>
        <v>#VALUE!</v>
      </c>
      <c r="CL365" s="9" t="s">
        <v>1269</v>
      </c>
      <c r="CM365" s="18" t="s">
        <v>1284</v>
      </c>
      <c r="CN365" s="54" t="s">
        <v>1284</v>
      </c>
      <c r="CO365" s="18" t="s">
        <v>1284</v>
      </c>
    </row>
    <row r="366" spans="1:93" x14ac:dyDescent="0.25">
      <c r="A366" t="s">
        <v>315</v>
      </c>
      <c r="B366" s="41">
        <v>1.5436333495289899E-2</v>
      </c>
      <c r="C366" s="41" t="s">
        <v>22</v>
      </c>
      <c r="D366" s="41" t="s">
        <v>22</v>
      </c>
      <c r="E366" s="41" t="s">
        <v>22</v>
      </c>
      <c r="F366" t="s">
        <v>22</v>
      </c>
      <c r="G366" t="s">
        <v>22</v>
      </c>
      <c r="H366" t="s">
        <v>22</v>
      </c>
      <c r="I366" t="s">
        <v>22</v>
      </c>
      <c r="J366" s="41">
        <v>11.0444444444444</v>
      </c>
      <c r="K366">
        <v>633</v>
      </c>
      <c r="L366" s="41">
        <f t="shared" si="198"/>
        <v>1.7732040519185928</v>
      </c>
      <c r="M366" t="s">
        <v>23</v>
      </c>
      <c r="N366" s="41" t="s">
        <v>22</v>
      </c>
      <c r="O366" s="41" t="s">
        <v>22</v>
      </c>
      <c r="P366" s="41" t="s">
        <v>22</v>
      </c>
      <c r="R366" s="41" t="s">
        <v>22</v>
      </c>
      <c r="S366" s="41" t="s">
        <v>22</v>
      </c>
      <c r="T366" s="41" t="s">
        <v>22</v>
      </c>
      <c r="U366" s="41" t="s">
        <v>22</v>
      </c>
      <c r="V366">
        <v>20200512</v>
      </c>
      <c r="X366" s="6">
        <v>2008</v>
      </c>
      <c r="Y366" t="s">
        <v>328</v>
      </c>
      <c r="Z366" t="s">
        <v>251</v>
      </c>
      <c r="AC366" t="s">
        <v>514</v>
      </c>
      <c r="AD366" s="41" t="s">
        <v>22</v>
      </c>
      <c r="AE366" s="41" t="s">
        <v>22</v>
      </c>
      <c r="AF366" s="41" t="s">
        <v>22</v>
      </c>
      <c r="AG366" s="41" t="s">
        <v>22</v>
      </c>
      <c r="AH366" s="41" t="s">
        <v>22</v>
      </c>
      <c r="AI366" s="41" t="s">
        <v>22</v>
      </c>
      <c r="AJ366" s="41" t="s">
        <v>22</v>
      </c>
      <c r="AK366" s="41" t="s">
        <v>22</v>
      </c>
      <c r="AL366" s="41" t="s">
        <v>22</v>
      </c>
      <c r="AM366" s="43" t="e">
        <f t="shared" si="174"/>
        <v>#VALUE!</v>
      </c>
      <c r="AN366" s="43" t="e">
        <f t="shared" si="175"/>
        <v>#VALUE!</v>
      </c>
      <c r="AO366" s="3" t="s">
        <v>566</v>
      </c>
      <c r="AT366" s="2">
        <f t="shared" si="176"/>
        <v>25</v>
      </c>
      <c r="AU366" s="45">
        <f t="shared" si="177"/>
        <v>-1.8114558472553712</v>
      </c>
      <c r="AV366" s="45" t="e">
        <f t="shared" si="178"/>
        <v>#VALUE!</v>
      </c>
      <c r="AW366" s="45" t="e">
        <f t="shared" si="179"/>
        <v>#VALUE!</v>
      </c>
      <c r="AX366" s="45" t="e">
        <f t="shared" si="180"/>
        <v>#VALUE!</v>
      </c>
      <c r="AY366" s="45" t="e">
        <f t="shared" si="181"/>
        <v>#VALUE!</v>
      </c>
      <c r="AZ366" s="45" t="e">
        <f t="shared" si="182"/>
        <v>#VALUE!</v>
      </c>
      <c r="BA366" s="45">
        <f t="shared" si="183"/>
        <v>1.0431438749579867</v>
      </c>
      <c r="BB366" s="45">
        <f t="shared" si="184"/>
        <v>0.24875871502740707</v>
      </c>
      <c r="BC366" s="45" t="e">
        <f t="shared" si="185"/>
        <v>#VALUE!</v>
      </c>
      <c r="BD366" s="45" t="e">
        <f t="shared" si="186"/>
        <v>#VALUE!</v>
      </c>
      <c r="BE366" s="45" t="e">
        <f t="shared" si="187"/>
        <v>#VALUE!</v>
      </c>
      <c r="BF366" s="45" t="e">
        <f t="shared" si="188"/>
        <v>#VALUE!</v>
      </c>
      <c r="BG366" s="45" t="e">
        <f t="shared" si="189"/>
        <v>#VALUE!</v>
      </c>
      <c r="BH366" s="45" t="e">
        <f t="shared" si="190"/>
        <v>#NUM!</v>
      </c>
      <c r="BI366" s="43" t="e">
        <f t="shared" si="191"/>
        <v>#VALUE!</v>
      </c>
      <c r="CA366" s="41" t="s">
        <v>22</v>
      </c>
      <c r="CC366" t="s">
        <v>22</v>
      </c>
      <c r="CE366" s="41" t="s">
        <v>22</v>
      </c>
      <c r="CF366" s="41" t="s">
        <v>22</v>
      </c>
      <c r="CG366" s="41" t="e">
        <f t="shared" si="194"/>
        <v>#VALUE!</v>
      </c>
      <c r="CH366" s="41" t="e">
        <f t="shared" si="195"/>
        <v>#VALUE!</v>
      </c>
      <c r="CI366" s="41" t="str">
        <f t="shared" si="196"/>
        <v>Not Reported/ Can not calculate</v>
      </c>
      <c r="CJ366" s="41" t="e">
        <f t="shared" si="197"/>
        <v>#VALUE!</v>
      </c>
      <c r="CL366" s="9" t="s">
        <v>1269</v>
      </c>
      <c r="CM366" s="18" t="s">
        <v>1284</v>
      </c>
      <c r="CN366" s="54" t="s">
        <v>1284</v>
      </c>
      <c r="CO366" s="18" t="s">
        <v>1284</v>
      </c>
    </row>
    <row r="367" spans="1:93" x14ac:dyDescent="0.25">
      <c r="A367" t="s">
        <v>315</v>
      </c>
      <c r="B367" s="41">
        <v>8.9100608142614994E-3</v>
      </c>
      <c r="C367" s="41" t="s">
        <v>22</v>
      </c>
      <c r="D367" s="41" t="s">
        <v>22</v>
      </c>
      <c r="E367" s="41" t="s">
        <v>22</v>
      </c>
      <c r="F367" t="s">
        <v>22</v>
      </c>
      <c r="G367" t="s">
        <v>22</v>
      </c>
      <c r="H367" t="s">
        <v>22</v>
      </c>
      <c r="I367" t="s">
        <v>22</v>
      </c>
      <c r="J367" s="41">
        <v>12.022222222222201</v>
      </c>
      <c r="K367">
        <v>633</v>
      </c>
      <c r="L367" s="41">
        <f t="shared" si="198"/>
        <v>1.9301879116457965</v>
      </c>
      <c r="M367" t="s">
        <v>23</v>
      </c>
      <c r="N367" s="41" t="s">
        <v>22</v>
      </c>
      <c r="O367" s="41" t="s">
        <v>22</v>
      </c>
      <c r="P367" s="41" t="s">
        <v>22</v>
      </c>
      <c r="R367" s="41" t="s">
        <v>22</v>
      </c>
      <c r="S367" s="41" t="s">
        <v>22</v>
      </c>
      <c r="T367" s="41" t="s">
        <v>22</v>
      </c>
      <c r="U367" s="41" t="s">
        <v>22</v>
      </c>
      <c r="V367">
        <v>20200512</v>
      </c>
      <c r="X367" s="6">
        <v>2008</v>
      </c>
      <c r="Y367" t="s">
        <v>328</v>
      </c>
      <c r="Z367" t="s">
        <v>251</v>
      </c>
      <c r="AC367" t="s">
        <v>514</v>
      </c>
      <c r="AD367" s="41" t="s">
        <v>22</v>
      </c>
      <c r="AE367" s="41" t="s">
        <v>22</v>
      </c>
      <c r="AF367" s="41" t="s">
        <v>22</v>
      </c>
      <c r="AG367" s="41" t="s">
        <v>22</v>
      </c>
      <c r="AH367" s="41" t="s">
        <v>22</v>
      </c>
      <c r="AI367" s="41" t="s">
        <v>22</v>
      </c>
      <c r="AJ367" s="41" t="s">
        <v>22</v>
      </c>
      <c r="AK367" s="41" t="s">
        <v>22</v>
      </c>
      <c r="AL367" s="41" t="s">
        <v>22</v>
      </c>
      <c r="AM367" s="43" t="e">
        <f t="shared" si="174"/>
        <v>#VALUE!</v>
      </c>
      <c r="AN367" s="43" t="e">
        <f t="shared" si="175"/>
        <v>#VALUE!</v>
      </c>
      <c r="AO367" s="3" t="s">
        <v>566</v>
      </c>
      <c r="AT367" s="2">
        <f t="shared" si="176"/>
        <v>25</v>
      </c>
      <c r="AU367" s="45">
        <f t="shared" si="177"/>
        <v>-2.0501193317422435</v>
      </c>
      <c r="AV367" s="45" t="e">
        <f t="shared" si="178"/>
        <v>#VALUE!</v>
      </c>
      <c r="AW367" s="45" t="e">
        <f t="shared" si="179"/>
        <v>#VALUE!</v>
      </c>
      <c r="AX367" s="45" t="e">
        <f t="shared" si="180"/>
        <v>#VALUE!</v>
      </c>
      <c r="AY367" s="45" t="e">
        <f t="shared" si="181"/>
        <v>#VALUE!</v>
      </c>
      <c r="AZ367" s="45" t="e">
        <f t="shared" si="182"/>
        <v>#VALUE!</v>
      </c>
      <c r="BA367" s="45">
        <f t="shared" si="183"/>
        <v>1.0799847513312251</v>
      </c>
      <c r="BB367" s="45">
        <f t="shared" si="184"/>
        <v>0.28559959140064539</v>
      </c>
      <c r="BC367" s="45" t="e">
        <f t="shared" si="185"/>
        <v>#VALUE!</v>
      </c>
      <c r="BD367" s="45" t="e">
        <f t="shared" si="186"/>
        <v>#VALUE!</v>
      </c>
      <c r="BE367" s="45" t="e">
        <f t="shared" si="187"/>
        <v>#VALUE!</v>
      </c>
      <c r="BF367" s="45" t="e">
        <f t="shared" si="188"/>
        <v>#VALUE!</v>
      </c>
      <c r="BG367" s="45" t="e">
        <f t="shared" si="189"/>
        <v>#VALUE!</v>
      </c>
      <c r="BH367" s="45" t="e">
        <f t="shared" si="190"/>
        <v>#NUM!</v>
      </c>
      <c r="BI367" s="43" t="e">
        <f t="shared" si="191"/>
        <v>#VALUE!</v>
      </c>
      <c r="CA367" s="41" t="s">
        <v>22</v>
      </c>
      <c r="CC367" t="s">
        <v>22</v>
      </c>
      <c r="CE367" s="41" t="s">
        <v>22</v>
      </c>
      <c r="CF367" s="41" t="s">
        <v>22</v>
      </c>
      <c r="CG367" s="41" t="e">
        <f t="shared" si="194"/>
        <v>#VALUE!</v>
      </c>
      <c r="CH367" s="41" t="e">
        <f t="shared" si="195"/>
        <v>#VALUE!</v>
      </c>
      <c r="CI367" s="41" t="str">
        <f t="shared" si="196"/>
        <v>Not Reported/ Can not calculate</v>
      </c>
      <c r="CJ367" s="41" t="e">
        <f t="shared" si="197"/>
        <v>#VALUE!</v>
      </c>
      <c r="CL367" s="9" t="s">
        <v>1269</v>
      </c>
      <c r="CM367" s="18" t="s">
        <v>1284</v>
      </c>
      <c r="CN367" s="54" t="s">
        <v>1284</v>
      </c>
      <c r="CO367" s="18" t="s">
        <v>1284</v>
      </c>
    </row>
    <row r="368" spans="1:93" x14ac:dyDescent="0.25">
      <c r="A368" t="s">
        <v>315</v>
      </c>
      <c r="B368" s="41">
        <v>9.7289691388795195E-3</v>
      </c>
      <c r="C368" s="41" t="s">
        <v>22</v>
      </c>
      <c r="D368" s="41" t="s">
        <v>22</v>
      </c>
      <c r="E368" s="41" t="s">
        <v>22</v>
      </c>
      <c r="F368" t="s">
        <v>22</v>
      </c>
      <c r="G368" t="s">
        <v>22</v>
      </c>
      <c r="H368" t="s">
        <v>22</v>
      </c>
      <c r="I368" t="s">
        <v>22</v>
      </c>
      <c r="J368" s="41">
        <v>13.1111111111111</v>
      </c>
      <c r="K368">
        <v>633</v>
      </c>
      <c r="L368" s="41">
        <f t="shared" si="198"/>
        <v>2.1050108463419983</v>
      </c>
      <c r="M368" t="s">
        <v>23</v>
      </c>
      <c r="N368" s="41" t="s">
        <v>22</v>
      </c>
      <c r="O368" s="41" t="s">
        <v>22</v>
      </c>
      <c r="P368" s="41" t="s">
        <v>22</v>
      </c>
      <c r="R368" s="41" t="s">
        <v>22</v>
      </c>
      <c r="S368" s="41" t="s">
        <v>22</v>
      </c>
      <c r="T368" s="41" t="s">
        <v>22</v>
      </c>
      <c r="U368" s="41" t="s">
        <v>22</v>
      </c>
      <c r="V368">
        <v>20200512</v>
      </c>
      <c r="X368" s="6">
        <v>2008</v>
      </c>
      <c r="Y368" t="s">
        <v>328</v>
      </c>
      <c r="Z368" t="s">
        <v>251</v>
      </c>
      <c r="AC368" t="s">
        <v>514</v>
      </c>
      <c r="AD368" s="41" t="s">
        <v>22</v>
      </c>
      <c r="AE368" s="41" t="s">
        <v>22</v>
      </c>
      <c r="AF368" s="41" t="s">
        <v>22</v>
      </c>
      <c r="AG368" s="41" t="s">
        <v>22</v>
      </c>
      <c r="AH368" s="41" t="s">
        <v>22</v>
      </c>
      <c r="AI368" s="41" t="s">
        <v>22</v>
      </c>
      <c r="AJ368" s="41" t="s">
        <v>22</v>
      </c>
      <c r="AK368" s="41" t="s">
        <v>22</v>
      </c>
      <c r="AL368" s="41" t="s">
        <v>22</v>
      </c>
      <c r="AM368" s="43" t="e">
        <f t="shared" si="174"/>
        <v>#VALUE!</v>
      </c>
      <c r="AN368" s="43" t="e">
        <f t="shared" si="175"/>
        <v>#VALUE!</v>
      </c>
      <c r="AO368" s="3" t="s">
        <v>566</v>
      </c>
      <c r="AT368" s="2">
        <f t="shared" si="176"/>
        <v>25</v>
      </c>
      <c r="AU368" s="45">
        <f t="shared" si="177"/>
        <v>-2.0119331742243438</v>
      </c>
      <c r="AV368" s="45" t="e">
        <f t="shared" si="178"/>
        <v>#VALUE!</v>
      </c>
      <c r="AW368" s="45" t="e">
        <f t="shared" si="179"/>
        <v>#VALUE!</v>
      </c>
      <c r="AX368" s="45" t="e">
        <f t="shared" si="180"/>
        <v>#VALUE!</v>
      </c>
      <c r="AY368" s="45" t="e">
        <f t="shared" si="181"/>
        <v>#VALUE!</v>
      </c>
      <c r="AZ368" s="45" t="e">
        <f t="shared" si="182"/>
        <v>#VALUE!</v>
      </c>
      <c r="BA368" s="45">
        <f t="shared" si="183"/>
        <v>1.1176394978668001</v>
      </c>
      <c r="BB368" s="45">
        <f t="shared" si="184"/>
        <v>0.32325433793622055</v>
      </c>
      <c r="BC368" s="45" t="e">
        <f t="shared" si="185"/>
        <v>#VALUE!</v>
      </c>
      <c r="BD368" s="45" t="e">
        <f t="shared" si="186"/>
        <v>#VALUE!</v>
      </c>
      <c r="BE368" s="45" t="e">
        <f t="shared" si="187"/>
        <v>#VALUE!</v>
      </c>
      <c r="BF368" s="45" t="e">
        <f t="shared" si="188"/>
        <v>#VALUE!</v>
      </c>
      <c r="BG368" s="45" t="e">
        <f t="shared" si="189"/>
        <v>#VALUE!</v>
      </c>
      <c r="BH368" s="45" t="e">
        <f t="shared" si="190"/>
        <v>#NUM!</v>
      </c>
      <c r="BI368" s="43" t="e">
        <f t="shared" si="191"/>
        <v>#VALUE!</v>
      </c>
      <c r="CA368" s="41" t="s">
        <v>22</v>
      </c>
      <c r="CC368" t="s">
        <v>22</v>
      </c>
      <c r="CE368" s="41" t="s">
        <v>22</v>
      </c>
      <c r="CF368" s="41" t="s">
        <v>22</v>
      </c>
      <c r="CG368" s="41" t="e">
        <f t="shared" si="194"/>
        <v>#VALUE!</v>
      </c>
      <c r="CH368" s="41" t="e">
        <f t="shared" si="195"/>
        <v>#VALUE!</v>
      </c>
      <c r="CI368" s="41" t="str">
        <f t="shared" si="196"/>
        <v>Not Reported/ Can not calculate</v>
      </c>
      <c r="CJ368" s="41" t="e">
        <f t="shared" si="197"/>
        <v>#VALUE!</v>
      </c>
      <c r="CL368" s="9" t="s">
        <v>1269</v>
      </c>
      <c r="CM368" s="18" t="s">
        <v>1284</v>
      </c>
      <c r="CN368" s="54" t="s">
        <v>1284</v>
      </c>
      <c r="CO368" s="18" t="s">
        <v>1284</v>
      </c>
    </row>
    <row r="369" spans="1:93" x14ac:dyDescent="0.25">
      <c r="A369" t="s">
        <v>315</v>
      </c>
      <c r="B369" s="41">
        <v>8.9100608142614994E-3</v>
      </c>
      <c r="C369" s="41" t="s">
        <v>22</v>
      </c>
      <c r="D369" s="41" t="s">
        <v>22</v>
      </c>
      <c r="E369" s="41" t="s">
        <v>22</v>
      </c>
      <c r="F369" t="s">
        <v>22</v>
      </c>
      <c r="G369" t="s">
        <v>22</v>
      </c>
      <c r="H369" t="s">
        <v>22</v>
      </c>
      <c r="I369" t="s">
        <v>22</v>
      </c>
      <c r="J369" s="41">
        <v>13.288888888888801</v>
      </c>
      <c r="K369">
        <v>633</v>
      </c>
      <c r="L369" s="41">
        <f t="shared" si="198"/>
        <v>2.1335533662923858</v>
      </c>
      <c r="M369" t="s">
        <v>23</v>
      </c>
      <c r="N369" s="41" t="s">
        <v>22</v>
      </c>
      <c r="O369" s="41" t="s">
        <v>22</v>
      </c>
      <c r="P369" s="41" t="s">
        <v>22</v>
      </c>
      <c r="R369" s="41" t="s">
        <v>22</v>
      </c>
      <c r="S369" s="41" t="s">
        <v>22</v>
      </c>
      <c r="T369" s="41" t="s">
        <v>22</v>
      </c>
      <c r="U369" s="41" t="s">
        <v>22</v>
      </c>
      <c r="V369">
        <v>20200512</v>
      </c>
      <c r="X369" s="6">
        <v>2008</v>
      </c>
      <c r="Y369" t="s">
        <v>328</v>
      </c>
      <c r="Z369" t="s">
        <v>251</v>
      </c>
      <c r="AC369" t="s">
        <v>514</v>
      </c>
      <c r="AD369" s="41" t="s">
        <v>22</v>
      </c>
      <c r="AE369" s="41" t="s">
        <v>22</v>
      </c>
      <c r="AF369" s="41" t="s">
        <v>22</v>
      </c>
      <c r="AG369" s="41" t="s">
        <v>22</v>
      </c>
      <c r="AH369" s="41" t="s">
        <v>22</v>
      </c>
      <c r="AI369" s="41" t="s">
        <v>22</v>
      </c>
      <c r="AJ369" s="41" t="s">
        <v>22</v>
      </c>
      <c r="AK369" s="41" t="s">
        <v>22</v>
      </c>
      <c r="AL369" s="41" t="s">
        <v>22</v>
      </c>
      <c r="AM369" s="43" t="e">
        <f t="shared" si="174"/>
        <v>#VALUE!</v>
      </c>
      <c r="AN369" s="43" t="e">
        <f t="shared" si="175"/>
        <v>#VALUE!</v>
      </c>
      <c r="AO369" s="3" t="s">
        <v>566</v>
      </c>
      <c r="AT369" s="2">
        <f t="shared" si="176"/>
        <v>25</v>
      </c>
      <c r="AU369" s="45">
        <f t="shared" si="177"/>
        <v>-2.0501193317422435</v>
      </c>
      <c r="AV369" s="45" t="e">
        <f t="shared" si="178"/>
        <v>#VALUE!</v>
      </c>
      <c r="AW369" s="45" t="e">
        <f t="shared" si="179"/>
        <v>#VALUE!</v>
      </c>
      <c r="AX369" s="45" t="e">
        <f t="shared" si="180"/>
        <v>#VALUE!</v>
      </c>
      <c r="AY369" s="45" t="e">
        <f t="shared" si="181"/>
        <v>#VALUE!</v>
      </c>
      <c r="AZ369" s="45" t="e">
        <f t="shared" si="182"/>
        <v>#VALUE!</v>
      </c>
      <c r="BA369" s="45">
        <f t="shared" si="183"/>
        <v>1.1234886702130642</v>
      </c>
      <c r="BB369" s="45">
        <f t="shared" si="184"/>
        <v>0.32910351028248469</v>
      </c>
      <c r="BC369" s="45" t="e">
        <f t="shared" si="185"/>
        <v>#VALUE!</v>
      </c>
      <c r="BD369" s="45" t="e">
        <f t="shared" si="186"/>
        <v>#VALUE!</v>
      </c>
      <c r="BE369" s="45" t="e">
        <f t="shared" si="187"/>
        <v>#VALUE!</v>
      </c>
      <c r="BF369" s="45" t="e">
        <f t="shared" si="188"/>
        <v>#VALUE!</v>
      </c>
      <c r="BG369" s="45" t="e">
        <f t="shared" si="189"/>
        <v>#VALUE!</v>
      </c>
      <c r="BH369" s="45" t="e">
        <f t="shared" si="190"/>
        <v>#NUM!</v>
      </c>
      <c r="BI369" s="43" t="e">
        <f t="shared" si="191"/>
        <v>#VALUE!</v>
      </c>
      <c r="CA369" s="41" t="s">
        <v>22</v>
      </c>
      <c r="CC369" t="s">
        <v>22</v>
      </c>
      <c r="CE369" s="41" t="s">
        <v>22</v>
      </c>
      <c r="CF369" s="41" t="s">
        <v>22</v>
      </c>
      <c r="CG369" s="41" t="e">
        <f t="shared" si="194"/>
        <v>#VALUE!</v>
      </c>
      <c r="CH369" s="41" t="e">
        <f t="shared" si="195"/>
        <v>#VALUE!</v>
      </c>
      <c r="CI369" s="41" t="str">
        <f t="shared" si="196"/>
        <v>Not Reported/ Can not calculate</v>
      </c>
      <c r="CJ369" s="41" t="e">
        <f t="shared" si="197"/>
        <v>#VALUE!</v>
      </c>
      <c r="CL369" s="9" t="s">
        <v>1269</v>
      </c>
      <c r="CM369" s="18" t="s">
        <v>1284</v>
      </c>
      <c r="CN369" s="54" t="s">
        <v>1284</v>
      </c>
      <c r="CO369" s="18" t="s">
        <v>1284</v>
      </c>
    </row>
    <row r="370" spans="1:93" x14ac:dyDescent="0.25">
      <c r="A370" t="s">
        <v>315</v>
      </c>
      <c r="B370" s="41">
        <v>6.91983063976473E-3</v>
      </c>
      <c r="C370" s="41" t="s">
        <v>22</v>
      </c>
      <c r="D370" s="41" t="s">
        <v>22</v>
      </c>
      <c r="E370" s="41" t="s">
        <v>22</v>
      </c>
      <c r="F370" t="s">
        <v>22</v>
      </c>
      <c r="G370" t="s">
        <v>22</v>
      </c>
      <c r="H370" t="s">
        <v>22</v>
      </c>
      <c r="I370" t="s">
        <v>22</v>
      </c>
      <c r="J370" s="41">
        <v>13.6222222222222</v>
      </c>
      <c r="K370">
        <v>633</v>
      </c>
      <c r="L370" s="41">
        <f t="shared" si="198"/>
        <v>2.1870705911993964</v>
      </c>
      <c r="M370" t="s">
        <v>23</v>
      </c>
      <c r="N370" s="41" t="s">
        <v>22</v>
      </c>
      <c r="O370" s="41" t="s">
        <v>22</v>
      </c>
      <c r="P370" s="41" t="s">
        <v>22</v>
      </c>
      <c r="R370" s="41" t="s">
        <v>22</v>
      </c>
      <c r="S370" s="41" t="s">
        <v>22</v>
      </c>
      <c r="T370" s="41" t="s">
        <v>22</v>
      </c>
      <c r="U370" s="41" t="s">
        <v>22</v>
      </c>
      <c r="V370">
        <v>20200512</v>
      </c>
      <c r="X370" s="6">
        <v>2008</v>
      </c>
      <c r="Y370" t="s">
        <v>328</v>
      </c>
      <c r="Z370" t="s">
        <v>251</v>
      </c>
      <c r="AC370" t="s">
        <v>514</v>
      </c>
      <c r="AD370" s="41" t="s">
        <v>22</v>
      </c>
      <c r="AE370" s="41" t="s">
        <v>22</v>
      </c>
      <c r="AF370" s="41" t="s">
        <v>22</v>
      </c>
      <c r="AG370" s="41" t="s">
        <v>22</v>
      </c>
      <c r="AH370" s="41" t="s">
        <v>22</v>
      </c>
      <c r="AI370" s="41" t="s">
        <v>22</v>
      </c>
      <c r="AJ370" s="41" t="s">
        <v>22</v>
      </c>
      <c r="AK370" s="41" t="s">
        <v>22</v>
      </c>
      <c r="AL370" s="41" t="s">
        <v>22</v>
      </c>
      <c r="AM370" s="43" t="e">
        <f t="shared" si="174"/>
        <v>#VALUE!</v>
      </c>
      <c r="AN370" s="43" t="e">
        <f t="shared" si="175"/>
        <v>#VALUE!</v>
      </c>
      <c r="AO370" s="3" t="s">
        <v>566</v>
      </c>
      <c r="AT370" s="2">
        <f t="shared" si="176"/>
        <v>25</v>
      </c>
      <c r="AU370" s="45">
        <f t="shared" si="177"/>
        <v>-2.1599045346062056</v>
      </c>
      <c r="AV370" s="45" t="e">
        <f t="shared" si="178"/>
        <v>#VALUE!</v>
      </c>
      <c r="AW370" s="45" t="e">
        <f t="shared" si="179"/>
        <v>#VALUE!</v>
      </c>
      <c r="AX370" s="45" t="e">
        <f t="shared" si="180"/>
        <v>#VALUE!</v>
      </c>
      <c r="AY370" s="45" t="e">
        <f t="shared" si="181"/>
        <v>#VALUE!</v>
      </c>
      <c r="AZ370" s="45" t="e">
        <f t="shared" si="182"/>
        <v>#VALUE!</v>
      </c>
      <c r="BA370" s="45">
        <f t="shared" si="183"/>
        <v>1.1342479607430707</v>
      </c>
      <c r="BB370" s="45">
        <f t="shared" si="184"/>
        <v>0.33986280081249104</v>
      </c>
      <c r="BC370" s="45" t="e">
        <f t="shared" si="185"/>
        <v>#VALUE!</v>
      </c>
      <c r="BD370" s="45" t="e">
        <f t="shared" si="186"/>
        <v>#VALUE!</v>
      </c>
      <c r="BE370" s="45" t="e">
        <f t="shared" si="187"/>
        <v>#VALUE!</v>
      </c>
      <c r="BF370" s="45" t="e">
        <f t="shared" si="188"/>
        <v>#VALUE!</v>
      </c>
      <c r="BG370" s="45" t="e">
        <f t="shared" si="189"/>
        <v>#VALUE!</v>
      </c>
      <c r="BH370" s="45" t="e">
        <f t="shared" si="190"/>
        <v>#NUM!</v>
      </c>
      <c r="BI370" s="43" t="e">
        <f t="shared" si="191"/>
        <v>#VALUE!</v>
      </c>
      <c r="CA370" s="41" t="s">
        <v>22</v>
      </c>
      <c r="CC370" t="s">
        <v>22</v>
      </c>
      <c r="CE370" s="41" t="s">
        <v>22</v>
      </c>
      <c r="CF370" s="41" t="s">
        <v>22</v>
      </c>
      <c r="CG370" s="41" t="e">
        <f t="shared" si="194"/>
        <v>#VALUE!</v>
      </c>
      <c r="CH370" s="41" t="e">
        <f t="shared" si="195"/>
        <v>#VALUE!</v>
      </c>
      <c r="CI370" s="41" t="str">
        <f t="shared" si="196"/>
        <v>Not Reported/ Can not calculate</v>
      </c>
      <c r="CJ370" s="41" t="e">
        <f t="shared" si="197"/>
        <v>#VALUE!</v>
      </c>
      <c r="CL370" s="9" t="s">
        <v>1269</v>
      </c>
      <c r="CM370" s="18" t="s">
        <v>1284</v>
      </c>
      <c r="CN370" s="54" t="s">
        <v>1284</v>
      </c>
      <c r="CO370" s="18" t="s">
        <v>1284</v>
      </c>
    </row>
    <row r="371" spans="1:93" x14ac:dyDescent="0.25">
      <c r="A371" t="s">
        <v>315</v>
      </c>
      <c r="B371" s="41">
        <v>7.5558203410673397E-3</v>
      </c>
      <c r="C371" s="41" t="s">
        <v>22</v>
      </c>
      <c r="D371" s="41" t="s">
        <v>22</v>
      </c>
      <c r="E371" s="41" t="s">
        <v>22</v>
      </c>
      <c r="F371" t="s">
        <v>22</v>
      </c>
      <c r="G371" t="s">
        <v>22</v>
      </c>
      <c r="H371" t="s">
        <v>22</v>
      </c>
      <c r="I371" t="s">
        <v>22</v>
      </c>
      <c r="J371" s="41">
        <v>13.6</v>
      </c>
      <c r="K371">
        <v>633</v>
      </c>
      <c r="L371" s="41">
        <f t="shared" si="198"/>
        <v>2.1835027762055996</v>
      </c>
      <c r="M371" t="s">
        <v>23</v>
      </c>
      <c r="N371" s="41" t="s">
        <v>22</v>
      </c>
      <c r="O371" s="41" t="s">
        <v>22</v>
      </c>
      <c r="P371" s="41" t="s">
        <v>22</v>
      </c>
      <c r="R371" s="41" t="s">
        <v>22</v>
      </c>
      <c r="S371" s="41" t="s">
        <v>22</v>
      </c>
      <c r="T371" s="41" t="s">
        <v>22</v>
      </c>
      <c r="U371" s="41" t="s">
        <v>22</v>
      </c>
      <c r="V371">
        <v>20200512</v>
      </c>
      <c r="X371" s="6">
        <v>2008</v>
      </c>
      <c r="Y371" t="s">
        <v>328</v>
      </c>
      <c r="Z371" s="18" t="s">
        <v>251</v>
      </c>
      <c r="AA371" s="18"/>
      <c r="AC371" t="s">
        <v>514</v>
      </c>
      <c r="AD371" s="41" t="s">
        <v>22</v>
      </c>
      <c r="AE371" s="41" t="s">
        <v>22</v>
      </c>
      <c r="AF371" s="41" t="s">
        <v>22</v>
      </c>
      <c r="AG371" s="41" t="s">
        <v>22</v>
      </c>
      <c r="AH371" s="41" t="s">
        <v>22</v>
      </c>
      <c r="AI371" s="41" t="s">
        <v>22</v>
      </c>
      <c r="AJ371" s="41" t="s">
        <v>22</v>
      </c>
      <c r="AK371" s="41" t="s">
        <v>22</v>
      </c>
      <c r="AL371" s="41" t="s">
        <v>22</v>
      </c>
      <c r="AM371" s="43" t="e">
        <f t="shared" si="174"/>
        <v>#VALUE!</v>
      </c>
      <c r="AN371" s="43" t="e">
        <f t="shared" si="175"/>
        <v>#VALUE!</v>
      </c>
      <c r="AO371" s="3" t="s">
        <v>566</v>
      </c>
      <c r="AT371" s="2">
        <f t="shared" si="176"/>
        <v>25</v>
      </c>
      <c r="AU371" s="45">
        <f t="shared" si="177"/>
        <v>-2.121718377088305</v>
      </c>
      <c r="AV371" s="45" t="e">
        <f t="shared" si="178"/>
        <v>#VALUE!</v>
      </c>
      <c r="AW371" s="45" t="e">
        <f t="shared" si="179"/>
        <v>#VALUE!</v>
      </c>
      <c r="AX371" s="45" t="e">
        <f t="shared" si="180"/>
        <v>#VALUE!</v>
      </c>
      <c r="AY371" s="45" t="e">
        <f t="shared" si="181"/>
        <v>#VALUE!</v>
      </c>
      <c r="AZ371" s="45" t="e">
        <f t="shared" si="182"/>
        <v>#VALUE!</v>
      </c>
      <c r="BA371" s="45">
        <f t="shared" si="183"/>
        <v>1.1335389083702174</v>
      </c>
      <c r="BB371" s="45">
        <f t="shared" si="184"/>
        <v>0.33915374843963786</v>
      </c>
      <c r="BC371" s="45" t="e">
        <f t="shared" si="185"/>
        <v>#VALUE!</v>
      </c>
      <c r="BD371" s="45" t="e">
        <f t="shared" si="186"/>
        <v>#VALUE!</v>
      </c>
      <c r="BE371" s="45" t="e">
        <f t="shared" si="187"/>
        <v>#VALUE!</v>
      </c>
      <c r="BF371" s="45" t="e">
        <f t="shared" si="188"/>
        <v>#VALUE!</v>
      </c>
      <c r="BG371" s="45" t="e">
        <f t="shared" si="189"/>
        <v>#VALUE!</v>
      </c>
      <c r="BH371" s="45" t="e">
        <f t="shared" si="190"/>
        <v>#NUM!</v>
      </c>
      <c r="BI371" s="43" t="e">
        <f t="shared" si="191"/>
        <v>#VALUE!</v>
      </c>
      <c r="CA371" s="41" t="s">
        <v>22</v>
      </c>
      <c r="CC371" t="s">
        <v>22</v>
      </c>
      <c r="CE371" s="41" t="s">
        <v>22</v>
      </c>
      <c r="CF371" s="41" t="s">
        <v>22</v>
      </c>
      <c r="CG371" s="41" t="e">
        <f t="shared" si="194"/>
        <v>#VALUE!</v>
      </c>
      <c r="CH371" s="41" t="e">
        <f t="shared" si="195"/>
        <v>#VALUE!</v>
      </c>
      <c r="CI371" s="41" t="str">
        <f t="shared" si="196"/>
        <v>Not Reported/ Can not calculate</v>
      </c>
      <c r="CJ371" s="41" t="e">
        <f t="shared" si="197"/>
        <v>#VALUE!</v>
      </c>
      <c r="CL371" s="9" t="s">
        <v>1269</v>
      </c>
      <c r="CM371" s="18" t="s">
        <v>1284</v>
      </c>
      <c r="CN371" s="54" t="s">
        <v>1284</v>
      </c>
      <c r="CO371" s="18" t="s">
        <v>1284</v>
      </c>
    </row>
    <row r="372" spans="1:93" x14ac:dyDescent="0.25">
      <c r="A372" t="s">
        <v>315</v>
      </c>
      <c r="B372" s="41">
        <v>9.0085301822401698E-3</v>
      </c>
      <c r="C372" s="41" t="s">
        <v>22</v>
      </c>
      <c r="D372" s="41" t="s">
        <v>22</v>
      </c>
      <c r="E372" s="41" t="s">
        <v>22</v>
      </c>
      <c r="F372" t="s">
        <v>22</v>
      </c>
      <c r="G372" t="s">
        <v>22</v>
      </c>
      <c r="H372" t="s">
        <v>22</v>
      </c>
      <c r="I372" t="s">
        <v>22</v>
      </c>
      <c r="J372" s="41">
        <v>14.0444444444444</v>
      </c>
      <c r="K372">
        <v>633</v>
      </c>
      <c r="L372" s="41">
        <f t="shared" si="198"/>
        <v>2.2548590760815928</v>
      </c>
      <c r="M372" t="s">
        <v>23</v>
      </c>
      <c r="N372" s="41" t="s">
        <v>22</v>
      </c>
      <c r="O372" s="41" t="s">
        <v>22</v>
      </c>
      <c r="P372" s="41" t="s">
        <v>22</v>
      </c>
      <c r="R372" s="41" t="s">
        <v>22</v>
      </c>
      <c r="S372" s="41" t="s">
        <v>22</v>
      </c>
      <c r="T372" s="41" t="s">
        <v>22</v>
      </c>
      <c r="U372" s="41" t="s">
        <v>22</v>
      </c>
      <c r="V372">
        <v>20200512</v>
      </c>
      <c r="X372" s="6">
        <v>2008</v>
      </c>
      <c r="Y372" t="s">
        <v>328</v>
      </c>
      <c r="Z372" s="18" t="s">
        <v>251</v>
      </c>
      <c r="AA372" s="18"/>
      <c r="AC372" t="s">
        <v>514</v>
      </c>
      <c r="AD372" s="41" t="s">
        <v>22</v>
      </c>
      <c r="AE372" s="41" t="s">
        <v>22</v>
      </c>
      <c r="AF372" s="41" t="s">
        <v>22</v>
      </c>
      <c r="AG372" s="41" t="s">
        <v>22</v>
      </c>
      <c r="AH372" s="41" t="s">
        <v>22</v>
      </c>
      <c r="AI372" s="41" t="s">
        <v>22</v>
      </c>
      <c r="AJ372" s="41" t="s">
        <v>22</v>
      </c>
      <c r="AK372" s="41" t="s">
        <v>22</v>
      </c>
      <c r="AL372" s="41" t="s">
        <v>22</v>
      </c>
      <c r="AM372" s="43" t="e">
        <f t="shared" si="174"/>
        <v>#VALUE!</v>
      </c>
      <c r="AN372" s="43" t="e">
        <f t="shared" si="175"/>
        <v>#VALUE!</v>
      </c>
      <c r="AO372" s="3" t="s">
        <v>566</v>
      </c>
      <c r="AT372" s="2">
        <f t="shared" si="176"/>
        <v>25</v>
      </c>
      <c r="AU372" s="45">
        <f t="shared" si="177"/>
        <v>-2.0453460620525057</v>
      </c>
      <c r="AV372" s="45" t="e">
        <f t="shared" si="178"/>
        <v>#VALUE!</v>
      </c>
      <c r="AW372" s="45" t="e">
        <f t="shared" si="179"/>
        <v>#VALUE!</v>
      </c>
      <c r="AX372" s="45" t="e">
        <f t="shared" si="180"/>
        <v>#VALUE!</v>
      </c>
      <c r="AY372" s="45" t="e">
        <f t="shared" si="181"/>
        <v>#VALUE!</v>
      </c>
      <c r="AZ372" s="45" t="e">
        <f t="shared" si="182"/>
        <v>#VALUE!</v>
      </c>
      <c r="BA372" s="45">
        <f t="shared" si="183"/>
        <v>1.1475045645070399</v>
      </c>
      <c r="BB372" s="45">
        <f t="shared" si="184"/>
        <v>0.35311940457646035</v>
      </c>
      <c r="BC372" s="45" t="e">
        <f t="shared" si="185"/>
        <v>#VALUE!</v>
      </c>
      <c r="BD372" s="45" t="e">
        <f t="shared" si="186"/>
        <v>#VALUE!</v>
      </c>
      <c r="BE372" s="45" t="e">
        <f t="shared" si="187"/>
        <v>#VALUE!</v>
      </c>
      <c r="BF372" s="45" t="e">
        <f t="shared" si="188"/>
        <v>#VALUE!</v>
      </c>
      <c r="BG372" s="45" t="e">
        <f t="shared" si="189"/>
        <v>#VALUE!</v>
      </c>
      <c r="BH372" s="45" t="e">
        <f t="shared" si="190"/>
        <v>#NUM!</v>
      </c>
      <c r="BI372" s="43" t="e">
        <f t="shared" si="191"/>
        <v>#VALUE!</v>
      </c>
      <c r="CA372" s="41" t="s">
        <v>22</v>
      </c>
      <c r="CC372" t="s">
        <v>22</v>
      </c>
      <c r="CE372" s="41" t="s">
        <v>22</v>
      </c>
      <c r="CF372" s="41" t="s">
        <v>22</v>
      </c>
      <c r="CG372" s="41" t="e">
        <f t="shared" si="194"/>
        <v>#VALUE!</v>
      </c>
      <c r="CH372" s="41" t="e">
        <f t="shared" si="195"/>
        <v>#VALUE!</v>
      </c>
      <c r="CI372" s="41" t="str">
        <f t="shared" si="196"/>
        <v>Not Reported/ Can not calculate</v>
      </c>
      <c r="CJ372" s="41" t="e">
        <f t="shared" si="197"/>
        <v>#VALUE!</v>
      </c>
      <c r="CL372" s="9" t="s">
        <v>1269</v>
      </c>
      <c r="CM372" s="18" t="s">
        <v>1284</v>
      </c>
      <c r="CN372" s="54" t="s">
        <v>1284</v>
      </c>
      <c r="CO372" s="18" t="s">
        <v>1284</v>
      </c>
    </row>
    <row r="373" spans="1:93" x14ac:dyDescent="0.25">
      <c r="A373" t="s">
        <v>315</v>
      </c>
      <c r="B373" s="41">
        <v>1.1100589993819899E-2</v>
      </c>
      <c r="C373" s="41" t="s">
        <v>22</v>
      </c>
      <c r="D373" s="41" t="s">
        <v>22</v>
      </c>
      <c r="E373" s="41" t="s">
        <v>22</v>
      </c>
      <c r="F373" t="s">
        <v>22</v>
      </c>
      <c r="G373" t="s">
        <v>22</v>
      </c>
      <c r="H373" t="s">
        <v>22</v>
      </c>
      <c r="I373" t="s">
        <v>22</v>
      </c>
      <c r="J373" s="41">
        <v>14.4444444444444</v>
      </c>
      <c r="K373">
        <v>633</v>
      </c>
      <c r="L373" s="41">
        <f t="shared" si="198"/>
        <v>2.3190797459699928</v>
      </c>
      <c r="M373" t="s">
        <v>23</v>
      </c>
      <c r="N373" s="41" t="s">
        <v>22</v>
      </c>
      <c r="O373" s="41" t="s">
        <v>22</v>
      </c>
      <c r="P373" s="41" t="s">
        <v>22</v>
      </c>
      <c r="R373" s="41" t="s">
        <v>22</v>
      </c>
      <c r="S373" s="41" t="s">
        <v>22</v>
      </c>
      <c r="T373" s="41" t="s">
        <v>22</v>
      </c>
      <c r="U373" s="41" t="s">
        <v>22</v>
      </c>
      <c r="V373">
        <v>20200512</v>
      </c>
      <c r="X373" s="6">
        <v>2008</v>
      </c>
      <c r="Y373" t="s">
        <v>328</v>
      </c>
      <c r="Z373" s="18" t="s">
        <v>251</v>
      </c>
      <c r="AA373" s="18"/>
      <c r="AC373" t="s">
        <v>514</v>
      </c>
      <c r="AD373" s="41" t="s">
        <v>22</v>
      </c>
      <c r="AE373" s="41" t="s">
        <v>22</v>
      </c>
      <c r="AF373" s="41" t="s">
        <v>22</v>
      </c>
      <c r="AG373" s="41" t="s">
        <v>22</v>
      </c>
      <c r="AH373" s="41" t="s">
        <v>22</v>
      </c>
      <c r="AI373" s="41" t="s">
        <v>22</v>
      </c>
      <c r="AJ373" s="41" t="s">
        <v>22</v>
      </c>
      <c r="AK373" s="41" t="s">
        <v>22</v>
      </c>
      <c r="AL373" s="41" t="s">
        <v>22</v>
      </c>
      <c r="AM373" s="43" t="e">
        <f t="shared" si="174"/>
        <v>#VALUE!</v>
      </c>
      <c r="AN373" s="43" t="e">
        <f t="shared" si="175"/>
        <v>#VALUE!</v>
      </c>
      <c r="AO373" s="3" t="s">
        <v>566</v>
      </c>
      <c r="AT373" s="2">
        <f t="shared" si="176"/>
        <v>25</v>
      </c>
      <c r="AU373" s="45">
        <f t="shared" si="177"/>
        <v>-1.954653937947495</v>
      </c>
      <c r="AV373" s="45" t="e">
        <f t="shared" si="178"/>
        <v>#VALUE!</v>
      </c>
      <c r="AW373" s="45" t="e">
        <f t="shared" si="179"/>
        <v>#VALUE!</v>
      </c>
      <c r="AX373" s="45" t="e">
        <f t="shared" si="180"/>
        <v>#VALUE!</v>
      </c>
      <c r="AY373" s="45" t="e">
        <f t="shared" si="181"/>
        <v>#VALUE!</v>
      </c>
      <c r="AZ373" s="45" t="e">
        <f t="shared" si="182"/>
        <v>#VALUE!</v>
      </c>
      <c r="BA373" s="45">
        <f t="shared" si="183"/>
        <v>1.1597008428675106</v>
      </c>
      <c r="BB373" s="45">
        <f t="shared" si="184"/>
        <v>0.36531568293693095</v>
      </c>
      <c r="BC373" s="45" t="e">
        <f t="shared" si="185"/>
        <v>#VALUE!</v>
      </c>
      <c r="BD373" s="45" t="e">
        <f t="shared" si="186"/>
        <v>#VALUE!</v>
      </c>
      <c r="BE373" s="45" t="e">
        <f t="shared" si="187"/>
        <v>#VALUE!</v>
      </c>
      <c r="BF373" s="45" t="e">
        <f t="shared" si="188"/>
        <v>#VALUE!</v>
      </c>
      <c r="BG373" s="45" t="e">
        <f t="shared" si="189"/>
        <v>#VALUE!</v>
      </c>
      <c r="BH373" s="45" t="e">
        <f t="shared" si="190"/>
        <v>#NUM!</v>
      </c>
      <c r="BI373" s="43" t="e">
        <f t="shared" si="191"/>
        <v>#VALUE!</v>
      </c>
      <c r="CA373" s="41" t="s">
        <v>22</v>
      </c>
      <c r="CC373" t="s">
        <v>22</v>
      </c>
      <c r="CE373" s="41" t="s">
        <v>22</v>
      </c>
      <c r="CF373" s="41" t="s">
        <v>22</v>
      </c>
      <c r="CG373" s="41" t="e">
        <f t="shared" ref="CG373:CG404" si="200">AD373*1000</f>
        <v>#VALUE!</v>
      </c>
      <c r="CH373" s="41" t="e">
        <f t="shared" ref="CH373:CH404" si="201">LOG10(CG373)</f>
        <v>#VALUE!</v>
      </c>
      <c r="CI373" s="41" t="str">
        <f t="shared" ref="CI373:CI393" si="202">IF(ISNUMBER(CG373),CG373,U373)</f>
        <v>Not Reported/ Can not calculate</v>
      </c>
      <c r="CJ373" s="41" t="e">
        <f t="shared" ref="CJ373:CJ404" si="203">LOG10(CI373)</f>
        <v>#VALUE!</v>
      </c>
      <c r="CL373" s="9" t="s">
        <v>1269</v>
      </c>
      <c r="CM373" s="18" t="s">
        <v>1284</v>
      </c>
      <c r="CN373" s="54" t="s">
        <v>1284</v>
      </c>
      <c r="CO373" s="18" t="s">
        <v>1284</v>
      </c>
    </row>
    <row r="374" spans="1:93" x14ac:dyDescent="0.25">
      <c r="A374" t="s">
        <v>315</v>
      </c>
      <c r="B374" s="41">
        <v>1.66708230038679E-2</v>
      </c>
      <c r="C374" s="41" t="s">
        <v>22</v>
      </c>
      <c r="D374" s="41" t="s">
        <v>22</v>
      </c>
      <c r="E374" s="41" t="s">
        <v>22</v>
      </c>
      <c r="F374" t="s">
        <v>22</v>
      </c>
      <c r="G374" t="s">
        <v>22</v>
      </c>
      <c r="H374" t="s">
        <v>22</v>
      </c>
      <c r="I374" t="s">
        <v>22</v>
      </c>
      <c r="J374" s="41">
        <v>14.6666666666666</v>
      </c>
      <c r="K374">
        <v>633</v>
      </c>
      <c r="L374" s="41">
        <f t="shared" si="198"/>
        <v>2.3547578959079893</v>
      </c>
      <c r="M374" t="s">
        <v>23</v>
      </c>
      <c r="N374" s="41" t="s">
        <v>22</v>
      </c>
      <c r="O374" s="41" t="s">
        <v>22</v>
      </c>
      <c r="P374" s="41" t="s">
        <v>22</v>
      </c>
      <c r="R374" s="41" t="s">
        <v>22</v>
      </c>
      <c r="S374" s="41" t="s">
        <v>22</v>
      </c>
      <c r="T374" s="41" t="s">
        <v>22</v>
      </c>
      <c r="U374" s="41" t="s">
        <v>22</v>
      </c>
      <c r="V374">
        <v>20200512</v>
      </c>
      <c r="X374" s="6">
        <v>2008</v>
      </c>
      <c r="Y374" t="s">
        <v>328</v>
      </c>
      <c r="Z374" t="s">
        <v>251</v>
      </c>
      <c r="AC374" t="s">
        <v>514</v>
      </c>
      <c r="AD374" s="41" t="s">
        <v>22</v>
      </c>
      <c r="AE374" s="41" t="s">
        <v>22</v>
      </c>
      <c r="AF374" s="41" t="s">
        <v>22</v>
      </c>
      <c r="AG374" s="41" t="s">
        <v>22</v>
      </c>
      <c r="AH374" s="41" t="s">
        <v>22</v>
      </c>
      <c r="AI374" s="41" t="s">
        <v>22</v>
      </c>
      <c r="AJ374" s="41" t="s">
        <v>22</v>
      </c>
      <c r="AK374" s="41" t="s">
        <v>22</v>
      </c>
      <c r="AL374" s="41" t="s">
        <v>22</v>
      </c>
      <c r="AM374" s="43" t="e">
        <f t="shared" si="174"/>
        <v>#VALUE!</v>
      </c>
      <c r="AN374" s="43" t="e">
        <f t="shared" si="175"/>
        <v>#VALUE!</v>
      </c>
      <c r="AO374" s="3" t="s">
        <v>566</v>
      </c>
      <c r="AT374" s="2">
        <f t="shared" si="176"/>
        <v>25</v>
      </c>
      <c r="AU374" s="45">
        <f t="shared" si="177"/>
        <v>-1.7780429594272089</v>
      </c>
      <c r="AV374" s="45" t="e">
        <f t="shared" si="178"/>
        <v>#VALUE!</v>
      </c>
      <c r="AW374" s="45" t="e">
        <f t="shared" si="179"/>
        <v>#VALUE!</v>
      </c>
      <c r="AX374" s="45" t="e">
        <f t="shared" si="180"/>
        <v>#VALUE!</v>
      </c>
      <c r="AY374" s="45" t="e">
        <f t="shared" si="181"/>
        <v>#VALUE!</v>
      </c>
      <c r="AZ374" s="45" t="e">
        <f t="shared" si="182"/>
        <v>#VALUE!</v>
      </c>
      <c r="BA374" s="45">
        <f t="shared" si="183"/>
        <v>1.166331421766523</v>
      </c>
      <c r="BB374" s="45">
        <f t="shared" si="184"/>
        <v>0.37194626183594343</v>
      </c>
      <c r="BC374" s="45" t="e">
        <f t="shared" si="185"/>
        <v>#VALUE!</v>
      </c>
      <c r="BD374" s="45" t="e">
        <f t="shared" si="186"/>
        <v>#VALUE!</v>
      </c>
      <c r="BE374" s="45" t="e">
        <f t="shared" si="187"/>
        <v>#VALUE!</v>
      </c>
      <c r="BF374" s="45" t="e">
        <f t="shared" si="188"/>
        <v>#VALUE!</v>
      </c>
      <c r="BG374" s="45" t="e">
        <f t="shared" si="189"/>
        <v>#VALUE!</v>
      </c>
      <c r="BH374" s="45" t="e">
        <f t="shared" si="190"/>
        <v>#NUM!</v>
      </c>
      <c r="BI374" s="43" t="e">
        <f t="shared" si="191"/>
        <v>#VALUE!</v>
      </c>
      <c r="CA374" s="41" t="s">
        <v>22</v>
      </c>
      <c r="CC374" t="s">
        <v>22</v>
      </c>
      <c r="CE374" s="41" t="s">
        <v>22</v>
      </c>
      <c r="CF374" s="41" t="s">
        <v>22</v>
      </c>
      <c r="CG374" s="41" t="e">
        <f t="shared" si="200"/>
        <v>#VALUE!</v>
      </c>
      <c r="CH374" s="41" t="e">
        <f t="shared" si="201"/>
        <v>#VALUE!</v>
      </c>
      <c r="CI374" s="41" t="str">
        <f t="shared" si="202"/>
        <v>Not Reported/ Can not calculate</v>
      </c>
      <c r="CJ374" s="41" t="e">
        <f t="shared" si="203"/>
        <v>#VALUE!</v>
      </c>
      <c r="CL374" s="9" t="s">
        <v>1269</v>
      </c>
      <c r="CM374" s="18" t="s">
        <v>1284</v>
      </c>
      <c r="CN374" s="54" t="s">
        <v>1284</v>
      </c>
      <c r="CO374" s="18" t="s">
        <v>1284</v>
      </c>
    </row>
    <row r="375" spans="1:93" x14ac:dyDescent="0.25">
      <c r="A375" t="s">
        <v>315</v>
      </c>
      <c r="B375" s="41">
        <v>6.3026424907495506E-4</v>
      </c>
      <c r="C375" s="41" t="s">
        <v>22</v>
      </c>
      <c r="D375" s="41" t="s">
        <v>22</v>
      </c>
      <c r="E375" s="41" t="s">
        <v>22</v>
      </c>
      <c r="F375" t="s">
        <v>22</v>
      </c>
      <c r="G375" t="s">
        <v>22</v>
      </c>
      <c r="H375" t="s">
        <v>22</v>
      </c>
      <c r="I375" t="s">
        <v>22</v>
      </c>
      <c r="J375" s="41">
        <v>3.8222222222222202</v>
      </c>
      <c r="K375">
        <v>633</v>
      </c>
      <c r="L375" s="41">
        <f t="shared" si="198"/>
        <v>0.6136641789335997</v>
      </c>
      <c r="M375" t="s">
        <v>45</v>
      </c>
      <c r="N375" s="41" t="s">
        <v>22</v>
      </c>
      <c r="O375" s="41" t="s">
        <v>22</v>
      </c>
      <c r="P375" s="41" t="s">
        <v>22</v>
      </c>
      <c r="R375" s="41" t="s">
        <v>22</v>
      </c>
      <c r="S375" s="41" t="s">
        <v>22</v>
      </c>
      <c r="T375" s="41" t="s">
        <v>22</v>
      </c>
      <c r="U375" s="41" t="s">
        <v>22</v>
      </c>
      <c r="V375">
        <v>20200512</v>
      </c>
      <c r="X375" s="6">
        <v>2008</v>
      </c>
      <c r="Y375" t="s">
        <v>328</v>
      </c>
      <c r="Z375" t="s">
        <v>567</v>
      </c>
      <c r="AC375" t="s">
        <v>514</v>
      </c>
      <c r="AD375" s="41" t="s">
        <v>22</v>
      </c>
      <c r="AE375" s="41" t="s">
        <v>22</v>
      </c>
      <c r="AF375" s="41" t="s">
        <v>22</v>
      </c>
      <c r="AG375" s="41" t="s">
        <v>22</v>
      </c>
      <c r="AH375" s="41" t="s">
        <v>22</v>
      </c>
      <c r="AI375" s="41" t="s">
        <v>22</v>
      </c>
      <c r="AJ375" s="41" t="s">
        <v>22</v>
      </c>
      <c r="AK375" s="41" t="s">
        <v>22</v>
      </c>
      <c r="AL375" s="41" t="s">
        <v>22</v>
      </c>
      <c r="AM375" s="43" t="e">
        <f t="shared" si="174"/>
        <v>#VALUE!</v>
      </c>
      <c r="AN375" s="43" t="e">
        <f t="shared" si="175"/>
        <v>#VALUE!</v>
      </c>
      <c r="AO375" s="3" t="s">
        <v>566</v>
      </c>
      <c r="AT375" s="2">
        <f t="shared" si="176"/>
        <v>25</v>
      </c>
      <c r="AU375" s="45">
        <f t="shared" si="177"/>
        <v>-3.2004773269689748</v>
      </c>
      <c r="AV375" s="45" t="e">
        <f t="shared" si="178"/>
        <v>#VALUE!</v>
      </c>
      <c r="AW375" s="45" t="e">
        <f t="shared" si="179"/>
        <v>#VALUE!</v>
      </c>
      <c r="AX375" s="45" t="e">
        <f t="shared" si="180"/>
        <v>#VALUE!</v>
      </c>
      <c r="AY375" s="45" t="e">
        <f t="shared" si="181"/>
        <v>#VALUE!</v>
      </c>
      <c r="AZ375" s="45" t="e">
        <f t="shared" si="182"/>
        <v>#VALUE!</v>
      </c>
      <c r="BA375" s="45">
        <f t="shared" si="183"/>
        <v>0.58231593313220498</v>
      </c>
      <c r="BB375" s="45">
        <f t="shared" si="184"/>
        <v>-0.21206922679837456</v>
      </c>
      <c r="BC375" s="45" t="e">
        <f t="shared" si="185"/>
        <v>#VALUE!</v>
      </c>
      <c r="BD375" s="45" t="e">
        <f t="shared" si="186"/>
        <v>#VALUE!</v>
      </c>
      <c r="BE375" s="45" t="e">
        <f t="shared" si="187"/>
        <v>#VALUE!</v>
      </c>
      <c r="BF375" s="45" t="e">
        <f t="shared" si="188"/>
        <v>#VALUE!</v>
      </c>
      <c r="BG375" s="45" t="e">
        <f t="shared" si="189"/>
        <v>#VALUE!</v>
      </c>
      <c r="BH375" s="45" t="e">
        <f t="shared" si="190"/>
        <v>#NUM!</v>
      </c>
      <c r="BI375" s="43" t="e">
        <f t="shared" si="191"/>
        <v>#VALUE!</v>
      </c>
      <c r="CA375" s="41" t="s">
        <v>22</v>
      </c>
      <c r="CC375" t="s">
        <v>22</v>
      </c>
      <c r="CE375" s="41" t="s">
        <v>22</v>
      </c>
      <c r="CF375" s="41" t="s">
        <v>22</v>
      </c>
      <c r="CG375" s="41" t="e">
        <f t="shared" si="200"/>
        <v>#VALUE!</v>
      </c>
      <c r="CH375" s="41" t="e">
        <f t="shared" si="201"/>
        <v>#VALUE!</v>
      </c>
      <c r="CI375" s="41" t="str">
        <f t="shared" si="202"/>
        <v>Not Reported/ Can not calculate</v>
      </c>
      <c r="CJ375" s="41" t="e">
        <f t="shared" si="203"/>
        <v>#VALUE!</v>
      </c>
      <c r="CL375" s="9" t="s">
        <v>1269</v>
      </c>
      <c r="CM375" s="18" t="s">
        <v>1284</v>
      </c>
      <c r="CN375" s="54" t="s">
        <v>1284</v>
      </c>
      <c r="CO375" s="18" t="s">
        <v>1284</v>
      </c>
    </row>
    <row r="376" spans="1:93" x14ac:dyDescent="0.25">
      <c r="A376" t="s">
        <v>315</v>
      </c>
      <c r="B376" s="41">
        <v>1.3307761593054899E-3</v>
      </c>
      <c r="C376" s="41" t="s">
        <v>22</v>
      </c>
      <c r="D376" s="41" t="s">
        <v>22</v>
      </c>
      <c r="E376" s="41" t="s">
        <v>22</v>
      </c>
      <c r="F376" t="s">
        <v>22</v>
      </c>
      <c r="G376" t="s">
        <v>22</v>
      </c>
      <c r="H376" t="s">
        <v>22</v>
      </c>
      <c r="I376" t="s">
        <v>22</v>
      </c>
      <c r="J376" s="41">
        <v>3.1333333333333302</v>
      </c>
      <c r="K376">
        <v>633</v>
      </c>
      <c r="L376" s="41">
        <f t="shared" si="198"/>
        <v>0.50306191412579948</v>
      </c>
      <c r="M376" t="s">
        <v>45</v>
      </c>
      <c r="N376" s="41" t="s">
        <v>22</v>
      </c>
      <c r="O376" s="41" t="s">
        <v>22</v>
      </c>
      <c r="P376" s="41" t="s">
        <v>22</v>
      </c>
      <c r="R376" s="41" t="s">
        <v>22</v>
      </c>
      <c r="S376" s="41" t="s">
        <v>22</v>
      </c>
      <c r="T376" s="41" t="s">
        <v>22</v>
      </c>
      <c r="U376" s="41" t="s">
        <v>22</v>
      </c>
      <c r="V376">
        <v>20200512</v>
      </c>
      <c r="X376" s="6">
        <v>2008</v>
      </c>
      <c r="Y376" t="s">
        <v>328</v>
      </c>
      <c r="Z376" t="s">
        <v>567</v>
      </c>
      <c r="AC376" t="s">
        <v>514</v>
      </c>
      <c r="AD376" s="41" t="s">
        <v>22</v>
      </c>
      <c r="AE376" s="41" t="s">
        <v>22</v>
      </c>
      <c r="AF376" s="41" t="s">
        <v>22</v>
      </c>
      <c r="AG376" s="41" t="s">
        <v>22</v>
      </c>
      <c r="AH376" s="41" t="s">
        <v>22</v>
      </c>
      <c r="AI376" s="41" t="s">
        <v>22</v>
      </c>
      <c r="AJ376" s="41" t="s">
        <v>22</v>
      </c>
      <c r="AK376" s="41" t="s">
        <v>22</v>
      </c>
      <c r="AL376" s="41" t="s">
        <v>22</v>
      </c>
      <c r="AM376" s="43" t="e">
        <f t="shared" si="174"/>
        <v>#VALUE!</v>
      </c>
      <c r="AN376" s="43" t="e">
        <f t="shared" si="175"/>
        <v>#VALUE!</v>
      </c>
      <c r="AO376" s="3" t="s">
        <v>566</v>
      </c>
      <c r="AT376" s="2">
        <f t="shared" si="176"/>
        <v>25</v>
      </c>
      <c r="AU376" s="45">
        <f t="shared" si="177"/>
        <v>-2.8758949880668268</v>
      </c>
      <c r="AV376" s="45" t="e">
        <f t="shared" si="178"/>
        <v>#VALUE!</v>
      </c>
      <c r="AW376" s="45" t="e">
        <f t="shared" si="179"/>
        <v>#VALUE!</v>
      </c>
      <c r="AX376" s="45" t="e">
        <f t="shared" si="180"/>
        <v>#VALUE!</v>
      </c>
      <c r="AY376" s="45" t="e">
        <f t="shared" si="181"/>
        <v>#VALUE!</v>
      </c>
      <c r="AZ376" s="45" t="e">
        <f t="shared" si="182"/>
        <v>#VALUE!</v>
      </c>
      <c r="BA376" s="45">
        <f t="shared" si="183"/>
        <v>0.49600659888003579</v>
      </c>
      <c r="BB376" s="45">
        <f t="shared" si="184"/>
        <v>-0.29837856105054383</v>
      </c>
      <c r="BC376" s="45" t="e">
        <f t="shared" si="185"/>
        <v>#VALUE!</v>
      </c>
      <c r="BD376" s="45" t="e">
        <f t="shared" si="186"/>
        <v>#VALUE!</v>
      </c>
      <c r="BE376" s="45" t="e">
        <f t="shared" si="187"/>
        <v>#VALUE!</v>
      </c>
      <c r="BF376" s="45" t="e">
        <f t="shared" si="188"/>
        <v>#VALUE!</v>
      </c>
      <c r="BG376" s="45" t="e">
        <f t="shared" si="189"/>
        <v>#VALUE!</v>
      </c>
      <c r="BH376" s="45" t="e">
        <f t="shared" si="190"/>
        <v>#NUM!</v>
      </c>
      <c r="BI376" s="43" t="e">
        <f t="shared" si="191"/>
        <v>#VALUE!</v>
      </c>
      <c r="CA376" s="41" t="s">
        <v>22</v>
      </c>
      <c r="CC376" t="s">
        <v>22</v>
      </c>
      <c r="CE376" s="41" t="s">
        <v>22</v>
      </c>
      <c r="CF376" s="41" t="s">
        <v>22</v>
      </c>
      <c r="CG376" s="41" t="e">
        <f t="shared" si="200"/>
        <v>#VALUE!</v>
      </c>
      <c r="CH376" s="41" t="e">
        <f t="shared" si="201"/>
        <v>#VALUE!</v>
      </c>
      <c r="CI376" s="41" t="str">
        <f t="shared" si="202"/>
        <v>Not Reported/ Can not calculate</v>
      </c>
      <c r="CJ376" s="41" t="e">
        <f t="shared" si="203"/>
        <v>#VALUE!</v>
      </c>
      <c r="CL376" s="9" t="s">
        <v>1269</v>
      </c>
      <c r="CM376" s="18" t="s">
        <v>1284</v>
      </c>
      <c r="CN376" s="54" t="s">
        <v>1284</v>
      </c>
      <c r="CO376" s="18" t="s">
        <v>1284</v>
      </c>
    </row>
    <row r="377" spans="1:93" x14ac:dyDescent="0.25">
      <c r="A377" t="s">
        <v>315</v>
      </c>
      <c r="B377" s="41">
        <v>1.6947941064896098E-3</v>
      </c>
      <c r="C377" s="41" t="s">
        <v>22</v>
      </c>
      <c r="D377" s="41" t="s">
        <v>22</v>
      </c>
      <c r="E377" s="41" t="s">
        <v>22</v>
      </c>
      <c r="F377" t="s">
        <v>22</v>
      </c>
      <c r="G377" t="s">
        <v>22</v>
      </c>
      <c r="H377" t="s">
        <v>22</v>
      </c>
      <c r="I377" t="s">
        <v>22</v>
      </c>
      <c r="J377" s="41">
        <v>5.4666666666666597</v>
      </c>
      <c r="K377">
        <v>633</v>
      </c>
      <c r="L377" s="41">
        <f t="shared" si="198"/>
        <v>0.87768248847479879</v>
      </c>
      <c r="M377" t="s">
        <v>45</v>
      </c>
      <c r="N377" s="41" t="s">
        <v>22</v>
      </c>
      <c r="O377" s="41" t="s">
        <v>22</v>
      </c>
      <c r="P377" s="41" t="s">
        <v>22</v>
      </c>
      <c r="R377" s="41" t="s">
        <v>22</v>
      </c>
      <c r="S377" s="41" t="s">
        <v>22</v>
      </c>
      <c r="T377" s="41" t="s">
        <v>22</v>
      </c>
      <c r="U377" s="41" t="s">
        <v>22</v>
      </c>
      <c r="V377">
        <v>20200512</v>
      </c>
      <c r="W377" s="21"/>
      <c r="X377" s="6">
        <v>2008</v>
      </c>
      <c r="Y377" t="s">
        <v>328</v>
      </c>
      <c r="Z377" t="s">
        <v>567</v>
      </c>
      <c r="AC377" t="s">
        <v>514</v>
      </c>
      <c r="AD377" s="41" t="s">
        <v>22</v>
      </c>
      <c r="AE377" s="41" t="s">
        <v>22</v>
      </c>
      <c r="AF377" s="41" t="s">
        <v>22</v>
      </c>
      <c r="AG377" s="41" t="s">
        <v>22</v>
      </c>
      <c r="AH377" s="41" t="s">
        <v>22</v>
      </c>
      <c r="AI377" s="41" t="s">
        <v>22</v>
      </c>
      <c r="AJ377" s="41" t="s">
        <v>22</v>
      </c>
      <c r="AK377" s="41" t="s">
        <v>22</v>
      </c>
      <c r="AL377" s="41" t="s">
        <v>22</v>
      </c>
      <c r="AM377" s="43" t="e">
        <f t="shared" si="174"/>
        <v>#VALUE!</v>
      </c>
      <c r="AN377" s="43" t="e">
        <f t="shared" si="175"/>
        <v>#VALUE!</v>
      </c>
      <c r="AO377" s="19" t="s">
        <v>566</v>
      </c>
      <c r="AT377" s="2">
        <f t="shared" si="176"/>
        <v>25</v>
      </c>
      <c r="AU377" s="45">
        <f t="shared" si="177"/>
        <v>-2.7708830548926033</v>
      </c>
      <c r="AV377" s="45" t="e">
        <f t="shared" si="178"/>
        <v>#VALUE!</v>
      </c>
      <c r="AW377" s="45" t="e">
        <f t="shared" si="179"/>
        <v>#VALUE!</v>
      </c>
      <c r="AX377" s="45" t="e">
        <f t="shared" si="180"/>
        <v>#VALUE!</v>
      </c>
      <c r="AY377" s="45" t="e">
        <f t="shared" si="181"/>
        <v>#VALUE!</v>
      </c>
      <c r="AZ377" s="45" t="e">
        <f t="shared" si="182"/>
        <v>#VALUE!</v>
      </c>
      <c r="BA377" s="45">
        <f t="shared" si="183"/>
        <v>0.73772259332803491</v>
      </c>
      <c r="BB377" s="45">
        <f t="shared" si="184"/>
        <v>-5.6662566602544741E-2</v>
      </c>
      <c r="BC377" s="45" t="e">
        <f t="shared" si="185"/>
        <v>#VALUE!</v>
      </c>
      <c r="BD377" s="45" t="e">
        <f t="shared" si="186"/>
        <v>#VALUE!</v>
      </c>
      <c r="BE377" s="45" t="e">
        <f t="shared" si="187"/>
        <v>#VALUE!</v>
      </c>
      <c r="BF377" s="45" t="e">
        <f t="shared" si="188"/>
        <v>#VALUE!</v>
      </c>
      <c r="BG377" s="45" t="e">
        <f t="shared" si="189"/>
        <v>#VALUE!</v>
      </c>
      <c r="BH377" s="45" t="e">
        <f t="shared" si="190"/>
        <v>#NUM!</v>
      </c>
      <c r="BI377" s="43" t="e">
        <f t="shared" si="191"/>
        <v>#VALUE!</v>
      </c>
      <c r="BL377" s="20"/>
      <c r="CA377" s="41" t="s">
        <v>22</v>
      </c>
      <c r="CC377" t="s">
        <v>22</v>
      </c>
      <c r="CE377" s="41" t="s">
        <v>22</v>
      </c>
      <c r="CF377" s="41" t="s">
        <v>22</v>
      </c>
      <c r="CG377" s="41" t="e">
        <f t="shared" si="200"/>
        <v>#VALUE!</v>
      </c>
      <c r="CH377" s="41" t="e">
        <f t="shared" si="201"/>
        <v>#VALUE!</v>
      </c>
      <c r="CI377" s="41" t="str">
        <f t="shared" si="202"/>
        <v>Not Reported/ Can not calculate</v>
      </c>
      <c r="CJ377" s="41" t="e">
        <f t="shared" si="203"/>
        <v>#VALUE!</v>
      </c>
      <c r="CL377" s="9" t="s">
        <v>1269</v>
      </c>
      <c r="CM377" s="18" t="s">
        <v>1284</v>
      </c>
      <c r="CN377" s="54" t="s">
        <v>1284</v>
      </c>
      <c r="CO377" s="18" t="s">
        <v>1284</v>
      </c>
    </row>
    <row r="378" spans="1:93" x14ac:dyDescent="0.25">
      <c r="A378" t="s">
        <v>315</v>
      </c>
      <c r="B378" s="41">
        <v>3.8646678281515699E-3</v>
      </c>
      <c r="C378" s="41" t="s">
        <v>22</v>
      </c>
      <c r="D378" s="41" t="s">
        <v>22</v>
      </c>
      <c r="E378" s="41" t="s">
        <v>22</v>
      </c>
      <c r="F378" t="s">
        <v>22</v>
      </c>
      <c r="G378" t="s">
        <v>22</v>
      </c>
      <c r="H378" t="s">
        <v>22</v>
      </c>
      <c r="I378" t="s">
        <v>22</v>
      </c>
      <c r="J378" s="41">
        <v>6.1111111111111098</v>
      </c>
      <c r="K378">
        <v>633</v>
      </c>
      <c r="L378" s="41">
        <f t="shared" si="198"/>
        <v>0.98114912329499981</v>
      </c>
      <c r="M378" t="s">
        <v>45</v>
      </c>
      <c r="N378" s="41" t="s">
        <v>22</v>
      </c>
      <c r="O378" s="41" t="s">
        <v>22</v>
      </c>
      <c r="P378" s="41" t="s">
        <v>22</v>
      </c>
      <c r="R378" s="41" t="s">
        <v>22</v>
      </c>
      <c r="S378" s="41" t="s">
        <v>22</v>
      </c>
      <c r="T378" s="41" t="s">
        <v>22</v>
      </c>
      <c r="U378" s="41" t="s">
        <v>22</v>
      </c>
      <c r="V378">
        <v>20200512</v>
      </c>
      <c r="W378" s="21"/>
      <c r="X378" s="6">
        <v>2008</v>
      </c>
      <c r="Y378" t="s">
        <v>328</v>
      </c>
      <c r="Z378" t="s">
        <v>567</v>
      </c>
      <c r="AC378" t="s">
        <v>514</v>
      </c>
      <c r="AD378" s="41" t="s">
        <v>22</v>
      </c>
      <c r="AE378" s="41" t="s">
        <v>22</v>
      </c>
      <c r="AF378" s="41" t="s">
        <v>22</v>
      </c>
      <c r="AG378" s="41" t="s">
        <v>22</v>
      </c>
      <c r="AH378" s="41" t="s">
        <v>22</v>
      </c>
      <c r="AI378" s="41" t="s">
        <v>22</v>
      </c>
      <c r="AJ378" s="41" t="s">
        <v>22</v>
      </c>
      <c r="AK378" s="41" t="s">
        <v>22</v>
      </c>
      <c r="AL378" s="41" t="s">
        <v>22</v>
      </c>
      <c r="AM378" s="43" t="e">
        <f t="shared" si="174"/>
        <v>#VALUE!</v>
      </c>
      <c r="AN378" s="43" t="e">
        <f t="shared" si="175"/>
        <v>#VALUE!</v>
      </c>
      <c r="AO378" s="19" t="s">
        <v>566</v>
      </c>
      <c r="AT378" s="2">
        <f t="shared" si="176"/>
        <v>25</v>
      </c>
      <c r="AU378" s="45">
        <f t="shared" si="177"/>
        <v>-2.4128878281622921</v>
      </c>
      <c r="AV378" s="45" t="e">
        <f t="shared" si="178"/>
        <v>#VALUE!</v>
      </c>
      <c r="AW378" s="45" t="e">
        <f t="shared" si="179"/>
        <v>#VALUE!</v>
      </c>
      <c r="AX378" s="45" t="e">
        <f t="shared" si="180"/>
        <v>#VALUE!</v>
      </c>
      <c r="AY378" s="45" t="e">
        <f t="shared" si="181"/>
        <v>#VALUE!</v>
      </c>
      <c r="AZ378" s="45" t="e">
        <f t="shared" si="182"/>
        <v>#VALUE!</v>
      </c>
      <c r="BA378" s="45">
        <f t="shared" si="183"/>
        <v>0.7861201800549189</v>
      </c>
      <c r="BB378" s="45">
        <f t="shared" si="184"/>
        <v>-8.2649798756607024E-3</v>
      </c>
      <c r="BC378" s="45" t="e">
        <f t="shared" si="185"/>
        <v>#VALUE!</v>
      </c>
      <c r="BD378" s="45" t="e">
        <f t="shared" si="186"/>
        <v>#VALUE!</v>
      </c>
      <c r="BE378" s="45" t="e">
        <f t="shared" si="187"/>
        <v>#VALUE!</v>
      </c>
      <c r="BF378" s="45" t="e">
        <f t="shared" si="188"/>
        <v>#VALUE!</v>
      </c>
      <c r="BG378" s="45" t="e">
        <f t="shared" si="189"/>
        <v>#VALUE!</v>
      </c>
      <c r="BH378" s="45" t="e">
        <f t="shared" si="190"/>
        <v>#NUM!</v>
      </c>
      <c r="BI378" s="43" t="e">
        <f t="shared" si="191"/>
        <v>#VALUE!</v>
      </c>
      <c r="BL378" s="20"/>
      <c r="CA378" s="41" t="s">
        <v>22</v>
      </c>
      <c r="CC378" t="s">
        <v>22</v>
      </c>
      <c r="CE378" s="41" t="s">
        <v>22</v>
      </c>
      <c r="CF378" s="41" t="s">
        <v>22</v>
      </c>
      <c r="CG378" s="41" t="e">
        <f t="shared" si="200"/>
        <v>#VALUE!</v>
      </c>
      <c r="CH378" s="41" t="e">
        <f t="shared" si="201"/>
        <v>#VALUE!</v>
      </c>
      <c r="CI378" s="41" t="str">
        <f t="shared" si="202"/>
        <v>Not Reported/ Can not calculate</v>
      </c>
      <c r="CJ378" s="41" t="e">
        <f t="shared" si="203"/>
        <v>#VALUE!</v>
      </c>
      <c r="CL378" s="9" t="s">
        <v>1269</v>
      </c>
      <c r="CM378" s="18" t="s">
        <v>1284</v>
      </c>
      <c r="CN378" s="54" t="s">
        <v>1284</v>
      </c>
      <c r="CO378" s="18" t="s">
        <v>1284</v>
      </c>
    </row>
    <row r="379" spans="1:93" x14ac:dyDescent="0.25">
      <c r="A379" t="s">
        <v>315</v>
      </c>
      <c r="B379" s="41">
        <v>1.33810947770298E-2</v>
      </c>
      <c r="C379" s="41" t="s">
        <v>22</v>
      </c>
      <c r="D379" s="41" t="s">
        <v>22</v>
      </c>
      <c r="E379" s="41" t="s">
        <v>22</v>
      </c>
      <c r="F379" t="s">
        <v>22</v>
      </c>
      <c r="G379" t="s">
        <v>22</v>
      </c>
      <c r="H379" t="s">
        <v>22</v>
      </c>
      <c r="I379" t="s">
        <v>22</v>
      </c>
      <c r="J379" s="41">
        <v>6.5777777777777802</v>
      </c>
      <c r="K379">
        <v>633</v>
      </c>
      <c r="L379" s="41">
        <f t="shared" si="198"/>
        <v>1.0560732381648004</v>
      </c>
      <c r="M379" t="s">
        <v>45</v>
      </c>
      <c r="N379" s="41" t="s">
        <v>22</v>
      </c>
      <c r="O379" s="41" t="s">
        <v>22</v>
      </c>
      <c r="P379" s="41" t="s">
        <v>22</v>
      </c>
      <c r="R379" s="41" t="s">
        <v>22</v>
      </c>
      <c r="S379" s="41" t="s">
        <v>22</v>
      </c>
      <c r="T379" s="41" t="s">
        <v>22</v>
      </c>
      <c r="U379" s="41" t="s">
        <v>22</v>
      </c>
      <c r="V379">
        <v>20200512</v>
      </c>
      <c r="W379" s="21"/>
      <c r="X379" s="6">
        <v>2008</v>
      </c>
      <c r="Y379" t="s">
        <v>328</v>
      </c>
      <c r="Z379" t="s">
        <v>567</v>
      </c>
      <c r="AC379" t="s">
        <v>514</v>
      </c>
      <c r="AD379" s="41" t="s">
        <v>22</v>
      </c>
      <c r="AE379" s="41" t="s">
        <v>22</v>
      </c>
      <c r="AF379" s="41" t="s">
        <v>22</v>
      </c>
      <c r="AG379" s="41" t="s">
        <v>22</v>
      </c>
      <c r="AH379" s="41" t="s">
        <v>22</v>
      </c>
      <c r="AI379" s="41" t="s">
        <v>22</v>
      </c>
      <c r="AJ379" s="41" t="s">
        <v>22</v>
      </c>
      <c r="AK379" s="41" t="s">
        <v>22</v>
      </c>
      <c r="AL379" s="41" t="s">
        <v>22</v>
      </c>
      <c r="AM379" s="43" t="e">
        <f t="shared" si="174"/>
        <v>#VALUE!</v>
      </c>
      <c r="AN379" s="43" t="e">
        <f t="shared" si="175"/>
        <v>#VALUE!</v>
      </c>
      <c r="AO379" s="19" t="s">
        <v>566</v>
      </c>
      <c r="AT379" s="2">
        <f t="shared" si="176"/>
        <v>25</v>
      </c>
      <c r="AU379" s="45">
        <f t="shared" si="177"/>
        <v>-1.8735083532219567</v>
      </c>
      <c r="AV379" s="45" t="e">
        <f t="shared" si="178"/>
        <v>#VALUE!</v>
      </c>
      <c r="AW379" s="45" t="e">
        <f t="shared" si="179"/>
        <v>#VALUE!</v>
      </c>
      <c r="AX379" s="45" t="e">
        <f t="shared" si="180"/>
        <v>#VALUE!</v>
      </c>
      <c r="AY379" s="45" t="e">
        <f t="shared" si="181"/>
        <v>#VALUE!</v>
      </c>
      <c r="AZ379" s="45" t="e">
        <f t="shared" si="182"/>
        <v>#VALUE!</v>
      </c>
      <c r="BA379" s="45">
        <f t="shared" si="183"/>
        <v>0.81807919728359502</v>
      </c>
      <c r="BB379" s="45">
        <f t="shared" si="184"/>
        <v>2.3694037353015462E-2</v>
      </c>
      <c r="BC379" s="45" t="e">
        <f t="shared" si="185"/>
        <v>#VALUE!</v>
      </c>
      <c r="BD379" s="45" t="e">
        <f t="shared" si="186"/>
        <v>#VALUE!</v>
      </c>
      <c r="BE379" s="45" t="e">
        <f t="shared" si="187"/>
        <v>#VALUE!</v>
      </c>
      <c r="BF379" s="45" t="e">
        <f t="shared" si="188"/>
        <v>#VALUE!</v>
      </c>
      <c r="BG379" s="45" t="e">
        <f t="shared" si="189"/>
        <v>#VALUE!</v>
      </c>
      <c r="BH379" s="45" t="e">
        <f t="shared" si="190"/>
        <v>#NUM!</v>
      </c>
      <c r="BI379" s="43" t="e">
        <f t="shared" si="191"/>
        <v>#VALUE!</v>
      </c>
      <c r="BL379" s="20"/>
      <c r="CA379" s="41" t="s">
        <v>22</v>
      </c>
      <c r="CC379" t="s">
        <v>22</v>
      </c>
      <c r="CE379" s="41" t="s">
        <v>22</v>
      </c>
      <c r="CF379" s="41" t="s">
        <v>22</v>
      </c>
      <c r="CG379" s="41" t="e">
        <f t="shared" si="200"/>
        <v>#VALUE!</v>
      </c>
      <c r="CH379" s="41" t="e">
        <f t="shared" si="201"/>
        <v>#VALUE!</v>
      </c>
      <c r="CI379" s="41" t="str">
        <f t="shared" si="202"/>
        <v>Not Reported/ Can not calculate</v>
      </c>
      <c r="CJ379" s="41" t="e">
        <f t="shared" si="203"/>
        <v>#VALUE!</v>
      </c>
      <c r="CL379" s="9" t="s">
        <v>1269</v>
      </c>
      <c r="CM379" s="18" t="s">
        <v>1284</v>
      </c>
      <c r="CN379" s="54" t="s">
        <v>1284</v>
      </c>
      <c r="CO379" s="18" t="s">
        <v>1284</v>
      </c>
    </row>
    <row r="380" spans="1:93" x14ac:dyDescent="0.25">
      <c r="A380" t="s">
        <v>315</v>
      </c>
      <c r="B380" s="41">
        <v>1.7905369743185298E-3</v>
      </c>
      <c r="C380" s="41" t="s">
        <v>22</v>
      </c>
      <c r="D380" s="41" t="s">
        <v>22</v>
      </c>
      <c r="E380" s="41" t="s">
        <v>22</v>
      </c>
      <c r="F380" t="s">
        <v>22</v>
      </c>
      <c r="G380" t="s">
        <v>22</v>
      </c>
      <c r="H380" t="s">
        <v>22</v>
      </c>
      <c r="I380" t="s">
        <v>22</v>
      </c>
      <c r="J380" s="41">
        <v>8.3333333333333304</v>
      </c>
      <c r="K380">
        <v>633</v>
      </c>
      <c r="L380" s="41">
        <f t="shared" si="198"/>
        <v>1.3379306226749996</v>
      </c>
      <c r="M380" s="18" t="s">
        <v>45</v>
      </c>
      <c r="N380" s="41" t="s">
        <v>22</v>
      </c>
      <c r="O380" s="41" t="s">
        <v>22</v>
      </c>
      <c r="P380" s="41" t="s">
        <v>22</v>
      </c>
      <c r="R380" s="41" t="s">
        <v>22</v>
      </c>
      <c r="S380" s="41" t="s">
        <v>22</v>
      </c>
      <c r="T380" s="41" t="s">
        <v>22</v>
      </c>
      <c r="U380" s="41" t="s">
        <v>22</v>
      </c>
      <c r="V380">
        <v>20200512</v>
      </c>
      <c r="W380" s="21"/>
      <c r="X380" s="6">
        <v>2008</v>
      </c>
      <c r="Y380" t="s">
        <v>328</v>
      </c>
      <c r="Z380" t="s">
        <v>567</v>
      </c>
      <c r="AC380" t="s">
        <v>514</v>
      </c>
      <c r="AD380" s="41" t="s">
        <v>22</v>
      </c>
      <c r="AE380" s="41" t="s">
        <v>22</v>
      </c>
      <c r="AF380" s="41" t="s">
        <v>22</v>
      </c>
      <c r="AG380" s="41" t="s">
        <v>22</v>
      </c>
      <c r="AH380" s="41" t="s">
        <v>22</v>
      </c>
      <c r="AI380" s="41" t="s">
        <v>22</v>
      </c>
      <c r="AJ380" s="41" t="s">
        <v>22</v>
      </c>
      <c r="AK380" s="41" t="s">
        <v>22</v>
      </c>
      <c r="AL380" s="41" t="s">
        <v>22</v>
      </c>
      <c r="AM380" s="43" t="e">
        <f t="shared" si="174"/>
        <v>#VALUE!</v>
      </c>
      <c r="AN380" s="43" t="e">
        <f t="shared" si="175"/>
        <v>#VALUE!</v>
      </c>
      <c r="AO380" s="19" t="s">
        <v>566</v>
      </c>
      <c r="AT380" s="2">
        <f t="shared" si="176"/>
        <v>25</v>
      </c>
      <c r="AU380" s="45">
        <f t="shared" si="177"/>
        <v>-2.7470167064439166</v>
      </c>
      <c r="AV380" s="45" t="e">
        <f t="shared" si="178"/>
        <v>#VALUE!</v>
      </c>
      <c r="AW380" s="45" t="e">
        <f t="shared" si="179"/>
        <v>#VALUE!</v>
      </c>
      <c r="AX380" s="45" t="e">
        <f t="shared" si="180"/>
        <v>#VALUE!</v>
      </c>
      <c r="AY380" s="45" t="e">
        <f t="shared" si="181"/>
        <v>#VALUE!</v>
      </c>
      <c r="AZ380" s="45" t="e">
        <f t="shared" si="182"/>
        <v>#VALUE!</v>
      </c>
      <c r="BA380" s="45">
        <f t="shared" si="183"/>
        <v>0.920818753952375</v>
      </c>
      <c r="BB380" s="45">
        <f t="shared" si="184"/>
        <v>0.12643359402179546</v>
      </c>
      <c r="BC380" s="45" t="e">
        <f t="shared" si="185"/>
        <v>#VALUE!</v>
      </c>
      <c r="BD380" s="45" t="e">
        <f t="shared" si="186"/>
        <v>#VALUE!</v>
      </c>
      <c r="BE380" s="45" t="e">
        <f t="shared" si="187"/>
        <v>#VALUE!</v>
      </c>
      <c r="BF380" s="45" t="e">
        <f t="shared" si="188"/>
        <v>#VALUE!</v>
      </c>
      <c r="BG380" s="45" t="e">
        <f t="shared" si="189"/>
        <v>#VALUE!</v>
      </c>
      <c r="BH380" s="45" t="e">
        <f t="shared" si="190"/>
        <v>#NUM!</v>
      </c>
      <c r="BI380" s="43" t="e">
        <f t="shared" si="191"/>
        <v>#VALUE!</v>
      </c>
      <c r="BL380" s="20"/>
      <c r="CA380" s="41" t="s">
        <v>22</v>
      </c>
      <c r="CB380" s="18"/>
      <c r="CC380" t="s">
        <v>22</v>
      </c>
      <c r="CE380" s="41" t="s">
        <v>22</v>
      </c>
      <c r="CF380" s="41" t="s">
        <v>22</v>
      </c>
      <c r="CG380" s="41" t="e">
        <f t="shared" si="200"/>
        <v>#VALUE!</v>
      </c>
      <c r="CH380" s="41" t="e">
        <f t="shared" si="201"/>
        <v>#VALUE!</v>
      </c>
      <c r="CI380" s="41" t="str">
        <f t="shared" si="202"/>
        <v>Not Reported/ Can not calculate</v>
      </c>
      <c r="CJ380" s="41" t="e">
        <f t="shared" si="203"/>
        <v>#VALUE!</v>
      </c>
      <c r="CL380" s="9" t="s">
        <v>1269</v>
      </c>
      <c r="CM380" s="18" t="s">
        <v>1284</v>
      </c>
      <c r="CN380" s="54" t="s">
        <v>1284</v>
      </c>
      <c r="CO380" s="18" t="s">
        <v>1284</v>
      </c>
    </row>
    <row r="381" spans="1:93" x14ac:dyDescent="0.25">
      <c r="A381" t="s">
        <v>315</v>
      </c>
      <c r="B381" s="41">
        <v>2.5733638352865699E-3</v>
      </c>
      <c r="C381" s="41" t="s">
        <v>22</v>
      </c>
      <c r="D381" s="41" t="s">
        <v>22</v>
      </c>
      <c r="E381" s="41" t="s">
        <v>22</v>
      </c>
      <c r="F381" t="s">
        <v>22</v>
      </c>
      <c r="G381" t="s">
        <v>22</v>
      </c>
      <c r="H381" t="s">
        <v>22</v>
      </c>
      <c r="I381" t="s">
        <v>22</v>
      </c>
      <c r="J381" s="41">
        <v>10.4</v>
      </c>
      <c r="K381">
        <v>633</v>
      </c>
      <c r="L381" s="41">
        <f t="shared" si="198"/>
        <v>1.6697374170984001</v>
      </c>
      <c r="M381" t="s">
        <v>45</v>
      </c>
      <c r="N381" s="41" t="s">
        <v>22</v>
      </c>
      <c r="O381" s="41" t="s">
        <v>22</v>
      </c>
      <c r="P381" s="41" t="s">
        <v>22</v>
      </c>
      <c r="R381" s="41" t="s">
        <v>22</v>
      </c>
      <c r="S381" s="41" t="s">
        <v>22</v>
      </c>
      <c r="T381" s="41" t="s">
        <v>22</v>
      </c>
      <c r="U381" s="41" t="s">
        <v>22</v>
      </c>
      <c r="V381">
        <v>20200512</v>
      </c>
      <c r="W381" s="21"/>
      <c r="X381" s="6">
        <v>2008</v>
      </c>
      <c r="Y381" t="s">
        <v>328</v>
      </c>
      <c r="Z381" t="s">
        <v>567</v>
      </c>
      <c r="AC381" t="s">
        <v>514</v>
      </c>
      <c r="AD381" s="41" t="s">
        <v>22</v>
      </c>
      <c r="AE381" s="41" t="s">
        <v>22</v>
      </c>
      <c r="AF381" s="41" t="s">
        <v>22</v>
      </c>
      <c r="AG381" s="41" t="s">
        <v>22</v>
      </c>
      <c r="AH381" s="41" t="s">
        <v>22</v>
      </c>
      <c r="AI381" s="41" t="s">
        <v>22</v>
      </c>
      <c r="AJ381" s="41" t="s">
        <v>22</v>
      </c>
      <c r="AK381" s="41" t="s">
        <v>22</v>
      </c>
      <c r="AL381" s="41" t="s">
        <v>22</v>
      </c>
      <c r="AM381" s="43" t="e">
        <f t="shared" si="174"/>
        <v>#VALUE!</v>
      </c>
      <c r="AN381" s="43" t="e">
        <f t="shared" si="175"/>
        <v>#VALUE!</v>
      </c>
      <c r="AO381" s="19" t="s">
        <v>566</v>
      </c>
      <c r="AT381" s="2">
        <f t="shared" si="176"/>
        <v>25</v>
      </c>
      <c r="AU381" s="45">
        <f t="shared" si="177"/>
        <v>-2.5894988066825775</v>
      </c>
      <c r="AV381" s="45" t="e">
        <f t="shared" si="178"/>
        <v>#VALUE!</v>
      </c>
      <c r="AW381" s="45" t="e">
        <f t="shared" si="179"/>
        <v>#VALUE!</v>
      </c>
      <c r="AX381" s="45" t="e">
        <f t="shared" si="180"/>
        <v>#VALUE!</v>
      </c>
      <c r="AY381" s="45" t="e">
        <f t="shared" si="181"/>
        <v>#VALUE!</v>
      </c>
      <c r="AZ381" s="45" t="e">
        <f t="shared" si="182"/>
        <v>#VALUE!</v>
      </c>
      <c r="BA381" s="45">
        <f t="shared" si="183"/>
        <v>1.0170333392987803</v>
      </c>
      <c r="BB381" s="45">
        <f t="shared" si="184"/>
        <v>0.22264817936820078</v>
      </c>
      <c r="BC381" s="45" t="e">
        <f t="shared" si="185"/>
        <v>#VALUE!</v>
      </c>
      <c r="BD381" s="45" t="e">
        <f t="shared" si="186"/>
        <v>#VALUE!</v>
      </c>
      <c r="BE381" s="45" t="e">
        <f t="shared" si="187"/>
        <v>#VALUE!</v>
      </c>
      <c r="BF381" s="45" t="e">
        <f t="shared" si="188"/>
        <v>#VALUE!</v>
      </c>
      <c r="BG381" s="45" t="e">
        <f t="shared" si="189"/>
        <v>#VALUE!</v>
      </c>
      <c r="BH381" s="45" t="e">
        <f t="shared" si="190"/>
        <v>#NUM!</v>
      </c>
      <c r="BI381" s="43" t="e">
        <f t="shared" si="191"/>
        <v>#VALUE!</v>
      </c>
      <c r="BL381" s="20"/>
      <c r="CA381" s="41" t="s">
        <v>22</v>
      </c>
      <c r="CC381" t="s">
        <v>22</v>
      </c>
      <c r="CE381" s="41" t="s">
        <v>22</v>
      </c>
      <c r="CF381" s="41" t="s">
        <v>22</v>
      </c>
      <c r="CG381" s="41" t="e">
        <f t="shared" si="200"/>
        <v>#VALUE!</v>
      </c>
      <c r="CH381" s="41" t="e">
        <f t="shared" si="201"/>
        <v>#VALUE!</v>
      </c>
      <c r="CI381" s="41" t="str">
        <f t="shared" si="202"/>
        <v>Not Reported/ Can not calculate</v>
      </c>
      <c r="CJ381" s="41" t="e">
        <f t="shared" si="203"/>
        <v>#VALUE!</v>
      </c>
      <c r="CL381" s="9" t="s">
        <v>1269</v>
      </c>
      <c r="CM381" s="18" t="s">
        <v>1284</v>
      </c>
      <c r="CN381" s="54" t="s">
        <v>1284</v>
      </c>
      <c r="CO381" s="18" t="s">
        <v>1284</v>
      </c>
    </row>
    <row r="382" spans="1:93" x14ac:dyDescent="0.25">
      <c r="A382" t="s">
        <v>315</v>
      </c>
      <c r="B382" s="41">
        <v>1.4530855012702599E-3</v>
      </c>
      <c r="C382" s="41" t="s">
        <v>22</v>
      </c>
      <c r="D382" s="41" t="s">
        <v>22</v>
      </c>
      <c r="E382" s="41" t="s">
        <v>22</v>
      </c>
      <c r="F382" t="s">
        <v>22</v>
      </c>
      <c r="G382" t="s">
        <v>22</v>
      </c>
      <c r="H382" t="s">
        <v>22</v>
      </c>
      <c r="I382" t="s">
        <v>22</v>
      </c>
      <c r="J382" s="41">
        <v>9.86666666666666</v>
      </c>
      <c r="K382">
        <v>633</v>
      </c>
      <c r="L382" s="41">
        <f t="shared" si="198"/>
        <v>1.5841098572471988</v>
      </c>
      <c r="M382" t="s">
        <v>45</v>
      </c>
      <c r="N382" s="41" t="s">
        <v>22</v>
      </c>
      <c r="O382" s="41" t="s">
        <v>22</v>
      </c>
      <c r="P382" s="41" t="s">
        <v>22</v>
      </c>
      <c r="R382" s="41" t="s">
        <v>22</v>
      </c>
      <c r="S382" s="41" t="s">
        <v>22</v>
      </c>
      <c r="T382" s="41" t="s">
        <v>22</v>
      </c>
      <c r="U382" s="41" t="s">
        <v>22</v>
      </c>
      <c r="V382">
        <v>20200512</v>
      </c>
      <c r="W382" s="21"/>
      <c r="X382" s="6">
        <v>2008</v>
      </c>
      <c r="Y382" t="s">
        <v>328</v>
      </c>
      <c r="Z382" t="s">
        <v>567</v>
      </c>
      <c r="AC382" t="s">
        <v>514</v>
      </c>
      <c r="AD382" s="41" t="s">
        <v>22</v>
      </c>
      <c r="AE382" s="41" t="s">
        <v>22</v>
      </c>
      <c r="AF382" s="41" t="s">
        <v>22</v>
      </c>
      <c r="AG382" s="41" t="s">
        <v>22</v>
      </c>
      <c r="AH382" s="41" t="s">
        <v>22</v>
      </c>
      <c r="AI382" s="41" t="s">
        <v>22</v>
      </c>
      <c r="AJ382" s="41" t="s">
        <v>22</v>
      </c>
      <c r="AK382" s="41" t="s">
        <v>22</v>
      </c>
      <c r="AL382" s="41" t="s">
        <v>22</v>
      </c>
      <c r="AM382" s="43" t="e">
        <f t="shared" si="174"/>
        <v>#VALUE!</v>
      </c>
      <c r="AN382" s="43" t="e">
        <f t="shared" si="175"/>
        <v>#VALUE!</v>
      </c>
      <c r="AO382" s="19" t="s">
        <v>566</v>
      </c>
      <c r="AT382" s="2">
        <f t="shared" si="176"/>
        <v>25</v>
      </c>
      <c r="AU382" s="45">
        <f t="shared" si="177"/>
        <v>-2.8377088305489289</v>
      </c>
      <c r="AV382" s="45" t="e">
        <f t="shared" si="178"/>
        <v>#VALUE!</v>
      </c>
      <c r="AW382" s="45" t="e">
        <f t="shared" si="179"/>
        <v>#VALUE!</v>
      </c>
      <c r="AX382" s="45" t="e">
        <f t="shared" si="180"/>
        <v>#VALUE!</v>
      </c>
      <c r="AY382" s="45" t="e">
        <f t="shared" si="181"/>
        <v>#VALUE!</v>
      </c>
      <c r="AZ382" s="45" t="e">
        <f t="shared" si="182"/>
        <v>#VALUE!</v>
      </c>
      <c r="BA382" s="45">
        <f t="shared" si="183"/>
        <v>0.99417045633927581</v>
      </c>
      <c r="BB382" s="45">
        <f t="shared" si="184"/>
        <v>0.19978529640869622</v>
      </c>
      <c r="BC382" s="45" t="e">
        <f t="shared" si="185"/>
        <v>#VALUE!</v>
      </c>
      <c r="BD382" s="45" t="e">
        <f t="shared" si="186"/>
        <v>#VALUE!</v>
      </c>
      <c r="BE382" s="45" t="e">
        <f t="shared" si="187"/>
        <v>#VALUE!</v>
      </c>
      <c r="BF382" s="45" t="e">
        <f t="shared" si="188"/>
        <v>#VALUE!</v>
      </c>
      <c r="BG382" s="45" t="e">
        <f t="shared" si="189"/>
        <v>#VALUE!</v>
      </c>
      <c r="BH382" s="45" t="e">
        <f t="shared" si="190"/>
        <v>#NUM!</v>
      </c>
      <c r="BI382" s="43" t="e">
        <f t="shared" si="191"/>
        <v>#VALUE!</v>
      </c>
      <c r="BL382" s="20"/>
      <c r="CA382" s="41" t="s">
        <v>22</v>
      </c>
      <c r="CC382" t="s">
        <v>22</v>
      </c>
      <c r="CE382" s="41" t="s">
        <v>22</v>
      </c>
      <c r="CF382" s="41" t="s">
        <v>22</v>
      </c>
      <c r="CG382" s="41" t="e">
        <f t="shared" si="200"/>
        <v>#VALUE!</v>
      </c>
      <c r="CH382" s="41" t="e">
        <f t="shared" si="201"/>
        <v>#VALUE!</v>
      </c>
      <c r="CI382" s="41" t="str">
        <f t="shared" si="202"/>
        <v>Not Reported/ Can not calculate</v>
      </c>
      <c r="CJ382" s="41" t="e">
        <f t="shared" si="203"/>
        <v>#VALUE!</v>
      </c>
      <c r="CL382" s="9" t="s">
        <v>1269</v>
      </c>
      <c r="CM382" s="18" t="s">
        <v>1284</v>
      </c>
      <c r="CN382" s="54" t="s">
        <v>1284</v>
      </c>
      <c r="CO382" s="18" t="s">
        <v>1284</v>
      </c>
    </row>
    <row r="383" spans="1:93" x14ac:dyDescent="0.25">
      <c r="A383" t="s">
        <v>315</v>
      </c>
      <c r="B383" s="41">
        <v>3.3134955843954097E-3</v>
      </c>
      <c r="C383" s="41" t="s">
        <v>22</v>
      </c>
      <c r="D383" s="41" t="s">
        <v>22</v>
      </c>
      <c r="E383" s="41" t="s">
        <v>22</v>
      </c>
      <c r="F383" t="s">
        <v>22</v>
      </c>
      <c r="G383" t="s">
        <v>22</v>
      </c>
      <c r="H383" t="s">
        <v>22</v>
      </c>
      <c r="I383" t="s">
        <v>22</v>
      </c>
      <c r="J383" s="41">
        <v>14.9333333333333</v>
      </c>
      <c r="K383">
        <v>633</v>
      </c>
      <c r="L383" s="41">
        <f t="shared" si="198"/>
        <v>2.3975716758335945</v>
      </c>
      <c r="M383" s="18" t="s">
        <v>45</v>
      </c>
      <c r="N383" s="41" t="s">
        <v>22</v>
      </c>
      <c r="O383" s="41" t="s">
        <v>22</v>
      </c>
      <c r="P383" s="41" t="s">
        <v>22</v>
      </c>
      <c r="R383" s="41" t="s">
        <v>22</v>
      </c>
      <c r="S383" s="41" t="s">
        <v>22</v>
      </c>
      <c r="T383" s="41" t="s">
        <v>22</v>
      </c>
      <c r="U383" s="41" t="s">
        <v>22</v>
      </c>
      <c r="V383">
        <v>20200512</v>
      </c>
      <c r="X383" s="6">
        <v>2008</v>
      </c>
      <c r="Y383" t="s">
        <v>328</v>
      </c>
      <c r="Z383" t="s">
        <v>567</v>
      </c>
      <c r="AC383" t="s">
        <v>514</v>
      </c>
      <c r="AD383" s="41" t="s">
        <v>22</v>
      </c>
      <c r="AE383" s="41" t="s">
        <v>22</v>
      </c>
      <c r="AF383" s="41" t="s">
        <v>22</v>
      </c>
      <c r="AG383" s="41" t="s">
        <v>22</v>
      </c>
      <c r="AH383" s="41" t="s">
        <v>22</v>
      </c>
      <c r="AI383" s="41" t="s">
        <v>22</v>
      </c>
      <c r="AJ383" s="41" t="s">
        <v>22</v>
      </c>
      <c r="AK383" s="41" t="s">
        <v>22</v>
      </c>
      <c r="AL383" s="41" t="s">
        <v>22</v>
      </c>
      <c r="AM383" s="43" t="e">
        <f t="shared" si="174"/>
        <v>#VALUE!</v>
      </c>
      <c r="AN383" s="43" t="e">
        <f t="shared" si="175"/>
        <v>#VALUE!</v>
      </c>
      <c r="AO383" s="19" t="s">
        <v>566</v>
      </c>
      <c r="AT383" s="2">
        <f t="shared" si="176"/>
        <v>25</v>
      </c>
      <c r="AU383" s="45">
        <f t="shared" si="177"/>
        <v>-2.4797136038186167</v>
      </c>
      <c r="AV383" s="45" t="e">
        <f t="shared" si="178"/>
        <v>#VALUE!</v>
      </c>
      <c r="AW383" s="45" t="e">
        <f t="shared" si="179"/>
        <v>#VALUE!</v>
      </c>
      <c r="AX383" s="45" t="e">
        <f t="shared" si="180"/>
        <v>#VALUE!</v>
      </c>
      <c r="AY383" s="45" t="e">
        <f t="shared" si="181"/>
        <v>#VALUE!</v>
      </c>
      <c r="AZ383" s="45" t="e">
        <f t="shared" si="182"/>
        <v>#VALUE!</v>
      </c>
      <c r="BA383" s="45">
        <f t="shared" si="183"/>
        <v>1.1741567592784805</v>
      </c>
      <c r="BB383" s="45">
        <f t="shared" si="184"/>
        <v>0.379771599347901</v>
      </c>
      <c r="BC383" s="45" t="e">
        <f t="shared" si="185"/>
        <v>#VALUE!</v>
      </c>
      <c r="BD383" s="45" t="e">
        <f t="shared" si="186"/>
        <v>#VALUE!</v>
      </c>
      <c r="BE383" s="45" t="e">
        <f t="shared" si="187"/>
        <v>#VALUE!</v>
      </c>
      <c r="BF383" s="45" t="e">
        <f t="shared" si="188"/>
        <v>#VALUE!</v>
      </c>
      <c r="BG383" s="45" t="e">
        <f t="shared" si="189"/>
        <v>#VALUE!</v>
      </c>
      <c r="BH383" s="45" t="e">
        <f t="shared" si="190"/>
        <v>#NUM!</v>
      </c>
      <c r="BI383" s="43" t="e">
        <f t="shared" si="191"/>
        <v>#VALUE!</v>
      </c>
      <c r="CA383" s="41" t="s">
        <v>22</v>
      </c>
      <c r="CB383" s="18"/>
      <c r="CC383" t="s">
        <v>22</v>
      </c>
      <c r="CE383" s="41" t="s">
        <v>22</v>
      </c>
      <c r="CF383" s="41" t="s">
        <v>22</v>
      </c>
      <c r="CG383" s="41" t="e">
        <f t="shared" si="200"/>
        <v>#VALUE!</v>
      </c>
      <c r="CH383" s="41" t="e">
        <f t="shared" si="201"/>
        <v>#VALUE!</v>
      </c>
      <c r="CI383" s="41" t="str">
        <f t="shared" si="202"/>
        <v>Not Reported/ Can not calculate</v>
      </c>
      <c r="CJ383" s="41" t="e">
        <f t="shared" si="203"/>
        <v>#VALUE!</v>
      </c>
      <c r="CL383" s="9" t="s">
        <v>1269</v>
      </c>
      <c r="CM383" s="18" t="s">
        <v>1284</v>
      </c>
      <c r="CN383" s="54" t="s">
        <v>1284</v>
      </c>
      <c r="CO383" s="18" t="s">
        <v>1284</v>
      </c>
    </row>
    <row r="384" spans="1:93" x14ac:dyDescent="0.25">
      <c r="A384" t="s">
        <v>375</v>
      </c>
      <c r="B384" s="41" t="s">
        <v>22</v>
      </c>
      <c r="C384" s="41" t="s">
        <v>22</v>
      </c>
      <c r="D384" s="41" t="s">
        <v>22</v>
      </c>
      <c r="E384" s="41" t="s">
        <v>22</v>
      </c>
      <c r="F384" t="s">
        <v>22</v>
      </c>
      <c r="G384" t="s">
        <v>22</v>
      </c>
      <c r="H384" t="s">
        <v>22</v>
      </c>
      <c r="I384" t="s">
        <v>22</v>
      </c>
      <c r="J384" s="41" t="s">
        <v>22</v>
      </c>
      <c r="K384" t="s">
        <v>22</v>
      </c>
      <c r="L384" s="41" t="s">
        <v>22</v>
      </c>
      <c r="M384" t="s">
        <v>23</v>
      </c>
      <c r="N384" s="41" t="s">
        <v>22</v>
      </c>
      <c r="O384" s="41" t="s">
        <v>22</v>
      </c>
      <c r="P384" s="41" t="s">
        <v>22</v>
      </c>
      <c r="R384" s="41" t="s">
        <v>22</v>
      </c>
      <c r="S384" s="41" t="s">
        <v>22</v>
      </c>
      <c r="T384" s="41" t="s">
        <v>22</v>
      </c>
      <c r="U384" s="41" t="s">
        <v>22</v>
      </c>
      <c r="V384">
        <v>20200514</v>
      </c>
      <c r="X384" s="6">
        <v>2008</v>
      </c>
      <c r="Z384" t="s">
        <v>32</v>
      </c>
      <c r="AC384" t="s">
        <v>22</v>
      </c>
      <c r="AD384" s="41" t="s">
        <v>22</v>
      </c>
      <c r="AE384" s="41" t="s">
        <v>22</v>
      </c>
      <c r="AF384" s="41">
        <v>1700</v>
      </c>
      <c r="AG384" s="41" t="s">
        <v>22</v>
      </c>
      <c r="AH384" s="41" t="s">
        <v>22</v>
      </c>
      <c r="AI384" s="41" t="s">
        <v>22</v>
      </c>
      <c r="AJ384" s="41" t="s">
        <v>22</v>
      </c>
      <c r="AK384" s="41" t="s">
        <v>22</v>
      </c>
      <c r="AL384" s="41" t="s">
        <v>22</v>
      </c>
      <c r="AM384" s="43" t="e">
        <f t="shared" si="174"/>
        <v>#VALUE!</v>
      </c>
      <c r="AN384" s="43" t="e">
        <f t="shared" si="175"/>
        <v>#VALUE!</v>
      </c>
      <c r="AO384" s="19" t="s">
        <v>732</v>
      </c>
      <c r="AT384" s="2">
        <f t="shared" si="176"/>
        <v>1</v>
      </c>
      <c r="AU384" s="45" t="e">
        <f t="shared" si="177"/>
        <v>#VALUE!</v>
      </c>
      <c r="AV384" s="45" t="e">
        <f t="shared" si="178"/>
        <v>#VALUE!</v>
      </c>
      <c r="AW384" s="45" t="e">
        <f t="shared" si="179"/>
        <v>#VALUE!</v>
      </c>
      <c r="AX384" s="45" t="e">
        <f t="shared" si="180"/>
        <v>#VALUE!</v>
      </c>
      <c r="AY384" s="45" t="e">
        <f t="shared" si="181"/>
        <v>#VALUE!</v>
      </c>
      <c r="AZ384" s="45" t="e">
        <f t="shared" si="182"/>
        <v>#VALUE!</v>
      </c>
      <c r="BA384" s="45" t="e">
        <f t="shared" si="183"/>
        <v>#VALUE!</v>
      </c>
      <c r="BB384" s="45" t="e">
        <f t="shared" si="184"/>
        <v>#VALUE!</v>
      </c>
      <c r="BC384" s="45" t="e">
        <f t="shared" si="185"/>
        <v>#VALUE!</v>
      </c>
      <c r="BD384" s="45" t="e">
        <f t="shared" si="186"/>
        <v>#VALUE!</v>
      </c>
      <c r="BE384" s="45">
        <f t="shared" si="187"/>
        <v>3.2304489213782741</v>
      </c>
      <c r="BF384" s="45" t="e">
        <f t="shared" si="188"/>
        <v>#VALUE!</v>
      </c>
      <c r="BG384" s="45" t="e">
        <f t="shared" si="189"/>
        <v>#VALUE!</v>
      </c>
      <c r="BH384" s="45" t="e">
        <f t="shared" si="190"/>
        <v>#NUM!</v>
      </c>
      <c r="BI384" s="43">
        <f t="shared" si="191"/>
        <v>3.2304489213782741</v>
      </c>
      <c r="CA384" s="41" t="s">
        <v>22</v>
      </c>
      <c r="CC384" t="s">
        <v>22</v>
      </c>
      <c r="CE384" s="41" t="s">
        <v>22</v>
      </c>
      <c r="CF384" s="41" t="s">
        <v>22</v>
      </c>
      <c r="CG384" s="41" t="e">
        <f t="shared" si="200"/>
        <v>#VALUE!</v>
      </c>
      <c r="CH384" s="41" t="e">
        <f t="shared" si="201"/>
        <v>#VALUE!</v>
      </c>
      <c r="CI384" s="41" t="str">
        <f t="shared" si="202"/>
        <v>Not Reported/ Can not calculate</v>
      </c>
      <c r="CJ384" s="41" t="e">
        <f t="shared" si="203"/>
        <v>#VALUE!</v>
      </c>
      <c r="CL384" s="9" t="s">
        <v>1268</v>
      </c>
      <c r="CM384" s="18" t="s">
        <v>1284</v>
      </c>
      <c r="CN384" s="54" t="s">
        <v>1284</v>
      </c>
      <c r="CO384" s="18" t="s">
        <v>1284</v>
      </c>
    </row>
    <row r="385" spans="1:93" x14ac:dyDescent="0.25">
      <c r="A385" t="s">
        <v>315</v>
      </c>
      <c r="B385" s="41">
        <f>(((6.0626*10^-2)*0.01)^-1)*10^-6</f>
        <v>1.6494573285389107E-3</v>
      </c>
      <c r="C385" s="41" t="s">
        <v>22</v>
      </c>
      <c r="D385" s="41" t="s">
        <v>22</v>
      </c>
      <c r="E385" s="41" t="s">
        <v>22</v>
      </c>
      <c r="F385" t="s">
        <v>22</v>
      </c>
      <c r="G385" t="s">
        <v>22</v>
      </c>
      <c r="H385" t="s">
        <v>22</v>
      </c>
      <c r="I385" t="s">
        <v>22</v>
      </c>
      <c r="J385" s="41" t="s">
        <v>22</v>
      </c>
      <c r="K385" t="s">
        <v>22</v>
      </c>
      <c r="L385" s="41" t="s">
        <v>22</v>
      </c>
      <c r="M385" t="s">
        <v>23</v>
      </c>
      <c r="N385" s="41" t="s">
        <v>22</v>
      </c>
      <c r="O385" s="41" t="s">
        <v>22</v>
      </c>
      <c r="P385" s="41" t="s">
        <v>22</v>
      </c>
      <c r="R385" s="41" t="s">
        <v>22</v>
      </c>
      <c r="S385" s="41" t="s">
        <v>22</v>
      </c>
      <c r="T385" s="41" t="s">
        <v>279</v>
      </c>
      <c r="U385" s="41">
        <v>1.2</v>
      </c>
      <c r="V385">
        <v>20200531</v>
      </c>
      <c r="W385" s="16" t="s">
        <v>748</v>
      </c>
      <c r="X385" s="18">
        <v>2008</v>
      </c>
      <c r="Y385" t="s">
        <v>328</v>
      </c>
      <c r="Z385" t="s">
        <v>32</v>
      </c>
      <c r="AC385" t="s">
        <v>287</v>
      </c>
      <c r="AD385" s="41" t="s">
        <v>22</v>
      </c>
      <c r="AE385" s="41" t="s">
        <v>22</v>
      </c>
      <c r="AF385" s="41" t="s">
        <v>22</v>
      </c>
      <c r="AG385" s="41" t="s">
        <v>22</v>
      </c>
      <c r="AH385" s="41" t="s">
        <v>22</v>
      </c>
      <c r="AI385" s="41" t="s">
        <v>22</v>
      </c>
      <c r="AJ385" s="41" t="s">
        <v>22</v>
      </c>
      <c r="AK385" s="41" t="s">
        <v>22</v>
      </c>
      <c r="AL385" s="41" t="s">
        <v>22</v>
      </c>
      <c r="AM385" s="43" t="e">
        <f t="shared" si="174"/>
        <v>#VALUE!</v>
      </c>
      <c r="AN385" s="43" t="e">
        <f t="shared" si="175"/>
        <v>#VALUE!</v>
      </c>
      <c r="AO385" s="19" t="s">
        <v>283</v>
      </c>
      <c r="AT385" s="2">
        <f t="shared" si="176"/>
        <v>6</v>
      </c>
      <c r="AU385" s="45">
        <f t="shared" si="177"/>
        <v>-2.7826589151715595</v>
      </c>
      <c r="AV385" s="45" t="e">
        <f t="shared" si="178"/>
        <v>#VALUE!</v>
      </c>
      <c r="AW385" s="45" t="e">
        <f t="shared" si="179"/>
        <v>#VALUE!</v>
      </c>
      <c r="AX385" s="45" t="e">
        <f t="shared" si="180"/>
        <v>#VALUE!</v>
      </c>
      <c r="AY385" s="45" t="e">
        <f t="shared" si="181"/>
        <v>#VALUE!</v>
      </c>
      <c r="AZ385" s="45" t="e">
        <f t="shared" si="182"/>
        <v>#VALUE!</v>
      </c>
      <c r="BA385" s="45" t="e">
        <f t="shared" si="183"/>
        <v>#VALUE!</v>
      </c>
      <c r="BB385" s="45" t="e">
        <f t="shared" si="184"/>
        <v>#VALUE!</v>
      </c>
      <c r="BC385" s="45">
        <f t="shared" si="185"/>
        <v>7.9181246047624818E-2</v>
      </c>
      <c r="BD385" s="45" t="e">
        <f t="shared" si="186"/>
        <v>#VALUE!</v>
      </c>
      <c r="BE385" s="45" t="e">
        <f t="shared" si="187"/>
        <v>#VALUE!</v>
      </c>
      <c r="BF385" s="45" t="e">
        <f t="shared" si="188"/>
        <v>#VALUE!</v>
      </c>
      <c r="BG385" s="45" t="e">
        <f t="shared" si="189"/>
        <v>#VALUE!</v>
      </c>
      <c r="BH385" s="45" t="e">
        <f t="shared" si="190"/>
        <v>#NUM!</v>
      </c>
      <c r="BI385" s="43" t="e">
        <f t="shared" si="191"/>
        <v>#VALUE!</v>
      </c>
      <c r="CA385" s="41" t="s">
        <v>22</v>
      </c>
      <c r="CC385" t="s">
        <v>22</v>
      </c>
      <c r="CE385" s="41" t="s">
        <v>22</v>
      </c>
      <c r="CF385" s="41" t="s">
        <v>22</v>
      </c>
      <c r="CG385" s="41" t="e">
        <f t="shared" si="200"/>
        <v>#VALUE!</v>
      </c>
      <c r="CH385" s="41" t="e">
        <f t="shared" si="201"/>
        <v>#VALUE!</v>
      </c>
      <c r="CI385" s="41">
        <f t="shared" si="202"/>
        <v>1.2</v>
      </c>
      <c r="CJ385" s="41">
        <f t="shared" si="203"/>
        <v>7.9181246047624818E-2</v>
      </c>
      <c r="CL385" s="9" t="s">
        <v>1269</v>
      </c>
      <c r="CM385" s="18" t="s">
        <v>1285</v>
      </c>
      <c r="CN385" s="54" t="s">
        <v>1284</v>
      </c>
      <c r="CO385" s="18" t="s">
        <v>1284</v>
      </c>
    </row>
    <row r="386" spans="1:93" x14ac:dyDescent="0.25">
      <c r="A386" t="s">
        <v>315</v>
      </c>
      <c r="B386" s="41">
        <f>(((2.3802*10^-2)*0.01)^-1)*10^-6</f>
        <v>4.2013276195277706E-3</v>
      </c>
      <c r="C386" s="41" t="s">
        <v>22</v>
      </c>
      <c r="D386" s="41" t="s">
        <v>22</v>
      </c>
      <c r="E386" s="41" t="s">
        <v>22</v>
      </c>
      <c r="F386" t="s">
        <v>22</v>
      </c>
      <c r="G386" t="s">
        <v>22</v>
      </c>
      <c r="H386" t="s">
        <v>22</v>
      </c>
      <c r="I386" t="s">
        <v>22</v>
      </c>
      <c r="J386" s="41" t="s">
        <v>22</v>
      </c>
      <c r="K386" t="s">
        <v>22</v>
      </c>
      <c r="L386" s="41" t="s">
        <v>22</v>
      </c>
      <c r="M386" t="s">
        <v>23</v>
      </c>
      <c r="N386" s="41" t="s">
        <v>22</v>
      </c>
      <c r="O386" s="41" t="s">
        <v>22</v>
      </c>
      <c r="P386" s="41" t="s">
        <v>22</v>
      </c>
      <c r="R386" s="41" t="s">
        <v>22</v>
      </c>
      <c r="S386" s="41" t="s">
        <v>22</v>
      </c>
      <c r="T386" s="41" t="s">
        <v>279</v>
      </c>
      <c r="U386" s="41">
        <v>1.2</v>
      </c>
      <c r="V386">
        <v>20200531</v>
      </c>
      <c r="W386" s="16" t="s">
        <v>749</v>
      </c>
      <c r="X386" s="18">
        <v>2008</v>
      </c>
      <c r="Y386" t="s">
        <v>328</v>
      </c>
      <c r="Z386" t="s">
        <v>32</v>
      </c>
      <c r="AC386" t="s">
        <v>285</v>
      </c>
      <c r="AD386" s="41" t="s">
        <v>22</v>
      </c>
      <c r="AE386" s="41" t="s">
        <v>22</v>
      </c>
      <c r="AF386" s="41" t="s">
        <v>22</v>
      </c>
      <c r="AG386" s="41" t="s">
        <v>22</v>
      </c>
      <c r="AH386" s="41" t="s">
        <v>22</v>
      </c>
      <c r="AI386" s="41" t="s">
        <v>22</v>
      </c>
      <c r="AJ386" s="41" t="s">
        <v>22</v>
      </c>
      <c r="AK386" s="41" t="s">
        <v>22</v>
      </c>
      <c r="AL386" s="41" t="s">
        <v>22</v>
      </c>
      <c r="AM386" s="43" t="e">
        <f t="shared" ref="AM386:AM449" si="204">AL386/AI386</f>
        <v>#VALUE!</v>
      </c>
      <c r="AN386" s="43" t="e">
        <f t="shared" ref="AN386:AN449" si="205">AL386/AJ386</f>
        <v>#VALUE!</v>
      </c>
      <c r="AO386" s="19" t="s">
        <v>283</v>
      </c>
      <c r="AT386" s="2">
        <f t="shared" ref="AT386:AT449" si="206">COUNTIF($AO$2:$AO$1400,AO386)</f>
        <v>6</v>
      </c>
      <c r="AU386" s="45">
        <f t="shared" ref="AU386:AU449" si="207">LOG10(B386)</f>
        <v>-2.3766134508577941</v>
      </c>
      <c r="AV386" s="45" t="e">
        <f t="shared" ref="AV386:AV449" si="208">LOG10(C386)</f>
        <v>#VALUE!</v>
      </c>
      <c r="AW386" s="45" t="e">
        <f t="shared" ref="AW386:AW449" si="209">LOG10(D386)</f>
        <v>#VALUE!</v>
      </c>
      <c r="AX386" s="45" t="e">
        <f t="shared" ref="AX386:AX449" si="210">LOG10(N386)</f>
        <v>#VALUE!</v>
      </c>
      <c r="AY386" s="45" t="e">
        <f t="shared" ref="AY386:AY449" si="211">LOG10(O386)</f>
        <v>#VALUE!</v>
      </c>
      <c r="AZ386" s="45" t="e">
        <f t="shared" ref="AZ386:AZ449" si="212">LOG10(P386)</f>
        <v>#VALUE!</v>
      </c>
      <c r="BA386" s="45" t="e">
        <f t="shared" ref="BA386:BA449" si="213">LOG10(J386)</f>
        <v>#VALUE!</v>
      </c>
      <c r="BB386" s="45" t="e">
        <f t="shared" ref="BB386:BB449" si="214">LOG10(L386)</f>
        <v>#VALUE!</v>
      </c>
      <c r="BC386" s="45">
        <f t="shared" ref="BC386:BC449" si="215">LOG10(U386)</f>
        <v>7.9181246047624818E-2</v>
      </c>
      <c r="BD386" s="45" t="e">
        <f t="shared" ref="BD386:BD449" si="216">LOG10(AD386)</f>
        <v>#VALUE!</v>
      </c>
      <c r="BE386" s="45" t="e">
        <f t="shared" ref="BE386:BE449" si="217">LOG10(AF386)</f>
        <v>#VALUE!</v>
      </c>
      <c r="BF386" s="45" t="e">
        <f t="shared" ref="BF386:BF449" si="218">LOG10(AM386)</f>
        <v>#VALUE!</v>
      </c>
      <c r="BG386" s="45" t="e">
        <f t="shared" ref="BG386:BG449" si="219">LOG10(AN386)</f>
        <v>#VALUE!</v>
      </c>
      <c r="BH386" s="45" t="e">
        <f t="shared" ref="BH386:BH449" si="220">LOG10(AB386)</f>
        <v>#NUM!</v>
      </c>
      <c r="BI386" s="43" t="e">
        <f t="shared" ref="BI386:BI449" si="221">LOG10(AF386)</f>
        <v>#VALUE!</v>
      </c>
      <c r="CA386" s="41" t="s">
        <v>22</v>
      </c>
      <c r="CC386" t="s">
        <v>22</v>
      </c>
      <c r="CE386" s="41" t="s">
        <v>22</v>
      </c>
      <c r="CF386" s="41" t="s">
        <v>22</v>
      </c>
      <c r="CG386" s="41" t="e">
        <f t="shared" si="200"/>
        <v>#VALUE!</v>
      </c>
      <c r="CH386" s="41" t="e">
        <f t="shared" si="201"/>
        <v>#VALUE!</v>
      </c>
      <c r="CI386" s="41">
        <f t="shared" si="202"/>
        <v>1.2</v>
      </c>
      <c r="CJ386" s="41">
        <f t="shared" si="203"/>
        <v>7.9181246047624818E-2</v>
      </c>
      <c r="CL386" s="9" t="s">
        <v>1269</v>
      </c>
      <c r="CM386" s="18" t="s">
        <v>1285</v>
      </c>
      <c r="CN386" s="54" t="s">
        <v>1284</v>
      </c>
      <c r="CO386" s="18" t="s">
        <v>1284</v>
      </c>
    </row>
    <row r="387" spans="1:93" x14ac:dyDescent="0.25">
      <c r="A387" t="s">
        <v>315</v>
      </c>
      <c r="B387" s="41">
        <f>((0.05*10^-2)^-1)*10^-6</f>
        <v>2E-3</v>
      </c>
      <c r="C387" s="41" t="s">
        <v>22</v>
      </c>
      <c r="D387" s="41" t="s">
        <v>22</v>
      </c>
      <c r="E387" s="41" t="s">
        <v>22</v>
      </c>
      <c r="F387" t="s">
        <v>22</v>
      </c>
      <c r="G387" t="s">
        <v>22</v>
      </c>
      <c r="H387" t="s">
        <v>22</v>
      </c>
      <c r="I387" t="s">
        <v>22</v>
      </c>
      <c r="J387" s="41" t="s">
        <v>22</v>
      </c>
      <c r="K387" t="s">
        <v>22</v>
      </c>
      <c r="L387" s="41" t="e">
        <f>IF((10^-12)*J387*K387^4=0,"",(10^-12)*J387*K387^4)</f>
        <v>#VALUE!</v>
      </c>
      <c r="M387" t="s">
        <v>23</v>
      </c>
      <c r="N387" s="41" t="s">
        <v>22</v>
      </c>
      <c r="O387" s="41" t="s">
        <v>22</v>
      </c>
      <c r="P387" s="41" t="s">
        <v>22</v>
      </c>
      <c r="R387" s="41" t="s">
        <v>22</v>
      </c>
      <c r="S387" s="41" t="s">
        <v>22</v>
      </c>
      <c r="T387" s="41" t="s">
        <v>279</v>
      </c>
      <c r="U387" s="41">
        <v>1.2</v>
      </c>
      <c r="V387">
        <v>20200511</v>
      </c>
      <c r="W387" s="16" t="s">
        <v>280</v>
      </c>
      <c r="X387" s="18">
        <v>2008</v>
      </c>
      <c r="Y387" t="s">
        <v>328</v>
      </c>
      <c r="Z387" t="s">
        <v>281</v>
      </c>
      <c r="AA387" t="s">
        <v>753</v>
      </c>
      <c r="AB387" s="41">
        <f>(((6.0626*10^-2)*0.01)^-1)*10^-6</f>
        <v>1.6494573285389107E-3</v>
      </c>
      <c r="AC387" t="s">
        <v>282</v>
      </c>
      <c r="AD387" s="41" t="s">
        <v>22</v>
      </c>
      <c r="AE387" s="41">
        <v>1595</v>
      </c>
      <c r="AF387" s="41" t="s">
        <v>22</v>
      </c>
      <c r="AG387" s="41" t="s">
        <v>22</v>
      </c>
      <c r="AH387" s="41">
        <v>1.5511526232114401</v>
      </c>
      <c r="AI387" s="41" t="s">
        <v>22</v>
      </c>
      <c r="AJ387" s="41" t="s">
        <v>22</v>
      </c>
      <c r="AK387" s="41" t="s">
        <v>22</v>
      </c>
      <c r="AL387" s="41">
        <v>1.00567894884503</v>
      </c>
      <c r="AM387" s="43" t="e">
        <f t="shared" si="204"/>
        <v>#VALUE!</v>
      </c>
      <c r="AN387" s="43" t="e">
        <f t="shared" si="205"/>
        <v>#VALUE!</v>
      </c>
      <c r="AO387" s="19" t="s">
        <v>283</v>
      </c>
      <c r="AT387" s="2">
        <f t="shared" si="206"/>
        <v>6</v>
      </c>
      <c r="AU387" s="45">
        <f t="shared" si="207"/>
        <v>-2.6989700043360187</v>
      </c>
      <c r="AV387" s="45" t="e">
        <f t="shared" si="208"/>
        <v>#VALUE!</v>
      </c>
      <c r="AW387" s="45" t="e">
        <f t="shared" si="209"/>
        <v>#VALUE!</v>
      </c>
      <c r="AX387" s="45" t="e">
        <f t="shared" si="210"/>
        <v>#VALUE!</v>
      </c>
      <c r="AY387" s="45" t="e">
        <f t="shared" si="211"/>
        <v>#VALUE!</v>
      </c>
      <c r="AZ387" s="45" t="e">
        <f t="shared" si="212"/>
        <v>#VALUE!</v>
      </c>
      <c r="BA387" s="45" t="e">
        <f t="shared" si="213"/>
        <v>#VALUE!</v>
      </c>
      <c r="BB387" s="45" t="e">
        <f t="shared" si="214"/>
        <v>#VALUE!</v>
      </c>
      <c r="BC387" s="45">
        <f t="shared" si="215"/>
        <v>7.9181246047624818E-2</v>
      </c>
      <c r="BD387" s="45" t="e">
        <f t="shared" si="216"/>
        <v>#VALUE!</v>
      </c>
      <c r="BE387" s="45" t="e">
        <f t="shared" si="217"/>
        <v>#VALUE!</v>
      </c>
      <c r="BF387" s="45" t="e">
        <f t="shared" si="218"/>
        <v>#VALUE!</v>
      </c>
      <c r="BG387" s="45" t="e">
        <f t="shared" si="219"/>
        <v>#VALUE!</v>
      </c>
      <c r="BH387" s="45">
        <f t="shared" si="220"/>
        <v>-2.7826589151715595</v>
      </c>
      <c r="BI387" s="43" t="e">
        <f t="shared" si="221"/>
        <v>#VALUE!</v>
      </c>
      <c r="CA387" s="41" t="s">
        <v>22</v>
      </c>
      <c r="CC387" t="s">
        <v>22</v>
      </c>
      <c r="CE387" s="41" t="s">
        <v>22</v>
      </c>
      <c r="CF387" s="41" t="s">
        <v>22</v>
      </c>
      <c r="CG387" s="41" t="e">
        <f t="shared" si="200"/>
        <v>#VALUE!</v>
      </c>
      <c r="CH387" s="41" t="e">
        <f t="shared" si="201"/>
        <v>#VALUE!</v>
      </c>
      <c r="CI387" s="41">
        <f t="shared" si="202"/>
        <v>1.2</v>
      </c>
      <c r="CJ387" s="41">
        <f t="shared" si="203"/>
        <v>7.9181246047624818E-2</v>
      </c>
      <c r="CL387" s="9" t="s">
        <v>1269</v>
      </c>
      <c r="CM387" s="18" t="s">
        <v>1285</v>
      </c>
      <c r="CN387" s="54" t="s">
        <v>1284</v>
      </c>
      <c r="CO387" s="18" t="s">
        <v>1284</v>
      </c>
    </row>
    <row r="388" spans="1:93" x14ac:dyDescent="0.25">
      <c r="A388" t="s">
        <v>315</v>
      </c>
      <c r="B388" s="41">
        <f>((0.24*10^-2)^-1)*10^-6</f>
        <v>4.1666666666666669E-4</v>
      </c>
      <c r="C388" s="41" t="s">
        <v>22</v>
      </c>
      <c r="D388" s="41" t="s">
        <v>22</v>
      </c>
      <c r="E388" s="41" t="s">
        <v>22</v>
      </c>
      <c r="F388" t="s">
        <v>22</v>
      </c>
      <c r="G388" t="s">
        <v>22</v>
      </c>
      <c r="H388" t="s">
        <v>22</v>
      </c>
      <c r="I388" t="s">
        <v>22</v>
      </c>
      <c r="J388" s="41" t="s">
        <v>22</v>
      </c>
      <c r="K388" t="s">
        <v>22</v>
      </c>
      <c r="L388" s="41" t="e">
        <f>IF((10^-12)*J388*K388^4=0,"",(10^-12)*J388*K388^4)</f>
        <v>#VALUE!</v>
      </c>
      <c r="M388" t="s">
        <v>23</v>
      </c>
      <c r="N388" s="41" t="s">
        <v>22</v>
      </c>
      <c r="O388" s="41" t="s">
        <v>22</v>
      </c>
      <c r="P388" s="41" t="s">
        <v>22</v>
      </c>
      <c r="R388" s="41" t="s">
        <v>22</v>
      </c>
      <c r="S388" s="41" t="s">
        <v>22</v>
      </c>
      <c r="T388" s="41" t="s">
        <v>279</v>
      </c>
      <c r="U388" s="41">
        <v>1.2</v>
      </c>
      <c r="V388">
        <v>20200511</v>
      </c>
      <c r="W388" s="16" t="s">
        <v>284</v>
      </c>
      <c r="X388">
        <v>2008</v>
      </c>
      <c r="Y388" t="s">
        <v>328</v>
      </c>
      <c r="Z388" t="s">
        <v>281</v>
      </c>
      <c r="AA388" t="s">
        <v>753</v>
      </c>
      <c r="AB388" s="41">
        <f>(((2.3802*10^-2)*0.01)^-1)*10^-6</f>
        <v>4.2013276195277706E-3</v>
      </c>
      <c r="AC388" t="s">
        <v>285</v>
      </c>
      <c r="AD388" s="41" t="s">
        <v>22</v>
      </c>
      <c r="AE388" s="41">
        <v>1599</v>
      </c>
      <c r="AF388" s="41" t="s">
        <v>22</v>
      </c>
      <c r="AG388" s="41" t="s">
        <v>22</v>
      </c>
      <c r="AH388" s="41">
        <v>2.5709219858156001</v>
      </c>
      <c r="AI388" s="41" t="s">
        <v>22</v>
      </c>
      <c r="AJ388" s="41" t="s">
        <v>22</v>
      </c>
      <c r="AK388" s="41" t="s">
        <v>22</v>
      </c>
      <c r="AL388" s="41">
        <v>1.0354609929078</v>
      </c>
      <c r="AM388" s="43" t="e">
        <f t="shared" si="204"/>
        <v>#VALUE!</v>
      </c>
      <c r="AN388" s="43" t="e">
        <f t="shared" si="205"/>
        <v>#VALUE!</v>
      </c>
      <c r="AO388" s="3" t="s">
        <v>283</v>
      </c>
      <c r="AT388" s="2">
        <f t="shared" si="206"/>
        <v>6</v>
      </c>
      <c r="AU388" s="45">
        <f t="shared" si="207"/>
        <v>-3.3802112417116059</v>
      </c>
      <c r="AV388" s="45" t="e">
        <f t="shared" si="208"/>
        <v>#VALUE!</v>
      </c>
      <c r="AW388" s="45" t="e">
        <f t="shared" si="209"/>
        <v>#VALUE!</v>
      </c>
      <c r="AX388" s="45" t="e">
        <f t="shared" si="210"/>
        <v>#VALUE!</v>
      </c>
      <c r="AY388" s="45" t="e">
        <f t="shared" si="211"/>
        <v>#VALUE!</v>
      </c>
      <c r="AZ388" s="45" t="e">
        <f t="shared" si="212"/>
        <v>#VALUE!</v>
      </c>
      <c r="BA388" s="45" t="e">
        <f t="shared" si="213"/>
        <v>#VALUE!</v>
      </c>
      <c r="BB388" s="45" t="e">
        <f t="shared" si="214"/>
        <v>#VALUE!</v>
      </c>
      <c r="BC388" s="45">
        <f t="shared" si="215"/>
        <v>7.9181246047624818E-2</v>
      </c>
      <c r="BD388" s="45" t="e">
        <f t="shared" si="216"/>
        <v>#VALUE!</v>
      </c>
      <c r="BE388" s="45" t="e">
        <f t="shared" si="217"/>
        <v>#VALUE!</v>
      </c>
      <c r="BF388" s="45" t="e">
        <f t="shared" si="218"/>
        <v>#VALUE!</v>
      </c>
      <c r="BG388" s="45" t="e">
        <f t="shared" si="219"/>
        <v>#VALUE!</v>
      </c>
      <c r="BH388" s="45">
        <f t="shared" si="220"/>
        <v>-2.3766134508577941</v>
      </c>
      <c r="BI388" s="43" t="e">
        <f t="shared" si="221"/>
        <v>#VALUE!</v>
      </c>
      <c r="CA388" s="41" t="s">
        <v>22</v>
      </c>
      <c r="CC388" t="s">
        <v>22</v>
      </c>
      <c r="CE388" s="41" t="s">
        <v>22</v>
      </c>
      <c r="CF388" s="41" t="s">
        <v>22</v>
      </c>
      <c r="CG388" s="41" t="e">
        <f t="shared" si="200"/>
        <v>#VALUE!</v>
      </c>
      <c r="CH388" s="41" t="e">
        <f t="shared" si="201"/>
        <v>#VALUE!</v>
      </c>
      <c r="CI388" s="41">
        <f t="shared" si="202"/>
        <v>1.2</v>
      </c>
      <c r="CJ388" s="41">
        <f t="shared" si="203"/>
        <v>7.9181246047624818E-2</v>
      </c>
      <c r="CL388" s="9" t="s">
        <v>1269</v>
      </c>
      <c r="CM388" s="18" t="s">
        <v>1285</v>
      </c>
      <c r="CN388" s="54" t="s">
        <v>1284</v>
      </c>
      <c r="CO388" s="18" t="s">
        <v>1284</v>
      </c>
    </row>
    <row r="389" spans="1:93" x14ac:dyDescent="0.25">
      <c r="A389" t="s">
        <v>315</v>
      </c>
      <c r="B389" s="41">
        <f>((0.02*10^-2)^-1)*10^-6</f>
        <v>5.0000000000000001E-3</v>
      </c>
      <c r="C389" s="41" t="s">
        <v>22</v>
      </c>
      <c r="D389" s="41" t="s">
        <v>22</v>
      </c>
      <c r="E389" s="41" t="s">
        <v>22</v>
      </c>
      <c r="F389" t="s">
        <v>22</v>
      </c>
      <c r="G389" t="s">
        <v>22</v>
      </c>
      <c r="H389" t="s">
        <v>22</v>
      </c>
      <c r="I389" t="s">
        <v>22</v>
      </c>
      <c r="J389" s="41" t="s">
        <v>22</v>
      </c>
      <c r="K389" t="s">
        <v>22</v>
      </c>
      <c r="L389" s="41" t="e">
        <f>IF((10^-12)*J389*K389^4=0,"",(10^-12)*J389*K389^4)</f>
        <v>#VALUE!</v>
      </c>
      <c r="M389" t="s">
        <v>45</v>
      </c>
      <c r="N389" s="41" t="s">
        <v>22</v>
      </c>
      <c r="O389" s="41" t="s">
        <v>22</v>
      </c>
      <c r="P389" s="41" t="s">
        <v>22</v>
      </c>
      <c r="R389" s="41" t="s">
        <v>22</v>
      </c>
      <c r="S389" s="41" t="s">
        <v>22</v>
      </c>
      <c r="T389" s="41" t="s">
        <v>279</v>
      </c>
      <c r="U389" s="41">
        <v>1.2</v>
      </c>
      <c r="V389">
        <v>20200511</v>
      </c>
      <c r="W389" s="16" t="s">
        <v>286</v>
      </c>
      <c r="X389">
        <v>2008</v>
      </c>
      <c r="Y389" t="s">
        <v>328</v>
      </c>
      <c r="Z389" t="s">
        <v>124</v>
      </c>
      <c r="AA389" t="s">
        <v>743</v>
      </c>
      <c r="AB389" s="41">
        <f>(((6.0626*10^-2)*0.01)^-1)*10^-6</f>
        <v>1.6494573285389107E-3</v>
      </c>
      <c r="AC389" t="s">
        <v>287</v>
      </c>
      <c r="AD389" s="41" t="s">
        <v>22</v>
      </c>
      <c r="AE389" s="41">
        <v>1605</v>
      </c>
      <c r="AF389" s="41" t="s">
        <v>22</v>
      </c>
      <c r="AG389" s="41" t="s">
        <v>22</v>
      </c>
      <c r="AH389" s="41">
        <v>0.99794959319180698</v>
      </c>
      <c r="AI389" s="41" t="s">
        <v>22</v>
      </c>
      <c r="AJ389" s="41" t="s">
        <v>22</v>
      </c>
      <c r="AK389" s="41" t="s">
        <v>22</v>
      </c>
      <c r="AL389" s="41">
        <v>1.1975661647806899</v>
      </c>
      <c r="AM389" s="43" t="e">
        <f t="shared" si="204"/>
        <v>#VALUE!</v>
      </c>
      <c r="AN389" s="43" t="e">
        <f t="shared" si="205"/>
        <v>#VALUE!</v>
      </c>
      <c r="AO389" s="3" t="s">
        <v>283</v>
      </c>
      <c r="AT389" s="2">
        <f t="shared" si="206"/>
        <v>6</v>
      </c>
      <c r="AU389" s="45">
        <f t="shared" si="207"/>
        <v>-2.3010299956639813</v>
      </c>
      <c r="AV389" s="45" t="e">
        <f t="shared" si="208"/>
        <v>#VALUE!</v>
      </c>
      <c r="AW389" s="45" t="e">
        <f t="shared" si="209"/>
        <v>#VALUE!</v>
      </c>
      <c r="AX389" s="45" t="e">
        <f t="shared" si="210"/>
        <v>#VALUE!</v>
      </c>
      <c r="AY389" s="45" t="e">
        <f t="shared" si="211"/>
        <v>#VALUE!</v>
      </c>
      <c r="AZ389" s="45" t="e">
        <f t="shared" si="212"/>
        <v>#VALUE!</v>
      </c>
      <c r="BA389" s="45" t="e">
        <f t="shared" si="213"/>
        <v>#VALUE!</v>
      </c>
      <c r="BB389" s="45" t="e">
        <f t="shared" si="214"/>
        <v>#VALUE!</v>
      </c>
      <c r="BC389" s="45">
        <f t="shared" si="215"/>
        <v>7.9181246047624818E-2</v>
      </c>
      <c r="BD389" s="45" t="e">
        <f t="shared" si="216"/>
        <v>#VALUE!</v>
      </c>
      <c r="BE389" s="45" t="e">
        <f t="shared" si="217"/>
        <v>#VALUE!</v>
      </c>
      <c r="BF389" s="45" t="e">
        <f t="shared" si="218"/>
        <v>#VALUE!</v>
      </c>
      <c r="BG389" s="45" t="e">
        <f t="shared" si="219"/>
        <v>#VALUE!</v>
      </c>
      <c r="BH389" s="45">
        <f t="shared" si="220"/>
        <v>-2.7826589151715595</v>
      </c>
      <c r="BI389" s="43" t="e">
        <f t="shared" si="221"/>
        <v>#VALUE!</v>
      </c>
      <c r="CA389" s="41" t="s">
        <v>22</v>
      </c>
      <c r="CC389" t="s">
        <v>22</v>
      </c>
      <c r="CE389" s="41" t="s">
        <v>22</v>
      </c>
      <c r="CF389" s="41" t="s">
        <v>22</v>
      </c>
      <c r="CG389" s="41" t="e">
        <f t="shared" si="200"/>
        <v>#VALUE!</v>
      </c>
      <c r="CH389" s="41" t="e">
        <f t="shared" si="201"/>
        <v>#VALUE!</v>
      </c>
      <c r="CI389" s="41">
        <f t="shared" si="202"/>
        <v>1.2</v>
      </c>
      <c r="CJ389" s="41">
        <f t="shared" si="203"/>
        <v>7.9181246047624818E-2</v>
      </c>
      <c r="CL389" s="9" t="s">
        <v>1269</v>
      </c>
      <c r="CM389" s="18" t="s">
        <v>1285</v>
      </c>
      <c r="CN389" s="54" t="s">
        <v>1284</v>
      </c>
      <c r="CO389" s="18" t="s">
        <v>1284</v>
      </c>
    </row>
    <row r="390" spans="1:93" x14ac:dyDescent="0.25">
      <c r="A390" t="s">
        <v>315</v>
      </c>
      <c r="B390" s="41">
        <f>((0.0025*10^-2)^-1)*10^-6</f>
        <v>0.04</v>
      </c>
      <c r="C390" s="41" t="s">
        <v>22</v>
      </c>
      <c r="D390" s="41" t="s">
        <v>22</v>
      </c>
      <c r="E390" s="41" t="s">
        <v>22</v>
      </c>
      <c r="F390" t="s">
        <v>22</v>
      </c>
      <c r="G390" t="s">
        <v>22</v>
      </c>
      <c r="H390" t="s">
        <v>22</v>
      </c>
      <c r="I390" t="s">
        <v>22</v>
      </c>
      <c r="J390" s="41" t="s">
        <v>22</v>
      </c>
      <c r="K390" t="s">
        <v>22</v>
      </c>
      <c r="L390" s="41" t="e">
        <f>IF((10^-12)*J390*K390^4=0,"",(10^-12)*J390*K390^4)</f>
        <v>#VALUE!</v>
      </c>
      <c r="M390" t="s">
        <v>45</v>
      </c>
      <c r="N390" s="41" t="s">
        <v>22</v>
      </c>
      <c r="O390" s="41" t="s">
        <v>22</v>
      </c>
      <c r="P390" s="41" t="s">
        <v>22</v>
      </c>
      <c r="R390" s="41" t="s">
        <v>22</v>
      </c>
      <c r="S390" s="41" t="s">
        <v>22</v>
      </c>
      <c r="T390" s="41" t="s">
        <v>279</v>
      </c>
      <c r="U390" s="41">
        <v>1.2</v>
      </c>
      <c r="V390">
        <v>20200511</v>
      </c>
      <c r="W390" s="16" t="s">
        <v>288</v>
      </c>
      <c r="X390">
        <v>2008</v>
      </c>
      <c r="Y390" t="s">
        <v>328</v>
      </c>
      <c r="Z390" t="s">
        <v>124</v>
      </c>
      <c r="AA390" t="s">
        <v>743</v>
      </c>
      <c r="AB390" s="41">
        <f>(((2.3802*10^-2)*0.01)^-1)*10^-6</f>
        <v>4.2013276195277706E-3</v>
      </c>
      <c r="AC390" t="s">
        <v>285</v>
      </c>
      <c r="AD390" s="41" t="s">
        <v>22</v>
      </c>
      <c r="AE390" s="41">
        <v>1603</v>
      </c>
      <c r="AF390" s="41" t="s">
        <v>22</v>
      </c>
      <c r="AG390" s="41" t="s">
        <v>22</v>
      </c>
      <c r="AH390" s="41">
        <v>1.1258865248226899</v>
      </c>
      <c r="AI390" s="41" t="s">
        <v>22</v>
      </c>
      <c r="AJ390" s="41" t="s">
        <v>22</v>
      </c>
      <c r="AK390" s="41" t="s">
        <v>22</v>
      </c>
      <c r="AL390" s="41">
        <v>1.00709219858156</v>
      </c>
      <c r="AM390" s="43" t="e">
        <f t="shared" si="204"/>
        <v>#VALUE!</v>
      </c>
      <c r="AN390" s="43" t="e">
        <f t="shared" si="205"/>
        <v>#VALUE!</v>
      </c>
      <c r="AO390" s="3" t="s">
        <v>283</v>
      </c>
      <c r="AT390" s="2">
        <f t="shared" si="206"/>
        <v>6</v>
      </c>
      <c r="AU390" s="45">
        <f t="shared" si="207"/>
        <v>-1.3979400086720375</v>
      </c>
      <c r="AV390" s="45" t="e">
        <f t="shared" si="208"/>
        <v>#VALUE!</v>
      </c>
      <c r="AW390" s="45" t="e">
        <f t="shared" si="209"/>
        <v>#VALUE!</v>
      </c>
      <c r="AX390" s="45" t="e">
        <f t="shared" si="210"/>
        <v>#VALUE!</v>
      </c>
      <c r="AY390" s="45" t="e">
        <f t="shared" si="211"/>
        <v>#VALUE!</v>
      </c>
      <c r="AZ390" s="45" t="e">
        <f t="shared" si="212"/>
        <v>#VALUE!</v>
      </c>
      <c r="BA390" s="45" t="e">
        <f t="shared" si="213"/>
        <v>#VALUE!</v>
      </c>
      <c r="BB390" s="45" t="e">
        <f t="shared" si="214"/>
        <v>#VALUE!</v>
      </c>
      <c r="BC390" s="45">
        <f t="shared" si="215"/>
        <v>7.9181246047624818E-2</v>
      </c>
      <c r="BD390" s="45" t="e">
        <f t="shared" si="216"/>
        <v>#VALUE!</v>
      </c>
      <c r="BE390" s="45" t="e">
        <f t="shared" si="217"/>
        <v>#VALUE!</v>
      </c>
      <c r="BF390" s="45" t="e">
        <f t="shared" si="218"/>
        <v>#VALUE!</v>
      </c>
      <c r="BG390" s="45" t="e">
        <f t="shared" si="219"/>
        <v>#VALUE!</v>
      </c>
      <c r="BH390" s="45">
        <f t="shared" si="220"/>
        <v>-2.3766134508577941</v>
      </c>
      <c r="BI390" s="43" t="e">
        <f t="shared" si="221"/>
        <v>#VALUE!</v>
      </c>
      <c r="CA390" s="41" t="s">
        <v>22</v>
      </c>
      <c r="CC390" t="s">
        <v>22</v>
      </c>
      <c r="CE390" s="41" t="s">
        <v>22</v>
      </c>
      <c r="CF390" s="41" t="s">
        <v>22</v>
      </c>
      <c r="CG390" s="41" t="e">
        <f t="shared" si="200"/>
        <v>#VALUE!</v>
      </c>
      <c r="CH390" s="41" t="e">
        <f t="shared" si="201"/>
        <v>#VALUE!</v>
      </c>
      <c r="CI390" s="41">
        <f t="shared" si="202"/>
        <v>1.2</v>
      </c>
      <c r="CJ390" s="41">
        <f t="shared" si="203"/>
        <v>7.9181246047624818E-2</v>
      </c>
      <c r="CL390" s="9" t="s">
        <v>1269</v>
      </c>
      <c r="CM390" s="18" t="s">
        <v>1285</v>
      </c>
      <c r="CN390" s="54" t="s">
        <v>1284</v>
      </c>
      <c r="CO390" s="18" t="s">
        <v>1284</v>
      </c>
    </row>
    <row r="391" spans="1:93" x14ac:dyDescent="0.25">
      <c r="A391" t="s">
        <v>266</v>
      </c>
      <c r="B391" s="41" t="s">
        <v>22</v>
      </c>
      <c r="C391" s="41" t="s">
        <v>22</v>
      </c>
      <c r="D391" s="41" t="s">
        <v>22</v>
      </c>
      <c r="E391" s="41" t="s">
        <v>22</v>
      </c>
      <c r="F391" t="s">
        <v>22</v>
      </c>
      <c r="G391" t="s">
        <v>22</v>
      </c>
      <c r="H391" t="s">
        <v>22</v>
      </c>
      <c r="I391" t="s">
        <v>22</v>
      </c>
      <c r="K391">
        <v>785</v>
      </c>
      <c r="M391" t="s">
        <v>45</v>
      </c>
      <c r="N391" s="41" t="s">
        <v>22</v>
      </c>
      <c r="O391" s="41" t="s">
        <v>22</v>
      </c>
      <c r="P391" s="41" t="s">
        <v>22</v>
      </c>
      <c r="R391" s="41" t="s">
        <v>22</v>
      </c>
      <c r="S391" s="41" t="s">
        <v>22</v>
      </c>
      <c r="T391" s="41">
        <v>1.0649999999999999</v>
      </c>
      <c r="U391" s="41">
        <v>1.0649999999999999</v>
      </c>
      <c r="V391">
        <v>20200507</v>
      </c>
      <c r="W391" s="9" t="s">
        <v>818</v>
      </c>
      <c r="X391">
        <v>2008</v>
      </c>
      <c r="Y391" t="s">
        <v>819</v>
      </c>
      <c r="Z391" t="s">
        <v>32</v>
      </c>
      <c r="AA391" t="s">
        <v>22</v>
      </c>
      <c r="AB391" s="41" t="s">
        <v>22</v>
      </c>
      <c r="AC391" t="s">
        <v>514</v>
      </c>
      <c r="AD391" s="41">
        <v>59</v>
      </c>
      <c r="AE391" s="41">
        <v>1600</v>
      </c>
      <c r="AF391" s="41" t="s">
        <v>22</v>
      </c>
      <c r="AG391" s="41" t="s">
        <v>22</v>
      </c>
      <c r="AH391" s="41" t="s">
        <v>22</v>
      </c>
      <c r="AI391" s="41" t="s">
        <v>22</v>
      </c>
      <c r="AJ391" s="41" t="s">
        <v>22</v>
      </c>
      <c r="AK391" s="41" t="s">
        <v>22</v>
      </c>
      <c r="AL391" s="41" t="s">
        <v>22</v>
      </c>
      <c r="AM391" s="43" t="e">
        <f t="shared" si="204"/>
        <v>#VALUE!</v>
      </c>
      <c r="AN391" s="43" t="e">
        <f t="shared" si="205"/>
        <v>#VALUE!</v>
      </c>
      <c r="AO391" s="18" t="s">
        <v>820</v>
      </c>
      <c r="AT391" s="2">
        <f t="shared" si="206"/>
        <v>1</v>
      </c>
      <c r="AU391" s="45" t="e">
        <f t="shared" si="207"/>
        <v>#VALUE!</v>
      </c>
      <c r="AV391" s="45" t="e">
        <f t="shared" si="208"/>
        <v>#VALUE!</v>
      </c>
      <c r="AW391" s="45" t="e">
        <f t="shared" si="209"/>
        <v>#VALUE!</v>
      </c>
      <c r="AX391" s="45" t="e">
        <f t="shared" si="210"/>
        <v>#VALUE!</v>
      </c>
      <c r="AY391" s="45" t="e">
        <f t="shared" si="211"/>
        <v>#VALUE!</v>
      </c>
      <c r="AZ391" s="45" t="e">
        <f t="shared" si="212"/>
        <v>#VALUE!</v>
      </c>
      <c r="BA391" s="45" t="e">
        <f t="shared" si="213"/>
        <v>#NUM!</v>
      </c>
      <c r="BB391" s="45" t="e">
        <f t="shared" si="214"/>
        <v>#NUM!</v>
      </c>
      <c r="BC391" s="45">
        <f t="shared" si="215"/>
        <v>2.7349607774756507E-2</v>
      </c>
      <c r="BD391" s="45">
        <f t="shared" si="216"/>
        <v>1.7708520116421442</v>
      </c>
      <c r="BE391" s="45" t="e">
        <f t="shared" si="217"/>
        <v>#VALUE!</v>
      </c>
      <c r="BF391" s="45" t="e">
        <f t="shared" si="218"/>
        <v>#VALUE!</v>
      </c>
      <c r="BG391" s="45" t="e">
        <f t="shared" si="219"/>
        <v>#VALUE!</v>
      </c>
      <c r="BH391" s="45" t="e">
        <f t="shared" si="220"/>
        <v>#VALUE!</v>
      </c>
      <c r="BI391" s="43" t="e">
        <f t="shared" si="221"/>
        <v>#VALUE!</v>
      </c>
      <c r="BJ391" t="s">
        <v>520</v>
      </c>
      <c r="BK391" t="s">
        <v>22</v>
      </c>
      <c r="BL391" s="18" t="s">
        <v>22</v>
      </c>
      <c r="BM391" s="41" t="s">
        <v>22</v>
      </c>
      <c r="BN391" s="41" t="s">
        <v>22</v>
      </c>
      <c r="BO391" s="41" t="s">
        <v>22</v>
      </c>
      <c r="BP391" s="41" t="s">
        <v>22</v>
      </c>
      <c r="BQ391" s="41" t="s">
        <v>22</v>
      </c>
      <c r="BR391" s="41">
        <v>2703</v>
      </c>
      <c r="BS391" t="s">
        <v>522</v>
      </c>
      <c r="BT391" t="s">
        <v>974</v>
      </c>
      <c r="BU391" s="41">
        <v>30.5</v>
      </c>
      <c r="BV391" s="41">
        <v>15533522.445768986</v>
      </c>
      <c r="BW391" s="41" t="s">
        <v>22</v>
      </c>
      <c r="BX391" s="41" t="s">
        <v>22</v>
      </c>
      <c r="BY391" s="41" t="s">
        <v>22</v>
      </c>
      <c r="BZ391" s="41">
        <v>270</v>
      </c>
      <c r="CA391" s="41">
        <v>270</v>
      </c>
      <c r="CC391" t="s">
        <v>1008</v>
      </c>
      <c r="CE391" s="41" t="e">
        <f>LOG10(BN391)</f>
        <v>#VALUE!</v>
      </c>
      <c r="CF391" s="41">
        <f>LOG10(BV391)</f>
        <v>7.1912699493085768</v>
      </c>
      <c r="CG391" s="41">
        <f t="shared" si="200"/>
        <v>59000</v>
      </c>
      <c r="CH391" s="41">
        <f t="shared" si="201"/>
        <v>4.7708520116421438</v>
      </c>
      <c r="CI391" s="41">
        <f t="shared" si="202"/>
        <v>59000</v>
      </c>
      <c r="CJ391" s="41">
        <f t="shared" si="203"/>
        <v>4.7708520116421438</v>
      </c>
      <c r="CL391" s="9" t="s">
        <v>1269</v>
      </c>
      <c r="CM391" s="18" t="s">
        <v>1283</v>
      </c>
      <c r="CN391" s="54">
        <v>2.4313637641589874</v>
      </c>
      <c r="CO391" s="18" t="s">
        <v>1286</v>
      </c>
    </row>
    <row r="392" spans="1:93" x14ac:dyDescent="0.25">
      <c r="A392" t="s">
        <v>266</v>
      </c>
      <c r="B392" s="41">
        <v>0.05</v>
      </c>
      <c r="C392" s="41">
        <v>1.0900000000000001</v>
      </c>
      <c r="D392" s="41">
        <f>0.001*(B392*10^6)/(C392*0.001*100^3)</f>
        <v>4.5871559633027525E-2</v>
      </c>
      <c r="E392" s="41" t="s">
        <v>22</v>
      </c>
      <c r="F392" t="s">
        <v>22</v>
      </c>
      <c r="G392" t="s">
        <v>22</v>
      </c>
      <c r="H392" t="s">
        <v>22</v>
      </c>
      <c r="I392" t="s">
        <v>22</v>
      </c>
      <c r="J392" s="41" t="s">
        <v>22</v>
      </c>
      <c r="K392" t="s">
        <v>22</v>
      </c>
      <c r="L392" s="41" t="e">
        <f>IF((10^-12)*J392*K392^4=0,"",(10^-12)*J392*K392^4)</f>
        <v>#VALUE!</v>
      </c>
      <c r="M392" t="s">
        <v>23</v>
      </c>
      <c r="N392" s="41" t="s">
        <v>22</v>
      </c>
      <c r="O392" s="41" t="s">
        <v>22</v>
      </c>
      <c r="P392" s="41" t="s">
        <v>22</v>
      </c>
      <c r="R392" s="41" t="s">
        <v>22</v>
      </c>
      <c r="S392" s="41" t="s">
        <v>22</v>
      </c>
      <c r="T392" s="41">
        <v>1.6</v>
      </c>
      <c r="U392" s="41">
        <v>1.6</v>
      </c>
      <c r="V392">
        <v>20200510</v>
      </c>
      <c r="W392" s="16" t="s">
        <v>240</v>
      </c>
      <c r="X392" s="18">
        <v>2008</v>
      </c>
      <c r="Y392" t="s">
        <v>76</v>
      </c>
      <c r="Z392" t="s">
        <v>241</v>
      </c>
      <c r="AC392" t="s">
        <v>514</v>
      </c>
      <c r="AD392" s="41">
        <v>200</v>
      </c>
      <c r="AE392" s="41">
        <v>1594.8</v>
      </c>
      <c r="AF392" s="41" t="s">
        <v>22</v>
      </c>
      <c r="AG392" s="41" t="s">
        <v>22</v>
      </c>
      <c r="AH392" s="41" t="s">
        <v>22</v>
      </c>
      <c r="AI392" s="41" t="s">
        <v>22</v>
      </c>
      <c r="AJ392" s="41" t="s">
        <v>22</v>
      </c>
      <c r="AK392" s="41" t="s">
        <v>22</v>
      </c>
      <c r="AL392" s="41" t="s">
        <v>22</v>
      </c>
      <c r="AM392" s="43" t="e">
        <f t="shared" si="204"/>
        <v>#VALUE!</v>
      </c>
      <c r="AN392" s="43" t="e">
        <f t="shared" si="205"/>
        <v>#VALUE!</v>
      </c>
      <c r="AO392" s="3" t="s">
        <v>1154</v>
      </c>
      <c r="AT392" s="2">
        <f t="shared" si="206"/>
        <v>2</v>
      </c>
      <c r="AU392" s="45">
        <f t="shared" si="207"/>
        <v>-1.3010299956639813</v>
      </c>
      <c r="AV392" s="45">
        <f t="shared" si="208"/>
        <v>3.7426497940623665E-2</v>
      </c>
      <c r="AW392" s="45">
        <f t="shared" si="209"/>
        <v>-1.3384564936046048</v>
      </c>
      <c r="AX392" s="45" t="e">
        <f t="shared" si="210"/>
        <v>#VALUE!</v>
      </c>
      <c r="AY392" s="45" t="e">
        <f t="shared" si="211"/>
        <v>#VALUE!</v>
      </c>
      <c r="AZ392" s="45" t="e">
        <f t="shared" si="212"/>
        <v>#VALUE!</v>
      </c>
      <c r="BA392" s="45" t="e">
        <f t="shared" si="213"/>
        <v>#VALUE!</v>
      </c>
      <c r="BB392" s="45" t="e">
        <f t="shared" si="214"/>
        <v>#VALUE!</v>
      </c>
      <c r="BC392" s="45">
        <f t="shared" si="215"/>
        <v>0.20411998265592479</v>
      </c>
      <c r="BD392" s="45">
        <f t="shared" si="216"/>
        <v>2.3010299956639813</v>
      </c>
      <c r="BE392" s="45" t="e">
        <f t="shared" si="217"/>
        <v>#VALUE!</v>
      </c>
      <c r="BF392" s="45" t="e">
        <f t="shared" si="218"/>
        <v>#VALUE!</v>
      </c>
      <c r="BG392" s="45" t="e">
        <f t="shared" si="219"/>
        <v>#VALUE!</v>
      </c>
      <c r="BH392" s="45" t="e">
        <f t="shared" si="220"/>
        <v>#NUM!</v>
      </c>
      <c r="BI392" s="43" t="e">
        <f t="shared" si="221"/>
        <v>#VALUE!</v>
      </c>
      <c r="CA392" s="41" t="s">
        <v>22</v>
      </c>
      <c r="CC392" t="s">
        <v>22</v>
      </c>
      <c r="CE392" s="41" t="s">
        <v>22</v>
      </c>
      <c r="CF392" s="41" t="s">
        <v>22</v>
      </c>
      <c r="CG392" s="41">
        <f t="shared" si="200"/>
        <v>200000</v>
      </c>
      <c r="CH392" s="41">
        <f t="shared" si="201"/>
        <v>5.3010299956639813</v>
      </c>
      <c r="CI392" s="41">
        <f t="shared" si="202"/>
        <v>200000</v>
      </c>
      <c r="CJ392" s="41">
        <f t="shared" si="203"/>
        <v>5.3010299956639813</v>
      </c>
      <c r="CL392" s="9" t="s">
        <v>1269</v>
      </c>
      <c r="CM392" s="18" t="s">
        <v>1283</v>
      </c>
      <c r="CN392" s="54" t="s">
        <v>1284</v>
      </c>
      <c r="CO392" s="18" t="s">
        <v>1284</v>
      </c>
    </row>
    <row r="393" spans="1:93" x14ac:dyDescent="0.25">
      <c r="A393" t="s">
        <v>731</v>
      </c>
      <c r="B393" s="41" t="s">
        <v>22</v>
      </c>
      <c r="C393" s="41">
        <v>1.1599999999999999</v>
      </c>
      <c r="D393" s="41" t="s">
        <v>22</v>
      </c>
      <c r="E393" s="41" t="s">
        <v>22</v>
      </c>
      <c r="F393" t="s">
        <v>22</v>
      </c>
      <c r="G393" t="s">
        <v>22</v>
      </c>
      <c r="H393" t="s">
        <v>22</v>
      </c>
      <c r="I393" t="s">
        <v>22</v>
      </c>
      <c r="J393" s="41" t="s">
        <v>22</v>
      </c>
      <c r="K393" t="s">
        <v>22</v>
      </c>
      <c r="M393" t="s">
        <v>23</v>
      </c>
      <c r="N393" s="41" t="s">
        <v>22</v>
      </c>
      <c r="O393" s="41" t="s">
        <v>22</v>
      </c>
      <c r="P393" s="41" t="s">
        <v>22</v>
      </c>
      <c r="R393" s="41" t="s">
        <v>22</v>
      </c>
      <c r="S393" s="41" t="s">
        <v>22</v>
      </c>
      <c r="T393" s="41">
        <v>1.63</v>
      </c>
      <c r="U393" s="41">
        <v>1.63</v>
      </c>
      <c r="V393">
        <v>20200525</v>
      </c>
      <c r="W393" s="16" t="s">
        <v>909</v>
      </c>
      <c r="X393" s="6">
        <v>2008</v>
      </c>
      <c r="Y393" t="s">
        <v>22</v>
      </c>
      <c r="Z393" t="s">
        <v>22</v>
      </c>
      <c r="AC393" t="s">
        <v>514</v>
      </c>
      <c r="AD393" s="41" t="s">
        <v>22</v>
      </c>
      <c r="AE393" s="41" t="s">
        <v>22</v>
      </c>
      <c r="AF393" s="41" t="s">
        <v>22</v>
      </c>
      <c r="AG393" s="41" t="s">
        <v>22</v>
      </c>
      <c r="AH393" s="41" t="s">
        <v>22</v>
      </c>
      <c r="AI393" s="41" t="s">
        <v>22</v>
      </c>
      <c r="AJ393" s="41" t="s">
        <v>22</v>
      </c>
      <c r="AK393" s="41" t="s">
        <v>22</v>
      </c>
      <c r="AL393" s="41" t="s">
        <v>22</v>
      </c>
      <c r="AM393" s="43" t="e">
        <f t="shared" si="204"/>
        <v>#VALUE!</v>
      </c>
      <c r="AN393" s="43" t="e">
        <f t="shared" si="205"/>
        <v>#VALUE!</v>
      </c>
      <c r="AO393" s="3" t="s">
        <v>1154</v>
      </c>
      <c r="AT393" s="2">
        <f t="shared" si="206"/>
        <v>2</v>
      </c>
      <c r="AU393" s="45" t="e">
        <f t="shared" si="207"/>
        <v>#VALUE!</v>
      </c>
      <c r="AV393" s="45">
        <f t="shared" si="208"/>
        <v>6.445798922691845E-2</v>
      </c>
      <c r="AW393" s="45" t="e">
        <f t="shared" si="209"/>
        <v>#VALUE!</v>
      </c>
      <c r="AX393" s="45" t="e">
        <f t="shared" si="210"/>
        <v>#VALUE!</v>
      </c>
      <c r="AY393" s="45" t="e">
        <f t="shared" si="211"/>
        <v>#VALUE!</v>
      </c>
      <c r="AZ393" s="45" t="e">
        <f t="shared" si="212"/>
        <v>#VALUE!</v>
      </c>
      <c r="BA393" s="45" t="e">
        <f t="shared" si="213"/>
        <v>#VALUE!</v>
      </c>
      <c r="BB393" s="45" t="e">
        <f t="shared" si="214"/>
        <v>#NUM!</v>
      </c>
      <c r="BC393" s="45">
        <f t="shared" si="215"/>
        <v>0.21218760440395779</v>
      </c>
      <c r="BD393" s="45" t="e">
        <f t="shared" si="216"/>
        <v>#VALUE!</v>
      </c>
      <c r="BE393" s="45" t="e">
        <f t="shared" si="217"/>
        <v>#VALUE!</v>
      </c>
      <c r="BF393" s="45" t="e">
        <f t="shared" si="218"/>
        <v>#VALUE!</v>
      </c>
      <c r="BG393" s="45" t="e">
        <f t="shared" si="219"/>
        <v>#VALUE!</v>
      </c>
      <c r="BH393" s="45" t="e">
        <f t="shared" si="220"/>
        <v>#NUM!</v>
      </c>
      <c r="BI393" s="43" t="e">
        <f t="shared" si="221"/>
        <v>#VALUE!</v>
      </c>
      <c r="CA393" s="41" t="s">
        <v>22</v>
      </c>
      <c r="CC393" t="s">
        <v>22</v>
      </c>
      <c r="CE393" s="41" t="s">
        <v>22</v>
      </c>
      <c r="CF393" s="41" t="s">
        <v>22</v>
      </c>
      <c r="CG393" s="41" t="e">
        <f t="shared" si="200"/>
        <v>#VALUE!</v>
      </c>
      <c r="CH393" s="41" t="e">
        <f t="shared" si="201"/>
        <v>#VALUE!</v>
      </c>
      <c r="CI393" s="41">
        <f t="shared" si="202"/>
        <v>1.63</v>
      </c>
      <c r="CJ393" s="41">
        <f t="shared" si="203"/>
        <v>0.21218760440395779</v>
      </c>
      <c r="CL393" s="9" t="s">
        <v>1269</v>
      </c>
      <c r="CM393" s="18" t="s">
        <v>1285</v>
      </c>
      <c r="CN393" s="54" t="s">
        <v>1284</v>
      </c>
      <c r="CO393" s="18" t="s">
        <v>1284</v>
      </c>
    </row>
    <row r="394" spans="1:93" x14ac:dyDescent="0.25">
      <c r="A394" t="s">
        <v>315</v>
      </c>
      <c r="B394" s="41">
        <v>1.43E-2</v>
      </c>
      <c r="C394" s="41" t="s">
        <v>22</v>
      </c>
      <c r="D394" s="41" t="e">
        <f>0.001*(B394*10^6)/(C394*0.001*100^3)</f>
        <v>#VALUE!</v>
      </c>
      <c r="E394" s="41" t="s">
        <v>22</v>
      </c>
      <c r="F394" t="s">
        <v>22</v>
      </c>
      <c r="G394" t="s">
        <v>22</v>
      </c>
      <c r="H394" t="s">
        <v>22</v>
      </c>
      <c r="I394" t="s">
        <v>22</v>
      </c>
      <c r="K394">
        <v>785</v>
      </c>
      <c r="M394" t="s">
        <v>45</v>
      </c>
      <c r="N394" s="41" t="s">
        <v>22</v>
      </c>
      <c r="O394" s="41" t="s">
        <v>22</v>
      </c>
      <c r="P394" s="41" t="s">
        <v>22</v>
      </c>
      <c r="R394" s="41" t="s">
        <v>22</v>
      </c>
      <c r="S394" s="41" t="s">
        <v>22</v>
      </c>
      <c r="T394" s="41" t="s">
        <v>22</v>
      </c>
      <c r="U394" s="41" t="s">
        <v>22</v>
      </c>
      <c r="V394">
        <v>20200608</v>
      </c>
      <c r="W394" s="9" t="s">
        <v>525</v>
      </c>
      <c r="X394" s="18">
        <v>2008</v>
      </c>
      <c r="Y394" t="s">
        <v>328</v>
      </c>
      <c r="Z394" t="s">
        <v>32</v>
      </c>
      <c r="AA394" t="s">
        <v>22</v>
      </c>
      <c r="AB394" s="41" t="s">
        <v>22</v>
      </c>
      <c r="AC394" t="s">
        <v>514</v>
      </c>
      <c r="AD394" s="41" t="s">
        <v>22</v>
      </c>
      <c r="AF394" s="41" t="s">
        <v>22</v>
      </c>
      <c r="AG394" s="41" t="s">
        <v>22</v>
      </c>
      <c r="AH394" s="41" t="s">
        <v>22</v>
      </c>
      <c r="AI394" s="41" t="s">
        <v>22</v>
      </c>
      <c r="AJ394" s="41" t="s">
        <v>22</v>
      </c>
      <c r="AK394" s="41" t="s">
        <v>22</v>
      </c>
      <c r="AL394" s="41" t="s">
        <v>22</v>
      </c>
      <c r="AM394" s="43" t="e">
        <f t="shared" si="204"/>
        <v>#VALUE!</v>
      </c>
      <c r="AN394" s="43" t="e">
        <f t="shared" si="205"/>
        <v>#VALUE!</v>
      </c>
      <c r="AO394" s="18" t="s">
        <v>524</v>
      </c>
      <c r="AT394" s="2">
        <f t="shared" si="206"/>
        <v>5</v>
      </c>
      <c r="AU394" s="45">
        <f t="shared" si="207"/>
        <v>-1.8446639625349381</v>
      </c>
      <c r="AV394" s="45" t="e">
        <f t="shared" si="208"/>
        <v>#VALUE!</v>
      </c>
      <c r="AW394" s="45" t="e">
        <f t="shared" si="209"/>
        <v>#VALUE!</v>
      </c>
      <c r="AX394" s="45" t="e">
        <f t="shared" si="210"/>
        <v>#VALUE!</v>
      </c>
      <c r="AY394" s="45" t="e">
        <f t="shared" si="211"/>
        <v>#VALUE!</v>
      </c>
      <c r="AZ394" s="45" t="e">
        <f t="shared" si="212"/>
        <v>#VALUE!</v>
      </c>
      <c r="BA394" s="45" t="e">
        <f t="shared" si="213"/>
        <v>#NUM!</v>
      </c>
      <c r="BB394" s="45" t="e">
        <f t="shared" si="214"/>
        <v>#NUM!</v>
      </c>
      <c r="BC394" s="45" t="e">
        <f t="shared" si="215"/>
        <v>#VALUE!</v>
      </c>
      <c r="BD394" s="45" t="e">
        <f t="shared" si="216"/>
        <v>#VALUE!</v>
      </c>
      <c r="BE394" s="45" t="e">
        <f t="shared" si="217"/>
        <v>#VALUE!</v>
      </c>
      <c r="BF394" s="45" t="e">
        <f t="shared" si="218"/>
        <v>#VALUE!</v>
      </c>
      <c r="BG394" s="45" t="e">
        <f t="shared" si="219"/>
        <v>#VALUE!</v>
      </c>
      <c r="BH394" s="45" t="e">
        <f t="shared" si="220"/>
        <v>#VALUE!</v>
      </c>
      <c r="BI394" s="43" t="e">
        <f t="shared" si="221"/>
        <v>#VALUE!</v>
      </c>
      <c r="BJ394" t="s">
        <v>520</v>
      </c>
      <c r="BK394" t="s">
        <v>521</v>
      </c>
      <c r="BL394" s="2" t="s">
        <v>974</v>
      </c>
      <c r="BM394" s="41" t="s">
        <v>22</v>
      </c>
      <c r="BN394" s="41">
        <v>6700000</v>
      </c>
      <c r="BO394" s="43" t="e">
        <f>BN394/(C394*1000000)</f>
        <v>#VALUE!</v>
      </c>
      <c r="BP394" s="41" t="s">
        <v>22</v>
      </c>
      <c r="BQ394" s="41" t="s">
        <v>22</v>
      </c>
      <c r="BR394" s="41">
        <v>438</v>
      </c>
      <c r="BS394" t="s">
        <v>522</v>
      </c>
      <c r="BT394" t="s">
        <v>974</v>
      </c>
      <c r="BU394" s="41" t="s">
        <v>22</v>
      </c>
      <c r="BV394" s="41">
        <v>20600000</v>
      </c>
      <c r="BW394" s="41" t="s">
        <v>22</v>
      </c>
      <c r="BX394" s="41" t="s">
        <v>22</v>
      </c>
      <c r="BY394" s="41" t="s">
        <v>22</v>
      </c>
      <c r="BZ394" s="41">
        <v>20000</v>
      </c>
      <c r="CA394" s="41">
        <v>20000</v>
      </c>
      <c r="CC394" t="s">
        <v>1008</v>
      </c>
      <c r="CE394" s="41">
        <f>LOG10(BN394)</f>
        <v>6.826074802700826</v>
      </c>
      <c r="CF394" s="41">
        <f>LOG10(BV394)</f>
        <v>7.3138672203691533</v>
      </c>
      <c r="CG394" s="41" t="e">
        <f t="shared" si="200"/>
        <v>#VALUE!</v>
      </c>
      <c r="CH394" s="41" t="e">
        <f t="shared" si="201"/>
        <v>#VALUE!</v>
      </c>
      <c r="CI394" s="41">
        <v>15000</v>
      </c>
      <c r="CJ394" s="41">
        <f t="shared" si="203"/>
        <v>4.1760912590556813</v>
      </c>
      <c r="CK394" s="18" t="s">
        <v>1272</v>
      </c>
      <c r="CL394" s="9" t="s">
        <v>1269</v>
      </c>
      <c r="CM394" s="18" t="s">
        <v>1283</v>
      </c>
      <c r="CN394" s="54">
        <v>4.3010299956639813</v>
      </c>
      <c r="CO394" s="18" t="s">
        <v>1283</v>
      </c>
    </row>
    <row r="395" spans="1:93" x14ac:dyDescent="0.25">
      <c r="A395" t="s">
        <v>266</v>
      </c>
      <c r="B395" s="41">
        <v>3.3300000000000003E-2</v>
      </c>
      <c r="C395" s="41" t="s">
        <v>22</v>
      </c>
      <c r="D395" s="41" t="e">
        <f>0.001*(B395*10^6)/(C395*0.001*100^3)</f>
        <v>#VALUE!</v>
      </c>
      <c r="E395" s="41" t="s">
        <v>22</v>
      </c>
      <c r="F395" t="s">
        <v>22</v>
      </c>
      <c r="G395" t="s">
        <v>22</v>
      </c>
      <c r="H395" t="s">
        <v>22</v>
      </c>
      <c r="I395" t="s">
        <v>22</v>
      </c>
      <c r="K395">
        <v>785</v>
      </c>
      <c r="M395" t="s">
        <v>45</v>
      </c>
      <c r="N395" s="41" t="s">
        <v>22</v>
      </c>
      <c r="O395" s="41" t="s">
        <v>22</v>
      </c>
      <c r="P395" s="41" t="s">
        <v>22</v>
      </c>
      <c r="R395" s="41" t="s">
        <v>22</v>
      </c>
      <c r="S395" s="41" t="s">
        <v>22</v>
      </c>
      <c r="T395" s="41" t="s">
        <v>22</v>
      </c>
      <c r="U395" s="41" t="s">
        <v>22</v>
      </c>
      <c r="V395">
        <v>20200608</v>
      </c>
      <c r="W395" s="9" t="s">
        <v>526</v>
      </c>
      <c r="X395" s="18">
        <v>2008</v>
      </c>
      <c r="Y395" t="s">
        <v>59</v>
      </c>
      <c r="Z395" t="s">
        <v>815</v>
      </c>
      <c r="AA395" t="s">
        <v>22</v>
      </c>
      <c r="AB395" s="41" t="s">
        <v>22</v>
      </c>
      <c r="AC395" t="s">
        <v>514</v>
      </c>
      <c r="AD395" s="41" t="s">
        <v>22</v>
      </c>
      <c r="AF395" s="41" t="s">
        <v>22</v>
      </c>
      <c r="AG395" s="41" t="s">
        <v>22</v>
      </c>
      <c r="AH395" s="41" t="s">
        <v>22</v>
      </c>
      <c r="AI395" s="41" t="s">
        <v>22</v>
      </c>
      <c r="AJ395" s="41" t="s">
        <v>22</v>
      </c>
      <c r="AK395" s="41" t="s">
        <v>22</v>
      </c>
      <c r="AL395" s="41" t="s">
        <v>22</v>
      </c>
      <c r="AM395" s="43" t="e">
        <f t="shared" si="204"/>
        <v>#VALUE!</v>
      </c>
      <c r="AN395" s="43" t="e">
        <f t="shared" si="205"/>
        <v>#VALUE!</v>
      </c>
      <c r="AO395" s="18" t="s">
        <v>524</v>
      </c>
      <c r="AT395" s="2">
        <f t="shared" si="206"/>
        <v>5</v>
      </c>
      <c r="AU395" s="45">
        <f t="shared" si="207"/>
        <v>-1.47755576649368</v>
      </c>
      <c r="AV395" s="45" t="e">
        <f t="shared" si="208"/>
        <v>#VALUE!</v>
      </c>
      <c r="AW395" s="45" t="e">
        <f t="shared" si="209"/>
        <v>#VALUE!</v>
      </c>
      <c r="AX395" s="45" t="e">
        <f t="shared" si="210"/>
        <v>#VALUE!</v>
      </c>
      <c r="AY395" s="45" t="e">
        <f t="shared" si="211"/>
        <v>#VALUE!</v>
      </c>
      <c r="AZ395" s="45" t="e">
        <f t="shared" si="212"/>
        <v>#VALUE!</v>
      </c>
      <c r="BA395" s="45" t="e">
        <f t="shared" si="213"/>
        <v>#NUM!</v>
      </c>
      <c r="BB395" s="45" t="e">
        <f t="shared" si="214"/>
        <v>#NUM!</v>
      </c>
      <c r="BC395" s="45" t="e">
        <f t="shared" si="215"/>
        <v>#VALUE!</v>
      </c>
      <c r="BD395" s="45" t="e">
        <f t="shared" si="216"/>
        <v>#VALUE!</v>
      </c>
      <c r="BE395" s="45" t="e">
        <f t="shared" si="217"/>
        <v>#VALUE!</v>
      </c>
      <c r="BF395" s="45" t="e">
        <f t="shared" si="218"/>
        <v>#VALUE!</v>
      </c>
      <c r="BG395" s="45" t="e">
        <f t="shared" si="219"/>
        <v>#VALUE!</v>
      </c>
      <c r="BH395" s="45" t="e">
        <f t="shared" si="220"/>
        <v>#VALUE!</v>
      </c>
      <c r="BI395" s="43" t="e">
        <f t="shared" si="221"/>
        <v>#VALUE!</v>
      </c>
      <c r="BJ395" t="s">
        <v>520</v>
      </c>
      <c r="BK395" t="s">
        <v>521</v>
      </c>
      <c r="BL395" s="2" t="s">
        <v>974</v>
      </c>
      <c r="BM395" s="41" t="s">
        <v>22</v>
      </c>
      <c r="BN395" s="41">
        <v>11000000</v>
      </c>
      <c r="BO395" s="43" t="e">
        <f>BN395/(C395*1000000)</f>
        <v>#VALUE!</v>
      </c>
      <c r="BP395" s="41" t="s">
        <v>22</v>
      </c>
      <c r="BQ395" s="41" t="s">
        <v>22</v>
      </c>
      <c r="BR395" s="41">
        <v>438</v>
      </c>
      <c r="BS395" t="s">
        <v>522</v>
      </c>
      <c r="BT395" t="s">
        <v>974</v>
      </c>
      <c r="BU395" s="41" t="s">
        <v>22</v>
      </c>
      <c r="BV395" s="41">
        <v>31000000</v>
      </c>
      <c r="BW395" s="41" t="s">
        <v>22</v>
      </c>
      <c r="BX395" s="41" t="s">
        <v>22</v>
      </c>
      <c r="BY395" s="41" t="s">
        <v>22</v>
      </c>
      <c r="BZ395" s="41">
        <v>20000</v>
      </c>
      <c r="CA395" s="41">
        <v>20000</v>
      </c>
      <c r="CC395" t="s">
        <v>1008</v>
      </c>
      <c r="CE395" s="41">
        <f>LOG10(BN395)</f>
        <v>7.0413926851582254</v>
      </c>
      <c r="CF395" s="41">
        <f>LOG10(BV395)</f>
        <v>7.4913616938342731</v>
      </c>
      <c r="CG395" s="41" t="e">
        <f t="shared" si="200"/>
        <v>#VALUE!</v>
      </c>
      <c r="CH395" s="41" t="e">
        <f t="shared" si="201"/>
        <v>#VALUE!</v>
      </c>
      <c r="CI395" s="41">
        <v>15000</v>
      </c>
      <c r="CJ395" s="41">
        <f t="shared" si="203"/>
        <v>4.1760912590556813</v>
      </c>
      <c r="CK395" s="18" t="s">
        <v>1272</v>
      </c>
      <c r="CL395" s="9" t="s">
        <v>1269</v>
      </c>
      <c r="CM395" s="18" t="s">
        <v>1283</v>
      </c>
      <c r="CN395" s="54">
        <v>4.3010299956639813</v>
      </c>
      <c r="CO395" s="18" t="s">
        <v>1283</v>
      </c>
    </row>
    <row r="396" spans="1:93" x14ac:dyDescent="0.25">
      <c r="A396" t="s">
        <v>315</v>
      </c>
      <c r="B396" s="41">
        <v>0.01</v>
      </c>
      <c r="C396" s="41" t="s">
        <v>22</v>
      </c>
      <c r="D396" s="41" t="e">
        <f>0.001*(B396*10^6)/(C396*0.001*100^3)</f>
        <v>#VALUE!</v>
      </c>
      <c r="E396" s="41" t="s">
        <v>22</v>
      </c>
      <c r="F396" t="s">
        <v>22</v>
      </c>
      <c r="G396" t="s">
        <v>22</v>
      </c>
      <c r="H396" t="s">
        <v>22</v>
      </c>
      <c r="I396" t="s">
        <v>22</v>
      </c>
      <c r="K396">
        <v>785</v>
      </c>
      <c r="M396" t="s">
        <v>45</v>
      </c>
      <c r="N396" s="41" t="s">
        <v>22</v>
      </c>
      <c r="O396" s="41" t="s">
        <v>22</v>
      </c>
      <c r="P396" s="41" t="s">
        <v>22</v>
      </c>
      <c r="R396" s="41" t="s">
        <v>22</v>
      </c>
      <c r="S396" s="41" t="s">
        <v>22</v>
      </c>
      <c r="T396" s="41" t="s">
        <v>22</v>
      </c>
      <c r="U396" s="41" t="s">
        <v>22</v>
      </c>
      <c r="V396">
        <v>20200608</v>
      </c>
      <c r="W396" s="9" t="s">
        <v>816</v>
      </c>
      <c r="X396" s="18">
        <v>2008</v>
      </c>
      <c r="Y396" t="s">
        <v>328</v>
      </c>
      <c r="Z396" t="s">
        <v>32</v>
      </c>
      <c r="AA396" t="s">
        <v>22</v>
      </c>
      <c r="AB396" s="41" t="s">
        <v>22</v>
      </c>
      <c r="AC396" t="s">
        <v>514</v>
      </c>
      <c r="AD396" s="41" t="s">
        <v>22</v>
      </c>
      <c r="AF396" s="41" t="s">
        <v>22</v>
      </c>
      <c r="AG396" s="41" t="s">
        <v>22</v>
      </c>
      <c r="AH396" s="41" t="s">
        <v>22</v>
      </c>
      <c r="AI396" s="41" t="s">
        <v>22</v>
      </c>
      <c r="AJ396" s="41" t="s">
        <v>22</v>
      </c>
      <c r="AK396" s="41" t="s">
        <v>22</v>
      </c>
      <c r="AL396" s="41" t="s">
        <v>22</v>
      </c>
      <c r="AM396" s="43" t="e">
        <f t="shared" si="204"/>
        <v>#VALUE!</v>
      </c>
      <c r="AN396" s="43" t="e">
        <f t="shared" si="205"/>
        <v>#VALUE!</v>
      </c>
      <c r="AO396" s="18" t="s">
        <v>524</v>
      </c>
      <c r="AT396" s="2">
        <f t="shared" si="206"/>
        <v>5</v>
      </c>
      <c r="AU396" s="45">
        <f t="shared" si="207"/>
        <v>-2</v>
      </c>
      <c r="AV396" s="45" t="e">
        <f t="shared" si="208"/>
        <v>#VALUE!</v>
      </c>
      <c r="AW396" s="45" t="e">
        <f t="shared" si="209"/>
        <v>#VALUE!</v>
      </c>
      <c r="AX396" s="45" t="e">
        <f t="shared" si="210"/>
        <v>#VALUE!</v>
      </c>
      <c r="AY396" s="45" t="e">
        <f t="shared" si="211"/>
        <v>#VALUE!</v>
      </c>
      <c r="AZ396" s="45" t="e">
        <f t="shared" si="212"/>
        <v>#VALUE!</v>
      </c>
      <c r="BA396" s="45" t="e">
        <f t="shared" si="213"/>
        <v>#NUM!</v>
      </c>
      <c r="BB396" s="45" t="e">
        <f t="shared" si="214"/>
        <v>#NUM!</v>
      </c>
      <c r="BC396" s="45" t="e">
        <f t="shared" si="215"/>
        <v>#VALUE!</v>
      </c>
      <c r="BD396" s="45" t="e">
        <f t="shared" si="216"/>
        <v>#VALUE!</v>
      </c>
      <c r="BE396" s="45" t="e">
        <f t="shared" si="217"/>
        <v>#VALUE!</v>
      </c>
      <c r="BF396" s="45" t="e">
        <f t="shared" si="218"/>
        <v>#VALUE!</v>
      </c>
      <c r="BG396" s="45" t="e">
        <f t="shared" si="219"/>
        <v>#VALUE!</v>
      </c>
      <c r="BH396" s="45" t="e">
        <f t="shared" si="220"/>
        <v>#VALUE!</v>
      </c>
      <c r="BI396" s="43" t="e">
        <f t="shared" si="221"/>
        <v>#VALUE!</v>
      </c>
      <c r="BJ396" t="s">
        <v>520</v>
      </c>
      <c r="BK396" t="s">
        <v>521</v>
      </c>
      <c r="BL396" s="2" t="s">
        <v>974</v>
      </c>
      <c r="BM396" s="41" t="s">
        <v>22</v>
      </c>
      <c r="BN396" s="41">
        <v>6000000</v>
      </c>
      <c r="BO396" s="43" t="e">
        <f>BN396/(C396*1000000)</f>
        <v>#VALUE!</v>
      </c>
      <c r="BP396" s="41" t="s">
        <v>22</v>
      </c>
      <c r="BQ396" s="41" t="s">
        <v>22</v>
      </c>
      <c r="BR396" s="41">
        <v>567</v>
      </c>
      <c r="BS396" t="s">
        <v>522</v>
      </c>
      <c r="BT396" t="s">
        <v>974</v>
      </c>
      <c r="BU396" s="41" t="s">
        <v>22</v>
      </c>
      <c r="BV396" s="41">
        <v>23200000</v>
      </c>
      <c r="BW396" s="41" t="s">
        <v>22</v>
      </c>
      <c r="BX396" s="41" t="s">
        <v>22</v>
      </c>
      <c r="BY396" s="41" t="s">
        <v>22</v>
      </c>
      <c r="BZ396" s="41">
        <v>20000</v>
      </c>
      <c r="CA396" s="41">
        <v>20000</v>
      </c>
      <c r="CC396" t="s">
        <v>1008</v>
      </c>
      <c r="CE396" s="41">
        <f>LOG10(BN396)</f>
        <v>6.7781512503836439</v>
      </c>
      <c r="CF396" s="41">
        <f>LOG10(BV396)</f>
        <v>7.3654879848908994</v>
      </c>
      <c r="CG396" s="41" t="e">
        <f t="shared" si="200"/>
        <v>#VALUE!</v>
      </c>
      <c r="CH396" s="41" t="e">
        <f t="shared" si="201"/>
        <v>#VALUE!</v>
      </c>
      <c r="CI396" s="41">
        <v>25000</v>
      </c>
      <c r="CJ396" s="41">
        <f t="shared" si="203"/>
        <v>4.3979400086720375</v>
      </c>
      <c r="CK396" t="s">
        <v>1273</v>
      </c>
      <c r="CL396" s="9" t="s">
        <v>1269</v>
      </c>
      <c r="CM396" s="18" t="s">
        <v>1283</v>
      </c>
      <c r="CN396" s="54">
        <v>4.3010299956639813</v>
      </c>
      <c r="CO396" s="18" t="s">
        <v>1283</v>
      </c>
    </row>
    <row r="397" spans="1:93" x14ac:dyDescent="0.25">
      <c r="A397" t="s">
        <v>315</v>
      </c>
      <c r="B397" s="41">
        <v>1E-3</v>
      </c>
      <c r="C397" s="41" t="s">
        <v>22</v>
      </c>
      <c r="D397" s="41" t="e">
        <f>0.001*(B397*10^6)/(C397*0.001*100^3)</f>
        <v>#VALUE!</v>
      </c>
      <c r="E397" s="41" t="s">
        <v>22</v>
      </c>
      <c r="F397" t="s">
        <v>22</v>
      </c>
      <c r="G397" t="s">
        <v>22</v>
      </c>
      <c r="H397" t="s">
        <v>22</v>
      </c>
      <c r="I397" t="s">
        <v>22</v>
      </c>
      <c r="K397">
        <v>785</v>
      </c>
      <c r="M397" t="s">
        <v>45</v>
      </c>
      <c r="N397" s="41" t="s">
        <v>22</v>
      </c>
      <c r="O397" s="41" t="s">
        <v>22</v>
      </c>
      <c r="P397" s="41" t="s">
        <v>22</v>
      </c>
      <c r="R397" s="41" t="s">
        <v>22</v>
      </c>
      <c r="S397" s="41" t="s">
        <v>22</v>
      </c>
      <c r="T397" s="41" t="s">
        <v>22</v>
      </c>
      <c r="U397" s="41" t="s">
        <v>22</v>
      </c>
      <c r="V397">
        <v>20200608</v>
      </c>
      <c r="W397" s="9" t="s">
        <v>817</v>
      </c>
      <c r="X397" s="18">
        <v>2008</v>
      </c>
      <c r="Y397" t="s">
        <v>328</v>
      </c>
      <c r="Z397" t="s">
        <v>32</v>
      </c>
      <c r="AA397" t="s">
        <v>22</v>
      </c>
      <c r="AB397" s="41" t="s">
        <v>22</v>
      </c>
      <c r="AC397" t="s">
        <v>514</v>
      </c>
      <c r="AD397" s="41" t="s">
        <v>22</v>
      </c>
      <c r="AF397" s="41" t="s">
        <v>22</v>
      </c>
      <c r="AG397" s="41" t="s">
        <v>22</v>
      </c>
      <c r="AH397" s="41" t="s">
        <v>22</v>
      </c>
      <c r="AI397" s="41" t="s">
        <v>22</v>
      </c>
      <c r="AJ397" s="41" t="s">
        <v>22</v>
      </c>
      <c r="AK397" s="41" t="s">
        <v>22</v>
      </c>
      <c r="AL397" s="41" t="s">
        <v>22</v>
      </c>
      <c r="AM397" s="43" t="e">
        <f t="shared" si="204"/>
        <v>#VALUE!</v>
      </c>
      <c r="AN397" s="43" t="e">
        <f t="shared" si="205"/>
        <v>#VALUE!</v>
      </c>
      <c r="AO397" s="18" t="s">
        <v>524</v>
      </c>
      <c r="AT397" s="2">
        <f t="shared" si="206"/>
        <v>5</v>
      </c>
      <c r="AU397" s="45">
        <f t="shared" si="207"/>
        <v>-3</v>
      </c>
      <c r="AV397" s="45" t="e">
        <f t="shared" si="208"/>
        <v>#VALUE!</v>
      </c>
      <c r="AW397" s="45" t="e">
        <f t="shared" si="209"/>
        <v>#VALUE!</v>
      </c>
      <c r="AX397" s="45" t="e">
        <f t="shared" si="210"/>
        <v>#VALUE!</v>
      </c>
      <c r="AY397" s="45" t="e">
        <f t="shared" si="211"/>
        <v>#VALUE!</v>
      </c>
      <c r="AZ397" s="45" t="e">
        <f t="shared" si="212"/>
        <v>#VALUE!</v>
      </c>
      <c r="BA397" s="45" t="e">
        <f t="shared" si="213"/>
        <v>#NUM!</v>
      </c>
      <c r="BB397" s="45" t="e">
        <f t="shared" si="214"/>
        <v>#NUM!</v>
      </c>
      <c r="BC397" s="45" t="e">
        <f t="shared" si="215"/>
        <v>#VALUE!</v>
      </c>
      <c r="BD397" s="45" t="e">
        <f t="shared" si="216"/>
        <v>#VALUE!</v>
      </c>
      <c r="BE397" s="45" t="e">
        <f t="shared" si="217"/>
        <v>#VALUE!</v>
      </c>
      <c r="BF397" s="45" t="e">
        <f t="shared" si="218"/>
        <v>#VALUE!</v>
      </c>
      <c r="BG397" s="45" t="e">
        <f t="shared" si="219"/>
        <v>#VALUE!</v>
      </c>
      <c r="BH397" s="45" t="e">
        <f t="shared" si="220"/>
        <v>#VALUE!</v>
      </c>
      <c r="BI397" s="43" t="e">
        <f t="shared" si="221"/>
        <v>#VALUE!</v>
      </c>
      <c r="BJ397" t="s">
        <v>520</v>
      </c>
      <c r="BK397" t="s">
        <v>521</v>
      </c>
      <c r="BL397" s="2" t="s">
        <v>974</v>
      </c>
      <c r="BM397" s="41" t="s">
        <v>22</v>
      </c>
      <c r="BN397" s="41">
        <v>2900000</v>
      </c>
      <c r="BO397" s="43" t="e">
        <f>BN397/(C397*1000000)</f>
        <v>#VALUE!</v>
      </c>
      <c r="BP397" s="41" t="s">
        <v>22</v>
      </c>
      <c r="BQ397" s="41" t="s">
        <v>22</v>
      </c>
      <c r="BR397" s="41">
        <v>542</v>
      </c>
      <c r="BS397" t="s">
        <v>522</v>
      </c>
      <c r="BT397" t="s">
        <v>974</v>
      </c>
      <c r="BU397" s="41" t="s">
        <v>22</v>
      </c>
      <c r="BV397" s="41">
        <v>11000000</v>
      </c>
      <c r="BW397" s="41" t="s">
        <v>22</v>
      </c>
      <c r="BX397" s="41" t="s">
        <v>22</v>
      </c>
      <c r="BY397" s="41" t="s">
        <v>22</v>
      </c>
      <c r="BZ397" s="41">
        <v>20000</v>
      </c>
      <c r="CA397" s="41">
        <v>20000</v>
      </c>
      <c r="CC397" t="s">
        <v>1008</v>
      </c>
      <c r="CE397" s="41">
        <f>LOG10(BN397)</f>
        <v>6.4623979978989565</v>
      </c>
      <c r="CF397" s="41">
        <f>LOG10(BV397)</f>
        <v>7.0413926851582254</v>
      </c>
      <c r="CG397" s="41" t="e">
        <f t="shared" si="200"/>
        <v>#VALUE!</v>
      </c>
      <c r="CH397" s="41" t="e">
        <f t="shared" si="201"/>
        <v>#VALUE!</v>
      </c>
      <c r="CI397" s="41">
        <v>25000</v>
      </c>
      <c r="CJ397" s="41">
        <f t="shared" si="203"/>
        <v>4.3979400086720375</v>
      </c>
      <c r="CK397" s="18" t="s">
        <v>1273</v>
      </c>
      <c r="CL397" s="9" t="s">
        <v>1269</v>
      </c>
      <c r="CM397" s="18" t="s">
        <v>1283</v>
      </c>
      <c r="CN397" s="54">
        <v>4.3010299956639813</v>
      </c>
      <c r="CO397" s="18" t="s">
        <v>1283</v>
      </c>
    </row>
    <row r="398" spans="1:93" x14ac:dyDescent="0.25">
      <c r="A398" t="s">
        <v>731</v>
      </c>
      <c r="B398" s="41" t="s">
        <v>22</v>
      </c>
      <c r="C398" s="41">
        <v>1.1000000000000001</v>
      </c>
      <c r="D398" s="41" t="e">
        <f>0.001*(B398*10^6)/(C398*0.001*100^3)</f>
        <v>#VALUE!</v>
      </c>
      <c r="E398" s="41" t="s">
        <v>22</v>
      </c>
      <c r="F398" t="s">
        <v>22</v>
      </c>
      <c r="G398" t="s">
        <v>22</v>
      </c>
      <c r="H398" t="s">
        <v>22</v>
      </c>
      <c r="I398" t="s">
        <v>22</v>
      </c>
      <c r="K398">
        <v>785</v>
      </c>
      <c r="M398" t="s">
        <v>45</v>
      </c>
      <c r="N398" s="41" t="s">
        <v>22</v>
      </c>
      <c r="O398" s="41" t="s">
        <v>22</v>
      </c>
      <c r="P398" s="41" t="s">
        <v>22</v>
      </c>
      <c r="R398" s="41" t="s">
        <v>22</v>
      </c>
      <c r="S398" s="41" t="s">
        <v>22</v>
      </c>
      <c r="T398" s="41" t="s">
        <v>22</v>
      </c>
      <c r="U398" s="41" t="s">
        <v>22</v>
      </c>
      <c r="V398">
        <v>20200608</v>
      </c>
      <c r="W398" s="9" t="s">
        <v>945</v>
      </c>
      <c r="X398" s="18">
        <v>2008</v>
      </c>
      <c r="Y398" t="s">
        <v>960</v>
      </c>
      <c r="Z398" t="s">
        <v>32</v>
      </c>
      <c r="AA398" t="s">
        <v>22</v>
      </c>
      <c r="AB398" s="41" t="s">
        <v>22</v>
      </c>
      <c r="AC398" t="s">
        <v>514</v>
      </c>
      <c r="AD398" s="41">
        <v>2.5000000000000001E-2</v>
      </c>
      <c r="AF398" s="41" t="s">
        <v>22</v>
      </c>
      <c r="AG398" s="41" t="s">
        <v>22</v>
      </c>
      <c r="AH398" s="41" t="s">
        <v>22</v>
      </c>
      <c r="AI398" s="41" t="s">
        <v>22</v>
      </c>
      <c r="AJ398" s="41" t="s">
        <v>22</v>
      </c>
      <c r="AK398" s="41" t="s">
        <v>22</v>
      </c>
      <c r="AL398" s="41" t="s">
        <v>22</v>
      </c>
      <c r="AM398" s="43" t="e">
        <f t="shared" si="204"/>
        <v>#VALUE!</v>
      </c>
      <c r="AN398" s="43" t="e">
        <f t="shared" si="205"/>
        <v>#VALUE!</v>
      </c>
      <c r="AO398" s="18" t="s">
        <v>524</v>
      </c>
      <c r="AT398" s="2">
        <f t="shared" si="206"/>
        <v>5</v>
      </c>
      <c r="AU398" s="45" t="e">
        <f t="shared" si="207"/>
        <v>#VALUE!</v>
      </c>
      <c r="AV398" s="45">
        <f t="shared" si="208"/>
        <v>4.1392685158225077E-2</v>
      </c>
      <c r="AW398" s="45" t="e">
        <f t="shared" si="209"/>
        <v>#VALUE!</v>
      </c>
      <c r="AX398" s="45" t="e">
        <f t="shared" si="210"/>
        <v>#VALUE!</v>
      </c>
      <c r="AY398" s="45" t="e">
        <f t="shared" si="211"/>
        <v>#VALUE!</v>
      </c>
      <c r="AZ398" s="45" t="e">
        <f t="shared" si="212"/>
        <v>#VALUE!</v>
      </c>
      <c r="BA398" s="45" t="e">
        <f t="shared" si="213"/>
        <v>#NUM!</v>
      </c>
      <c r="BB398" s="45" t="e">
        <f t="shared" si="214"/>
        <v>#NUM!</v>
      </c>
      <c r="BC398" s="45" t="e">
        <f t="shared" si="215"/>
        <v>#VALUE!</v>
      </c>
      <c r="BD398" s="45">
        <f t="shared" si="216"/>
        <v>-1.6020599913279623</v>
      </c>
      <c r="BE398" s="45" t="e">
        <f t="shared" si="217"/>
        <v>#VALUE!</v>
      </c>
      <c r="BF398" s="45" t="e">
        <f t="shared" si="218"/>
        <v>#VALUE!</v>
      </c>
      <c r="BG398" s="45" t="e">
        <f t="shared" si="219"/>
        <v>#VALUE!</v>
      </c>
      <c r="BH398" s="45" t="e">
        <f t="shared" si="220"/>
        <v>#VALUE!</v>
      </c>
      <c r="BI398" s="43" t="e">
        <f t="shared" si="221"/>
        <v>#VALUE!</v>
      </c>
      <c r="BJ398" t="s">
        <v>520</v>
      </c>
      <c r="BK398" t="s">
        <v>521</v>
      </c>
      <c r="BL398" s="2" t="s">
        <v>974</v>
      </c>
      <c r="BM398" s="41" t="s">
        <v>22</v>
      </c>
      <c r="BN398" s="41">
        <v>16000000000</v>
      </c>
      <c r="BO398" s="43">
        <f>BN398/(C398*1000000)</f>
        <v>14545.454545454546</v>
      </c>
      <c r="BP398" s="41" t="s">
        <v>22</v>
      </c>
      <c r="BQ398" s="41" t="s">
        <v>22</v>
      </c>
      <c r="BR398" s="41" t="s">
        <v>22</v>
      </c>
      <c r="BS398" t="s">
        <v>522</v>
      </c>
      <c r="BT398" t="s">
        <v>974</v>
      </c>
      <c r="BU398" s="41" t="s">
        <v>22</v>
      </c>
      <c r="BV398" s="41">
        <v>48000000000</v>
      </c>
      <c r="BW398" s="41" t="s">
        <v>22</v>
      </c>
      <c r="BX398" s="41" t="s">
        <v>22</v>
      </c>
      <c r="BY398" s="41" t="s">
        <v>22</v>
      </c>
      <c r="BZ398" s="41">
        <v>4</v>
      </c>
      <c r="CA398" s="41">
        <v>4</v>
      </c>
      <c r="CC398" t="s">
        <v>1008</v>
      </c>
      <c r="CE398" s="41">
        <f>LOG10(BN398)</f>
        <v>10.204119982655925</v>
      </c>
      <c r="CF398" s="41">
        <f>LOG10(BV398)</f>
        <v>10.681241237375588</v>
      </c>
      <c r="CG398" s="41">
        <f t="shared" si="200"/>
        <v>25</v>
      </c>
      <c r="CH398" s="41">
        <f t="shared" si="201"/>
        <v>1.3979400086720377</v>
      </c>
      <c r="CI398" s="41">
        <f t="shared" ref="CI398:CI416" si="222">IF(ISNUMBER(CG398),CG398,U398)</f>
        <v>25</v>
      </c>
      <c r="CJ398" s="41">
        <f t="shared" si="203"/>
        <v>1.3979400086720377</v>
      </c>
      <c r="CL398" s="9" t="s">
        <v>1269</v>
      </c>
      <c r="CM398" s="18" t="s">
        <v>1285</v>
      </c>
      <c r="CN398" s="54">
        <v>0.6020599913279624</v>
      </c>
      <c r="CO398" s="18" t="s">
        <v>1286</v>
      </c>
    </row>
    <row r="399" spans="1:93" x14ac:dyDescent="0.25">
      <c r="A399" t="s">
        <v>352</v>
      </c>
      <c r="B399" s="41" t="s">
        <v>22</v>
      </c>
      <c r="C399" s="41">
        <v>1.74</v>
      </c>
      <c r="D399" s="41" t="s">
        <v>22</v>
      </c>
      <c r="E399" s="41" t="s">
        <v>22</v>
      </c>
      <c r="F399" t="s">
        <v>22</v>
      </c>
      <c r="G399" t="s">
        <v>22</v>
      </c>
      <c r="H399" t="s">
        <v>22</v>
      </c>
      <c r="I399" t="s">
        <v>22</v>
      </c>
      <c r="J399" s="41" t="s">
        <v>22</v>
      </c>
      <c r="K399" t="s">
        <v>22</v>
      </c>
      <c r="L399" s="41" t="s">
        <v>22</v>
      </c>
      <c r="M399" t="s">
        <v>23</v>
      </c>
      <c r="N399" s="41" t="s">
        <v>22</v>
      </c>
      <c r="O399" s="41" t="s">
        <v>22</v>
      </c>
      <c r="P399" s="41" t="s">
        <v>22</v>
      </c>
      <c r="R399" s="41" t="s">
        <v>22</v>
      </c>
      <c r="S399" s="41" t="s">
        <v>22</v>
      </c>
      <c r="T399" s="41" t="s">
        <v>357</v>
      </c>
      <c r="U399" s="41">
        <v>18.5</v>
      </c>
      <c r="V399">
        <v>20191229</v>
      </c>
      <c r="X399" s="18">
        <v>2009</v>
      </c>
      <c r="Y399" t="s">
        <v>22</v>
      </c>
      <c r="Z399" t="s">
        <v>22</v>
      </c>
      <c r="AC399" t="s">
        <v>514</v>
      </c>
      <c r="AD399" s="41" t="s">
        <v>22</v>
      </c>
      <c r="AE399" s="41" t="s">
        <v>22</v>
      </c>
      <c r="AF399" s="41" t="s">
        <v>22</v>
      </c>
      <c r="AG399" s="41" t="s">
        <v>22</v>
      </c>
      <c r="AH399" s="41" t="s">
        <v>22</v>
      </c>
      <c r="AI399" s="41" t="s">
        <v>22</v>
      </c>
      <c r="AJ399" s="41" t="s">
        <v>22</v>
      </c>
      <c r="AK399" s="41" t="s">
        <v>22</v>
      </c>
      <c r="AL399" s="41" t="s">
        <v>22</v>
      </c>
      <c r="AM399" s="43" t="e">
        <f t="shared" si="204"/>
        <v>#VALUE!</v>
      </c>
      <c r="AN399" s="43" t="e">
        <f t="shared" si="205"/>
        <v>#VALUE!</v>
      </c>
      <c r="AO399" s="3" t="s">
        <v>987</v>
      </c>
      <c r="AT399" s="2">
        <f t="shared" si="206"/>
        <v>1</v>
      </c>
      <c r="AU399" s="45" t="e">
        <f t="shared" si="207"/>
        <v>#VALUE!</v>
      </c>
      <c r="AV399" s="45">
        <f t="shared" si="208"/>
        <v>0.24054924828259971</v>
      </c>
      <c r="AW399" s="45" t="e">
        <f t="shared" si="209"/>
        <v>#VALUE!</v>
      </c>
      <c r="AX399" s="45" t="e">
        <f t="shared" si="210"/>
        <v>#VALUE!</v>
      </c>
      <c r="AY399" s="45" t="e">
        <f t="shared" si="211"/>
        <v>#VALUE!</v>
      </c>
      <c r="AZ399" s="45" t="e">
        <f t="shared" si="212"/>
        <v>#VALUE!</v>
      </c>
      <c r="BA399" s="45" t="e">
        <f t="shared" si="213"/>
        <v>#VALUE!</v>
      </c>
      <c r="BB399" s="45" t="e">
        <f t="shared" si="214"/>
        <v>#VALUE!</v>
      </c>
      <c r="BC399" s="45">
        <f t="shared" si="215"/>
        <v>1.2671717284030137</v>
      </c>
      <c r="BD399" s="45" t="e">
        <f t="shared" si="216"/>
        <v>#VALUE!</v>
      </c>
      <c r="BE399" s="45" t="e">
        <f t="shared" si="217"/>
        <v>#VALUE!</v>
      </c>
      <c r="BF399" s="45" t="e">
        <f t="shared" si="218"/>
        <v>#VALUE!</v>
      </c>
      <c r="BG399" s="45" t="e">
        <f t="shared" si="219"/>
        <v>#VALUE!</v>
      </c>
      <c r="BH399" s="45" t="e">
        <f t="shared" si="220"/>
        <v>#NUM!</v>
      </c>
      <c r="BI399" s="43" t="e">
        <f t="shared" si="221"/>
        <v>#VALUE!</v>
      </c>
      <c r="CA399" s="41" t="s">
        <v>22</v>
      </c>
      <c r="CC399" t="s">
        <v>22</v>
      </c>
      <c r="CE399" s="41" t="s">
        <v>22</v>
      </c>
      <c r="CF399" s="41" t="s">
        <v>22</v>
      </c>
      <c r="CG399" s="41" t="e">
        <f t="shared" si="200"/>
        <v>#VALUE!</v>
      </c>
      <c r="CH399" s="41" t="e">
        <f t="shared" si="201"/>
        <v>#VALUE!</v>
      </c>
      <c r="CI399" s="41">
        <f t="shared" si="222"/>
        <v>18.5</v>
      </c>
      <c r="CJ399" s="41">
        <f t="shared" si="203"/>
        <v>1.2671717284030137</v>
      </c>
      <c r="CL399" s="9" t="s">
        <v>1269</v>
      </c>
      <c r="CM399" s="18" t="s">
        <v>1285</v>
      </c>
      <c r="CN399" s="54" t="s">
        <v>1284</v>
      </c>
      <c r="CO399" s="18" t="s">
        <v>1284</v>
      </c>
    </row>
    <row r="400" spans="1:93" x14ac:dyDescent="0.25">
      <c r="A400" t="s">
        <v>731</v>
      </c>
      <c r="B400" s="41">
        <v>3</v>
      </c>
      <c r="C400" s="41">
        <v>1.1000000000000001</v>
      </c>
      <c r="D400" s="41">
        <f>0.001*(B400*10^6)/(C400*0.001*100^3)</f>
        <v>2.7272727272727271</v>
      </c>
      <c r="E400" s="41" t="s">
        <v>22</v>
      </c>
      <c r="F400" t="s">
        <v>22</v>
      </c>
      <c r="G400" t="s">
        <v>22</v>
      </c>
      <c r="H400" t="s">
        <v>22</v>
      </c>
      <c r="I400" t="s">
        <v>22</v>
      </c>
      <c r="J400" s="41" t="s">
        <v>22</v>
      </c>
      <c r="K400" t="s">
        <v>22</v>
      </c>
      <c r="L400" s="41" t="e">
        <f>IF((10^-12)*J400*K400^4=0,"",(10^-12)*J400*K400^4)</f>
        <v>#VALUE!</v>
      </c>
      <c r="M400" t="s">
        <v>23</v>
      </c>
      <c r="N400" s="41" t="s">
        <v>22</v>
      </c>
      <c r="O400" s="41" t="s">
        <v>22</v>
      </c>
      <c r="P400" s="41" t="s">
        <v>22</v>
      </c>
      <c r="R400" s="41" t="s">
        <v>22</v>
      </c>
      <c r="S400" s="41" t="s">
        <v>22</v>
      </c>
      <c r="T400" s="41" t="s">
        <v>903</v>
      </c>
      <c r="U400" s="41">
        <v>1.5</v>
      </c>
      <c r="V400">
        <v>20200512</v>
      </c>
      <c r="W400" s="16" t="s">
        <v>930</v>
      </c>
      <c r="X400" s="18">
        <v>2009</v>
      </c>
      <c r="Y400" t="s">
        <v>527</v>
      </c>
      <c r="Z400" t="s">
        <v>32</v>
      </c>
      <c r="AC400" t="s">
        <v>514</v>
      </c>
      <c r="AD400" s="41" t="s">
        <v>22</v>
      </c>
      <c r="AE400" s="41" t="s">
        <v>22</v>
      </c>
      <c r="AF400" s="41" t="s">
        <v>22</v>
      </c>
      <c r="AG400" s="41" t="s">
        <v>22</v>
      </c>
      <c r="AH400" s="41" t="s">
        <v>22</v>
      </c>
      <c r="AI400" s="41" t="s">
        <v>22</v>
      </c>
      <c r="AJ400" s="41" t="s">
        <v>22</v>
      </c>
      <c r="AK400" s="41" t="s">
        <v>22</v>
      </c>
      <c r="AL400" s="41" t="s">
        <v>22</v>
      </c>
      <c r="AM400" s="43" t="e">
        <f t="shared" si="204"/>
        <v>#VALUE!</v>
      </c>
      <c r="AN400" s="43" t="e">
        <f t="shared" si="205"/>
        <v>#VALUE!</v>
      </c>
      <c r="AO400" s="3" t="s">
        <v>363</v>
      </c>
      <c r="AT400" s="2">
        <f t="shared" si="206"/>
        <v>5</v>
      </c>
      <c r="AU400" s="45">
        <f t="shared" si="207"/>
        <v>0.47712125471966244</v>
      </c>
      <c r="AV400" s="45">
        <f t="shared" si="208"/>
        <v>4.1392685158225077E-2</v>
      </c>
      <c r="AW400" s="45">
        <f t="shared" si="209"/>
        <v>0.43572856956143735</v>
      </c>
      <c r="AX400" s="45" t="e">
        <f t="shared" si="210"/>
        <v>#VALUE!</v>
      </c>
      <c r="AY400" s="45" t="e">
        <f t="shared" si="211"/>
        <v>#VALUE!</v>
      </c>
      <c r="AZ400" s="45" t="e">
        <f t="shared" si="212"/>
        <v>#VALUE!</v>
      </c>
      <c r="BA400" s="45" t="e">
        <f t="shared" si="213"/>
        <v>#VALUE!</v>
      </c>
      <c r="BB400" s="45" t="e">
        <f t="shared" si="214"/>
        <v>#VALUE!</v>
      </c>
      <c r="BC400" s="45">
        <f t="shared" si="215"/>
        <v>0.17609125905568124</v>
      </c>
      <c r="BD400" s="45" t="e">
        <f t="shared" si="216"/>
        <v>#VALUE!</v>
      </c>
      <c r="BE400" s="45" t="e">
        <f t="shared" si="217"/>
        <v>#VALUE!</v>
      </c>
      <c r="BF400" s="45" t="e">
        <f t="shared" si="218"/>
        <v>#VALUE!</v>
      </c>
      <c r="BG400" s="45" t="e">
        <f t="shared" si="219"/>
        <v>#VALUE!</v>
      </c>
      <c r="BH400" s="45" t="e">
        <f t="shared" si="220"/>
        <v>#NUM!</v>
      </c>
      <c r="BI400" s="43" t="e">
        <f t="shared" si="221"/>
        <v>#VALUE!</v>
      </c>
      <c r="CA400" s="41" t="s">
        <v>22</v>
      </c>
      <c r="CC400" t="s">
        <v>22</v>
      </c>
      <c r="CE400" s="41" t="s">
        <v>22</v>
      </c>
      <c r="CF400" s="41" t="s">
        <v>22</v>
      </c>
      <c r="CG400" s="41" t="e">
        <f t="shared" si="200"/>
        <v>#VALUE!</v>
      </c>
      <c r="CH400" s="41" t="e">
        <f t="shared" si="201"/>
        <v>#VALUE!</v>
      </c>
      <c r="CI400" s="41">
        <f t="shared" si="222"/>
        <v>1.5</v>
      </c>
      <c r="CJ400" s="41">
        <f t="shared" si="203"/>
        <v>0.17609125905568124</v>
      </c>
      <c r="CL400" s="9" t="s">
        <v>1269</v>
      </c>
      <c r="CM400" s="18" t="s">
        <v>1285</v>
      </c>
      <c r="CN400" s="54" t="s">
        <v>1284</v>
      </c>
      <c r="CO400" s="18" t="s">
        <v>1284</v>
      </c>
    </row>
    <row r="401" spans="1:93" x14ac:dyDescent="0.25">
      <c r="A401" t="s">
        <v>365</v>
      </c>
      <c r="B401" s="41">
        <v>67</v>
      </c>
      <c r="C401" s="41">
        <v>2.4700000000000002</v>
      </c>
      <c r="D401" s="41">
        <f>0.001*(B401*10^6)/(C401*0.001*100^3)</f>
        <v>27.12550607287449</v>
      </c>
      <c r="E401" s="41" t="s">
        <v>22</v>
      </c>
      <c r="F401" t="s">
        <v>22</v>
      </c>
      <c r="G401" t="s">
        <v>22</v>
      </c>
      <c r="H401" t="s">
        <v>22</v>
      </c>
      <c r="I401" t="s">
        <v>22</v>
      </c>
      <c r="J401" s="41" t="s">
        <v>22</v>
      </c>
      <c r="K401" t="s">
        <v>22</v>
      </c>
      <c r="M401" t="s">
        <v>23</v>
      </c>
      <c r="N401" s="41" t="s">
        <v>22</v>
      </c>
      <c r="O401" s="41" t="s">
        <v>22</v>
      </c>
      <c r="P401" s="41" t="s">
        <v>22</v>
      </c>
      <c r="R401" s="41" t="s">
        <v>22</v>
      </c>
      <c r="S401" s="41" t="s">
        <v>22</v>
      </c>
      <c r="T401" s="41">
        <v>1.2</v>
      </c>
      <c r="U401" s="41">
        <v>1.2</v>
      </c>
      <c r="V401">
        <v>20200525</v>
      </c>
      <c r="X401" s="6">
        <v>2009</v>
      </c>
      <c r="Y401" t="s">
        <v>527</v>
      </c>
      <c r="Z401" t="s">
        <v>32</v>
      </c>
      <c r="AC401" t="s">
        <v>287</v>
      </c>
      <c r="AD401" s="41" t="s">
        <v>22</v>
      </c>
      <c r="AE401" s="41" t="s">
        <v>22</v>
      </c>
      <c r="AF401" s="41" t="s">
        <v>22</v>
      </c>
      <c r="AG401" s="41" t="s">
        <v>22</v>
      </c>
      <c r="AH401" s="41" t="s">
        <v>22</v>
      </c>
      <c r="AI401" s="41" t="s">
        <v>22</v>
      </c>
      <c r="AJ401" s="41" t="s">
        <v>22</v>
      </c>
      <c r="AK401" s="41" t="s">
        <v>22</v>
      </c>
      <c r="AL401" s="41" t="s">
        <v>22</v>
      </c>
      <c r="AM401" s="43" t="e">
        <f t="shared" si="204"/>
        <v>#VALUE!</v>
      </c>
      <c r="AN401" s="43" t="e">
        <f t="shared" si="205"/>
        <v>#VALUE!</v>
      </c>
      <c r="AO401" s="3" t="s">
        <v>363</v>
      </c>
      <c r="AT401" s="2">
        <f t="shared" si="206"/>
        <v>5</v>
      </c>
      <c r="AU401" s="45">
        <f t="shared" si="207"/>
        <v>1.8260748027008264</v>
      </c>
      <c r="AV401" s="45">
        <f t="shared" si="208"/>
        <v>0.39269695325966575</v>
      </c>
      <c r="AW401" s="45">
        <f t="shared" si="209"/>
        <v>1.4333778494411606</v>
      </c>
      <c r="AX401" s="45" t="e">
        <f t="shared" si="210"/>
        <v>#VALUE!</v>
      </c>
      <c r="AY401" s="45" t="e">
        <f t="shared" si="211"/>
        <v>#VALUE!</v>
      </c>
      <c r="AZ401" s="45" t="e">
        <f t="shared" si="212"/>
        <v>#VALUE!</v>
      </c>
      <c r="BA401" s="45" t="e">
        <f t="shared" si="213"/>
        <v>#VALUE!</v>
      </c>
      <c r="BB401" s="45" t="e">
        <f t="shared" si="214"/>
        <v>#NUM!</v>
      </c>
      <c r="BC401" s="45">
        <f t="shared" si="215"/>
        <v>7.9181246047624818E-2</v>
      </c>
      <c r="BD401" s="45" t="e">
        <f t="shared" si="216"/>
        <v>#VALUE!</v>
      </c>
      <c r="BE401" s="45" t="e">
        <f t="shared" si="217"/>
        <v>#VALUE!</v>
      </c>
      <c r="BF401" s="45" t="e">
        <f t="shared" si="218"/>
        <v>#VALUE!</v>
      </c>
      <c r="BG401" s="45" t="e">
        <f t="shared" si="219"/>
        <v>#VALUE!</v>
      </c>
      <c r="BH401" s="45" t="e">
        <f t="shared" si="220"/>
        <v>#NUM!</v>
      </c>
      <c r="BI401" s="43" t="e">
        <f t="shared" si="221"/>
        <v>#VALUE!</v>
      </c>
      <c r="CA401" s="41" t="s">
        <v>22</v>
      </c>
      <c r="CC401" t="s">
        <v>22</v>
      </c>
      <c r="CE401" s="41" t="s">
        <v>22</v>
      </c>
      <c r="CF401" s="41" t="s">
        <v>22</v>
      </c>
      <c r="CG401" s="41" t="e">
        <f t="shared" si="200"/>
        <v>#VALUE!</v>
      </c>
      <c r="CH401" s="41" t="e">
        <f t="shared" si="201"/>
        <v>#VALUE!</v>
      </c>
      <c r="CI401" s="41">
        <f t="shared" si="222"/>
        <v>1.2</v>
      </c>
      <c r="CJ401" s="41">
        <f t="shared" si="203"/>
        <v>7.9181246047624818E-2</v>
      </c>
      <c r="CL401" s="9" t="s">
        <v>1269</v>
      </c>
      <c r="CM401" s="18" t="s">
        <v>1285</v>
      </c>
      <c r="CN401" s="54" t="s">
        <v>1284</v>
      </c>
      <c r="CO401" s="18" t="s">
        <v>1284</v>
      </c>
    </row>
    <row r="402" spans="1:93" x14ac:dyDescent="0.25">
      <c r="A402" t="s">
        <v>365</v>
      </c>
      <c r="B402" s="41">
        <v>44</v>
      </c>
      <c r="C402" s="41">
        <v>2.02</v>
      </c>
      <c r="D402" s="41">
        <f>0.001*(B402*10^6)/(C402*0.001*100^3)</f>
        <v>21.782178217821784</v>
      </c>
      <c r="E402" s="41" t="s">
        <v>22</v>
      </c>
      <c r="F402" t="s">
        <v>22</v>
      </c>
      <c r="G402" t="s">
        <v>22</v>
      </c>
      <c r="H402" t="s">
        <v>22</v>
      </c>
      <c r="I402" t="s">
        <v>22</v>
      </c>
      <c r="J402" s="41" t="s">
        <v>22</v>
      </c>
      <c r="K402" t="s">
        <v>22</v>
      </c>
      <c r="M402" t="s">
        <v>23</v>
      </c>
      <c r="N402" s="41" t="s">
        <v>22</v>
      </c>
      <c r="O402" s="41" t="s">
        <v>22</v>
      </c>
      <c r="P402" s="41" t="s">
        <v>22</v>
      </c>
      <c r="R402" s="41" t="s">
        <v>22</v>
      </c>
      <c r="S402" s="41" t="s">
        <v>22</v>
      </c>
      <c r="T402" s="41" t="s">
        <v>903</v>
      </c>
      <c r="U402" s="41">
        <v>1.5</v>
      </c>
      <c r="V402">
        <v>20200525</v>
      </c>
      <c r="W402" s="16" t="s">
        <v>906</v>
      </c>
      <c r="X402" s="6">
        <v>2009</v>
      </c>
      <c r="Y402" t="s">
        <v>527</v>
      </c>
      <c r="Z402" s="18" t="s">
        <v>32</v>
      </c>
      <c r="AA402" s="18"/>
      <c r="AC402" t="s">
        <v>514</v>
      </c>
      <c r="AD402" s="41" t="s">
        <v>22</v>
      </c>
      <c r="AE402" s="41" t="s">
        <v>22</v>
      </c>
      <c r="AF402" s="41" t="s">
        <v>22</v>
      </c>
      <c r="AG402" s="41" t="s">
        <v>22</v>
      </c>
      <c r="AH402" s="41" t="s">
        <v>22</v>
      </c>
      <c r="AI402" s="41" t="s">
        <v>22</v>
      </c>
      <c r="AJ402" s="41" t="s">
        <v>22</v>
      </c>
      <c r="AK402" s="41" t="s">
        <v>22</v>
      </c>
      <c r="AL402" s="41" t="s">
        <v>22</v>
      </c>
      <c r="AM402" s="43" t="e">
        <f t="shared" si="204"/>
        <v>#VALUE!</v>
      </c>
      <c r="AN402" s="43" t="e">
        <f t="shared" si="205"/>
        <v>#VALUE!</v>
      </c>
      <c r="AO402" s="3" t="s">
        <v>363</v>
      </c>
      <c r="AT402" s="2">
        <f t="shared" si="206"/>
        <v>5</v>
      </c>
      <c r="AU402" s="45">
        <f t="shared" si="207"/>
        <v>1.6434526764861874</v>
      </c>
      <c r="AV402" s="45">
        <f t="shared" si="208"/>
        <v>0.30535136944662378</v>
      </c>
      <c r="AW402" s="45">
        <f t="shared" si="209"/>
        <v>1.3381013070395638</v>
      </c>
      <c r="AX402" s="45" t="e">
        <f t="shared" si="210"/>
        <v>#VALUE!</v>
      </c>
      <c r="AY402" s="45" t="e">
        <f t="shared" si="211"/>
        <v>#VALUE!</v>
      </c>
      <c r="AZ402" s="45" t="e">
        <f t="shared" si="212"/>
        <v>#VALUE!</v>
      </c>
      <c r="BA402" s="45" t="e">
        <f t="shared" si="213"/>
        <v>#VALUE!</v>
      </c>
      <c r="BB402" s="45" t="e">
        <f t="shared" si="214"/>
        <v>#NUM!</v>
      </c>
      <c r="BC402" s="45">
        <f t="shared" si="215"/>
        <v>0.17609125905568124</v>
      </c>
      <c r="BD402" s="45" t="e">
        <f t="shared" si="216"/>
        <v>#VALUE!</v>
      </c>
      <c r="BE402" s="45" t="e">
        <f t="shared" si="217"/>
        <v>#VALUE!</v>
      </c>
      <c r="BF402" s="45" t="e">
        <f t="shared" si="218"/>
        <v>#VALUE!</v>
      </c>
      <c r="BG402" s="45" t="e">
        <f t="shared" si="219"/>
        <v>#VALUE!</v>
      </c>
      <c r="BH402" s="45" t="e">
        <f t="shared" si="220"/>
        <v>#NUM!</v>
      </c>
      <c r="BI402" s="43" t="e">
        <f t="shared" si="221"/>
        <v>#VALUE!</v>
      </c>
      <c r="CA402" s="41" t="s">
        <v>22</v>
      </c>
      <c r="CC402" t="s">
        <v>22</v>
      </c>
      <c r="CE402" s="41" t="s">
        <v>22</v>
      </c>
      <c r="CF402" s="41" t="s">
        <v>22</v>
      </c>
      <c r="CG402" s="41" t="e">
        <f t="shared" si="200"/>
        <v>#VALUE!</v>
      </c>
      <c r="CH402" s="41" t="e">
        <f t="shared" si="201"/>
        <v>#VALUE!</v>
      </c>
      <c r="CI402" s="41">
        <f t="shared" si="222"/>
        <v>1.5</v>
      </c>
      <c r="CJ402" s="41">
        <f t="shared" si="203"/>
        <v>0.17609125905568124</v>
      </c>
      <c r="CL402" s="9" t="s">
        <v>1269</v>
      </c>
      <c r="CM402" s="18" t="s">
        <v>1285</v>
      </c>
      <c r="CN402" s="54" t="s">
        <v>1284</v>
      </c>
      <c r="CO402" s="18" t="s">
        <v>1284</v>
      </c>
    </row>
    <row r="403" spans="1:93" x14ac:dyDescent="0.25">
      <c r="A403" t="s">
        <v>365</v>
      </c>
      <c r="B403" s="41">
        <v>54</v>
      </c>
      <c r="C403" s="41" t="s">
        <v>22</v>
      </c>
      <c r="D403" s="41" t="s">
        <v>22</v>
      </c>
      <c r="E403" s="41" t="s">
        <v>22</v>
      </c>
      <c r="F403" t="s">
        <v>22</v>
      </c>
      <c r="G403" t="s">
        <v>22</v>
      </c>
      <c r="H403" t="s">
        <v>22</v>
      </c>
      <c r="I403" t="s">
        <v>22</v>
      </c>
      <c r="J403" s="41" t="s">
        <v>22</v>
      </c>
      <c r="K403" t="s">
        <v>22</v>
      </c>
      <c r="M403" t="s">
        <v>45</v>
      </c>
      <c r="N403" s="41" t="s">
        <v>22</v>
      </c>
      <c r="O403" s="41" t="s">
        <v>22</v>
      </c>
      <c r="P403" s="41" t="s">
        <v>22</v>
      </c>
      <c r="R403" s="41" t="s">
        <v>22</v>
      </c>
      <c r="S403" s="41" t="s">
        <v>22</v>
      </c>
      <c r="T403" s="41" t="s">
        <v>903</v>
      </c>
      <c r="U403" s="41">
        <v>1.5</v>
      </c>
      <c r="V403">
        <v>20200525</v>
      </c>
      <c r="X403" s="6">
        <v>2009</v>
      </c>
      <c r="Y403" t="s">
        <v>527</v>
      </c>
      <c r="Z403" s="18" t="s">
        <v>32</v>
      </c>
      <c r="AA403" s="18" t="s">
        <v>737</v>
      </c>
      <c r="AB403" s="41">
        <v>44</v>
      </c>
      <c r="AC403" t="s">
        <v>514</v>
      </c>
      <c r="AD403" s="41" t="s">
        <v>22</v>
      </c>
      <c r="AE403" s="41" t="s">
        <v>22</v>
      </c>
      <c r="AF403" s="41" t="s">
        <v>22</v>
      </c>
      <c r="AG403" s="41" t="s">
        <v>22</v>
      </c>
      <c r="AH403" s="41" t="s">
        <v>22</v>
      </c>
      <c r="AI403" s="41" t="s">
        <v>22</v>
      </c>
      <c r="AJ403" s="41" t="s">
        <v>22</v>
      </c>
      <c r="AK403" s="41" t="s">
        <v>22</v>
      </c>
      <c r="AL403" s="41" t="s">
        <v>22</v>
      </c>
      <c r="AM403" s="43" t="e">
        <f t="shared" si="204"/>
        <v>#VALUE!</v>
      </c>
      <c r="AN403" s="43" t="e">
        <f t="shared" si="205"/>
        <v>#VALUE!</v>
      </c>
      <c r="AO403" s="3" t="s">
        <v>363</v>
      </c>
      <c r="AT403" s="2">
        <f t="shared" si="206"/>
        <v>5</v>
      </c>
      <c r="AU403" s="45">
        <f t="shared" si="207"/>
        <v>1.7323937598229686</v>
      </c>
      <c r="AV403" s="45" t="e">
        <f t="shared" si="208"/>
        <v>#VALUE!</v>
      </c>
      <c r="AW403" s="45" t="e">
        <f t="shared" si="209"/>
        <v>#VALUE!</v>
      </c>
      <c r="AX403" s="45" t="e">
        <f t="shared" si="210"/>
        <v>#VALUE!</v>
      </c>
      <c r="AY403" s="45" t="e">
        <f t="shared" si="211"/>
        <v>#VALUE!</v>
      </c>
      <c r="AZ403" s="45" t="e">
        <f t="shared" si="212"/>
        <v>#VALUE!</v>
      </c>
      <c r="BA403" s="45" t="e">
        <f t="shared" si="213"/>
        <v>#VALUE!</v>
      </c>
      <c r="BB403" s="45" t="e">
        <f t="shared" si="214"/>
        <v>#NUM!</v>
      </c>
      <c r="BC403" s="45">
        <f t="shared" si="215"/>
        <v>0.17609125905568124</v>
      </c>
      <c r="BD403" s="45" t="e">
        <f t="shared" si="216"/>
        <v>#VALUE!</v>
      </c>
      <c r="BE403" s="45" t="e">
        <f t="shared" si="217"/>
        <v>#VALUE!</v>
      </c>
      <c r="BF403" s="45" t="e">
        <f t="shared" si="218"/>
        <v>#VALUE!</v>
      </c>
      <c r="BG403" s="45" t="e">
        <f t="shared" si="219"/>
        <v>#VALUE!</v>
      </c>
      <c r="BH403" s="45">
        <f t="shared" si="220"/>
        <v>1.6434526764861874</v>
      </c>
      <c r="BI403" s="43" t="e">
        <f t="shared" si="221"/>
        <v>#VALUE!</v>
      </c>
      <c r="CA403" s="41" t="s">
        <v>22</v>
      </c>
      <c r="CC403" t="s">
        <v>22</v>
      </c>
      <c r="CE403" s="41" t="s">
        <v>22</v>
      </c>
      <c r="CF403" s="41" t="s">
        <v>22</v>
      </c>
      <c r="CG403" s="41" t="e">
        <f t="shared" si="200"/>
        <v>#VALUE!</v>
      </c>
      <c r="CH403" s="41" t="e">
        <f t="shared" si="201"/>
        <v>#VALUE!</v>
      </c>
      <c r="CI403" s="41">
        <f t="shared" si="222"/>
        <v>1.5</v>
      </c>
      <c r="CJ403" s="41">
        <f t="shared" si="203"/>
        <v>0.17609125905568124</v>
      </c>
      <c r="CL403" s="9" t="s">
        <v>1269</v>
      </c>
      <c r="CM403" s="18" t="s">
        <v>1285</v>
      </c>
      <c r="CN403" s="54" t="s">
        <v>1284</v>
      </c>
      <c r="CO403" s="18" t="s">
        <v>1284</v>
      </c>
    </row>
    <row r="404" spans="1:93" x14ac:dyDescent="0.25">
      <c r="A404" t="s">
        <v>731</v>
      </c>
      <c r="B404" s="41">
        <v>1</v>
      </c>
      <c r="C404" s="41">
        <v>1.1000000000000001</v>
      </c>
      <c r="D404" s="41">
        <f>0.001*(B404*10^6)/(C404*0.001*100^3)</f>
        <v>0.90909090909090906</v>
      </c>
      <c r="E404" s="41" t="s">
        <v>22</v>
      </c>
      <c r="F404" t="s">
        <v>22</v>
      </c>
      <c r="G404" t="s">
        <v>22</v>
      </c>
      <c r="H404" t="s">
        <v>22</v>
      </c>
      <c r="I404" t="s">
        <v>22</v>
      </c>
      <c r="J404" s="41" t="s">
        <v>22</v>
      </c>
      <c r="K404" t="s">
        <v>22</v>
      </c>
      <c r="M404" t="s">
        <v>23</v>
      </c>
      <c r="N404" s="41" t="s">
        <v>22</v>
      </c>
      <c r="O404" s="41" t="s">
        <v>22</v>
      </c>
      <c r="P404" s="41" t="s">
        <v>22</v>
      </c>
      <c r="R404" s="41" t="s">
        <v>22</v>
      </c>
      <c r="S404" s="41" t="s">
        <v>22</v>
      </c>
      <c r="T404" s="41" t="s">
        <v>903</v>
      </c>
      <c r="U404" s="41">
        <v>1.5</v>
      </c>
      <c r="V404">
        <v>20200525</v>
      </c>
      <c r="W404" s="16" t="s">
        <v>907</v>
      </c>
      <c r="X404" s="6">
        <v>2009</v>
      </c>
      <c r="Y404" t="s">
        <v>527</v>
      </c>
      <c r="Z404" s="18" t="s">
        <v>34</v>
      </c>
      <c r="AA404" s="18"/>
      <c r="AC404" t="s">
        <v>514</v>
      </c>
      <c r="AD404" s="41" t="s">
        <v>22</v>
      </c>
      <c r="AE404" s="41" t="s">
        <v>22</v>
      </c>
      <c r="AF404" s="41" t="s">
        <v>22</v>
      </c>
      <c r="AG404" s="41" t="s">
        <v>22</v>
      </c>
      <c r="AH404" s="41" t="s">
        <v>22</v>
      </c>
      <c r="AI404" s="41" t="s">
        <v>22</v>
      </c>
      <c r="AJ404" s="41" t="s">
        <v>22</v>
      </c>
      <c r="AK404" s="41" t="s">
        <v>22</v>
      </c>
      <c r="AL404" s="41" t="s">
        <v>22</v>
      </c>
      <c r="AM404" s="43" t="e">
        <f t="shared" si="204"/>
        <v>#VALUE!</v>
      </c>
      <c r="AN404" s="43" t="e">
        <f t="shared" si="205"/>
        <v>#VALUE!</v>
      </c>
      <c r="AO404" s="3" t="s">
        <v>363</v>
      </c>
      <c r="AT404" s="2">
        <f t="shared" si="206"/>
        <v>5</v>
      </c>
      <c r="AU404" s="45">
        <f t="shared" si="207"/>
        <v>0</v>
      </c>
      <c r="AV404" s="45">
        <f t="shared" si="208"/>
        <v>4.1392685158225077E-2</v>
      </c>
      <c r="AW404" s="45">
        <f t="shared" si="209"/>
        <v>-4.1392685158225057E-2</v>
      </c>
      <c r="AX404" s="45" t="e">
        <f t="shared" si="210"/>
        <v>#VALUE!</v>
      </c>
      <c r="AY404" s="45" t="e">
        <f t="shared" si="211"/>
        <v>#VALUE!</v>
      </c>
      <c r="AZ404" s="45" t="e">
        <f t="shared" si="212"/>
        <v>#VALUE!</v>
      </c>
      <c r="BA404" s="45" t="e">
        <f t="shared" si="213"/>
        <v>#VALUE!</v>
      </c>
      <c r="BB404" s="45" t="e">
        <f t="shared" si="214"/>
        <v>#NUM!</v>
      </c>
      <c r="BC404" s="45">
        <f t="shared" si="215"/>
        <v>0.17609125905568124</v>
      </c>
      <c r="BD404" s="45" t="e">
        <f t="shared" si="216"/>
        <v>#VALUE!</v>
      </c>
      <c r="BE404" s="45" t="e">
        <f t="shared" si="217"/>
        <v>#VALUE!</v>
      </c>
      <c r="BF404" s="45" t="e">
        <f t="shared" si="218"/>
        <v>#VALUE!</v>
      </c>
      <c r="BG404" s="45" t="e">
        <f t="shared" si="219"/>
        <v>#VALUE!</v>
      </c>
      <c r="BH404" s="45" t="e">
        <f t="shared" si="220"/>
        <v>#NUM!</v>
      </c>
      <c r="BI404" s="43" t="e">
        <f t="shared" si="221"/>
        <v>#VALUE!</v>
      </c>
      <c r="CA404" s="41" t="s">
        <v>22</v>
      </c>
      <c r="CC404" t="s">
        <v>22</v>
      </c>
      <c r="CE404" s="41" t="s">
        <v>22</v>
      </c>
      <c r="CF404" s="41" t="s">
        <v>22</v>
      </c>
      <c r="CG404" s="41" t="e">
        <f t="shared" si="200"/>
        <v>#VALUE!</v>
      </c>
      <c r="CH404" s="41" t="e">
        <f t="shared" si="201"/>
        <v>#VALUE!</v>
      </c>
      <c r="CI404" s="41">
        <f t="shared" si="222"/>
        <v>1.5</v>
      </c>
      <c r="CJ404" s="41">
        <f t="shared" si="203"/>
        <v>0.17609125905568124</v>
      </c>
      <c r="CL404" s="9" t="s">
        <v>1269</v>
      </c>
      <c r="CM404" s="18" t="s">
        <v>1285</v>
      </c>
      <c r="CN404" s="54" t="s">
        <v>1284</v>
      </c>
      <c r="CO404" s="18" t="s">
        <v>1284</v>
      </c>
    </row>
    <row r="405" spans="1:93" x14ac:dyDescent="0.25">
      <c r="A405" t="s">
        <v>141</v>
      </c>
      <c r="B405" s="41">
        <v>0.1</v>
      </c>
      <c r="C405" s="41">
        <v>1.26</v>
      </c>
      <c r="D405" s="41">
        <f>0.001*(B405*10^6)/(C405*0.001*100^3)</f>
        <v>7.9365079365079361E-2</v>
      </c>
      <c r="E405" s="41" t="s">
        <v>22</v>
      </c>
      <c r="F405">
        <v>0.4</v>
      </c>
      <c r="G405" t="s">
        <v>78</v>
      </c>
      <c r="H405" t="s">
        <v>22</v>
      </c>
      <c r="I405" t="s">
        <v>22</v>
      </c>
      <c r="J405" s="41">
        <v>1.2</v>
      </c>
      <c r="K405">
        <v>533</v>
      </c>
      <c r="L405" s="41">
        <f>IF((10^-12)*J405*K405^4=0,"",(10^-12)*J405*K405^4)</f>
        <v>9.68478719052E-2</v>
      </c>
      <c r="M405" t="s">
        <v>23</v>
      </c>
      <c r="N405" s="41" t="s">
        <v>22</v>
      </c>
      <c r="O405" s="41" t="s">
        <v>22</v>
      </c>
      <c r="P405" s="41" t="s">
        <v>22</v>
      </c>
      <c r="R405" s="41" t="s">
        <v>22</v>
      </c>
      <c r="S405" s="41" t="s">
        <v>22</v>
      </c>
      <c r="T405" s="41">
        <v>10</v>
      </c>
      <c r="U405" s="41">
        <v>10</v>
      </c>
      <c r="V405">
        <v>20200507</v>
      </c>
      <c r="W405" s="16" t="s">
        <v>79</v>
      </c>
      <c r="X405">
        <v>2009</v>
      </c>
      <c r="Y405" t="s">
        <v>26</v>
      </c>
      <c r="Z405" s="18" t="s">
        <v>80</v>
      </c>
      <c r="AA405" s="18"/>
      <c r="AC405" t="s">
        <v>514</v>
      </c>
      <c r="AD405" s="41" t="s">
        <v>22</v>
      </c>
      <c r="AE405" s="41" t="s">
        <v>22</v>
      </c>
      <c r="AF405" s="41" t="s">
        <v>22</v>
      </c>
      <c r="AG405" s="41" t="s">
        <v>22</v>
      </c>
      <c r="AH405" s="41" t="s">
        <v>22</v>
      </c>
      <c r="AI405" s="41" t="s">
        <v>22</v>
      </c>
      <c r="AJ405" s="41" t="s">
        <v>22</v>
      </c>
      <c r="AK405" s="41" t="s">
        <v>22</v>
      </c>
      <c r="AL405" s="41" t="s">
        <v>22</v>
      </c>
      <c r="AM405" s="43" t="e">
        <f t="shared" si="204"/>
        <v>#VALUE!</v>
      </c>
      <c r="AN405" s="43" t="e">
        <f t="shared" si="205"/>
        <v>#VALUE!</v>
      </c>
      <c r="AO405" s="3" t="s">
        <v>81</v>
      </c>
      <c r="AT405" s="2">
        <f t="shared" si="206"/>
        <v>1</v>
      </c>
      <c r="AU405" s="45">
        <f t="shared" si="207"/>
        <v>-1</v>
      </c>
      <c r="AV405" s="45">
        <f t="shared" si="208"/>
        <v>0.10037054511756291</v>
      </c>
      <c r="AW405" s="45">
        <f t="shared" si="209"/>
        <v>-1.1003705451175629</v>
      </c>
      <c r="AX405" s="45" t="e">
        <f t="shared" si="210"/>
        <v>#VALUE!</v>
      </c>
      <c r="AY405" s="45" t="e">
        <f t="shared" si="211"/>
        <v>#VALUE!</v>
      </c>
      <c r="AZ405" s="45" t="e">
        <f t="shared" si="212"/>
        <v>#VALUE!</v>
      </c>
      <c r="BA405" s="45">
        <f t="shared" si="213"/>
        <v>7.9181246047624818E-2</v>
      </c>
      <c r="BB405" s="45">
        <f t="shared" si="214"/>
        <v>-1.0139099178460862</v>
      </c>
      <c r="BC405" s="45">
        <f t="shared" si="215"/>
        <v>1</v>
      </c>
      <c r="BD405" s="45" t="e">
        <f t="shared" si="216"/>
        <v>#VALUE!</v>
      </c>
      <c r="BE405" s="45" t="e">
        <f t="shared" si="217"/>
        <v>#VALUE!</v>
      </c>
      <c r="BF405" s="45" t="e">
        <f t="shared" si="218"/>
        <v>#VALUE!</v>
      </c>
      <c r="BG405" s="45" t="e">
        <f t="shared" si="219"/>
        <v>#VALUE!</v>
      </c>
      <c r="BH405" s="45" t="e">
        <f t="shared" si="220"/>
        <v>#NUM!</v>
      </c>
      <c r="BI405" s="43" t="e">
        <f t="shared" si="221"/>
        <v>#VALUE!</v>
      </c>
      <c r="CA405" s="41" t="s">
        <v>22</v>
      </c>
      <c r="CC405" t="s">
        <v>22</v>
      </c>
      <c r="CE405" s="41" t="s">
        <v>22</v>
      </c>
      <c r="CF405" s="41" t="s">
        <v>22</v>
      </c>
      <c r="CG405" s="41" t="e">
        <f t="shared" ref="CG405:CG419" si="223">AD405*1000</f>
        <v>#VALUE!</v>
      </c>
      <c r="CH405" s="41" t="e">
        <f t="shared" ref="CH405:CH436" si="224">LOG10(CG405)</f>
        <v>#VALUE!</v>
      </c>
      <c r="CI405" s="41">
        <f t="shared" si="222"/>
        <v>10</v>
      </c>
      <c r="CJ405" s="41">
        <f t="shared" ref="CJ405:CJ436" si="225">LOG10(CI405)</f>
        <v>1</v>
      </c>
      <c r="CL405" s="9" t="s">
        <v>1269</v>
      </c>
      <c r="CM405" s="18" t="s">
        <v>1285</v>
      </c>
      <c r="CN405" s="54" t="s">
        <v>1284</v>
      </c>
      <c r="CO405" s="18" t="s">
        <v>1284</v>
      </c>
    </row>
    <row r="406" spans="1:93" x14ac:dyDescent="0.25">
      <c r="A406" t="s">
        <v>141</v>
      </c>
      <c r="B406" s="41">
        <v>4.2000000000000003E-2</v>
      </c>
      <c r="C406" s="41">
        <v>1.8</v>
      </c>
      <c r="D406" s="41">
        <f>0.001*(B406*10^6)/(C406*0.001*100^3)</f>
        <v>2.3333333333333331E-2</v>
      </c>
      <c r="E406" s="41" t="s">
        <v>22</v>
      </c>
      <c r="F406" t="s">
        <v>22</v>
      </c>
      <c r="G406" t="s">
        <v>22</v>
      </c>
      <c r="H406" t="s">
        <v>22</v>
      </c>
      <c r="I406" t="s">
        <v>22</v>
      </c>
      <c r="J406" s="41" t="s">
        <v>22</v>
      </c>
      <c r="K406" t="s">
        <v>22</v>
      </c>
      <c r="L406" s="41" t="e">
        <f>IF((10^-12)*J406*K406^4=0,"",(10^-12)*J406*K406^4)</f>
        <v>#VALUE!</v>
      </c>
      <c r="M406" t="s">
        <v>23</v>
      </c>
      <c r="N406" s="41">
        <v>205</v>
      </c>
      <c r="O406" s="41">
        <v>0.11388888888888889</v>
      </c>
      <c r="P406" s="41">
        <v>1.1000000000000001</v>
      </c>
      <c r="R406" s="41">
        <f>N406*B406</f>
        <v>8.6100000000000012</v>
      </c>
      <c r="S406" s="41">
        <f>O406*D406</f>
        <v>2.6574074074074069E-3</v>
      </c>
      <c r="T406" s="41" t="s">
        <v>107</v>
      </c>
      <c r="U406" s="41">
        <v>5.5</v>
      </c>
      <c r="V406">
        <v>20200507</v>
      </c>
      <c r="W406" s="16" t="s">
        <v>571</v>
      </c>
      <c r="X406">
        <v>2009</v>
      </c>
      <c r="Y406" t="s">
        <v>76</v>
      </c>
      <c r="Z406" s="18" t="s">
        <v>32</v>
      </c>
      <c r="AA406" s="18"/>
      <c r="AC406" t="s">
        <v>514</v>
      </c>
      <c r="AD406" s="41" t="s">
        <v>22</v>
      </c>
      <c r="AE406" s="41" t="s">
        <v>22</v>
      </c>
      <c r="AF406" s="41" t="s">
        <v>22</v>
      </c>
      <c r="AG406" s="41" t="s">
        <v>22</v>
      </c>
      <c r="AH406" s="41" t="s">
        <v>22</v>
      </c>
      <c r="AI406" s="41" t="s">
        <v>22</v>
      </c>
      <c r="AJ406" s="41" t="s">
        <v>22</v>
      </c>
      <c r="AK406" s="41" t="s">
        <v>22</v>
      </c>
      <c r="AL406" s="41" t="s">
        <v>22</v>
      </c>
      <c r="AM406" s="43" t="e">
        <f t="shared" si="204"/>
        <v>#VALUE!</v>
      </c>
      <c r="AN406" s="43" t="e">
        <f t="shared" si="205"/>
        <v>#VALUE!</v>
      </c>
      <c r="AO406" s="3" t="s">
        <v>108</v>
      </c>
      <c r="AT406" s="2">
        <f t="shared" si="206"/>
        <v>6</v>
      </c>
      <c r="AU406" s="45">
        <f t="shared" si="207"/>
        <v>-1.3767507096020994</v>
      </c>
      <c r="AV406" s="45">
        <f t="shared" si="208"/>
        <v>0.25527250510330607</v>
      </c>
      <c r="AW406" s="45">
        <f t="shared" si="209"/>
        <v>-1.6320232147054057</v>
      </c>
      <c r="AX406" s="45">
        <f t="shared" si="210"/>
        <v>2.3117538610557542</v>
      </c>
      <c r="AY406" s="45">
        <f t="shared" si="211"/>
        <v>-0.94351864404755181</v>
      </c>
      <c r="AZ406" s="45">
        <f t="shared" si="212"/>
        <v>4.1392685158225077E-2</v>
      </c>
      <c r="BA406" s="45" t="e">
        <f t="shared" si="213"/>
        <v>#VALUE!</v>
      </c>
      <c r="BB406" s="45" t="e">
        <f t="shared" si="214"/>
        <v>#VALUE!</v>
      </c>
      <c r="BC406" s="45">
        <f t="shared" si="215"/>
        <v>0.74036268949424389</v>
      </c>
      <c r="BD406" s="45" t="e">
        <f t="shared" si="216"/>
        <v>#VALUE!</v>
      </c>
      <c r="BE406" s="45" t="e">
        <f t="shared" si="217"/>
        <v>#VALUE!</v>
      </c>
      <c r="BF406" s="45" t="e">
        <f t="shared" si="218"/>
        <v>#VALUE!</v>
      </c>
      <c r="BG406" s="45" t="e">
        <f t="shared" si="219"/>
        <v>#VALUE!</v>
      </c>
      <c r="BH406" s="45" t="e">
        <f t="shared" si="220"/>
        <v>#NUM!</v>
      </c>
      <c r="BI406" s="43" t="e">
        <f t="shared" si="221"/>
        <v>#VALUE!</v>
      </c>
      <c r="CA406" s="41" t="s">
        <v>22</v>
      </c>
      <c r="CC406" t="s">
        <v>22</v>
      </c>
      <c r="CE406" s="41" t="s">
        <v>22</v>
      </c>
      <c r="CF406" s="41" t="s">
        <v>22</v>
      </c>
      <c r="CG406" s="41" t="e">
        <f t="shared" si="223"/>
        <v>#VALUE!</v>
      </c>
      <c r="CH406" s="41" t="e">
        <f t="shared" si="224"/>
        <v>#VALUE!</v>
      </c>
      <c r="CI406" s="41">
        <f t="shared" si="222"/>
        <v>5.5</v>
      </c>
      <c r="CJ406" s="41">
        <f t="shared" si="225"/>
        <v>0.74036268949424389</v>
      </c>
      <c r="CL406" s="9" t="s">
        <v>1269</v>
      </c>
      <c r="CM406" s="18" t="s">
        <v>1285</v>
      </c>
      <c r="CN406" s="54" t="s">
        <v>1284</v>
      </c>
      <c r="CO406" s="18" t="s">
        <v>1284</v>
      </c>
    </row>
    <row r="407" spans="1:93" x14ac:dyDescent="0.25">
      <c r="A407" t="s">
        <v>141</v>
      </c>
      <c r="B407" s="41">
        <v>5.0881453804347797E-2</v>
      </c>
      <c r="C407" s="41" t="s">
        <v>22</v>
      </c>
      <c r="D407" s="41" t="s">
        <v>22</v>
      </c>
      <c r="E407" s="41" t="s">
        <v>22</v>
      </c>
      <c r="F407">
        <v>1.6822148419606</v>
      </c>
      <c r="G407" t="s">
        <v>52</v>
      </c>
      <c r="H407" t="s">
        <v>22</v>
      </c>
      <c r="I407" t="s">
        <v>22</v>
      </c>
      <c r="J407" s="41" t="s">
        <v>22</v>
      </c>
      <c r="K407" t="s">
        <v>22</v>
      </c>
      <c r="M407" t="s">
        <v>23</v>
      </c>
      <c r="N407" s="41" t="s">
        <v>22</v>
      </c>
      <c r="O407" s="41" t="s">
        <v>22</v>
      </c>
      <c r="P407" s="41" t="s">
        <v>22</v>
      </c>
      <c r="R407" s="41" t="s">
        <v>22</v>
      </c>
      <c r="S407" s="41" t="s">
        <v>22</v>
      </c>
      <c r="T407" s="41" t="s">
        <v>107</v>
      </c>
      <c r="U407" s="41">
        <v>5.5</v>
      </c>
      <c r="V407">
        <v>20200507</v>
      </c>
      <c r="W407" s="16" t="s">
        <v>572</v>
      </c>
      <c r="X407">
        <v>2009</v>
      </c>
      <c r="Y407" t="s">
        <v>76</v>
      </c>
      <c r="Z407" s="18" t="s">
        <v>576</v>
      </c>
      <c r="AA407" s="18"/>
      <c r="AC407" t="s">
        <v>514</v>
      </c>
      <c r="AD407" s="41" t="s">
        <v>22</v>
      </c>
      <c r="AE407" s="41" t="s">
        <v>22</v>
      </c>
      <c r="AF407" s="41" t="s">
        <v>22</v>
      </c>
      <c r="AG407" s="41" t="s">
        <v>22</v>
      </c>
      <c r="AH407" s="41" t="s">
        <v>22</v>
      </c>
      <c r="AI407" s="41" t="s">
        <v>22</v>
      </c>
      <c r="AJ407" s="41" t="s">
        <v>22</v>
      </c>
      <c r="AK407" s="41" t="s">
        <v>22</v>
      </c>
      <c r="AL407" s="41" t="s">
        <v>22</v>
      </c>
      <c r="AM407" s="43" t="e">
        <f t="shared" si="204"/>
        <v>#VALUE!</v>
      </c>
      <c r="AN407" s="43" t="e">
        <f t="shared" si="205"/>
        <v>#VALUE!</v>
      </c>
      <c r="AO407" s="3" t="s">
        <v>108</v>
      </c>
      <c r="AT407" s="2">
        <f t="shared" si="206"/>
        <v>6</v>
      </c>
      <c r="AU407" s="45">
        <f t="shared" si="207"/>
        <v>-1.2934404883544159</v>
      </c>
      <c r="AV407" s="45" t="e">
        <f t="shared" si="208"/>
        <v>#VALUE!</v>
      </c>
      <c r="AW407" s="45" t="e">
        <f t="shared" si="209"/>
        <v>#VALUE!</v>
      </c>
      <c r="AX407" s="45" t="e">
        <f t="shared" si="210"/>
        <v>#VALUE!</v>
      </c>
      <c r="AY407" s="45" t="e">
        <f t="shared" si="211"/>
        <v>#VALUE!</v>
      </c>
      <c r="AZ407" s="45" t="e">
        <f t="shared" si="212"/>
        <v>#VALUE!</v>
      </c>
      <c r="BA407" s="45" t="e">
        <f t="shared" si="213"/>
        <v>#VALUE!</v>
      </c>
      <c r="BB407" s="45" t="e">
        <f t="shared" si="214"/>
        <v>#NUM!</v>
      </c>
      <c r="BC407" s="45">
        <f t="shared" si="215"/>
        <v>0.74036268949424389</v>
      </c>
      <c r="BD407" s="45" t="e">
        <f t="shared" si="216"/>
        <v>#VALUE!</v>
      </c>
      <c r="BE407" s="45" t="e">
        <f t="shared" si="217"/>
        <v>#VALUE!</v>
      </c>
      <c r="BF407" s="45" t="e">
        <f t="shared" si="218"/>
        <v>#VALUE!</v>
      </c>
      <c r="BG407" s="45" t="e">
        <f t="shared" si="219"/>
        <v>#VALUE!</v>
      </c>
      <c r="BH407" s="45" t="e">
        <f t="shared" si="220"/>
        <v>#NUM!</v>
      </c>
      <c r="BI407" s="43" t="e">
        <f t="shared" si="221"/>
        <v>#VALUE!</v>
      </c>
      <c r="CA407" s="41" t="s">
        <v>22</v>
      </c>
      <c r="CC407" t="s">
        <v>22</v>
      </c>
      <c r="CE407" s="41" t="s">
        <v>22</v>
      </c>
      <c r="CF407" s="41" t="s">
        <v>22</v>
      </c>
      <c r="CG407" s="41" t="e">
        <f t="shared" si="223"/>
        <v>#VALUE!</v>
      </c>
      <c r="CH407" s="41" t="e">
        <f t="shared" si="224"/>
        <v>#VALUE!</v>
      </c>
      <c r="CI407" s="41">
        <f t="shared" si="222"/>
        <v>5.5</v>
      </c>
      <c r="CJ407" s="41">
        <f t="shared" si="225"/>
        <v>0.74036268949424389</v>
      </c>
      <c r="CL407" s="9" t="s">
        <v>1269</v>
      </c>
      <c r="CM407" s="18" t="s">
        <v>1285</v>
      </c>
      <c r="CN407" s="54" t="s">
        <v>1284</v>
      </c>
      <c r="CO407" s="18" t="s">
        <v>1284</v>
      </c>
    </row>
    <row r="408" spans="1:93" x14ac:dyDescent="0.25">
      <c r="A408" t="s">
        <v>141</v>
      </c>
      <c r="B408" s="41">
        <v>5.1171794125258699E-2</v>
      </c>
      <c r="C408" s="41" t="s">
        <v>22</v>
      </c>
      <c r="D408" s="41" t="s">
        <v>22</v>
      </c>
      <c r="E408" s="41" t="s">
        <v>22</v>
      </c>
      <c r="F408">
        <v>2.5110284012826298</v>
      </c>
      <c r="G408" t="s">
        <v>52</v>
      </c>
      <c r="H408" t="s">
        <v>22</v>
      </c>
      <c r="I408" t="s">
        <v>22</v>
      </c>
      <c r="J408" s="41" t="s">
        <v>22</v>
      </c>
      <c r="K408" t="s">
        <v>22</v>
      </c>
      <c r="L408" s="41" t="s">
        <v>22</v>
      </c>
      <c r="M408" t="s">
        <v>23</v>
      </c>
      <c r="N408" s="41">
        <v>390</v>
      </c>
      <c r="O408" s="41" t="s">
        <v>22</v>
      </c>
      <c r="P408" s="41">
        <v>11.93</v>
      </c>
      <c r="R408" s="41">
        <f>N408*B408</f>
        <v>19.956999708850894</v>
      </c>
      <c r="S408" s="41" t="s">
        <v>22</v>
      </c>
      <c r="T408" s="41" t="s">
        <v>107</v>
      </c>
      <c r="U408" s="41">
        <v>5.5</v>
      </c>
      <c r="V408">
        <v>20200507</v>
      </c>
      <c r="W408" s="16" t="s">
        <v>573</v>
      </c>
      <c r="X408">
        <v>2009</v>
      </c>
      <c r="Y408" t="s">
        <v>76</v>
      </c>
      <c r="Z408" t="s">
        <v>576</v>
      </c>
      <c r="AC408" t="s">
        <v>514</v>
      </c>
      <c r="AD408" s="41" t="s">
        <v>22</v>
      </c>
      <c r="AE408" s="41" t="s">
        <v>22</v>
      </c>
      <c r="AF408" s="41" t="s">
        <v>22</v>
      </c>
      <c r="AG408" s="41" t="s">
        <v>22</v>
      </c>
      <c r="AH408" s="41" t="s">
        <v>22</v>
      </c>
      <c r="AI408" s="41" t="s">
        <v>22</v>
      </c>
      <c r="AJ408" s="41" t="s">
        <v>22</v>
      </c>
      <c r="AK408" s="41" t="s">
        <v>22</v>
      </c>
      <c r="AL408" s="41" t="s">
        <v>22</v>
      </c>
      <c r="AM408" s="43" t="e">
        <f t="shared" si="204"/>
        <v>#VALUE!</v>
      </c>
      <c r="AN408" s="43" t="e">
        <f t="shared" si="205"/>
        <v>#VALUE!</v>
      </c>
      <c r="AO408" s="3" t="s">
        <v>108</v>
      </c>
      <c r="AT408" s="2">
        <f t="shared" si="206"/>
        <v>6</v>
      </c>
      <c r="AU408" s="45">
        <f t="shared" si="207"/>
        <v>-1.2909693560386271</v>
      </c>
      <c r="AV408" s="45" t="e">
        <f t="shared" si="208"/>
        <v>#VALUE!</v>
      </c>
      <c r="AW408" s="45" t="e">
        <f t="shared" si="209"/>
        <v>#VALUE!</v>
      </c>
      <c r="AX408" s="45">
        <f t="shared" si="210"/>
        <v>2.5910646070264991</v>
      </c>
      <c r="AY408" s="45" t="e">
        <f t="shared" si="211"/>
        <v>#VALUE!</v>
      </c>
      <c r="AZ408" s="45">
        <f t="shared" si="212"/>
        <v>1.0766404436703418</v>
      </c>
      <c r="BA408" s="45" t="e">
        <f t="shared" si="213"/>
        <v>#VALUE!</v>
      </c>
      <c r="BB408" s="45" t="e">
        <f t="shared" si="214"/>
        <v>#VALUE!</v>
      </c>
      <c r="BC408" s="45">
        <f t="shared" si="215"/>
        <v>0.74036268949424389</v>
      </c>
      <c r="BD408" s="45" t="e">
        <f t="shared" si="216"/>
        <v>#VALUE!</v>
      </c>
      <c r="BE408" s="45" t="e">
        <f t="shared" si="217"/>
        <v>#VALUE!</v>
      </c>
      <c r="BF408" s="45" t="e">
        <f t="shared" si="218"/>
        <v>#VALUE!</v>
      </c>
      <c r="BG408" s="45" t="e">
        <f t="shared" si="219"/>
        <v>#VALUE!</v>
      </c>
      <c r="BH408" s="45" t="e">
        <f t="shared" si="220"/>
        <v>#NUM!</v>
      </c>
      <c r="BI408" s="43" t="e">
        <f t="shared" si="221"/>
        <v>#VALUE!</v>
      </c>
      <c r="CA408" s="41" t="s">
        <v>22</v>
      </c>
      <c r="CC408" t="s">
        <v>22</v>
      </c>
      <c r="CE408" s="41" t="s">
        <v>22</v>
      </c>
      <c r="CF408" s="41" t="s">
        <v>22</v>
      </c>
      <c r="CG408" s="41" t="e">
        <f t="shared" si="223"/>
        <v>#VALUE!</v>
      </c>
      <c r="CH408" s="41" t="e">
        <f t="shared" si="224"/>
        <v>#VALUE!</v>
      </c>
      <c r="CI408" s="41">
        <f t="shared" si="222"/>
        <v>5.5</v>
      </c>
      <c r="CJ408" s="41">
        <f t="shared" si="225"/>
        <v>0.74036268949424389</v>
      </c>
      <c r="CL408" s="9" t="s">
        <v>1269</v>
      </c>
      <c r="CM408" s="18" t="s">
        <v>1285</v>
      </c>
      <c r="CN408" s="54" t="s">
        <v>1284</v>
      </c>
      <c r="CO408" s="18" t="s">
        <v>1284</v>
      </c>
    </row>
    <row r="409" spans="1:93" x14ac:dyDescent="0.25">
      <c r="A409" t="s">
        <v>141</v>
      </c>
      <c r="B409" s="41">
        <v>5.4754221661490597E-2</v>
      </c>
      <c r="C409" s="41" t="s">
        <v>22</v>
      </c>
      <c r="D409" s="41" t="s">
        <v>22</v>
      </c>
      <c r="E409" s="41" t="s">
        <v>22</v>
      </c>
      <c r="F409">
        <v>2.6711978928080602</v>
      </c>
      <c r="G409" t="s">
        <v>52</v>
      </c>
      <c r="H409" t="s">
        <v>22</v>
      </c>
      <c r="I409" t="s">
        <v>22</v>
      </c>
      <c r="J409" s="41" t="s">
        <v>22</v>
      </c>
      <c r="K409" t="s">
        <v>22</v>
      </c>
      <c r="M409" t="s">
        <v>23</v>
      </c>
      <c r="N409" s="41">
        <v>508</v>
      </c>
      <c r="O409" s="41" t="s">
        <v>22</v>
      </c>
      <c r="P409" s="41">
        <v>18.21</v>
      </c>
      <c r="R409" s="41">
        <f>N409*B409</f>
        <v>27.815144604037222</v>
      </c>
      <c r="S409" s="41" t="s">
        <v>22</v>
      </c>
      <c r="T409" s="41" t="s">
        <v>107</v>
      </c>
      <c r="U409" s="41">
        <v>5.5</v>
      </c>
      <c r="V409">
        <v>20200507</v>
      </c>
      <c r="W409" s="16" t="s">
        <v>574</v>
      </c>
      <c r="X409">
        <v>2009</v>
      </c>
      <c r="Y409" t="s">
        <v>76</v>
      </c>
      <c r="Z409" t="s">
        <v>576</v>
      </c>
      <c r="AC409" t="s">
        <v>514</v>
      </c>
      <c r="AD409" s="41" t="s">
        <v>22</v>
      </c>
      <c r="AE409" s="41" t="s">
        <v>22</v>
      </c>
      <c r="AF409" s="41" t="s">
        <v>22</v>
      </c>
      <c r="AG409" s="41" t="s">
        <v>22</v>
      </c>
      <c r="AH409" s="41" t="s">
        <v>22</v>
      </c>
      <c r="AI409" s="41" t="s">
        <v>22</v>
      </c>
      <c r="AJ409" s="41" t="s">
        <v>22</v>
      </c>
      <c r="AK409" s="41" t="s">
        <v>22</v>
      </c>
      <c r="AL409" s="41" t="s">
        <v>22</v>
      </c>
      <c r="AM409" s="43" t="e">
        <f t="shared" si="204"/>
        <v>#VALUE!</v>
      </c>
      <c r="AN409" s="43" t="e">
        <f t="shared" si="205"/>
        <v>#VALUE!</v>
      </c>
      <c r="AO409" s="3" t="s">
        <v>108</v>
      </c>
      <c r="AT409" s="2">
        <f t="shared" si="206"/>
        <v>6</v>
      </c>
      <c r="AU409" s="45">
        <f t="shared" si="207"/>
        <v>-1.2615823902119194</v>
      </c>
      <c r="AV409" s="45" t="e">
        <f t="shared" si="208"/>
        <v>#VALUE!</v>
      </c>
      <c r="AW409" s="45" t="e">
        <f t="shared" si="209"/>
        <v>#VALUE!</v>
      </c>
      <c r="AX409" s="45">
        <f t="shared" si="210"/>
        <v>2.7058637122839193</v>
      </c>
      <c r="AY409" s="45" t="e">
        <f t="shared" si="211"/>
        <v>#VALUE!</v>
      </c>
      <c r="AZ409" s="45">
        <f t="shared" si="212"/>
        <v>1.2603099457949201</v>
      </c>
      <c r="BA409" s="45" t="e">
        <f t="shared" si="213"/>
        <v>#VALUE!</v>
      </c>
      <c r="BB409" s="45" t="e">
        <f t="shared" si="214"/>
        <v>#NUM!</v>
      </c>
      <c r="BC409" s="45">
        <f t="shared" si="215"/>
        <v>0.74036268949424389</v>
      </c>
      <c r="BD409" s="45" t="e">
        <f t="shared" si="216"/>
        <v>#VALUE!</v>
      </c>
      <c r="BE409" s="45" t="e">
        <f t="shared" si="217"/>
        <v>#VALUE!</v>
      </c>
      <c r="BF409" s="45" t="e">
        <f t="shared" si="218"/>
        <v>#VALUE!</v>
      </c>
      <c r="BG409" s="45" t="e">
        <f t="shared" si="219"/>
        <v>#VALUE!</v>
      </c>
      <c r="BH409" s="45" t="e">
        <f t="shared" si="220"/>
        <v>#NUM!</v>
      </c>
      <c r="BI409" s="43" t="e">
        <f t="shared" si="221"/>
        <v>#VALUE!</v>
      </c>
      <c r="CA409" s="41" t="s">
        <v>22</v>
      </c>
      <c r="CC409" t="s">
        <v>22</v>
      </c>
      <c r="CE409" s="41" t="s">
        <v>22</v>
      </c>
      <c r="CF409" s="41" t="s">
        <v>22</v>
      </c>
      <c r="CG409" s="41" t="e">
        <f t="shared" si="223"/>
        <v>#VALUE!</v>
      </c>
      <c r="CH409" s="41" t="e">
        <f t="shared" si="224"/>
        <v>#VALUE!</v>
      </c>
      <c r="CI409" s="41">
        <f t="shared" si="222"/>
        <v>5.5</v>
      </c>
      <c r="CJ409" s="41">
        <f t="shared" si="225"/>
        <v>0.74036268949424389</v>
      </c>
      <c r="CL409" s="9" t="s">
        <v>1269</v>
      </c>
      <c r="CM409" s="18" t="s">
        <v>1285</v>
      </c>
      <c r="CN409" s="54" t="s">
        <v>1284</v>
      </c>
      <c r="CO409" s="18" t="s">
        <v>1284</v>
      </c>
    </row>
    <row r="410" spans="1:93" x14ac:dyDescent="0.25">
      <c r="A410" s="18" t="s">
        <v>141</v>
      </c>
      <c r="B410" s="41">
        <v>5.6011015139751499E-2</v>
      </c>
      <c r="C410" s="41" t="s">
        <v>22</v>
      </c>
      <c r="D410" s="41" t="s">
        <v>22</v>
      </c>
      <c r="E410" s="41" t="s">
        <v>22</v>
      </c>
      <c r="F410" s="18">
        <v>3.7680142006413102</v>
      </c>
      <c r="G410" s="18" t="s">
        <v>52</v>
      </c>
      <c r="H410" s="18" t="s">
        <v>22</v>
      </c>
      <c r="I410" s="18" t="s">
        <v>22</v>
      </c>
      <c r="J410" s="41" t="s">
        <v>22</v>
      </c>
      <c r="K410" s="18" t="s">
        <v>22</v>
      </c>
      <c r="M410" s="18" t="s">
        <v>23</v>
      </c>
      <c r="N410" s="41" t="s">
        <v>22</v>
      </c>
      <c r="O410" s="41" t="s">
        <v>22</v>
      </c>
      <c r="P410" s="41" t="s">
        <v>22</v>
      </c>
      <c r="R410" s="41" t="s">
        <v>22</v>
      </c>
      <c r="S410" s="41" t="s">
        <v>22</v>
      </c>
      <c r="T410" s="41" t="s">
        <v>107</v>
      </c>
      <c r="U410" s="41">
        <v>5.5</v>
      </c>
      <c r="V410" s="18">
        <v>20200507</v>
      </c>
      <c r="W410" s="21" t="s">
        <v>575</v>
      </c>
      <c r="X410" s="18">
        <v>2009</v>
      </c>
      <c r="Y410" s="18" t="s">
        <v>76</v>
      </c>
      <c r="Z410" s="18" t="s">
        <v>576</v>
      </c>
      <c r="AA410" s="18"/>
      <c r="AC410" s="18" t="s">
        <v>514</v>
      </c>
      <c r="AD410" s="41" t="s">
        <v>22</v>
      </c>
      <c r="AE410" s="41" t="s">
        <v>22</v>
      </c>
      <c r="AF410" s="41" t="s">
        <v>22</v>
      </c>
      <c r="AG410" s="41" t="s">
        <v>22</v>
      </c>
      <c r="AH410" s="41" t="s">
        <v>22</v>
      </c>
      <c r="AI410" s="41" t="s">
        <v>22</v>
      </c>
      <c r="AJ410" s="41" t="s">
        <v>22</v>
      </c>
      <c r="AK410" s="41" t="s">
        <v>22</v>
      </c>
      <c r="AL410" s="41" t="s">
        <v>22</v>
      </c>
      <c r="AM410" s="43" t="e">
        <f t="shared" si="204"/>
        <v>#VALUE!</v>
      </c>
      <c r="AN410" s="43" t="e">
        <f t="shared" si="205"/>
        <v>#VALUE!</v>
      </c>
      <c r="AO410" s="19" t="s">
        <v>108</v>
      </c>
      <c r="AP410" s="18"/>
      <c r="AQ410" s="18"/>
      <c r="AR410" s="18"/>
      <c r="AS410" s="18"/>
      <c r="AT410" s="2">
        <f t="shared" si="206"/>
        <v>6</v>
      </c>
      <c r="AU410" s="45">
        <f t="shared" si="207"/>
        <v>-1.2517265561368784</v>
      </c>
      <c r="AV410" s="45" t="e">
        <f t="shared" si="208"/>
        <v>#VALUE!</v>
      </c>
      <c r="AW410" s="45" t="e">
        <f t="shared" si="209"/>
        <v>#VALUE!</v>
      </c>
      <c r="AX410" s="45" t="e">
        <f t="shared" si="210"/>
        <v>#VALUE!</v>
      </c>
      <c r="AY410" s="45" t="e">
        <f t="shared" si="211"/>
        <v>#VALUE!</v>
      </c>
      <c r="AZ410" s="45" t="e">
        <f t="shared" si="212"/>
        <v>#VALUE!</v>
      </c>
      <c r="BA410" s="45" t="e">
        <f t="shared" si="213"/>
        <v>#VALUE!</v>
      </c>
      <c r="BB410" s="45" t="e">
        <f t="shared" si="214"/>
        <v>#NUM!</v>
      </c>
      <c r="BC410" s="45">
        <f t="shared" si="215"/>
        <v>0.74036268949424389</v>
      </c>
      <c r="BD410" s="45" t="e">
        <f t="shared" si="216"/>
        <v>#VALUE!</v>
      </c>
      <c r="BE410" s="45" t="e">
        <f t="shared" si="217"/>
        <v>#VALUE!</v>
      </c>
      <c r="BF410" s="45" t="e">
        <f t="shared" si="218"/>
        <v>#VALUE!</v>
      </c>
      <c r="BG410" s="45" t="e">
        <f t="shared" si="219"/>
        <v>#VALUE!</v>
      </c>
      <c r="BH410" s="45" t="e">
        <f t="shared" si="220"/>
        <v>#NUM!</v>
      </c>
      <c r="BI410" s="43" t="e">
        <f t="shared" si="221"/>
        <v>#VALUE!</v>
      </c>
      <c r="BJ410" s="18"/>
      <c r="BK410" s="18"/>
      <c r="BL410" s="20"/>
      <c r="BS410" s="18"/>
      <c r="BT410" s="18"/>
      <c r="CA410" s="41" t="s">
        <v>22</v>
      </c>
      <c r="CB410" s="18"/>
      <c r="CC410" s="18" t="s">
        <v>22</v>
      </c>
      <c r="CD410" s="18"/>
      <c r="CE410" s="41" t="s">
        <v>22</v>
      </c>
      <c r="CF410" s="41" t="s">
        <v>22</v>
      </c>
      <c r="CG410" s="41" t="e">
        <f t="shared" si="223"/>
        <v>#VALUE!</v>
      </c>
      <c r="CH410" s="41" t="e">
        <f t="shared" si="224"/>
        <v>#VALUE!</v>
      </c>
      <c r="CI410" s="41">
        <f t="shared" si="222"/>
        <v>5.5</v>
      </c>
      <c r="CJ410" s="41">
        <f t="shared" si="225"/>
        <v>0.74036268949424389</v>
      </c>
      <c r="CK410" s="18"/>
      <c r="CL410" s="9" t="s">
        <v>1269</v>
      </c>
      <c r="CM410" s="18" t="s">
        <v>1285</v>
      </c>
      <c r="CN410" s="54" t="s">
        <v>1284</v>
      </c>
      <c r="CO410" s="18" t="s">
        <v>1284</v>
      </c>
    </row>
    <row r="411" spans="1:93" x14ac:dyDescent="0.25">
      <c r="A411" t="s">
        <v>141</v>
      </c>
      <c r="B411" s="41">
        <v>0.06</v>
      </c>
      <c r="C411" s="41" t="s">
        <v>22</v>
      </c>
      <c r="D411" s="41" t="s">
        <v>22</v>
      </c>
      <c r="E411" s="41" t="s">
        <v>22</v>
      </c>
      <c r="F411">
        <v>6.9</v>
      </c>
      <c r="G411" t="s">
        <v>52</v>
      </c>
      <c r="H411" t="s">
        <v>22</v>
      </c>
      <c r="I411" t="s">
        <v>22</v>
      </c>
      <c r="J411" s="41" t="s">
        <v>22</v>
      </c>
      <c r="K411" t="s">
        <v>22</v>
      </c>
      <c r="L411" s="41" t="e">
        <f t="shared" ref="L411:L421" si="226">IF((10^-12)*J411*K411^4=0,"",(10^-12)*J411*K411^4)</f>
        <v>#VALUE!</v>
      </c>
      <c r="M411" t="s">
        <v>23</v>
      </c>
      <c r="N411" s="41">
        <v>668</v>
      </c>
      <c r="O411" s="41" t="s">
        <v>22</v>
      </c>
      <c r="P411" s="41">
        <v>25.45</v>
      </c>
      <c r="R411" s="41">
        <f>N411*B411</f>
        <v>40.08</v>
      </c>
      <c r="S411" s="41" t="s">
        <v>22</v>
      </c>
      <c r="T411" s="41" t="s">
        <v>107</v>
      </c>
      <c r="U411" s="41">
        <v>5.5</v>
      </c>
      <c r="V411">
        <v>20200507</v>
      </c>
      <c r="W411" s="21" t="s">
        <v>109</v>
      </c>
      <c r="X411" s="18">
        <v>2009</v>
      </c>
      <c r="Y411" t="s">
        <v>76</v>
      </c>
      <c r="Z411" t="s">
        <v>110</v>
      </c>
      <c r="AC411" t="s">
        <v>514</v>
      </c>
      <c r="AD411" s="41" t="s">
        <v>22</v>
      </c>
      <c r="AE411" s="41" t="s">
        <v>22</v>
      </c>
      <c r="AF411" s="41" t="s">
        <v>22</v>
      </c>
      <c r="AG411" s="41" t="s">
        <v>22</v>
      </c>
      <c r="AH411" s="41" t="s">
        <v>22</v>
      </c>
      <c r="AI411" s="41" t="s">
        <v>22</v>
      </c>
      <c r="AJ411" s="41" t="s">
        <v>22</v>
      </c>
      <c r="AK411" s="41" t="s">
        <v>22</v>
      </c>
      <c r="AL411" s="41" t="s">
        <v>22</v>
      </c>
      <c r="AM411" s="43" t="e">
        <f t="shared" si="204"/>
        <v>#VALUE!</v>
      </c>
      <c r="AN411" s="43" t="e">
        <f t="shared" si="205"/>
        <v>#VALUE!</v>
      </c>
      <c r="AO411" s="19" t="s">
        <v>108</v>
      </c>
      <c r="AT411" s="2">
        <f t="shared" si="206"/>
        <v>6</v>
      </c>
      <c r="AU411" s="45">
        <f t="shared" si="207"/>
        <v>-1.2218487496163564</v>
      </c>
      <c r="AV411" s="45" t="e">
        <f t="shared" si="208"/>
        <v>#VALUE!</v>
      </c>
      <c r="AW411" s="45" t="e">
        <f t="shared" si="209"/>
        <v>#VALUE!</v>
      </c>
      <c r="AX411" s="45">
        <f t="shared" si="210"/>
        <v>2.8247764624755458</v>
      </c>
      <c r="AY411" s="45" t="e">
        <f t="shared" si="211"/>
        <v>#VALUE!</v>
      </c>
      <c r="AZ411" s="45">
        <f t="shared" si="212"/>
        <v>1.4056877866727775</v>
      </c>
      <c r="BA411" s="45" t="e">
        <f t="shared" si="213"/>
        <v>#VALUE!</v>
      </c>
      <c r="BB411" s="45" t="e">
        <f t="shared" si="214"/>
        <v>#VALUE!</v>
      </c>
      <c r="BC411" s="45">
        <f t="shared" si="215"/>
        <v>0.74036268949424389</v>
      </c>
      <c r="BD411" s="45" t="e">
        <f t="shared" si="216"/>
        <v>#VALUE!</v>
      </c>
      <c r="BE411" s="45" t="e">
        <f t="shared" si="217"/>
        <v>#VALUE!</v>
      </c>
      <c r="BF411" s="45" t="e">
        <f t="shared" si="218"/>
        <v>#VALUE!</v>
      </c>
      <c r="BG411" s="45" t="e">
        <f t="shared" si="219"/>
        <v>#VALUE!</v>
      </c>
      <c r="BH411" s="45" t="e">
        <f t="shared" si="220"/>
        <v>#NUM!</v>
      </c>
      <c r="BI411" s="43" t="e">
        <f t="shared" si="221"/>
        <v>#VALUE!</v>
      </c>
      <c r="CA411" s="41" t="s">
        <v>22</v>
      </c>
      <c r="CC411" t="s">
        <v>22</v>
      </c>
      <c r="CE411" s="41" t="s">
        <v>22</v>
      </c>
      <c r="CF411" s="41" t="s">
        <v>22</v>
      </c>
      <c r="CG411" s="41" t="e">
        <f t="shared" si="223"/>
        <v>#VALUE!</v>
      </c>
      <c r="CH411" s="41" t="e">
        <f t="shared" si="224"/>
        <v>#VALUE!</v>
      </c>
      <c r="CI411" s="41">
        <f t="shared" si="222"/>
        <v>5.5</v>
      </c>
      <c r="CJ411" s="41">
        <f t="shared" si="225"/>
        <v>0.74036268949424389</v>
      </c>
      <c r="CL411" s="9" t="s">
        <v>1269</v>
      </c>
      <c r="CM411" s="18" t="s">
        <v>1285</v>
      </c>
      <c r="CN411" s="54" t="s">
        <v>1284</v>
      </c>
      <c r="CO411" s="18" t="s">
        <v>1284</v>
      </c>
    </row>
    <row r="412" spans="1:93" x14ac:dyDescent="0.25">
      <c r="A412" t="s">
        <v>342</v>
      </c>
      <c r="B412" s="41">
        <v>2.4009999999999999E-3</v>
      </c>
      <c r="C412" s="41">
        <v>0.20300000000000001</v>
      </c>
      <c r="D412" s="41">
        <v>1.18E-2</v>
      </c>
      <c r="E412" s="41" t="s">
        <v>22</v>
      </c>
      <c r="F412" t="s">
        <v>22</v>
      </c>
      <c r="G412" t="s">
        <v>22</v>
      </c>
      <c r="H412" t="s">
        <v>22</v>
      </c>
      <c r="I412" t="s">
        <v>22</v>
      </c>
      <c r="J412" s="41" t="s">
        <v>22</v>
      </c>
      <c r="K412" t="s">
        <v>22</v>
      </c>
      <c r="L412" s="41" t="e">
        <f t="shared" si="226"/>
        <v>#VALUE!</v>
      </c>
      <c r="M412" t="s">
        <v>23</v>
      </c>
      <c r="N412" s="41" t="s">
        <v>22</v>
      </c>
      <c r="O412" s="41" t="s">
        <v>22</v>
      </c>
      <c r="P412" s="41" t="s">
        <v>22</v>
      </c>
      <c r="R412" s="41" t="s">
        <v>22</v>
      </c>
      <c r="S412" s="41" t="s">
        <v>22</v>
      </c>
      <c r="T412" s="41">
        <v>11.54</v>
      </c>
      <c r="U412" s="41">
        <v>11.54</v>
      </c>
      <c r="V412">
        <v>20200511</v>
      </c>
      <c r="W412" s="21" t="s">
        <v>319</v>
      </c>
      <c r="X412" s="18">
        <v>2009</v>
      </c>
      <c r="Y412" t="s">
        <v>328</v>
      </c>
      <c r="Z412" t="s">
        <v>32</v>
      </c>
      <c r="AC412" t="s">
        <v>269</v>
      </c>
      <c r="AD412" s="41" t="s">
        <v>22</v>
      </c>
      <c r="AE412" s="41" t="s">
        <v>22</v>
      </c>
      <c r="AF412" s="41" t="s">
        <v>22</v>
      </c>
      <c r="AG412" s="41" t="s">
        <v>22</v>
      </c>
      <c r="AH412" s="41" t="s">
        <v>22</v>
      </c>
      <c r="AI412" s="41" t="s">
        <v>22</v>
      </c>
      <c r="AJ412" s="41" t="s">
        <v>22</v>
      </c>
      <c r="AK412" s="41" t="s">
        <v>22</v>
      </c>
      <c r="AL412" s="41" t="s">
        <v>22</v>
      </c>
      <c r="AM412" s="43" t="e">
        <f t="shared" si="204"/>
        <v>#VALUE!</v>
      </c>
      <c r="AN412" s="43" t="e">
        <f t="shared" si="205"/>
        <v>#VALUE!</v>
      </c>
      <c r="AO412" s="19" t="s">
        <v>320</v>
      </c>
      <c r="AT412" s="2">
        <f t="shared" si="206"/>
        <v>4</v>
      </c>
      <c r="AU412" s="45">
        <f t="shared" si="207"/>
        <v>-2.6196078399429727</v>
      </c>
      <c r="AV412" s="45">
        <f t="shared" si="208"/>
        <v>-0.69250396208678711</v>
      </c>
      <c r="AW412" s="45">
        <f t="shared" si="209"/>
        <v>-1.9281179926938745</v>
      </c>
      <c r="AX412" s="45" t="e">
        <f t="shared" si="210"/>
        <v>#VALUE!</v>
      </c>
      <c r="AY412" s="45" t="e">
        <f t="shared" si="211"/>
        <v>#VALUE!</v>
      </c>
      <c r="AZ412" s="45" t="e">
        <f t="shared" si="212"/>
        <v>#VALUE!</v>
      </c>
      <c r="BA412" s="45" t="e">
        <f t="shared" si="213"/>
        <v>#VALUE!</v>
      </c>
      <c r="BB412" s="45" t="e">
        <f t="shared" si="214"/>
        <v>#VALUE!</v>
      </c>
      <c r="BC412" s="45">
        <f t="shared" si="215"/>
        <v>1.0622058088197126</v>
      </c>
      <c r="BD412" s="45" t="e">
        <f t="shared" si="216"/>
        <v>#VALUE!</v>
      </c>
      <c r="BE412" s="45" t="e">
        <f t="shared" si="217"/>
        <v>#VALUE!</v>
      </c>
      <c r="BF412" s="45" t="e">
        <f t="shared" si="218"/>
        <v>#VALUE!</v>
      </c>
      <c r="BG412" s="45" t="e">
        <f t="shared" si="219"/>
        <v>#VALUE!</v>
      </c>
      <c r="BH412" s="45" t="e">
        <f t="shared" si="220"/>
        <v>#NUM!</v>
      </c>
      <c r="BI412" s="43" t="e">
        <f t="shared" si="221"/>
        <v>#VALUE!</v>
      </c>
      <c r="CA412" s="41" t="s">
        <v>22</v>
      </c>
      <c r="CC412" t="s">
        <v>22</v>
      </c>
      <c r="CE412" s="41" t="s">
        <v>22</v>
      </c>
      <c r="CF412" s="41" t="s">
        <v>22</v>
      </c>
      <c r="CG412" s="41" t="e">
        <f t="shared" si="223"/>
        <v>#VALUE!</v>
      </c>
      <c r="CH412" s="41" t="e">
        <f t="shared" si="224"/>
        <v>#VALUE!</v>
      </c>
      <c r="CI412" s="41">
        <f t="shared" si="222"/>
        <v>11.54</v>
      </c>
      <c r="CJ412" s="41">
        <f t="shared" si="225"/>
        <v>1.0622058088197126</v>
      </c>
      <c r="CL412" s="9" t="s">
        <v>1269</v>
      </c>
      <c r="CM412" s="18" t="s">
        <v>1285</v>
      </c>
      <c r="CN412" s="54" t="s">
        <v>1284</v>
      </c>
      <c r="CO412" s="18" t="s">
        <v>1284</v>
      </c>
    </row>
    <row r="413" spans="1:93" x14ac:dyDescent="0.25">
      <c r="A413" s="18" t="s">
        <v>342</v>
      </c>
      <c r="B413" s="41">
        <v>2.5374E-3</v>
      </c>
      <c r="C413" s="41">
        <v>0.21310000000000001</v>
      </c>
      <c r="D413" s="41">
        <v>1.191E-2</v>
      </c>
      <c r="E413" s="41" t="s">
        <v>22</v>
      </c>
      <c r="F413" s="18" t="s">
        <v>22</v>
      </c>
      <c r="G413" s="18" t="s">
        <v>22</v>
      </c>
      <c r="H413" s="18" t="s">
        <v>22</v>
      </c>
      <c r="I413" s="18" t="s">
        <v>22</v>
      </c>
      <c r="J413" s="41" t="s">
        <v>22</v>
      </c>
      <c r="K413" s="18" t="s">
        <v>22</v>
      </c>
      <c r="L413" s="41" t="e">
        <f t="shared" si="226"/>
        <v>#VALUE!</v>
      </c>
      <c r="M413" s="18" t="s">
        <v>23</v>
      </c>
      <c r="N413" s="41" t="s">
        <v>22</v>
      </c>
      <c r="O413" s="41" t="s">
        <v>22</v>
      </c>
      <c r="P413" s="41" t="s">
        <v>22</v>
      </c>
      <c r="R413" s="41" t="s">
        <v>22</v>
      </c>
      <c r="S413" s="41" t="s">
        <v>22</v>
      </c>
      <c r="T413" s="41">
        <v>10</v>
      </c>
      <c r="U413" s="41">
        <v>10</v>
      </c>
      <c r="V413" s="18">
        <v>20200511</v>
      </c>
      <c r="W413" s="21" t="s">
        <v>321</v>
      </c>
      <c r="X413" s="18">
        <v>2009</v>
      </c>
      <c r="Y413" s="18" t="s">
        <v>328</v>
      </c>
      <c r="Z413" s="18" t="s">
        <v>32</v>
      </c>
      <c r="AA413" s="18"/>
      <c r="AC413" s="18" t="s">
        <v>269</v>
      </c>
      <c r="AD413" s="41" t="s">
        <v>22</v>
      </c>
      <c r="AE413" s="41" t="s">
        <v>22</v>
      </c>
      <c r="AF413" s="41" t="s">
        <v>22</v>
      </c>
      <c r="AG413" s="41" t="s">
        <v>22</v>
      </c>
      <c r="AH413" s="41" t="s">
        <v>22</v>
      </c>
      <c r="AI413" s="41" t="s">
        <v>22</v>
      </c>
      <c r="AJ413" s="41" t="s">
        <v>22</v>
      </c>
      <c r="AK413" s="41" t="s">
        <v>22</v>
      </c>
      <c r="AL413" s="41" t="s">
        <v>22</v>
      </c>
      <c r="AM413" s="43" t="e">
        <f t="shared" si="204"/>
        <v>#VALUE!</v>
      </c>
      <c r="AN413" s="43" t="e">
        <f t="shared" si="205"/>
        <v>#VALUE!</v>
      </c>
      <c r="AO413" s="19" t="s">
        <v>320</v>
      </c>
      <c r="AP413" s="18"/>
      <c r="AQ413" s="18"/>
      <c r="AR413" s="18"/>
      <c r="AS413" s="18"/>
      <c r="AT413" s="2">
        <f t="shared" si="206"/>
        <v>4</v>
      </c>
      <c r="AU413" s="45">
        <f t="shared" si="207"/>
        <v>-2.5956110644694559</v>
      </c>
      <c r="AV413" s="45">
        <f t="shared" si="208"/>
        <v>-0.67141655028579805</v>
      </c>
      <c r="AW413" s="45">
        <f t="shared" si="209"/>
        <v>-1.9240882385172224</v>
      </c>
      <c r="AX413" s="45" t="e">
        <f t="shared" si="210"/>
        <v>#VALUE!</v>
      </c>
      <c r="AY413" s="45" t="e">
        <f t="shared" si="211"/>
        <v>#VALUE!</v>
      </c>
      <c r="AZ413" s="45" t="e">
        <f t="shared" si="212"/>
        <v>#VALUE!</v>
      </c>
      <c r="BA413" s="45" t="e">
        <f t="shared" si="213"/>
        <v>#VALUE!</v>
      </c>
      <c r="BB413" s="45" t="e">
        <f t="shared" si="214"/>
        <v>#VALUE!</v>
      </c>
      <c r="BC413" s="45">
        <f t="shared" si="215"/>
        <v>1</v>
      </c>
      <c r="BD413" s="45" t="e">
        <f t="shared" si="216"/>
        <v>#VALUE!</v>
      </c>
      <c r="BE413" s="45" t="e">
        <f t="shared" si="217"/>
        <v>#VALUE!</v>
      </c>
      <c r="BF413" s="45" t="e">
        <f t="shared" si="218"/>
        <v>#VALUE!</v>
      </c>
      <c r="BG413" s="45" t="e">
        <f t="shared" si="219"/>
        <v>#VALUE!</v>
      </c>
      <c r="BH413" s="45" t="e">
        <f t="shared" si="220"/>
        <v>#NUM!</v>
      </c>
      <c r="BI413" s="43" t="e">
        <f t="shared" si="221"/>
        <v>#VALUE!</v>
      </c>
      <c r="BJ413" s="18"/>
      <c r="BK413" s="18"/>
      <c r="BL413" s="20"/>
      <c r="BS413" s="18"/>
      <c r="BT413" s="18"/>
      <c r="CA413" s="41" t="s">
        <v>22</v>
      </c>
      <c r="CB413" s="18"/>
      <c r="CC413" s="18" t="s">
        <v>22</v>
      </c>
      <c r="CD413" s="18"/>
      <c r="CE413" s="41" t="s">
        <v>22</v>
      </c>
      <c r="CF413" s="41" t="s">
        <v>22</v>
      </c>
      <c r="CG413" s="41" t="e">
        <f t="shared" si="223"/>
        <v>#VALUE!</v>
      </c>
      <c r="CH413" s="41" t="e">
        <f t="shared" si="224"/>
        <v>#VALUE!</v>
      </c>
      <c r="CI413" s="41">
        <f t="shared" si="222"/>
        <v>10</v>
      </c>
      <c r="CJ413" s="41">
        <f t="shared" si="225"/>
        <v>1</v>
      </c>
      <c r="CK413" s="18"/>
      <c r="CL413" s="9" t="s">
        <v>1269</v>
      </c>
      <c r="CM413" s="18" t="s">
        <v>1285</v>
      </c>
      <c r="CN413" s="54" t="s">
        <v>1284</v>
      </c>
      <c r="CO413" s="18" t="s">
        <v>1284</v>
      </c>
    </row>
    <row r="414" spans="1:93" x14ac:dyDescent="0.25">
      <c r="A414" t="s">
        <v>342</v>
      </c>
      <c r="B414" s="41">
        <v>3.6289999999999998E-3</v>
      </c>
      <c r="C414" s="41">
        <v>0.33</v>
      </c>
      <c r="D414" s="41">
        <v>1.11E-2</v>
      </c>
      <c r="E414" s="41" t="s">
        <v>22</v>
      </c>
      <c r="F414" t="s">
        <v>22</v>
      </c>
      <c r="G414" t="s">
        <v>22</v>
      </c>
      <c r="H414" t="s">
        <v>22</v>
      </c>
      <c r="I414" t="s">
        <v>22</v>
      </c>
      <c r="J414" s="41" t="s">
        <v>22</v>
      </c>
      <c r="K414" t="s">
        <v>22</v>
      </c>
      <c r="L414" s="41" t="e">
        <f t="shared" si="226"/>
        <v>#VALUE!</v>
      </c>
      <c r="M414" t="s">
        <v>23</v>
      </c>
      <c r="N414" s="41" t="s">
        <v>22</v>
      </c>
      <c r="O414" s="41" t="s">
        <v>22</v>
      </c>
      <c r="P414" s="41" t="s">
        <v>22</v>
      </c>
      <c r="R414" s="41" t="s">
        <v>22</v>
      </c>
      <c r="S414" s="41" t="s">
        <v>22</v>
      </c>
      <c r="T414" s="41">
        <v>10.8</v>
      </c>
      <c r="U414" s="41">
        <v>10.8</v>
      </c>
      <c r="V414">
        <v>20200511</v>
      </c>
      <c r="W414" s="21" t="s">
        <v>322</v>
      </c>
      <c r="X414" s="18">
        <v>2009</v>
      </c>
      <c r="Y414" t="s">
        <v>328</v>
      </c>
      <c r="Z414" t="s">
        <v>32</v>
      </c>
      <c r="AC414" t="s">
        <v>269</v>
      </c>
      <c r="AD414" s="41" t="s">
        <v>22</v>
      </c>
      <c r="AE414" s="41" t="s">
        <v>22</v>
      </c>
      <c r="AF414" s="41" t="s">
        <v>22</v>
      </c>
      <c r="AG414" s="41" t="s">
        <v>22</v>
      </c>
      <c r="AH414" s="41" t="s">
        <v>22</v>
      </c>
      <c r="AI414" s="41" t="s">
        <v>22</v>
      </c>
      <c r="AJ414" s="41" t="s">
        <v>22</v>
      </c>
      <c r="AK414" s="41" t="s">
        <v>22</v>
      </c>
      <c r="AL414" s="41" t="s">
        <v>22</v>
      </c>
      <c r="AM414" s="43" t="e">
        <f t="shared" si="204"/>
        <v>#VALUE!</v>
      </c>
      <c r="AN414" s="43" t="e">
        <f t="shared" si="205"/>
        <v>#VALUE!</v>
      </c>
      <c r="AO414" s="19" t="s">
        <v>320</v>
      </c>
      <c r="AT414" s="2">
        <f t="shared" si="206"/>
        <v>4</v>
      </c>
      <c r="AU414" s="45">
        <f t="shared" si="207"/>
        <v>-2.4402130317994435</v>
      </c>
      <c r="AV414" s="45">
        <f t="shared" si="208"/>
        <v>-0.48148606012211248</v>
      </c>
      <c r="AW414" s="45">
        <f t="shared" si="209"/>
        <v>-1.9546770212133426</v>
      </c>
      <c r="AX414" s="45" t="e">
        <f t="shared" si="210"/>
        <v>#VALUE!</v>
      </c>
      <c r="AY414" s="45" t="e">
        <f t="shared" si="211"/>
        <v>#VALUE!</v>
      </c>
      <c r="AZ414" s="45" t="e">
        <f t="shared" si="212"/>
        <v>#VALUE!</v>
      </c>
      <c r="BA414" s="45" t="e">
        <f t="shared" si="213"/>
        <v>#VALUE!</v>
      </c>
      <c r="BB414" s="45" t="e">
        <f t="shared" si="214"/>
        <v>#VALUE!</v>
      </c>
      <c r="BC414" s="45">
        <f t="shared" si="215"/>
        <v>1.0334237554869496</v>
      </c>
      <c r="BD414" s="45" t="e">
        <f t="shared" si="216"/>
        <v>#VALUE!</v>
      </c>
      <c r="BE414" s="45" t="e">
        <f t="shared" si="217"/>
        <v>#VALUE!</v>
      </c>
      <c r="BF414" s="45" t="e">
        <f t="shared" si="218"/>
        <v>#VALUE!</v>
      </c>
      <c r="BG414" s="45" t="e">
        <f t="shared" si="219"/>
        <v>#VALUE!</v>
      </c>
      <c r="BH414" s="45" t="e">
        <f t="shared" si="220"/>
        <v>#NUM!</v>
      </c>
      <c r="BI414" s="43" t="e">
        <f t="shared" si="221"/>
        <v>#VALUE!</v>
      </c>
      <c r="CA414" s="41" t="s">
        <v>22</v>
      </c>
      <c r="CC414" t="s">
        <v>22</v>
      </c>
      <c r="CE414" s="41" t="s">
        <v>22</v>
      </c>
      <c r="CF414" s="41" t="s">
        <v>22</v>
      </c>
      <c r="CG414" s="41" t="e">
        <f t="shared" si="223"/>
        <v>#VALUE!</v>
      </c>
      <c r="CH414" s="41" t="e">
        <f t="shared" si="224"/>
        <v>#VALUE!</v>
      </c>
      <c r="CI414" s="41">
        <f t="shared" si="222"/>
        <v>10.8</v>
      </c>
      <c r="CJ414" s="41">
        <f t="shared" si="225"/>
        <v>1.0334237554869496</v>
      </c>
      <c r="CL414" s="9" t="s">
        <v>1269</v>
      </c>
      <c r="CM414" s="18" t="s">
        <v>1285</v>
      </c>
      <c r="CN414" s="54" t="s">
        <v>1284</v>
      </c>
      <c r="CO414" s="18" t="s">
        <v>1284</v>
      </c>
    </row>
    <row r="415" spans="1:93" x14ac:dyDescent="0.25">
      <c r="A415" t="s">
        <v>342</v>
      </c>
      <c r="B415" s="41">
        <v>1.3680999999999999E-3</v>
      </c>
      <c r="C415" s="41">
        <v>0.2467</v>
      </c>
      <c r="D415" s="41">
        <v>5.4999999999999997E-3</v>
      </c>
      <c r="E415" s="41" t="s">
        <v>22</v>
      </c>
      <c r="F415" t="s">
        <v>22</v>
      </c>
      <c r="G415" t="s">
        <v>22</v>
      </c>
      <c r="H415" t="s">
        <v>22</v>
      </c>
      <c r="I415" t="s">
        <v>22</v>
      </c>
      <c r="J415" s="41" t="s">
        <v>22</v>
      </c>
      <c r="K415" t="s">
        <v>22</v>
      </c>
      <c r="L415" s="41" t="e">
        <f t="shared" si="226"/>
        <v>#VALUE!</v>
      </c>
      <c r="M415" t="s">
        <v>23</v>
      </c>
      <c r="N415" s="41" t="s">
        <v>22</v>
      </c>
      <c r="O415" s="41" t="s">
        <v>22</v>
      </c>
      <c r="P415" s="41" t="s">
        <v>22</v>
      </c>
      <c r="R415" s="41" t="s">
        <v>22</v>
      </c>
      <c r="S415" s="41" t="s">
        <v>22</v>
      </c>
      <c r="T415" s="41">
        <v>12.74</v>
      </c>
      <c r="U415" s="41">
        <v>12.74</v>
      </c>
      <c r="V415">
        <v>20200511</v>
      </c>
      <c r="W415" s="21" t="s">
        <v>323</v>
      </c>
      <c r="X415" s="18">
        <v>2009</v>
      </c>
      <c r="Y415" t="s">
        <v>328</v>
      </c>
      <c r="Z415" t="s">
        <v>32</v>
      </c>
      <c r="AC415" t="s">
        <v>269</v>
      </c>
      <c r="AD415" s="41" t="s">
        <v>22</v>
      </c>
      <c r="AE415" s="41" t="s">
        <v>22</v>
      </c>
      <c r="AF415" s="41" t="s">
        <v>22</v>
      </c>
      <c r="AG415" s="41" t="s">
        <v>22</v>
      </c>
      <c r="AH415" s="41" t="s">
        <v>22</v>
      </c>
      <c r="AI415" s="41" t="s">
        <v>22</v>
      </c>
      <c r="AJ415" s="41" t="s">
        <v>22</v>
      </c>
      <c r="AK415" s="41" t="s">
        <v>22</v>
      </c>
      <c r="AL415" s="41" t="s">
        <v>22</v>
      </c>
      <c r="AM415" s="43" t="e">
        <f t="shared" si="204"/>
        <v>#VALUE!</v>
      </c>
      <c r="AN415" s="43" t="e">
        <f t="shared" si="205"/>
        <v>#VALUE!</v>
      </c>
      <c r="AO415" s="19" t="s">
        <v>320</v>
      </c>
      <c r="AT415" s="2">
        <f t="shared" si="206"/>
        <v>4</v>
      </c>
      <c r="AU415" s="45">
        <f t="shared" si="207"/>
        <v>-2.8638821571035238</v>
      </c>
      <c r="AV415" s="45">
        <f t="shared" si="208"/>
        <v>-0.60783085051026398</v>
      </c>
      <c r="AW415" s="45">
        <f t="shared" si="209"/>
        <v>-2.2596373105057563</v>
      </c>
      <c r="AX415" s="45" t="e">
        <f t="shared" si="210"/>
        <v>#VALUE!</v>
      </c>
      <c r="AY415" s="45" t="e">
        <f t="shared" si="211"/>
        <v>#VALUE!</v>
      </c>
      <c r="AZ415" s="45" t="e">
        <f t="shared" si="212"/>
        <v>#VALUE!</v>
      </c>
      <c r="BA415" s="45" t="e">
        <f t="shared" si="213"/>
        <v>#VALUE!</v>
      </c>
      <c r="BB415" s="45" t="e">
        <f t="shared" si="214"/>
        <v>#VALUE!</v>
      </c>
      <c r="BC415" s="45">
        <f t="shared" si="215"/>
        <v>1.1051694279993316</v>
      </c>
      <c r="BD415" s="45" t="e">
        <f t="shared" si="216"/>
        <v>#VALUE!</v>
      </c>
      <c r="BE415" s="45" t="e">
        <f t="shared" si="217"/>
        <v>#VALUE!</v>
      </c>
      <c r="BF415" s="45" t="e">
        <f t="shared" si="218"/>
        <v>#VALUE!</v>
      </c>
      <c r="BG415" s="45" t="e">
        <f t="shared" si="219"/>
        <v>#VALUE!</v>
      </c>
      <c r="BH415" s="45" t="e">
        <f t="shared" si="220"/>
        <v>#NUM!</v>
      </c>
      <c r="BI415" s="43" t="e">
        <f t="shared" si="221"/>
        <v>#VALUE!</v>
      </c>
      <c r="CA415" s="41" t="s">
        <v>22</v>
      </c>
      <c r="CC415" t="s">
        <v>22</v>
      </c>
      <c r="CE415" s="41" t="s">
        <v>22</v>
      </c>
      <c r="CF415" s="41" t="s">
        <v>22</v>
      </c>
      <c r="CG415" s="41" t="e">
        <f t="shared" si="223"/>
        <v>#VALUE!</v>
      </c>
      <c r="CH415" s="41" t="e">
        <f t="shared" si="224"/>
        <v>#VALUE!</v>
      </c>
      <c r="CI415" s="41">
        <f t="shared" si="222"/>
        <v>12.74</v>
      </c>
      <c r="CJ415" s="41">
        <f t="shared" si="225"/>
        <v>1.1051694279993316</v>
      </c>
      <c r="CL415" s="9" t="s">
        <v>1269</v>
      </c>
      <c r="CM415" s="18" t="s">
        <v>1285</v>
      </c>
      <c r="CN415" s="54" t="s">
        <v>1284</v>
      </c>
      <c r="CO415" s="18" t="s">
        <v>1284</v>
      </c>
    </row>
    <row r="416" spans="1:93" x14ac:dyDescent="0.25">
      <c r="A416" t="s">
        <v>342</v>
      </c>
      <c r="B416" s="41">
        <v>8.0260000000000001E-3</v>
      </c>
      <c r="C416" s="41" t="s">
        <v>22</v>
      </c>
      <c r="D416" s="41" t="s">
        <v>22</v>
      </c>
      <c r="E416" s="41" t="s">
        <v>22</v>
      </c>
      <c r="F416" t="s">
        <v>22</v>
      </c>
      <c r="G416" t="s">
        <v>22</v>
      </c>
      <c r="H416" t="s">
        <v>22</v>
      </c>
      <c r="I416" t="s">
        <v>22</v>
      </c>
      <c r="J416" s="41">
        <v>3.7037037037037033</v>
      </c>
      <c r="K416">
        <v>514.5</v>
      </c>
      <c r="L416" s="41">
        <f t="shared" si="226"/>
        <v>0.25952413501874999</v>
      </c>
      <c r="M416" t="s">
        <v>23</v>
      </c>
      <c r="N416" s="41" t="s">
        <v>22</v>
      </c>
      <c r="O416" s="41" t="s">
        <v>22</v>
      </c>
      <c r="P416" s="41" t="s">
        <v>22</v>
      </c>
      <c r="R416" s="41" t="s">
        <v>22</v>
      </c>
      <c r="S416" s="41" t="s">
        <v>22</v>
      </c>
      <c r="T416" s="41">
        <v>50</v>
      </c>
      <c r="U416" s="41">
        <v>50</v>
      </c>
      <c r="V416">
        <v>20200511</v>
      </c>
      <c r="W416" s="21"/>
      <c r="X416" s="18">
        <v>2009</v>
      </c>
      <c r="Y416" t="s">
        <v>674</v>
      </c>
      <c r="Z416" t="s">
        <v>673</v>
      </c>
      <c r="AC416" t="s">
        <v>269</v>
      </c>
      <c r="AD416" s="41" t="s">
        <v>22</v>
      </c>
      <c r="AE416" s="41" t="s">
        <v>22</v>
      </c>
      <c r="AF416" s="41">
        <v>4.5</v>
      </c>
      <c r="AG416" s="41" t="s">
        <v>22</v>
      </c>
      <c r="AH416" s="41">
        <v>0.15748031496062992</v>
      </c>
      <c r="AI416" s="41">
        <v>0.15503875968992248</v>
      </c>
      <c r="AJ416" s="41">
        <v>0.15101177891875567</v>
      </c>
      <c r="AK416" s="41">
        <v>0.14136273678258413</v>
      </c>
      <c r="AL416" s="41">
        <v>0.124595066035385</v>
      </c>
      <c r="AM416" s="43">
        <f t="shared" si="204"/>
        <v>0.80363817592823328</v>
      </c>
      <c r="AN416" s="43">
        <f t="shared" si="205"/>
        <v>0.82506852728631952</v>
      </c>
      <c r="AO416" s="19" t="s">
        <v>318</v>
      </c>
      <c r="AT416" s="2">
        <f t="shared" si="206"/>
        <v>1</v>
      </c>
      <c r="AU416" s="45">
        <f t="shared" si="207"/>
        <v>-2.0955008446021801</v>
      </c>
      <c r="AV416" s="45" t="e">
        <f t="shared" si="208"/>
        <v>#VALUE!</v>
      </c>
      <c r="AW416" s="45" t="e">
        <f t="shared" si="209"/>
        <v>#VALUE!</v>
      </c>
      <c r="AX416" s="45" t="e">
        <f t="shared" si="210"/>
        <v>#VALUE!</v>
      </c>
      <c r="AY416" s="45" t="e">
        <f t="shared" si="211"/>
        <v>#VALUE!</v>
      </c>
      <c r="AZ416" s="45" t="e">
        <f t="shared" si="212"/>
        <v>#VALUE!</v>
      </c>
      <c r="BA416" s="45">
        <f t="shared" si="213"/>
        <v>0.56863623584101264</v>
      </c>
      <c r="BB416" s="45">
        <f t="shared" si="214"/>
        <v>-0.58582224776518044</v>
      </c>
      <c r="BC416" s="45">
        <f t="shared" si="215"/>
        <v>1.6989700043360187</v>
      </c>
      <c r="BD416" s="45" t="e">
        <f t="shared" si="216"/>
        <v>#VALUE!</v>
      </c>
      <c r="BE416" s="45">
        <f t="shared" si="217"/>
        <v>0.65321251377534373</v>
      </c>
      <c r="BF416" s="45">
        <f t="shared" si="218"/>
        <v>-9.4939440762552146E-2</v>
      </c>
      <c r="BG416" s="45">
        <f t="shared" si="219"/>
        <v>-8.3509978981770303E-2</v>
      </c>
      <c r="BH416" s="45" t="e">
        <f t="shared" si="220"/>
        <v>#NUM!</v>
      </c>
      <c r="BI416" s="43">
        <f t="shared" si="221"/>
        <v>0.65321251377534373</v>
      </c>
      <c r="CA416" s="41" t="s">
        <v>22</v>
      </c>
      <c r="CC416" t="s">
        <v>22</v>
      </c>
      <c r="CE416" s="41" t="s">
        <v>22</v>
      </c>
      <c r="CF416" s="41" t="s">
        <v>22</v>
      </c>
      <c r="CG416" s="41" t="e">
        <f t="shared" si="223"/>
        <v>#VALUE!</v>
      </c>
      <c r="CH416" s="41" t="e">
        <f t="shared" si="224"/>
        <v>#VALUE!</v>
      </c>
      <c r="CI416" s="41">
        <f t="shared" si="222"/>
        <v>50</v>
      </c>
      <c r="CJ416" s="41">
        <f t="shared" si="225"/>
        <v>1.6989700043360187</v>
      </c>
      <c r="CL416" s="9" t="s">
        <v>1269</v>
      </c>
      <c r="CM416" s="18" t="s">
        <v>1285</v>
      </c>
      <c r="CN416" s="54" t="s">
        <v>1284</v>
      </c>
      <c r="CO416" s="18" t="s">
        <v>1284</v>
      </c>
    </row>
    <row r="417" spans="1:93" x14ac:dyDescent="0.25">
      <c r="A417" t="s">
        <v>1025</v>
      </c>
      <c r="B417" s="41" t="s">
        <v>22</v>
      </c>
      <c r="C417" s="41" t="s">
        <v>22</v>
      </c>
      <c r="D417" s="41" t="s">
        <v>22</v>
      </c>
      <c r="E417" s="41" t="s">
        <v>22</v>
      </c>
      <c r="F417" t="s">
        <v>22</v>
      </c>
      <c r="G417" t="s">
        <v>22</v>
      </c>
      <c r="H417" t="s">
        <v>22</v>
      </c>
      <c r="I417" t="s">
        <v>22</v>
      </c>
      <c r="J417" s="41" t="s">
        <v>22</v>
      </c>
      <c r="K417" t="s">
        <v>22</v>
      </c>
      <c r="L417" s="41" t="e">
        <f t="shared" si="226"/>
        <v>#VALUE!</v>
      </c>
      <c r="M417" t="s">
        <v>23</v>
      </c>
      <c r="N417" s="41" t="s">
        <v>22</v>
      </c>
      <c r="O417" s="41" t="s">
        <v>22</v>
      </c>
      <c r="P417" s="41" t="s">
        <v>22</v>
      </c>
      <c r="R417" s="41" t="e">
        <f>N417*B417</f>
        <v>#VALUE!</v>
      </c>
      <c r="S417" s="41" t="e">
        <f>O417*D417</f>
        <v>#VALUE!</v>
      </c>
      <c r="T417" s="41" t="s">
        <v>22</v>
      </c>
      <c r="U417" s="41" t="s">
        <v>22</v>
      </c>
      <c r="V417">
        <v>20200701</v>
      </c>
      <c r="W417" s="18" t="s">
        <v>22</v>
      </c>
      <c r="X417" s="18">
        <v>2009</v>
      </c>
      <c r="Y417" t="s">
        <v>22</v>
      </c>
      <c r="Z417" t="s">
        <v>22</v>
      </c>
      <c r="AA417" t="s">
        <v>22</v>
      </c>
      <c r="AB417" s="41" t="s">
        <v>22</v>
      </c>
      <c r="AC417" t="s">
        <v>514</v>
      </c>
      <c r="AD417" s="41" t="s">
        <v>22</v>
      </c>
      <c r="AE417" s="41" t="s">
        <v>22</v>
      </c>
      <c r="AF417" s="41" t="s">
        <v>22</v>
      </c>
      <c r="AG417" s="41" t="s">
        <v>22</v>
      </c>
      <c r="AH417" s="41" t="s">
        <v>22</v>
      </c>
      <c r="AI417" s="41" t="s">
        <v>22</v>
      </c>
      <c r="AJ417" s="41" t="s">
        <v>22</v>
      </c>
      <c r="AK417" s="41" t="s">
        <v>22</v>
      </c>
      <c r="AL417" s="41" t="s">
        <v>22</v>
      </c>
      <c r="AM417" s="43" t="e">
        <f t="shared" si="204"/>
        <v>#VALUE!</v>
      </c>
      <c r="AN417" s="43" t="e">
        <f t="shared" si="205"/>
        <v>#VALUE!</v>
      </c>
      <c r="AO417" s="6" t="s">
        <v>1026</v>
      </c>
      <c r="AT417" s="2">
        <f t="shared" si="206"/>
        <v>3</v>
      </c>
      <c r="AU417" s="45" t="e">
        <f t="shared" si="207"/>
        <v>#VALUE!</v>
      </c>
      <c r="AV417" s="45" t="e">
        <f t="shared" si="208"/>
        <v>#VALUE!</v>
      </c>
      <c r="AW417" s="45" t="e">
        <f t="shared" si="209"/>
        <v>#VALUE!</v>
      </c>
      <c r="AX417" s="45" t="e">
        <f t="shared" si="210"/>
        <v>#VALUE!</v>
      </c>
      <c r="AY417" s="45" t="e">
        <f t="shared" si="211"/>
        <v>#VALUE!</v>
      </c>
      <c r="AZ417" s="45" t="e">
        <f t="shared" si="212"/>
        <v>#VALUE!</v>
      </c>
      <c r="BA417" s="45" t="e">
        <f t="shared" si="213"/>
        <v>#VALUE!</v>
      </c>
      <c r="BB417" s="45" t="e">
        <f t="shared" si="214"/>
        <v>#VALUE!</v>
      </c>
      <c r="BC417" s="45" t="e">
        <f t="shared" si="215"/>
        <v>#VALUE!</v>
      </c>
      <c r="BD417" s="45" t="e">
        <f t="shared" si="216"/>
        <v>#VALUE!</v>
      </c>
      <c r="BE417" s="45" t="e">
        <f t="shared" si="217"/>
        <v>#VALUE!</v>
      </c>
      <c r="BF417" s="45" t="e">
        <f t="shared" si="218"/>
        <v>#VALUE!</v>
      </c>
      <c r="BG417" s="45" t="e">
        <f t="shared" si="219"/>
        <v>#VALUE!</v>
      </c>
      <c r="BH417" s="45" t="e">
        <f t="shared" si="220"/>
        <v>#VALUE!</v>
      </c>
      <c r="BI417" s="43" t="e">
        <f t="shared" si="221"/>
        <v>#VALUE!</v>
      </c>
      <c r="BJ417" t="s">
        <v>520</v>
      </c>
      <c r="BK417" t="s">
        <v>521</v>
      </c>
      <c r="BL417" s="18" t="s">
        <v>974</v>
      </c>
      <c r="BM417" s="41">
        <v>0.08</v>
      </c>
      <c r="BN417" s="41">
        <v>1500000000000</v>
      </c>
      <c r="BO417" s="41" t="s">
        <v>22</v>
      </c>
      <c r="BP417" s="41" t="s">
        <v>22</v>
      </c>
      <c r="BQ417" s="41" t="s">
        <v>22</v>
      </c>
      <c r="BR417" s="41" t="s">
        <v>22</v>
      </c>
      <c r="BS417" t="s">
        <v>22</v>
      </c>
      <c r="BT417" t="s">
        <v>22</v>
      </c>
      <c r="BU417" s="41" t="s">
        <v>22</v>
      </c>
      <c r="BV417" s="41" t="s">
        <v>22</v>
      </c>
      <c r="BW417" s="41" t="s">
        <v>22</v>
      </c>
      <c r="BX417" s="41" t="s">
        <v>22</v>
      </c>
      <c r="BY417" s="41" t="s">
        <v>22</v>
      </c>
      <c r="BZ417" s="41">
        <v>2</v>
      </c>
      <c r="CA417" s="41">
        <v>2</v>
      </c>
      <c r="CB417" t="s">
        <v>1028</v>
      </c>
      <c r="CC417" t="s">
        <v>1008</v>
      </c>
      <c r="CE417" s="41">
        <f>LOG10(BN417)</f>
        <v>12.176091259055681</v>
      </c>
      <c r="CF417" s="41" t="e">
        <f>LOG10(BV417)</f>
        <v>#VALUE!</v>
      </c>
      <c r="CG417" s="41" t="e">
        <f t="shared" si="223"/>
        <v>#VALUE!</v>
      </c>
      <c r="CH417" s="41" t="e">
        <f t="shared" si="224"/>
        <v>#VALUE!</v>
      </c>
      <c r="CI417" s="42">
        <v>2.42</v>
      </c>
      <c r="CJ417" s="41">
        <f t="shared" si="225"/>
        <v>0.38381536598043126</v>
      </c>
      <c r="CK417" t="s">
        <v>1036</v>
      </c>
      <c r="CL417" s="9" t="s">
        <v>1268</v>
      </c>
      <c r="CM417" s="18" t="s">
        <v>1285</v>
      </c>
      <c r="CN417" s="54">
        <v>0.3010299956639812</v>
      </c>
      <c r="CO417" s="18" t="s">
        <v>1286</v>
      </c>
    </row>
    <row r="418" spans="1:93" x14ac:dyDescent="0.25">
      <c r="A418" s="18" t="s">
        <v>1025</v>
      </c>
      <c r="B418" s="41">
        <v>50</v>
      </c>
      <c r="C418" s="41" t="s">
        <v>22</v>
      </c>
      <c r="D418" s="41" t="s">
        <v>22</v>
      </c>
      <c r="E418" s="41" t="s">
        <v>22</v>
      </c>
      <c r="F418" t="s">
        <v>22</v>
      </c>
      <c r="G418" t="s">
        <v>22</v>
      </c>
      <c r="H418" t="s">
        <v>22</v>
      </c>
      <c r="I418" t="s">
        <v>22</v>
      </c>
      <c r="J418" s="41" t="s">
        <v>22</v>
      </c>
      <c r="K418" t="s">
        <v>22</v>
      </c>
      <c r="L418" s="41" t="e">
        <f t="shared" si="226"/>
        <v>#VALUE!</v>
      </c>
      <c r="M418" t="s">
        <v>23</v>
      </c>
      <c r="N418" s="41" t="s">
        <v>22</v>
      </c>
      <c r="O418" s="41" t="s">
        <v>22</v>
      </c>
      <c r="P418" s="41" t="s">
        <v>22</v>
      </c>
      <c r="R418" s="41" t="e">
        <f>N418*B418</f>
        <v>#VALUE!</v>
      </c>
      <c r="S418" s="41" t="e">
        <f>O418*D418</f>
        <v>#VALUE!</v>
      </c>
      <c r="T418" s="41" t="s">
        <v>22</v>
      </c>
      <c r="U418" s="41" t="s">
        <v>22</v>
      </c>
      <c r="V418">
        <v>20200701</v>
      </c>
      <c r="W418" s="18" t="s">
        <v>22</v>
      </c>
      <c r="X418" s="18">
        <v>2009</v>
      </c>
      <c r="Y418" s="18" t="s">
        <v>22</v>
      </c>
      <c r="Z418" s="18" t="s">
        <v>22</v>
      </c>
      <c r="AA418" t="s">
        <v>22</v>
      </c>
      <c r="AB418" s="41" t="s">
        <v>22</v>
      </c>
      <c r="AC418" t="s">
        <v>514</v>
      </c>
      <c r="AD418" s="41" t="s">
        <v>22</v>
      </c>
      <c r="AE418" s="41" t="s">
        <v>22</v>
      </c>
      <c r="AF418" s="41">
        <v>1100</v>
      </c>
      <c r="AG418" s="41" t="s">
        <v>22</v>
      </c>
      <c r="AH418" s="41" t="s">
        <v>22</v>
      </c>
      <c r="AI418" s="41" t="s">
        <v>22</v>
      </c>
      <c r="AJ418" s="41" t="s">
        <v>22</v>
      </c>
      <c r="AK418" s="41" t="s">
        <v>22</v>
      </c>
      <c r="AL418" s="41" t="s">
        <v>22</v>
      </c>
      <c r="AM418" s="43" t="e">
        <f t="shared" si="204"/>
        <v>#VALUE!</v>
      </c>
      <c r="AN418" s="43" t="e">
        <f t="shared" si="205"/>
        <v>#VALUE!</v>
      </c>
      <c r="AO418" s="6" t="s">
        <v>1026</v>
      </c>
      <c r="AT418" s="2">
        <f t="shared" si="206"/>
        <v>3</v>
      </c>
      <c r="AU418" s="45">
        <f t="shared" si="207"/>
        <v>1.6989700043360187</v>
      </c>
      <c r="AV418" s="45" t="e">
        <f t="shared" si="208"/>
        <v>#VALUE!</v>
      </c>
      <c r="AW418" s="45" t="e">
        <f t="shared" si="209"/>
        <v>#VALUE!</v>
      </c>
      <c r="AX418" s="45" t="e">
        <f t="shared" si="210"/>
        <v>#VALUE!</v>
      </c>
      <c r="AY418" s="45" t="e">
        <f t="shared" si="211"/>
        <v>#VALUE!</v>
      </c>
      <c r="AZ418" s="45" t="e">
        <f t="shared" si="212"/>
        <v>#VALUE!</v>
      </c>
      <c r="BA418" s="45" t="e">
        <f t="shared" si="213"/>
        <v>#VALUE!</v>
      </c>
      <c r="BB418" s="45" t="e">
        <f t="shared" si="214"/>
        <v>#VALUE!</v>
      </c>
      <c r="BC418" s="45" t="e">
        <f t="shared" si="215"/>
        <v>#VALUE!</v>
      </c>
      <c r="BD418" s="45" t="e">
        <f t="shared" si="216"/>
        <v>#VALUE!</v>
      </c>
      <c r="BE418" s="45">
        <f t="shared" si="217"/>
        <v>3.0413926851582249</v>
      </c>
      <c r="BF418" s="45" t="e">
        <f t="shared" si="218"/>
        <v>#VALUE!</v>
      </c>
      <c r="BG418" s="45" t="e">
        <f t="shared" si="219"/>
        <v>#VALUE!</v>
      </c>
      <c r="BH418" s="45" t="e">
        <f t="shared" si="220"/>
        <v>#VALUE!</v>
      </c>
      <c r="BI418" s="43">
        <f t="shared" si="221"/>
        <v>3.0413926851582249</v>
      </c>
      <c r="BJ418" t="s">
        <v>520</v>
      </c>
      <c r="BK418" t="s">
        <v>521</v>
      </c>
      <c r="BL418" s="18" t="s">
        <v>974</v>
      </c>
      <c r="BM418" s="41" t="s">
        <v>22</v>
      </c>
      <c r="BN418" s="41">
        <v>20000000000000</v>
      </c>
      <c r="BO418" s="41" t="s">
        <v>22</v>
      </c>
      <c r="BP418" s="41" t="s">
        <v>22</v>
      </c>
      <c r="BQ418" s="41" t="s">
        <v>22</v>
      </c>
      <c r="BR418" s="41" t="s">
        <v>22</v>
      </c>
      <c r="BS418" t="s">
        <v>22</v>
      </c>
      <c r="BT418" t="s">
        <v>22</v>
      </c>
      <c r="BU418" s="41" t="s">
        <v>22</v>
      </c>
      <c r="BV418" s="41" t="s">
        <v>22</v>
      </c>
      <c r="BW418" s="41" t="s">
        <v>22</v>
      </c>
      <c r="BX418" s="41" t="s">
        <v>22</v>
      </c>
      <c r="BY418" s="41" t="s">
        <v>22</v>
      </c>
      <c r="BZ418" s="41">
        <v>2</v>
      </c>
      <c r="CA418" s="41">
        <v>2</v>
      </c>
      <c r="CB418" t="s">
        <v>1027</v>
      </c>
      <c r="CC418" t="s">
        <v>1008</v>
      </c>
      <c r="CE418" s="41">
        <f>LOG10(BN418)</f>
        <v>13.301029995663981</v>
      </c>
      <c r="CF418" s="41" t="e">
        <f>LOG10(BV418)</f>
        <v>#VALUE!</v>
      </c>
      <c r="CG418" s="41" t="e">
        <f t="shared" si="223"/>
        <v>#VALUE!</v>
      </c>
      <c r="CH418" s="41" t="e">
        <f t="shared" si="224"/>
        <v>#VALUE!</v>
      </c>
      <c r="CI418" s="41" t="str">
        <f t="shared" ref="CI418:CI449" si="227">IF(ISNUMBER(CG418),CG418,U418)</f>
        <v>Not Reported/ Can not calculate</v>
      </c>
      <c r="CJ418" s="41" t="e">
        <f t="shared" si="225"/>
        <v>#VALUE!</v>
      </c>
      <c r="CL418" s="9" t="s">
        <v>1268</v>
      </c>
      <c r="CM418" s="18" t="s">
        <v>1284</v>
      </c>
      <c r="CN418" s="54">
        <v>0.3010299956639812</v>
      </c>
      <c r="CO418" s="18" t="s">
        <v>1286</v>
      </c>
    </row>
    <row r="419" spans="1:93" x14ac:dyDescent="0.25">
      <c r="A419" t="s">
        <v>1025</v>
      </c>
      <c r="B419" s="41">
        <v>0.03</v>
      </c>
      <c r="C419" s="41" t="s">
        <v>22</v>
      </c>
      <c r="D419" s="41" t="s">
        <v>22</v>
      </c>
      <c r="E419" s="41" t="s">
        <v>22</v>
      </c>
      <c r="F419" t="s">
        <v>22</v>
      </c>
      <c r="G419" t="s">
        <v>22</v>
      </c>
      <c r="H419" t="s">
        <v>22</v>
      </c>
      <c r="I419" t="s">
        <v>22</v>
      </c>
      <c r="J419" s="41" t="s">
        <v>22</v>
      </c>
      <c r="K419" t="s">
        <v>22</v>
      </c>
      <c r="L419" s="41" t="e">
        <f t="shared" si="226"/>
        <v>#VALUE!</v>
      </c>
      <c r="M419" t="s">
        <v>23</v>
      </c>
      <c r="N419" s="41" t="s">
        <v>22</v>
      </c>
      <c r="O419" s="41" t="s">
        <v>22</v>
      </c>
      <c r="P419" s="41" t="s">
        <v>22</v>
      </c>
      <c r="R419" s="41" t="e">
        <f>N419*B419</f>
        <v>#VALUE!</v>
      </c>
      <c r="S419" s="41" t="e">
        <f>O419*D419</f>
        <v>#VALUE!</v>
      </c>
      <c r="T419" s="41" t="s">
        <v>22</v>
      </c>
      <c r="U419" s="41" t="s">
        <v>22</v>
      </c>
      <c r="V419">
        <v>20200701</v>
      </c>
      <c r="W419" s="18" t="s">
        <v>22</v>
      </c>
      <c r="X419" s="18">
        <v>2009</v>
      </c>
      <c r="Y419" t="s">
        <v>22</v>
      </c>
      <c r="Z419" t="s">
        <v>22</v>
      </c>
      <c r="AA419" t="s">
        <v>22</v>
      </c>
      <c r="AB419" s="41" t="s">
        <v>22</v>
      </c>
      <c r="AC419" t="s">
        <v>514</v>
      </c>
      <c r="AD419" s="41" t="s">
        <v>22</v>
      </c>
      <c r="AE419" s="41" t="s">
        <v>22</v>
      </c>
      <c r="AF419" s="41" t="s">
        <v>22</v>
      </c>
      <c r="AG419" s="41" t="s">
        <v>22</v>
      </c>
      <c r="AH419" s="41" t="s">
        <v>22</v>
      </c>
      <c r="AI419" s="41" t="s">
        <v>22</v>
      </c>
      <c r="AJ419" s="41" t="s">
        <v>22</v>
      </c>
      <c r="AK419" s="41" t="s">
        <v>22</v>
      </c>
      <c r="AL419" s="41" t="s">
        <v>22</v>
      </c>
      <c r="AM419" s="43" t="e">
        <f t="shared" si="204"/>
        <v>#VALUE!</v>
      </c>
      <c r="AN419" s="43" t="e">
        <f t="shared" si="205"/>
        <v>#VALUE!</v>
      </c>
      <c r="AO419" s="6" t="s">
        <v>1026</v>
      </c>
      <c r="AT419" s="2">
        <f t="shared" si="206"/>
        <v>3</v>
      </c>
      <c r="AU419" s="45">
        <f t="shared" si="207"/>
        <v>-1.5228787452803376</v>
      </c>
      <c r="AV419" s="45" t="e">
        <f t="shared" si="208"/>
        <v>#VALUE!</v>
      </c>
      <c r="AW419" s="45" t="e">
        <f t="shared" si="209"/>
        <v>#VALUE!</v>
      </c>
      <c r="AX419" s="45" t="e">
        <f t="shared" si="210"/>
        <v>#VALUE!</v>
      </c>
      <c r="AY419" s="45" t="e">
        <f t="shared" si="211"/>
        <v>#VALUE!</v>
      </c>
      <c r="AZ419" s="45" t="e">
        <f t="shared" si="212"/>
        <v>#VALUE!</v>
      </c>
      <c r="BA419" s="45" t="e">
        <f t="shared" si="213"/>
        <v>#VALUE!</v>
      </c>
      <c r="BB419" s="45" t="e">
        <f t="shared" si="214"/>
        <v>#VALUE!</v>
      </c>
      <c r="BC419" s="45" t="e">
        <f t="shared" si="215"/>
        <v>#VALUE!</v>
      </c>
      <c r="BD419" s="45" t="e">
        <f t="shared" si="216"/>
        <v>#VALUE!</v>
      </c>
      <c r="BE419" s="45" t="e">
        <f t="shared" si="217"/>
        <v>#VALUE!</v>
      </c>
      <c r="BF419" s="45" t="e">
        <f t="shared" si="218"/>
        <v>#VALUE!</v>
      </c>
      <c r="BG419" s="45" t="e">
        <f t="shared" si="219"/>
        <v>#VALUE!</v>
      </c>
      <c r="BH419" s="45" t="e">
        <f t="shared" si="220"/>
        <v>#VALUE!</v>
      </c>
      <c r="BI419" s="43" t="e">
        <f t="shared" si="221"/>
        <v>#VALUE!</v>
      </c>
      <c r="BJ419" t="s">
        <v>520</v>
      </c>
      <c r="BK419" t="s">
        <v>521</v>
      </c>
      <c r="BL419" s="18" t="s">
        <v>974</v>
      </c>
      <c r="BM419" s="41" t="s">
        <v>22</v>
      </c>
      <c r="BN419" s="41">
        <v>200000000000</v>
      </c>
      <c r="BO419" s="41" t="s">
        <v>22</v>
      </c>
      <c r="BP419" s="41" t="s">
        <v>22</v>
      </c>
      <c r="BQ419" s="41" t="s">
        <v>22</v>
      </c>
      <c r="BR419" s="41" t="s">
        <v>22</v>
      </c>
      <c r="BS419" t="s">
        <v>22</v>
      </c>
      <c r="BT419" t="s">
        <v>22</v>
      </c>
      <c r="BU419" s="41" t="s">
        <v>22</v>
      </c>
      <c r="BV419" s="41" t="s">
        <v>22</v>
      </c>
      <c r="BW419" s="41" t="s">
        <v>22</v>
      </c>
      <c r="BX419" s="41" t="s">
        <v>22</v>
      </c>
      <c r="BY419" s="41" t="s">
        <v>22</v>
      </c>
      <c r="BZ419" s="41">
        <v>2</v>
      </c>
      <c r="CA419" s="41">
        <v>2</v>
      </c>
      <c r="CB419" t="s">
        <v>1027</v>
      </c>
      <c r="CC419" t="s">
        <v>1008</v>
      </c>
      <c r="CE419" s="41">
        <f>LOG10(BN419)</f>
        <v>11.301029995663981</v>
      </c>
      <c r="CF419" s="41" t="e">
        <f>LOG10(BV419)</f>
        <v>#VALUE!</v>
      </c>
      <c r="CG419" s="41" t="e">
        <f t="shared" si="223"/>
        <v>#VALUE!</v>
      </c>
      <c r="CH419" s="41" t="e">
        <f t="shared" si="224"/>
        <v>#VALUE!</v>
      </c>
      <c r="CI419" s="41" t="str">
        <f t="shared" si="227"/>
        <v>Not Reported/ Can not calculate</v>
      </c>
      <c r="CJ419" s="41" t="e">
        <f t="shared" si="225"/>
        <v>#VALUE!</v>
      </c>
      <c r="CL419" s="9" t="s">
        <v>1268</v>
      </c>
      <c r="CM419" s="18" t="s">
        <v>1284</v>
      </c>
      <c r="CN419" s="54">
        <v>0.3010299956639812</v>
      </c>
      <c r="CO419" s="18" t="s">
        <v>1286</v>
      </c>
    </row>
    <row r="420" spans="1:93" x14ac:dyDescent="0.25">
      <c r="A420" s="18" t="s">
        <v>266</v>
      </c>
      <c r="B420" s="41">
        <v>8.0000000000000002E-3</v>
      </c>
      <c r="C420" s="41" t="s">
        <v>22</v>
      </c>
      <c r="D420" s="41" t="s">
        <v>22</v>
      </c>
      <c r="E420" s="41" t="s">
        <v>22</v>
      </c>
      <c r="F420" s="18" t="s">
        <v>22</v>
      </c>
      <c r="G420" s="18" t="s">
        <v>22</v>
      </c>
      <c r="H420" s="18" t="s">
        <v>22</v>
      </c>
      <c r="I420" s="18" t="s">
        <v>22</v>
      </c>
      <c r="J420" s="41" t="s">
        <v>22</v>
      </c>
      <c r="K420" s="18" t="s">
        <v>22</v>
      </c>
      <c r="L420" s="41" t="e">
        <f t="shared" si="226"/>
        <v>#VALUE!</v>
      </c>
      <c r="M420" s="20" t="s">
        <v>45</v>
      </c>
      <c r="N420" s="41">
        <v>65</v>
      </c>
      <c r="O420" s="41" t="s">
        <v>22</v>
      </c>
      <c r="P420" s="41" t="s">
        <v>22</v>
      </c>
      <c r="R420" s="41">
        <f>N420*B420</f>
        <v>0.52</v>
      </c>
      <c r="S420" s="41" t="e">
        <f>O420*D420</f>
        <v>#VALUE!</v>
      </c>
      <c r="T420" s="41" t="s">
        <v>22</v>
      </c>
      <c r="U420" s="41" t="s">
        <v>22</v>
      </c>
      <c r="V420" s="18">
        <v>20200701</v>
      </c>
      <c r="W420" s="21" t="s">
        <v>1019</v>
      </c>
      <c r="X420" s="18">
        <v>2009</v>
      </c>
      <c r="Y420" s="18" t="s">
        <v>59</v>
      </c>
      <c r="Z420" s="18" t="s">
        <v>1016</v>
      </c>
      <c r="AA420" s="18" t="s">
        <v>22</v>
      </c>
      <c r="AB420" s="41">
        <v>0.01</v>
      </c>
      <c r="AC420" s="18" t="s">
        <v>514</v>
      </c>
      <c r="AD420" s="42">
        <v>0.91800000000000004</v>
      </c>
      <c r="AE420" s="41" t="s">
        <v>22</v>
      </c>
      <c r="AF420" s="41" t="s">
        <v>22</v>
      </c>
      <c r="AG420" s="41" t="s">
        <v>22</v>
      </c>
      <c r="AI420" s="41" t="s">
        <v>22</v>
      </c>
      <c r="AJ420" s="41" t="s">
        <v>22</v>
      </c>
      <c r="AK420" s="41" t="s">
        <v>22</v>
      </c>
      <c r="AL420" s="41" t="s">
        <v>22</v>
      </c>
      <c r="AM420" s="43" t="e">
        <f t="shared" si="204"/>
        <v>#VALUE!</v>
      </c>
      <c r="AN420" s="43" t="e">
        <f t="shared" si="205"/>
        <v>#VALUE!</v>
      </c>
      <c r="AO420" s="6" t="s">
        <v>1017</v>
      </c>
      <c r="AP420" s="18"/>
      <c r="AQ420" s="18"/>
      <c r="AR420" s="18"/>
      <c r="AS420" s="18"/>
      <c r="AT420" s="2">
        <f t="shared" si="206"/>
        <v>1</v>
      </c>
      <c r="AU420" s="45">
        <f t="shared" si="207"/>
        <v>-2.0969100130080562</v>
      </c>
      <c r="AV420" s="45" t="e">
        <f t="shared" si="208"/>
        <v>#VALUE!</v>
      </c>
      <c r="AW420" s="45" t="e">
        <f t="shared" si="209"/>
        <v>#VALUE!</v>
      </c>
      <c r="AX420" s="45">
        <f t="shared" si="210"/>
        <v>1.8129133566428555</v>
      </c>
      <c r="AY420" s="45" t="e">
        <f t="shared" si="211"/>
        <v>#VALUE!</v>
      </c>
      <c r="AZ420" s="45" t="e">
        <f t="shared" si="212"/>
        <v>#VALUE!</v>
      </c>
      <c r="BA420" s="45" t="e">
        <f t="shared" si="213"/>
        <v>#VALUE!</v>
      </c>
      <c r="BB420" s="45" t="e">
        <f t="shared" si="214"/>
        <v>#VALUE!</v>
      </c>
      <c r="BC420" s="45" t="e">
        <f t="shared" si="215"/>
        <v>#VALUE!</v>
      </c>
      <c r="BD420" s="45">
        <f t="shared" si="216"/>
        <v>-3.7157318798757548E-2</v>
      </c>
      <c r="BE420" s="45" t="e">
        <f t="shared" si="217"/>
        <v>#VALUE!</v>
      </c>
      <c r="BF420" s="45" t="e">
        <f t="shared" si="218"/>
        <v>#VALUE!</v>
      </c>
      <c r="BG420" s="45" t="e">
        <f t="shared" si="219"/>
        <v>#VALUE!</v>
      </c>
      <c r="BH420" s="45">
        <f t="shared" si="220"/>
        <v>-2</v>
      </c>
      <c r="BI420" s="43" t="e">
        <f t="shared" si="221"/>
        <v>#VALUE!</v>
      </c>
      <c r="BJ420" s="18" t="s">
        <v>520</v>
      </c>
      <c r="BK420" s="18" t="s">
        <v>521</v>
      </c>
      <c r="BL420" s="20" t="s">
        <v>983</v>
      </c>
      <c r="BM420" s="41">
        <v>0.55000000000000004</v>
      </c>
      <c r="BN420" s="41">
        <v>1390000000</v>
      </c>
      <c r="BO420" s="41" t="s">
        <v>22</v>
      </c>
      <c r="BP420" s="41" t="s">
        <v>22</v>
      </c>
      <c r="BQ420" s="41" t="s">
        <v>22</v>
      </c>
      <c r="BR420" s="41" t="s">
        <v>22</v>
      </c>
      <c r="BS420" s="18" t="s">
        <v>22</v>
      </c>
      <c r="BT420" s="18" t="s">
        <v>22</v>
      </c>
      <c r="BU420" s="41" t="s">
        <v>22</v>
      </c>
      <c r="BV420" s="41" t="s">
        <v>22</v>
      </c>
      <c r="BW420" s="41" t="s">
        <v>22</v>
      </c>
      <c r="BX420" s="41" t="s">
        <v>22</v>
      </c>
      <c r="BY420" s="41" t="s">
        <v>22</v>
      </c>
      <c r="BZ420" s="41" t="s">
        <v>22</v>
      </c>
      <c r="CA420" s="41" t="s">
        <v>22</v>
      </c>
      <c r="CB420" s="20" t="s">
        <v>1018</v>
      </c>
      <c r="CC420" s="18" t="s">
        <v>1009</v>
      </c>
      <c r="CD420" s="18"/>
      <c r="CE420" s="41">
        <f>LOG10(BN420)</f>
        <v>9.143014800254095</v>
      </c>
      <c r="CF420" s="41" t="e">
        <f>LOG10(BV420)</f>
        <v>#VALUE!</v>
      </c>
      <c r="CG420" s="41">
        <v>710</v>
      </c>
      <c r="CH420" s="41">
        <f t="shared" si="224"/>
        <v>2.8512583487190755</v>
      </c>
      <c r="CI420" s="41">
        <f t="shared" si="227"/>
        <v>710</v>
      </c>
      <c r="CJ420" s="41">
        <f t="shared" si="225"/>
        <v>2.8512583487190755</v>
      </c>
      <c r="CK420" s="18"/>
      <c r="CL420" s="9" t="s">
        <v>1269</v>
      </c>
      <c r="CM420" s="18" t="s">
        <v>1285</v>
      </c>
      <c r="CN420" s="54" t="s">
        <v>1284</v>
      </c>
      <c r="CO420" s="18" t="s">
        <v>1284</v>
      </c>
    </row>
    <row r="421" spans="1:93" x14ac:dyDescent="0.25">
      <c r="A421" s="18" t="s">
        <v>141</v>
      </c>
      <c r="B421" s="41" t="s">
        <v>22</v>
      </c>
      <c r="C421" s="41">
        <v>0.40384615384615385</v>
      </c>
      <c r="D421" s="41" t="s">
        <v>22</v>
      </c>
      <c r="E421" s="41" t="s">
        <v>22</v>
      </c>
      <c r="F421" s="18" t="s">
        <v>22</v>
      </c>
      <c r="G421" s="18" t="s">
        <v>22</v>
      </c>
      <c r="H421" s="18" t="s">
        <v>22</v>
      </c>
      <c r="I421" s="18" t="s">
        <v>22</v>
      </c>
      <c r="J421" s="41" t="s">
        <v>22</v>
      </c>
      <c r="K421" s="18" t="s">
        <v>22</v>
      </c>
      <c r="L421" s="41" t="e">
        <f t="shared" si="226"/>
        <v>#VALUE!</v>
      </c>
      <c r="M421" s="18" t="s">
        <v>23</v>
      </c>
      <c r="N421" s="41">
        <v>630</v>
      </c>
      <c r="O421" s="41">
        <v>1.56</v>
      </c>
      <c r="P421" s="41">
        <v>48</v>
      </c>
      <c r="R421" s="41" t="s">
        <v>22</v>
      </c>
      <c r="S421" s="41" t="s">
        <v>22</v>
      </c>
      <c r="T421" s="41">
        <v>13.4</v>
      </c>
      <c r="U421" s="41">
        <v>13.4</v>
      </c>
      <c r="V421" s="18">
        <v>20200508</v>
      </c>
      <c r="W421" s="21" t="s">
        <v>583</v>
      </c>
      <c r="X421" s="18">
        <v>2010</v>
      </c>
      <c r="Y421" s="18" t="s">
        <v>26</v>
      </c>
      <c r="Z421" s="18" t="s">
        <v>114</v>
      </c>
      <c r="AA421" s="18"/>
      <c r="AC421" s="18" t="s">
        <v>514</v>
      </c>
      <c r="AD421" s="41">
        <v>11.5</v>
      </c>
      <c r="AE421" s="41" t="s">
        <v>22</v>
      </c>
      <c r="AF421" s="41" t="s">
        <v>22</v>
      </c>
      <c r="AG421" s="41" t="s">
        <v>22</v>
      </c>
      <c r="AH421" s="41" t="s">
        <v>22</v>
      </c>
      <c r="AI421" s="41" t="s">
        <v>22</v>
      </c>
      <c r="AJ421" s="41" t="s">
        <v>22</v>
      </c>
      <c r="AK421" s="41" t="s">
        <v>22</v>
      </c>
      <c r="AL421" s="41" t="s">
        <v>22</v>
      </c>
      <c r="AM421" s="43" t="e">
        <f t="shared" si="204"/>
        <v>#VALUE!</v>
      </c>
      <c r="AN421" s="43" t="e">
        <f t="shared" si="205"/>
        <v>#VALUE!</v>
      </c>
      <c r="AO421" s="19" t="s">
        <v>115</v>
      </c>
      <c r="AP421" s="18"/>
      <c r="AQ421" s="18"/>
      <c r="AR421" s="18"/>
      <c r="AS421" s="18"/>
      <c r="AT421" s="2">
        <f t="shared" si="206"/>
        <v>10</v>
      </c>
      <c r="AU421" s="45" t="e">
        <f t="shared" si="207"/>
        <v>#VALUE!</v>
      </c>
      <c r="AV421" s="45">
        <f t="shared" si="208"/>
        <v>-0.39378404890087987</v>
      </c>
      <c r="AW421" s="45" t="e">
        <f t="shared" si="209"/>
        <v>#VALUE!</v>
      </c>
      <c r="AX421" s="45">
        <f t="shared" si="210"/>
        <v>2.7993405494535817</v>
      </c>
      <c r="AY421" s="45">
        <f t="shared" si="211"/>
        <v>0.19312459835446161</v>
      </c>
      <c r="AZ421" s="45">
        <f t="shared" si="212"/>
        <v>1.6812412373755872</v>
      </c>
      <c r="BA421" s="45" t="e">
        <f t="shared" si="213"/>
        <v>#VALUE!</v>
      </c>
      <c r="BB421" s="45" t="e">
        <f t="shared" si="214"/>
        <v>#VALUE!</v>
      </c>
      <c r="BC421" s="45">
        <f t="shared" si="215"/>
        <v>1.1271047983648077</v>
      </c>
      <c r="BD421" s="45">
        <f t="shared" si="216"/>
        <v>1.0606978403536116</v>
      </c>
      <c r="BE421" s="45" t="e">
        <f t="shared" si="217"/>
        <v>#VALUE!</v>
      </c>
      <c r="BF421" s="45" t="e">
        <f t="shared" si="218"/>
        <v>#VALUE!</v>
      </c>
      <c r="BG421" s="45" t="e">
        <f t="shared" si="219"/>
        <v>#VALUE!</v>
      </c>
      <c r="BH421" s="45" t="e">
        <f t="shared" si="220"/>
        <v>#NUM!</v>
      </c>
      <c r="BI421" s="43" t="e">
        <f t="shared" si="221"/>
        <v>#VALUE!</v>
      </c>
      <c r="BJ421" s="18"/>
      <c r="BK421" s="18"/>
      <c r="BL421" s="20"/>
      <c r="BS421" s="18"/>
      <c r="BT421" s="18"/>
      <c r="CA421" s="41" t="s">
        <v>22</v>
      </c>
      <c r="CB421" s="18"/>
      <c r="CC421" s="18" t="s">
        <v>22</v>
      </c>
      <c r="CD421" s="18"/>
      <c r="CE421" s="41" t="s">
        <v>22</v>
      </c>
      <c r="CF421" s="41" t="s">
        <v>22</v>
      </c>
      <c r="CG421" s="41">
        <f t="shared" ref="CG421:CG449" si="228">AD421*1000</f>
        <v>11500</v>
      </c>
      <c r="CH421" s="41">
        <f t="shared" si="224"/>
        <v>4.0606978403536118</v>
      </c>
      <c r="CI421" s="41">
        <f t="shared" si="227"/>
        <v>11500</v>
      </c>
      <c r="CJ421" s="41">
        <f t="shared" si="225"/>
        <v>4.0606978403536118</v>
      </c>
      <c r="CK421" s="18"/>
      <c r="CL421" s="9" t="s">
        <v>1269</v>
      </c>
      <c r="CM421" s="18" t="s">
        <v>1283</v>
      </c>
      <c r="CN421" s="54" t="s">
        <v>1284</v>
      </c>
      <c r="CO421" s="18" t="s">
        <v>1284</v>
      </c>
    </row>
    <row r="422" spans="1:93" x14ac:dyDescent="0.25">
      <c r="A422" s="18" t="s">
        <v>141</v>
      </c>
      <c r="B422" s="41" t="s">
        <v>22</v>
      </c>
      <c r="C422" s="41" t="s">
        <v>22</v>
      </c>
      <c r="D422" s="41" t="s">
        <v>22</v>
      </c>
      <c r="E422" s="41" t="s">
        <v>22</v>
      </c>
      <c r="F422" s="18" t="s">
        <v>22</v>
      </c>
      <c r="G422" s="18" t="s">
        <v>22</v>
      </c>
      <c r="H422" s="18" t="s">
        <v>22</v>
      </c>
      <c r="I422" s="18" t="s">
        <v>22</v>
      </c>
      <c r="J422" s="41" t="s">
        <v>22</v>
      </c>
      <c r="K422" s="18" t="s">
        <v>22</v>
      </c>
      <c r="M422" s="18" t="s">
        <v>23</v>
      </c>
      <c r="N422" s="41">
        <v>452.39891908428098</v>
      </c>
      <c r="O422" s="41" t="s">
        <v>22</v>
      </c>
      <c r="P422" s="41" t="s">
        <v>22</v>
      </c>
      <c r="R422" s="41" t="s">
        <v>22</v>
      </c>
      <c r="S422" s="41" t="s">
        <v>22</v>
      </c>
      <c r="T422" s="41">
        <v>13.4</v>
      </c>
      <c r="U422" s="41">
        <v>13.4</v>
      </c>
      <c r="V422" s="18">
        <v>20200508</v>
      </c>
      <c r="W422" s="21" t="s">
        <v>584</v>
      </c>
      <c r="X422" s="18">
        <v>2010</v>
      </c>
      <c r="Y422" s="18" t="s">
        <v>26</v>
      </c>
      <c r="Z422" s="18" t="s">
        <v>114</v>
      </c>
      <c r="AA422" s="18"/>
      <c r="AC422" s="18" t="s">
        <v>514</v>
      </c>
      <c r="AD422" s="41">
        <v>5.0342884821291998</v>
      </c>
      <c r="AE422" s="41" t="s">
        <v>22</v>
      </c>
      <c r="AF422" s="41" t="s">
        <v>22</v>
      </c>
      <c r="AG422" s="41" t="s">
        <v>22</v>
      </c>
      <c r="AH422" s="41" t="s">
        <v>22</v>
      </c>
      <c r="AI422" s="41" t="s">
        <v>22</v>
      </c>
      <c r="AJ422" s="41" t="s">
        <v>22</v>
      </c>
      <c r="AK422" s="41" t="s">
        <v>22</v>
      </c>
      <c r="AL422" s="41" t="s">
        <v>22</v>
      </c>
      <c r="AM422" s="43" t="e">
        <f t="shared" si="204"/>
        <v>#VALUE!</v>
      </c>
      <c r="AN422" s="43" t="e">
        <f t="shared" si="205"/>
        <v>#VALUE!</v>
      </c>
      <c r="AO422" s="19" t="s">
        <v>115</v>
      </c>
      <c r="AP422" s="18"/>
      <c r="AQ422" s="18"/>
      <c r="AR422" s="18"/>
      <c r="AS422" s="18"/>
      <c r="AT422" s="2">
        <f t="shared" si="206"/>
        <v>10</v>
      </c>
      <c r="AU422" s="45" t="e">
        <f t="shared" si="207"/>
        <v>#VALUE!</v>
      </c>
      <c r="AV422" s="45" t="e">
        <f t="shared" si="208"/>
        <v>#VALUE!</v>
      </c>
      <c r="AW422" s="45" t="e">
        <f t="shared" si="209"/>
        <v>#VALUE!</v>
      </c>
      <c r="AX422" s="45">
        <f t="shared" si="210"/>
        <v>2.6555215585958294</v>
      </c>
      <c r="AY422" s="45" t="e">
        <f t="shared" si="211"/>
        <v>#VALUE!</v>
      </c>
      <c r="AZ422" s="45" t="e">
        <f t="shared" si="212"/>
        <v>#VALUE!</v>
      </c>
      <c r="BA422" s="45" t="e">
        <f t="shared" si="213"/>
        <v>#VALUE!</v>
      </c>
      <c r="BB422" s="45" t="e">
        <f t="shared" si="214"/>
        <v>#NUM!</v>
      </c>
      <c r="BC422" s="45">
        <f t="shared" si="215"/>
        <v>1.1271047983648077</v>
      </c>
      <c r="BD422" s="45">
        <f t="shared" si="216"/>
        <v>0.70193809850020739</v>
      </c>
      <c r="BE422" s="45" t="e">
        <f t="shared" si="217"/>
        <v>#VALUE!</v>
      </c>
      <c r="BF422" s="45" t="e">
        <f t="shared" si="218"/>
        <v>#VALUE!</v>
      </c>
      <c r="BG422" s="45" t="e">
        <f t="shared" si="219"/>
        <v>#VALUE!</v>
      </c>
      <c r="BH422" s="45" t="e">
        <f t="shared" si="220"/>
        <v>#NUM!</v>
      </c>
      <c r="BI422" s="43" t="e">
        <f t="shared" si="221"/>
        <v>#VALUE!</v>
      </c>
      <c r="BJ422" s="18"/>
      <c r="BK422" s="18"/>
      <c r="BL422" s="20"/>
      <c r="BS422" s="18"/>
      <c r="BT422" s="18"/>
      <c r="CA422" s="41" t="s">
        <v>22</v>
      </c>
      <c r="CB422" s="18"/>
      <c r="CC422" s="18" t="s">
        <v>22</v>
      </c>
      <c r="CD422" s="18"/>
      <c r="CE422" s="41" t="s">
        <v>22</v>
      </c>
      <c r="CF422" s="41" t="s">
        <v>22</v>
      </c>
      <c r="CG422" s="41">
        <f t="shared" si="228"/>
        <v>5034.2884821292</v>
      </c>
      <c r="CH422" s="41">
        <f t="shared" si="224"/>
        <v>3.7019380985002073</v>
      </c>
      <c r="CI422" s="41">
        <f t="shared" si="227"/>
        <v>5034.2884821292</v>
      </c>
      <c r="CJ422" s="41">
        <f t="shared" si="225"/>
        <v>3.7019380985002073</v>
      </c>
      <c r="CK422" s="18"/>
      <c r="CL422" s="9" t="s">
        <v>1269</v>
      </c>
      <c r="CM422" s="18" t="s">
        <v>1283</v>
      </c>
      <c r="CN422" s="54" t="s">
        <v>1284</v>
      </c>
      <c r="CO422" s="18" t="s">
        <v>1284</v>
      </c>
    </row>
    <row r="423" spans="1:93" x14ac:dyDescent="0.25">
      <c r="A423" s="18" t="s">
        <v>141</v>
      </c>
      <c r="B423" s="41" t="s">
        <v>22</v>
      </c>
      <c r="C423" s="41" t="s">
        <v>22</v>
      </c>
      <c r="D423" s="41" t="s">
        <v>22</v>
      </c>
      <c r="E423" s="41" t="s">
        <v>22</v>
      </c>
      <c r="F423" s="18" t="s">
        <v>22</v>
      </c>
      <c r="G423" s="18" t="s">
        <v>22</v>
      </c>
      <c r="H423" s="18" t="s">
        <v>22</v>
      </c>
      <c r="I423" s="18" t="s">
        <v>22</v>
      </c>
      <c r="J423" s="41" t="s">
        <v>22</v>
      </c>
      <c r="K423" s="18" t="s">
        <v>22</v>
      </c>
      <c r="M423" s="18" t="s">
        <v>23</v>
      </c>
      <c r="N423" s="41">
        <v>560.35027787691808</v>
      </c>
      <c r="O423" s="41" t="s">
        <v>22</v>
      </c>
      <c r="P423" s="41" t="s">
        <v>22</v>
      </c>
      <c r="R423" s="41" t="s">
        <v>22</v>
      </c>
      <c r="S423" s="41" t="s">
        <v>22</v>
      </c>
      <c r="T423" s="41">
        <v>13.4</v>
      </c>
      <c r="U423" s="41">
        <v>13.4</v>
      </c>
      <c r="V423" s="18">
        <v>20200508</v>
      </c>
      <c r="W423" s="21" t="s">
        <v>584</v>
      </c>
      <c r="X423" s="18">
        <v>2010</v>
      </c>
      <c r="Y423" s="18" t="s">
        <v>26</v>
      </c>
      <c r="Z423" s="18" t="s">
        <v>114</v>
      </c>
      <c r="AA423" s="18"/>
      <c r="AC423" s="18" t="s">
        <v>514</v>
      </c>
      <c r="AD423" s="41">
        <v>19.546283077550601</v>
      </c>
      <c r="AE423" s="41" t="s">
        <v>22</v>
      </c>
      <c r="AF423" s="41" t="s">
        <v>22</v>
      </c>
      <c r="AG423" s="41" t="s">
        <v>22</v>
      </c>
      <c r="AH423" s="41" t="s">
        <v>22</v>
      </c>
      <c r="AI423" s="41" t="s">
        <v>22</v>
      </c>
      <c r="AJ423" s="41" t="s">
        <v>22</v>
      </c>
      <c r="AK423" s="41" t="s">
        <v>22</v>
      </c>
      <c r="AL423" s="41" t="s">
        <v>22</v>
      </c>
      <c r="AM423" s="43" t="e">
        <f t="shared" si="204"/>
        <v>#VALUE!</v>
      </c>
      <c r="AN423" s="43" t="e">
        <f t="shared" si="205"/>
        <v>#VALUE!</v>
      </c>
      <c r="AO423" s="19" t="s">
        <v>115</v>
      </c>
      <c r="AP423" s="18"/>
      <c r="AQ423" s="18"/>
      <c r="AR423" s="18"/>
      <c r="AS423" s="18"/>
      <c r="AT423" s="2">
        <f t="shared" si="206"/>
        <v>10</v>
      </c>
      <c r="AU423" s="45" t="e">
        <f t="shared" si="207"/>
        <v>#VALUE!</v>
      </c>
      <c r="AV423" s="45" t="e">
        <f t="shared" si="208"/>
        <v>#VALUE!</v>
      </c>
      <c r="AW423" s="45" t="e">
        <f t="shared" si="209"/>
        <v>#VALUE!</v>
      </c>
      <c r="AX423" s="45">
        <f t="shared" si="210"/>
        <v>2.7484595916356542</v>
      </c>
      <c r="AY423" s="45" t="e">
        <f t="shared" si="211"/>
        <v>#VALUE!</v>
      </c>
      <c r="AZ423" s="45" t="e">
        <f t="shared" si="212"/>
        <v>#VALUE!</v>
      </c>
      <c r="BA423" s="45" t="e">
        <f t="shared" si="213"/>
        <v>#VALUE!</v>
      </c>
      <c r="BB423" s="45" t="e">
        <f t="shared" si="214"/>
        <v>#NUM!</v>
      </c>
      <c r="BC423" s="45">
        <f t="shared" si="215"/>
        <v>1.1271047983648077</v>
      </c>
      <c r="BD423" s="45">
        <f t="shared" si="216"/>
        <v>1.2910641841164587</v>
      </c>
      <c r="BE423" s="45" t="e">
        <f t="shared" si="217"/>
        <v>#VALUE!</v>
      </c>
      <c r="BF423" s="45" t="e">
        <f t="shared" si="218"/>
        <v>#VALUE!</v>
      </c>
      <c r="BG423" s="45" t="e">
        <f t="shared" si="219"/>
        <v>#VALUE!</v>
      </c>
      <c r="BH423" s="45" t="e">
        <f t="shared" si="220"/>
        <v>#NUM!</v>
      </c>
      <c r="BI423" s="43" t="e">
        <f t="shared" si="221"/>
        <v>#VALUE!</v>
      </c>
      <c r="BJ423" s="18"/>
      <c r="BK423" s="18"/>
      <c r="BL423" s="20"/>
      <c r="BS423" s="18"/>
      <c r="BT423" s="18"/>
      <c r="CA423" s="41" t="s">
        <v>22</v>
      </c>
      <c r="CB423" s="18"/>
      <c r="CC423" s="18" t="s">
        <v>22</v>
      </c>
      <c r="CD423" s="18"/>
      <c r="CE423" s="41" t="s">
        <v>22</v>
      </c>
      <c r="CF423" s="41" t="s">
        <v>22</v>
      </c>
      <c r="CG423" s="41">
        <f t="shared" si="228"/>
        <v>19546.283077550601</v>
      </c>
      <c r="CH423" s="41">
        <f t="shared" si="224"/>
        <v>4.2910641841164585</v>
      </c>
      <c r="CI423" s="41">
        <f t="shared" si="227"/>
        <v>19546.283077550601</v>
      </c>
      <c r="CJ423" s="41">
        <f t="shared" si="225"/>
        <v>4.2910641841164585</v>
      </c>
      <c r="CK423" s="18"/>
      <c r="CL423" s="9" t="s">
        <v>1269</v>
      </c>
      <c r="CM423" s="18" t="s">
        <v>1283</v>
      </c>
      <c r="CN423" s="54" t="s">
        <v>1284</v>
      </c>
      <c r="CO423" s="18" t="s">
        <v>1284</v>
      </c>
    </row>
    <row r="424" spans="1:93" x14ac:dyDescent="0.25">
      <c r="A424" s="18" t="s">
        <v>141</v>
      </c>
      <c r="B424" s="41" t="s">
        <v>22</v>
      </c>
      <c r="C424" s="41" t="s">
        <v>22</v>
      </c>
      <c r="D424" s="41" t="s">
        <v>22</v>
      </c>
      <c r="E424" s="41" t="s">
        <v>22</v>
      </c>
      <c r="F424" s="18" t="s">
        <v>22</v>
      </c>
      <c r="G424" s="18" t="s">
        <v>22</v>
      </c>
      <c r="H424" s="18" t="s">
        <v>22</v>
      </c>
      <c r="I424" s="18" t="s">
        <v>22</v>
      </c>
      <c r="J424" s="41" t="s">
        <v>22</v>
      </c>
      <c r="K424" s="18" t="s">
        <v>22</v>
      </c>
      <c r="M424" s="18" t="s">
        <v>23</v>
      </c>
      <c r="N424" s="41">
        <v>418.88543313108698</v>
      </c>
      <c r="O424" s="41" t="s">
        <v>22</v>
      </c>
      <c r="P424" s="41" t="s">
        <v>22</v>
      </c>
      <c r="R424" s="41" t="s">
        <v>22</v>
      </c>
      <c r="S424" s="41" t="s">
        <v>22</v>
      </c>
      <c r="T424" s="41">
        <v>13.4</v>
      </c>
      <c r="U424" s="41">
        <v>13.4</v>
      </c>
      <c r="V424" s="18">
        <v>20200508</v>
      </c>
      <c r="W424" s="21" t="s">
        <v>584</v>
      </c>
      <c r="X424" s="18">
        <v>2010</v>
      </c>
      <c r="Y424" s="18" t="s">
        <v>26</v>
      </c>
      <c r="Z424" s="18" t="s">
        <v>114</v>
      </c>
      <c r="AA424" s="18"/>
      <c r="AC424" s="18" t="s">
        <v>514</v>
      </c>
      <c r="AD424" s="41">
        <v>31.0972314281343</v>
      </c>
      <c r="AE424" s="41" t="s">
        <v>22</v>
      </c>
      <c r="AF424" s="41" t="s">
        <v>22</v>
      </c>
      <c r="AG424" s="41" t="s">
        <v>22</v>
      </c>
      <c r="AH424" s="41" t="s">
        <v>22</v>
      </c>
      <c r="AI424" s="41" t="s">
        <v>22</v>
      </c>
      <c r="AJ424" s="41" t="s">
        <v>22</v>
      </c>
      <c r="AK424" s="41" t="s">
        <v>22</v>
      </c>
      <c r="AL424" s="41" t="s">
        <v>22</v>
      </c>
      <c r="AM424" s="43" t="e">
        <f t="shared" si="204"/>
        <v>#VALUE!</v>
      </c>
      <c r="AN424" s="43" t="e">
        <f t="shared" si="205"/>
        <v>#VALUE!</v>
      </c>
      <c r="AO424" s="19" t="s">
        <v>115</v>
      </c>
      <c r="AP424" s="18"/>
      <c r="AQ424" s="18"/>
      <c r="AR424" s="18"/>
      <c r="AS424" s="18"/>
      <c r="AT424" s="2">
        <f t="shared" si="206"/>
        <v>10</v>
      </c>
      <c r="AU424" s="45" t="e">
        <f t="shared" si="207"/>
        <v>#VALUE!</v>
      </c>
      <c r="AV424" s="45" t="e">
        <f t="shared" si="208"/>
        <v>#VALUE!</v>
      </c>
      <c r="AW424" s="45" t="e">
        <f t="shared" si="209"/>
        <v>#VALUE!</v>
      </c>
      <c r="AX424" s="45">
        <f t="shared" si="210"/>
        <v>2.6220952579005226</v>
      </c>
      <c r="AY424" s="45" t="e">
        <f t="shared" si="211"/>
        <v>#VALUE!</v>
      </c>
      <c r="AZ424" s="45" t="e">
        <f t="shared" si="212"/>
        <v>#VALUE!</v>
      </c>
      <c r="BA424" s="45" t="e">
        <f t="shared" si="213"/>
        <v>#VALUE!</v>
      </c>
      <c r="BB424" s="45" t="e">
        <f t="shared" si="214"/>
        <v>#NUM!</v>
      </c>
      <c r="BC424" s="45">
        <f t="shared" si="215"/>
        <v>1.1271047983648077</v>
      </c>
      <c r="BD424" s="45">
        <f t="shared" si="216"/>
        <v>1.4927217257147507</v>
      </c>
      <c r="BE424" s="45" t="e">
        <f t="shared" si="217"/>
        <v>#VALUE!</v>
      </c>
      <c r="BF424" s="45" t="e">
        <f t="shared" si="218"/>
        <v>#VALUE!</v>
      </c>
      <c r="BG424" s="45" t="e">
        <f t="shared" si="219"/>
        <v>#VALUE!</v>
      </c>
      <c r="BH424" s="45" t="e">
        <f t="shared" si="220"/>
        <v>#NUM!</v>
      </c>
      <c r="BI424" s="43" t="e">
        <f t="shared" si="221"/>
        <v>#VALUE!</v>
      </c>
      <c r="BJ424" s="18"/>
      <c r="BK424" s="18"/>
      <c r="BL424" s="20"/>
      <c r="BS424" s="18"/>
      <c r="BT424" s="18"/>
      <c r="CA424" s="41" t="s">
        <v>22</v>
      </c>
      <c r="CB424" s="18"/>
      <c r="CC424" s="18" t="s">
        <v>22</v>
      </c>
      <c r="CD424" s="18"/>
      <c r="CE424" s="41" t="s">
        <v>22</v>
      </c>
      <c r="CF424" s="41" t="s">
        <v>22</v>
      </c>
      <c r="CG424" s="41">
        <f t="shared" si="228"/>
        <v>31097.231428134299</v>
      </c>
      <c r="CH424" s="41">
        <f t="shared" si="224"/>
        <v>4.4927217257147509</v>
      </c>
      <c r="CI424" s="41">
        <f t="shared" si="227"/>
        <v>31097.231428134299</v>
      </c>
      <c r="CJ424" s="41">
        <f t="shared" si="225"/>
        <v>4.4927217257147509</v>
      </c>
      <c r="CK424" s="18"/>
      <c r="CL424" s="9" t="s">
        <v>1269</v>
      </c>
      <c r="CM424" s="18" t="s">
        <v>1283</v>
      </c>
      <c r="CN424" s="54" t="s">
        <v>1284</v>
      </c>
      <c r="CO424" s="18" t="s">
        <v>1284</v>
      </c>
    </row>
    <row r="425" spans="1:93" x14ac:dyDescent="0.25">
      <c r="A425" s="18" t="s">
        <v>141</v>
      </c>
      <c r="B425" s="41" t="s">
        <v>22</v>
      </c>
      <c r="C425" s="41" t="s">
        <v>22</v>
      </c>
      <c r="D425" s="41" t="s">
        <v>22</v>
      </c>
      <c r="E425" s="41" t="s">
        <v>22</v>
      </c>
      <c r="F425" s="18" t="s">
        <v>22</v>
      </c>
      <c r="G425" s="18" t="s">
        <v>22</v>
      </c>
      <c r="H425" s="18" t="s">
        <v>22</v>
      </c>
      <c r="I425" s="18" t="s">
        <v>22</v>
      </c>
      <c r="J425" s="41" t="s">
        <v>22</v>
      </c>
      <c r="K425" s="18" t="s">
        <v>22</v>
      </c>
      <c r="M425" s="18" t="s">
        <v>23</v>
      </c>
      <c r="N425" s="41">
        <v>317.94727986539601</v>
      </c>
      <c r="O425" s="41" t="s">
        <v>22</v>
      </c>
      <c r="P425" s="41" t="s">
        <v>22</v>
      </c>
      <c r="R425" s="41" t="s">
        <v>22</v>
      </c>
      <c r="S425" s="41" t="s">
        <v>22</v>
      </c>
      <c r="T425" s="41">
        <v>13.4</v>
      </c>
      <c r="U425" s="41">
        <v>13.4</v>
      </c>
      <c r="V425" s="18">
        <v>20200508</v>
      </c>
      <c r="W425" s="21" t="s">
        <v>584</v>
      </c>
      <c r="X425" s="18">
        <v>2010</v>
      </c>
      <c r="Y425" s="18" t="s">
        <v>26</v>
      </c>
      <c r="Z425" s="18" t="s">
        <v>114</v>
      </c>
      <c r="AA425" s="18"/>
      <c r="AC425" s="18" t="s">
        <v>514</v>
      </c>
      <c r="AD425" s="41">
        <v>41.019349411104798</v>
      </c>
      <c r="AE425" s="41" t="s">
        <v>22</v>
      </c>
      <c r="AF425" s="41" t="s">
        <v>22</v>
      </c>
      <c r="AG425" s="41" t="s">
        <v>22</v>
      </c>
      <c r="AH425" s="41" t="s">
        <v>22</v>
      </c>
      <c r="AI425" s="41" t="s">
        <v>22</v>
      </c>
      <c r="AJ425" s="41" t="s">
        <v>22</v>
      </c>
      <c r="AK425" s="41" t="s">
        <v>22</v>
      </c>
      <c r="AL425" s="41" t="s">
        <v>22</v>
      </c>
      <c r="AM425" s="43" t="e">
        <f t="shared" si="204"/>
        <v>#VALUE!</v>
      </c>
      <c r="AN425" s="43" t="e">
        <f t="shared" si="205"/>
        <v>#VALUE!</v>
      </c>
      <c r="AO425" s="19" t="s">
        <v>115</v>
      </c>
      <c r="AP425" s="18"/>
      <c r="AQ425" s="18"/>
      <c r="AR425" s="18"/>
      <c r="AS425" s="18"/>
      <c r="AT425" s="2">
        <f t="shared" si="206"/>
        <v>10</v>
      </c>
      <c r="AU425" s="45" t="e">
        <f t="shared" si="207"/>
        <v>#VALUE!</v>
      </c>
      <c r="AV425" s="45" t="e">
        <f t="shared" si="208"/>
        <v>#VALUE!</v>
      </c>
      <c r="AW425" s="45" t="e">
        <f t="shared" si="209"/>
        <v>#VALUE!</v>
      </c>
      <c r="AX425" s="45">
        <f t="shared" si="210"/>
        <v>2.5023551138156161</v>
      </c>
      <c r="AY425" s="45" t="e">
        <f t="shared" si="211"/>
        <v>#VALUE!</v>
      </c>
      <c r="AZ425" s="45" t="e">
        <f t="shared" si="212"/>
        <v>#VALUE!</v>
      </c>
      <c r="BA425" s="45" t="e">
        <f t="shared" si="213"/>
        <v>#VALUE!</v>
      </c>
      <c r="BB425" s="45" t="e">
        <f t="shared" si="214"/>
        <v>#NUM!</v>
      </c>
      <c r="BC425" s="45">
        <f t="shared" si="215"/>
        <v>1.1271047983648077</v>
      </c>
      <c r="BD425" s="45">
        <f t="shared" si="216"/>
        <v>1.6129887679434192</v>
      </c>
      <c r="BE425" s="45" t="e">
        <f t="shared" si="217"/>
        <v>#VALUE!</v>
      </c>
      <c r="BF425" s="45" t="e">
        <f t="shared" si="218"/>
        <v>#VALUE!</v>
      </c>
      <c r="BG425" s="45" t="e">
        <f t="shared" si="219"/>
        <v>#VALUE!</v>
      </c>
      <c r="BH425" s="45" t="e">
        <f t="shared" si="220"/>
        <v>#NUM!</v>
      </c>
      <c r="BI425" s="43" t="e">
        <f t="shared" si="221"/>
        <v>#VALUE!</v>
      </c>
      <c r="BJ425" s="18"/>
      <c r="BK425" s="18"/>
      <c r="BL425" s="20"/>
      <c r="BS425" s="18"/>
      <c r="BT425" s="18"/>
      <c r="CA425" s="41" t="s">
        <v>22</v>
      </c>
      <c r="CB425" s="18"/>
      <c r="CC425" s="18" t="s">
        <v>22</v>
      </c>
      <c r="CD425" s="18"/>
      <c r="CE425" s="41" t="s">
        <v>22</v>
      </c>
      <c r="CF425" s="41" t="s">
        <v>22</v>
      </c>
      <c r="CG425" s="41">
        <f t="shared" si="228"/>
        <v>41019.349411104798</v>
      </c>
      <c r="CH425" s="41">
        <f t="shared" si="224"/>
        <v>4.6129887679434196</v>
      </c>
      <c r="CI425" s="41">
        <f t="shared" si="227"/>
        <v>41019.349411104798</v>
      </c>
      <c r="CJ425" s="41">
        <f t="shared" si="225"/>
        <v>4.6129887679434196</v>
      </c>
      <c r="CK425" s="18"/>
      <c r="CL425" s="9" t="s">
        <v>1269</v>
      </c>
      <c r="CM425" s="18" t="s">
        <v>1283</v>
      </c>
      <c r="CN425" s="54" t="s">
        <v>1284</v>
      </c>
      <c r="CO425" s="18" t="s">
        <v>1284</v>
      </c>
    </row>
    <row r="426" spans="1:93" x14ac:dyDescent="0.25">
      <c r="A426" s="18" t="s">
        <v>141</v>
      </c>
      <c r="B426" s="41">
        <v>8.8591621036547039E-2</v>
      </c>
      <c r="C426" s="41" t="s">
        <v>22</v>
      </c>
      <c r="D426" s="41" t="s">
        <v>22</v>
      </c>
      <c r="E426" s="41" t="s">
        <v>22</v>
      </c>
      <c r="F426" s="18" t="s">
        <v>22</v>
      </c>
      <c r="G426" s="18" t="s">
        <v>22</v>
      </c>
      <c r="H426" s="18" t="s">
        <v>22</v>
      </c>
      <c r="I426" s="18" t="s">
        <v>22</v>
      </c>
      <c r="J426" s="41" t="s">
        <v>22</v>
      </c>
      <c r="K426" s="18" t="s">
        <v>22</v>
      </c>
      <c r="M426" s="18" t="s">
        <v>23</v>
      </c>
      <c r="N426" s="41">
        <v>950.48182328047699</v>
      </c>
      <c r="O426" s="41" t="s">
        <v>22</v>
      </c>
      <c r="P426" s="41" t="s">
        <v>22</v>
      </c>
      <c r="R426" s="41">
        <f t="shared" ref="R426:R431" si="229">N426*B426</f>
        <v>84.204725490190285</v>
      </c>
      <c r="S426" s="41" t="s">
        <v>22</v>
      </c>
      <c r="T426" s="41">
        <v>13.4</v>
      </c>
      <c r="U426" s="41">
        <v>13.4</v>
      </c>
      <c r="V426" s="18">
        <v>20200508</v>
      </c>
      <c r="W426" s="21" t="s">
        <v>585</v>
      </c>
      <c r="X426" s="18">
        <v>2010</v>
      </c>
      <c r="Y426" s="18" t="s">
        <v>26</v>
      </c>
      <c r="Z426" s="18" t="s">
        <v>117</v>
      </c>
      <c r="AA426" s="18"/>
      <c r="AC426" s="18" t="s">
        <v>514</v>
      </c>
      <c r="AD426" s="41">
        <v>4.2229643603732203</v>
      </c>
      <c r="AE426" s="41" t="s">
        <v>22</v>
      </c>
      <c r="AF426" s="41" t="s">
        <v>22</v>
      </c>
      <c r="AG426" s="41" t="s">
        <v>22</v>
      </c>
      <c r="AH426" s="41" t="s">
        <v>22</v>
      </c>
      <c r="AI426" s="41" t="s">
        <v>22</v>
      </c>
      <c r="AJ426" s="41" t="s">
        <v>22</v>
      </c>
      <c r="AK426" s="41" t="s">
        <v>22</v>
      </c>
      <c r="AL426" s="41" t="s">
        <v>22</v>
      </c>
      <c r="AM426" s="43" t="e">
        <f t="shared" si="204"/>
        <v>#VALUE!</v>
      </c>
      <c r="AN426" s="43" t="e">
        <f t="shared" si="205"/>
        <v>#VALUE!</v>
      </c>
      <c r="AO426" s="19" t="s">
        <v>115</v>
      </c>
      <c r="AP426" s="18"/>
      <c r="AQ426" s="18"/>
      <c r="AR426" s="18"/>
      <c r="AS426" s="18"/>
      <c r="AT426" s="2">
        <f t="shared" si="206"/>
        <v>10</v>
      </c>
      <c r="AU426" s="45">
        <f t="shared" si="207"/>
        <v>-1.0526073515855334</v>
      </c>
      <c r="AV426" s="45" t="e">
        <f t="shared" si="208"/>
        <v>#VALUE!</v>
      </c>
      <c r="AW426" s="45" t="e">
        <f t="shared" si="209"/>
        <v>#VALUE!</v>
      </c>
      <c r="AX426" s="45">
        <f t="shared" si="210"/>
        <v>2.977943815967933</v>
      </c>
      <c r="AY426" s="45" t="e">
        <f t="shared" si="211"/>
        <v>#VALUE!</v>
      </c>
      <c r="AZ426" s="45" t="e">
        <f t="shared" si="212"/>
        <v>#VALUE!</v>
      </c>
      <c r="BA426" s="45" t="e">
        <f t="shared" si="213"/>
        <v>#VALUE!</v>
      </c>
      <c r="BB426" s="45" t="e">
        <f t="shared" si="214"/>
        <v>#NUM!</v>
      </c>
      <c r="BC426" s="45">
        <f t="shared" si="215"/>
        <v>1.1271047983648077</v>
      </c>
      <c r="BD426" s="45">
        <f t="shared" si="216"/>
        <v>0.62561741622041778</v>
      </c>
      <c r="BE426" s="45" t="e">
        <f t="shared" si="217"/>
        <v>#VALUE!</v>
      </c>
      <c r="BF426" s="45" t="e">
        <f t="shared" si="218"/>
        <v>#VALUE!</v>
      </c>
      <c r="BG426" s="45" t="e">
        <f t="shared" si="219"/>
        <v>#VALUE!</v>
      </c>
      <c r="BH426" s="45" t="e">
        <f t="shared" si="220"/>
        <v>#NUM!</v>
      </c>
      <c r="BI426" s="43" t="e">
        <f t="shared" si="221"/>
        <v>#VALUE!</v>
      </c>
      <c r="BJ426" s="18"/>
      <c r="BK426" s="18"/>
      <c r="BL426" s="20"/>
      <c r="BS426" s="18"/>
      <c r="BT426" s="18"/>
      <c r="CA426" s="41" t="s">
        <v>22</v>
      </c>
      <c r="CB426" s="18"/>
      <c r="CC426" s="18" t="s">
        <v>22</v>
      </c>
      <c r="CD426" s="18"/>
      <c r="CE426" s="41" t="s">
        <v>22</v>
      </c>
      <c r="CF426" s="41" t="s">
        <v>22</v>
      </c>
      <c r="CG426" s="41">
        <f t="shared" si="228"/>
        <v>4222.9643603732202</v>
      </c>
      <c r="CH426" s="41">
        <f t="shared" si="224"/>
        <v>3.6256174162204178</v>
      </c>
      <c r="CI426" s="41">
        <f t="shared" si="227"/>
        <v>4222.9643603732202</v>
      </c>
      <c r="CJ426" s="41">
        <f t="shared" si="225"/>
        <v>3.6256174162204178</v>
      </c>
      <c r="CK426" s="18"/>
      <c r="CL426" s="9" t="s">
        <v>1269</v>
      </c>
      <c r="CM426" s="18" t="s">
        <v>1283</v>
      </c>
      <c r="CN426" s="54" t="s">
        <v>1284</v>
      </c>
      <c r="CO426" s="18" t="s">
        <v>1284</v>
      </c>
    </row>
    <row r="427" spans="1:93" x14ac:dyDescent="0.25">
      <c r="A427" s="18" t="s">
        <v>141</v>
      </c>
      <c r="B427" s="41">
        <v>8.5224587341502164E-2</v>
      </c>
      <c r="C427" s="41" t="s">
        <v>22</v>
      </c>
      <c r="D427" s="41" t="s">
        <v>22</v>
      </c>
      <c r="E427" s="41" t="s">
        <v>22</v>
      </c>
      <c r="F427" s="18" t="s">
        <v>22</v>
      </c>
      <c r="G427" s="18" t="s">
        <v>22</v>
      </c>
      <c r="H427" s="18" t="s">
        <v>22</v>
      </c>
      <c r="I427" s="18" t="s">
        <v>22</v>
      </c>
      <c r="J427" s="41" t="s">
        <v>22</v>
      </c>
      <c r="K427" s="18" t="s">
        <v>22</v>
      </c>
      <c r="M427" s="18" t="s">
        <v>23</v>
      </c>
      <c r="N427" s="41">
        <v>938.474481211441</v>
      </c>
      <c r="O427" s="41" t="s">
        <v>22</v>
      </c>
      <c r="P427" s="41" t="s">
        <v>22</v>
      </c>
      <c r="R427" s="41">
        <f t="shared" si="229"/>
        <v>79.981100391775385</v>
      </c>
      <c r="S427" s="41" t="s">
        <v>22</v>
      </c>
      <c r="T427" s="41">
        <v>13.4</v>
      </c>
      <c r="U427" s="41">
        <v>13.4</v>
      </c>
      <c r="V427" s="18">
        <v>20200508</v>
      </c>
      <c r="W427" s="21" t="s">
        <v>585</v>
      </c>
      <c r="X427" s="18">
        <v>2010</v>
      </c>
      <c r="Y427" s="18" t="s">
        <v>26</v>
      </c>
      <c r="Z427" s="18" t="s">
        <v>117</v>
      </c>
      <c r="AA427" s="18"/>
      <c r="AC427" s="18" t="s">
        <v>514</v>
      </c>
      <c r="AD427" s="41">
        <v>16.5549635445877</v>
      </c>
      <c r="AE427" s="41" t="s">
        <v>22</v>
      </c>
      <c r="AF427" s="41" t="s">
        <v>22</v>
      </c>
      <c r="AG427" s="41" t="s">
        <v>22</v>
      </c>
      <c r="AH427" s="41" t="s">
        <v>22</v>
      </c>
      <c r="AI427" s="41" t="s">
        <v>22</v>
      </c>
      <c r="AJ427" s="41" t="s">
        <v>22</v>
      </c>
      <c r="AK427" s="41" t="s">
        <v>22</v>
      </c>
      <c r="AL427" s="41" t="s">
        <v>22</v>
      </c>
      <c r="AM427" s="43" t="e">
        <f t="shared" si="204"/>
        <v>#VALUE!</v>
      </c>
      <c r="AN427" s="43" t="e">
        <f t="shared" si="205"/>
        <v>#VALUE!</v>
      </c>
      <c r="AO427" s="19" t="s">
        <v>115</v>
      </c>
      <c r="AP427" s="18"/>
      <c r="AQ427" s="18"/>
      <c r="AR427" s="18"/>
      <c r="AS427" s="18"/>
      <c r="AT427" s="2">
        <f t="shared" si="206"/>
        <v>10</v>
      </c>
      <c r="AU427" s="45">
        <f t="shared" si="207"/>
        <v>-1.0694350929531915</v>
      </c>
      <c r="AV427" s="45" t="e">
        <f t="shared" si="208"/>
        <v>#VALUE!</v>
      </c>
      <c r="AW427" s="45" t="e">
        <f t="shared" si="209"/>
        <v>#VALUE!</v>
      </c>
      <c r="AX427" s="45">
        <f t="shared" si="210"/>
        <v>2.972422467879333</v>
      </c>
      <c r="AY427" s="45" t="e">
        <f t="shared" si="211"/>
        <v>#VALUE!</v>
      </c>
      <c r="AZ427" s="45" t="e">
        <f t="shared" si="212"/>
        <v>#VALUE!</v>
      </c>
      <c r="BA427" s="45" t="e">
        <f t="shared" si="213"/>
        <v>#VALUE!</v>
      </c>
      <c r="BB427" s="45" t="e">
        <f t="shared" si="214"/>
        <v>#NUM!</v>
      </c>
      <c r="BC427" s="45">
        <f t="shared" si="215"/>
        <v>1.1271047983648077</v>
      </c>
      <c r="BD427" s="45">
        <f t="shared" si="216"/>
        <v>1.2189282287364214</v>
      </c>
      <c r="BE427" s="45" t="e">
        <f t="shared" si="217"/>
        <v>#VALUE!</v>
      </c>
      <c r="BF427" s="45" t="e">
        <f t="shared" si="218"/>
        <v>#VALUE!</v>
      </c>
      <c r="BG427" s="45" t="e">
        <f t="shared" si="219"/>
        <v>#VALUE!</v>
      </c>
      <c r="BH427" s="45" t="e">
        <f t="shared" si="220"/>
        <v>#NUM!</v>
      </c>
      <c r="BI427" s="43" t="e">
        <f t="shared" si="221"/>
        <v>#VALUE!</v>
      </c>
      <c r="BJ427" s="18"/>
      <c r="BK427" s="18"/>
      <c r="BL427" s="20"/>
      <c r="BS427" s="18"/>
      <c r="BT427" s="18"/>
      <c r="CA427" s="41" t="s">
        <v>22</v>
      </c>
      <c r="CB427" s="18"/>
      <c r="CC427" s="18" t="s">
        <v>22</v>
      </c>
      <c r="CD427" s="18"/>
      <c r="CE427" s="41" t="s">
        <v>22</v>
      </c>
      <c r="CF427" s="41" t="s">
        <v>22</v>
      </c>
      <c r="CG427" s="41">
        <f t="shared" si="228"/>
        <v>16554.963544587699</v>
      </c>
      <c r="CH427" s="41">
        <f t="shared" si="224"/>
        <v>4.2189282287364209</v>
      </c>
      <c r="CI427" s="41">
        <f t="shared" si="227"/>
        <v>16554.963544587699</v>
      </c>
      <c r="CJ427" s="41">
        <f t="shared" si="225"/>
        <v>4.2189282287364209</v>
      </c>
      <c r="CK427" s="18"/>
      <c r="CL427" s="9" t="s">
        <v>1269</v>
      </c>
      <c r="CM427" s="18" t="s">
        <v>1283</v>
      </c>
      <c r="CN427" s="54" t="s">
        <v>1284</v>
      </c>
      <c r="CO427" s="18" t="s">
        <v>1284</v>
      </c>
    </row>
    <row r="428" spans="1:93" x14ac:dyDescent="0.25">
      <c r="A428" s="18" t="s">
        <v>141</v>
      </c>
      <c r="B428" s="41">
        <v>6.5726817688364914E-2</v>
      </c>
      <c r="C428" s="41" t="s">
        <v>22</v>
      </c>
      <c r="D428" s="41" t="s">
        <v>22</v>
      </c>
      <c r="E428" s="41" t="s">
        <v>22</v>
      </c>
      <c r="F428" s="18" t="s">
        <v>22</v>
      </c>
      <c r="G428" s="18" t="s">
        <v>22</v>
      </c>
      <c r="H428" s="18" t="s">
        <v>22</v>
      </c>
      <c r="I428" s="18" t="s">
        <v>22</v>
      </c>
      <c r="J428" s="41" t="s">
        <v>22</v>
      </c>
      <c r="K428" s="18" t="s">
        <v>22</v>
      </c>
      <c r="M428" s="18" t="s">
        <v>23</v>
      </c>
      <c r="N428" s="41">
        <v>849.68133380920801</v>
      </c>
      <c r="O428" s="41" t="s">
        <v>22</v>
      </c>
      <c r="P428" s="41" t="s">
        <v>22</v>
      </c>
      <c r="R428" s="41">
        <f t="shared" si="229"/>
        <v>55.846850120484547</v>
      </c>
      <c r="S428" s="41" t="s">
        <v>22</v>
      </c>
      <c r="T428" s="41">
        <v>13.4</v>
      </c>
      <c r="U428" s="41">
        <v>13.4</v>
      </c>
      <c r="V428" s="18">
        <v>20200508</v>
      </c>
      <c r="W428" s="21" t="s">
        <v>585</v>
      </c>
      <c r="X428" s="18">
        <v>2010</v>
      </c>
      <c r="Y428" s="18" t="s">
        <v>26</v>
      </c>
      <c r="Z428" s="18" t="s">
        <v>117</v>
      </c>
      <c r="AA428" s="18"/>
      <c r="AC428" s="18" t="s">
        <v>514</v>
      </c>
      <c r="AD428" s="41">
        <v>23.545097639320801</v>
      </c>
      <c r="AE428" s="41" t="s">
        <v>22</v>
      </c>
      <c r="AF428" s="41" t="s">
        <v>22</v>
      </c>
      <c r="AG428" s="41" t="s">
        <v>22</v>
      </c>
      <c r="AH428" s="41" t="s">
        <v>22</v>
      </c>
      <c r="AI428" s="41" t="s">
        <v>22</v>
      </c>
      <c r="AJ428" s="41" t="s">
        <v>22</v>
      </c>
      <c r="AK428" s="41" t="s">
        <v>22</v>
      </c>
      <c r="AL428" s="41" t="s">
        <v>22</v>
      </c>
      <c r="AM428" s="43" t="e">
        <f t="shared" si="204"/>
        <v>#VALUE!</v>
      </c>
      <c r="AN428" s="43" t="e">
        <f t="shared" si="205"/>
        <v>#VALUE!</v>
      </c>
      <c r="AO428" s="19" t="s">
        <v>115</v>
      </c>
      <c r="AP428" s="18"/>
      <c r="AQ428" s="18"/>
      <c r="AR428" s="18"/>
      <c r="AS428" s="18"/>
      <c r="AT428" s="2">
        <f t="shared" si="206"/>
        <v>10</v>
      </c>
      <c r="AU428" s="45">
        <f t="shared" si="207"/>
        <v>-1.1822573945542596</v>
      </c>
      <c r="AV428" s="45" t="e">
        <f t="shared" si="208"/>
        <v>#VALUE!</v>
      </c>
      <c r="AW428" s="45" t="e">
        <f t="shared" si="209"/>
        <v>#VALUE!</v>
      </c>
      <c r="AX428" s="45">
        <f t="shared" si="210"/>
        <v>2.9292560775767051</v>
      </c>
      <c r="AY428" s="45" t="e">
        <f t="shared" si="211"/>
        <v>#VALUE!</v>
      </c>
      <c r="AZ428" s="45" t="e">
        <f t="shared" si="212"/>
        <v>#VALUE!</v>
      </c>
      <c r="BA428" s="45" t="e">
        <f t="shared" si="213"/>
        <v>#VALUE!</v>
      </c>
      <c r="BB428" s="45" t="e">
        <f t="shared" si="214"/>
        <v>#NUM!</v>
      </c>
      <c r="BC428" s="45">
        <f t="shared" si="215"/>
        <v>1.1271047983648077</v>
      </c>
      <c r="BD428" s="45">
        <f t="shared" si="216"/>
        <v>1.3719004957611289</v>
      </c>
      <c r="BE428" s="45" t="e">
        <f t="shared" si="217"/>
        <v>#VALUE!</v>
      </c>
      <c r="BF428" s="45" t="e">
        <f t="shared" si="218"/>
        <v>#VALUE!</v>
      </c>
      <c r="BG428" s="45" t="e">
        <f t="shared" si="219"/>
        <v>#VALUE!</v>
      </c>
      <c r="BH428" s="45" t="e">
        <f t="shared" si="220"/>
        <v>#NUM!</v>
      </c>
      <c r="BI428" s="43" t="e">
        <f t="shared" si="221"/>
        <v>#VALUE!</v>
      </c>
      <c r="BJ428" s="18"/>
      <c r="BK428" s="18"/>
      <c r="BL428" s="20"/>
      <c r="BS428" s="18"/>
      <c r="BT428" s="18"/>
      <c r="CA428" s="41" t="s">
        <v>22</v>
      </c>
      <c r="CB428" s="18"/>
      <c r="CC428" s="18" t="s">
        <v>22</v>
      </c>
      <c r="CD428" s="18"/>
      <c r="CE428" s="41" t="s">
        <v>22</v>
      </c>
      <c r="CF428" s="41" t="s">
        <v>22</v>
      </c>
      <c r="CG428" s="41">
        <f t="shared" si="228"/>
        <v>23545.0976393208</v>
      </c>
      <c r="CH428" s="41">
        <f t="shared" si="224"/>
        <v>4.3719004957611292</v>
      </c>
      <c r="CI428" s="41">
        <f t="shared" si="227"/>
        <v>23545.0976393208</v>
      </c>
      <c r="CJ428" s="41">
        <f t="shared" si="225"/>
        <v>4.3719004957611292</v>
      </c>
      <c r="CK428" s="18"/>
      <c r="CL428" s="9" t="s">
        <v>1269</v>
      </c>
      <c r="CM428" s="18" t="s">
        <v>1283</v>
      </c>
      <c r="CN428" s="54" t="s">
        <v>1284</v>
      </c>
      <c r="CO428" s="18" t="s">
        <v>1284</v>
      </c>
    </row>
    <row r="429" spans="1:93" x14ac:dyDescent="0.25">
      <c r="A429" t="s">
        <v>141</v>
      </c>
      <c r="B429" s="41">
        <v>5.2439062829765175E-2</v>
      </c>
      <c r="C429" s="41" t="s">
        <v>22</v>
      </c>
      <c r="D429" s="41" t="s">
        <v>22</v>
      </c>
      <c r="E429" s="41" t="s">
        <v>22</v>
      </c>
      <c r="F429" t="s">
        <v>22</v>
      </c>
      <c r="G429" t="s">
        <v>22</v>
      </c>
      <c r="H429" t="s">
        <v>22</v>
      </c>
      <c r="I429" t="s">
        <v>22</v>
      </c>
      <c r="J429" s="41" t="s">
        <v>22</v>
      </c>
      <c r="K429" t="s">
        <v>22</v>
      </c>
      <c r="M429" t="s">
        <v>23</v>
      </c>
      <c r="N429" s="41">
        <v>620.10401264467498</v>
      </c>
      <c r="O429" s="41" t="s">
        <v>22</v>
      </c>
      <c r="P429" s="41" t="s">
        <v>22</v>
      </c>
      <c r="R429" s="41">
        <f t="shared" si="229"/>
        <v>32.517673280063612</v>
      </c>
      <c r="S429" s="41" t="s">
        <v>22</v>
      </c>
      <c r="T429" s="41">
        <v>13.4</v>
      </c>
      <c r="U429" s="41">
        <v>13.4</v>
      </c>
      <c r="V429">
        <v>20200508</v>
      </c>
      <c r="W429" s="16" t="s">
        <v>585</v>
      </c>
      <c r="X429">
        <v>2010</v>
      </c>
      <c r="Y429" t="s">
        <v>26</v>
      </c>
      <c r="Z429" t="s">
        <v>117</v>
      </c>
      <c r="AC429" t="s">
        <v>514</v>
      </c>
      <c r="AD429" s="41">
        <v>34.1195890480803</v>
      </c>
      <c r="AE429" s="41" t="s">
        <v>22</v>
      </c>
      <c r="AF429" s="41" t="s">
        <v>22</v>
      </c>
      <c r="AG429" s="41" t="s">
        <v>22</v>
      </c>
      <c r="AH429" s="41" t="s">
        <v>22</v>
      </c>
      <c r="AI429" s="41" t="s">
        <v>22</v>
      </c>
      <c r="AJ429" s="41" t="s">
        <v>22</v>
      </c>
      <c r="AK429" s="41" t="s">
        <v>22</v>
      </c>
      <c r="AL429" s="41" t="s">
        <v>22</v>
      </c>
      <c r="AM429" s="43" t="e">
        <f t="shared" si="204"/>
        <v>#VALUE!</v>
      </c>
      <c r="AN429" s="43" t="e">
        <f t="shared" si="205"/>
        <v>#VALUE!</v>
      </c>
      <c r="AO429" s="3" t="s">
        <v>115</v>
      </c>
      <c r="AT429" s="2">
        <f t="shared" si="206"/>
        <v>10</v>
      </c>
      <c r="AU429" s="45">
        <f t="shared" si="207"/>
        <v>-1.2803450784521766</v>
      </c>
      <c r="AV429" s="45" t="e">
        <f t="shared" si="208"/>
        <v>#VALUE!</v>
      </c>
      <c r="AW429" s="45" t="e">
        <f t="shared" si="209"/>
        <v>#VALUE!</v>
      </c>
      <c r="AX429" s="45">
        <f t="shared" si="210"/>
        <v>2.7924645416417446</v>
      </c>
      <c r="AY429" s="45" t="e">
        <f t="shared" si="211"/>
        <v>#VALUE!</v>
      </c>
      <c r="AZ429" s="45" t="e">
        <f t="shared" si="212"/>
        <v>#VALUE!</v>
      </c>
      <c r="BA429" s="45" t="e">
        <f t="shared" si="213"/>
        <v>#VALUE!</v>
      </c>
      <c r="BB429" s="45" t="e">
        <f t="shared" si="214"/>
        <v>#NUM!</v>
      </c>
      <c r="BC429" s="45">
        <f t="shared" si="215"/>
        <v>1.1271047983648077</v>
      </c>
      <c r="BD429" s="45">
        <f t="shared" si="216"/>
        <v>1.5330037916858177</v>
      </c>
      <c r="BE429" s="45" t="e">
        <f t="shared" si="217"/>
        <v>#VALUE!</v>
      </c>
      <c r="BF429" s="45" t="e">
        <f t="shared" si="218"/>
        <v>#VALUE!</v>
      </c>
      <c r="BG429" s="45" t="e">
        <f t="shared" si="219"/>
        <v>#VALUE!</v>
      </c>
      <c r="BH429" s="45" t="e">
        <f t="shared" si="220"/>
        <v>#NUM!</v>
      </c>
      <c r="BI429" s="43" t="e">
        <f t="shared" si="221"/>
        <v>#VALUE!</v>
      </c>
      <c r="CA429" s="41" t="s">
        <v>22</v>
      </c>
      <c r="CC429" t="s">
        <v>22</v>
      </c>
      <c r="CE429" s="41" t="s">
        <v>22</v>
      </c>
      <c r="CF429" s="41" t="s">
        <v>22</v>
      </c>
      <c r="CG429" s="41">
        <f t="shared" si="228"/>
        <v>34119.589048080299</v>
      </c>
      <c r="CH429" s="41">
        <f t="shared" si="224"/>
        <v>4.5330037916858181</v>
      </c>
      <c r="CI429" s="41">
        <f t="shared" si="227"/>
        <v>34119.589048080299</v>
      </c>
      <c r="CJ429" s="41">
        <f t="shared" si="225"/>
        <v>4.5330037916858181</v>
      </c>
      <c r="CL429" s="9" t="s">
        <v>1269</v>
      </c>
      <c r="CM429" s="18" t="s">
        <v>1283</v>
      </c>
      <c r="CN429" s="54" t="s">
        <v>1284</v>
      </c>
      <c r="CO429" s="18" t="s">
        <v>1284</v>
      </c>
    </row>
    <row r="430" spans="1:93" x14ac:dyDescent="0.25">
      <c r="A430" t="s">
        <v>141</v>
      </c>
      <c r="B430" s="41">
        <f>((1.1*10^-5)^-1)*10^-6</f>
        <v>9.0909090909090898E-2</v>
      </c>
      <c r="C430" s="41">
        <v>0.64327485380116967</v>
      </c>
      <c r="D430" s="41">
        <f>0.001*(B430*10^6)/(C430*0.001*100^3)</f>
        <v>0.14132231404958673</v>
      </c>
      <c r="E430" s="41" t="s">
        <v>22</v>
      </c>
      <c r="F430" t="s">
        <v>22</v>
      </c>
      <c r="G430" t="s">
        <v>22</v>
      </c>
      <c r="H430" t="s">
        <v>22</v>
      </c>
      <c r="I430" t="s">
        <v>22</v>
      </c>
      <c r="J430" s="41" t="s">
        <v>22</v>
      </c>
      <c r="K430" t="s">
        <v>22</v>
      </c>
      <c r="L430" s="41" t="e">
        <f>IF((10^-12)*J430*K430^4=0,"",(10^-12)*J430*K430^4)</f>
        <v>#VALUE!</v>
      </c>
      <c r="M430" t="s">
        <v>23</v>
      </c>
      <c r="N430" s="41">
        <v>1100</v>
      </c>
      <c r="O430" s="41">
        <v>1.71</v>
      </c>
      <c r="P430" s="41">
        <v>56</v>
      </c>
      <c r="R430" s="41">
        <f t="shared" si="229"/>
        <v>99.999999999999986</v>
      </c>
      <c r="S430" s="41">
        <f>O430*D430</f>
        <v>0.24166115702479329</v>
      </c>
      <c r="T430" s="41">
        <v>13.4</v>
      </c>
      <c r="U430" s="41">
        <v>13.4</v>
      </c>
      <c r="V430">
        <v>20200508</v>
      </c>
      <c r="W430" s="16" t="s">
        <v>116</v>
      </c>
      <c r="X430">
        <v>2010</v>
      </c>
      <c r="Y430" t="s">
        <v>26</v>
      </c>
      <c r="Z430" t="s">
        <v>117</v>
      </c>
      <c r="AC430" t="s">
        <v>514</v>
      </c>
      <c r="AD430" s="41">
        <v>9.6</v>
      </c>
      <c r="AE430" s="41" t="s">
        <v>22</v>
      </c>
      <c r="AF430" s="41" t="s">
        <v>22</v>
      </c>
      <c r="AG430" s="41" t="s">
        <v>22</v>
      </c>
      <c r="AH430" s="41" t="s">
        <v>22</v>
      </c>
      <c r="AI430" s="41" t="s">
        <v>22</v>
      </c>
      <c r="AJ430" s="41" t="s">
        <v>22</v>
      </c>
      <c r="AK430" s="41" t="s">
        <v>22</v>
      </c>
      <c r="AL430" s="41" t="s">
        <v>22</v>
      </c>
      <c r="AM430" s="43" t="e">
        <f t="shared" si="204"/>
        <v>#VALUE!</v>
      </c>
      <c r="AN430" s="43" t="e">
        <f t="shared" si="205"/>
        <v>#VALUE!</v>
      </c>
      <c r="AO430" s="3" t="s">
        <v>115</v>
      </c>
      <c r="AT430" s="2">
        <f t="shared" si="206"/>
        <v>10</v>
      </c>
      <c r="AU430" s="45">
        <f t="shared" si="207"/>
        <v>-1.0413926851582251</v>
      </c>
      <c r="AV430" s="45">
        <f t="shared" si="208"/>
        <v>-0.19160342523392873</v>
      </c>
      <c r="AW430" s="45">
        <f t="shared" si="209"/>
        <v>-0.84978925992429644</v>
      </c>
      <c r="AX430" s="45">
        <f t="shared" si="210"/>
        <v>3.0413926851582249</v>
      </c>
      <c r="AY430" s="45">
        <f t="shared" si="211"/>
        <v>0.23299611039215382</v>
      </c>
      <c r="AZ430" s="45">
        <f t="shared" si="212"/>
        <v>1.7481880270062005</v>
      </c>
      <c r="BA430" s="45" t="e">
        <f t="shared" si="213"/>
        <v>#VALUE!</v>
      </c>
      <c r="BB430" s="45" t="e">
        <f t="shared" si="214"/>
        <v>#VALUE!</v>
      </c>
      <c r="BC430" s="45">
        <f t="shared" si="215"/>
        <v>1.1271047983648077</v>
      </c>
      <c r="BD430" s="45">
        <f t="shared" si="216"/>
        <v>0.98227123303956843</v>
      </c>
      <c r="BE430" s="45" t="e">
        <f t="shared" si="217"/>
        <v>#VALUE!</v>
      </c>
      <c r="BF430" s="45" t="e">
        <f t="shared" si="218"/>
        <v>#VALUE!</v>
      </c>
      <c r="BG430" s="45" t="e">
        <f t="shared" si="219"/>
        <v>#VALUE!</v>
      </c>
      <c r="BH430" s="45" t="e">
        <f t="shared" si="220"/>
        <v>#NUM!</v>
      </c>
      <c r="BI430" s="43" t="e">
        <f t="shared" si="221"/>
        <v>#VALUE!</v>
      </c>
      <c r="CA430" s="41" t="s">
        <v>22</v>
      </c>
      <c r="CC430" t="s">
        <v>22</v>
      </c>
      <c r="CE430" s="41" t="s">
        <v>22</v>
      </c>
      <c r="CF430" s="41" t="s">
        <v>22</v>
      </c>
      <c r="CG430" s="41">
        <f t="shared" si="228"/>
        <v>9600</v>
      </c>
      <c r="CH430" s="41">
        <f t="shared" si="224"/>
        <v>3.9822712330395684</v>
      </c>
      <c r="CI430" s="41">
        <f t="shared" si="227"/>
        <v>9600</v>
      </c>
      <c r="CJ430" s="41">
        <f t="shared" si="225"/>
        <v>3.9822712330395684</v>
      </c>
      <c r="CL430" s="9" t="s">
        <v>1269</v>
      </c>
      <c r="CM430" s="18" t="s">
        <v>1283</v>
      </c>
      <c r="CN430" s="54" t="s">
        <v>1284</v>
      </c>
      <c r="CO430" s="18" t="s">
        <v>1284</v>
      </c>
    </row>
    <row r="431" spans="1:93" x14ac:dyDescent="0.25">
      <c r="A431" t="s">
        <v>266</v>
      </c>
      <c r="B431" s="41">
        <v>0.5</v>
      </c>
      <c r="C431" s="41">
        <v>1.7</v>
      </c>
      <c r="D431" s="41">
        <f>0.001*(B431*10^6)/(C431*0.001*100^3)</f>
        <v>0.29411764705882354</v>
      </c>
      <c r="E431" s="41" t="s">
        <v>22</v>
      </c>
      <c r="F431" t="s">
        <v>22</v>
      </c>
      <c r="G431" t="s">
        <v>22</v>
      </c>
      <c r="H431">
        <v>27.52</v>
      </c>
      <c r="I431" t="s">
        <v>82</v>
      </c>
      <c r="J431" s="41" t="s">
        <v>22</v>
      </c>
      <c r="K431" t="s">
        <v>22</v>
      </c>
      <c r="L431" s="41" t="e">
        <f>IF((10^-12)*J431*K431^4=0,"",(10^-12)*J431*K431^4)</f>
        <v>#VALUE!</v>
      </c>
      <c r="M431" t="s">
        <v>23</v>
      </c>
      <c r="N431" s="41">
        <v>1250</v>
      </c>
      <c r="O431" s="41">
        <f>0.001*N431/C431</f>
        <v>0.73529411764705888</v>
      </c>
      <c r="P431" s="41" t="s">
        <v>22</v>
      </c>
      <c r="R431" s="41">
        <f t="shared" si="229"/>
        <v>625</v>
      </c>
      <c r="S431" s="41">
        <f>O431*D431</f>
        <v>0.21626297577854672</v>
      </c>
      <c r="T431" s="41" t="s">
        <v>133</v>
      </c>
      <c r="U431" s="41">
        <v>9</v>
      </c>
      <c r="V431">
        <v>20200115</v>
      </c>
      <c r="X431">
        <v>2010</v>
      </c>
      <c r="Y431" t="s">
        <v>452</v>
      </c>
      <c r="Z431" t="s">
        <v>32</v>
      </c>
      <c r="AA431" t="s">
        <v>22</v>
      </c>
      <c r="AB431" s="41" t="s">
        <v>22</v>
      </c>
      <c r="AC431" t="s">
        <v>269</v>
      </c>
      <c r="AD431" s="41" t="s">
        <v>22</v>
      </c>
      <c r="AE431" s="41" t="s">
        <v>22</v>
      </c>
      <c r="AF431" s="41" t="s">
        <v>22</v>
      </c>
      <c r="AG431" s="41" t="s">
        <v>22</v>
      </c>
      <c r="AH431" s="41" t="s">
        <v>22</v>
      </c>
      <c r="AI431" s="41" t="s">
        <v>22</v>
      </c>
      <c r="AJ431" s="41" t="s">
        <v>22</v>
      </c>
      <c r="AK431" s="41" t="s">
        <v>22</v>
      </c>
      <c r="AL431" s="41" t="s">
        <v>22</v>
      </c>
      <c r="AM431" s="43" t="e">
        <f t="shared" si="204"/>
        <v>#VALUE!</v>
      </c>
      <c r="AN431" s="43" t="e">
        <f t="shared" si="205"/>
        <v>#VALUE!</v>
      </c>
      <c r="AO431" s="3" t="s">
        <v>1155</v>
      </c>
      <c r="AT431" s="2">
        <f t="shared" si="206"/>
        <v>1</v>
      </c>
      <c r="AU431" s="45">
        <f t="shared" si="207"/>
        <v>-0.3010299956639812</v>
      </c>
      <c r="AV431" s="45">
        <f t="shared" si="208"/>
        <v>0.23044892137827391</v>
      </c>
      <c r="AW431" s="45">
        <f t="shared" si="209"/>
        <v>-0.53147891704225514</v>
      </c>
      <c r="AX431" s="45">
        <f t="shared" si="210"/>
        <v>3.0969100130080562</v>
      </c>
      <c r="AY431" s="45">
        <f t="shared" si="211"/>
        <v>-0.13353890837021748</v>
      </c>
      <c r="AZ431" s="45" t="e">
        <f t="shared" si="212"/>
        <v>#VALUE!</v>
      </c>
      <c r="BA431" s="45" t="e">
        <f t="shared" si="213"/>
        <v>#VALUE!</v>
      </c>
      <c r="BB431" s="45" t="e">
        <f t="shared" si="214"/>
        <v>#VALUE!</v>
      </c>
      <c r="BC431" s="45">
        <f t="shared" si="215"/>
        <v>0.95424250943932487</v>
      </c>
      <c r="BD431" s="45" t="e">
        <f t="shared" si="216"/>
        <v>#VALUE!</v>
      </c>
      <c r="BE431" s="45" t="e">
        <f t="shared" si="217"/>
        <v>#VALUE!</v>
      </c>
      <c r="BF431" s="45" t="e">
        <f t="shared" si="218"/>
        <v>#VALUE!</v>
      </c>
      <c r="BG431" s="45" t="e">
        <f t="shared" si="219"/>
        <v>#VALUE!</v>
      </c>
      <c r="BH431" s="45" t="e">
        <f t="shared" si="220"/>
        <v>#VALUE!</v>
      </c>
      <c r="BI431" s="43" t="e">
        <f t="shared" si="221"/>
        <v>#VALUE!</v>
      </c>
      <c r="CA431" s="41" t="s">
        <v>22</v>
      </c>
      <c r="CC431" t="s">
        <v>22</v>
      </c>
      <c r="CE431" s="41" t="s">
        <v>22</v>
      </c>
      <c r="CF431" s="41" t="s">
        <v>22</v>
      </c>
      <c r="CG431" s="41" t="e">
        <f t="shared" si="228"/>
        <v>#VALUE!</v>
      </c>
      <c r="CH431" s="41" t="e">
        <f t="shared" si="224"/>
        <v>#VALUE!</v>
      </c>
      <c r="CI431" s="41">
        <f t="shared" si="227"/>
        <v>9</v>
      </c>
      <c r="CJ431" s="41">
        <f t="shared" si="225"/>
        <v>0.95424250943932487</v>
      </c>
      <c r="CL431" s="9" t="s">
        <v>1269</v>
      </c>
      <c r="CM431" s="18" t="s">
        <v>1285</v>
      </c>
      <c r="CN431" s="54" t="s">
        <v>1284</v>
      </c>
      <c r="CO431" s="18" t="s">
        <v>1284</v>
      </c>
    </row>
    <row r="432" spans="1:93" x14ac:dyDescent="0.25">
      <c r="A432" t="s">
        <v>141</v>
      </c>
      <c r="B432" s="41" t="s">
        <v>22</v>
      </c>
      <c r="C432" s="41" t="s">
        <v>22</v>
      </c>
      <c r="D432" s="41" t="s">
        <v>22</v>
      </c>
      <c r="E432" s="41" t="s">
        <v>22</v>
      </c>
      <c r="F432" t="s">
        <v>22</v>
      </c>
      <c r="G432" t="s">
        <v>22</v>
      </c>
      <c r="H432" t="s">
        <v>22</v>
      </c>
      <c r="I432" t="s">
        <v>22</v>
      </c>
      <c r="J432" s="41" t="s">
        <v>22</v>
      </c>
      <c r="K432" t="s">
        <v>22</v>
      </c>
      <c r="M432" t="s">
        <v>23</v>
      </c>
      <c r="N432" s="41">
        <v>465.37905530341203</v>
      </c>
      <c r="O432" s="41" t="s">
        <v>22</v>
      </c>
      <c r="P432" s="41">
        <v>6.8349995674794002</v>
      </c>
      <c r="R432" s="41" t="s">
        <v>22</v>
      </c>
      <c r="S432" s="41" t="s">
        <v>22</v>
      </c>
      <c r="T432" s="41">
        <v>6.1</v>
      </c>
      <c r="U432" s="41">
        <v>6.1</v>
      </c>
      <c r="V432">
        <v>20200512</v>
      </c>
      <c r="X432" s="6">
        <v>2010</v>
      </c>
      <c r="Y432" t="s">
        <v>26</v>
      </c>
      <c r="Z432" t="s">
        <v>40</v>
      </c>
      <c r="AC432" t="s">
        <v>514</v>
      </c>
      <c r="AD432" s="41">
        <v>2.5487821455493598</v>
      </c>
      <c r="AE432" s="41" t="s">
        <v>22</v>
      </c>
      <c r="AF432" s="41" t="s">
        <v>22</v>
      </c>
      <c r="AG432" s="41" t="s">
        <v>22</v>
      </c>
      <c r="AH432" s="41" t="s">
        <v>22</v>
      </c>
      <c r="AI432" s="41" t="s">
        <v>22</v>
      </c>
      <c r="AJ432" s="41" t="s">
        <v>22</v>
      </c>
      <c r="AK432" s="41" t="s">
        <v>22</v>
      </c>
      <c r="AL432" s="41" t="s">
        <v>22</v>
      </c>
      <c r="AM432" s="43" t="e">
        <f t="shared" si="204"/>
        <v>#VALUE!</v>
      </c>
      <c r="AN432" s="43" t="e">
        <f t="shared" si="205"/>
        <v>#VALUE!</v>
      </c>
      <c r="AO432" s="3" t="s">
        <v>586</v>
      </c>
      <c r="AT432" s="2">
        <f t="shared" si="206"/>
        <v>10</v>
      </c>
      <c r="AU432" s="45" t="e">
        <f t="shared" si="207"/>
        <v>#VALUE!</v>
      </c>
      <c r="AV432" s="45" t="e">
        <f t="shared" si="208"/>
        <v>#VALUE!</v>
      </c>
      <c r="AW432" s="45" t="e">
        <f t="shared" si="209"/>
        <v>#VALUE!</v>
      </c>
      <c r="AX432" s="45">
        <f t="shared" si="210"/>
        <v>2.6678068336760234</v>
      </c>
      <c r="AY432" s="45" t="e">
        <f t="shared" si="211"/>
        <v>#VALUE!</v>
      </c>
      <c r="AZ432" s="45">
        <f t="shared" si="212"/>
        <v>0.83473849142157108</v>
      </c>
      <c r="BA432" s="45" t="e">
        <f t="shared" si="213"/>
        <v>#VALUE!</v>
      </c>
      <c r="BB432" s="45" t="e">
        <f t="shared" si="214"/>
        <v>#NUM!</v>
      </c>
      <c r="BC432" s="45">
        <f t="shared" si="215"/>
        <v>0.78532983501076703</v>
      </c>
      <c r="BD432" s="45">
        <f t="shared" si="216"/>
        <v>0.40633271619538436</v>
      </c>
      <c r="BE432" s="45" t="e">
        <f t="shared" si="217"/>
        <v>#VALUE!</v>
      </c>
      <c r="BF432" s="45" t="e">
        <f t="shared" si="218"/>
        <v>#VALUE!</v>
      </c>
      <c r="BG432" s="45" t="e">
        <f t="shared" si="219"/>
        <v>#VALUE!</v>
      </c>
      <c r="BH432" s="45" t="e">
        <f t="shared" si="220"/>
        <v>#NUM!</v>
      </c>
      <c r="BI432" s="43" t="e">
        <f t="shared" si="221"/>
        <v>#VALUE!</v>
      </c>
      <c r="CA432" s="41" t="s">
        <v>22</v>
      </c>
      <c r="CC432" t="s">
        <v>22</v>
      </c>
      <c r="CE432" s="41" t="s">
        <v>22</v>
      </c>
      <c r="CF432" s="41" t="s">
        <v>22</v>
      </c>
      <c r="CG432" s="41">
        <f t="shared" si="228"/>
        <v>2548.7821455493599</v>
      </c>
      <c r="CH432" s="41">
        <f t="shared" si="224"/>
        <v>3.4063327161953842</v>
      </c>
      <c r="CI432" s="41">
        <f t="shared" si="227"/>
        <v>2548.7821455493599</v>
      </c>
      <c r="CJ432" s="41">
        <f t="shared" si="225"/>
        <v>3.4063327161953842</v>
      </c>
      <c r="CL432" s="9" t="s">
        <v>1269</v>
      </c>
      <c r="CM432" s="18" t="s">
        <v>1283</v>
      </c>
      <c r="CN432" s="54" t="s">
        <v>1284</v>
      </c>
      <c r="CO432" s="18" t="s">
        <v>1284</v>
      </c>
    </row>
    <row r="433" spans="1:93" x14ac:dyDescent="0.25">
      <c r="A433" t="s">
        <v>141</v>
      </c>
      <c r="B433" s="41" t="s">
        <v>22</v>
      </c>
      <c r="C433" s="41" t="s">
        <v>22</v>
      </c>
      <c r="D433" s="41" t="s">
        <v>22</v>
      </c>
      <c r="E433" s="41" t="s">
        <v>22</v>
      </c>
      <c r="F433" t="s">
        <v>22</v>
      </c>
      <c r="G433" t="s">
        <v>22</v>
      </c>
      <c r="H433" t="s">
        <v>22</v>
      </c>
      <c r="I433" t="s">
        <v>22</v>
      </c>
      <c r="J433" s="41" t="s">
        <v>22</v>
      </c>
      <c r="K433" t="s">
        <v>22</v>
      </c>
      <c r="M433" t="s">
        <v>23</v>
      </c>
      <c r="N433" s="41">
        <v>465.84972264246102</v>
      </c>
      <c r="O433" s="41" t="s">
        <v>22</v>
      </c>
      <c r="P433" s="41">
        <v>7.7397090989977899</v>
      </c>
      <c r="R433" s="41" t="s">
        <v>22</v>
      </c>
      <c r="S433" s="41" t="s">
        <v>22</v>
      </c>
      <c r="T433" s="41">
        <v>6.1</v>
      </c>
      <c r="U433" s="41">
        <v>6.1</v>
      </c>
      <c r="V433">
        <v>20200512</v>
      </c>
      <c r="X433" s="6">
        <v>2010</v>
      </c>
      <c r="Y433" t="s">
        <v>26</v>
      </c>
      <c r="Z433" t="s">
        <v>40</v>
      </c>
      <c r="AC433" t="s">
        <v>514</v>
      </c>
      <c r="AD433" s="41">
        <v>4.0436722235266398</v>
      </c>
      <c r="AE433" s="41" t="s">
        <v>22</v>
      </c>
      <c r="AF433" s="41" t="s">
        <v>22</v>
      </c>
      <c r="AG433" s="41" t="s">
        <v>22</v>
      </c>
      <c r="AH433" s="41" t="s">
        <v>22</v>
      </c>
      <c r="AI433" s="41" t="s">
        <v>22</v>
      </c>
      <c r="AJ433" s="41" t="s">
        <v>22</v>
      </c>
      <c r="AK433" s="41" t="s">
        <v>22</v>
      </c>
      <c r="AL433" s="41" t="s">
        <v>22</v>
      </c>
      <c r="AM433" s="43" t="e">
        <f t="shared" si="204"/>
        <v>#VALUE!</v>
      </c>
      <c r="AN433" s="43" t="e">
        <f t="shared" si="205"/>
        <v>#VALUE!</v>
      </c>
      <c r="AO433" s="3" t="s">
        <v>586</v>
      </c>
      <c r="AT433" s="2">
        <f t="shared" si="206"/>
        <v>10</v>
      </c>
      <c r="AU433" s="45" t="e">
        <f t="shared" si="207"/>
        <v>#VALUE!</v>
      </c>
      <c r="AV433" s="45" t="e">
        <f t="shared" si="208"/>
        <v>#VALUE!</v>
      </c>
      <c r="AW433" s="45" t="e">
        <f t="shared" si="209"/>
        <v>#VALUE!</v>
      </c>
      <c r="AX433" s="45">
        <f t="shared" si="210"/>
        <v>2.6682458412548433</v>
      </c>
      <c r="AY433" s="45" t="e">
        <f t="shared" si="211"/>
        <v>#VALUE!</v>
      </c>
      <c r="AZ433" s="45">
        <f t="shared" si="212"/>
        <v>0.8887246378050857</v>
      </c>
      <c r="BA433" s="45" t="e">
        <f t="shared" si="213"/>
        <v>#VALUE!</v>
      </c>
      <c r="BB433" s="45" t="e">
        <f t="shared" si="214"/>
        <v>#NUM!</v>
      </c>
      <c r="BC433" s="45">
        <f t="shared" si="215"/>
        <v>0.78532983501076703</v>
      </c>
      <c r="BD433" s="45">
        <f t="shared" si="216"/>
        <v>0.60677594482129638</v>
      </c>
      <c r="BE433" s="45" t="e">
        <f t="shared" si="217"/>
        <v>#VALUE!</v>
      </c>
      <c r="BF433" s="45" t="e">
        <f t="shared" si="218"/>
        <v>#VALUE!</v>
      </c>
      <c r="BG433" s="45" t="e">
        <f t="shared" si="219"/>
        <v>#VALUE!</v>
      </c>
      <c r="BH433" s="45" t="e">
        <f t="shared" si="220"/>
        <v>#NUM!</v>
      </c>
      <c r="BI433" s="43" t="e">
        <f t="shared" si="221"/>
        <v>#VALUE!</v>
      </c>
      <c r="CA433" s="41" t="s">
        <v>22</v>
      </c>
      <c r="CC433" t="s">
        <v>22</v>
      </c>
      <c r="CE433" s="41" t="s">
        <v>22</v>
      </c>
      <c r="CF433" s="41" t="s">
        <v>22</v>
      </c>
      <c r="CG433" s="41">
        <f t="shared" si="228"/>
        <v>4043.6722235266398</v>
      </c>
      <c r="CH433" s="41">
        <f t="shared" si="224"/>
        <v>3.6067759448212962</v>
      </c>
      <c r="CI433" s="41">
        <f t="shared" si="227"/>
        <v>4043.6722235266398</v>
      </c>
      <c r="CJ433" s="41">
        <f t="shared" si="225"/>
        <v>3.6067759448212962</v>
      </c>
      <c r="CL433" s="9" t="s">
        <v>1269</v>
      </c>
      <c r="CM433" s="18" t="s">
        <v>1283</v>
      </c>
      <c r="CN433" s="54" t="s">
        <v>1284</v>
      </c>
      <c r="CO433" s="18" t="s">
        <v>1284</v>
      </c>
    </row>
    <row r="434" spans="1:93" x14ac:dyDescent="0.25">
      <c r="A434" t="s">
        <v>141</v>
      </c>
      <c r="B434" s="41" t="s">
        <v>22</v>
      </c>
      <c r="C434" s="41" t="s">
        <v>22</v>
      </c>
      <c r="D434" s="41" t="s">
        <v>22</v>
      </c>
      <c r="E434" s="41" t="s">
        <v>22</v>
      </c>
      <c r="F434" t="s">
        <v>22</v>
      </c>
      <c r="G434" t="s">
        <v>22</v>
      </c>
      <c r="H434" t="s">
        <v>22</v>
      </c>
      <c r="I434" t="s">
        <v>22</v>
      </c>
      <c r="J434" s="41" t="s">
        <v>22</v>
      </c>
      <c r="K434" t="s">
        <v>22</v>
      </c>
      <c r="M434" t="s">
        <v>23</v>
      </c>
      <c r="N434" s="41">
        <v>615.59589847033101</v>
      </c>
      <c r="O434" s="41" t="s">
        <v>22</v>
      </c>
      <c r="P434" s="41">
        <v>10.466813311748499</v>
      </c>
      <c r="R434" s="41" t="s">
        <v>22</v>
      </c>
      <c r="S434" s="41" t="s">
        <v>22</v>
      </c>
      <c r="T434" s="41">
        <v>6.1</v>
      </c>
      <c r="U434" s="41">
        <v>6.1</v>
      </c>
      <c r="V434">
        <v>20200512</v>
      </c>
      <c r="X434" s="6">
        <v>2010</v>
      </c>
      <c r="Y434" t="s">
        <v>26</v>
      </c>
      <c r="Z434" t="s">
        <v>40</v>
      </c>
      <c r="AC434" t="s">
        <v>514</v>
      </c>
      <c r="AD434" s="41">
        <v>6.2550141496026903</v>
      </c>
      <c r="AE434" s="41" t="s">
        <v>22</v>
      </c>
      <c r="AF434" s="41" t="s">
        <v>22</v>
      </c>
      <c r="AG434" s="41" t="s">
        <v>22</v>
      </c>
      <c r="AH434" s="41" t="s">
        <v>22</v>
      </c>
      <c r="AI434" s="41" t="s">
        <v>22</v>
      </c>
      <c r="AJ434" s="41" t="s">
        <v>22</v>
      </c>
      <c r="AK434" s="41" t="s">
        <v>22</v>
      </c>
      <c r="AL434" s="41" t="s">
        <v>22</v>
      </c>
      <c r="AM434" s="43" t="e">
        <f t="shared" si="204"/>
        <v>#VALUE!</v>
      </c>
      <c r="AN434" s="43" t="e">
        <f t="shared" si="205"/>
        <v>#VALUE!</v>
      </c>
      <c r="AO434" s="3" t="s">
        <v>586</v>
      </c>
      <c r="AT434" s="2">
        <f t="shared" si="206"/>
        <v>10</v>
      </c>
      <c r="AU434" s="45" t="e">
        <f t="shared" si="207"/>
        <v>#VALUE!</v>
      </c>
      <c r="AV434" s="45" t="e">
        <f t="shared" si="208"/>
        <v>#VALUE!</v>
      </c>
      <c r="AW434" s="45" t="e">
        <f t="shared" si="209"/>
        <v>#VALUE!</v>
      </c>
      <c r="AX434" s="45">
        <f t="shared" si="210"/>
        <v>2.7892957175960289</v>
      </c>
      <c r="AY434" s="45" t="e">
        <f t="shared" si="211"/>
        <v>#VALUE!</v>
      </c>
      <c r="AZ434" s="45">
        <f t="shared" si="212"/>
        <v>1.0198144780704657</v>
      </c>
      <c r="BA434" s="45" t="e">
        <f t="shared" si="213"/>
        <v>#VALUE!</v>
      </c>
      <c r="BB434" s="45" t="e">
        <f t="shared" si="214"/>
        <v>#NUM!</v>
      </c>
      <c r="BC434" s="45">
        <f t="shared" si="215"/>
        <v>0.78532983501076703</v>
      </c>
      <c r="BD434" s="45">
        <f t="shared" si="216"/>
        <v>0.79622829645748339</v>
      </c>
      <c r="BE434" s="45" t="e">
        <f t="shared" si="217"/>
        <v>#VALUE!</v>
      </c>
      <c r="BF434" s="45" t="e">
        <f t="shared" si="218"/>
        <v>#VALUE!</v>
      </c>
      <c r="BG434" s="45" t="e">
        <f t="shared" si="219"/>
        <v>#VALUE!</v>
      </c>
      <c r="BH434" s="45" t="e">
        <f t="shared" si="220"/>
        <v>#NUM!</v>
      </c>
      <c r="BI434" s="43" t="e">
        <f t="shared" si="221"/>
        <v>#VALUE!</v>
      </c>
      <c r="CA434" s="41" t="s">
        <v>22</v>
      </c>
      <c r="CC434" t="s">
        <v>22</v>
      </c>
      <c r="CE434" s="41" t="s">
        <v>22</v>
      </c>
      <c r="CF434" s="41" t="s">
        <v>22</v>
      </c>
      <c r="CG434" s="41">
        <f t="shared" si="228"/>
        <v>6255.0141496026899</v>
      </c>
      <c r="CH434" s="41">
        <f t="shared" si="224"/>
        <v>3.7962282964574832</v>
      </c>
      <c r="CI434" s="41">
        <f t="shared" si="227"/>
        <v>6255.0141496026899</v>
      </c>
      <c r="CJ434" s="41">
        <f t="shared" si="225"/>
        <v>3.7962282964574832</v>
      </c>
      <c r="CL434" s="9" t="s">
        <v>1269</v>
      </c>
      <c r="CM434" s="18" t="s">
        <v>1283</v>
      </c>
      <c r="CN434" s="54" t="s">
        <v>1284</v>
      </c>
      <c r="CO434" s="18" t="s">
        <v>1284</v>
      </c>
    </row>
    <row r="435" spans="1:93" x14ac:dyDescent="0.25">
      <c r="A435" t="s">
        <v>141</v>
      </c>
      <c r="B435" s="41" t="s">
        <v>22</v>
      </c>
      <c r="C435" s="41" t="s">
        <v>22</v>
      </c>
      <c r="D435" s="41" t="s">
        <v>22</v>
      </c>
      <c r="E435" s="41" t="s">
        <v>22</v>
      </c>
      <c r="F435" t="s">
        <v>22</v>
      </c>
      <c r="G435" t="s">
        <v>22</v>
      </c>
      <c r="H435" t="s">
        <v>22</v>
      </c>
      <c r="I435" t="s">
        <v>22</v>
      </c>
      <c r="J435" s="41" t="s">
        <v>22</v>
      </c>
      <c r="K435" t="s">
        <v>22</v>
      </c>
      <c r="M435" t="s">
        <v>23</v>
      </c>
      <c r="N435" s="41">
        <v>700.68582955118495</v>
      </c>
      <c r="O435" s="41" t="s">
        <v>22</v>
      </c>
      <c r="P435" s="41">
        <v>11.7340986888446</v>
      </c>
      <c r="R435" s="41" t="s">
        <v>22</v>
      </c>
      <c r="S435" s="41" t="s">
        <v>22</v>
      </c>
      <c r="T435" s="41">
        <v>6.1</v>
      </c>
      <c r="U435" s="41">
        <v>6.1</v>
      </c>
      <c r="V435">
        <v>20200512</v>
      </c>
      <c r="X435" s="6">
        <v>2010</v>
      </c>
      <c r="Y435" t="s">
        <v>26</v>
      </c>
      <c r="Z435" t="s">
        <v>40</v>
      </c>
      <c r="AC435" t="s">
        <v>514</v>
      </c>
      <c r="AD435" s="41">
        <v>8.2266160823519208</v>
      </c>
      <c r="AE435" s="41" t="s">
        <v>22</v>
      </c>
      <c r="AF435" s="41" t="s">
        <v>22</v>
      </c>
      <c r="AG435" s="41" t="s">
        <v>22</v>
      </c>
      <c r="AH435" s="41" t="s">
        <v>22</v>
      </c>
      <c r="AI435" s="41" t="s">
        <v>22</v>
      </c>
      <c r="AJ435" s="41" t="s">
        <v>22</v>
      </c>
      <c r="AK435" s="41" t="s">
        <v>22</v>
      </c>
      <c r="AL435" s="41" t="s">
        <v>22</v>
      </c>
      <c r="AM435" s="43" t="e">
        <f t="shared" si="204"/>
        <v>#VALUE!</v>
      </c>
      <c r="AN435" s="43" t="e">
        <f t="shared" si="205"/>
        <v>#VALUE!</v>
      </c>
      <c r="AO435" s="3" t="s">
        <v>586</v>
      </c>
      <c r="AT435" s="2">
        <f t="shared" si="206"/>
        <v>10</v>
      </c>
      <c r="AU435" s="45" t="e">
        <f t="shared" si="207"/>
        <v>#VALUE!</v>
      </c>
      <c r="AV435" s="45" t="e">
        <f t="shared" si="208"/>
        <v>#VALUE!</v>
      </c>
      <c r="AW435" s="45" t="e">
        <f t="shared" si="209"/>
        <v>#VALUE!</v>
      </c>
      <c r="AX435" s="45">
        <f t="shared" si="210"/>
        <v>2.8455233345480129</v>
      </c>
      <c r="AY435" s="45" t="e">
        <f t="shared" si="211"/>
        <v>#VALUE!</v>
      </c>
      <c r="AZ435" s="45">
        <f t="shared" si="212"/>
        <v>1.0694497365000843</v>
      </c>
      <c r="BA435" s="45" t="e">
        <f t="shared" si="213"/>
        <v>#VALUE!</v>
      </c>
      <c r="BB435" s="45" t="e">
        <f t="shared" si="214"/>
        <v>#NUM!</v>
      </c>
      <c r="BC435" s="45">
        <f t="shared" si="215"/>
        <v>0.78532983501076703</v>
      </c>
      <c r="BD435" s="45">
        <f t="shared" si="216"/>
        <v>0.91522123023356283</v>
      </c>
      <c r="BE435" s="45" t="e">
        <f t="shared" si="217"/>
        <v>#VALUE!</v>
      </c>
      <c r="BF435" s="45" t="e">
        <f t="shared" si="218"/>
        <v>#VALUE!</v>
      </c>
      <c r="BG435" s="45" t="e">
        <f t="shared" si="219"/>
        <v>#VALUE!</v>
      </c>
      <c r="BH435" s="45" t="e">
        <f t="shared" si="220"/>
        <v>#NUM!</v>
      </c>
      <c r="BI435" s="43" t="e">
        <f t="shared" si="221"/>
        <v>#VALUE!</v>
      </c>
      <c r="CA435" s="41" t="s">
        <v>22</v>
      </c>
      <c r="CC435" t="s">
        <v>22</v>
      </c>
      <c r="CE435" s="41" t="s">
        <v>22</v>
      </c>
      <c r="CF435" s="41" t="s">
        <v>22</v>
      </c>
      <c r="CG435" s="41">
        <f t="shared" si="228"/>
        <v>8226.6160823519203</v>
      </c>
      <c r="CH435" s="41">
        <f t="shared" si="224"/>
        <v>3.9152212302335627</v>
      </c>
      <c r="CI435" s="41">
        <f t="shared" si="227"/>
        <v>8226.6160823519203</v>
      </c>
      <c r="CJ435" s="41">
        <f t="shared" si="225"/>
        <v>3.9152212302335627</v>
      </c>
      <c r="CL435" s="9" t="s">
        <v>1269</v>
      </c>
      <c r="CM435" s="18" t="s">
        <v>1283</v>
      </c>
      <c r="CN435" s="54" t="s">
        <v>1284</v>
      </c>
      <c r="CO435" s="18" t="s">
        <v>1284</v>
      </c>
    </row>
    <row r="436" spans="1:93" x14ac:dyDescent="0.25">
      <c r="A436" t="s">
        <v>141</v>
      </c>
      <c r="B436" s="41" t="s">
        <v>22</v>
      </c>
      <c r="C436" s="41" t="s">
        <v>22</v>
      </c>
      <c r="D436" s="41" t="s">
        <v>22</v>
      </c>
      <c r="E436" s="41" t="s">
        <v>22</v>
      </c>
      <c r="F436" t="s">
        <v>22</v>
      </c>
      <c r="G436" t="s">
        <v>22</v>
      </c>
      <c r="H436" t="s">
        <v>22</v>
      </c>
      <c r="I436" t="s">
        <v>22</v>
      </c>
      <c r="J436" s="41" t="s">
        <v>22</v>
      </c>
      <c r="K436" t="s">
        <v>22</v>
      </c>
      <c r="M436" t="s">
        <v>23</v>
      </c>
      <c r="N436" s="41">
        <v>725.96066565809406</v>
      </c>
      <c r="O436" s="41" t="s">
        <v>22</v>
      </c>
      <c r="P436" s="41">
        <v>13.004597076160699</v>
      </c>
      <c r="R436" s="41" t="s">
        <v>22</v>
      </c>
      <c r="S436" s="41" t="s">
        <v>22</v>
      </c>
      <c r="T436" s="41">
        <v>6.1</v>
      </c>
      <c r="U436" s="41">
        <v>6.1</v>
      </c>
      <c r="V436">
        <v>20200512</v>
      </c>
      <c r="X436" s="6">
        <v>2010</v>
      </c>
      <c r="Y436" t="s">
        <v>26</v>
      </c>
      <c r="Z436" t="s">
        <v>40</v>
      </c>
      <c r="AC436" t="s">
        <v>514</v>
      </c>
      <c r="AD436" s="41">
        <v>9.6352986245844701</v>
      </c>
      <c r="AE436" s="41" t="s">
        <v>22</v>
      </c>
      <c r="AF436" s="41" t="s">
        <v>22</v>
      </c>
      <c r="AG436" s="41" t="s">
        <v>22</v>
      </c>
      <c r="AH436" s="41" t="s">
        <v>22</v>
      </c>
      <c r="AI436" s="41" t="s">
        <v>22</v>
      </c>
      <c r="AJ436" s="41" t="s">
        <v>22</v>
      </c>
      <c r="AK436" s="41" t="s">
        <v>22</v>
      </c>
      <c r="AL436" s="41" t="s">
        <v>22</v>
      </c>
      <c r="AM436" s="43" t="e">
        <f t="shared" si="204"/>
        <v>#VALUE!</v>
      </c>
      <c r="AN436" s="43" t="e">
        <f t="shared" si="205"/>
        <v>#VALUE!</v>
      </c>
      <c r="AO436" s="3" t="s">
        <v>586</v>
      </c>
      <c r="AT436" s="2">
        <f t="shared" si="206"/>
        <v>10</v>
      </c>
      <c r="AU436" s="45" t="e">
        <f t="shared" si="207"/>
        <v>#VALUE!</v>
      </c>
      <c r="AV436" s="45" t="e">
        <f t="shared" si="208"/>
        <v>#VALUE!</v>
      </c>
      <c r="AW436" s="45" t="e">
        <f t="shared" si="209"/>
        <v>#VALUE!</v>
      </c>
      <c r="AX436" s="45">
        <f t="shared" si="210"/>
        <v>2.8609130901898707</v>
      </c>
      <c r="AY436" s="45" t="e">
        <f t="shared" si="211"/>
        <v>#VALUE!</v>
      </c>
      <c r="AZ436" s="45">
        <f t="shared" si="212"/>
        <v>1.1140969009139874</v>
      </c>
      <c r="BA436" s="45" t="e">
        <f t="shared" si="213"/>
        <v>#VALUE!</v>
      </c>
      <c r="BB436" s="45" t="e">
        <f t="shared" si="214"/>
        <v>#NUM!</v>
      </c>
      <c r="BC436" s="45">
        <f t="shared" si="215"/>
        <v>0.78532983501076703</v>
      </c>
      <c r="BD436" s="45">
        <f t="shared" si="216"/>
        <v>0.98386517918861072</v>
      </c>
      <c r="BE436" s="45" t="e">
        <f t="shared" si="217"/>
        <v>#VALUE!</v>
      </c>
      <c r="BF436" s="45" t="e">
        <f t="shared" si="218"/>
        <v>#VALUE!</v>
      </c>
      <c r="BG436" s="45" t="e">
        <f t="shared" si="219"/>
        <v>#VALUE!</v>
      </c>
      <c r="BH436" s="45" t="e">
        <f t="shared" si="220"/>
        <v>#NUM!</v>
      </c>
      <c r="BI436" s="43" t="e">
        <f t="shared" si="221"/>
        <v>#VALUE!</v>
      </c>
      <c r="CA436" s="41" t="s">
        <v>22</v>
      </c>
      <c r="CC436" t="s">
        <v>22</v>
      </c>
      <c r="CE436" s="41" t="s">
        <v>22</v>
      </c>
      <c r="CF436" s="41" t="s">
        <v>22</v>
      </c>
      <c r="CG436" s="41">
        <f t="shared" si="228"/>
        <v>9635.2986245844695</v>
      </c>
      <c r="CH436" s="41">
        <f t="shared" si="224"/>
        <v>3.9838651791886108</v>
      </c>
      <c r="CI436" s="41">
        <f t="shared" si="227"/>
        <v>9635.2986245844695</v>
      </c>
      <c r="CJ436" s="41">
        <f t="shared" si="225"/>
        <v>3.9838651791886108</v>
      </c>
      <c r="CL436" s="9" t="s">
        <v>1269</v>
      </c>
      <c r="CM436" s="18" t="s">
        <v>1283</v>
      </c>
      <c r="CN436" s="54" t="s">
        <v>1284</v>
      </c>
      <c r="CO436" s="18" t="s">
        <v>1284</v>
      </c>
    </row>
    <row r="437" spans="1:93" x14ac:dyDescent="0.25">
      <c r="A437" t="s">
        <v>141</v>
      </c>
      <c r="B437" s="41" t="s">
        <v>22</v>
      </c>
      <c r="C437" s="41" t="s">
        <v>22</v>
      </c>
      <c r="D437" s="41" t="s">
        <v>22</v>
      </c>
      <c r="E437" s="41" t="s">
        <v>22</v>
      </c>
      <c r="F437" t="s">
        <v>22</v>
      </c>
      <c r="G437" t="s">
        <v>22</v>
      </c>
      <c r="H437" t="s">
        <v>22</v>
      </c>
      <c r="I437" t="s">
        <v>22</v>
      </c>
      <c r="J437" s="41" t="s">
        <v>22</v>
      </c>
      <c r="K437" t="s">
        <v>22</v>
      </c>
      <c r="M437" t="s">
        <v>23</v>
      </c>
      <c r="N437" s="41">
        <v>746.52882837451693</v>
      </c>
      <c r="O437" s="41" t="s">
        <v>22</v>
      </c>
      <c r="P437" s="41">
        <v>13.7223341283474</v>
      </c>
      <c r="R437" s="41" t="s">
        <v>22</v>
      </c>
      <c r="S437" s="41" t="s">
        <v>22</v>
      </c>
      <c r="T437" s="41">
        <v>6.1</v>
      </c>
      <c r="U437" s="41">
        <v>6.1</v>
      </c>
      <c r="V437">
        <v>20200512</v>
      </c>
      <c r="X437" s="6">
        <v>2010</v>
      </c>
      <c r="Y437" t="s">
        <v>26</v>
      </c>
      <c r="Z437" t="s">
        <v>40</v>
      </c>
      <c r="AC437" t="s">
        <v>514</v>
      </c>
      <c r="AD437" s="41">
        <v>11.8877670814745</v>
      </c>
      <c r="AE437" s="41" t="s">
        <v>22</v>
      </c>
      <c r="AF437" s="41" t="s">
        <v>22</v>
      </c>
      <c r="AG437" s="41" t="s">
        <v>22</v>
      </c>
      <c r="AH437" s="41" t="s">
        <v>22</v>
      </c>
      <c r="AI437" s="41" t="s">
        <v>22</v>
      </c>
      <c r="AJ437" s="41" t="s">
        <v>22</v>
      </c>
      <c r="AK437" s="41" t="s">
        <v>22</v>
      </c>
      <c r="AL437" s="41" t="s">
        <v>22</v>
      </c>
      <c r="AM437" s="43" t="e">
        <f t="shared" si="204"/>
        <v>#VALUE!</v>
      </c>
      <c r="AN437" s="43" t="e">
        <f t="shared" si="205"/>
        <v>#VALUE!</v>
      </c>
      <c r="AO437" s="3" t="s">
        <v>586</v>
      </c>
      <c r="AT437" s="2">
        <f t="shared" si="206"/>
        <v>10</v>
      </c>
      <c r="AU437" s="45" t="e">
        <f t="shared" si="207"/>
        <v>#VALUE!</v>
      </c>
      <c r="AV437" s="45" t="e">
        <f t="shared" si="208"/>
        <v>#VALUE!</v>
      </c>
      <c r="AW437" s="45" t="e">
        <f t="shared" si="209"/>
        <v>#VALUE!</v>
      </c>
      <c r="AX437" s="45">
        <f t="shared" si="210"/>
        <v>2.8730465833433376</v>
      </c>
      <c r="AY437" s="45" t="e">
        <f t="shared" si="211"/>
        <v>#VALUE!</v>
      </c>
      <c r="AZ437" s="45">
        <f t="shared" si="212"/>
        <v>1.1374279898578203</v>
      </c>
      <c r="BA437" s="45" t="e">
        <f t="shared" si="213"/>
        <v>#VALUE!</v>
      </c>
      <c r="BB437" s="45" t="e">
        <f t="shared" si="214"/>
        <v>#NUM!</v>
      </c>
      <c r="BC437" s="45">
        <f t="shared" si="215"/>
        <v>0.78532983501076703</v>
      </c>
      <c r="BD437" s="45">
        <f t="shared" si="216"/>
        <v>1.0751002873130913</v>
      </c>
      <c r="BE437" s="45" t="e">
        <f t="shared" si="217"/>
        <v>#VALUE!</v>
      </c>
      <c r="BF437" s="45" t="e">
        <f t="shared" si="218"/>
        <v>#VALUE!</v>
      </c>
      <c r="BG437" s="45" t="e">
        <f t="shared" si="219"/>
        <v>#VALUE!</v>
      </c>
      <c r="BH437" s="45" t="e">
        <f t="shared" si="220"/>
        <v>#NUM!</v>
      </c>
      <c r="BI437" s="43" t="e">
        <f t="shared" si="221"/>
        <v>#VALUE!</v>
      </c>
      <c r="CA437" s="41" t="s">
        <v>22</v>
      </c>
      <c r="CC437" t="s">
        <v>22</v>
      </c>
      <c r="CE437" s="41" t="s">
        <v>22</v>
      </c>
      <c r="CF437" s="41" t="s">
        <v>22</v>
      </c>
      <c r="CG437" s="41">
        <f t="shared" si="228"/>
        <v>11887.7670814745</v>
      </c>
      <c r="CH437" s="41">
        <f t="shared" ref="CH437:CH449" si="230">LOG10(CG437)</f>
        <v>4.0751002873130915</v>
      </c>
      <c r="CI437" s="41">
        <f t="shared" si="227"/>
        <v>11887.7670814745</v>
      </c>
      <c r="CJ437" s="41">
        <f t="shared" ref="CJ437:CJ449" si="231">LOG10(CI437)</f>
        <v>4.0751002873130915</v>
      </c>
      <c r="CL437" s="9" t="s">
        <v>1269</v>
      </c>
      <c r="CM437" s="18" t="s">
        <v>1283</v>
      </c>
      <c r="CN437" s="54" t="s">
        <v>1284</v>
      </c>
      <c r="CO437" s="18" t="s">
        <v>1284</v>
      </c>
    </row>
    <row r="438" spans="1:93" x14ac:dyDescent="0.25">
      <c r="A438" t="s">
        <v>141</v>
      </c>
      <c r="B438" s="41" t="s">
        <v>22</v>
      </c>
      <c r="C438" s="41" t="s">
        <v>22</v>
      </c>
      <c r="D438" s="41" t="s">
        <v>22</v>
      </c>
      <c r="E438" s="41" t="s">
        <v>22</v>
      </c>
      <c r="F438" t="s">
        <v>22</v>
      </c>
      <c r="G438" t="s">
        <v>22</v>
      </c>
      <c r="H438" t="s">
        <v>22</v>
      </c>
      <c r="I438" t="s">
        <v>22</v>
      </c>
      <c r="J438" s="41" t="s">
        <v>22</v>
      </c>
      <c r="K438" t="s">
        <v>22</v>
      </c>
      <c r="M438" t="s">
        <v>23</v>
      </c>
      <c r="N438" s="41">
        <v>757.11548159354504</v>
      </c>
      <c r="O438" s="41" t="s">
        <v>22</v>
      </c>
      <c r="P438" s="41">
        <v>14.441183376379399</v>
      </c>
      <c r="R438" s="41" t="s">
        <v>22</v>
      </c>
      <c r="S438" s="41" t="s">
        <v>22</v>
      </c>
      <c r="T438" s="41">
        <v>6.1</v>
      </c>
      <c r="U438" s="41">
        <v>6.1</v>
      </c>
      <c r="V438">
        <v>20200512</v>
      </c>
      <c r="X438" s="6">
        <v>2010</v>
      </c>
      <c r="Y438" t="s">
        <v>26</v>
      </c>
      <c r="Z438" t="s">
        <v>40</v>
      </c>
      <c r="AC438" t="s">
        <v>514</v>
      </c>
      <c r="AD438" s="41">
        <v>13.9453788262626</v>
      </c>
      <c r="AE438" s="41" t="s">
        <v>22</v>
      </c>
      <c r="AF438" s="41" t="s">
        <v>22</v>
      </c>
      <c r="AG438" s="41" t="s">
        <v>22</v>
      </c>
      <c r="AH438" s="41" t="s">
        <v>22</v>
      </c>
      <c r="AI438" s="41" t="s">
        <v>22</v>
      </c>
      <c r="AJ438" s="41" t="s">
        <v>22</v>
      </c>
      <c r="AK438" s="41" t="s">
        <v>22</v>
      </c>
      <c r="AL438" s="41" t="s">
        <v>22</v>
      </c>
      <c r="AM438" s="43" t="e">
        <f t="shared" si="204"/>
        <v>#VALUE!</v>
      </c>
      <c r="AN438" s="43" t="e">
        <f t="shared" si="205"/>
        <v>#VALUE!</v>
      </c>
      <c r="AO438" s="3" t="s">
        <v>586</v>
      </c>
      <c r="AT438" s="2">
        <f t="shared" si="206"/>
        <v>10</v>
      </c>
      <c r="AU438" s="45" t="e">
        <f t="shared" si="207"/>
        <v>#VALUE!</v>
      </c>
      <c r="AV438" s="45" t="e">
        <f t="shared" si="208"/>
        <v>#VALUE!</v>
      </c>
      <c r="AW438" s="45" t="e">
        <f t="shared" si="209"/>
        <v>#VALUE!</v>
      </c>
      <c r="AX438" s="45">
        <f t="shared" si="210"/>
        <v>2.8791621267837773</v>
      </c>
      <c r="AY438" s="45" t="e">
        <f t="shared" si="211"/>
        <v>#VALUE!</v>
      </c>
      <c r="AZ438" s="45">
        <f t="shared" si="212"/>
        <v>1.1596027827609037</v>
      </c>
      <c r="BA438" s="45" t="e">
        <f t="shared" si="213"/>
        <v>#VALUE!</v>
      </c>
      <c r="BB438" s="45" t="e">
        <f t="shared" si="214"/>
        <v>#NUM!</v>
      </c>
      <c r="BC438" s="45">
        <f t="shared" si="215"/>
        <v>0.78532983501076703</v>
      </c>
      <c r="BD438" s="45">
        <f t="shared" si="216"/>
        <v>1.1444303163733704</v>
      </c>
      <c r="BE438" s="45" t="e">
        <f t="shared" si="217"/>
        <v>#VALUE!</v>
      </c>
      <c r="BF438" s="45" t="e">
        <f t="shared" si="218"/>
        <v>#VALUE!</v>
      </c>
      <c r="BG438" s="45" t="e">
        <f t="shared" si="219"/>
        <v>#VALUE!</v>
      </c>
      <c r="BH438" s="45" t="e">
        <f t="shared" si="220"/>
        <v>#NUM!</v>
      </c>
      <c r="BI438" s="43" t="e">
        <f t="shared" si="221"/>
        <v>#VALUE!</v>
      </c>
      <c r="CA438" s="41" t="s">
        <v>22</v>
      </c>
      <c r="CC438" t="s">
        <v>22</v>
      </c>
      <c r="CE438" s="41" t="s">
        <v>22</v>
      </c>
      <c r="CF438" s="41" t="s">
        <v>22</v>
      </c>
      <c r="CG438" s="41">
        <f t="shared" si="228"/>
        <v>13945.3788262626</v>
      </c>
      <c r="CH438" s="41">
        <f t="shared" si="230"/>
        <v>4.1444303163733709</v>
      </c>
      <c r="CI438" s="41">
        <f t="shared" si="227"/>
        <v>13945.3788262626</v>
      </c>
      <c r="CJ438" s="41">
        <f t="shared" si="231"/>
        <v>4.1444303163733709</v>
      </c>
      <c r="CL438" s="9" t="s">
        <v>1269</v>
      </c>
      <c r="CM438" s="18" t="s">
        <v>1283</v>
      </c>
      <c r="CN438" s="54" t="s">
        <v>1284</v>
      </c>
      <c r="CO438" s="18" t="s">
        <v>1284</v>
      </c>
    </row>
    <row r="439" spans="1:93" x14ac:dyDescent="0.25">
      <c r="A439" t="s">
        <v>141</v>
      </c>
      <c r="B439" s="41" t="s">
        <v>22</v>
      </c>
      <c r="C439" s="41" t="s">
        <v>22</v>
      </c>
      <c r="D439" s="41" t="s">
        <v>22</v>
      </c>
      <c r="E439" s="41" t="s">
        <v>22</v>
      </c>
      <c r="F439" t="s">
        <v>22</v>
      </c>
      <c r="G439" t="s">
        <v>22</v>
      </c>
      <c r="H439" t="s">
        <v>22</v>
      </c>
      <c r="I439" t="s">
        <v>22</v>
      </c>
      <c r="J439" s="41" t="s">
        <v>22</v>
      </c>
      <c r="K439" t="s">
        <v>22</v>
      </c>
      <c r="M439" t="s">
        <v>23</v>
      </c>
      <c r="N439" s="41">
        <v>885.13363590519396</v>
      </c>
      <c r="O439" s="41" t="s">
        <v>22</v>
      </c>
      <c r="P439" s="41">
        <v>15.010627649188701</v>
      </c>
      <c r="R439" s="41" t="s">
        <v>22</v>
      </c>
      <c r="S439" s="41" t="s">
        <v>22</v>
      </c>
      <c r="T439" s="41">
        <v>5.7</v>
      </c>
      <c r="U439" s="41">
        <v>5.7</v>
      </c>
      <c r="V439">
        <v>20200512</v>
      </c>
      <c r="X439" s="6">
        <v>2010</v>
      </c>
      <c r="Y439" t="s">
        <v>26</v>
      </c>
      <c r="Z439" t="s">
        <v>40</v>
      </c>
      <c r="AC439" t="s">
        <v>514</v>
      </c>
      <c r="AD439" s="41">
        <v>10.1787422300762</v>
      </c>
      <c r="AE439" s="41" t="s">
        <v>22</v>
      </c>
      <c r="AF439" s="41" t="s">
        <v>22</v>
      </c>
      <c r="AG439" s="41" t="s">
        <v>22</v>
      </c>
      <c r="AH439" s="41" t="s">
        <v>22</v>
      </c>
      <c r="AI439" s="41" t="s">
        <v>22</v>
      </c>
      <c r="AJ439" s="41" t="s">
        <v>22</v>
      </c>
      <c r="AK439" s="41" t="s">
        <v>22</v>
      </c>
      <c r="AL439" s="41" t="s">
        <v>22</v>
      </c>
      <c r="AM439" s="43" t="e">
        <f t="shared" si="204"/>
        <v>#VALUE!</v>
      </c>
      <c r="AN439" s="43" t="e">
        <f t="shared" si="205"/>
        <v>#VALUE!</v>
      </c>
      <c r="AO439" s="3" t="s">
        <v>586</v>
      </c>
      <c r="AT439" s="2">
        <f t="shared" si="206"/>
        <v>10</v>
      </c>
      <c r="AU439" s="45" t="e">
        <f t="shared" si="207"/>
        <v>#VALUE!</v>
      </c>
      <c r="AV439" s="45" t="e">
        <f t="shared" si="208"/>
        <v>#VALUE!</v>
      </c>
      <c r="AW439" s="45" t="e">
        <f t="shared" si="209"/>
        <v>#VALUE!</v>
      </c>
      <c r="AX439" s="45">
        <f t="shared" si="210"/>
        <v>2.947008844658054</v>
      </c>
      <c r="AY439" s="45" t="e">
        <f t="shared" si="211"/>
        <v>#VALUE!</v>
      </c>
      <c r="AZ439" s="45">
        <f t="shared" si="212"/>
        <v>1.1763988520620756</v>
      </c>
      <c r="BA439" s="45" t="e">
        <f t="shared" si="213"/>
        <v>#VALUE!</v>
      </c>
      <c r="BB439" s="45" t="e">
        <f t="shared" si="214"/>
        <v>#NUM!</v>
      </c>
      <c r="BC439" s="45">
        <f t="shared" si="215"/>
        <v>0.75587485567249146</v>
      </c>
      <c r="BD439" s="45">
        <f t="shared" si="216"/>
        <v>1.0076941162831414</v>
      </c>
      <c r="BE439" s="45" t="e">
        <f t="shared" si="217"/>
        <v>#VALUE!</v>
      </c>
      <c r="BF439" s="45" t="e">
        <f t="shared" si="218"/>
        <v>#VALUE!</v>
      </c>
      <c r="BG439" s="45" t="e">
        <f t="shared" si="219"/>
        <v>#VALUE!</v>
      </c>
      <c r="BH439" s="45" t="e">
        <f t="shared" si="220"/>
        <v>#NUM!</v>
      </c>
      <c r="BI439" s="43" t="e">
        <f t="shared" si="221"/>
        <v>#VALUE!</v>
      </c>
      <c r="CA439" s="41" t="s">
        <v>22</v>
      </c>
      <c r="CC439" t="s">
        <v>22</v>
      </c>
      <c r="CE439" s="41" t="s">
        <v>22</v>
      </c>
      <c r="CF439" s="41" t="s">
        <v>22</v>
      </c>
      <c r="CG439" s="41">
        <f t="shared" si="228"/>
        <v>10178.742230076199</v>
      </c>
      <c r="CH439" s="41">
        <f t="shared" si="230"/>
        <v>4.0076941162831412</v>
      </c>
      <c r="CI439" s="41">
        <f t="shared" si="227"/>
        <v>10178.742230076199</v>
      </c>
      <c r="CJ439" s="41">
        <f t="shared" si="231"/>
        <v>4.0076941162831412</v>
      </c>
      <c r="CL439" s="9" t="s">
        <v>1269</v>
      </c>
      <c r="CM439" s="18" t="s">
        <v>1283</v>
      </c>
      <c r="CN439" s="54" t="s">
        <v>1284</v>
      </c>
      <c r="CO439" s="18" t="s">
        <v>1284</v>
      </c>
    </row>
    <row r="440" spans="1:93" x14ac:dyDescent="0.25">
      <c r="A440" t="s">
        <v>141</v>
      </c>
      <c r="B440" s="41" t="s">
        <v>22</v>
      </c>
      <c r="C440" s="41" t="s">
        <v>22</v>
      </c>
      <c r="D440" s="41" t="s">
        <v>22</v>
      </c>
      <c r="E440" s="41" t="s">
        <v>22</v>
      </c>
      <c r="F440" t="s">
        <v>22</v>
      </c>
      <c r="G440" t="s">
        <v>22</v>
      </c>
      <c r="H440" t="s">
        <v>22</v>
      </c>
      <c r="I440" t="s">
        <v>22</v>
      </c>
      <c r="J440" s="41" t="s">
        <v>22</v>
      </c>
      <c r="K440" t="s">
        <v>22</v>
      </c>
      <c r="M440" t="s">
        <v>23</v>
      </c>
      <c r="N440" s="41">
        <v>955.18238359388101</v>
      </c>
      <c r="O440" s="41" t="s">
        <v>22</v>
      </c>
      <c r="P440" s="41">
        <v>16.554231905191401</v>
      </c>
      <c r="R440" s="41" t="s">
        <v>22</v>
      </c>
      <c r="S440" s="41" t="s">
        <v>22</v>
      </c>
      <c r="T440" s="41">
        <v>5.7</v>
      </c>
      <c r="U440" s="41">
        <v>5.7</v>
      </c>
      <c r="V440">
        <v>20200512</v>
      </c>
      <c r="X440" s="6">
        <v>2010</v>
      </c>
      <c r="Y440" t="s">
        <v>26</v>
      </c>
      <c r="Z440" t="s">
        <v>40</v>
      </c>
      <c r="AC440" t="s">
        <v>514</v>
      </c>
      <c r="AD440" s="41">
        <v>11.7392765783912</v>
      </c>
      <c r="AE440" s="41" t="s">
        <v>22</v>
      </c>
      <c r="AF440" s="41" t="s">
        <v>22</v>
      </c>
      <c r="AG440" s="41" t="s">
        <v>22</v>
      </c>
      <c r="AH440" s="41" t="s">
        <v>22</v>
      </c>
      <c r="AI440" s="41" t="s">
        <v>22</v>
      </c>
      <c r="AJ440" s="41" t="s">
        <v>22</v>
      </c>
      <c r="AK440" s="41" t="s">
        <v>22</v>
      </c>
      <c r="AL440" s="41" t="s">
        <v>22</v>
      </c>
      <c r="AM440" s="43" t="e">
        <f t="shared" si="204"/>
        <v>#VALUE!</v>
      </c>
      <c r="AN440" s="43" t="e">
        <f t="shared" si="205"/>
        <v>#VALUE!</v>
      </c>
      <c r="AO440" s="3" t="s">
        <v>586</v>
      </c>
      <c r="AT440" s="2">
        <f t="shared" si="206"/>
        <v>10</v>
      </c>
      <c r="AU440" s="45" t="e">
        <f t="shared" si="207"/>
        <v>#VALUE!</v>
      </c>
      <c r="AV440" s="45" t="e">
        <f t="shared" si="208"/>
        <v>#VALUE!</v>
      </c>
      <c r="AW440" s="45" t="e">
        <f t="shared" si="209"/>
        <v>#VALUE!</v>
      </c>
      <c r="AX440" s="45">
        <f t="shared" si="210"/>
        <v>2.9800863041762917</v>
      </c>
      <c r="AY440" s="45" t="e">
        <f t="shared" si="211"/>
        <v>#VALUE!</v>
      </c>
      <c r="AZ440" s="45">
        <f t="shared" si="212"/>
        <v>1.2189090348569995</v>
      </c>
      <c r="BA440" s="45" t="e">
        <f t="shared" si="213"/>
        <v>#VALUE!</v>
      </c>
      <c r="BB440" s="45" t="e">
        <f t="shared" si="214"/>
        <v>#NUM!</v>
      </c>
      <c r="BC440" s="45">
        <f t="shared" si="215"/>
        <v>0.75587485567249146</v>
      </c>
      <c r="BD440" s="45">
        <f t="shared" si="216"/>
        <v>1.0696413347571621</v>
      </c>
      <c r="BE440" s="45" t="e">
        <f t="shared" si="217"/>
        <v>#VALUE!</v>
      </c>
      <c r="BF440" s="45" t="e">
        <f t="shared" si="218"/>
        <v>#VALUE!</v>
      </c>
      <c r="BG440" s="45" t="e">
        <f t="shared" si="219"/>
        <v>#VALUE!</v>
      </c>
      <c r="BH440" s="45" t="e">
        <f t="shared" si="220"/>
        <v>#NUM!</v>
      </c>
      <c r="BI440" s="43" t="e">
        <f t="shared" si="221"/>
        <v>#VALUE!</v>
      </c>
      <c r="CA440" s="41" t="s">
        <v>22</v>
      </c>
      <c r="CC440" t="s">
        <v>22</v>
      </c>
      <c r="CE440" s="41" t="s">
        <v>22</v>
      </c>
      <c r="CF440" s="41" t="s">
        <v>22</v>
      </c>
      <c r="CG440" s="41">
        <f t="shared" si="228"/>
        <v>11739.2765783912</v>
      </c>
      <c r="CH440" s="41">
        <f t="shared" si="230"/>
        <v>4.0696413347571623</v>
      </c>
      <c r="CI440" s="41">
        <f t="shared" si="227"/>
        <v>11739.2765783912</v>
      </c>
      <c r="CJ440" s="41">
        <f t="shared" si="231"/>
        <v>4.0696413347571623</v>
      </c>
      <c r="CL440" s="9" t="s">
        <v>1269</v>
      </c>
      <c r="CM440" s="18" t="s">
        <v>1283</v>
      </c>
      <c r="CN440" s="54" t="s">
        <v>1284</v>
      </c>
      <c r="CO440" s="18" t="s">
        <v>1284</v>
      </c>
    </row>
    <row r="441" spans="1:93" x14ac:dyDescent="0.25">
      <c r="A441" t="s">
        <v>141</v>
      </c>
      <c r="B441" s="41" t="s">
        <v>22</v>
      </c>
      <c r="C441" s="41" t="s">
        <v>22</v>
      </c>
      <c r="D441" s="41" t="s">
        <v>22</v>
      </c>
      <c r="E441" s="41" t="s">
        <v>22</v>
      </c>
      <c r="F441" t="s">
        <v>22</v>
      </c>
      <c r="G441" t="s">
        <v>22</v>
      </c>
      <c r="H441" t="s">
        <v>22</v>
      </c>
      <c r="I441" t="s">
        <v>22</v>
      </c>
      <c r="J441" s="41" t="s">
        <v>22</v>
      </c>
      <c r="K441" t="s">
        <v>22</v>
      </c>
      <c r="M441" t="s">
        <v>23</v>
      </c>
      <c r="N441" s="41">
        <v>990.67742477727404</v>
      </c>
      <c r="O441" s="41" t="s">
        <v>22</v>
      </c>
      <c r="P441" s="41">
        <v>17.408830835011901</v>
      </c>
      <c r="R441" s="41" t="s">
        <v>22</v>
      </c>
      <c r="S441" s="41" t="s">
        <v>22</v>
      </c>
      <c r="T441" s="41">
        <v>5.7</v>
      </c>
      <c r="U441" s="41">
        <v>5.7</v>
      </c>
      <c r="V441">
        <v>20200512</v>
      </c>
      <c r="X441" s="6">
        <v>2010</v>
      </c>
      <c r="Y441" t="s">
        <v>26</v>
      </c>
      <c r="Z441" t="s">
        <v>40</v>
      </c>
      <c r="AC441" t="s">
        <v>514</v>
      </c>
      <c r="AD441" s="41">
        <v>14.0135440738498</v>
      </c>
      <c r="AE441" s="41" t="s">
        <v>22</v>
      </c>
      <c r="AF441" s="41" t="s">
        <v>22</v>
      </c>
      <c r="AG441" s="41" t="s">
        <v>22</v>
      </c>
      <c r="AH441" s="41" t="s">
        <v>22</v>
      </c>
      <c r="AI441" s="41" t="s">
        <v>22</v>
      </c>
      <c r="AJ441" s="41" t="s">
        <v>22</v>
      </c>
      <c r="AK441" s="41" t="s">
        <v>22</v>
      </c>
      <c r="AL441" s="41" t="s">
        <v>22</v>
      </c>
      <c r="AM441" s="43" t="e">
        <f t="shared" si="204"/>
        <v>#VALUE!</v>
      </c>
      <c r="AN441" s="43" t="e">
        <f t="shared" si="205"/>
        <v>#VALUE!</v>
      </c>
      <c r="AO441" s="3" t="s">
        <v>586</v>
      </c>
      <c r="AT441" s="2">
        <f t="shared" si="206"/>
        <v>10</v>
      </c>
      <c r="AU441" s="45" t="e">
        <f t="shared" si="207"/>
        <v>#VALUE!</v>
      </c>
      <c r="AV441" s="45" t="e">
        <f t="shared" si="208"/>
        <v>#VALUE!</v>
      </c>
      <c r="AW441" s="45" t="e">
        <f t="shared" si="209"/>
        <v>#VALUE!</v>
      </c>
      <c r="AX441" s="45">
        <f t="shared" si="210"/>
        <v>2.9959322665492629</v>
      </c>
      <c r="AY441" s="45" t="e">
        <f t="shared" si="211"/>
        <v>#VALUE!</v>
      </c>
      <c r="AZ441" s="45">
        <f t="shared" si="212"/>
        <v>1.2407696051809238</v>
      </c>
      <c r="BA441" s="45" t="e">
        <f t="shared" si="213"/>
        <v>#VALUE!</v>
      </c>
      <c r="BB441" s="45" t="e">
        <f t="shared" si="214"/>
        <v>#NUM!</v>
      </c>
      <c r="BC441" s="45">
        <f t="shared" si="215"/>
        <v>0.75587485567249146</v>
      </c>
      <c r="BD441" s="45">
        <f t="shared" si="216"/>
        <v>1.1465479837560877</v>
      </c>
      <c r="BE441" s="45" t="e">
        <f t="shared" si="217"/>
        <v>#VALUE!</v>
      </c>
      <c r="BF441" s="45" t="e">
        <f t="shared" si="218"/>
        <v>#VALUE!</v>
      </c>
      <c r="BG441" s="45" t="e">
        <f t="shared" si="219"/>
        <v>#VALUE!</v>
      </c>
      <c r="BH441" s="45" t="e">
        <f t="shared" si="220"/>
        <v>#NUM!</v>
      </c>
      <c r="BI441" s="43" t="e">
        <f t="shared" si="221"/>
        <v>#VALUE!</v>
      </c>
      <c r="CA441" s="41" t="s">
        <v>22</v>
      </c>
      <c r="CC441" t="s">
        <v>22</v>
      </c>
      <c r="CE441" s="41" t="s">
        <v>22</v>
      </c>
      <c r="CF441" s="41" t="s">
        <v>22</v>
      </c>
      <c r="CG441" s="41">
        <f t="shared" si="228"/>
        <v>14013.5440738498</v>
      </c>
      <c r="CH441" s="41">
        <f t="shared" si="230"/>
        <v>4.1465479837560872</v>
      </c>
      <c r="CI441" s="41">
        <f t="shared" si="227"/>
        <v>14013.5440738498</v>
      </c>
      <c r="CJ441" s="41">
        <f t="shared" si="231"/>
        <v>4.1465479837560872</v>
      </c>
      <c r="CL441" s="9" t="s">
        <v>1269</v>
      </c>
      <c r="CM441" s="18" t="s">
        <v>1283</v>
      </c>
      <c r="CN441" s="54" t="s">
        <v>1284</v>
      </c>
      <c r="CO441" s="18" t="s">
        <v>1284</v>
      </c>
    </row>
    <row r="442" spans="1:93" x14ac:dyDescent="0.25">
      <c r="A442" t="s">
        <v>266</v>
      </c>
      <c r="B442" s="41">
        <v>1.3</v>
      </c>
      <c r="C442" s="41">
        <v>1.9750000000000001</v>
      </c>
      <c r="D442" s="41">
        <f t="shared" ref="D442:D447" si="232">0.001*(B442*10^6)/(C442*0.001*100^3)</f>
        <v>0.65822784810126578</v>
      </c>
      <c r="E442" s="41" t="s">
        <v>22</v>
      </c>
      <c r="F442" t="s">
        <v>22</v>
      </c>
      <c r="G442" t="s">
        <v>22</v>
      </c>
      <c r="H442" t="s">
        <v>22</v>
      </c>
      <c r="I442" t="s">
        <v>22</v>
      </c>
      <c r="J442" s="41" t="s">
        <v>22</v>
      </c>
      <c r="K442" t="s">
        <v>22</v>
      </c>
      <c r="L442" s="41" t="e">
        <f t="shared" ref="L442:L450" si="233">IF((10^-12)*J442*K442^4=0,"",(10^-12)*J442*K442^4)</f>
        <v>#VALUE!</v>
      </c>
      <c r="M442" t="s">
        <v>45</v>
      </c>
      <c r="N442" s="41" t="s">
        <v>22</v>
      </c>
      <c r="O442" s="41" t="s">
        <v>22</v>
      </c>
      <c r="P442" s="41" t="s">
        <v>22</v>
      </c>
      <c r="R442" s="41" t="s">
        <v>22</v>
      </c>
      <c r="S442" s="41" t="s">
        <v>22</v>
      </c>
      <c r="T442" s="41" t="s">
        <v>22</v>
      </c>
      <c r="U442" s="41" t="s">
        <v>22</v>
      </c>
      <c r="V442">
        <v>20200508</v>
      </c>
      <c r="W442" s="16" t="s">
        <v>961</v>
      </c>
      <c r="X442">
        <v>2010</v>
      </c>
      <c r="Y442" t="s">
        <v>76</v>
      </c>
      <c r="Z442" s="20"/>
      <c r="AA442" s="2" t="s">
        <v>880</v>
      </c>
      <c r="AB442" s="43">
        <v>0.27</v>
      </c>
      <c r="AC442" t="s">
        <v>514</v>
      </c>
      <c r="AD442" s="41" t="s">
        <v>22</v>
      </c>
      <c r="AE442" s="41" t="s">
        <v>22</v>
      </c>
      <c r="AF442" s="41" t="s">
        <v>22</v>
      </c>
      <c r="AG442" s="41" t="s">
        <v>22</v>
      </c>
      <c r="AH442" s="41" t="s">
        <v>22</v>
      </c>
      <c r="AI442" s="41" t="s">
        <v>22</v>
      </c>
      <c r="AJ442" s="41" t="s">
        <v>22</v>
      </c>
      <c r="AK442" s="41" t="s">
        <v>22</v>
      </c>
      <c r="AL442" s="41" t="s">
        <v>22</v>
      </c>
      <c r="AM442" s="43" t="e">
        <f t="shared" si="204"/>
        <v>#VALUE!</v>
      </c>
      <c r="AN442" s="43" t="e">
        <f t="shared" si="205"/>
        <v>#VALUE!</v>
      </c>
      <c r="AO442" s="3" t="s">
        <v>184</v>
      </c>
      <c r="AT442" s="2">
        <f t="shared" si="206"/>
        <v>3</v>
      </c>
      <c r="AU442" s="45">
        <f t="shared" si="207"/>
        <v>0.11394335230683679</v>
      </c>
      <c r="AV442" s="45">
        <f t="shared" si="208"/>
        <v>0.29556709996247904</v>
      </c>
      <c r="AW442" s="45">
        <f t="shared" si="209"/>
        <v>-0.18162374765564229</v>
      </c>
      <c r="AX442" s="45" t="e">
        <f t="shared" si="210"/>
        <v>#VALUE!</v>
      </c>
      <c r="AY442" s="45" t="e">
        <f t="shared" si="211"/>
        <v>#VALUE!</v>
      </c>
      <c r="AZ442" s="45" t="e">
        <f t="shared" si="212"/>
        <v>#VALUE!</v>
      </c>
      <c r="BA442" s="45" t="e">
        <f t="shared" si="213"/>
        <v>#VALUE!</v>
      </c>
      <c r="BB442" s="45" t="e">
        <f t="shared" si="214"/>
        <v>#VALUE!</v>
      </c>
      <c r="BC442" s="45" t="e">
        <f t="shared" si="215"/>
        <v>#VALUE!</v>
      </c>
      <c r="BD442" s="45" t="e">
        <f t="shared" si="216"/>
        <v>#VALUE!</v>
      </c>
      <c r="BE442" s="45" t="e">
        <f t="shared" si="217"/>
        <v>#VALUE!</v>
      </c>
      <c r="BF442" s="45" t="e">
        <f t="shared" si="218"/>
        <v>#VALUE!</v>
      </c>
      <c r="BG442" s="45" t="e">
        <f t="shared" si="219"/>
        <v>#VALUE!</v>
      </c>
      <c r="BH442" s="45">
        <f t="shared" si="220"/>
        <v>-0.56863623584101264</v>
      </c>
      <c r="BI442" s="43" t="e">
        <f t="shared" si="221"/>
        <v>#VALUE!</v>
      </c>
      <c r="CA442" s="41" t="s">
        <v>22</v>
      </c>
      <c r="CC442" t="s">
        <v>22</v>
      </c>
      <c r="CE442" s="41" t="s">
        <v>22</v>
      </c>
      <c r="CF442" s="41" t="s">
        <v>22</v>
      </c>
      <c r="CG442" s="41" t="e">
        <f t="shared" si="228"/>
        <v>#VALUE!</v>
      </c>
      <c r="CH442" s="41" t="e">
        <f t="shared" si="230"/>
        <v>#VALUE!</v>
      </c>
      <c r="CI442" s="41" t="str">
        <f t="shared" si="227"/>
        <v>Not Reported/ Can not calculate</v>
      </c>
      <c r="CJ442" s="41" t="e">
        <f t="shared" si="231"/>
        <v>#VALUE!</v>
      </c>
      <c r="CL442" s="9" t="s">
        <v>1269</v>
      </c>
      <c r="CM442" s="18" t="s">
        <v>1284</v>
      </c>
      <c r="CN442" s="54" t="s">
        <v>1284</v>
      </c>
      <c r="CO442" s="18" t="s">
        <v>1284</v>
      </c>
    </row>
    <row r="443" spans="1:93" x14ac:dyDescent="0.25">
      <c r="A443" t="s">
        <v>266</v>
      </c>
      <c r="B443" s="41">
        <v>0.27</v>
      </c>
      <c r="C443" s="41">
        <v>1.8</v>
      </c>
      <c r="D443" s="41">
        <f t="shared" si="232"/>
        <v>0.15</v>
      </c>
      <c r="E443" s="41" t="s">
        <v>22</v>
      </c>
      <c r="F443" t="s">
        <v>22</v>
      </c>
      <c r="G443" t="s">
        <v>22</v>
      </c>
      <c r="H443" t="s">
        <v>22</v>
      </c>
      <c r="I443" t="s">
        <v>22</v>
      </c>
      <c r="J443" s="41" t="s">
        <v>22</v>
      </c>
      <c r="K443" t="s">
        <v>22</v>
      </c>
      <c r="L443" s="41" t="e">
        <f t="shared" si="233"/>
        <v>#VALUE!</v>
      </c>
      <c r="M443" t="s">
        <v>23</v>
      </c>
      <c r="N443" s="41" t="s">
        <v>22</v>
      </c>
      <c r="O443" s="41" t="s">
        <v>22</v>
      </c>
      <c r="P443" s="41" t="s">
        <v>22</v>
      </c>
      <c r="R443" s="41" t="s">
        <v>22</v>
      </c>
      <c r="S443" s="41" t="s">
        <v>22</v>
      </c>
      <c r="T443" s="41" t="s">
        <v>22</v>
      </c>
      <c r="U443" s="41" t="s">
        <v>22</v>
      </c>
      <c r="V443">
        <v>20200508</v>
      </c>
      <c r="W443" s="16" t="s">
        <v>185</v>
      </c>
      <c r="X443">
        <v>2010</v>
      </c>
      <c r="Y443" t="s">
        <v>76</v>
      </c>
      <c r="Z443" s="20"/>
      <c r="AA443" s="20"/>
      <c r="AB443" s="42"/>
      <c r="AC443" t="s">
        <v>514</v>
      </c>
      <c r="AD443" s="41" t="s">
        <v>22</v>
      </c>
      <c r="AE443" s="41" t="s">
        <v>22</v>
      </c>
      <c r="AF443" s="41" t="s">
        <v>22</v>
      </c>
      <c r="AG443" s="41" t="s">
        <v>22</v>
      </c>
      <c r="AH443" s="41" t="s">
        <v>22</v>
      </c>
      <c r="AI443" s="41" t="s">
        <v>22</v>
      </c>
      <c r="AJ443" s="41" t="s">
        <v>22</v>
      </c>
      <c r="AK443" s="41" t="s">
        <v>22</v>
      </c>
      <c r="AL443" s="41" t="s">
        <v>22</v>
      </c>
      <c r="AM443" s="43" t="e">
        <f t="shared" si="204"/>
        <v>#VALUE!</v>
      </c>
      <c r="AN443" s="43" t="e">
        <f t="shared" si="205"/>
        <v>#VALUE!</v>
      </c>
      <c r="AO443" s="3" t="s">
        <v>184</v>
      </c>
      <c r="AT443" s="2">
        <f t="shared" si="206"/>
        <v>3</v>
      </c>
      <c r="AU443" s="45">
        <f t="shared" si="207"/>
        <v>-0.56863623584101264</v>
      </c>
      <c r="AV443" s="45">
        <f t="shared" si="208"/>
        <v>0.25527250510330607</v>
      </c>
      <c r="AW443" s="45">
        <f t="shared" si="209"/>
        <v>-0.82390874094431876</v>
      </c>
      <c r="AX443" s="45" t="e">
        <f t="shared" si="210"/>
        <v>#VALUE!</v>
      </c>
      <c r="AY443" s="45" t="e">
        <f t="shared" si="211"/>
        <v>#VALUE!</v>
      </c>
      <c r="AZ443" s="45" t="e">
        <f t="shared" si="212"/>
        <v>#VALUE!</v>
      </c>
      <c r="BA443" s="45" t="e">
        <f t="shared" si="213"/>
        <v>#VALUE!</v>
      </c>
      <c r="BB443" s="45" t="e">
        <f t="shared" si="214"/>
        <v>#VALUE!</v>
      </c>
      <c r="BC443" s="45" t="e">
        <f t="shared" si="215"/>
        <v>#VALUE!</v>
      </c>
      <c r="BD443" s="45" t="e">
        <f t="shared" si="216"/>
        <v>#VALUE!</v>
      </c>
      <c r="BE443" s="45" t="e">
        <f t="shared" si="217"/>
        <v>#VALUE!</v>
      </c>
      <c r="BF443" s="45" t="e">
        <f t="shared" si="218"/>
        <v>#VALUE!</v>
      </c>
      <c r="BG443" s="45" t="e">
        <f t="shared" si="219"/>
        <v>#VALUE!</v>
      </c>
      <c r="BH443" s="45" t="e">
        <f t="shared" si="220"/>
        <v>#NUM!</v>
      </c>
      <c r="BI443" s="43" t="e">
        <f t="shared" si="221"/>
        <v>#VALUE!</v>
      </c>
      <c r="CA443" s="41" t="s">
        <v>22</v>
      </c>
      <c r="CC443" t="s">
        <v>22</v>
      </c>
      <c r="CE443" s="41" t="s">
        <v>22</v>
      </c>
      <c r="CF443" s="41" t="s">
        <v>22</v>
      </c>
      <c r="CG443" s="41" t="e">
        <f t="shared" si="228"/>
        <v>#VALUE!</v>
      </c>
      <c r="CH443" s="41" t="e">
        <f t="shared" si="230"/>
        <v>#VALUE!</v>
      </c>
      <c r="CI443" s="41" t="str">
        <f t="shared" si="227"/>
        <v>Not Reported/ Can not calculate</v>
      </c>
      <c r="CJ443" s="41" t="e">
        <f t="shared" si="231"/>
        <v>#VALUE!</v>
      </c>
      <c r="CL443" s="9" t="s">
        <v>1269</v>
      </c>
      <c r="CM443" s="18" t="s">
        <v>1284</v>
      </c>
      <c r="CN443" s="54" t="s">
        <v>1284</v>
      </c>
      <c r="CO443" s="18" t="s">
        <v>1284</v>
      </c>
    </row>
    <row r="444" spans="1:93" x14ac:dyDescent="0.25">
      <c r="A444" t="s">
        <v>266</v>
      </c>
      <c r="B444" s="41">
        <v>5.5E-2</v>
      </c>
      <c r="C444" s="41">
        <v>0.5</v>
      </c>
      <c r="D444" s="41">
        <f t="shared" si="232"/>
        <v>0.11</v>
      </c>
      <c r="E444" s="41" t="s">
        <v>22</v>
      </c>
      <c r="F444" t="s">
        <v>22</v>
      </c>
      <c r="G444" t="s">
        <v>22</v>
      </c>
      <c r="H444" t="s">
        <v>22</v>
      </c>
      <c r="I444" t="s">
        <v>22</v>
      </c>
      <c r="J444" s="41" t="s">
        <v>22</v>
      </c>
      <c r="K444" t="s">
        <v>22</v>
      </c>
      <c r="L444" s="41" t="e">
        <f t="shared" si="233"/>
        <v>#VALUE!</v>
      </c>
      <c r="M444" t="s">
        <v>23</v>
      </c>
      <c r="N444" s="41" t="s">
        <v>22</v>
      </c>
      <c r="O444" s="41" t="s">
        <v>22</v>
      </c>
      <c r="P444" s="41" t="s">
        <v>22</v>
      </c>
      <c r="R444" s="41" t="s">
        <v>22</v>
      </c>
      <c r="S444" s="41" t="s">
        <v>22</v>
      </c>
      <c r="T444" s="41" t="s">
        <v>22</v>
      </c>
      <c r="U444" s="41" t="s">
        <v>22</v>
      </c>
      <c r="V444">
        <v>20200508</v>
      </c>
      <c r="W444" s="16" t="s">
        <v>186</v>
      </c>
      <c r="X444">
        <v>2010</v>
      </c>
      <c r="Y444" t="s">
        <v>76</v>
      </c>
      <c r="Z444" s="20"/>
      <c r="AA444" s="20"/>
      <c r="AB444" s="42"/>
      <c r="AC444" t="s">
        <v>514</v>
      </c>
      <c r="AD444" s="41" t="s">
        <v>22</v>
      </c>
      <c r="AE444" s="41" t="s">
        <v>22</v>
      </c>
      <c r="AF444" s="41" t="s">
        <v>22</v>
      </c>
      <c r="AG444" s="41" t="s">
        <v>22</v>
      </c>
      <c r="AH444" s="41" t="s">
        <v>22</v>
      </c>
      <c r="AI444" s="41" t="s">
        <v>22</v>
      </c>
      <c r="AJ444" s="41" t="s">
        <v>22</v>
      </c>
      <c r="AK444" s="41" t="s">
        <v>22</v>
      </c>
      <c r="AL444" s="41" t="s">
        <v>22</v>
      </c>
      <c r="AM444" s="43" t="e">
        <f t="shared" si="204"/>
        <v>#VALUE!</v>
      </c>
      <c r="AN444" s="43" t="e">
        <f t="shared" si="205"/>
        <v>#VALUE!</v>
      </c>
      <c r="AO444" s="3" t="s">
        <v>184</v>
      </c>
      <c r="AT444" s="2">
        <f t="shared" si="206"/>
        <v>3</v>
      </c>
      <c r="AU444" s="45">
        <f t="shared" si="207"/>
        <v>-1.2596373105057561</v>
      </c>
      <c r="AV444" s="45">
        <f t="shared" si="208"/>
        <v>-0.3010299956639812</v>
      </c>
      <c r="AW444" s="45">
        <f t="shared" si="209"/>
        <v>-0.95860731484177497</v>
      </c>
      <c r="AX444" s="45" t="e">
        <f t="shared" si="210"/>
        <v>#VALUE!</v>
      </c>
      <c r="AY444" s="45" t="e">
        <f t="shared" si="211"/>
        <v>#VALUE!</v>
      </c>
      <c r="AZ444" s="45" t="e">
        <f t="shared" si="212"/>
        <v>#VALUE!</v>
      </c>
      <c r="BA444" s="45" t="e">
        <f t="shared" si="213"/>
        <v>#VALUE!</v>
      </c>
      <c r="BB444" s="45" t="e">
        <f t="shared" si="214"/>
        <v>#VALUE!</v>
      </c>
      <c r="BC444" s="45" t="e">
        <f t="shared" si="215"/>
        <v>#VALUE!</v>
      </c>
      <c r="BD444" s="45" t="e">
        <f t="shared" si="216"/>
        <v>#VALUE!</v>
      </c>
      <c r="BE444" s="45" t="e">
        <f t="shared" si="217"/>
        <v>#VALUE!</v>
      </c>
      <c r="BF444" s="45" t="e">
        <f t="shared" si="218"/>
        <v>#VALUE!</v>
      </c>
      <c r="BG444" s="45" t="e">
        <f t="shared" si="219"/>
        <v>#VALUE!</v>
      </c>
      <c r="BH444" s="45" t="e">
        <f t="shared" si="220"/>
        <v>#NUM!</v>
      </c>
      <c r="BI444" s="43" t="e">
        <f t="shared" si="221"/>
        <v>#VALUE!</v>
      </c>
      <c r="CA444" s="41" t="s">
        <v>22</v>
      </c>
      <c r="CC444" t="s">
        <v>22</v>
      </c>
      <c r="CE444" s="41" t="s">
        <v>22</v>
      </c>
      <c r="CF444" s="41" t="s">
        <v>22</v>
      </c>
      <c r="CG444" s="41" t="e">
        <f t="shared" si="228"/>
        <v>#VALUE!</v>
      </c>
      <c r="CH444" s="41" t="e">
        <f t="shared" si="230"/>
        <v>#VALUE!</v>
      </c>
      <c r="CI444" s="41" t="str">
        <f t="shared" si="227"/>
        <v>Not Reported/ Can not calculate</v>
      </c>
      <c r="CJ444" s="41" t="e">
        <f t="shared" si="231"/>
        <v>#VALUE!</v>
      </c>
      <c r="CL444" s="9" t="s">
        <v>1269</v>
      </c>
      <c r="CM444" s="18" t="s">
        <v>1284</v>
      </c>
      <c r="CN444" s="54" t="s">
        <v>1284</v>
      </c>
      <c r="CO444" s="18" t="s">
        <v>1284</v>
      </c>
    </row>
    <row r="445" spans="1:93" x14ac:dyDescent="0.25">
      <c r="A445" t="s">
        <v>141</v>
      </c>
      <c r="B445" s="41">
        <f>14*100*10^-6</f>
        <v>1.4E-3</v>
      </c>
      <c r="C445" s="41">
        <v>0.06</v>
      </c>
      <c r="D445" s="41">
        <f t="shared" si="232"/>
        <v>2.3333333333333334E-2</v>
      </c>
      <c r="E445" s="41">
        <v>10</v>
      </c>
      <c r="F445" t="s">
        <v>22</v>
      </c>
      <c r="G445" t="s">
        <v>22</v>
      </c>
      <c r="H445" t="s">
        <v>22</v>
      </c>
      <c r="I445" t="s">
        <v>22</v>
      </c>
      <c r="J445" s="41">
        <v>1.6</v>
      </c>
      <c r="K445">
        <v>514</v>
      </c>
      <c r="L445" s="41">
        <f t="shared" si="233"/>
        <v>0.1116792422656</v>
      </c>
      <c r="M445" t="s">
        <v>23</v>
      </c>
      <c r="N445" s="41" t="s">
        <v>22</v>
      </c>
      <c r="O445" s="41" t="s">
        <v>22</v>
      </c>
      <c r="P445" s="41" t="s">
        <v>22</v>
      </c>
      <c r="R445" s="41" t="s">
        <v>22</v>
      </c>
      <c r="S445" s="41" t="s">
        <v>22</v>
      </c>
      <c r="T445" s="41" t="s">
        <v>55</v>
      </c>
      <c r="U445" s="41">
        <v>15</v>
      </c>
      <c r="V445">
        <v>20200507</v>
      </c>
      <c r="W445" s="16" t="s">
        <v>56</v>
      </c>
      <c r="X445">
        <v>2010</v>
      </c>
      <c r="Y445" t="s">
        <v>26</v>
      </c>
      <c r="Z445" t="s">
        <v>32</v>
      </c>
      <c r="AC445" t="s">
        <v>514</v>
      </c>
      <c r="AD445" s="41" t="s">
        <v>22</v>
      </c>
      <c r="AE445" s="41" t="s">
        <v>22</v>
      </c>
      <c r="AF445" s="41">
        <v>1.2</v>
      </c>
      <c r="AG445" s="41" t="s">
        <v>22</v>
      </c>
      <c r="AH445" s="41">
        <v>0.30120481927710846</v>
      </c>
      <c r="AI445" s="41">
        <v>0.30120481927710846</v>
      </c>
      <c r="AJ445" s="41">
        <v>0.19330021456323815</v>
      </c>
      <c r="AK445" s="41" t="s">
        <v>22</v>
      </c>
      <c r="AL445" s="41">
        <v>7.1633237822349566E-2</v>
      </c>
      <c r="AM445" s="43">
        <f t="shared" si="204"/>
        <v>0.23782234957020054</v>
      </c>
      <c r="AN445" s="43">
        <f t="shared" si="205"/>
        <v>0.37058022922636102</v>
      </c>
      <c r="AO445" s="3" t="s">
        <v>57</v>
      </c>
      <c r="AT445" s="2">
        <f t="shared" si="206"/>
        <v>1</v>
      </c>
      <c r="AU445" s="45">
        <f t="shared" si="207"/>
        <v>-2.8538719643217618</v>
      </c>
      <c r="AV445" s="45">
        <f t="shared" si="208"/>
        <v>-1.2218487496163564</v>
      </c>
      <c r="AW445" s="45">
        <f t="shared" si="209"/>
        <v>-1.6320232147054057</v>
      </c>
      <c r="AX445" s="45" t="e">
        <f t="shared" si="210"/>
        <v>#VALUE!</v>
      </c>
      <c r="AY445" s="45" t="e">
        <f t="shared" si="211"/>
        <v>#VALUE!</v>
      </c>
      <c r="AZ445" s="45" t="e">
        <f t="shared" si="212"/>
        <v>#VALUE!</v>
      </c>
      <c r="BA445" s="45">
        <f t="shared" si="213"/>
        <v>0.20411998265592479</v>
      </c>
      <c r="BB445" s="45">
        <f t="shared" si="214"/>
        <v>-0.9520275413629723</v>
      </c>
      <c r="BC445" s="45">
        <f t="shared" si="215"/>
        <v>1.1760912590556813</v>
      </c>
      <c r="BD445" s="45" t="e">
        <f t="shared" si="216"/>
        <v>#VALUE!</v>
      </c>
      <c r="BE445" s="45">
        <f t="shared" si="217"/>
        <v>7.9181246047624818E-2</v>
      </c>
      <c r="BF445" s="45">
        <f t="shared" si="218"/>
        <v>-0.62374733458310605</v>
      </c>
      <c r="BG445" s="45">
        <f t="shared" si="219"/>
        <v>-0.43111775438283778</v>
      </c>
      <c r="BH445" s="45" t="e">
        <f t="shared" si="220"/>
        <v>#NUM!</v>
      </c>
      <c r="BI445" s="43">
        <f t="shared" si="221"/>
        <v>7.9181246047624818E-2</v>
      </c>
      <c r="CA445" s="41" t="s">
        <v>22</v>
      </c>
      <c r="CC445" t="s">
        <v>22</v>
      </c>
      <c r="CE445" s="41" t="s">
        <v>22</v>
      </c>
      <c r="CF445" s="41" t="s">
        <v>22</v>
      </c>
      <c r="CG445" s="41" t="e">
        <f t="shared" si="228"/>
        <v>#VALUE!</v>
      </c>
      <c r="CH445" s="41" t="e">
        <f t="shared" si="230"/>
        <v>#VALUE!</v>
      </c>
      <c r="CI445" s="41">
        <f t="shared" si="227"/>
        <v>15</v>
      </c>
      <c r="CJ445" s="41">
        <f t="shared" si="231"/>
        <v>1.1760912590556813</v>
      </c>
      <c r="CL445" s="9" t="s">
        <v>1269</v>
      </c>
      <c r="CM445" s="18" t="s">
        <v>1285</v>
      </c>
      <c r="CN445" s="54" t="s">
        <v>1284</v>
      </c>
      <c r="CO445" s="18" t="s">
        <v>1284</v>
      </c>
    </row>
    <row r="446" spans="1:93" x14ac:dyDescent="0.25">
      <c r="A446" t="s">
        <v>315</v>
      </c>
      <c r="B446" s="41">
        <v>7.0000000000000007E-2</v>
      </c>
      <c r="C446" s="41">
        <v>0.48199999999999998</v>
      </c>
      <c r="D446" s="41">
        <f t="shared" si="232"/>
        <v>0.14522821576763487</v>
      </c>
      <c r="E446" s="41" t="s">
        <v>22</v>
      </c>
      <c r="F446" t="s">
        <v>22</v>
      </c>
      <c r="G446" t="s">
        <v>22</v>
      </c>
      <c r="H446" t="s">
        <v>22</v>
      </c>
      <c r="I446" t="s">
        <v>22</v>
      </c>
      <c r="J446" s="41" t="s">
        <v>22</v>
      </c>
      <c r="K446" t="s">
        <v>22</v>
      </c>
      <c r="L446" s="41" t="e">
        <f t="shared" si="233"/>
        <v>#VALUE!</v>
      </c>
      <c r="M446" t="s">
        <v>23</v>
      </c>
      <c r="N446" s="41" t="s">
        <v>22</v>
      </c>
      <c r="O446" s="41" t="s">
        <v>22</v>
      </c>
      <c r="P446" s="41" t="s">
        <v>22</v>
      </c>
      <c r="R446" s="41" t="s">
        <v>22</v>
      </c>
      <c r="S446" s="41" t="s">
        <v>22</v>
      </c>
      <c r="T446" s="41">
        <v>1.46</v>
      </c>
      <c r="U446" s="41">
        <v>1.46</v>
      </c>
      <c r="V446">
        <v>20200511</v>
      </c>
      <c r="W446" s="16" t="s">
        <v>295</v>
      </c>
      <c r="X446">
        <v>2010</v>
      </c>
      <c r="Y446" t="s">
        <v>328</v>
      </c>
      <c r="Z446" t="s">
        <v>296</v>
      </c>
      <c r="AC446" t="s">
        <v>287</v>
      </c>
      <c r="AD446" s="41" t="s">
        <v>22</v>
      </c>
      <c r="AE446" s="41" t="s">
        <v>22</v>
      </c>
      <c r="AF446" s="41" t="s">
        <v>22</v>
      </c>
      <c r="AG446" s="41" t="s">
        <v>22</v>
      </c>
      <c r="AH446" s="41">
        <v>1.62114338519455</v>
      </c>
      <c r="AI446" s="41">
        <v>1.58815489364371</v>
      </c>
      <c r="AJ446" s="41">
        <v>1.4931627356705699</v>
      </c>
      <c r="AK446" s="41">
        <v>1.17876863479358</v>
      </c>
      <c r="AL446" s="41">
        <v>1</v>
      </c>
      <c r="AM446" s="43">
        <f t="shared" si="204"/>
        <v>0.62966150468213844</v>
      </c>
      <c r="AN446" s="43">
        <f t="shared" si="205"/>
        <v>0.6697193655525473</v>
      </c>
      <c r="AO446" s="3" t="s">
        <v>297</v>
      </c>
      <c r="AT446" s="2">
        <f t="shared" si="206"/>
        <v>2</v>
      </c>
      <c r="AU446" s="45">
        <f t="shared" si="207"/>
        <v>-1.1549019599857431</v>
      </c>
      <c r="AV446" s="45">
        <f t="shared" si="208"/>
        <v>-0.31695296176115045</v>
      </c>
      <c r="AW446" s="45">
        <f t="shared" si="209"/>
        <v>-0.83794899822459268</v>
      </c>
      <c r="AX446" s="45" t="e">
        <f t="shared" si="210"/>
        <v>#VALUE!</v>
      </c>
      <c r="AY446" s="45" t="e">
        <f t="shared" si="211"/>
        <v>#VALUE!</v>
      </c>
      <c r="AZ446" s="45" t="e">
        <f t="shared" si="212"/>
        <v>#VALUE!</v>
      </c>
      <c r="BA446" s="45" t="e">
        <f t="shared" si="213"/>
        <v>#VALUE!</v>
      </c>
      <c r="BB446" s="45" t="e">
        <f t="shared" si="214"/>
        <v>#VALUE!</v>
      </c>
      <c r="BC446" s="45">
        <f t="shared" si="215"/>
        <v>0.16435285578443709</v>
      </c>
      <c r="BD446" s="45" t="e">
        <f t="shared" si="216"/>
        <v>#VALUE!</v>
      </c>
      <c r="BE446" s="45" t="e">
        <f t="shared" si="217"/>
        <v>#VALUE!</v>
      </c>
      <c r="BF446" s="45">
        <f t="shared" si="218"/>
        <v>-0.20089285714285615</v>
      </c>
      <c r="BG446" s="45">
        <f t="shared" si="219"/>
        <v>-0.17410714285714202</v>
      </c>
      <c r="BH446" s="45" t="e">
        <f t="shared" si="220"/>
        <v>#NUM!</v>
      </c>
      <c r="BI446" s="43" t="e">
        <f t="shared" si="221"/>
        <v>#VALUE!</v>
      </c>
      <c r="CA446" s="41" t="s">
        <v>22</v>
      </c>
      <c r="CC446" t="s">
        <v>22</v>
      </c>
      <c r="CE446" s="41" t="s">
        <v>22</v>
      </c>
      <c r="CF446" s="41" t="s">
        <v>22</v>
      </c>
      <c r="CG446" s="41" t="e">
        <f t="shared" si="228"/>
        <v>#VALUE!</v>
      </c>
      <c r="CH446" s="41" t="e">
        <f t="shared" si="230"/>
        <v>#VALUE!</v>
      </c>
      <c r="CI446" s="41">
        <f t="shared" si="227"/>
        <v>1.46</v>
      </c>
      <c r="CJ446" s="41">
        <f t="shared" si="231"/>
        <v>0.16435285578443709</v>
      </c>
      <c r="CL446" s="9" t="s">
        <v>1269</v>
      </c>
      <c r="CM446" s="18" t="s">
        <v>1285</v>
      </c>
      <c r="CN446" s="54" t="s">
        <v>1284</v>
      </c>
      <c r="CO446" s="18" t="s">
        <v>1284</v>
      </c>
    </row>
    <row r="447" spans="1:93" x14ac:dyDescent="0.25">
      <c r="A447" t="s">
        <v>315</v>
      </c>
      <c r="B447" s="41">
        <f>1.4*10^-4</f>
        <v>1.3999999999999999E-4</v>
      </c>
      <c r="C447" s="41">
        <v>0.48199999999999998</v>
      </c>
      <c r="D447" s="41">
        <f t="shared" si="232"/>
        <v>2.9045643153526973E-4</v>
      </c>
      <c r="E447" s="41" t="s">
        <v>22</v>
      </c>
      <c r="F447" t="s">
        <v>22</v>
      </c>
      <c r="G447" t="s">
        <v>22</v>
      </c>
      <c r="H447" t="s">
        <v>22</v>
      </c>
      <c r="I447" t="s">
        <v>22</v>
      </c>
      <c r="J447" s="41">
        <v>20</v>
      </c>
      <c r="K447">
        <v>488</v>
      </c>
      <c r="L447" s="41">
        <f t="shared" si="233"/>
        <v>1.1342512947199999</v>
      </c>
      <c r="M447" t="s">
        <v>23</v>
      </c>
      <c r="N447" s="41" t="s">
        <v>22</v>
      </c>
      <c r="O447" s="41" t="s">
        <v>22</v>
      </c>
      <c r="P447" s="41" t="s">
        <v>22</v>
      </c>
      <c r="R447" s="41" t="s">
        <v>22</v>
      </c>
      <c r="S447" s="41" t="s">
        <v>22</v>
      </c>
      <c r="T447" s="41" t="s">
        <v>22</v>
      </c>
      <c r="U447" s="41" t="s">
        <v>22</v>
      </c>
      <c r="V447">
        <v>20200511</v>
      </c>
      <c r="W447" s="16" t="s">
        <v>298</v>
      </c>
      <c r="X447">
        <v>2010</v>
      </c>
      <c r="Y447" t="s">
        <v>328</v>
      </c>
      <c r="Z447" t="s">
        <v>296</v>
      </c>
      <c r="AC447" t="s">
        <v>285</v>
      </c>
      <c r="AD447" s="41" t="s">
        <v>22</v>
      </c>
      <c r="AE447" s="41">
        <v>1594.6</v>
      </c>
      <c r="AF447" s="41" t="s">
        <v>22</v>
      </c>
      <c r="AG447" s="41" t="s">
        <v>22</v>
      </c>
      <c r="AH447" s="41">
        <v>125375.964126269</v>
      </c>
      <c r="AI447" s="41">
        <v>125375.964126269</v>
      </c>
      <c r="AJ447" s="41">
        <v>1555.8376817494</v>
      </c>
      <c r="AK447" s="41">
        <v>10</v>
      </c>
      <c r="AL447" s="41">
        <v>1</v>
      </c>
      <c r="AM447" s="43">
        <f t="shared" si="204"/>
        <v>7.9760104496016243E-6</v>
      </c>
      <c r="AN447" s="43">
        <f t="shared" si="205"/>
        <v>6.4274057103154208E-4</v>
      </c>
      <c r="AO447" s="3" t="s">
        <v>297</v>
      </c>
      <c r="AT447" s="2">
        <f t="shared" si="206"/>
        <v>2</v>
      </c>
      <c r="AU447" s="45">
        <f t="shared" si="207"/>
        <v>-3.8538719643217618</v>
      </c>
      <c r="AV447" s="45">
        <f t="shared" si="208"/>
        <v>-0.31695296176115045</v>
      </c>
      <c r="AW447" s="45">
        <f t="shared" si="209"/>
        <v>-3.5369190025606114</v>
      </c>
      <c r="AX447" s="45" t="e">
        <f t="shared" si="210"/>
        <v>#VALUE!</v>
      </c>
      <c r="AY447" s="45" t="e">
        <f t="shared" si="211"/>
        <v>#VALUE!</v>
      </c>
      <c r="AZ447" s="45" t="e">
        <f t="shared" si="212"/>
        <v>#VALUE!</v>
      </c>
      <c r="BA447" s="45">
        <f t="shared" si="213"/>
        <v>1.3010299956639813</v>
      </c>
      <c r="BB447" s="45">
        <f t="shared" si="214"/>
        <v>5.4709283674823618E-2</v>
      </c>
      <c r="BC447" s="45" t="e">
        <f t="shared" si="215"/>
        <v>#VALUE!</v>
      </c>
      <c r="BD447" s="45" t="e">
        <f t="shared" si="216"/>
        <v>#VALUE!</v>
      </c>
      <c r="BE447" s="45" t="e">
        <f t="shared" si="217"/>
        <v>#VALUE!</v>
      </c>
      <c r="BF447" s="45">
        <f t="shared" si="218"/>
        <v>-5.0982142857142856</v>
      </c>
      <c r="BG447" s="45">
        <f t="shared" si="219"/>
        <v>-3.1919642857142851</v>
      </c>
      <c r="BH447" s="45" t="e">
        <f t="shared" si="220"/>
        <v>#NUM!</v>
      </c>
      <c r="BI447" s="43" t="e">
        <f t="shared" si="221"/>
        <v>#VALUE!</v>
      </c>
      <c r="CA447" s="41" t="s">
        <v>22</v>
      </c>
      <c r="CC447" t="s">
        <v>22</v>
      </c>
      <c r="CE447" s="41" t="s">
        <v>22</v>
      </c>
      <c r="CF447" s="41" t="s">
        <v>22</v>
      </c>
      <c r="CG447" s="41" t="e">
        <f t="shared" si="228"/>
        <v>#VALUE!</v>
      </c>
      <c r="CH447" s="41" t="e">
        <f t="shared" si="230"/>
        <v>#VALUE!</v>
      </c>
      <c r="CI447" s="41" t="str">
        <f t="shared" si="227"/>
        <v>Not Reported/ Can not calculate</v>
      </c>
      <c r="CJ447" s="41" t="e">
        <f t="shared" si="231"/>
        <v>#VALUE!</v>
      </c>
      <c r="CL447" s="9" t="s">
        <v>1269</v>
      </c>
      <c r="CM447" s="18" t="s">
        <v>1284</v>
      </c>
      <c r="CN447" s="54" t="s">
        <v>1284</v>
      </c>
      <c r="CO447" s="18" t="s">
        <v>1284</v>
      </c>
    </row>
    <row r="448" spans="1:93" x14ac:dyDescent="0.25">
      <c r="A448" t="s">
        <v>731</v>
      </c>
      <c r="B448" s="41" t="s">
        <v>22</v>
      </c>
      <c r="C448" s="41">
        <v>1.5</v>
      </c>
      <c r="D448" s="41" t="s">
        <v>22</v>
      </c>
      <c r="E448" s="41" t="s">
        <v>22</v>
      </c>
      <c r="F448" t="s">
        <v>22</v>
      </c>
      <c r="G448" t="s">
        <v>22</v>
      </c>
      <c r="H448" t="s">
        <v>22</v>
      </c>
      <c r="I448" t="s">
        <v>22</v>
      </c>
      <c r="J448" s="41" t="s">
        <v>22</v>
      </c>
      <c r="K448" t="s">
        <v>22</v>
      </c>
      <c r="L448" s="41" t="e">
        <f t="shared" si="233"/>
        <v>#VALUE!</v>
      </c>
      <c r="M448" t="s">
        <v>23</v>
      </c>
      <c r="N448" s="41" t="s">
        <v>22</v>
      </c>
      <c r="O448" s="41" t="s">
        <v>22</v>
      </c>
      <c r="P448" s="41" t="s">
        <v>22</v>
      </c>
      <c r="R448" s="41" t="s">
        <v>22</v>
      </c>
      <c r="S448" s="41" t="s">
        <v>22</v>
      </c>
      <c r="T448" s="41">
        <v>0.5</v>
      </c>
      <c r="U448" s="41">
        <v>0.5</v>
      </c>
      <c r="V448">
        <v>20200512</v>
      </c>
      <c r="W448" s="16" t="s">
        <v>908</v>
      </c>
      <c r="X448">
        <v>2010</v>
      </c>
      <c r="Y448" t="s">
        <v>22</v>
      </c>
      <c r="Z448" t="s">
        <v>22</v>
      </c>
      <c r="AC448" t="s">
        <v>514</v>
      </c>
      <c r="AD448" s="41" t="s">
        <v>22</v>
      </c>
      <c r="AE448" s="41" t="s">
        <v>22</v>
      </c>
      <c r="AF448" s="41" t="s">
        <v>22</v>
      </c>
      <c r="AG448" s="41" t="s">
        <v>22</v>
      </c>
      <c r="AH448" s="41" t="s">
        <v>22</v>
      </c>
      <c r="AI448" s="41" t="s">
        <v>22</v>
      </c>
      <c r="AJ448" s="41" t="s">
        <v>22</v>
      </c>
      <c r="AK448" s="41" t="s">
        <v>22</v>
      </c>
      <c r="AL448" s="41" t="s">
        <v>22</v>
      </c>
      <c r="AM448" s="43" t="e">
        <f t="shared" si="204"/>
        <v>#VALUE!</v>
      </c>
      <c r="AN448" s="43" t="e">
        <f t="shared" si="205"/>
        <v>#VALUE!</v>
      </c>
      <c r="AO448" s="3" t="s">
        <v>364</v>
      </c>
      <c r="AT448" s="2">
        <f t="shared" si="206"/>
        <v>2</v>
      </c>
      <c r="AU448" s="45" t="e">
        <f t="shared" si="207"/>
        <v>#VALUE!</v>
      </c>
      <c r="AV448" s="45">
        <f t="shared" si="208"/>
        <v>0.17609125905568124</v>
      </c>
      <c r="AW448" s="45" t="e">
        <f t="shared" si="209"/>
        <v>#VALUE!</v>
      </c>
      <c r="AX448" s="45" t="e">
        <f t="shared" si="210"/>
        <v>#VALUE!</v>
      </c>
      <c r="AY448" s="45" t="e">
        <f t="shared" si="211"/>
        <v>#VALUE!</v>
      </c>
      <c r="AZ448" s="45" t="e">
        <f t="shared" si="212"/>
        <v>#VALUE!</v>
      </c>
      <c r="BA448" s="45" t="e">
        <f t="shared" si="213"/>
        <v>#VALUE!</v>
      </c>
      <c r="BB448" s="45" t="e">
        <f t="shared" si="214"/>
        <v>#VALUE!</v>
      </c>
      <c r="BC448" s="45">
        <f t="shared" si="215"/>
        <v>-0.3010299956639812</v>
      </c>
      <c r="BD448" s="45" t="e">
        <f t="shared" si="216"/>
        <v>#VALUE!</v>
      </c>
      <c r="BE448" s="45" t="e">
        <f t="shared" si="217"/>
        <v>#VALUE!</v>
      </c>
      <c r="BF448" s="45" t="e">
        <f t="shared" si="218"/>
        <v>#VALUE!</v>
      </c>
      <c r="BG448" s="45" t="e">
        <f t="shared" si="219"/>
        <v>#VALUE!</v>
      </c>
      <c r="BH448" s="45" t="e">
        <f t="shared" si="220"/>
        <v>#NUM!</v>
      </c>
      <c r="BI448" s="43" t="e">
        <f t="shared" si="221"/>
        <v>#VALUE!</v>
      </c>
      <c r="CA448" s="41" t="s">
        <v>22</v>
      </c>
      <c r="CC448" t="s">
        <v>22</v>
      </c>
      <c r="CE448" s="41" t="s">
        <v>22</v>
      </c>
      <c r="CF448" s="41" t="s">
        <v>22</v>
      </c>
      <c r="CG448" s="41" t="e">
        <f t="shared" si="228"/>
        <v>#VALUE!</v>
      </c>
      <c r="CH448" s="41" t="e">
        <f t="shared" si="230"/>
        <v>#VALUE!</v>
      </c>
      <c r="CI448" s="41">
        <f t="shared" si="227"/>
        <v>0.5</v>
      </c>
      <c r="CJ448" s="41">
        <f t="shared" si="231"/>
        <v>-0.3010299956639812</v>
      </c>
      <c r="CL448" s="9" t="s">
        <v>1269</v>
      </c>
      <c r="CM448" s="18" t="s">
        <v>1285</v>
      </c>
      <c r="CN448" s="54" t="s">
        <v>1284</v>
      </c>
      <c r="CO448" s="18" t="s">
        <v>1284</v>
      </c>
    </row>
    <row r="449" spans="1:93" x14ac:dyDescent="0.25">
      <c r="A449" t="s">
        <v>731</v>
      </c>
      <c r="B449" s="41" t="s">
        <v>22</v>
      </c>
      <c r="C449" s="41">
        <v>1</v>
      </c>
      <c r="D449" s="41" t="s">
        <v>22</v>
      </c>
      <c r="E449" s="41" t="s">
        <v>22</v>
      </c>
      <c r="F449" t="s">
        <v>22</v>
      </c>
      <c r="G449" t="s">
        <v>22</v>
      </c>
      <c r="H449" t="s">
        <v>22</v>
      </c>
      <c r="I449" t="s">
        <v>22</v>
      </c>
      <c r="J449" s="41" t="s">
        <v>22</v>
      </c>
      <c r="K449" t="s">
        <v>22</v>
      </c>
      <c r="L449" s="41" t="e">
        <f t="shared" si="233"/>
        <v>#VALUE!</v>
      </c>
      <c r="M449" t="s">
        <v>23</v>
      </c>
      <c r="N449" s="41" t="s">
        <v>22</v>
      </c>
      <c r="O449" s="41" t="s">
        <v>22</v>
      </c>
      <c r="P449" s="41" t="s">
        <v>22</v>
      </c>
      <c r="R449" s="41" t="s">
        <v>22</v>
      </c>
      <c r="S449" s="41" t="s">
        <v>22</v>
      </c>
      <c r="T449" s="41" t="s">
        <v>617</v>
      </c>
      <c r="U449" s="41">
        <v>1.3</v>
      </c>
      <c r="V449">
        <v>20200512</v>
      </c>
      <c r="W449" s="16" t="s">
        <v>361</v>
      </c>
      <c r="X449">
        <v>2010</v>
      </c>
      <c r="Y449" t="s">
        <v>22</v>
      </c>
      <c r="Z449" t="s">
        <v>22</v>
      </c>
      <c r="AC449" t="s">
        <v>514</v>
      </c>
      <c r="AD449" s="41" t="s">
        <v>22</v>
      </c>
      <c r="AE449" s="41" t="s">
        <v>22</v>
      </c>
      <c r="AF449" s="41" t="s">
        <v>22</v>
      </c>
      <c r="AG449" s="41" t="s">
        <v>22</v>
      </c>
      <c r="AH449" s="41" t="s">
        <v>22</v>
      </c>
      <c r="AI449" s="41" t="s">
        <v>22</v>
      </c>
      <c r="AJ449" s="41" t="s">
        <v>22</v>
      </c>
      <c r="AK449" s="41" t="s">
        <v>22</v>
      </c>
      <c r="AL449" s="41" t="s">
        <v>22</v>
      </c>
      <c r="AM449" s="43" t="e">
        <f t="shared" si="204"/>
        <v>#VALUE!</v>
      </c>
      <c r="AN449" s="43" t="e">
        <f t="shared" si="205"/>
        <v>#VALUE!</v>
      </c>
      <c r="AO449" s="3" t="s">
        <v>364</v>
      </c>
      <c r="AT449" s="2">
        <f t="shared" si="206"/>
        <v>2</v>
      </c>
      <c r="AU449" s="45" t="e">
        <f t="shared" si="207"/>
        <v>#VALUE!</v>
      </c>
      <c r="AV449" s="45">
        <f t="shared" si="208"/>
        <v>0</v>
      </c>
      <c r="AW449" s="45" t="e">
        <f t="shared" si="209"/>
        <v>#VALUE!</v>
      </c>
      <c r="AX449" s="45" t="e">
        <f t="shared" si="210"/>
        <v>#VALUE!</v>
      </c>
      <c r="AY449" s="45" t="e">
        <f t="shared" si="211"/>
        <v>#VALUE!</v>
      </c>
      <c r="AZ449" s="45" t="e">
        <f t="shared" si="212"/>
        <v>#VALUE!</v>
      </c>
      <c r="BA449" s="45" t="e">
        <f t="shared" si="213"/>
        <v>#VALUE!</v>
      </c>
      <c r="BB449" s="45" t="e">
        <f t="shared" si="214"/>
        <v>#VALUE!</v>
      </c>
      <c r="BC449" s="45">
        <f t="shared" si="215"/>
        <v>0.11394335230683679</v>
      </c>
      <c r="BD449" s="45" t="e">
        <f t="shared" si="216"/>
        <v>#VALUE!</v>
      </c>
      <c r="BE449" s="45" t="e">
        <f t="shared" si="217"/>
        <v>#VALUE!</v>
      </c>
      <c r="BF449" s="45" t="e">
        <f t="shared" si="218"/>
        <v>#VALUE!</v>
      </c>
      <c r="BG449" s="45" t="e">
        <f t="shared" si="219"/>
        <v>#VALUE!</v>
      </c>
      <c r="BH449" s="45" t="e">
        <f t="shared" si="220"/>
        <v>#NUM!</v>
      </c>
      <c r="BI449" s="43" t="e">
        <f t="shared" si="221"/>
        <v>#VALUE!</v>
      </c>
      <c r="CA449" s="41" t="s">
        <v>22</v>
      </c>
      <c r="CC449" t="s">
        <v>22</v>
      </c>
      <c r="CE449" s="41" t="s">
        <v>22</v>
      </c>
      <c r="CF449" s="41" t="s">
        <v>22</v>
      </c>
      <c r="CG449" s="41" t="e">
        <f t="shared" si="228"/>
        <v>#VALUE!</v>
      </c>
      <c r="CH449" s="41" t="e">
        <f t="shared" si="230"/>
        <v>#VALUE!</v>
      </c>
      <c r="CI449" s="41">
        <f t="shared" si="227"/>
        <v>1.3</v>
      </c>
      <c r="CJ449" s="41">
        <f t="shared" si="231"/>
        <v>0.11394335230683679</v>
      </c>
      <c r="CL449" s="9" t="s">
        <v>1269</v>
      </c>
      <c r="CM449" s="18" t="s">
        <v>1285</v>
      </c>
      <c r="CN449" s="54" t="s">
        <v>1284</v>
      </c>
      <c r="CO449" s="18" t="s">
        <v>1284</v>
      </c>
    </row>
    <row r="450" spans="1:93" s="9" customFormat="1" x14ac:dyDescent="0.25">
      <c r="A450" s="9" t="s">
        <v>141</v>
      </c>
      <c r="B450" s="50">
        <f>350*100*10^-6</f>
        <v>3.4999999999999996E-2</v>
      </c>
      <c r="C450" s="50" t="s">
        <v>22</v>
      </c>
      <c r="D450" s="50" t="s">
        <v>22</v>
      </c>
      <c r="E450" s="50" t="s">
        <v>22</v>
      </c>
      <c r="F450" s="9" t="s">
        <v>22</v>
      </c>
      <c r="G450" s="9" t="s">
        <v>22</v>
      </c>
      <c r="H450" s="9" t="s">
        <v>22</v>
      </c>
      <c r="I450" s="9" t="s">
        <v>22</v>
      </c>
      <c r="J450" s="50" t="s">
        <v>22</v>
      </c>
      <c r="K450" s="9">
        <v>632.79999999999995</v>
      </c>
      <c r="L450" s="50" t="e">
        <f t="shared" si="233"/>
        <v>#VALUE!</v>
      </c>
      <c r="M450" s="9" t="s">
        <v>23</v>
      </c>
      <c r="N450" s="50">
        <v>303</v>
      </c>
      <c r="O450" s="50" t="s">
        <v>22</v>
      </c>
      <c r="P450" s="50" t="s">
        <v>22</v>
      </c>
      <c r="Q450" s="50"/>
      <c r="R450" s="50">
        <f>N450*B450</f>
        <v>10.604999999999999</v>
      </c>
      <c r="S450" s="50" t="s">
        <v>22</v>
      </c>
      <c r="T450" s="50">
        <v>11.1</v>
      </c>
      <c r="U450" s="50">
        <v>11.1</v>
      </c>
      <c r="V450" s="9">
        <v>20200715</v>
      </c>
      <c r="W450" s="21"/>
      <c r="X450" s="21">
        <v>2010</v>
      </c>
      <c r="Y450" s="9" t="s">
        <v>26</v>
      </c>
      <c r="Z450" s="9" t="s">
        <v>32</v>
      </c>
      <c r="AB450" s="50"/>
      <c r="AC450" s="9" t="s">
        <v>514</v>
      </c>
      <c r="AD450" s="50" t="s">
        <v>22</v>
      </c>
      <c r="AE450" s="50">
        <v>1585.5</v>
      </c>
      <c r="AF450" s="50" t="s">
        <v>22</v>
      </c>
      <c r="AG450" s="50" t="s">
        <v>22</v>
      </c>
      <c r="AH450" s="50" t="s">
        <v>22</v>
      </c>
      <c r="AI450" s="50" t="s">
        <v>22</v>
      </c>
      <c r="AJ450" s="50" t="s">
        <v>22</v>
      </c>
      <c r="AK450" s="50" t="s">
        <v>22</v>
      </c>
      <c r="AL450" s="50" t="s">
        <v>22</v>
      </c>
      <c r="AM450" s="43" t="e">
        <f t="shared" ref="AM450:AM513" si="234">AL450/AI450</f>
        <v>#VALUE!</v>
      </c>
      <c r="AN450" s="43" t="e">
        <f t="shared" ref="AN450:AN513" si="235">AL450/AJ450</f>
        <v>#VALUE!</v>
      </c>
      <c r="AO450" s="21" t="s">
        <v>1067</v>
      </c>
      <c r="AT450" s="2">
        <f t="shared" ref="AT450:AT513" si="236">COUNTIF($AO$2:$AO$1400,AO450)</f>
        <v>1</v>
      </c>
      <c r="AU450" s="45">
        <f t="shared" ref="AU450:AU513" si="237">LOG10(B450)</f>
        <v>-1.4559319556497243</v>
      </c>
      <c r="AV450" s="45" t="e">
        <f t="shared" ref="AV450:AV513" si="238">LOG10(C450)</f>
        <v>#VALUE!</v>
      </c>
      <c r="AW450" s="45" t="e">
        <f t="shared" ref="AW450:AW513" si="239">LOG10(D450)</f>
        <v>#VALUE!</v>
      </c>
      <c r="AX450" s="45">
        <f t="shared" ref="AX450:AX513" si="240">LOG10(N450)</f>
        <v>2.4814426285023048</v>
      </c>
      <c r="AY450" s="45" t="e">
        <f t="shared" ref="AY450:AY513" si="241">LOG10(O450)</f>
        <v>#VALUE!</v>
      </c>
      <c r="AZ450" s="45" t="e">
        <f t="shared" ref="AZ450:AZ513" si="242">LOG10(P450)</f>
        <v>#VALUE!</v>
      </c>
      <c r="BA450" s="45" t="e">
        <f t="shared" ref="BA450:BA513" si="243">LOG10(J450)</f>
        <v>#VALUE!</v>
      </c>
      <c r="BB450" s="45" t="e">
        <f t="shared" ref="BB450:BB513" si="244">LOG10(L450)</f>
        <v>#VALUE!</v>
      </c>
      <c r="BC450" s="45">
        <f t="shared" ref="BC450:BC513" si="245">LOG10(U450)</f>
        <v>1.0453229787866574</v>
      </c>
      <c r="BD450" s="45" t="e">
        <f t="shared" ref="BD450:BD513" si="246">LOG10(AD450)</f>
        <v>#VALUE!</v>
      </c>
      <c r="BE450" s="45" t="e">
        <f t="shared" ref="BE450:BE513" si="247">LOG10(AF450)</f>
        <v>#VALUE!</v>
      </c>
      <c r="BF450" s="45" t="e">
        <f t="shared" ref="BF450:BF513" si="248">LOG10(AM450)</f>
        <v>#VALUE!</v>
      </c>
      <c r="BG450" s="45" t="e">
        <f t="shared" ref="BG450:BG513" si="249">LOG10(AN450)</f>
        <v>#VALUE!</v>
      </c>
      <c r="BH450" s="45" t="e">
        <f t="shared" ref="BH450:BH513" si="250">LOG10(AB450)</f>
        <v>#NUM!</v>
      </c>
      <c r="BI450" s="43" t="e">
        <f t="shared" ref="BI450:BI513" si="251">LOG10(AF450)</f>
        <v>#VALUE!</v>
      </c>
      <c r="BL450" s="20"/>
      <c r="BM450" s="50"/>
      <c r="BN450" s="50"/>
      <c r="BO450" s="50"/>
      <c r="BP450" s="50"/>
      <c r="BQ450" s="50"/>
      <c r="BR450" s="50"/>
      <c r="BU450" s="50"/>
      <c r="BV450" s="50"/>
      <c r="BW450" s="50"/>
      <c r="BX450" s="50"/>
      <c r="BY450" s="50"/>
      <c r="BZ450" s="50"/>
      <c r="CA450" s="50" t="s">
        <v>22</v>
      </c>
      <c r="CE450" s="50"/>
      <c r="CF450" s="50"/>
      <c r="CG450" s="50"/>
      <c r="CH450" s="50"/>
      <c r="CI450" s="50">
        <f t="shared" ref="CI450" si="252">IF(ISNUMBER(CG450),CG450,U450)</f>
        <v>11.1</v>
      </c>
      <c r="CJ450" s="50">
        <f t="shared" ref="CJ450" si="253">LOG10(CI450)</f>
        <v>1.0453229787866574</v>
      </c>
      <c r="CL450" s="9" t="s">
        <v>1269</v>
      </c>
      <c r="CM450" s="9" t="s">
        <v>1285</v>
      </c>
      <c r="CN450" s="55" t="s">
        <v>1284</v>
      </c>
      <c r="CO450" s="9" t="s">
        <v>1284</v>
      </c>
    </row>
    <row r="451" spans="1:93" x14ac:dyDescent="0.25">
      <c r="A451" t="s">
        <v>141</v>
      </c>
      <c r="B451" s="41" t="s">
        <v>22</v>
      </c>
      <c r="C451" s="41">
        <v>0.8</v>
      </c>
      <c r="D451" s="41" t="s">
        <v>22</v>
      </c>
      <c r="E451" s="41" t="s">
        <v>22</v>
      </c>
      <c r="F451" t="s">
        <v>22</v>
      </c>
      <c r="G451" t="s">
        <v>22</v>
      </c>
      <c r="H451" t="s">
        <v>22</v>
      </c>
      <c r="I451" t="s">
        <v>22</v>
      </c>
      <c r="J451" s="41" t="s">
        <v>22</v>
      </c>
      <c r="K451" t="s">
        <v>22</v>
      </c>
      <c r="L451" s="41" t="s">
        <v>22</v>
      </c>
      <c r="M451" t="s">
        <v>23</v>
      </c>
      <c r="N451" s="41">
        <v>317.28395061728401</v>
      </c>
      <c r="O451" s="41">
        <f t="shared" ref="O451:O459" si="254">0.001*(N451*10^6)/(C451*100^3)</f>
        <v>0.39660493827160498</v>
      </c>
      <c r="P451" s="41" t="s">
        <v>22</v>
      </c>
      <c r="R451" s="41" t="s">
        <v>22</v>
      </c>
      <c r="S451" s="41" t="s">
        <v>22</v>
      </c>
      <c r="T451" s="41">
        <v>12</v>
      </c>
      <c r="U451" s="41">
        <v>12</v>
      </c>
      <c r="V451">
        <v>20200512</v>
      </c>
      <c r="W451" s="9" t="s">
        <v>498</v>
      </c>
      <c r="X451" s="6">
        <v>2010</v>
      </c>
      <c r="Y451" t="s">
        <v>26</v>
      </c>
      <c r="AC451" t="s">
        <v>269</v>
      </c>
      <c r="AD451" s="41">
        <v>6</v>
      </c>
      <c r="AE451" s="41" t="s">
        <v>22</v>
      </c>
      <c r="AF451" s="41" t="s">
        <v>22</v>
      </c>
      <c r="AG451" s="41" t="s">
        <v>22</v>
      </c>
      <c r="AH451" s="41" t="s">
        <v>22</v>
      </c>
      <c r="AI451" s="41" t="s">
        <v>22</v>
      </c>
      <c r="AJ451" s="41" t="s">
        <v>22</v>
      </c>
      <c r="AK451" s="41" t="s">
        <v>22</v>
      </c>
      <c r="AL451" s="41" t="s">
        <v>22</v>
      </c>
      <c r="AM451" s="43" t="e">
        <f t="shared" si="234"/>
        <v>#VALUE!</v>
      </c>
      <c r="AN451" s="43" t="e">
        <f t="shared" si="235"/>
        <v>#VALUE!</v>
      </c>
      <c r="AO451" s="10" t="s">
        <v>501</v>
      </c>
      <c r="AT451" s="2">
        <f t="shared" si="236"/>
        <v>9</v>
      </c>
      <c r="AU451" s="45" t="e">
        <f t="shared" si="237"/>
        <v>#VALUE!</v>
      </c>
      <c r="AV451" s="45">
        <f t="shared" si="238"/>
        <v>-9.6910013008056392E-2</v>
      </c>
      <c r="AW451" s="45" t="e">
        <f t="shared" si="239"/>
        <v>#VALUE!</v>
      </c>
      <c r="AX451" s="45">
        <f t="shared" si="240"/>
        <v>2.5014481044526446</v>
      </c>
      <c r="AY451" s="45">
        <f t="shared" si="241"/>
        <v>-0.40164188253929878</v>
      </c>
      <c r="AZ451" s="45" t="e">
        <f t="shared" si="242"/>
        <v>#VALUE!</v>
      </c>
      <c r="BA451" s="45" t="e">
        <f t="shared" si="243"/>
        <v>#VALUE!</v>
      </c>
      <c r="BB451" s="45" t="e">
        <f t="shared" si="244"/>
        <v>#VALUE!</v>
      </c>
      <c r="BC451" s="45">
        <f t="shared" si="245"/>
        <v>1.0791812460476249</v>
      </c>
      <c r="BD451" s="45">
        <f t="shared" si="246"/>
        <v>0.77815125038364363</v>
      </c>
      <c r="BE451" s="45" t="e">
        <f t="shared" si="247"/>
        <v>#VALUE!</v>
      </c>
      <c r="BF451" s="45" t="e">
        <f t="shared" si="248"/>
        <v>#VALUE!</v>
      </c>
      <c r="BG451" s="45" t="e">
        <f t="shared" si="249"/>
        <v>#VALUE!</v>
      </c>
      <c r="BH451" s="45" t="e">
        <f t="shared" si="250"/>
        <v>#NUM!</v>
      </c>
      <c r="BI451" s="43" t="e">
        <f t="shared" si="251"/>
        <v>#VALUE!</v>
      </c>
      <c r="CA451" s="41" t="s">
        <v>22</v>
      </c>
      <c r="CC451" t="s">
        <v>22</v>
      </c>
      <c r="CE451" s="41" t="s">
        <v>22</v>
      </c>
      <c r="CF451" s="41" t="s">
        <v>22</v>
      </c>
      <c r="CG451" s="41">
        <f t="shared" ref="CG451:CG459" si="255">AD451*1000</f>
        <v>6000</v>
      </c>
      <c r="CH451" s="41">
        <f t="shared" ref="CH451:CH459" si="256">LOG10(CG451)</f>
        <v>3.7781512503836434</v>
      </c>
      <c r="CI451" s="41">
        <f t="shared" ref="CI451:CI460" si="257">IF(ISNUMBER(CG451),CG451,U451)</f>
        <v>6000</v>
      </c>
      <c r="CJ451" s="41">
        <f t="shared" ref="CJ451:CJ460" si="258">LOG10(CI451)</f>
        <v>3.7781512503836434</v>
      </c>
      <c r="CL451" s="9" t="s">
        <v>1269</v>
      </c>
      <c r="CM451" s="18" t="s">
        <v>1283</v>
      </c>
      <c r="CN451" s="54" t="s">
        <v>1284</v>
      </c>
      <c r="CO451" s="18" t="s">
        <v>1284</v>
      </c>
    </row>
    <row r="452" spans="1:93" x14ac:dyDescent="0.25">
      <c r="A452" t="s">
        <v>141</v>
      </c>
      <c r="B452" s="41" t="s">
        <v>22</v>
      </c>
      <c r="C452" s="41">
        <v>0.8</v>
      </c>
      <c r="D452" s="41" t="s">
        <v>22</v>
      </c>
      <c r="E452" s="41" t="s">
        <v>22</v>
      </c>
      <c r="F452" t="s">
        <v>22</v>
      </c>
      <c r="G452" t="s">
        <v>22</v>
      </c>
      <c r="H452" t="s">
        <v>22</v>
      </c>
      <c r="I452" t="s">
        <v>22</v>
      </c>
      <c r="J452" s="41" t="s">
        <v>22</v>
      </c>
      <c r="K452" t="s">
        <v>22</v>
      </c>
      <c r="L452" s="41" t="s">
        <v>22</v>
      </c>
      <c r="M452" t="s">
        <v>23</v>
      </c>
      <c r="N452" s="41">
        <v>364.19753086419701</v>
      </c>
      <c r="O452" s="41">
        <f t="shared" si="254"/>
        <v>0.45524691358024627</v>
      </c>
      <c r="P452" s="41" t="s">
        <v>22</v>
      </c>
      <c r="R452" s="41" t="s">
        <v>22</v>
      </c>
      <c r="S452" s="41" t="s">
        <v>22</v>
      </c>
      <c r="T452" s="41">
        <v>12</v>
      </c>
      <c r="U452" s="41">
        <v>12</v>
      </c>
      <c r="V452">
        <v>20200512</v>
      </c>
      <c r="W452" s="9" t="s">
        <v>499</v>
      </c>
      <c r="X452" s="6">
        <v>2010</v>
      </c>
      <c r="Y452" t="s">
        <v>26</v>
      </c>
      <c r="AC452" t="s">
        <v>269</v>
      </c>
      <c r="AD452" s="41">
        <v>6</v>
      </c>
      <c r="AE452" s="41" t="s">
        <v>22</v>
      </c>
      <c r="AF452" s="41" t="s">
        <v>22</v>
      </c>
      <c r="AG452" s="41" t="s">
        <v>22</v>
      </c>
      <c r="AH452" s="41" t="s">
        <v>22</v>
      </c>
      <c r="AI452" s="41" t="s">
        <v>22</v>
      </c>
      <c r="AJ452" s="41" t="s">
        <v>22</v>
      </c>
      <c r="AK452" s="41" t="s">
        <v>22</v>
      </c>
      <c r="AL452" s="41" t="s">
        <v>22</v>
      </c>
      <c r="AM452" s="43" t="e">
        <f t="shared" si="234"/>
        <v>#VALUE!</v>
      </c>
      <c r="AN452" s="43" t="e">
        <f t="shared" si="235"/>
        <v>#VALUE!</v>
      </c>
      <c r="AO452" s="10" t="s">
        <v>501</v>
      </c>
      <c r="AT452" s="2">
        <f t="shared" si="236"/>
        <v>9</v>
      </c>
      <c r="AU452" s="45" t="e">
        <f t="shared" si="237"/>
        <v>#VALUE!</v>
      </c>
      <c r="AV452" s="45">
        <f t="shared" si="238"/>
        <v>-9.6910013008056392E-2</v>
      </c>
      <c r="AW452" s="45" t="e">
        <f t="shared" si="239"/>
        <v>#VALUE!</v>
      </c>
      <c r="AX452" s="45">
        <f t="shared" si="240"/>
        <v>2.5613369970995126</v>
      </c>
      <c r="AY452" s="45">
        <f t="shared" si="241"/>
        <v>-0.34175298989243097</v>
      </c>
      <c r="AZ452" s="45" t="e">
        <f t="shared" si="242"/>
        <v>#VALUE!</v>
      </c>
      <c r="BA452" s="45" t="e">
        <f t="shared" si="243"/>
        <v>#VALUE!</v>
      </c>
      <c r="BB452" s="45" t="e">
        <f t="shared" si="244"/>
        <v>#VALUE!</v>
      </c>
      <c r="BC452" s="45">
        <f t="shared" si="245"/>
        <v>1.0791812460476249</v>
      </c>
      <c r="BD452" s="45">
        <f t="shared" si="246"/>
        <v>0.77815125038364363</v>
      </c>
      <c r="BE452" s="45" t="e">
        <f t="shared" si="247"/>
        <v>#VALUE!</v>
      </c>
      <c r="BF452" s="45" t="e">
        <f t="shared" si="248"/>
        <v>#VALUE!</v>
      </c>
      <c r="BG452" s="45" t="e">
        <f t="shared" si="249"/>
        <v>#VALUE!</v>
      </c>
      <c r="BH452" s="45" t="e">
        <f t="shared" si="250"/>
        <v>#NUM!</v>
      </c>
      <c r="BI452" s="43" t="e">
        <f t="shared" si="251"/>
        <v>#VALUE!</v>
      </c>
      <c r="CA452" s="41" t="s">
        <v>22</v>
      </c>
      <c r="CC452" t="s">
        <v>22</v>
      </c>
      <c r="CE452" s="41" t="s">
        <v>22</v>
      </c>
      <c r="CF452" s="41" t="s">
        <v>22</v>
      </c>
      <c r="CG452" s="41">
        <f t="shared" si="255"/>
        <v>6000</v>
      </c>
      <c r="CH452" s="41">
        <f t="shared" si="256"/>
        <v>3.7781512503836434</v>
      </c>
      <c r="CI452" s="41">
        <f t="shared" si="257"/>
        <v>6000</v>
      </c>
      <c r="CJ452" s="41">
        <f t="shared" si="258"/>
        <v>3.7781512503836434</v>
      </c>
      <c r="CL452" s="9" t="s">
        <v>1269</v>
      </c>
      <c r="CM452" s="18" t="s">
        <v>1283</v>
      </c>
      <c r="CN452" s="54" t="s">
        <v>1284</v>
      </c>
      <c r="CO452" s="18" t="s">
        <v>1284</v>
      </c>
    </row>
    <row r="453" spans="1:93" x14ac:dyDescent="0.25">
      <c r="A453" t="s">
        <v>141</v>
      </c>
      <c r="B453" s="41" t="s">
        <v>22</v>
      </c>
      <c r="C453" s="41">
        <v>0.8</v>
      </c>
      <c r="D453" s="41" t="s">
        <v>22</v>
      </c>
      <c r="E453" s="41" t="s">
        <v>22</v>
      </c>
      <c r="F453" t="s">
        <v>22</v>
      </c>
      <c r="G453" t="s">
        <v>22</v>
      </c>
      <c r="H453" t="s">
        <v>22</v>
      </c>
      <c r="I453" t="s">
        <v>22</v>
      </c>
      <c r="J453" s="41" t="s">
        <v>22</v>
      </c>
      <c r="K453" t="s">
        <v>22</v>
      </c>
      <c r="L453" s="41" t="s">
        <v>22</v>
      </c>
      <c r="M453" t="s">
        <v>23</v>
      </c>
      <c r="N453" s="41">
        <v>429.62962962962899</v>
      </c>
      <c r="O453" s="41">
        <f t="shared" si="254"/>
        <v>0.53703703703703631</v>
      </c>
      <c r="P453" s="41" t="s">
        <v>22</v>
      </c>
      <c r="R453" s="41" t="s">
        <v>22</v>
      </c>
      <c r="S453" s="41" t="s">
        <v>22</v>
      </c>
      <c r="T453" s="41">
        <v>12</v>
      </c>
      <c r="U453" s="41">
        <v>12</v>
      </c>
      <c r="V453">
        <v>20200512</v>
      </c>
      <c r="W453" s="9" t="s">
        <v>500</v>
      </c>
      <c r="X453" s="6">
        <v>2010</v>
      </c>
      <c r="Y453" t="s">
        <v>26</v>
      </c>
      <c r="AC453" t="s">
        <v>269</v>
      </c>
      <c r="AD453" s="41">
        <v>6</v>
      </c>
      <c r="AE453" s="41" t="s">
        <v>22</v>
      </c>
      <c r="AF453" s="41" t="s">
        <v>22</v>
      </c>
      <c r="AG453" s="41" t="s">
        <v>22</v>
      </c>
      <c r="AH453" s="41" t="s">
        <v>22</v>
      </c>
      <c r="AI453" s="41" t="s">
        <v>22</v>
      </c>
      <c r="AJ453" s="41" t="s">
        <v>22</v>
      </c>
      <c r="AK453" s="41" t="s">
        <v>22</v>
      </c>
      <c r="AL453" s="41" t="s">
        <v>22</v>
      </c>
      <c r="AM453" s="43" t="e">
        <f t="shared" si="234"/>
        <v>#VALUE!</v>
      </c>
      <c r="AN453" s="43" t="e">
        <f t="shared" si="235"/>
        <v>#VALUE!</v>
      </c>
      <c r="AO453" s="10" t="s">
        <v>501</v>
      </c>
      <c r="AT453" s="2">
        <f t="shared" si="236"/>
        <v>9</v>
      </c>
      <c r="AU453" s="45" t="e">
        <f t="shared" si="237"/>
        <v>#VALUE!</v>
      </c>
      <c r="AV453" s="45">
        <f t="shared" si="238"/>
        <v>-9.6910013008056392E-2</v>
      </c>
      <c r="AW453" s="45" t="e">
        <f t="shared" si="239"/>
        <v>#VALUE!</v>
      </c>
      <c r="AX453" s="45">
        <f t="shared" si="240"/>
        <v>2.6330942250679303</v>
      </c>
      <c r="AY453" s="45">
        <f t="shared" si="241"/>
        <v>-0.26999576192401298</v>
      </c>
      <c r="AZ453" s="45" t="e">
        <f t="shared" si="242"/>
        <v>#VALUE!</v>
      </c>
      <c r="BA453" s="45" t="e">
        <f t="shared" si="243"/>
        <v>#VALUE!</v>
      </c>
      <c r="BB453" s="45" t="e">
        <f t="shared" si="244"/>
        <v>#VALUE!</v>
      </c>
      <c r="BC453" s="45">
        <f t="shared" si="245"/>
        <v>1.0791812460476249</v>
      </c>
      <c r="BD453" s="45">
        <f t="shared" si="246"/>
        <v>0.77815125038364363</v>
      </c>
      <c r="BE453" s="45" t="e">
        <f t="shared" si="247"/>
        <v>#VALUE!</v>
      </c>
      <c r="BF453" s="45" t="e">
        <f t="shared" si="248"/>
        <v>#VALUE!</v>
      </c>
      <c r="BG453" s="45" t="e">
        <f t="shared" si="249"/>
        <v>#VALUE!</v>
      </c>
      <c r="BH453" s="45" t="e">
        <f t="shared" si="250"/>
        <v>#NUM!</v>
      </c>
      <c r="BI453" s="43" t="e">
        <f t="shared" si="251"/>
        <v>#VALUE!</v>
      </c>
      <c r="CA453" s="41" t="s">
        <v>22</v>
      </c>
      <c r="CC453" t="s">
        <v>22</v>
      </c>
      <c r="CE453" s="41" t="s">
        <v>22</v>
      </c>
      <c r="CF453" s="41" t="s">
        <v>22</v>
      </c>
      <c r="CG453" s="41">
        <f t="shared" si="255"/>
        <v>6000</v>
      </c>
      <c r="CH453" s="41">
        <f t="shared" si="256"/>
        <v>3.7781512503836434</v>
      </c>
      <c r="CI453" s="41">
        <f t="shared" si="257"/>
        <v>6000</v>
      </c>
      <c r="CJ453" s="41">
        <f t="shared" si="258"/>
        <v>3.7781512503836434</v>
      </c>
      <c r="CL453" s="9" t="s">
        <v>1269</v>
      </c>
      <c r="CM453" s="18" t="s">
        <v>1283</v>
      </c>
      <c r="CN453" s="54" t="s">
        <v>1284</v>
      </c>
      <c r="CO453" s="18" t="s">
        <v>1284</v>
      </c>
    </row>
    <row r="454" spans="1:93" x14ac:dyDescent="0.25">
      <c r="A454" t="s">
        <v>141</v>
      </c>
      <c r="B454" s="41" t="s">
        <v>22</v>
      </c>
      <c r="C454" s="41">
        <v>0.8</v>
      </c>
      <c r="D454" s="41" t="s">
        <v>22</v>
      </c>
      <c r="E454" s="41" t="s">
        <v>22</v>
      </c>
      <c r="F454" t="s">
        <v>22</v>
      </c>
      <c r="G454" t="s">
        <v>22</v>
      </c>
      <c r="H454" t="s">
        <v>22</v>
      </c>
      <c r="I454" t="s">
        <v>22</v>
      </c>
      <c r="J454" s="41" t="s">
        <v>22</v>
      </c>
      <c r="K454" t="s">
        <v>22</v>
      </c>
      <c r="L454" s="41" t="s">
        <v>22</v>
      </c>
      <c r="M454" t="s">
        <v>23</v>
      </c>
      <c r="N454" s="41">
        <v>430.10752688171999</v>
      </c>
      <c r="O454" s="41">
        <f t="shared" si="254"/>
        <v>0.53763440860214995</v>
      </c>
      <c r="P454" s="41" t="s">
        <v>22</v>
      </c>
      <c r="R454" s="41" t="s">
        <v>22</v>
      </c>
      <c r="S454" s="41" t="s">
        <v>22</v>
      </c>
      <c r="T454" s="41">
        <v>12</v>
      </c>
      <c r="U454" s="41">
        <v>12</v>
      </c>
      <c r="V454">
        <v>20200512</v>
      </c>
      <c r="W454" s="16" t="s">
        <v>502</v>
      </c>
      <c r="X454" s="6">
        <v>2010</v>
      </c>
      <c r="Y454" t="s">
        <v>26</v>
      </c>
      <c r="AC454" t="s">
        <v>269</v>
      </c>
      <c r="AD454" s="41">
        <v>4.7191011235955003</v>
      </c>
      <c r="AE454" s="41" t="s">
        <v>22</v>
      </c>
      <c r="AF454" s="41" t="s">
        <v>22</v>
      </c>
      <c r="AG454" s="41" t="s">
        <v>22</v>
      </c>
      <c r="AH454" s="41" t="s">
        <v>22</v>
      </c>
      <c r="AI454" s="41" t="s">
        <v>22</v>
      </c>
      <c r="AJ454" s="41" t="s">
        <v>22</v>
      </c>
      <c r="AK454" s="41" t="s">
        <v>22</v>
      </c>
      <c r="AL454" s="41" t="s">
        <v>22</v>
      </c>
      <c r="AM454" s="43" t="e">
        <f t="shared" si="234"/>
        <v>#VALUE!</v>
      </c>
      <c r="AN454" s="43" t="e">
        <f t="shared" si="235"/>
        <v>#VALUE!</v>
      </c>
      <c r="AO454" s="10" t="s">
        <v>501</v>
      </c>
      <c r="AT454" s="2">
        <f t="shared" si="236"/>
        <v>9</v>
      </c>
      <c r="AU454" s="45" t="e">
        <f t="shared" si="237"/>
        <v>#VALUE!</v>
      </c>
      <c r="AV454" s="45">
        <f t="shared" si="238"/>
        <v>-9.6910013008056392E-2</v>
      </c>
      <c r="AW454" s="45" t="e">
        <f t="shared" si="239"/>
        <v>#VALUE!</v>
      </c>
      <c r="AX454" s="45">
        <f t="shared" si="240"/>
        <v>2.6335770427740268</v>
      </c>
      <c r="AY454" s="45">
        <f t="shared" si="241"/>
        <v>-0.26951294421791677</v>
      </c>
      <c r="AZ454" s="45" t="e">
        <f t="shared" si="242"/>
        <v>#VALUE!</v>
      </c>
      <c r="BA454" s="45" t="e">
        <f t="shared" si="243"/>
        <v>#VALUE!</v>
      </c>
      <c r="BB454" s="45" t="e">
        <f t="shared" si="244"/>
        <v>#VALUE!</v>
      </c>
      <c r="BC454" s="45">
        <f t="shared" si="245"/>
        <v>1.0791812460476249</v>
      </c>
      <c r="BD454" s="45">
        <f t="shared" si="246"/>
        <v>0.6738592837529872</v>
      </c>
      <c r="BE454" s="45" t="e">
        <f t="shared" si="247"/>
        <v>#VALUE!</v>
      </c>
      <c r="BF454" s="45" t="e">
        <f t="shared" si="248"/>
        <v>#VALUE!</v>
      </c>
      <c r="BG454" s="45" t="e">
        <f t="shared" si="249"/>
        <v>#VALUE!</v>
      </c>
      <c r="BH454" s="45" t="e">
        <f t="shared" si="250"/>
        <v>#NUM!</v>
      </c>
      <c r="BI454" s="43" t="e">
        <f t="shared" si="251"/>
        <v>#VALUE!</v>
      </c>
      <c r="CA454" s="41" t="s">
        <v>22</v>
      </c>
      <c r="CC454" t="s">
        <v>22</v>
      </c>
      <c r="CE454" s="41" t="s">
        <v>22</v>
      </c>
      <c r="CF454" s="41" t="s">
        <v>22</v>
      </c>
      <c r="CG454" s="41">
        <f t="shared" si="255"/>
        <v>4719.1011235955002</v>
      </c>
      <c r="CH454" s="41">
        <f t="shared" si="256"/>
        <v>3.6738592837529871</v>
      </c>
      <c r="CI454" s="41">
        <f t="shared" si="257"/>
        <v>4719.1011235955002</v>
      </c>
      <c r="CJ454" s="41">
        <f t="shared" si="258"/>
        <v>3.6738592837529871</v>
      </c>
      <c r="CL454" s="9" t="s">
        <v>1269</v>
      </c>
      <c r="CM454" s="18" t="s">
        <v>1283</v>
      </c>
      <c r="CN454" s="54" t="s">
        <v>1284</v>
      </c>
      <c r="CO454" s="18" t="s">
        <v>1284</v>
      </c>
    </row>
    <row r="455" spans="1:93" x14ac:dyDescent="0.25">
      <c r="A455" t="s">
        <v>141</v>
      </c>
      <c r="B455" s="41" t="s">
        <v>22</v>
      </c>
      <c r="C455" s="41">
        <v>0.8</v>
      </c>
      <c r="D455" s="41" t="s">
        <v>22</v>
      </c>
      <c r="E455" s="41" t="s">
        <v>22</v>
      </c>
      <c r="F455" t="s">
        <v>22</v>
      </c>
      <c r="G455" t="s">
        <v>22</v>
      </c>
      <c r="H455" t="s">
        <v>22</v>
      </c>
      <c r="I455" t="s">
        <v>22</v>
      </c>
      <c r="J455" s="41" t="s">
        <v>22</v>
      </c>
      <c r="K455" t="s">
        <v>22</v>
      </c>
      <c r="L455" s="41" t="s">
        <v>22</v>
      </c>
      <c r="M455" t="s">
        <v>23</v>
      </c>
      <c r="N455" s="41">
        <v>386.02150537634401</v>
      </c>
      <c r="O455" s="41">
        <f t="shared" si="254"/>
        <v>0.48252688172043001</v>
      </c>
      <c r="P455" s="41" t="s">
        <v>22</v>
      </c>
      <c r="R455" s="41" t="s">
        <v>22</v>
      </c>
      <c r="S455" s="41" t="s">
        <v>22</v>
      </c>
      <c r="T455" s="41">
        <v>12</v>
      </c>
      <c r="U455" s="41">
        <v>12</v>
      </c>
      <c r="V455">
        <v>20200512</v>
      </c>
      <c r="W455" s="16" t="s">
        <v>502</v>
      </c>
      <c r="X455" s="6">
        <v>2010</v>
      </c>
      <c r="Y455" t="s">
        <v>26</v>
      </c>
      <c r="AC455" t="s">
        <v>269</v>
      </c>
      <c r="AD455" s="41">
        <v>9.8876404494381998</v>
      </c>
      <c r="AE455" s="41" t="s">
        <v>22</v>
      </c>
      <c r="AF455" s="41" t="s">
        <v>22</v>
      </c>
      <c r="AG455" s="41" t="s">
        <v>22</v>
      </c>
      <c r="AH455" s="41" t="s">
        <v>22</v>
      </c>
      <c r="AI455" s="41" t="s">
        <v>22</v>
      </c>
      <c r="AJ455" s="41" t="s">
        <v>22</v>
      </c>
      <c r="AK455" s="41" t="s">
        <v>22</v>
      </c>
      <c r="AL455" s="41" t="s">
        <v>22</v>
      </c>
      <c r="AM455" s="43" t="e">
        <f t="shared" si="234"/>
        <v>#VALUE!</v>
      </c>
      <c r="AN455" s="43" t="e">
        <f t="shared" si="235"/>
        <v>#VALUE!</v>
      </c>
      <c r="AO455" s="10" t="s">
        <v>501</v>
      </c>
      <c r="AT455" s="2">
        <f t="shared" si="236"/>
        <v>9</v>
      </c>
      <c r="AU455" s="45" t="e">
        <f t="shared" si="237"/>
        <v>#VALUE!</v>
      </c>
      <c r="AV455" s="45">
        <f t="shared" si="238"/>
        <v>-9.6910013008056392E-2</v>
      </c>
      <c r="AW455" s="45" t="e">
        <f t="shared" si="239"/>
        <v>#VALUE!</v>
      </c>
      <c r="AX455" s="45">
        <f t="shared" si="240"/>
        <v>2.5866115000243841</v>
      </c>
      <c r="AY455" s="45">
        <f t="shared" si="241"/>
        <v>-0.31647848696755965</v>
      </c>
      <c r="AZ455" s="45" t="e">
        <f t="shared" si="242"/>
        <v>#VALUE!</v>
      </c>
      <c r="BA455" s="45" t="e">
        <f t="shared" si="243"/>
        <v>#VALUE!</v>
      </c>
      <c r="BB455" s="45" t="e">
        <f t="shared" si="244"/>
        <v>#VALUE!</v>
      </c>
      <c r="BC455" s="45">
        <f t="shared" si="245"/>
        <v>1.0791812460476249</v>
      </c>
      <c r="BD455" s="45">
        <f t="shared" si="246"/>
        <v>0.99509266550525577</v>
      </c>
      <c r="BE455" s="45" t="e">
        <f t="shared" si="247"/>
        <v>#VALUE!</v>
      </c>
      <c r="BF455" s="45" t="e">
        <f t="shared" si="248"/>
        <v>#VALUE!</v>
      </c>
      <c r="BG455" s="45" t="e">
        <f t="shared" si="249"/>
        <v>#VALUE!</v>
      </c>
      <c r="BH455" s="45" t="e">
        <f t="shared" si="250"/>
        <v>#NUM!</v>
      </c>
      <c r="BI455" s="43" t="e">
        <f t="shared" si="251"/>
        <v>#VALUE!</v>
      </c>
      <c r="CA455" s="41" t="s">
        <v>22</v>
      </c>
      <c r="CC455" t="s">
        <v>22</v>
      </c>
      <c r="CE455" s="41" t="s">
        <v>22</v>
      </c>
      <c r="CF455" s="41" t="s">
        <v>22</v>
      </c>
      <c r="CG455" s="41">
        <f t="shared" si="255"/>
        <v>9887.6404494382004</v>
      </c>
      <c r="CH455" s="41">
        <f t="shared" si="256"/>
        <v>3.9950926655052559</v>
      </c>
      <c r="CI455" s="41">
        <f t="shared" si="257"/>
        <v>9887.6404494382004</v>
      </c>
      <c r="CJ455" s="41">
        <f t="shared" si="258"/>
        <v>3.9950926655052559</v>
      </c>
      <c r="CL455" s="9" t="s">
        <v>1269</v>
      </c>
      <c r="CM455" s="18" t="s">
        <v>1283</v>
      </c>
      <c r="CN455" s="54" t="s">
        <v>1284</v>
      </c>
      <c r="CO455" s="18" t="s">
        <v>1284</v>
      </c>
    </row>
    <row r="456" spans="1:93" x14ac:dyDescent="0.25">
      <c r="A456" s="18" t="s">
        <v>141</v>
      </c>
      <c r="B456" s="41" t="s">
        <v>22</v>
      </c>
      <c r="C456" s="41">
        <v>0.8</v>
      </c>
      <c r="D456" s="41" t="s">
        <v>22</v>
      </c>
      <c r="E456" s="41" t="s">
        <v>22</v>
      </c>
      <c r="F456" t="s">
        <v>22</v>
      </c>
      <c r="G456" t="s">
        <v>22</v>
      </c>
      <c r="H456" t="s">
        <v>22</v>
      </c>
      <c r="I456" t="s">
        <v>22</v>
      </c>
      <c r="J456" s="41" t="s">
        <v>22</v>
      </c>
      <c r="K456" t="s">
        <v>22</v>
      </c>
      <c r="L456" s="41" t="s">
        <v>22</v>
      </c>
      <c r="M456" t="s">
        <v>23</v>
      </c>
      <c r="N456" s="41">
        <v>380.64516129032199</v>
      </c>
      <c r="O456" s="41">
        <f t="shared" si="254"/>
        <v>0.47580645161290253</v>
      </c>
      <c r="P456" s="41" t="s">
        <v>22</v>
      </c>
      <c r="R456" s="41" t="s">
        <v>22</v>
      </c>
      <c r="S456" s="41" t="s">
        <v>22</v>
      </c>
      <c r="T456" s="41">
        <v>12</v>
      </c>
      <c r="U456" s="41">
        <v>12</v>
      </c>
      <c r="V456">
        <v>20200512</v>
      </c>
      <c r="W456" s="16" t="s">
        <v>502</v>
      </c>
      <c r="X456" s="6">
        <v>2010</v>
      </c>
      <c r="Y456" s="18" t="s">
        <v>26</v>
      </c>
      <c r="Z456" s="18"/>
      <c r="AC456" t="s">
        <v>269</v>
      </c>
      <c r="AD456" s="41">
        <v>15.056179775280899</v>
      </c>
      <c r="AE456" s="41" t="s">
        <v>22</v>
      </c>
      <c r="AF456" s="41" t="s">
        <v>22</v>
      </c>
      <c r="AG456" s="41" t="s">
        <v>22</v>
      </c>
      <c r="AH456" s="41" t="s">
        <v>22</v>
      </c>
      <c r="AI456" s="41" t="s">
        <v>22</v>
      </c>
      <c r="AJ456" s="41" t="s">
        <v>22</v>
      </c>
      <c r="AK456" s="41" t="s">
        <v>22</v>
      </c>
      <c r="AL456" s="41" t="s">
        <v>22</v>
      </c>
      <c r="AM456" s="43" t="e">
        <f t="shared" si="234"/>
        <v>#VALUE!</v>
      </c>
      <c r="AN456" s="43" t="e">
        <f t="shared" si="235"/>
        <v>#VALUE!</v>
      </c>
      <c r="AO456" s="10" t="s">
        <v>501</v>
      </c>
      <c r="AT456" s="2">
        <f t="shared" si="236"/>
        <v>9</v>
      </c>
      <c r="AU456" s="45" t="e">
        <f t="shared" si="237"/>
        <v>#VALUE!</v>
      </c>
      <c r="AV456" s="45">
        <f t="shared" si="238"/>
        <v>-9.6910013008056392E-2</v>
      </c>
      <c r="AW456" s="45" t="e">
        <f t="shared" si="239"/>
        <v>#VALUE!</v>
      </c>
      <c r="AX456" s="45">
        <f t="shared" si="240"/>
        <v>2.580520313471852</v>
      </c>
      <c r="AY456" s="45">
        <f t="shared" si="241"/>
        <v>-0.32256967352009153</v>
      </c>
      <c r="AZ456" s="45" t="e">
        <f t="shared" si="242"/>
        <v>#VALUE!</v>
      </c>
      <c r="BA456" s="45" t="e">
        <f t="shared" si="243"/>
        <v>#VALUE!</v>
      </c>
      <c r="BB456" s="45" t="e">
        <f t="shared" si="244"/>
        <v>#VALUE!</v>
      </c>
      <c r="BC456" s="45">
        <f t="shared" si="245"/>
        <v>1.0791812460476249</v>
      </c>
      <c r="BD456" s="45">
        <f t="shared" si="246"/>
        <v>1.1777147917198949</v>
      </c>
      <c r="BE456" s="45" t="e">
        <f t="shared" si="247"/>
        <v>#VALUE!</v>
      </c>
      <c r="BF456" s="45" t="e">
        <f t="shared" si="248"/>
        <v>#VALUE!</v>
      </c>
      <c r="BG456" s="45" t="e">
        <f t="shared" si="249"/>
        <v>#VALUE!</v>
      </c>
      <c r="BH456" s="45" t="e">
        <f t="shared" si="250"/>
        <v>#NUM!</v>
      </c>
      <c r="BI456" s="43" t="e">
        <f t="shared" si="251"/>
        <v>#VALUE!</v>
      </c>
      <c r="CA456" s="41" t="s">
        <v>22</v>
      </c>
      <c r="CC456" t="s">
        <v>22</v>
      </c>
      <c r="CE456" s="41" t="s">
        <v>22</v>
      </c>
      <c r="CF456" s="41" t="s">
        <v>22</v>
      </c>
      <c r="CG456" s="41">
        <f t="shared" si="255"/>
        <v>15056.1797752809</v>
      </c>
      <c r="CH456" s="41">
        <f t="shared" si="256"/>
        <v>4.1777147917198949</v>
      </c>
      <c r="CI456" s="41">
        <f t="shared" si="257"/>
        <v>15056.1797752809</v>
      </c>
      <c r="CJ456" s="41">
        <f t="shared" si="258"/>
        <v>4.1777147917198949</v>
      </c>
      <c r="CL456" s="9" t="s">
        <v>1269</v>
      </c>
      <c r="CM456" s="18" t="s">
        <v>1283</v>
      </c>
      <c r="CN456" s="54" t="s">
        <v>1284</v>
      </c>
      <c r="CO456" s="18" t="s">
        <v>1284</v>
      </c>
    </row>
    <row r="457" spans="1:93" x14ac:dyDescent="0.25">
      <c r="A457" t="s">
        <v>141</v>
      </c>
      <c r="B457" s="41" t="s">
        <v>22</v>
      </c>
      <c r="C457" s="41">
        <v>0.8</v>
      </c>
      <c r="D457" s="41" t="s">
        <v>22</v>
      </c>
      <c r="E457" s="41" t="s">
        <v>22</v>
      </c>
      <c r="F457" t="s">
        <v>22</v>
      </c>
      <c r="G457" t="s">
        <v>22</v>
      </c>
      <c r="H457" t="s">
        <v>22</v>
      </c>
      <c r="I457" t="s">
        <v>22</v>
      </c>
      <c r="J457" s="41" t="s">
        <v>22</v>
      </c>
      <c r="K457" t="s">
        <v>22</v>
      </c>
      <c r="L457" s="41" t="s">
        <v>22</v>
      </c>
      <c r="M457" t="s">
        <v>23</v>
      </c>
      <c r="N457" s="41">
        <v>349.46236559139697</v>
      </c>
      <c r="O457" s="41">
        <f t="shared" si="254"/>
        <v>0.43682795698924626</v>
      </c>
      <c r="P457" s="41" t="s">
        <v>22</v>
      </c>
      <c r="R457" s="41" t="s">
        <v>22</v>
      </c>
      <c r="S457" s="41" t="s">
        <v>22</v>
      </c>
      <c r="T457" s="41">
        <v>12</v>
      </c>
      <c r="U457" s="41">
        <v>12</v>
      </c>
      <c r="V457">
        <v>20200512</v>
      </c>
      <c r="W457" s="16" t="s">
        <v>502</v>
      </c>
      <c r="X457" s="6">
        <v>2010</v>
      </c>
      <c r="Y457" t="s">
        <v>26</v>
      </c>
      <c r="AC457" t="s">
        <v>269</v>
      </c>
      <c r="AD457" s="41">
        <v>24.943820224719101</v>
      </c>
      <c r="AE457" s="41" t="s">
        <v>22</v>
      </c>
      <c r="AF457" s="41" t="s">
        <v>22</v>
      </c>
      <c r="AG457" s="41" t="s">
        <v>22</v>
      </c>
      <c r="AH457" s="41" t="s">
        <v>22</v>
      </c>
      <c r="AI457" s="41" t="s">
        <v>22</v>
      </c>
      <c r="AJ457" s="41" t="s">
        <v>22</v>
      </c>
      <c r="AK457" s="41" t="s">
        <v>22</v>
      </c>
      <c r="AL457" s="41" t="s">
        <v>22</v>
      </c>
      <c r="AM457" s="43" t="e">
        <f t="shared" si="234"/>
        <v>#VALUE!</v>
      </c>
      <c r="AN457" s="43" t="e">
        <f t="shared" si="235"/>
        <v>#VALUE!</v>
      </c>
      <c r="AO457" s="10" t="s">
        <v>501</v>
      </c>
      <c r="AT457" s="2">
        <f t="shared" si="236"/>
        <v>9</v>
      </c>
      <c r="AU457" s="45" t="e">
        <f t="shared" si="237"/>
        <v>#VALUE!</v>
      </c>
      <c r="AV457" s="45">
        <f t="shared" si="238"/>
        <v>-9.6910013008056392E-2</v>
      </c>
      <c r="AW457" s="45" t="e">
        <f t="shared" si="239"/>
        <v>#VALUE!</v>
      </c>
      <c r="AX457" s="45">
        <f t="shared" si="240"/>
        <v>2.5434004124249383</v>
      </c>
      <c r="AY457" s="45">
        <f t="shared" si="241"/>
        <v>-0.3596895745670054</v>
      </c>
      <c r="AZ457" s="45" t="e">
        <f t="shared" si="242"/>
        <v>#VALUE!</v>
      </c>
      <c r="BA457" s="45" t="e">
        <f t="shared" si="243"/>
        <v>#VALUE!</v>
      </c>
      <c r="BB457" s="45" t="e">
        <f t="shared" si="244"/>
        <v>#VALUE!</v>
      </c>
      <c r="BC457" s="45">
        <f t="shared" si="245"/>
        <v>1.0791812460476249</v>
      </c>
      <c r="BD457" s="45">
        <f t="shared" si="246"/>
        <v>1.3969629678057258</v>
      </c>
      <c r="BE457" s="45" t="e">
        <f t="shared" si="247"/>
        <v>#VALUE!</v>
      </c>
      <c r="BF457" s="45" t="e">
        <f t="shared" si="248"/>
        <v>#VALUE!</v>
      </c>
      <c r="BG457" s="45" t="e">
        <f t="shared" si="249"/>
        <v>#VALUE!</v>
      </c>
      <c r="BH457" s="45" t="e">
        <f t="shared" si="250"/>
        <v>#NUM!</v>
      </c>
      <c r="BI457" s="43" t="e">
        <f t="shared" si="251"/>
        <v>#VALUE!</v>
      </c>
      <c r="CA457" s="41" t="s">
        <v>22</v>
      </c>
      <c r="CC457" t="s">
        <v>22</v>
      </c>
      <c r="CE457" s="41" t="s">
        <v>22</v>
      </c>
      <c r="CF457" s="41" t="s">
        <v>22</v>
      </c>
      <c r="CG457" s="41">
        <f t="shared" si="255"/>
        <v>24943.8202247191</v>
      </c>
      <c r="CH457" s="41">
        <f t="shared" si="256"/>
        <v>4.3969629678057256</v>
      </c>
      <c r="CI457" s="41">
        <f t="shared" si="257"/>
        <v>24943.8202247191</v>
      </c>
      <c r="CJ457" s="41">
        <f t="shared" si="258"/>
        <v>4.3969629678057256</v>
      </c>
      <c r="CL457" s="9" t="s">
        <v>1269</v>
      </c>
      <c r="CM457" s="18" t="s">
        <v>1283</v>
      </c>
      <c r="CN457" s="54" t="s">
        <v>1284</v>
      </c>
      <c r="CO457" s="18" t="s">
        <v>1284</v>
      </c>
    </row>
    <row r="458" spans="1:93" x14ac:dyDescent="0.25">
      <c r="A458" t="s">
        <v>141</v>
      </c>
      <c r="B458" s="41" t="s">
        <v>22</v>
      </c>
      <c r="C458" s="41">
        <v>0.8</v>
      </c>
      <c r="D458" s="41" t="s">
        <v>22</v>
      </c>
      <c r="E458" s="41" t="s">
        <v>22</v>
      </c>
      <c r="F458" t="s">
        <v>22</v>
      </c>
      <c r="G458" t="s">
        <v>22</v>
      </c>
      <c r="H458" t="s">
        <v>22</v>
      </c>
      <c r="I458" t="s">
        <v>22</v>
      </c>
      <c r="J458" s="41" t="s">
        <v>22</v>
      </c>
      <c r="K458" t="s">
        <v>22</v>
      </c>
      <c r="L458" s="41" t="s">
        <v>22</v>
      </c>
      <c r="M458" t="s">
        <v>23</v>
      </c>
      <c r="N458" s="41">
        <v>249.462365591397</v>
      </c>
      <c r="O458" s="41">
        <f t="shared" si="254"/>
        <v>0.31182795698924626</v>
      </c>
      <c r="P458" s="41" t="s">
        <v>22</v>
      </c>
      <c r="R458" s="41" t="s">
        <v>22</v>
      </c>
      <c r="S458" s="41" t="s">
        <v>22</v>
      </c>
      <c r="T458" s="41">
        <v>12</v>
      </c>
      <c r="U458" s="41">
        <v>12</v>
      </c>
      <c r="V458">
        <v>20200512</v>
      </c>
      <c r="W458" s="16" t="s">
        <v>502</v>
      </c>
      <c r="X458" s="6">
        <v>2010</v>
      </c>
      <c r="Y458" t="s">
        <v>26</v>
      </c>
      <c r="AC458" t="s">
        <v>269</v>
      </c>
      <c r="AD458" s="41">
        <v>39.887640449438202</v>
      </c>
      <c r="AE458" s="41" t="s">
        <v>22</v>
      </c>
      <c r="AF458" s="41" t="s">
        <v>22</v>
      </c>
      <c r="AG458" s="41" t="s">
        <v>22</v>
      </c>
      <c r="AH458" s="41" t="s">
        <v>22</v>
      </c>
      <c r="AI458" s="41" t="s">
        <v>22</v>
      </c>
      <c r="AJ458" s="41" t="s">
        <v>22</v>
      </c>
      <c r="AK458" s="41" t="s">
        <v>22</v>
      </c>
      <c r="AL458" s="41" t="s">
        <v>22</v>
      </c>
      <c r="AM458" s="43" t="e">
        <f t="shared" si="234"/>
        <v>#VALUE!</v>
      </c>
      <c r="AN458" s="43" t="e">
        <f t="shared" si="235"/>
        <v>#VALUE!</v>
      </c>
      <c r="AO458" s="10" t="s">
        <v>501</v>
      </c>
      <c r="AT458" s="2">
        <f t="shared" si="236"/>
        <v>9</v>
      </c>
      <c r="AU458" s="45" t="e">
        <f t="shared" si="237"/>
        <v>#VALUE!</v>
      </c>
      <c r="AV458" s="45">
        <f t="shared" si="238"/>
        <v>-9.6910013008056392E-2</v>
      </c>
      <c r="AW458" s="45" t="e">
        <f t="shared" si="239"/>
        <v>#VALUE!</v>
      </c>
      <c r="AX458" s="45">
        <f t="shared" si="240"/>
        <v>2.3970050363369633</v>
      </c>
      <c r="AY458" s="45">
        <f t="shared" si="241"/>
        <v>-0.50608495065498049</v>
      </c>
      <c r="AZ458" s="45" t="e">
        <f t="shared" si="242"/>
        <v>#VALUE!</v>
      </c>
      <c r="BA458" s="45" t="e">
        <f t="shared" si="243"/>
        <v>#VALUE!</v>
      </c>
      <c r="BB458" s="45" t="e">
        <f t="shared" si="244"/>
        <v>#VALUE!</v>
      </c>
      <c r="BC458" s="45">
        <f t="shared" si="245"/>
        <v>1.0791812460476249</v>
      </c>
      <c r="BD458" s="45">
        <f t="shared" si="246"/>
        <v>1.6008383464101812</v>
      </c>
      <c r="BE458" s="45" t="e">
        <f t="shared" si="247"/>
        <v>#VALUE!</v>
      </c>
      <c r="BF458" s="45" t="e">
        <f t="shared" si="248"/>
        <v>#VALUE!</v>
      </c>
      <c r="BG458" s="45" t="e">
        <f t="shared" si="249"/>
        <v>#VALUE!</v>
      </c>
      <c r="BH458" s="45" t="e">
        <f t="shared" si="250"/>
        <v>#NUM!</v>
      </c>
      <c r="BI458" s="43" t="e">
        <f t="shared" si="251"/>
        <v>#VALUE!</v>
      </c>
      <c r="CA458" s="41" t="s">
        <v>22</v>
      </c>
      <c r="CC458" t="s">
        <v>22</v>
      </c>
      <c r="CE458" s="41" t="s">
        <v>22</v>
      </c>
      <c r="CF458" s="41" t="s">
        <v>22</v>
      </c>
      <c r="CG458" s="41">
        <f t="shared" si="255"/>
        <v>39887.6404494382</v>
      </c>
      <c r="CH458" s="41">
        <f t="shared" si="256"/>
        <v>4.600838346410181</v>
      </c>
      <c r="CI458" s="41">
        <f t="shared" si="257"/>
        <v>39887.6404494382</v>
      </c>
      <c r="CJ458" s="41">
        <f t="shared" si="258"/>
        <v>4.600838346410181</v>
      </c>
      <c r="CL458" s="9" t="s">
        <v>1269</v>
      </c>
      <c r="CM458" s="18" t="s">
        <v>1283</v>
      </c>
      <c r="CN458" s="54" t="s">
        <v>1284</v>
      </c>
      <c r="CO458" s="18" t="s">
        <v>1284</v>
      </c>
    </row>
    <row r="459" spans="1:93" x14ac:dyDescent="0.25">
      <c r="A459" s="18" t="s">
        <v>141</v>
      </c>
      <c r="B459" s="41" t="s">
        <v>22</v>
      </c>
      <c r="C459" s="41">
        <v>0.8</v>
      </c>
      <c r="D459" s="41" t="s">
        <v>22</v>
      </c>
      <c r="E459" s="41" t="s">
        <v>22</v>
      </c>
      <c r="F459" t="s">
        <v>22</v>
      </c>
      <c r="G459" t="s">
        <v>22</v>
      </c>
      <c r="H459" t="s">
        <v>22</v>
      </c>
      <c r="I459" t="s">
        <v>22</v>
      </c>
      <c r="J459" s="41" t="s">
        <v>22</v>
      </c>
      <c r="K459" t="s">
        <v>22</v>
      </c>
      <c r="L459" s="41" t="s">
        <v>22</v>
      </c>
      <c r="M459" t="s">
        <v>23</v>
      </c>
      <c r="N459" s="41">
        <v>169.89247311827901</v>
      </c>
      <c r="O459" s="41">
        <f t="shared" si="254"/>
        <v>0.21236559139784877</v>
      </c>
      <c r="P459" s="41" t="s">
        <v>22</v>
      </c>
      <c r="R459" s="41" t="s">
        <v>22</v>
      </c>
      <c r="S459" s="41" t="s">
        <v>22</v>
      </c>
      <c r="T459" s="41">
        <v>12</v>
      </c>
      <c r="U459" s="41">
        <v>12</v>
      </c>
      <c r="V459">
        <v>20200512</v>
      </c>
      <c r="W459" s="16" t="s">
        <v>502</v>
      </c>
      <c r="X459" s="6">
        <v>2010</v>
      </c>
      <c r="Y459" s="18" t="s">
        <v>26</v>
      </c>
      <c r="Z459" s="18"/>
      <c r="AC459" t="s">
        <v>269</v>
      </c>
      <c r="AD459" s="41">
        <v>62.022471910112301</v>
      </c>
      <c r="AE459" s="41" t="s">
        <v>22</v>
      </c>
      <c r="AF459" s="41" t="s">
        <v>22</v>
      </c>
      <c r="AG459" s="41" t="s">
        <v>22</v>
      </c>
      <c r="AH459" s="41" t="s">
        <v>22</v>
      </c>
      <c r="AI459" s="41" t="s">
        <v>22</v>
      </c>
      <c r="AJ459" s="41" t="s">
        <v>22</v>
      </c>
      <c r="AK459" s="41" t="s">
        <v>22</v>
      </c>
      <c r="AL459" s="41" t="s">
        <v>22</v>
      </c>
      <c r="AM459" s="43" t="e">
        <f t="shared" si="234"/>
        <v>#VALUE!</v>
      </c>
      <c r="AN459" s="43" t="e">
        <f t="shared" si="235"/>
        <v>#VALUE!</v>
      </c>
      <c r="AO459" s="10" t="s">
        <v>501</v>
      </c>
      <c r="AT459" s="2">
        <f t="shared" si="236"/>
        <v>9</v>
      </c>
      <c r="AU459" s="45" t="e">
        <f t="shared" si="237"/>
        <v>#VALUE!</v>
      </c>
      <c r="AV459" s="45">
        <f t="shared" si="238"/>
        <v>-9.6910013008056392E-2</v>
      </c>
      <c r="AW459" s="45" t="e">
        <f t="shared" si="239"/>
        <v>#VALUE!</v>
      </c>
      <c r="AX459" s="45">
        <f t="shared" si="240"/>
        <v>2.2301741384004861</v>
      </c>
      <c r="AY459" s="45">
        <f t="shared" si="241"/>
        <v>-0.67291584859145748</v>
      </c>
      <c r="AZ459" s="45" t="e">
        <f t="shared" si="242"/>
        <v>#VALUE!</v>
      </c>
      <c r="BA459" s="45" t="e">
        <f t="shared" si="243"/>
        <v>#VALUE!</v>
      </c>
      <c r="BB459" s="45" t="e">
        <f t="shared" si="244"/>
        <v>#VALUE!</v>
      </c>
      <c r="BC459" s="45">
        <f t="shared" si="245"/>
        <v>1.0791812460476249</v>
      </c>
      <c r="BD459" s="45">
        <f t="shared" si="246"/>
        <v>1.7925490710842857</v>
      </c>
      <c r="BE459" s="45" t="e">
        <f t="shared" si="247"/>
        <v>#VALUE!</v>
      </c>
      <c r="BF459" s="45" t="e">
        <f t="shared" si="248"/>
        <v>#VALUE!</v>
      </c>
      <c r="BG459" s="45" t="e">
        <f t="shared" si="249"/>
        <v>#VALUE!</v>
      </c>
      <c r="BH459" s="45" t="e">
        <f t="shared" si="250"/>
        <v>#NUM!</v>
      </c>
      <c r="BI459" s="43" t="e">
        <f t="shared" si="251"/>
        <v>#VALUE!</v>
      </c>
      <c r="CA459" s="41" t="s">
        <v>22</v>
      </c>
      <c r="CC459" t="s">
        <v>22</v>
      </c>
      <c r="CE459" s="41" t="s">
        <v>22</v>
      </c>
      <c r="CF459" s="41" t="s">
        <v>22</v>
      </c>
      <c r="CG459" s="41">
        <f t="shared" si="255"/>
        <v>62022.471910112305</v>
      </c>
      <c r="CH459" s="41">
        <f t="shared" si="256"/>
        <v>4.7925490710842853</v>
      </c>
      <c r="CI459" s="41">
        <f t="shared" si="257"/>
        <v>62022.471910112305</v>
      </c>
      <c r="CJ459" s="41">
        <f t="shared" si="258"/>
        <v>4.7925490710842853</v>
      </c>
      <c r="CL459" s="9" t="s">
        <v>1269</v>
      </c>
      <c r="CM459" s="18" t="s">
        <v>1283</v>
      </c>
      <c r="CN459" s="54" t="s">
        <v>1284</v>
      </c>
      <c r="CO459" s="18" t="s">
        <v>1284</v>
      </c>
    </row>
    <row r="460" spans="1:93" s="9" customFormat="1" x14ac:dyDescent="0.25">
      <c r="A460" s="9" t="s">
        <v>342</v>
      </c>
      <c r="B460" s="50">
        <v>9.442446043165547E-4</v>
      </c>
      <c r="C460" s="50">
        <v>0.39230769230769202</v>
      </c>
      <c r="D460" s="50">
        <v>2.4068980110029843E-3</v>
      </c>
      <c r="E460" s="50" t="s">
        <v>22</v>
      </c>
      <c r="F460" s="9" t="s">
        <v>22</v>
      </c>
      <c r="G460" s="9" t="s">
        <v>22</v>
      </c>
      <c r="H460" s="9" t="s">
        <v>22</v>
      </c>
      <c r="I460" s="9" t="s">
        <v>22</v>
      </c>
      <c r="J460" s="50"/>
      <c r="K460" s="9" t="s">
        <v>22</v>
      </c>
      <c r="L460" s="50" t="e">
        <f t="shared" ref="L460:L481" si="259">IF((10^-12)*J460*K460^4=0,"",(10^-12)*J460*K460^4)</f>
        <v>#VALUE!</v>
      </c>
      <c r="M460" s="9" t="s">
        <v>23</v>
      </c>
      <c r="N460" s="50" t="s">
        <v>22</v>
      </c>
      <c r="O460" s="50" t="s">
        <v>22</v>
      </c>
      <c r="P460" s="50" t="s">
        <v>22</v>
      </c>
      <c r="Q460" s="50"/>
      <c r="R460" s="50" t="s">
        <v>22</v>
      </c>
      <c r="S460" s="50" t="s">
        <v>22</v>
      </c>
      <c r="T460" s="50">
        <v>30</v>
      </c>
      <c r="U460" s="50">
        <v>30</v>
      </c>
      <c r="V460" s="9">
        <v>20200717</v>
      </c>
      <c r="W460" s="21"/>
      <c r="X460" s="21">
        <v>2010</v>
      </c>
      <c r="Y460" s="9" t="s">
        <v>22</v>
      </c>
      <c r="Z460" s="9" t="s">
        <v>32</v>
      </c>
      <c r="AB460" s="50"/>
      <c r="AC460" s="9" t="s">
        <v>514</v>
      </c>
      <c r="AD460" s="50" t="s">
        <v>22</v>
      </c>
      <c r="AE460" s="50" t="s">
        <v>22</v>
      </c>
      <c r="AF460" s="50"/>
      <c r="AG460" s="50" t="s">
        <v>22</v>
      </c>
      <c r="AH460" s="50">
        <v>0.107294951664876</v>
      </c>
      <c r="AI460" s="50" t="s">
        <v>22</v>
      </c>
      <c r="AJ460" s="50">
        <v>0.107294951664876</v>
      </c>
      <c r="AK460" s="50">
        <v>0.103580880773361</v>
      </c>
      <c r="AL460" s="50">
        <v>8.5716219119226597E-2</v>
      </c>
      <c r="AM460" s="43" t="e">
        <f t="shared" si="234"/>
        <v>#VALUE!</v>
      </c>
      <c r="AN460" s="43">
        <f t="shared" si="235"/>
        <v>0.79888399024542922</v>
      </c>
      <c r="AO460" s="9" t="s">
        <v>1085</v>
      </c>
      <c r="AT460" s="2">
        <f t="shared" si="236"/>
        <v>6</v>
      </c>
      <c r="AU460" s="45">
        <f t="shared" si="237"/>
        <v>-3.0249154881760969</v>
      </c>
      <c r="AV460" s="45">
        <f t="shared" si="238"/>
        <v>-0.40637317620890073</v>
      </c>
      <c r="AW460" s="45">
        <f t="shared" si="239"/>
        <v>-2.6185423119671962</v>
      </c>
      <c r="AX460" s="45" t="e">
        <f t="shared" si="240"/>
        <v>#VALUE!</v>
      </c>
      <c r="AY460" s="45" t="e">
        <f t="shared" si="241"/>
        <v>#VALUE!</v>
      </c>
      <c r="AZ460" s="45" t="e">
        <f t="shared" si="242"/>
        <v>#VALUE!</v>
      </c>
      <c r="BA460" s="45" t="e">
        <f t="shared" si="243"/>
        <v>#NUM!</v>
      </c>
      <c r="BB460" s="45" t="e">
        <f t="shared" si="244"/>
        <v>#VALUE!</v>
      </c>
      <c r="BC460" s="45">
        <f t="shared" si="245"/>
        <v>1.4771212547196624</v>
      </c>
      <c r="BD460" s="45" t="e">
        <f t="shared" si="246"/>
        <v>#VALUE!</v>
      </c>
      <c r="BE460" s="45" t="e">
        <f t="shared" si="247"/>
        <v>#NUM!</v>
      </c>
      <c r="BF460" s="45" t="e">
        <f t="shared" si="248"/>
        <v>#VALUE!</v>
      </c>
      <c r="BG460" s="45">
        <f t="shared" si="249"/>
        <v>-9.7516282080519268E-2</v>
      </c>
      <c r="BH460" s="45" t="e">
        <f t="shared" si="250"/>
        <v>#NUM!</v>
      </c>
      <c r="BI460" s="43" t="e">
        <f t="shared" si="251"/>
        <v>#NUM!</v>
      </c>
      <c r="BL460" s="20"/>
      <c r="BM460" s="50"/>
      <c r="BN460" s="50"/>
      <c r="BO460" s="50"/>
      <c r="BP460" s="50"/>
      <c r="BQ460" s="50"/>
      <c r="BR460" s="50"/>
      <c r="BU460" s="50"/>
      <c r="BV460" s="50"/>
      <c r="BW460" s="50"/>
      <c r="BX460" s="50"/>
      <c r="BY460" s="50"/>
      <c r="BZ460" s="50"/>
      <c r="CA460" s="50" t="s">
        <v>22</v>
      </c>
      <c r="CE460" s="50"/>
      <c r="CF460" s="50"/>
      <c r="CG460" s="50"/>
      <c r="CH460" s="50"/>
      <c r="CI460" s="50">
        <f t="shared" si="257"/>
        <v>30</v>
      </c>
      <c r="CJ460" s="50">
        <f t="shared" si="258"/>
        <v>1.4771212547196624</v>
      </c>
      <c r="CL460" s="9" t="s">
        <v>1269</v>
      </c>
      <c r="CM460" s="9" t="s">
        <v>1285</v>
      </c>
      <c r="CN460" s="55" t="s">
        <v>1284</v>
      </c>
      <c r="CO460" s="9" t="s">
        <v>1284</v>
      </c>
    </row>
    <row r="461" spans="1:93" s="9" customFormat="1" x14ac:dyDescent="0.25">
      <c r="A461" s="9" t="s">
        <v>342</v>
      </c>
      <c r="B461" s="50">
        <v>1.7857142857142854E-3</v>
      </c>
      <c r="C461" s="50">
        <v>0.56538461538461504</v>
      </c>
      <c r="D461" s="50">
        <v>3.1584062196307111E-3</v>
      </c>
      <c r="E461" s="50" t="s">
        <v>22</v>
      </c>
      <c r="F461" s="9" t="s">
        <v>22</v>
      </c>
      <c r="G461" s="9" t="s">
        <v>22</v>
      </c>
      <c r="H461" s="9" t="s">
        <v>22</v>
      </c>
      <c r="I461" s="9" t="s">
        <v>22</v>
      </c>
      <c r="J461" s="50"/>
      <c r="K461" s="9" t="s">
        <v>22</v>
      </c>
      <c r="L461" s="50" t="e">
        <f t="shared" si="259"/>
        <v>#VALUE!</v>
      </c>
      <c r="M461" s="9" t="s">
        <v>23</v>
      </c>
      <c r="N461" s="50" t="s">
        <v>22</v>
      </c>
      <c r="O461" s="50" t="s">
        <v>22</v>
      </c>
      <c r="P461" s="50" t="s">
        <v>22</v>
      </c>
      <c r="Q461" s="50"/>
      <c r="R461" s="50" t="s">
        <v>22</v>
      </c>
      <c r="S461" s="50" t="s">
        <v>22</v>
      </c>
      <c r="T461" s="50">
        <v>30</v>
      </c>
      <c r="U461" s="50">
        <v>30</v>
      </c>
      <c r="V461" s="9">
        <v>20200717</v>
      </c>
      <c r="W461" s="21"/>
      <c r="X461" s="21">
        <v>2010</v>
      </c>
      <c r="Y461" s="9" t="s">
        <v>22</v>
      </c>
      <c r="Z461" s="9" t="s">
        <v>1084</v>
      </c>
      <c r="AB461" s="50"/>
      <c r="AC461" s="9" t="s">
        <v>514</v>
      </c>
      <c r="AD461" s="50" t="s">
        <v>22</v>
      </c>
      <c r="AE461" s="50" t="s">
        <v>22</v>
      </c>
      <c r="AF461" s="50">
        <v>1.8333333333333199</v>
      </c>
      <c r="AG461" s="50" t="s">
        <v>22</v>
      </c>
      <c r="AH461" s="50">
        <v>7.1296240601503705E-2</v>
      </c>
      <c r="AI461" s="50" t="s">
        <v>22</v>
      </c>
      <c r="AJ461" s="50">
        <v>7.1296240601503705E-2</v>
      </c>
      <c r="AK461" s="50">
        <v>6.8952953813104095E-2</v>
      </c>
      <c r="AL461" s="50">
        <v>5.6746079484425303E-2</v>
      </c>
      <c r="AM461" s="43" t="e">
        <f t="shared" si="234"/>
        <v>#VALUE!</v>
      </c>
      <c r="AN461" s="43">
        <f t="shared" si="235"/>
        <v>0.79591965867592285</v>
      </c>
      <c r="AO461" s="9" t="s">
        <v>1085</v>
      </c>
      <c r="AT461" s="2">
        <f t="shared" si="236"/>
        <v>6</v>
      </c>
      <c r="AU461" s="45">
        <f t="shared" si="237"/>
        <v>-2.7481880270062007</v>
      </c>
      <c r="AV461" s="45">
        <f t="shared" si="238"/>
        <v>-0.24765601322264214</v>
      </c>
      <c r="AW461" s="45">
        <f t="shared" si="239"/>
        <v>-2.5005320137835585</v>
      </c>
      <c r="AX461" s="45" t="e">
        <f t="shared" si="240"/>
        <v>#VALUE!</v>
      </c>
      <c r="AY461" s="45" t="e">
        <f t="shared" si="241"/>
        <v>#VALUE!</v>
      </c>
      <c r="AZ461" s="45" t="e">
        <f t="shared" si="242"/>
        <v>#VALUE!</v>
      </c>
      <c r="BA461" s="45" t="e">
        <f t="shared" si="243"/>
        <v>#NUM!</v>
      </c>
      <c r="BB461" s="45" t="e">
        <f t="shared" si="244"/>
        <v>#VALUE!</v>
      </c>
      <c r="BC461" s="45">
        <f t="shared" si="245"/>
        <v>1.4771212547196624</v>
      </c>
      <c r="BD461" s="45" t="e">
        <f t="shared" si="246"/>
        <v>#VALUE!</v>
      </c>
      <c r="BE461" s="45">
        <f t="shared" si="247"/>
        <v>0.26324143477457823</v>
      </c>
      <c r="BF461" s="45" t="e">
        <f t="shared" si="248"/>
        <v>#VALUE!</v>
      </c>
      <c r="BG461" s="45">
        <f t="shared" si="249"/>
        <v>-9.9130768386289814E-2</v>
      </c>
      <c r="BH461" s="45" t="e">
        <f t="shared" si="250"/>
        <v>#NUM!</v>
      </c>
      <c r="BI461" s="43">
        <f t="shared" si="251"/>
        <v>0.26324143477457823</v>
      </c>
      <c r="BL461" s="20"/>
      <c r="BM461" s="50"/>
      <c r="BN461" s="50"/>
      <c r="BO461" s="50"/>
      <c r="BP461" s="50"/>
      <c r="BQ461" s="50"/>
      <c r="BR461" s="50"/>
      <c r="BU461" s="50"/>
      <c r="BV461" s="50"/>
      <c r="BW461" s="50"/>
      <c r="BX461" s="50"/>
      <c r="BY461" s="50"/>
      <c r="BZ461" s="50"/>
      <c r="CA461" s="50" t="s">
        <v>22</v>
      </c>
      <c r="CE461" s="50"/>
      <c r="CF461" s="50"/>
      <c r="CG461" s="50"/>
      <c r="CH461" s="50"/>
      <c r="CI461" s="50">
        <f t="shared" ref="CI461:CI465" si="260">IF(ISNUMBER(CG461),CG461,U461)</f>
        <v>30</v>
      </c>
      <c r="CJ461" s="50">
        <f t="shared" ref="CJ461:CJ465" si="261">LOG10(CI461)</f>
        <v>1.4771212547196624</v>
      </c>
      <c r="CL461" s="9" t="s">
        <v>1269</v>
      </c>
      <c r="CM461" s="9" t="s">
        <v>1285</v>
      </c>
      <c r="CN461" s="55" t="s">
        <v>1284</v>
      </c>
      <c r="CO461" s="9" t="s">
        <v>1284</v>
      </c>
    </row>
    <row r="462" spans="1:93" s="9" customFormat="1" x14ac:dyDescent="0.25">
      <c r="A462" s="9" t="s">
        <v>342</v>
      </c>
      <c r="B462" s="50">
        <v>3.7500000000000094E-3</v>
      </c>
      <c r="C462" s="50">
        <v>0.83846153846153804</v>
      </c>
      <c r="D462" s="50">
        <v>4.4724770642201976E-3</v>
      </c>
      <c r="E462" s="50" t="s">
        <v>22</v>
      </c>
      <c r="F462" s="9" t="s">
        <v>22</v>
      </c>
      <c r="G462" s="9" t="s">
        <v>22</v>
      </c>
      <c r="H462" s="9" t="s">
        <v>22</v>
      </c>
      <c r="I462" s="9" t="s">
        <v>22</v>
      </c>
      <c r="J462" s="50"/>
      <c r="K462" s="9" t="s">
        <v>22</v>
      </c>
      <c r="L462" s="50" t="e">
        <f t="shared" si="259"/>
        <v>#VALUE!</v>
      </c>
      <c r="M462" s="9" t="s">
        <v>23</v>
      </c>
      <c r="N462" s="50" t="s">
        <v>22</v>
      </c>
      <c r="O462" s="50" t="s">
        <v>22</v>
      </c>
      <c r="P462" s="50" t="s">
        <v>22</v>
      </c>
      <c r="Q462" s="50"/>
      <c r="R462" s="50" t="s">
        <v>22</v>
      </c>
      <c r="S462" s="50" t="s">
        <v>22</v>
      </c>
      <c r="T462" s="50">
        <v>30</v>
      </c>
      <c r="U462" s="50">
        <v>30</v>
      </c>
      <c r="V462" s="9">
        <v>20200717</v>
      </c>
      <c r="W462" s="21"/>
      <c r="X462" s="21">
        <v>2010</v>
      </c>
      <c r="Y462" s="9" t="s">
        <v>22</v>
      </c>
      <c r="Z462" s="9" t="s">
        <v>1084</v>
      </c>
      <c r="AB462" s="50"/>
      <c r="AC462" s="9" t="s">
        <v>514</v>
      </c>
      <c r="AD462" s="50" t="s">
        <v>22</v>
      </c>
      <c r="AE462" s="50" t="s">
        <v>22</v>
      </c>
      <c r="AF462" s="50"/>
      <c r="AG462" s="50" t="s">
        <v>22</v>
      </c>
      <c r="AH462" s="50">
        <v>3.7181954887217997E-2</v>
      </c>
      <c r="AI462" s="50" t="s">
        <v>22</v>
      </c>
      <c r="AJ462" s="50">
        <v>3.7181954887217997E-2</v>
      </c>
      <c r="AK462" s="50">
        <v>3.2438668098818402E-2</v>
      </c>
      <c r="AL462" s="50">
        <v>2.65765843179376E-2</v>
      </c>
      <c r="AM462" s="43" t="e">
        <f t="shared" si="234"/>
        <v>#VALUE!</v>
      </c>
      <c r="AN462" s="43">
        <f t="shared" si="235"/>
        <v>0.71477103338301895</v>
      </c>
      <c r="AO462" s="9" t="s">
        <v>1085</v>
      </c>
      <c r="AT462" s="2">
        <f t="shared" si="236"/>
        <v>6</v>
      </c>
      <c r="AU462" s="45">
        <f t="shared" si="237"/>
        <v>-2.4259687322722803</v>
      </c>
      <c r="AV462" s="45">
        <f t="shared" si="238"/>
        <v>-7.651685436621336E-2</v>
      </c>
      <c r="AW462" s="45">
        <f t="shared" si="239"/>
        <v>-2.3494518779060667</v>
      </c>
      <c r="AX462" s="45" t="e">
        <f t="shared" si="240"/>
        <v>#VALUE!</v>
      </c>
      <c r="AY462" s="45" t="e">
        <f t="shared" si="241"/>
        <v>#VALUE!</v>
      </c>
      <c r="AZ462" s="45" t="e">
        <f t="shared" si="242"/>
        <v>#VALUE!</v>
      </c>
      <c r="BA462" s="45" t="e">
        <f t="shared" si="243"/>
        <v>#NUM!</v>
      </c>
      <c r="BB462" s="45" t="e">
        <f t="shared" si="244"/>
        <v>#VALUE!</v>
      </c>
      <c r="BC462" s="45">
        <f t="shared" si="245"/>
        <v>1.4771212547196624</v>
      </c>
      <c r="BD462" s="45" t="e">
        <f t="shared" si="246"/>
        <v>#VALUE!</v>
      </c>
      <c r="BE462" s="45" t="e">
        <f t="shared" si="247"/>
        <v>#NUM!</v>
      </c>
      <c r="BF462" s="45" t="e">
        <f t="shared" si="248"/>
        <v>#VALUE!</v>
      </c>
      <c r="BG462" s="45">
        <f t="shared" si="249"/>
        <v>-0.1458330559101238</v>
      </c>
      <c r="BH462" s="45" t="e">
        <f t="shared" si="250"/>
        <v>#NUM!</v>
      </c>
      <c r="BI462" s="43" t="e">
        <f t="shared" si="251"/>
        <v>#NUM!</v>
      </c>
      <c r="BL462" s="20"/>
      <c r="BM462" s="50"/>
      <c r="BN462" s="50"/>
      <c r="BO462" s="50"/>
      <c r="BP462" s="50"/>
      <c r="BQ462" s="50"/>
      <c r="BR462" s="50"/>
      <c r="BU462" s="50"/>
      <c r="BV462" s="50"/>
      <c r="BW462" s="50"/>
      <c r="BX462" s="50"/>
      <c r="BY462" s="50"/>
      <c r="BZ462" s="50"/>
      <c r="CA462" s="50" t="s">
        <v>22</v>
      </c>
      <c r="CE462" s="50"/>
      <c r="CF462" s="50"/>
      <c r="CG462" s="50"/>
      <c r="CH462" s="50"/>
      <c r="CI462" s="50">
        <f t="shared" si="260"/>
        <v>30</v>
      </c>
      <c r="CJ462" s="50">
        <f t="shared" si="261"/>
        <v>1.4771212547196624</v>
      </c>
      <c r="CL462" s="9" t="s">
        <v>1269</v>
      </c>
      <c r="CM462" s="9" t="s">
        <v>1285</v>
      </c>
      <c r="CN462" s="55" t="s">
        <v>1284</v>
      </c>
      <c r="CO462" s="9" t="s">
        <v>1284</v>
      </c>
    </row>
    <row r="463" spans="1:93" s="9" customFormat="1" x14ac:dyDescent="0.25">
      <c r="A463" s="9" t="s">
        <v>342</v>
      </c>
      <c r="B463" s="50">
        <v>5.9659090909091128E-3</v>
      </c>
      <c r="C463" s="50">
        <v>0.85641025641025603</v>
      </c>
      <c r="D463" s="50">
        <v>6.9661812738160333E-3</v>
      </c>
      <c r="E463" s="50" t="s">
        <v>22</v>
      </c>
      <c r="F463" s="9" t="s">
        <v>22</v>
      </c>
      <c r="G463" s="9" t="s">
        <v>22</v>
      </c>
      <c r="H463" s="9" t="s">
        <v>22</v>
      </c>
      <c r="I463" s="9" t="s">
        <v>22</v>
      </c>
      <c r="J463" s="50"/>
      <c r="K463" s="9" t="s">
        <v>22</v>
      </c>
      <c r="L463" s="50" t="e">
        <f t="shared" si="259"/>
        <v>#VALUE!</v>
      </c>
      <c r="M463" s="9" t="s">
        <v>23</v>
      </c>
      <c r="N463" s="50" t="s">
        <v>22</v>
      </c>
      <c r="O463" s="50" t="s">
        <v>22</v>
      </c>
      <c r="P463" s="50" t="s">
        <v>22</v>
      </c>
      <c r="Q463" s="50"/>
      <c r="R463" s="50" t="s">
        <v>22</v>
      </c>
      <c r="S463" s="50" t="s">
        <v>22</v>
      </c>
      <c r="T463" s="50">
        <v>30</v>
      </c>
      <c r="U463" s="50">
        <v>30</v>
      </c>
      <c r="V463" s="9">
        <v>20200717</v>
      </c>
      <c r="W463" s="21"/>
      <c r="X463" s="21">
        <v>2010</v>
      </c>
      <c r="Y463" s="9" t="s">
        <v>22</v>
      </c>
      <c r="Z463" s="9" t="s">
        <v>1084</v>
      </c>
      <c r="AB463" s="50"/>
      <c r="AC463" s="9" t="s">
        <v>514</v>
      </c>
      <c r="AD463" s="50" t="s">
        <v>22</v>
      </c>
      <c r="AE463" s="50" t="s">
        <v>22</v>
      </c>
      <c r="AF463" s="50"/>
      <c r="AG463" s="50" t="s">
        <v>22</v>
      </c>
      <c r="AH463" s="50">
        <v>2.9981954887217999E-2</v>
      </c>
      <c r="AI463" s="50" t="s">
        <v>22</v>
      </c>
      <c r="AJ463" s="50">
        <v>2.9981954887217999E-2</v>
      </c>
      <c r="AK463" s="50">
        <v>2.57529538131041E-2</v>
      </c>
      <c r="AL463" s="50">
        <v>2.10895810955961E-2</v>
      </c>
      <c r="AM463" s="43" t="e">
        <f t="shared" si="234"/>
        <v>#VALUE!</v>
      </c>
      <c r="AN463" s="43">
        <f t="shared" si="235"/>
        <v>0.70340913976183306</v>
      </c>
      <c r="AO463" s="9" t="s">
        <v>1085</v>
      </c>
      <c r="AT463" s="2">
        <f t="shared" si="236"/>
        <v>6</v>
      </c>
      <c r="AU463" s="45">
        <f t="shared" si="237"/>
        <v>-2.2243233687442103</v>
      </c>
      <c r="AV463" s="45">
        <f t="shared" si="238"/>
        <v>-6.7318140214934929E-2</v>
      </c>
      <c r="AW463" s="45">
        <f t="shared" si="239"/>
        <v>-2.1570052285292753</v>
      </c>
      <c r="AX463" s="45" t="e">
        <f t="shared" si="240"/>
        <v>#VALUE!</v>
      </c>
      <c r="AY463" s="45" t="e">
        <f t="shared" si="241"/>
        <v>#VALUE!</v>
      </c>
      <c r="AZ463" s="45" t="e">
        <f t="shared" si="242"/>
        <v>#VALUE!</v>
      </c>
      <c r="BA463" s="45" t="e">
        <f t="shared" si="243"/>
        <v>#NUM!</v>
      </c>
      <c r="BB463" s="45" t="e">
        <f t="shared" si="244"/>
        <v>#VALUE!</v>
      </c>
      <c r="BC463" s="45">
        <f t="shared" si="245"/>
        <v>1.4771212547196624</v>
      </c>
      <c r="BD463" s="45" t="e">
        <f t="shared" si="246"/>
        <v>#VALUE!</v>
      </c>
      <c r="BE463" s="45" t="e">
        <f t="shared" si="247"/>
        <v>#NUM!</v>
      </c>
      <c r="BF463" s="45" t="e">
        <f t="shared" si="248"/>
        <v>#VALUE!</v>
      </c>
      <c r="BG463" s="45">
        <f t="shared" si="249"/>
        <v>-0.15279199296769438</v>
      </c>
      <c r="BH463" s="45" t="e">
        <f t="shared" si="250"/>
        <v>#NUM!</v>
      </c>
      <c r="BI463" s="43" t="e">
        <f t="shared" si="251"/>
        <v>#NUM!</v>
      </c>
      <c r="BL463" s="20"/>
      <c r="BM463" s="50"/>
      <c r="BN463" s="50"/>
      <c r="BO463" s="50"/>
      <c r="BP463" s="50"/>
      <c r="BQ463" s="50"/>
      <c r="BR463" s="50"/>
      <c r="BU463" s="50"/>
      <c r="BV463" s="50"/>
      <c r="BW463" s="50"/>
      <c r="BX463" s="50"/>
      <c r="BY463" s="50"/>
      <c r="BZ463" s="50"/>
      <c r="CA463" s="50" t="s">
        <v>22</v>
      </c>
      <c r="CE463" s="50"/>
      <c r="CF463" s="50"/>
      <c r="CG463" s="50"/>
      <c r="CH463" s="50"/>
      <c r="CI463" s="50">
        <f t="shared" si="260"/>
        <v>30</v>
      </c>
      <c r="CJ463" s="50">
        <f t="shared" si="261"/>
        <v>1.4771212547196624</v>
      </c>
      <c r="CL463" s="9" t="s">
        <v>1269</v>
      </c>
      <c r="CM463" s="9" t="s">
        <v>1285</v>
      </c>
      <c r="CN463" s="55" t="s">
        <v>1284</v>
      </c>
      <c r="CO463" s="9" t="s">
        <v>1284</v>
      </c>
    </row>
    <row r="464" spans="1:93" s="9" customFormat="1" x14ac:dyDescent="0.25">
      <c r="A464" s="9" t="s">
        <v>342</v>
      </c>
      <c r="B464" s="50">
        <v>1.0937500000000003E-2</v>
      </c>
      <c r="C464" s="50">
        <v>1.09615384615384</v>
      </c>
      <c r="D464" s="50">
        <v>9.9780701754386553E-3</v>
      </c>
      <c r="E464" s="50" t="s">
        <v>22</v>
      </c>
      <c r="F464" s="9" t="s">
        <v>22</v>
      </c>
      <c r="G464" s="9" t="s">
        <v>22</v>
      </c>
      <c r="H464" s="9" t="s">
        <v>22</v>
      </c>
      <c r="I464" s="9" t="s">
        <v>22</v>
      </c>
      <c r="J464" s="50"/>
      <c r="K464" s="9" t="s">
        <v>22</v>
      </c>
      <c r="L464" s="50" t="e">
        <f t="shared" si="259"/>
        <v>#VALUE!</v>
      </c>
      <c r="M464" s="9" t="s">
        <v>23</v>
      </c>
      <c r="N464" s="50" t="s">
        <v>22</v>
      </c>
      <c r="O464" s="50" t="s">
        <v>22</v>
      </c>
      <c r="P464" s="50" t="s">
        <v>22</v>
      </c>
      <c r="Q464" s="50"/>
      <c r="R464" s="50" t="s">
        <v>22</v>
      </c>
      <c r="S464" s="50" t="s">
        <v>22</v>
      </c>
      <c r="T464" s="50">
        <v>30</v>
      </c>
      <c r="U464" s="50">
        <v>30</v>
      </c>
      <c r="V464" s="9">
        <v>20200717</v>
      </c>
      <c r="W464" s="21"/>
      <c r="X464" s="21">
        <v>2010</v>
      </c>
      <c r="Y464" s="9" t="s">
        <v>22</v>
      </c>
      <c r="Z464" s="9" t="s">
        <v>1084</v>
      </c>
      <c r="AB464" s="50"/>
      <c r="AC464" s="9" t="s">
        <v>514</v>
      </c>
      <c r="AD464" s="50" t="s">
        <v>22</v>
      </c>
      <c r="AE464" s="50" t="s">
        <v>22</v>
      </c>
      <c r="AF464" s="50">
        <v>8.0833333333333304</v>
      </c>
      <c r="AG464" s="50" t="s">
        <v>22</v>
      </c>
      <c r="AH464" s="50">
        <v>2.1581954887218001E-2</v>
      </c>
      <c r="AI464" s="50" t="s">
        <v>22</v>
      </c>
      <c r="AJ464" s="50">
        <v>2.1581954887218001E-2</v>
      </c>
      <c r="AK464" s="50">
        <v>1.9924382384532702E-2</v>
      </c>
      <c r="AL464" s="50">
        <v>1.6113641245972001E-2</v>
      </c>
      <c r="AM464" s="43" t="e">
        <f t="shared" si="234"/>
        <v>#VALUE!</v>
      </c>
      <c r="AN464" s="43">
        <f t="shared" si="235"/>
        <v>0.7466256569517421</v>
      </c>
      <c r="AO464" s="9" t="s">
        <v>1085</v>
      </c>
      <c r="AT464" s="2">
        <f t="shared" si="236"/>
        <v>6</v>
      </c>
      <c r="AU464" s="45">
        <f t="shared" si="237"/>
        <v>-1.9610819339696302</v>
      </c>
      <c r="AV464" s="45">
        <f t="shared" si="238"/>
        <v>3.9871512037689814E-2</v>
      </c>
      <c r="AW464" s="45">
        <f t="shared" si="239"/>
        <v>-2.0009534460073199</v>
      </c>
      <c r="AX464" s="45" t="e">
        <f t="shared" si="240"/>
        <v>#VALUE!</v>
      </c>
      <c r="AY464" s="45" t="e">
        <f t="shared" si="241"/>
        <v>#VALUE!</v>
      </c>
      <c r="AZ464" s="45" t="e">
        <f t="shared" si="242"/>
        <v>#VALUE!</v>
      </c>
      <c r="BA464" s="45" t="e">
        <f t="shared" si="243"/>
        <v>#NUM!</v>
      </c>
      <c r="BB464" s="45" t="e">
        <f t="shared" si="244"/>
        <v>#VALUE!</v>
      </c>
      <c r="BC464" s="45">
        <f t="shared" si="245"/>
        <v>1.4771212547196624</v>
      </c>
      <c r="BD464" s="45" t="e">
        <f t="shared" si="246"/>
        <v>#VALUE!</v>
      </c>
      <c r="BE464" s="45">
        <f t="shared" si="247"/>
        <v>0.90759048821861987</v>
      </c>
      <c r="BF464" s="45" t="e">
        <f t="shared" si="248"/>
        <v>#VALUE!</v>
      </c>
      <c r="BG464" s="45">
        <f t="shared" si="249"/>
        <v>-0.12689709011141645</v>
      </c>
      <c r="BH464" s="45" t="e">
        <f t="shared" si="250"/>
        <v>#NUM!</v>
      </c>
      <c r="BI464" s="43">
        <f t="shared" si="251"/>
        <v>0.90759048821861987</v>
      </c>
      <c r="BL464" s="20"/>
      <c r="BM464" s="50"/>
      <c r="BN464" s="50"/>
      <c r="BO464" s="50"/>
      <c r="BP464" s="50"/>
      <c r="BQ464" s="50"/>
      <c r="BR464" s="50"/>
      <c r="BU464" s="50"/>
      <c r="BV464" s="50"/>
      <c r="BW464" s="50"/>
      <c r="BX464" s="50"/>
      <c r="BY464" s="50"/>
      <c r="BZ464" s="50"/>
      <c r="CA464" s="50" t="s">
        <v>22</v>
      </c>
      <c r="CE464" s="50"/>
      <c r="CF464" s="50"/>
      <c r="CG464" s="50"/>
      <c r="CH464" s="50"/>
      <c r="CI464" s="50">
        <f t="shared" si="260"/>
        <v>30</v>
      </c>
      <c r="CJ464" s="50">
        <f t="shared" si="261"/>
        <v>1.4771212547196624</v>
      </c>
      <c r="CL464" s="9" t="s">
        <v>1269</v>
      </c>
      <c r="CM464" s="9" t="s">
        <v>1285</v>
      </c>
      <c r="CN464" s="55" t="s">
        <v>1284</v>
      </c>
      <c r="CO464" s="9" t="s">
        <v>1284</v>
      </c>
    </row>
    <row r="465" spans="1:93" s="9" customFormat="1" x14ac:dyDescent="0.25">
      <c r="A465" s="9" t="s">
        <v>342</v>
      </c>
      <c r="B465" s="50">
        <v>1.2209302325581395E-2</v>
      </c>
      <c r="C465" s="50">
        <v>1.12179487179487</v>
      </c>
      <c r="D465" s="50">
        <v>1.0883720930232576E-2</v>
      </c>
      <c r="E465" s="50" t="s">
        <v>22</v>
      </c>
      <c r="F465" s="9" t="s">
        <v>22</v>
      </c>
      <c r="G465" s="9" t="s">
        <v>22</v>
      </c>
      <c r="H465" s="9" t="s">
        <v>22</v>
      </c>
      <c r="I465" s="9" t="s">
        <v>22</v>
      </c>
      <c r="J465" s="50"/>
      <c r="K465" s="9" t="s">
        <v>22</v>
      </c>
      <c r="L465" s="50" t="e">
        <f t="shared" si="259"/>
        <v>#VALUE!</v>
      </c>
      <c r="M465" s="9" t="s">
        <v>23</v>
      </c>
      <c r="N465" s="50" t="s">
        <v>22</v>
      </c>
      <c r="O465" s="50" t="s">
        <v>22</v>
      </c>
      <c r="P465" s="50" t="s">
        <v>22</v>
      </c>
      <c r="Q465" s="50"/>
      <c r="R465" s="50" t="s">
        <v>22</v>
      </c>
      <c r="S465" s="50" t="s">
        <v>22</v>
      </c>
      <c r="T465" s="50">
        <v>30</v>
      </c>
      <c r="U465" s="50">
        <v>30</v>
      </c>
      <c r="V465" s="9">
        <v>20200717</v>
      </c>
      <c r="W465" s="21"/>
      <c r="X465" s="21">
        <v>2010</v>
      </c>
      <c r="Y465" s="9" t="s">
        <v>22</v>
      </c>
      <c r="Z465" s="9" t="s">
        <v>1084</v>
      </c>
      <c r="AB465" s="50"/>
      <c r="AC465" s="9" t="s">
        <v>514</v>
      </c>
      <c r="AD465" s="50" t="s">
        <v>22</v>
      </c>
      <c r="AE465" s="50" t="s">
        <v>22</v>
      </c>
      <c r="AF465" s="50">
        <v>11.3541666666666</v>
      </c>
      <c r="AG465" s="50" t="s">
        <v>22</v>
      </c>
      <c r="AH465" s="50">
        <v>1.28390977443609E-2</v>
      </c>
      <c r="AI465" s="50" t="s">
        <v>22</v>
      </c>
      <c r="AJ465" s="50">
        <v>1.28390977443609E-2</v>
      </c>
      <c r="AK465" s="50">
        <v>1.1695810955961301E-2</v>
      </c>
      <c r="AL465" s="50">
        <v>8.9200859291084702E-3</v>
      </c>
      <c r="AM465" s="43" t="e">
        <f t="shared" si="234"/>
        <v>#VALUE!</v>
      </c>
      <c r="AN465" s="43">
        <f t="shared" si="235"/>
        <v>0.69475956229294145</v>
      </c>
      <c r="AO465" s="9" t="s">
        <v>1085</v>
      </c>
      <c r="AT465" s="2">
        <f t="shared" si="236"/>
        <v>6</v>
      </c>
      <c r="AU465" s="45">
        <f t="shared" si="237"/>
        <v>-1.9133091521736296</v>
      </c>
      <c r="AV465" s="45">
        <f t="shared" si="238"/>
        <v>4.9913450331832157E-2</v>
      </c>
      <c r="AW465" s="45">
        <f t="shared" si="239"/>
        <v>-1.9632226025054618</v>
      </c>
      <c r="AX465" s="45" t="e">
        <f t="shared" si="240"/>
        <v>#VALUE!</v>
      </c>
      <c r="AY465" s="45" t="e">
        <f t="shared" si="241"/>
        <v>#VALUE!</v>
      </c>
      <c r="AZ465" s="45" t="e">
        <f t="shared" si="242"/>
        <v>#VALUE!</v>
      </c>
      <c r="BA465" s="45" t="e">
        <f t="shared" si="243"/>
        <v>#NUM!</v>
      </c>
      <c r="BB465" s="45" t="e">
        <f t="shared" si="244"/>
        <v>#VALUE!</v>
      </c>
      <c r="BC465" s="45">
        <f t="shared" si="245"/>
        <v>1.4771212547196624</v>
      </c>
      <c r="BD465" s="45" t="e">
        <f t="shared" si="246"/>
        <v>#VALUE!</v>
      </c>
      <c r="BE465" s="45">
        <f t="shared" si="247"/>
        <v>1.0551552649010527</v>
      </c>
      <c r="BF465" s="45" t="e">
        <f t="shared" si="248"/>
        <v>#VALUE!</v>
      </c>
      <c r="BG465" s="45">
        <f t="shared" si="249"/>
        <v>-0.15816546711629054</v>
      </c>
      <c r="BH465" s="45" t="e">
        <f t="shared" si="250"/>
        <v>#NUM!</v>
      </c>
      <c r="BI465" s="43">
        <f t="shared" si="251"/>
        <v>1.0551552649010527</v>
      </c>
      <c r="BL465" s="20"/>
      <c r="BM465" s="50"/>
      <c r="BN465" s="50"/>
      <c r="BO465" s="50"/>
      <c r="BP465" s="50"/>
      <c r="BQ465" s="50"/>
      <c r="BR465" s="50"/>
      <c r="BU465" s="50"/>
      <c r="BV465" s="50"/>
      <c r="BW465" s="50"/>
      <c r="BX465" s="50"/>
      <c r="BY465" s="50"/>
      <c r="BZ465" s="50"/>
      <c r="CA465" s="50" t="s">
        <v>22</v>
      </c>
      <c r="CE465" s="50"/>
      <c r="CF465" s="50"/>
      <c r="CG465" s="50"/>
      <c r="CH465" s="50"/>
      <c r="CI465" s="50">
        <f t="shared" si="260"/>
        <v>30</v>
      </c>
      <c r="CJ465" s="50">
        <f t="shared" si="261"/>
        <v>1.4771212547196624</v>
      </c>
      <c r="CL465" s="9" t="s">
        <v>1269</v>
      </c>
      <c r="CM465" s="9" t="s">
        <v>1285</v>
      </c>
      <c r="CN465" s="55" t="s">
        <v>1284</v>
      </c>
      <c r="CO465" s="9" t="s">
        <v>1284</v>
      </c>
    </row>
    <row r="466" spans="1:93" x14ac:dyDescent="0.25">
      <c r="A466" t="s">
        <v>141</v>
      </c>
      <c r="B466" s="41" t="s">
        <v>22</v>
      </c>
      <c r="C466" s="41" t="s">
        <v>22</v>
      </c>
      <c r="D466" s="41" t="s">
        <v>22</v>
      </c>
      <c r="E466" s="41" t="s">
        <v>22</v>
      </c>
      <c r="F466" t="s">
        <v>22</v>
      </c>
      <c r="G466" t="s">
        <v>22</v>
      </c>
      <c r="H466" t="s">
        <v>22</v>
      </c>
      <c r="I466" t="s">
        <v>22</v>
      </c>
      <c r="J466" s="41">
        <v>0.88</v>
      </c>
      <c r="K466" t="s">
        <v>22</v>
      </c>
      <c r="L466" s="41" t="e">
        <f t="shared" si="259"/>
        <v>#VALUE!</v>
      </c>
      <c r="M466" t="s">
        <v>23</v>
      </c>
      <c r="N466" s="41">
        <v>689</v>
      </c>
      <c r="O466" s="41" t="s">
        <v>22</v>
      </c>
      <c r="P466" s="41">
        <v>10.1</v>
      </c>
      <c r="R466" s="41" t="s">
        <v>22</v>
      </c>
      <c r="S466" s="41" t="s">
        <v>22</v>
      </c>
      <c r="T466" s="41" t="s">
        <v>133</v>
      </c>
      <c r="U466" s="41">
        <v>9</v>
      </c>
      <c r="V466">
        <v>20200508</v>
      </c>
      <c r="X466">
        <v>2011</v>
      </c>
      <c r="Y466" t="s">
        <v>26</v>
      </c>
      <c r="Z466" t="s">
        <v>32</v>
      </c>
      <c r="AC466" t="s">
        <v>514</v>
      </c>
      <c r="AD466" s="41" t="s">
        <v>22</v>
      </c>
      <c r="AE466" s="41" t="s">
        <v>22</v>
      </c>
      <c r="AF466" s="41" t="s">
        <v>22</v>
      </c>
      <c r="AG466" s="41" t="s">
        <v>22</v>
      </c>
      <c r="AH466" s="41" t="s">
        <v>22</v>
      </c>
      <c r="AI466" s="41" t="s">
        <v>22</v>
      </c>
      <c r="AJ466" s="41" t="s">
        <v>22</v>
      </c>
      <c r="AK466" s="41" t="s">
        <v>22</v>
      </c>
      <c r="AL466" s="41" t="s">
        <v>22</v>
      </c>
      <c r="AM466" s="43" t="e">
        <f t="shared" si="234"/>
        <v>#VALUE!</v>
      </c>
      <c r="AN466" s="43" t="e">
        <f t="shared" si="235"/>
        <v>#VALUE!</v>
      </c>
      <c r="AO466" s="3" t="s">
        <v>134</v>
      </c>
      <c r="AT466" s="2">
        <f t="shared" si="236"/>
        <v>4</v>
      </c>
      <c r="AU466" s="45" t="e">
        <f t="shared" si="237"/>
        <v>#VALUE!</v>
      </c>
      <c r="AV466" s="45" t="e">
        <f t="shared" si="238"/>
        <v>#VALUE!</v>
      </c>
      <c r="AW466" s="45" t="e">
        <f t="shared" si="239"/>
        <v>#VALUE!</v>
      </c>
      <c r="AX466" s="45">
        <f t="shared" si="240"/>
        <v>2.8382192219076257</v>
      </c>
      <c r="AY466" s="45" t="e">
        <f t="shared" si="241"/>
        <v>#VALUE!</v>
      </c>
      <c r="AZ466" s="45">
        <f t="shared" si="242"/>
        <v>1.0043213737826426</v>
      </c>
      <c r="BA466" s="45">
        <f t="shared" si="243"/>
        <v>-5.551732784983137E-2</v>
      </c>
      <c r="BB466" s="45" t="e">
        <f t="shared" si="244"/>
        <v>#VALUE!</v>
      </c>
      <c r="BC466" s="45">
        <f t="shared" si="245"/>
        <v>0.95424250943932487</v>
      </c>
      <c r="BD466" s="45" t="e">
        <f t="shared" si="246"/>
        <v>#VALUE!</v>
      </c>
      <c r="BE466" s="45" t="e">
        <f t="shared" si="247"/>
        <v>#VALUE!</v>
      </c>
      <c r="BF466" s="45" t="e">
        <f t="shared" si="248"/>
        <v>#VALUE!</v>
      </c>
      <c r="BG466" s="45" t="e">
        <f t="shared" si="249"/>
        <v>#VALUE!</v>
      </c>
      <c r="BH466" s="45" t="e">
        <f t="shared" si="250"/>
        <v>#NUM!</v>
      </c>
      <c r="BI466" s="43" t="e">
        <f t="shared" si="251"/>
        <v>#VALUE!</v>
      </c>
      <c r="CA466" s="41" t="s">
        <v>22</v>
      </c>
      <c r="CC466" t="s">
        <v>22</v>
      </c>
      <c r="CE466" s="41" t="s">
        <v>22</v>
      </c>
      <c r="CF466" s="41" t="s">
        <v>22</v>
      </c>
      <c r="CG466" s="41" t="e">
        <f t="shared" ref="CG466:CG497" si="262">AD466*1000</f>
        <v>#VALUE!</v>
      </c>
      <c r="CH466" s="41" t="e">
        <f t="shared" ref="CH466:CH497" si="263">LOG10(CG466)</f>
        <v>#VALUE!</v>
      </c>
      <c r="CI466" s="41">
        <f t="shared" ref="CI466:CI497" si="264">IF(ISNUMBER(CG466),CG466,U466)</f>
        <v>9</v>
      </c>
      <c r="CJ466" s="41">
        <f t="shared" ref="CJ466:CJ497" si="265">LOG10(CI466)</f>
        <v>0.95424250943932487</v>
      </c>
      <c r="CL466" s="9" t="s">
        <v>1269</v>
      </c>
      <c r="CM466" s="18" t="s">
        <v>1285</v>
      </c>
      <c r="CN466" s="54" t="s">
        <v>1284</v>
      </c>
      <c r="CO466" s="18" t="s">
        <v>1284</v>
      </c>
    </row>
    <row r="467" spans="1:93" x14ac:dyDescent="0.25">
      <c r="A467" t="s">
        <v>141</v>
      </c>
      <c r="B467" s="41" t="s">
        <v>22</v>
      </c>
      <c r="C467" s="41">
        <f>(N467/O467)*10^-3</f>
        <v>1.5219683655536029</v>
      </c>
      <c r="D467" s="41" t="s">
        <v>22</v>
      </c>
      <c r="E467" s="41" t="s">
        <v>22</v>
      </c>
      <c r="F467" t="s">
        <v>22</v>
      </c>
      <c r="G467" t="s">
        <v>22</v>
      </c>
      <c r="H467" t="s">
        <v>22</v>
      </c>
      <c r="I467" t="s">
        <v>22</v>
      </c>
      <c r="J467" s="41">
        <v>0.99</v>
      </c>
      <c r="K467" t="s">
        <v>22</v>
      </c>
      <c r="L467" s="41" t="e">
        <f t="shared" si="259"/>
        <v>#VALUE!</v>
      </c>
      <c r="M467" t="s">
        <v>23</v>
      </c>
      <c r="N467" s="41">
        <v>866</v>
      </c>
      <c r="O467" s="41">
        <v>0.56899999999999995</v>
      </c>
      <c r="P467" s="41">
        <v>16</v>
      </c>
      <c r="R467" s="41" t="s">
        <v>22</v>
      </c>
      <c r="S467" s="41" t="s">
        <v>22</v>
      </c>
      <c r="T467" s="41" t="s">
        <v>133</v>
      </c>
      <c r="U467" s="41">
        <v>9</v>
      </c>
      <c r="V467">
        <v>20200508</v>
      </c>
      <c r="X467">
        <v>2011</v>
      </c>
      <c r="Y467" t="s">
        <v>26</v>
      </c>
      <c r="Z467" t="s">
        <v>32</v>
      </c>
      <c r="AC467" t="s">
        <v>514</v>
      </c>
      <c r="AD467" s="41">
        <v>7.7</v>
      </c>
      <c r="AE467" s="41" t="s">
        <v>22</v>
      </c>
      <c r="AF467" s="41" t="s">
        <v>22</v>
      </c>
      <c r="AG467" s="41" t="s">
        <v>22</v>
      </c>
      <c r="AH467" s="41" t="s">
        <v>22</v>
      </c>
      <c r="AI467" s="41" t="s">
        <v>22</v>
      </c>
      <c r="AJ467" s="41" t="s">
        <v>22</v>
      </c>
      <c r="AK467" s="41" t="s">
        <v>22</v>
      </c>
      <c r="AL467" s="41" t="s">
        <v>22</v>
      </c>
      <c r="AM467" s="43" t="e">
        <f t="shared" si="234"/>
        <v>#VALUE!</v>
      </c>
      <c r="AN467" s="43" t="e">
        <f t="shared" si="235"/>
        <v>#VALUE!</v>
      </c>
      <c r="AO467" s="3" t="s">
        <v>134</v>
      </c>
      <c r="AT467" s="2">
        <f t="shared" si="236"/>
        <v>4</v>
      </c>
      <c r="AU467" s="45" t="e">
        <f t="shared" si="237"/>
        <v>#VALUE!</v>
      </c>
      <c r="AV467" s="45">
        <f t="shared" si="238"/>
        <v>0.1824056256222755</v>
      </c>
      <c r="AW467" s="45" t="e">
        <f t="shared" si="239"/>
        <v>#VALUE!</v>
      </c>
      <c r="AX467" s="45">
        <f t="shared" si="240"/>
        <v>2.9375178920173468</v>
      </c>
      <c r="AY467" s="45">
        <f t="shared" si="241"/>
        <v>-0.24488773360492885</v>
      </c>
      <c r="AZ467" s="45">
        <f t="shared" si="242"/>
        <v>1.2041199826559248</v>
      </c>
      <c r="BA467" s="45">
        <f t="shared" si="243"/>
        <v>-4.3648054024500883E-3</v>
      </c>
      <c r="BB467" s="45" t="e">
        <f t="shared" si="244"/>
        <v>#VALUE!</v>
      </c>
      <c r="BC467" s="45">
        <f t="shared" si="245"/>
        <v>0.95424250943932487</v>
      </c>
      <c r="BD467" s="45">
        <f t="shared" si="246"/>
        <v>0.88649072517248184</v>
      </c>
      <c r="BE467" s="45" t="e">
        <f t="shared" si="247"/>
        <v>#VALUE!</v>
      </c>
      <c r="BF467" s="45" t="e">
        <f t="shared" si="248"/>
        <v>#VALUE!</v>
      </c>
      <c r="BG467" s="45" t="e">
        <f t="shared" si="249"/>
        <v>#VALUE!</v>
      </c>
      <c r="BH467" s="45" t="e">
        <f t="shared" si="250"/>
        <v>#NUM!</v>
      </c>
      <c r="BI467" s="43" t="e">
        <f t="shared" si="251"/>
        <v>#VALUE!</v>
      </c>
      <c r="CA467" s="41" t="s">
        <v>22</v>
      </c>
      <c r="CC467" t="s">
        <v>22</v>
      </c>
      <c r="CE467" s="41" t="s">
        <v>22</v>
      </c>
      <c r="CF467" s="41" t="s">
        <v>22</v>
      </c>
      <c r="CG467" s="41">
        <f t="shared" si="262"/>
        <v>7700</v>
      </c>
      <c r="CH467" s="41">
        <f t="shared" si="263"/>
        <v>3.8864907251724818</v>
      </c>
      <c r="CI467" s="41">
        <f t="shared" si="264"/>
        <v>7700</v>
      </c>
      <c r="CJ467" s="41">
        <f t="shared" si="265"/>
        <v>3.8864907251724818</v>
      </c>
      <c r="CL467" s="9" t="s">
        <v>1269</v>
      </c>
      <c r="CM467" s="18" t="s">
        <v>1283</v>
      </c>
      <c r="CN467" s="54" t="s">
        <v>1284</v>
      </c>
      <c r="CO467" s="18" t="s">
        <v>1284</v>
      </c>
    </row>
    <row r="468" spans="1:93" x14ac:dyDescent="0.25">
      <c r="A468" t="s">
        <v>266</v>
      </c>
      <c r="B468" s="41" t="s">
        <v>22</v>
      </c>
      <c r="C468" s="41">
        <f>(N468/O468)*10^-3</f>
        <v>0.7303370786516854</v>
      </c>
      <c r="D468" s="41" t="s">
        <v>22</v>
      </c>
      <c r="E468" s="41" t="s">
        <v>22</v>
      </c>
      <c r="F468" t="s">
        <v>22</v>
      </c>
      <c r="G468" t="s">
        <v>22</v>
      </c>
      <c r="H468" t="s">
        <v>22</v>
      </c>
      <c r="I468" t="s">
        <v>22</v>
      </c>
      <c r="J468" s="41">
        <v>1.27</v>
      </c>
      <c r="K468" t="s">
        <v>22</v>
      </c>
      <c r="L468" s="41" t="e">
        <f t="shared" si="259"/>
        <v>#VALUE!</v>
      </c>
      <c r="M468" t="s">
        <v>23</v>
      </c>
      <c r="N468" s="41">
        <v>1170</v>
      </c>
      <c r="O468" s="41">
        <v>1.6020000000000001</v>
      </c>
      <c r="P468" s="41">
        <v>53.5</v>
      </c>
      <c r="R468" s="41" t="s">
        <v>22</v>
      </c>
      <c r="S468" s="41" t="s">
        <v>22</v>
      </c>
      <c r="T468" s="41">
        <v>6</v>
      </c>
      <c r="U468" s="41">
        <v>6</v>
      </c>
      <c r="V468">
        <v>20200508</v>
      </c>
      <c r="X468">
        <v>2011</v>
      </c>
      <c r="Y468" t="s">
        <v>26</v>
      </c>
      <c r="Z468" t="s">
        <v>32</v>
      </c>
      <c r="AC468" t="s">
        <v>514</v>
      </c>
      <c r="AD468" s="41">
        <v>8</v>
      </c>
      <c r="AE468" s="41" t="s">
        <v>22</v>
      </c>
      <c r="AF468" s="41" t="s">
        <v>22</v>
      </c>
      <c r="AG468" s="41" t="s">
        <v>22</v>
      </c>
      <c r="AH468" s="41" t="s">
        <v>22</v>
      </c>
      <c r="AI468" s="41" t="s">
        <v>22</v>
      </c>
      <c r="AJ468" s="41" t="s">
        <v>22</v>
      </c>
      <c r="AK468" s="41" t="s">
        <v>22</v>
      </c>
      <c r="AL468" s="41" t="s">
        <v>22</v>
      </c>
      <c r="AM468" s="43" t="e">
        <f t="shared" si="234"/>
        <v>#VALUE!</v>
      </c>
      <c r="AN468" s="43" t="e">
        <f t="shared" si="235"/>
        <v>#VALUE!</v>
      </c>
      <c r="AO468" s="3" t="s">
        <v>134</v>
      </c>
      <c r="AT468" s="2">
        <f t="shared" si="236"/>
        <v>4</v>
      </c>
      <c r="AU468" s="45" t="e">
        <f t="shared" si="237"/>
        <v>#VALUE!</v>
      </c>
      <c r="AV468" s="45">
        <f t="shared" si="238"/>
        <v>-0.13647665000205719</v>
      </c>
      <c r="AW468" s="45" t="e">
        <f t="shared" si="239"/>
        <v>#VALUE!</v>
      </c>
      <c r="AX468" s="45">
        <f t="shared" si="240"/>
        <v>3.0681858617461617</v>
      </c>
      <c r="AY468" s="45">
        <f t="shared" si="241"/>
        <v>0.20466251174821887</v>
      </c>
      <c r="AZ468" s="45">
        <f t="shared" si="242"/>
        <v>1.7283537820212285</v>
      </c>
      <c r="BA468" s="45">
        <f t="shared" si="243"/>
        <v>0.10380372095595687</v>
      </c>
      <c r="BB468" s="45" t="e">
        <f t="shared" si="244"/>
        <v>#VALUE!</v>
      </c>
      <c r="BC468" s="45">
        <f t="shared" si="245"/>
        <v>0.77815125038364363</v>
      </c>
      <c r="BD468" s="45">
        <f t="shared" si="246"/>
        <v>0.90308998699194354</v>
      </c>
      <c r="BE468" s="45" t="e">
        <f t="shared" si="247"/>
        <v>#VALUE!</v>
      </c>
      <c r="BF468" s="45" t="e">
        <f t="shared" si="248"/>
        <v>#VALUE!</v>
      </c>
      <c r="BG468" s="45" t="e">
        <f t="shared" si="249"/>
        <v>#VALUE!</v>
      </c>
      <c r="BH468" s="45" t="e">
        <f t="shared" si="250"/>
        <v>#NUM!</v>
      </c>
      <c r="BI468" s="43" t="e">
        <f t="shared" si="251"/>
        <v>#VALUE!</v>
      </c>
      <c r="CA468" s="41" t="s">
        <v>22</v>
      </c>
      <c r="CC468" t="s">
        <v>22</v>
      </c>
      <c r="CE468" s="41" t="s">
        <v>22</v>
      </c>
      <c r="CF468" s="41" t="s">
        <v>22</v>
      </c>
      <c r="CG468" s="41">
        <f t="shared" si="262"/>
        <v>8000</v>
      </c>
      <c r="CH468" s="41">
        <f t="shared" si="263"/>
        <v>3.9030899869919438</v>
      </c>
      <c r="CI468" s="41">
        <f t="shared" si="264"/>
        <v>8000</v>
      </c>
      <c r="CJ468" s="41">
        <f t="shared" si="265"/>
        <v>3.9030899869919438</v>
      </c>
      <c r="CL468" s="9" t="s">
        <v>1269</v>
      </c>
      <c r="CM468" s="18" t="s">
        <v>1283</v>
      </c>
      <c r="CN468" s="54" t="s">
        <v>1284</v>
      </c>
      <c r="CO468" s="18" t="s">
        <v>1284</v>
      </c>
    </row>
    <row r="469" spans="1:93" x14ac:dyDescent="0.25">
      <c r="A469" t="s">
        <v>141</v>
      </c>
      <c r="B469" s="41" t="s">
        <v>22</v>
      </c>
      <c r="C469" s="41" t="s">
        <v>22</v>
      </c>
      <c r="D469" s="41" t="s">
        <v>22</v>
      </c>
      <c r="E469" s="41" t="s">
        <v>22</v>
      </c>
      <c r="F469" t="s">
        <v>22</v>
      </c>
      <c r="G469" t="s">
        <v>22</v>
      </c>
      <c r="H469" t="s">
        <v>22</v>
      </c>
      <c r="I469" t="s">
        <v>22</v>
      </c>
      <c r="J469" s="41">
        <v>1.65</v>
      </c>
      <c r="K469" t="s">
        <v>22</v>
      </c>
      <c r="L469" s="41" t="e">
        <f t="shared" si="259"/>
        <v>#VALUE!</v>
      </c>
      <c r="M469" t="s">
        <v>23</v>
      </c>
      <c r="N469" s="41">
        <v>383</v>
      </c>
      <c r="O469" s="41" t="s">
        <v>22</v>
      </c>
      <c r="P469" s="41">
        <v>6.5</v>
      </c>
      <c r="R469" s="41" t="s">
        <v>22</v>
      </c>
      <c r="S469" s="41" t="s">
        <v>22</v>
      </c>
      <c r="T469" s="41">
        <v>17</v>
      </c>
      <c r="U469" s="41">
        <v>17</v>
      </c>
      <c r="V469">
        <v>20200508</v>
      </c>
      <c r="X469">
        <v>2011</v>
      </c>
      <c r="Y469" t="s">
        <v>26</v>
      </c>
      <c r="Z469" t="s">
        <v>32</v>
      </c>
      <c r="AC469" t="s">
        <v>514</v>
      </c>
      <c r="AD469" s="41" t="s">
        <v>22</v>
      </c>
      <c r="AE469" s="41" t="s">
        <v>22</v>
      </c>
      <c r="AF469" s="41" t="s">
        <v>22</v>
      </c>
      <c r="AG469" s="41" t="s">
        <v>22</v>
      </c>
      <c r="AH469" s="41" t="s">
        <v>22</v>
      </c>
      <c r="AI469" s="41" t="s">
        <v>22</v>
      </c>
      <c r="AJ469" s="41" t="s">
        <v>22</v>
      </c>
      <c r="AK469" s="41" t="s">
        <v>22</v>
      </c>
      <c r="AL469" s="41" t="s">
        <v>22</v>
      </c>
      <c r="AM469" s="43" t="e">
        <f t="shared" si="234"/>
        <v>#VALUE!</v>
      </c>
      <c r="AN469" s="43" t="e">
        <f t="shared" si="235"/>
        <v>#VALUE!</v>
      </c>
      <c r="AO469" s="3" t="s">
        <v>134</v>
      </c>
      <c r="AT469" s="2">
        <f t="shared" si="236"/>
        <v>4</v>
      </c>
      <c r="AU469" s="45" t="e">
        <f t="shared" si="237"/>
        <v>#VALUE!</v>
      </c>
      <c r="AV469" s="45" t="e">
        <f t="shared" si="238"/>
        <v>#VALUE!</v>
      </c>
      <c r="AW469" s="45" t="e">
        <f t="shared" si="239"/>
        <v>#VALUE!</v>
      </c>
      <c r="AX469" s="45">
        <f t="shared" si="240"/>
        <v>2.5831987739686229</v>
      </c>
      <c r="AY469" s="45" t="e">
        <f t="shared" si="241"/>
        <v>#VALUE!</v>
      </c>
      <c r="AZ469" s="45">
        <f t="shared" si="242"/>
        <v>0.81291335664285558</v>
      </c>
      <c r="BA469" s="45">
        <f t="shared" si="243"/>
        <v>0.21748394421390627</v>
      </c>
      <c r="BB469" s="45" t="e">
        <f t="shared" si="244"/>
        <v>#VALUE!</v>
      </c>
      <c r="BC469" s="45">
        <f t="shared" si="245"/>
        <v>1.2304489213782739</v>
      </c>
      <c r="BD469" s="45" t="e">
        <f t="shared" si="246"/>
        <v>#VALUE!</v>
      </c>
      <c r="BE469" s="45" t="e">
        <f t="shared" si="247"/>
        <v>#VALUE!</v>
      </c>
      <c r="BF469" s="45" t="e">
        <f t="shared" si="248"/>
        <v>#VALUE!</v>
      </c>
      <c r="BG469" s="45" t="e">
        <f t="shared" si="249"/>
        <v>#VALUE!</v>
      </c>
      <c r="BH469" s="45" t="e">
        <f t="shared" si="250"/>
        <v>#NUM!</v>
      </c>
      <c r="BI469" s="43" t="e">
        <f t="shared" si="251"/>
        <v>#VALUE!</v>
      </c>
      <c r="CA469" s="41" t="s">
        <v>22</v>
      </c>
      <c r="CC469" t="s">
        <v>22</v>
      </c>
      <c r="CE469" s="41" t="s">
        <v>22</v>
      </c>
      <c r="CF469" s="41" t="s">
        <v>22</v>
      </c>
      <c r="CG469" s="41" t="e">
        <f t="shared" si="262"/>
        <v>#VALUE!</v>
      </c>
      <c r="CH469" s="41" t="e">
        <f t="shared" si="263"/>
        <v>#VALUE!</v>
      </c>
      <c r="CI469" s="41">
        <f t="shared" si="264"/>
        <v>17</v>
      </c>
      <c r="CJ469" s="41">
        <f t="shared" si="265"/>
        <v>1.2304489213782739</v>
      </c>
      <c r="CL469" s="9" t="s">
        <v>1269</v>
      </c>
      <c r="CM469" s="18" t="s">
        <v>1285</v>
      </c>
      <c r="CN469" s="54" t="s">
        <v>1284</v>
      </c>
      <c r="CO469" s="18" t="s">
        <v>1284</v>
      </c>
    </row>
    <row r="470" spans="1:93" x14ac:dyDescent="0.25">
      <c r="A470" t="s">
        <v>141</v>
      </c>
      <c r="B470" s="41">
        <v>0.04</v>
      </c>
      <c r="C470" s="41">
        <v>0.84</v>
      </c>
      <c r="D470" s="41">
        <f>0.001*(B470*10^6)/(C470*0.001*100^3)</f>
        <v>4.7619047619047616E-2</v>
      </c>
      <c r="E470" s="41">
        <v>7.25</v>
      </c>
      <c r="F470">
        <v>4.4000000000000004</v>
      </c>
      <c r="G470" t="s">
        <v>52</v>
      </c>
      <c r="H470" t="s">
        <v>22</v>
      </c>
      <c r="I470" t="s">
        <v>22</v>
      </c>
      <c r="J470" s="41">
        <v>3</v>
      </c>
      <c r="K470">
        <v>532</v>
      </c>
      <c r="L470" s="41">
        <f t="shared" si="259"/>
        <v>0.24030775372800001</v>
      </c>
      <c r="M470" t="s">
        <v>23</v>
      </c>
      <c r="N470" s="41">
        <v>75.599999999999994</v>
      </c>
      <c r="O470" s="41">
        <v>0.09</v>
      </c>
      <c r="P470" s="41" t="s">
        <v>22</v>
      </c>
      <c r="R470" s="41">
        <f>N470*B470</f>
        <v>3.024</v>
      </c>
      <c r="S470" s="41">
        <f>O470*D470</f>
        <v>4.2857142857142851E-3</v>
      </c>
      <c r="T470" s="41">
        <v>30</v>
      </c>
      <c r="U470" s="41">
        <v>30</v>
      </c>
      <c r="V470">
        <v>20200507</v>
      </c>
      <c r="W470" s="16" t="s">
        <v>22</v>
      </c>
      <c r="X470">
        <v>2011</v>
      </c>
      <c r="Y470" t="s">
        <v>26</v>
      </c>
      <c r="Z470" t="s">
        <v>32</v>
      </c>
      <c r="AC470" t="s">
        <v>514</v>
      </c>
      <c r="AD470" s="41" t="s">
        <v>22</v>
      </c>
      <c r="AE470" s="41">
        <v>1582.1</v>
      </c>
      <c r="AF470" s="41">
        <v>69.599999999999994</v>
      </c>
      <c r="AG470" s="41" t="s">
        <v>22</v>
      </c>
      <c r="AH470" s="41" t="s">
        <v>22</v>
      </c>
      <c r="AI470" s="41" t="s">
        <v>22</v>
      </c>
      <c r="AJ470" s="41" t="s">
        <v>22</v>
      </c>
      <c r="AK470" s="41" t="s">
        <v>22</v>
      </c>
      <c r="AL470" s="41" t="s">
        <v>22</v>
      </c>
      <c r="AM470" s="43" t="e">
        <f t="shared" si="234"/>
        <v>#VALUE!</v>
      </c>
      <c r="AN470" s="43" t="e">
        <f t="shared" si="235"/>
        <v>#VALUE!</v>
      </c>
      <c r="AO470" s="3" t="s">
        <v>988</v>
      </c>
      <c r="AT470" s="2">
        <f t="shared" si="236"/>
        <v>1</v>
      </c>
      <c r="AU470" s="45">
        <f t="shared" si="237"/>
        <v>-1.3979400086720375</v>
      </c>
      <c r="AV470" s="45">
        <f t="shared" si="238"/>
        <v>-7.5720713938118356E-2</v>
      </c>
      <c r="AW470" s="45">
        <f t="shared" si="239"/>
        <v>-1.3222192947339193</v>
      </c>
      <c r="AX470" s="45">
        <f t="shared" si="240"/>
        <v>1.8785217955012066</v>
      </c>
      <c r="AY470" s="45">
        <f t="shared" si="241"/>
        <v>-1.0457574905606752</v>
      </c>
      <c r="AZ470" s="45" t="e">
        <f t="shared" si="242"/>
        <v>#VALUE!</v>
      </c>
      <c r="BA470" s="45">
        <f t="shared" si="243"/>
        <v>0.47712125471966244</v>
      </c>
      <c r="BB470" s="45">
        <f t="shared" si="244"/>
        <v>-0.61923221610014478</v>
      </c>
      <c r="BC470" s="45">
        <f t="shared" si="245"/>
        <v>1.4771212547196624</v>
      </c>
      <c r="BD470" s="45" t="e">
        <f t="shared" si="246"/>
        <v>#VALUE!</v>
      </c>
      <c r="BE470" s="45">
        <f t="shared" si="247"/>
        <v>1.842609239610562</v>
      </c>
      <c r="BF470" s="45" t="e">
        <f t="shared" si="248"/>
        <v>#VALUE!</v>
      </c>
      <c r="BG470" s="45" t="e">
        <f t="shared" si="249"/>
        <v>#VALUE!</v>
      </c>
      <c r="BH470" s="45" t="e">
        <f t="shared" si="250"/>
        <v>#NUM!</v>
      </c>
      <c r="BI470" s="43">
        <f t="shared" si="251"/>
        <v>1.842609239610562</v>
      </c>
      <c r="CA470" s="41" t="s">
        <v>22</v>
      </c>
      <c r="CC470" t="s">
        <v>22</v>
      </c>
      <c r="CE470" s="41" t="s">
        <v>22</v>
      </c>
      <c r="CF470" s="41" t="s">
        <v>22</v>
      </c>
      <c r="CG470" s="41" t="e">
        <f t="shared" si="262"/>
        <v>#VALUE!</v>
      </c>
      <c r="CH470" s="41" t="e">
        <f t="shared" si="263"/>
        <v>#VALUE!</v>
      </c>
      <c r="CI470" s="41">
        <f t="shared" si="264"/>
        <v>30</v>
      </c>
      <c r="CJ470" s="41">
        <f t="shared" si="265"/>
        <v>1.4771212547196624</v>
      </c>
      <c r="CL470" s="9" t="s">
        <v>1269</v>
      </c>
      <c r="CM470" s="18" t="s">
        <v>1285</v>
      </c>
      <c r="CN470" s="54" t="s">
        <v>1284</v>
      </c>
      <c r="CO470" s="18" t="s">
        <v>1284</v>
      </c>
    </row>
    <row r="471" spans="1:93" x14ac:dyDescent="0.25">
      <c r="A471" t="s">
        <v>141</v>
      </c>
      <c r="B471" s="41">
        <v>1.4482758620689599E-2</v>
      </c>
      <c r="C471" s="41">
        <v>0.37804238505747101</v>
      </c>
      <c r="D471" s="41">
        <v>3.8309880566666857E-2</v>
      </c>
      <c r="E471" s="41" t="s">
        <v>22</v>
      </c>
      <c r="F471" t="s">
        <v>22</v>
      </c>
      <c r="G471" t="s">
        <v>22</v>
      </c>
      <c r="H471" t="s">
        <v>22</v>
      </c>
      <c r="I471" t="s">
        <v>22</v>
      </c>
      <c r="J471" s="41" t="s">
        <v>22</v>
      </c>
      <c r="K471" t="s">
        <v>22</v>
      </c>
      <c r="L471" s="41" t="e">
        <f t="shared" si="259"/>
        <v>#VALUE!</v>
      </c>
      <c r="M471" t="s">
        <v>23</v>
      </c>
      <c r="N471" s="41" t="s">
        <v>22</v>
      </c>
      <c r="O471" s="41" t="s">
        <v>22</v>
      </c>
      <c r="P471" s="41" t="s">
        <v>22</v>
      </c>
      <c r="R471" s="41" t="s">
        <v>22</v>
      </c>
      <c r="S471" s="41" t="s">
        <v>22</v>
      </c>
      <c r="T471" s="41">
        <v>10</v>
      </c>
      <c r="U471" s="41">
        <v>10</v>
      </c>
      <c r="V471">
        <v>20200507</v>
      </c>
      <c r="W471" s="16" t="s">
        <v>37</v>
      </c>
      <c r="X471">
        <v>2011</v>
      </c>
      <c r="Y471" t="s">
        <v>26</v>
      </c>
      <c r="Z471" t="s">
        <v>38</v>
      </c>
      <c r="AC471" t="s">
        <v>514</v>
      </c>
      <c r="AD471" s="41">
        <v>25</v>
      </c>
      <c r="AE471" s="41" t="s">
        <v>22</v>
      </c>
      <c r="AF471" s="41" t="s">
        <v>22</v>
      </c>
      <c r="AG471" s="41" t="s">
        <v>22</v>
      </c>
      <c r="AH471" s="41" t="s">
        <v>22</v>
      </c>
      <c r="AI471" s="41" t="s">
        <v>22</v>
      </c>
      <c r="AJ471" s="41" t="s">
        <v>22</v>
      </c>
      <c r="AK471" s="41" t="s">
        <v>22</v>
      </c>
      <c r="AL471" s="41" t="s">
        <v>22</v>
      </c>
      <c r="AM471" s="43" t="e">
        <f t="shared" si="234"/>
        <v>#VALUE!</v>
      </c>
      <c r="AN471" s="43" t="e">
        <f t="shared" si="235"/>
        <v>#VALUE!</v>
      </c>
      <c r="AO471" s="3" t="s">
        <v>39</v>
      </c>
      <c r="AT471" s="2">
        <f t="shared" si="236"/>
        <v>10</v>
      </c>
      <c r="AU471" s="45">
        <f t="shared" si="237"/>
        <v>-1.8391487075010573</v>
      </c>
      <c r="AV471" s="45">
        <f t="shared" si="238"/>
        <v>-0.42245950554734596</v>
      </c>
      <c r="AW471" s="45">
        <f t="shared" si="239"/>
        <v>-1.4166892019537114</v>
      </c>
      <c r="AX471" s="45" t="e">
        <f t="shared" si="240"/>
        <v>#VALUE!</v>
      </c>
      <c r="AY471" s="45" t="e">
        <f t="shared" si="241"/>
        <v>#VALUE!</v>
      </c>
      <c r="AZ471" s="45" t="e">
        <f t="shared" si="242"/>
        <v>#VALUE!</v>
      </c>
      <c r="BA471" s="45" t="e">
        <f t="shared" si="243"/>
        <v>#VALUE!</v>
      </c>
      <c r="BB471" s="45" t="e">
        <f t="shared" si="244"/>
        <v>#VALUE!</v>
      </c>
      <c r="BC471" s="45">
        <f t="shared" si="245"/>
        <v>1</v>
      </c>
      <c r="BD471" s="45">
        <f t="shared" si="246"/>
        <v>1.3979400086720377</v>
      </c>
      <c r="BE471" s="45" t="e">
        <f t="shared" si="247"/>
        <v>#VALUE!</v>
      </c>
      <c r="BF471" s="45" t="e">
        <f t="shared" si="248"/>
        <v>#VALUE!</v>
      </c>
      <c r="BG471" s="45" t="e">
        <f t="shared" si="249"/>
        <v>#VALUE!</v>
      </c>
      <c r="BH471" s="45" t="e">
        <f t="shared" si="250"/>
        <v>#NUM!</v>
      </c>
      <c r="BI471" s="43" t="e">
        <f t="shared" si="251"/>
        <v>#VALUE!</v>
      </c>
      <c r="CA471" s="41" t="s">
        <v>22</v>
      </c>
      <c r="CC471" t="s">
        <v>22</v>
      </c>
      <c r="CE471" s="41" t="s">
        <v>22</v>
      </c>
      <c r="CF471" s="41" t="s">
        <v>22</v>
      </c>
      <c r="CG471" s="41">
        <f t="shared" si="262"/>
        <v>25000</v>
      </c>
      <c r="CH471" s="41">
        <f t="shared" si="263"/>
        <v>4.3979400086720375</v>
      </c>
      <c r="CI471" s="41">
        <f t="shared" si="264"/>
        <v>25000</v>
      </c>
      <c r="CJ471" s="41">
        <f t="shared" si="265"/>
        <v>4.3979400086720375</v>
      </c>
      <c r="CL471" s="9" t="s">
        <v>1269</v>
      </c>
      <c r="CM471" s="18" t="s">
        <v>1283</v>
      </c>
      <c r="CN471" s="54" t="s">
        <v>1284</v>
      </c>
      <c r="CO471" s="18" t="s">
        <v>1284</v>
      </c>
    </row>
    <row r="472" spans="1:93" x14ac:dyDescent="0.25">
      <c r="A472" t="s">
        <v>141</v>
      </c>
      <c r="B472" s="41">
        <v>2.3275862068965498E-2</v>
      </c>
      <c r="C472" s="41">
        <v>0.482237787356321</v>
      </c>
      <c r="D472" s="41">
        <v>4.826635879483078E-2</v>
      </c>
      <c r="E472" s="41" t="s">
        <v>22</v>
      </c>
      <c r="F472" t="s">
        <v>22</v>
      </c>
      <c r="G472" t="s">
        <v>22</v>
      </c>
      <c r="H472" t="s">
        <v>22</v>
      </c>
      <c r="I472" t="s">
        <v>22</v>
      </c>
      <c r="J472" s="41" t="s">
        <v>22</v>
      </c>
      <c r="K472" t="s">
        <v>22</v>
      </c>
      <c r="L472" s="41" t="e">
        <f t="shared" si="259"/>
        <v>#VALUE!</v>
      </c>
      <c r="M472" t="s">
        <v>23</v>
      </c>
      <c r="N472" s="41" t="s">
        <v>22</v>
      </c>
      <c r="O472" s="41" t="s">
        <v>22</v>
      </c>
      <c r="P472" s="41" t="s">
        <v>22</v>
      </c>
      <c r="R472" s="41" t="s">
        <v>22</v>
      </c>
      <c r="S472" s="41" t="s">
        <v>22</v>
      </c>
      <c r="T472" s="41">
        <v>10</v>
      </c>
      <c r="U472" s="41">
        <v>10</v>
      </c>
      <c r="V472">
        <v>20200507</v>
      </c>
      <c r="W472" s="16" t="s">
        <v>37</v>
      </c>
      <c r="X472">
        <v>2011</v>
      </c>
      <c r="Y472" t="s">
        <v>26</v>
      </c>
      <c r="Z472" t="s">
        <v>38</v>
      </c>
      <c r="AC472" t="s">
        <v>514</v>
      </c>
      <c r="AD472" s="41">
        <v>25</v>
      </c>
      <c r="AE472" s="41" t="s">
        <v>22</v>
      </c>
      <c r="AF472" s="41" t="s">
        <v>22</v>
      </c>
      <c r="AG472" s="41" t="s">
        <v>22</v>
      </c>
      <c r="AH472" s="41" t="s">
        <v>22</v>
      </c>
      <c r="AI472" s="41" t="s">
        <v>22</v>
      </c>
      <c r="AJ472" s="41" t="s">
        <v>22</v>
      </c>
      <c r="AK472" s="41" t="s">
        <v>22</v>
      </c>
      <c r="AL472" s="41" t="s">
        <v>22</v>
      </c>
      <c r="AM472" s="43" t="e">
        <f t="shared" si="234"/>
        <v>#VALUE!</v>
      </c>
      <c r="AN472" s="43" t="e">
        <f t="shared" si="235"/>
        <v>#VALUE!</v>
      </c>
      <c r="AO472" s="3" t="s">
        <v>39</v>
      </c>
      <c r="AT472" s="2">
        <f t="shared" si="236"/>
        <v>10</v>
      </c>
      <c r="AU472" s="45">
        <f t="shared" si="237"/>
        <v>-1.6330942250679314</v>
      </c>
      <c r="AV472" s="45">
        <f t="shared" si="238"/>
        <v>-0.31673876202709278</v>
      </c>
      <c r="AW472" s="45">
        <f t="shared" si="239"/>
        <v>-1.3163554630408387</v>
      </c>
      <c r="AX472" s="45" t="e">
        <f t="shared" si="240"/>
        <v>#VALUE!</v>
      </c>
      <c r="AY472" s="45" t="e">
        <f t="shared" si="241"/>
        <v>#VALUE!</v>
      </c>
      <c r="AZ472" s="45" t="e">
        <f t="shared" si="242"/>
        <v>#VALUE!</v>
      </c>
      <c r="BA472" s="45" t="e">
        <f t="shared" si="243"/>
        <v>#VALUE!</v>
      </c>
      <c r="BB472" s="45" t="e">
        <f t="shared" si="244"/>
        <v>#VALUE!</v>
      </c>
      <c r="BC472" s="45">
        <f t="shared" si="245"/>
        <v>1</v>
      </c>
      <c r="BD472" s="45">
        <f t="shared" si="246"/>
        <v>1.3979400086720377</v>
      </c>
      <c r="BE472" s="45" t="e">
        <f t="shared" si="247"/>
        <v>#VALUE!</v>
      </c>
      <c r="BF472" s="45" t="e">
        <f t="shared" si="248"/>
        <v>#VALUE!</v>
      </c>
      <c r="BG472" s="45" t="e">
        <f t="shared" si="249"/>
        <v>#VALUE!</v>
      </c>
      <c r="BH472" s="45" t="e">
        <f t="shared" si="250"/>
        <v>#NUM!</v>
      </c>
      <c r="BI472" s="43" t="e">
        <f t="shared" si="251"/>
        <v>#VALUE!</v>
      </c>
      <c r="CA472" s="41" t="s">
        <v>22</v>
      </c>
      <c r="CC472" t="s">
        <v>22</v>
      </c>
      <c r="CE472" s="41" t="s">
        <v>22</v>
      </c>
      <c r="CF472" s="41" t="s">
        <v>22</v>
      </c>
      <c r="CG472" s="41">
        <f t="shared" si="262"/>
        <v>25000</v>
      </c>
      <c r="CH472" s="41">
        <f t="shared" si="263"/>
        <v>4.3979400086720375</v>
      </c>
      <c r="CI472" s="41">
        <f t="shared" si="264"/>
        <v>25000</v>
      </c>
      <c r="CJ472" s="41">
        <f t="shared" si="265"/>
        <v>4.3979400086720375</v>
      </c>
      <c r="CL472" s="9" t="s">
        <v>1269</v>
      </c>
      <c r="CM472" s="18" t="s">
        <v>1283</v>
      </c>
      <c r="CN472" s="54" t="s">
        <v>1284</v>
      </c>
      <c r="CO472" s="18" t="s">
        <v>1284</v>
      </c>
    </row>
    <row r="473" spans="1:93" x14ac:dyDescent="0.25">
      <c r="A473" t="s">
        <v>141</v>
      </c>
      <c r="B473" s="41">
        <v>1.9396551724137897E-2</v>
      </c>
      <c r="C473" s="41">
        <v>0.42201867816091898</v>
      </c>
      <c r="D473" s="41">
        <v>4.5961358413481986E-2</v>
      </c>
      <c r="E473" s="41" t="s">
        <v>22</v>
      </c>
      <c r="F473" t="s">
        <v>22</v>
      </c>
      <c r="G473" t="s">
        <v>22</v>
      </c>
      <c r="H473" t="s">
        <v>22</v>
      </c>
      <c r="I473" t="s">
        <v>22</v>
      </c>
      <c r="J473" s="41" t="s">
        <v>22</v>
      </c>
      <c r="K473" t="s">
        <v>22</v>
      </c>
      <c r="L473" s="41" t="e">
        <f t="shared" si="259"/>
        <v>#VALUE!</v>
      </c>
      <c r="M473" t="s">
        <v>23</v>
      </c>
      <c r="N473" s="41" t="s">
        <v>22</v>
      </c>
      <c r="O473" s="41" t="s">
        <v>22</v>
      </c>
      <c r="P473" s="41" t="s">
        <v>22</v>
      </c>
      <c r="R473" s="41" t="s">
        <v>22</v>
      </c>
      <c r="S473" s="41" t="s">
        <v>22</v>
      </c>
      <c r="T473" s="41">
        <v>10</v>
      </c>
      <c r="U473" s="41">
        <v>10</v>
      </c>
      <c r="V473">
        <v>20200507</v>
      </c>
      <c r="W473" s="16" t="s">
        <v>37</v>
      </c>
      <c r="X473">
        <v>2011</v>
      </c>
      <c r="Y473" t="s">
        <v>26</v>
      </c>
      <c r="Z473" t="s">
        <v>38</v>
      </c>
      <c r="AC473" t="s">
        <v>514</v>
      </c>
      <c r="AD473" s="41">
        <v>25</v>
      </c>
      <c r="AE473" s="41" t="s">
        <v>22</v>
      </c>
      <c r="AF473" s="41" t="s">
        <v>22</v>
      </c>
      <c r="AG473" s="41" t="s">
        <v>22</v>
      </c>
      <c r="AH473" s="41" t="s">
        <v>22</v>
      </c>
      <c r="AI473" s="41" t="s">
        <v>22</v>
      </c>
      <c r="AJ473" s="41" t="s">
        <v>22</v>
      </c>
      <c r="AK473" s="41" t="s">
        <v>22</v>
      </c>
      <c r="AL473" s="41" t="s">
        <v>22</v>
      </c>
      <c r="AM473" s="43" t="e">
        <f t="shared" si="234"/>
        <v>#VALUE!</v>
      </c>
      <c r="AN473" s="43" t="e">
        <f t="shared" si="235"/>
        <v>#VALUE!</v>
      </c>
      <c r="AO473" s="3" t="s">
        <v>39</v>
      </c>
      <c r="AT473" s="2">
        <f t="shared" si="236"/>
        <v>10</v>
      </c>
      <c r="AU473" s="45">
        <f t="shared" si="237"/>
        <v>-1.7122754711155568</v>
      </c>
      <c r="AV473" s="45">
        <f t="shared" si="238"/>
        <v>-0.37466832713618003</v>
      </c>
      <c r="AW473" s="45">
        <f t="shared" si="239"/>
        <v>-1.3376071439793766</v>
      </c>
      <c r="AX473" s="45" t="e">
        <f t="shared" si="240"/>
        <v>#VALUE!</v>
      </c>
      <c r="AY473" s="45" t="e">
        <f t="shared" si="241"/>
        <v>#VALUE!</v>
      </c>
      <c r="AZ473" s="45" t="e">
        <f t="shared" si="242"/>
        <v>#VALUE!</v>
      </c>
      <c r="BA473" s="45" t="e">
        <f t="shared" si="243"/>
        <v>#VALUE!</v>
      </c>
      <c r="BB473" s="45" t="e">
        <f t="shared" si="244"/>
        <v>#VALUE!</v>
      </c>
      <c r="BC473" s="45">
        <f t="shared" si="245"/>
        <v>1</v>
      </c>
      <c r="BD473" s="45">
        <f t="shared" si="246"/>
        <v>1.3979400086720377</v>
      </c>
      <c r="BE473" s="45" t="e">
        <f t="shared" si="247"/>
        <v>#VALUE!</v>
      </c>
      <c r="BF473" s="45" t="e">
        <f t="shared" si="248"/>
        <v>#VALUE!</v>
      </c>
      <c r="BG473" s="45" t="e">
        <f t="shared" si="249"/>
        <v>#VALUE!</v>
      </c>
      <c r="BH473" s="45" t="e">
        <f t="shared" si="250"/>
        <v>#NUM!</v>
      </c>
      <c r="BI473" s="43" t="e">
        <f t="shared" si="251"/>
        <v>#VALUE!</v>
      </c>
      <c r="CA473" s="41" t="s">
        <v>22</v>
      </c>
      <c r="CC473" t="s">
        <v>22</v>
      </c>
      <c r="CE473" s="41" t="s">
        <v>22</v>
      </c>
      <c r="CF473" s="41" t="s">
        <v>22</v>
      </c>
      <c r="CG473" s="41">
        <f t="shared" si="262"/>
        <v>25000</v>
      </c>
      <c r="CH473" s="41">
        <f t="shared" si="263"/>
        <v>4.3979400086720375</v>
      </c>
      <c r="CI473" s="41">
        <f t="shared" si="264"/>
        <v>25000</v>
      </c>
      <c r="CJ473" s="41">
        <f t="shared" si="265"/>
        <v>4.3979400086720375</v>
      </c>
      <c r="CL473" s="9" t="s">
        <v>1269</v>
      </c>
      <c r="CM473" s="18" t="s">
        <v>1283</v>
      </c>
      <c r="CN473" s="54" t="s">
        <v>1284</v>
      </c>
      <c r="CO473" s="18" t="s">
        <v>1284</v>
      </c>
    </row>
    <row r="474" spans="1:93" x14ac:dyDescent="0.25">
      <c r="A474" t="s">
        <v>141</v>
      </c>
      <c r="B474" s="41">
        <v>2.29310344827586E-2</v>
      </c>
      <c r="C474" s="41">
        <v>0.50108297413793101</v>
      </c>
      <c r="D474" s="41">
        <v>4.5762948785496887E-2</v>
      </c>
      <c r="E474" s="41" t="s">
        <v>22</v>
      </c>
      <c r="F474" t="s">
        <v>22</v>
      </c>
      <c r="G474" t="s">
        <v>22</v>
      </c>
      <c r="H474" t="s">
        <v>22</v>
      </c>
      <c r="I474" t="s">
        <v>22</v>
      </c>
      <c r="J474" s="41" t="s">
        <v>22</v>
      </c>
      <c r="K474" t="s">
        <v>22</v>
      </c>
      <c r="L474" s="41" t="e">
        <f t="shared" si="259"/>
        <v>#VALUE!</v>
      </c>
      <c r="M474" t="s">
        <v>23</v>
      </c>
      <c r="N474" s="41" t="s">
        <v>22</v>
      </c>
      <c r="O474" s="41" t="s">
        <v>22</v>
      </c>
      <c r="P474" s="41" t="s">
        <v>22</v>
      </c>
      <c r="R474" s="41" t="s">
        <v>22</v>
      </c>
      <c r="S474" s="41" t="s">
        <v>22</v>
      </c>
      <c r="T474" s="41">
        <v>10</v>
      </c>
      <c r="U474" s="41">
        <v>10</v>
      </c>
      <c r="V474">
        <v>20200507</v>
      </c>
      <c r="W474" s="16" t="s">
        <v>37</v>
      </c>
      <c r="X474">
        <v>2011</v>
      </c>
      <c r="Y474" t="s">
        <v>26</v>
      </c>
      <c r="Z474" t="s">
        <v>38</v>
      </c>
      <c r="AC474" t="s">
        <v>514</v>
      </c>
      <c r="AD474" s="41">
        <v>25</v>
      </c>
      <c r="AE474" s="41" t="s">
        <v>22</v>
      </c>
      <c r="AF474" s="41" t="s">
        <v>22</v>
      </c>
      <c r="AG474" s="41" t="s">
        <v>22</v>
      </c>
      <c r="AH474" s="41" t="s">
        <v>22</v>
      </c>
      <c r="AI474" s="41" t="s">
        <v>22</v>
      </c>
      <c r="AJ474" s="41" t="s">
        <v>22</v>
      </c>
      <c r="AK474" s="41" t="s">
        <v>22</v>
      </c>
      <c r="AL474" s="41" t="s">
        <v>22</v>
      </c>
      <c r="AM474" s="43" t="e">
        <f t="shared" si="234"/>
        <v>#VALUE!</v>
      </c>
      <c r="AN474" s="43" t="e">
        <f t="shared" si="235"/>
        <v>#VALUE!</v>
      </c>
      <c r="AO474" s="3" t="s">
        <v>39</v>
      </c>
      <c r="AT474" s="2">
        <f t="shared" si="236"/>
        <v>10</v>
      </c>
      <c r="AU474" s="45">
        <f t="shared" si="237"/>
        <v>-1.639576352595852</v>
      </c>
      <c r="AV474" s="45">
        <f t="shared" si="238"/>
        <v>-0.30009035352087587</v>
      </c>
      <c r="AW474" s="45">
        <f t="shared" si="239"/>
        <v>-1.3394859990749761</v>
      </c>
      <c r="AX474" s="45" t="e">
        <f t="shared" si="240"/>
        <v>#VALUE!</v>
      </c>
      <c r="AY474" s="45" t="e">
        <f t="shared" si="241"/>
        <v>#VALUE!</v>
      </c>
      <c r="AZ474" s="45" t="e">
        <f t="shared" si="242"/>
        <v>#VALUE!</v>
      </c>
      <c r="BA474" s="45" t="e">
        <f t="shared" si="243"/>
        <v>#VALUE!</v>
      </c>
      <c r="BB474" s="45" t="e">
        <f t="shared" si="244"/>
        <v>#VALUE!</v>
      </c>
      <c r="BC474" s="45">
        <f t="shared" si="245"/>
        <v>1</v>
      </c>
      <c r="BD474" s="45">
        <f t="shared" si="246"/>
        <v>1.3979400086720377</v>
      </c>
      <c r="BE474" s="45" t="e">
        <f t="shared" si="247"/>
        <v>#VALUE!</v>
      </c>
      <c r="BF474" s="45" t="e">
        <f t="shared" si="248"/>
        <v>#VALUE!</v>
      </c>
      <c r="BG474" s="45" t="e">
        <f t="shared" si="249"/>
        <v>#VALUE!</v>
      </c>
      <c r="BH474" s="45" t="e">
        <f t="shared" si="250"/>
        <v>#NUM!</v>
      </c>
      <c r="BI474" s="43" t="e">
        <f t="shared" si="251"/>
        <v>#VALUE!</v>
      </c>
      <c r="CA474" s="41" t="s">
        <v>22</v>
      </c>
      <c r="CC474" t="s">
        <v>22</v>
      </c>
      <c r="CE474" s="41" t="s">
        <v>22</v>
      </c>
      <c r="CF474" s="41" t="s">
        <v>22</v>
      </c>
      <c r="CG474" s="41">
        <f t="shared" si="262"/>
        <v>25000</v>
      </c>
      <c r="CH474" s="41">
        <f t="shared" si="263"/>
        <v>4.3979400086720375</v>
      </c>
      <c r="CI474" s="41">
        <f t="shared" si="264"/>
        <v>25000</v>
      </c>
      <c r="CJ474" s="41">
        <f t="shared" si="265"/>
        <v>4.3979400086720375</v>
      </c>
      <c r="CL474" s="9" t="s">
        <v>1269</v>
      </c>
      <c r="CM474" s="18" t="s">
        <v>1283</v>
      </c>
      <c r="CN474" s="54" t="s">
        <v>1284</v>
      </c>
      <c r="CO474" s="18" t="s">
        <v>1284</v>
      </c>
    </row>
    <row r="475" spans="1:93" x14ac:dyDescent="0.25">
      <c r="A475" t="s">
        <v>141</v>
      </c>
      <c r="B475" s="41">
        <v>3.49137931034482E-2</v>
      </c>
      <c r="C475" s="41">
        <v>0.79141702586206897</v>
      </c>
      <c r="D475" s="41">
        <v>4.4115544602313254E-2</v>
      </c>
      <c r="E475" s="41" t="s">
        <v>22</v>
      </c>
      <c r="F475" t="s">
        <v>22</v>
      </c>
      <c r="G475" t="s">
        <v>22</v>
      </c>
      <c r="H475" t="s">
        <v>22</v>
      </c>
      <c r="I475" t="s">
        <v>22</v>
      </c>
      <c r="J475" s="41" t="s">
        <v>22</v>
      </c>
      <c r="K475" t="s">
        <v>22</v>
      </c>
      <c r="L475" s="41" t="e">
        <f t="shared" si="259"/>
        <v>#VALUE!</v>
      </c>
      <c r="M475" t="s">
        <v>23</v>
      </c>
      <c r="N475" s="41" t="s">
        <v>22</v>
      </c>
      <c r="O475" s="41" t="s">
        <v>22</v>
      </c>
      <c r="P475" s="41" t="s">
        <v>22</v>
      </c>
      <c r="R475" s="41" t="s">
        <v>22</v>
      </c>
      <c r="S475" s="41" t="s">
        <v>22</v>
      </c>
      <c r="T475" s="41">
        <v>10</v>
      </c>
      <c r="U475" s="41">
        <v>10</v>
      </c>
      <c r="V475">
        <v>20200507</v>
      </c>
      <c r="W475" s="16" t="s">
        <v>37</v>
      </c>
      <c r="X475">
        <v>2011</v>
      </c>
      <c r="Y475" t="s">
        <v>26</v>
      </c>
      <c r="Z475" t="s">
        <v>38</v>
      </c>
      <c r="AC475" t="s">
        <v>514</v>
      </c>
      <c r="AD475" s="41">
        <v>25</v>
      </c>
      <c r="AE475" s="41" t="s">
        <v>22</v>
      </c>
      <c r="AF475" s="41" t="s">
        <v>22</v>
      </c>
      <c r="AG475" s="41" t="s">
        <v>22</v>
      </c>
      <c r="AH475" s="41" t="s">
        <v>22</v>
      </c>
      <c r="AI475" s="41" t="s">
        <v>22</v>
      </c>
      <c r="AJ475" s="41" t="s">
        <v>22</v>
      </c>
      <c r="AK475" s="41" t="s">
        <v>22</v>
      </c>
      <c r="AL475" s="41" t="s">
        <v>22</v>
      </c>
      <c r="AM475" s="43" t="e">
        <f t="shared" si="234"/>
        <v>#VALUE!</v>
      </c>
      <c r="AN475" s="43" t="e">
        <f t="shared" si="235"/>
        <v>#VALUE!</v>
      </c>
      <c r="AO475" s="3" t="s">
        <v>39</v>
      </c>
      <c r="AT475" s="2">
        <f t="shared" si="236"/>
        <v>10</v>
      </c>
      <c r="AU475" s="45">
        <f t="shared" si="237"/>
        <v>-1.4570029660122508</v>
      </c>
      <c r="AV475" s="45">
        <f t="shared" si="238"/>
        <v>-0.10159461093325996</v>
      </c>
      <c r="AW475" s="45">
        <f t="shared" si="239"/>
        <v>-1.3554083550789908</v>
      </c>
      <c r="AX475" s="45" t="e">
        <f t="shared" si="240"/>
        <v>#VALUE!</v>
      </c>
      <c r="AY475" s="45" t="e">
        <f t="shared" si="241"/>
        <v>#VALUE!</v>
      </c>
      <c r="AZ475" s="45" t="e">
        <f t="shared" si="242"/>
        <v>#VALUE!</v>
      </c>
      <c r="BA475" s="45" t="e">
        <f t="shared" si="243"/>
        <v>#VALUE!</v>
      </c>
      <c r="BB475" s="45" t="e">
        <f t="shared" si="244"/>
        <v>#VALUE!</v>
      </c>
      <c r="BC475" s="45">
        <f t="shared" si="245"/>
        <v>1</v>
      </c>
      <c r="BD475" s="45">
        <f t="shared" si="246"/>
        <v>1.3979400086720377</v>
      </c>
      <c r="BE475" s="45" t="e">
        <f t="shared" si="247"/>
        <v>#VALUE!</v>
      </c>
      <c r="BF475" s="45" t="e">
        <f t="shared" si="248"/>
        <v>#VALUE!</v>
      </c>
      <c r="BG475" s="45" t="e">
        <f t="shared" si="249"/>
        <v>#VALUE!</v>
      </c>
      <c r="BH475" s="45" t="e">
        <f t="shared" si="250"/>
        <v>#NUM!</v>
      </c>
      <c r="BI475" s="43" t="e">
        <f t="shared" si="251"/>
        <v>#VALUE!</v>
      </c>
      <c r="CA475" s="41" t="s">
        <v>22</v>
      </c>
      <c r="CC475" t="s">
        <v>22</v>
      </c>
      <c r="CE475" s="41" t="s">
        <v>22</v>
      </c>
      <c r="CF475" s="41" t="s">
        <v>22</v>
      </c>
      <c r="CG475" s="41">
        <f t="shared" si="262"/>
        <v>25000</v>
      </c>
      <c r="CH475" s="41">
        <f t="shared" si="263"/>
        <v>4.3979400086720375</v>
      </c>
      <c r="CI475" s="41">
        <f t="shared" si="264"/>
        <v>25000</v>
      </c>
      <c r="CJ475" s="41">
        <f t="shared" si="265"/>
        <v>4.3979400086720375</v>
      </c>
      <c r="CL475" s="9" t="s">
        <v>1269</v>
      </c>
      <c r="CM475" s="18" t="s">
        <v>1283</v>
      </c>
      <c r="CN475" s="54" t="s">
        <v>1284</v>
      </c>
      <c r="CO475" s="18" t="s">
        <v>1284</v>
      </c>
    </row>
    <row r="476" spans="1:93" x14ac:dyDescent="0.25">
      <c r="A476" t="s">
        <v>141</v>
      </c>
      <c r="B476" s="41">
        <v>3.7241379310344797E-2</v>
      </c>
      <c r="C476" s="41">
        <v>0.80804956896551705</v>
      </c>
      <c r="D476" s="41">
        <v>4.6087988584687982E-2</v>
      </c>
      <c r="E476" s="41" t="s">
        <v>22</v>
      </c>
      <c r="F476" t="s">
        <v>22</v>
      </c>
      <c r="G476" t="s">
        <v>22</v>
      </c>
      <c r="H476" t="s">
        <v>22</v>
      </c>
      <c r="I476" t="s">
        <v>22</v>
      </c>
      <c r="J476" s="41" t="s">
        <v>22</v>
      </c>
      <c r="K476" t="s">
        <v>22</v>
      </c>
      <c r="L476" s="41" t="e">
        <f t="shared" si="259"/>
        <v>#VALUE!</v>
      </c>
      <c r="M476" t="s">
        <v>23</v>
      </c>
      <c r="N476" s="41" t="s">
        <v>22</v>
      </c>
      <c r="O476" s="41" t="s">
        <v>22</v>
      </c>
      <c r="P476" s="41" t="s">
        <v>22</v>
      </c>
      <c r="R476" s="41" t="s">
        <v>22</v>
      </c>
      <c r="S476" s="41" t="s">
        <v>22</v>
      </c>
      <c r="T476" s="41">
        <v>10</v>
      </c>
      <c r="U476" s="41">
        <v>10</v>
      </c>
      <c r="V476">
        <v>20200507</v>
      </c>
      <c r="W476" s="16" t="s">
        <v>37</v>
      </c>
      <c r="X476">
        <v>2011</v>
      </c>
      <c r="Y476" t="s">
        <v>26</v>
      </c>
      <c r="Z476" t="s">
        <v>38</v>
      </c>
      <c r="AC476" t="s">
        <v>514</v>
      </c>
      <c r="AD476" s="41">
        <v>25</v>
      </c>
      <c r="AE476" s="41" t="s">
        <v>22</v>
      </c>
      <c r="AF476" s="41" t="s">
        <v>22</v>
      </c>
      <c r="AG476" s="41" t="s">
        <v>22</v>
      </c>
      <c r="AH476" s="41" t="s">
        <v>22</v>
      </c>
      <c r="AI476" s="41" t="s">
        <v>22</v>
      </c>
      <c r="AJ476" s="41" t="s">
        <v>22</v>
      </c>
      <c r="AK476" s="41" t="s">
        <v>22</v>
      </c>
      <c r="AL476" s="41" t="s">
        <v>22</v>
      </c>
      <c r="AM476" s="43" t="e">
        <f t="shared" si="234"/>
        <v>#VALUE!</v>
      </c>
      <c r="AN476" s="43" t="e">
        <f t="shared" si="235"/>
        <v>#VALUE!</v>
      </c>
      <c r="AO476" s="3" t="s">
        <v>39</v>
      </c>
      <c r="AT476" s="2">
        <f t="shared" si="236"/>
        <v>10</v>
      </c>
      <c r="AU476" s="45">
        <f t="shared" si="237"/>
        <v>-1.4289742424120067</v>
      </c>
      <c r="AV476" s="45">
        <f t="shared" si="238"/>
        <v>-9.2561997062180892E-2</v>
      </c>
      <c r="AW476" s="45">
        <f t="shared" si="239"/>
        <v>-1.3364122453498259</v>
      </c>
      <c r="AX476" s="45" t="e">
        <f t="shared" si="240"/>
        <v>#VALUE!</v>
      </c>
      <c r="AY476" s="45" t="e">
        <f t="shared" si="241"/>
        <v>#VALUE!</v>
      </c>
      <c r="AZ476" s="45" t="e">
        <f t="shared" si="242"/>
        <v>#VALUE!</v>
      </c>
      <c r="BA476" s="45" t="e">
        <f t="shared" si="243"/>
        <v>#VALUE!</v>
      </c>
      <c r="BB476" s="45" t="e">
        <f t="shared" si="244"/>
        <v>#VALUE!</v>
      </c>
      <c r="BC476" s="45">
        <f t="shared" si="245"/>
        <v>1</v>
      </c>
      <c r="BD476" s="45">
        <f t="shared" si="246"/>
        <v>1.3979400086720377</v>
      </c>
      <c r="BE476" s="45" t="e">
        <f t="shared" si="247"/>
        <v>#VALUE!</v>
      </c>
      <c r="BF476" s="45" t="e">
        <f t="shared" si="248"/>
        <v>#VALUE!</v>
      </c>
      <c r="BG476" s="45" t="e">
        <f t="shared" si="249"/>
        <v>#VALUE!</v>
      </c>
      <c r="BH476" s="45" t="e">
        <f t="shared" si="250"/>
        <v>#NUM!</v>
      </c>
      <c r="BI476" s="43" t="e">
        <f t="shared" si="251"/>
        <v>#VALUE!</v>
      </c>
      <c r="CA476" s="41" t="s">
        <v>22</v>
      </c>
      <c r="CC476" t="s">
        <v>22</v>
      </c>
      <c r="CE476" s="41" t="s">
        <v>22</v>
      </c>
      <c r="CF476" s="41" t="s">
        <v>22</v>
      </c>
      <c r="CG476" s="41">
        <f t="shared" si="262"/>
        <v>25000</v>
      </c>
      <c r="CH476" s="41">
        <f t="shared" si="263"/>
        <v>4.3979400086720375</v>
      </c>
      <c r="CI476" s="41">
        <f t="shared" si="264"/>
        <v>25000</v>
      </c>
      <c r="CJ476" s="41">
        <f t="shared" si="265"/>
        <v>4.3979400086720375</v>
      </c>
      <c r="CL476" s="9" t="s">
        <v>1269</v>
      </c>
      <c r="CM476" s="18" t="s">
        <v>1283</v>
      </c>
      <c r="CN476" s="54" t="s">
        <v>1284</v>
      </c>
      <c r="CO476" s="18" t="s">
        <v>1284</v>
      </c>
    </row>
    <row r="477" spans="1:93" x14ac:dyDescent="0.25">
      <c r="A477" t="s">
        <v>141</v>
      </c>
      <c r="B477" s="41">
        <v>3.13793103448275E-2</v>
      </c>
      <c r="C477" s="41">
        <v>0.56903376436781605</v>
      </c>
      <c r="D477" s="41">
        <v>5.5144900548545171E-2</v>
      </c>
      <c r="E477" s="41" t="s">
        <v>22</v>
      </c>
      <c r="F477" t="s">
        <v>22</v>
      </c>
      <c r="G477" t="s">
        <v>22</v>
      </c>
      <c r="H477" t="s">
        <v>22</v>
      </c>
      <c r="I477" t="s">
        <v>22</v>
      </c>
      <c r="J477" s="41" t="s">
        <v>22</v>
      </c>
      <c r="K477" t="s">
        <v>22</v>
      </c>
      <c r="L477" s="41" t="e">
        <f t="shared" si="259"/>
        <v>#VALUE!</v>
      </c>
      <c r="M477" t="s">
        <v>23</v>
      </c>
      <c r="N477" s="41" t="s">
        <v>22</v>
      </c>
      <c r="O477" s="41" t="s">
        <v>22</v>
      </c>
      <c r="P477" s="41" t="s">
        <v>22</v>
      </c>
      <c r="R477" s="41" t="s">
        <v>22</v>
      </c>
      <c r="S477" s="41" t="s">
        <v>22</v>
      </c>
      <c r="T477" s="41">
        <v>10</v>
      </c>
      <c r="U477" s="41">
        <v>10</v>
      </c>
      <c r="V477">
        <v>20200507</v>
      </c>
      <c r="W477" s="16" t="s">
        <v>37</v>
      </c>
      <c r="X477">
        <v>2011</v>
      </c>
      <c r="Y477" t="s">
        <v>26</v>
      </c>
      <c r="Z477" t="s">
        <v>38</v>
      </c>
      <c r="AC477" t="s">
        <v>514</v>
      </c>
      <c r="AD477" s="41">
        <v>25</v>
      </c>
      <c r="AE477" s="41" t="s">
        <v>22</v>
      </c>
      <c r="AF477" s="41" t="s">
        <v>22</v>
      </c>
      <c r="AG477" s="41" t="s">
        <v>22</v>
      </c>
      <c r="AH477" s="41" t="s">
        <v>22</v>
      </c>
      <c r="AI477" s="41" t="s">
        <v>22</v>
      </c>
      <c r="AJ477" s="41" t="s">
        <v>22</v>
      </c>
      <c r="AK477" s="41" t="s">
        <v>22</v>
      </c>
      <c r="AL477" s="41" t="s">
        <v>22</v>
      </c>
      <c r="AM477" s="43" t="e">
        <f t="shared" si="234"/>
        <v>#VALUE!</v>
      </c>
      <c r="AN477" s="43" t="e">
        <f t="shared" si="235"/>
        <v>#VALUE!</v>
      </c>
      <c r="AO477" s="3" t="s">
        <v>39</v>
      </c>
      <c r="AT477" s="2">
        <f t="shared" si="236"/>
        <v>10</v>
      </c>
      <c r="AU477" s="45">
        <f t="shared" si="237"/>
        <v>-1.5033566055778638</v>
      </c>
      <c r="AV477" s="45">
        <f t="shared" si="238"/>
        <v>-0.24486196340532509</v>
      </c>
      <c r="AW477" s="45">
        <f t="shared" si="239"/>
        <v>-1.2584946421725385</v>
      </c>
      <c r="AX477" s="45" t="e">
        <f t="shared" si="240"/>
        <v>#VALUE!</v>
      </c>
      <c r="AY477" s="45" t="e">
        <f t="shared" si="241"/>
        <v>#VALUE!</v>
      </c>
      <c r="AZ477" s="45" t="e">
        <f t="shared" si="242"/>
        <v>#VALUE!</v>
      </c>
      <c r="BA477" s="45" t="e">
        <f t="shared" si="243"/>
        <v>#VALUE!</v>
      </c>
      <c r="BB477" s="45" t="e">
        <f t="shared" si="244"/>
        <v>#VALUE!</v>
      </c>
      <c r="BC477" s="45">
        <f t="shared" si="245"/>
        <v>1</v>
      </c>
      <c r="BD477" s="45">
        <f t="shared" si="246"/>
        <v>1.3979400086720377</v>
      </c>
      <c r="BE477" s="45" t="e">
        <f t="shared" si="247"/>
        <v>#VALUE!</v>
      </c>
      <c r="BF477" s="45" t="e">
        <f t="shared" si="248"/>
        <v>#VALUE!</v>
      </c>
      <c r="BG477" s="45" t="e">
        <f t="shared" si="249"/>
        <v>#VALUE!</v>
      </c>
      <c r="BH477" s="45" t="e">
        <f t="shared" si="250"/>
        <v>#NUM!</v>
      </c>
      <c r="BI477" s="43" t="e">
        <f t="shared" si="251"/>
        <v>#VALUE!</v>
      </c>
      <c r="CA477" s="41" t="s">
        <v>22</v>
      </c>
      <c r="CC477" t="s">
        <v>22</v>
      </c>
      <c r="CE477" s="41" t="s">
        <v>22</v>
      </c>
      <c r="CF477" s="41" t="s">
        <v>22</v>
      </c>
      <c r="CG477" s="41">
        <f t="shared" si="262"/>
        <v>25000</v>
      </c>
      <c r="CH477" s="41">
        <f t="shared" si="263"/>
        <v>4.3979400086720375</v>
      </c>
      <c r="CI477" s="41">
        <f t="shared" si="264"/>
        <v>25000</v>
      </c>
      <c r="CJ477" s="41">
        <f t="shared" si="265"/>
        <v>4.3979400086720375</v>
      </c>
      <c r="CL477" s="9" t="s">
        <v>1269</v>
      </c>
      <c r="CM477" s="18" t="s">
        <v>1283</v>
      </c>
      <c r="CN477" s="54" t="s">
        <v>1284</v>
      </c>
      <c r="CO477" s="18" t="s">
        <v>1284</v>
      </c>
    </row>
    <row r="478" spans="1:93" x14ac:dyDescent="0.25">
      <c r="A478" t="s">
        <v>141</v>
      </c>
      <c r="B478" s="41">
        <v>3.0172413793103398E-2</v>
      </c>
      <c r="C478" s="41">
        <v>0.71883979885057403</v>
      </c>
      <c r="D478" s="41">
        <v>4.197376639600247E-2</v>
      </c>
      <c r="E478" s="41" t="s">
        <v>22</v>
      </c>
      <c r="F478" t="s">
        <v>22</v>
      </c>
      <c r="G478" t="s">
        <v>22</v>
      </c>
      <c r="H478" t="s">
        <v>22</v>
      </c>
      <c r="I478" t="s">
        <v>22</v>
      </c>
      <c r="J478" s="41" t="s">
        <v>22</v>
      </c>
      <c r="K478" t="s">
        <v>22</v>
      </c>
      <c r="L478" s="41" t="e">
        <f t="shared" si="259"/>
        <v>#VALUE!</v>
      </c>
      <c r="M478" t="s">
        <v>23</v>
      </c>
      <c r="N478" s="41" t="s">
        <v>22</v>
      </c>
      <c r="O478" s="41" t="s">
        <v>22</v>
      </c>
      <c r="P478" s="41" t="s">
        <v>22</v>
      </c>
      <c r="R478" s="41" t="s">
        <v>22</v>
      </c>
      <c r="S478" s="41" t="s">
        <v>22</v>
      </c>
      <c r="T478" s="41">
        <v>10</v>
      </c>
      <c r="U478" s="41">
        <v>10</v>
      </c>
      <c r="V478">
        <v>20200507</v>
      </c>
      <c r="W478" s="16" t="s">
        <v>37</v>
      </c>
      <c r="X478">
        <v>2011</v>
      </c>
      <c r="Y478" t="s">
        <v>26</v>
      </c>
      <c r="Z478" t="s">
        <v>38</v>
      </c>
      <c r="AC478" t="s">
        <v>514</v>
      </c>
      <c r="AD478" s="41">
        <v>25</v>
      </c>
      <c r="AE478" s="41" t="s">
        <v>22</v>
      </c>
      <c r="AF478" s="41" t="s">
        <v>22</v>
      </c>
      <c r="AG478" s="41" t="s">
        <v>22</v>
      </c>
      <c r="AH478" s="41" t="s">
        <v>22</v>
      </c>
      <c r="AI478" s="41" t="s">
        <v>22</v>
      </c>
      <c r="AJ478" s="41" t="s">
        <v>22</v>
      </c>
      <c r="AK478" s="41" t="s">
        <v>22</v>
      </c>
      <c r="AL478" s="41" t="s">
        <v>22</v>
      </c>
      <c r="AM478" s="43" t="e">
        <f t="shared" si="234"/>
        <v>#VALUE!</v>
      </c>
      <c r="AN478" s="43" t="e">
        <f t="shared" si="235"/>
        <v>#VALUE!</v>
      </c>
      <c r="AO478" s="3" t="s">
        <v>39</v>
      </c>
      <c r="AT478" s="2">
        <f t="shared" si="236"/>
        <v>10</v>
      </c>
      <c r="AU478" s="45">
        <f t="shared" si="237"/>
        <v>-1.5203899448766436</v>
      </c>
      <c r="AV478" s="45">
        <f t="shared" si="238"/>
        <v>-0.14336788601116876</v>
      </c>
      <c r="AW478" s="45">
        <f t="shared" si="239"/>
        <v>-1.3770220588654747</v>
      </c>
      <c r="AX478" s="45" t="e">
        <f t="shared" si="240"/>
        <v>#VALUE!</v>
      </c>
      <c r="AY478" s="45" t="e">
        <f t="shared" si="241"/>
        <v>#VALUE!</v>
      </c>
      <c r="AZ478" s="45" t="e">
        <f t="shared" si="242"/>
        <v>#VALUE!</v>
      </c>
      <c r="BA478" s="45" t="e">
        <f t="shared" si="243"/>
        <v>#VALUE!</v>
      </c>
      <c r="BB478" s="45" t="e">
        <f t="shared" si="244"/>
        <v>#VALUE!</v>
      </c>
      <c r="BC478" s="45">
        <f t="shared" si="245"/>
        <v>1</v>
      </c>
      <c r="BD478" s="45">
        <f t="shared" si="246"/>
        <v>1.3979400086720377</v>
      </c>
      <c r="BE478" s="45" t="e">
        <f t="shared" si="247"/>
        <v>#VALUE!</v>
      </c>
      <c r="BF478" s="45" t="e">
        <f t="shared" si="248"/>
        <v>#VALUE!</v>
      </c>
      <c r="BG478" s="45" t="e">
        <f t="shared" si="249"/>
        <v>#VALUE!</v>
      </c>
      <c r="BH478" s="45" t="e">
        <f t="shared" si="250"/>
        <v>#NUM!</v>
      </c>
      <c r="BI478" s="43" t="e">
        <f t="shared" si="251"/>
        <v>#VALUE!</v>
      </c>
      <c r="CA478" s="41" t="s">
        <v>22</v>
      </c>
      <c r="CC478" t="s">
        <v>22</v>
      </c>
      <c r="CE478" s="41" t="s">
        <v>22</v>
      </c>
      <c r="CF478" s="41" t="s">
        <v>22</v>
      </c>
      <c r="CG478" s="41">
        <f t="shared" si="262"/>
        <v>25000</v>
      </c>
      <c r="CH478" s="41">
        <f t="shared" si="263"/>
        <v>4.3979400086720375</v>
      </c>
      <c r="CI478" s="41">
        <f t="shared" si="264"/>
        <v>25000</v>
      </c>
      <c r="CJ478" s="41">
        <f t="shared" si="265"/>
        <v>4.3979400086720375</v>
      </c>
      <c r="CL478" s="9" t="s">
        <v>1269</v>
      </c>
      <c r="CM478" s="18" t="s">
        <v>1283</v>
      </c>
      <c r="CN478" s="54" t="s">
        <v>1284</v>
      </c>
      <c r="CO478" s="18" t="s">
        <v>1284</v>
      </c>
    </row>
    <row r="479" spans="1:93" x14ac:dyDescent="0.25">
      <c r="A479" t="s">
        <v>141</v>
      </c>
      <c r="B479" s="41">
        <v>3.4482758620689599E-2</v>
      </c>
      <c r="C479" s="41">
        <v>0.842898706896551</v>
      </c>
      <c r="D479" s="41">
        <v>4.0909730123624068E-2</v>
      </c>
      <c r="E479" s="41" t="s">
        <v>22</v>
      </c>
      <c r="F479" t="s">
        <v>22</v>
      </c>
      <c r="G479" t="s">
        <v>22</v>
      </c>
      <c r="H479" t="s">
        <v>22</v>
      </c>
      <c r="I479" t="s">
        <v>22</v>
      </c>
      <c r="J479" s="41" t="s">
        <v>22</v>
      </c>
      <c r="K479" t="s">
        <v>22</v>
      </c>
      <c r="L479" s="41" t="e">
        <f t="shared" si="259"/>
        <v>#VALUE!</v>
      </c>
      <c r="M479" t="s">
        <v>23</v>
      </c>
      <c r="N479" s="41" t="s">
        <v>22</v>
      </c>
      <c r="O479" s="41" t="s">
        <v>22</v>
      </c>
      <c r="P479" s="41" t="s">
        <v>22</v>
      </c>
      <c r="R479" s="41" t="s">
        <v>22</v>
      </c>
      <c r="S479" s="41" t="s">
        <v>22</v>
      </c>
      <c r="T479" s="41">
        <v>10</v>
      </c>
      <c r="U479" s="41">
        <v>10</v>
      </c>
      <c r="V479">
        <v>20200507</v>
      </c>
      <c r="W479" s="16" t="s">
        <v>37</v>
      </c>
      <c r="X479">
        <v>2011</v>
      </c>
      <c r="Y479" t="s">
        <v>26</v>
      </c>
      <c r="Z479" t="s">
        <v>38</v>
      </c>
      <c r="AC479" t="s">
        <v>514</v>
      </c>
      <c r="AD479" s="41">
        <v>25</v>
      </c>
      <c r="AE479" s="41" t="s">
        <v>22</v>
      </c>
      <c r="AF479" s="41" t="s">
        <v>22</v>
      </c>
      <c r="AG479" s="41" t="s">
        <v>22</v>
      </c>
      <c r="AH479" s="41" t="s">
        <v>22</v>
      </c>
      <c r="AI479" s="41" t="s">
        <v>22</v>
      </c>
      <c r="AJ479" s="41" t="s">
        <v>22</v>
      </c>
      <c r="AK479" s="41" t="s">
        <v>22</v>
      </c>
      <c r="AL479" s="41" t="s">
        <v>22</v>
      </c>
      <c r="AM479" s="43" t="e">
        <f t="shared" si="234"/>
        <v>#VALUE!</v>
      </c>
      <c r="AN479" s="43" t="e">
        <f t="shared" si="235"/>
        <v>#VALUE!</v>
      </c>
      <c r="AO479" s="3" t="s">
        <v>39</v>
      </c>
      <c r="AT479" s="2">
        <f t="shared" si="236"/>
        <v>10</v>
      </c>
      <c r="AU479" s="45">
        <f t="shared" si="237"/>
        <v>-1.4623979978989567</v>
      </c>
      <c r="AV479" s="45">
        <f t="shared" si="238"/>
        <v>-7.4224612420369859E-2</v>
      </c>
      <c r="AW479" s="45">
        <f t="shared" si="239"/>
        <v>-1.3881733854785869</v>
      </c>
      <c r="AX479" s="45" t="e">
        <f t="shared" si="240"/>
        <v>#VALUE!</v>
      </c>
      <c r="AY479" s="45" t="e">
        <f t="shared" si="241"/>
        <v>#VALUE!</v>
      </c>
      <c r="AZ479" s="45" t="e">
        <f t="shared" si="242"/>
        <v>#VALUE!</v>
      </c>
      <c r="BA479" s="45" t="e">
        <f t="shared" si="243"/>
        <v>#VALUE!</v>
      </c>
      <c r="BB479" s="45" t="e">
        <f t="shared" si="244"/>
        <v>#VALUE!</v>
      </c>
      <c r="BC479" s="45">
        <f t="shared" si="245"/>
        <v>1</v>
      </c>
      <c r="BD479" s="45">
        <f t="shared" si="246"/>
        <v>1.3979400086720377</v>
      </c>
      <c r="BE479" s="45" t="e">
        <f t="shared" si="247"/>
        <v>#VALUE!</v>
      </c>
      <c r="BF479" s="45" t="e">
        <f t="shared" si="248"/>
        <v>#VALUE!</v>
      </c>
      <c r="BG479" s="45" t="e">
        <f t="shared" si="249"/>
        <v>#VALUE!</v>
      </c>
      <c r="BH479" s="45" t="e">
        <f t="shared" si="250"/>
        <v>#NUM!</v>
      </c>
      <c r="BI479" s="43" t="e">
        <f t="shared" si="251"/>
        <v>#VALUE!</v>
      </c>
      <c r="CA479" s="41" t="s">
        <v>22</v>
      </c>
      <c r="CC479" t="s">
        <v>22</v>
      </c>
      <c r="CE479" s="41" t="s">
        <v>22</v>
      </c>
      <c r="CF479" s="41" t="s">
        <v>22</v>
      </c>
      <c r="CG479" s="41">
        <f t="shared" si="262"/>
        <v>25000</v>
      </c>
      <c r="CH479" s="41">
        <f t="shared" si="263"/>
        <v>4.3979400086720375</v>
      </c>
      <c r="CI479" s="41">
        <f t="shared" si="264"/>
        <v>25000</v>
      </c>
      <c r="CJ479" s="41">
        <f t="shared" si="265"/>
        <v>4.3979400086720375</v>
      </c>
      <c r="CL479" s="9" t="s">
        <v>1269</v>
      </c>
      <c r="CM479" s="18" t="s">
        <v>1283</v>
      </c>
      <c r="CN479" s="54" t="s">
        <v>1284</v>
      </c>
      <c r="CO479" s="18" t="s">
        <v>1284</v>
      </c>
    </row>
    <row r="480" spans="1:93" x14ac:dyDescent="0.25">
      <c r="A480" t="s">
        <v>141</v>
      </c>
      <c r="B480" s="41">
        <v>3.6982758620689601E-2</v>
      </c>
      <c r="C480" s="41">
        <v>0.82942169540229904</v>
      </c>
      <c r="D480" s="41">
        <f>0.001*(B480*10^6)/(C480*0.001*100^3)</f>
        <v>4.458860773198324E-2</v>
      </c>
      <c r="E480" s="41" t="s">
        <v>22</v>
      </c>
      <c r="F480" t="s">
        <v>22</v>
      </c>
      <c r="G480" t="s">
        <v>22</v>
      </c>
      <c r="H480" t="s">
        <v>22</v>
      </c>
      <c r="I480" t="s">
        <v>22</v>
      </c>
      <c r="J480" s="41" t="s">
        <v>22</v>
      </c>
      <c r="K480" t="s">
        <v>22</v>
      </c>
      <c r="L480" s="41" t="e">
        <f t="shared" si="259"/>
        <v>#VALUE!</v>
      </c>
      <c r="M480" t="s">
        <v>23</v>
      </c>
      <c r="N480" s="41" t="s">
        <v>22</v>
      </c>
      <c r="O480" s="41" t="s">
        <v>22</v>
      </c>
      <c r="P480" s="41" t="s">
        <v>22</v>
      </c>
      <c r="R480" s="41" t="s">
        <v>22</v>
      </c>
      <c r="S480" s="41" t="s">
        <v>22</v>
      </c>
      <c r="T480" s="41">
        <v>10</v>
      </c>
      <c r="U480" s="41">
        <v>10</v>
      </c>
      <c r="V480">
        <v>20200507</v>
      </c>
      <c r="W480" s="16" t="s">
        <v>37</v>
      </c>
      <c r="X480">
        <v>2011</v>
      </c>
      <c r="Y480" t="s">
        <v>26</v>
      </c>
      <c r="Z480" t="s">
        <v>38</v>
      </c>
      <c r="AC480" t="s">
        <v>514</v>
      </c>
      <c r="AD480" s="41">
        <v>25</v>
      </c>
      <c r="AE480" s="41" t="s">
        <v>22</v>
      </c>
      <c r="AF480" s="41" t="s">
        <v>22</v>
      </c>
      <c r="AG480" s="41" t="s">
        <v>22</v>
      </c>
      <c r="AH480" s="41" t="s">
        <v>22</v>
      </c>
      <c r="AI480" s="41" t="s">
        <v>22</v>
      </c>
      <c r="AJ480" s="41" t="s">
        <v>22</v>
      </c>
      <c r="AK480" s="41" t="s">
        <v>22</v>
      </c>
      <c r="AL480" s="41" t="s">
        <v>22</v>
      </c>
      <c r="AM480" s="43" t="e">
        <f t="shared" si="234"/>
        <v>#VALUE!</v>
      </c>
      <c r="AN480" s="43" t="e">
        <f t="shared" si="235"/>
        <v>#VALUE!</v>
      </c>
      <c r="AO480" s="3" t="s">
        <v>39</v>
      </c>
      <c r="AT480" s="2">
        <f t="shared" si="236"/>
        <v>10</v>
      </c>
      <c r="AU480" s="45">
        <f t="shared" si="237"/>
        <v>-1.4320006970421948</v>
      </c>
      <c r="AV480" s="45">
        <f t="shared" si="238"/>
        <v>-8.1224608867985146E-2</v>
      </c>
      <c r="AW480" s="45">
        <f t="shared" si="239"/>
        <v>-1.3507760881742097</v>
      </c>
      <c r="AX480" s="45" t="e">
        <f t="shared" si="240"/>
        <v>#VALUE!</v>
      </c>
      <c r="AY480" s="45" t="e">
        <f t="shared" si="241"/>
        <v>#VALUE!</v>
      </c>
      <c r="AZ480" s="45" t="e">
        <f t="shared" si="242"/>
        <v>#VALUE!</v>
      </c>
      <c r="BA480" s="45" t="e">
        <f t="shared" si="243"/>
        <v>#VALUE!</v>
      </c>
      <c r="BB480" s="45" t="e">
        <f t="shared" si="244"/>
        <v>#VALUE!</v>
      </c>
      <c r="BC480" s="45">
        <f t="shared" si="245"/>
        <v>1</v>
      </c>
      <c r="BD480" s="45">
        <f t="shared" si="246"/>
        <v>1.3979400086720377</v>
      </c>
      <c r="BE480" s="45" t="e">
        <f t="shared" si="247"/>
        <v>#VALUE!</v>
      </c>
      <c r="BF480" s="45" t="e">
        <f t="shared" si="248"/>
        <v>#VALUE!</v>
      </c>
      <c r="BG480" s="45" t="e">
        <f t="shared" si="249"/>
        <v>#VALUE!</v>
      </c>
      <c r="BH480" s="45" t="e">
        <f t="shared" si="250"/>
        <v>#NUM!</v>
      </c>
      <c r="BI480" s="43" t="e">
        <f t="shared" si="251"/>
        <v>#VALUE!</v>
      </c>
      <c r="CA480" s="41" t="s">
        <v>22</v>
      </c>
      <c r="CC480" t="s">
        <v>22</v>
      </c>
      <c r="CE480" s="41" t="s">
        <v>22</v>
      </c>
      <c r="CF480" s="41" t="s">
        <v>22</v>
      </c>
      <c r="CG480" s="41">
        <f t="shared" si="262"/>
        <v>25000</v>
      </c>
      <c r="CH480" s="41">
        <f t="shared" si="263"/>
        <v>4.3979400086720375</v>
      </c>
      <c r="CI480" s="41">
        <f t="shared" si="264"/>
        <v>25000</v>
      </c>
      <c r="CJ480" s="41">
        <f t="shared" si="265"/>
        <v>4.3979400086720375</v>
      </c>
      <c r="CL480" s="9" t="s">
        <v>1269</v>
      </c>
      <c r="CM480" s="18" t="s">
        <v>1283</v>
      </c>
      <c r="CN480" s="54" t="s">
        <v>1284</v>
      </c>
      <c r="CO480" s="18" t="s">
        <v>1284</v>
      </c>
    </row>
    <row r="481" spans="1:93" x14ac:dyDescent="0.25">
      <c r="A481" t="s">
        <v>315</v>
      </c>
      <c r="B481" s="41">
        <v>1.3</v>
      </c>
      <c r="C481" s="41" t="s">
        <v>22</v>
      </c>
      <c r="D481" s="41" t="s">
        <v>22</v>
      </c>
      <c r="E481" s="41" t="s">
        <v>22</v>
      </c>
      <c r="F481" t="s">
        <v>22</v>
      </c>
      <c r="G481" t="s">
        <v>22</v>
      </c>
      <c r="H481" t="s">
        <v>22</v>
      </c>
      <c r="I481" t="s">
        <v>22</v>
      </c>
      <c r="J481" s="41">
        <v>64.099999999999994</v>
      </c>
      <c r="K481">
        <v>514</v>
      </c>
      <c r="L481" s="41">
        <f t="shared" si="259"/>
        <v>4.4741496432655996</v>
      </c>
      <c r="M481" t="s">
        <v>45</v>
      </c>
      <c r="N481" s="41" t="s">
        <v>22</v>
      </c>
      <c r="O481" s="41" t="s">
        <v>22</v>
      </c>
      <c r="P481" s="41" t="s">
        <v>22</v>
      </c>
      <c r="R481" s="41" t="s">
        <v>22</v>
      </c>
      <c r="S481" s="41" t="s">
        <v>22</v>
      </c>
      <c r="T481" s="41" t="s">
        <v>277</v>
      </c>
      <c r="U481" s="41">
        <v>1.72</v>
      </c>
      <c r="V481">
        <v>20200511</v>
      </c>
      <c r="W481" s="16" t="s">
        <v>276</v>
      </c>
      <c r="X481">
        <v>2011</v>
      </c>
      <c r="Y481" t="s">
        <v>328</v>
      </c>
      <c r="Z481" t="s">
        <v>276</v>
      </c>
      <c r="AC481" t="s">
        <v>269</v>
      </c>
      <c r="AD481" s="41" t="s">
        <v>22</v>
      </c>
      <c r="AE481" s="41" t="s">
        <v>22</v>
      </c>
      <c r="AF481" s="41" t="s">
        <v>22</v>
      </c>
      <c r="AG481" s="41" t="s">
        <v>22</v>
      </c>
      <c r="AH481" s="41" t="s">
        <v>22</v>
      </c>
      <c r="AI481" s="41" t="s">
        <v>22</v>
      </c>
      <c r="AJ481" s="41" t="s">
        <v>22</v>
      </c>
      <c r="AK481" s="41" t="s">
        <v>22</v>
      </c>
      <c r="AL481" s="41" t="s">
        <v>22</v>
      </c>
      <c r="AM481" s="43" t="e">
        <f t="shared" si="234"/>
        <v>#VALUE!</v>
      </c>
      <c r="AN481" s="43" t="e">
        <f t="shared" si="235"/>
        <v>#VALUE!</v>
      </c>
      <c r="AO481" s="3" t="s">
        <v>278</v>
      </c>
      <c r="AT481" s="2">
        <f t="shared" si="236"/>
        <v>1</v>
      </c>
      <c r="AU481" s="45">
        <f t="shared" si="237"/>
        <v>0.11394335230683679</v>
      </c>
      <c r="AV481" s="45" t="e">
        <f t="shared" si="238"/>
        <v>#VALUE!</v>
      </c>
      <c r="AW481" s="45" t="e">
        <f t="shared" si="239"/>
        <v>#VALUE!</v>
      </c>
      <c r="AX481" s="45" t="e">
        <f t="shared" si="240"/>
        <v>#VALUE!</v>
      </c>
      <c r="AY481" s="45" t="e">
        <f t="shared" si="241"/>
        <v>#VALUE!</v>
      </c>
      <c r="AZ481" s="45" t="e">
        <f t="shared" si="242"/>
        <v>#VALUE!</v>
      </c>
      <c r="BA481" s="45">
        <f t="shared" si="243"/>
        <v>1.8068580295188175</v>
      </c>
      <c r="BB481" s="45">
        <f t="shared" si="244"/>
        <v>0.65071050549992027</v>
      </c>
      <c r="BC481" s="45">
        <f t="shared" si="245"/>
        <v>0.2355284469075489</v>
      </c>
      <c r="BD481" s="45" t="e">
        <f t="shared" si="246"/>
        <v>#VALUE!</v>
      </c>
      <c r="BE481" s="45" t="e">
        <f t="shared" si="247"/>
        <v>#VALUE!</v>
      </c>
      <c r="BF481" s="45" t="e">
        <f t="shared" si="248"/>
        <v>#VALUE!</v>
      </c>
      <c r="BG481" s="45" t="e">
        <f t="shared" si="249"/>
        <v>#VALUE!</v>
      </c>
      <c r="BH481" s="45" t="e">
        <f t="shared" si="250"/>
        <v>#NUM!</v>
      </c>
      <c r="BI481" s="43" t="e">
        <f t="shared" si="251"/>
        <v>#VALUE!</v>
      </c>
      <c r="CA481" s="41" t="s">
        <v>22</v>
      </c>
      <c r="CC481" t="s">
        <v>22</v>
      </c>
      <c r="CE481" s="41" t="s">
        <v>22</v>
      </c>
      <c r="CF481" s="41" t="s">
        <v>22</v>
      </c>
      <c r="CG481" s="41" t="e">
        <f t="shared" si="262"/>
        <v>#VALUE!</v>
      </c>
      <c r="CH481" s="41" t="e">
        <f t="shared" si="263"/>
        <v>#VALUE!</v>
      </c>
      <c r="CI481" s="41">
        <f t="shared" si="264"/>
        <v>1.72</v>
      </c>
      <c r="CJ481" s="41">
        <f t="shared" si="265"/>
        <v>0.2355284469075489</v>
      </c>
      <c r="CL481" s="9" t="s">
        <v>1269</v>
      </c>
      <c r="CM481" s="18" t="s">
        <v>1285</v>
      </c>
      <c r="CN481" s="54" t="s">
        <v>1284</v>
      </c>
      <c r="CO481" s="18" t="s">
        <v>1284</v>
      </c>
    </row>
    <row r="482" spans="1:93" x14ac:dyDescent="0.25">
      <c r="A482" t="s">
        <v>266</v>
      </c>
      <c r="B482" s="41">
        <v>0.04</v>
      </c>
      <c r="C482" s="41" t="s">
        <v>22</v>
      </c>
      <c r="D482" s="41" t="s">
        <v>22</v>
      </c>
      <c r="E482" s="41" t="s">
        <v>22</v>
      </c>
      <c r="F482" t="s">
        <v>22</v>
      </c>
      <c r="G482" t="s">
        <v>22</v>
      </c>
      <c r="H482" t="s">
        <v>22</v>
      </c>
      <c r="I482" t="s">
        <v>22</v>
      </c>
      <c r="J482" s="41">
        <v>5.5555555555555554</v>
      </c>
      <c r="K482" t="s">
        <v>22</v>
      </c>
      <c r="M482" t="s">
        <v>23</v>
      </c>
      <c r="N482" s="41">
        <v>75</v>
      </c>
      <c r="O482" s="41" t="s">
        <v>22</v>
      </c>
      <c r="P482" s="41">
        <v>1.04</v>
      </c>
      <c r="R482" s="41">
        <f>N482*B482</f>
        <v>3</v>
      </c>
      <c r="S482" s="41" t="s">
        <v>22</v>
      </c>
      <c r="T482" s="41" t="s">
        <v>22</v>
      </c>
      <c r="U482" s="41" t="s">
        <v>22</v>
      </c>
      <c r="V482">
        <v>20200511</v>
      </c>
      <c r="W482" s="16" t="s">
        <v>658</v>
      </c>
      <c r="X482">
        <v>2011</v>
      </c>
      <c r="Y482" t="s">
        <v>76</v>
      </c>
      <c r="Z482" t="s">
        <v>32</v>
      </c>
      <c r="AC482" t="s">
        <v>269</v>
      </c>
      <c r="AD482" s="41" t="s">
        <v>22</v>
      </c>
      <c r="AE482" s="41">
        <v>1578.6</v>
      </c>
      <c r="AF482" s="41" t="s">
        <v>22</v>
      </c>
      <c r="AG482" s="41" t="s">
        <v>22</v>
      </c>
      <c r="AH482" s="41" t="s">
        <v>22</v>
      </c>
      <c r="AI482" s="41" t="s">
        <v>22</v>
      </c>
      <c r="AJ482" s="41" t="s">
        <v>22</v>
      </c>
      <c r="AK482" s="41" t="s">
        <v>22</v>
      </c>
      <c r="AL482" s="41" t="s">
        <v>22</v>
      </c>
      <c r="AM482" s="43" t="e">
        <f t="shared" si="234"/>
        <v>#VALUE!</v>
      </c>
      <c r="AN482" s="43" t="e">
        <f t="shared" si="235"/>
        <v>#VALUE!</v>
      </c>
      <c r="AO482" s="3" t="s">
        <v>146</v>
      </c>
      <c r="AT482" s="2">
        <f t="shared" si="236"/>
        <v>9</v>
      </c>
      <c r="AU482" s="45">
        <f t="shared" si="237"/>
        <v>-1.3979400086720375</v>
      </c>
      <c r="AV482" s="45" t="e">
        <f t="shared" si="238"/>
        <v>#VALUE!</v>
      </c>
      <c r="AW482" s="45" t="e">
        <f t="shared" si="239"/>
        <v>#VALUE!</v>
      </c>
      <c r="AX482" s="45">
        <f t="shared" si="240"/>
        <v>1.8750612633917001</v>
      </c>
      <c r="AY482" s="45" t="e">
        <f t="shared" si="241"/>
        <v>#VALUE!</v>
      </c>
      <c r="AZ482" s="45">
        <f t="shared" si="242"/>
        <v>1.703333929878037E-2</v>
      </c>
      <c r="BA482" s="45">
        <f t="shared" si="243"/>
        <v>0.74472749489669388</v>
      </c>
      <c r="BB482" s="45" t="e">
        <f t="shared" si="244"/>
        <v>#NUM!</v>
      </c>
      <c r="BC482" s="45" t="e">
        <f t="shared" si="245"/>
        <v>#VALUE!</v>
      </c>
      <c r="BD482" s="45" t="e">
        <f t="shared" si="246"/>
        <v>#VALUE!</v>
      </c>
      <c r="BE482" s="45" t="e">
        <f t="shared" si="247"/>
        <v>#VALUE!</v>
      </c>
      <c r="BF482" s="45" t="e">
        <f t="shared" si="248"/>
        <v>#VALUE!</v>
      </c>
      <c r="BG482" s="45" t="e">
        <f t="shared" si="249"/>
        <v>#VALUE!</v>
      </c>
      <c r="BH482" s="45" t="e">
        <f t="shared" si="250"/>
        <v>#NUM!</v>
      </c>
      <c r="BI482" s="43" t="e">
        <f t="shared" si="251"/>
        <v>#VALUE!</v>
      </c>
      <c r="CA482" s="41" t="s">
        <v>22</v>
      </c>
      <c r="CC482" t="s">
        <v>22</v>
      </c>
      <c r="CE482" s="41" t="s">
        <v>22</v>
      </c>
      <c r="CF482" s="41" t="s">
        <v>22</v>
      </c>
      <c r="CG482" s="41" t="e">
        <f t="shared" si="262"/>
        <v>#VALUE!</v>
      </c>
      <c r="CH482" s="41" t="e">
        <f t="shared" si="263"/>
        <v>#VALUE!</v>
      </c>
      <c r="CI482" s="41" t="str">
        <f t="shared" si="264"/>
        <v>Not Reported/ Can not calculate</v>
      </c>
      <c r="CJ482" s="41" t="e">
        <f t="shared" si="265"/>
        <v>#VALUE!</v>
      </c>
      <c r="CL482" s="9" t="s">
        <v>1269</v>
      </c>
      <c r="CM482" s="18" t="s">
        <v>1284</v>
      </c>
      <c r="CN482" s="54" t="s">
        <v>1284</v>
      </c>
      <c r="CO482" s="18" t="s">
        <v>1284</v>
      </c>
    </row>
    <row r="483" spans="1:93" x14ac:dyDescent="0.25">
      <c r="A483" t="s">
        <v>266</v>
      </c>
      <c r="B483" s="41">
        <v>0.16</v>
      </c>
      <c r="C483" s="41" t="s">
        <v>22</v>
      </c>
      <c r="D483" s="41" t="s">
        <v>22</v>
      </c>
      <c r="E483" s="41" t="s">
        <v>22</v>
      </c>
      <c r="F483" t="s">
        <v>22</v>
      </c>
      <c r="G483" t="s">
        <v>22</v>
      </c>
      <c r="H483" t="s">
        <v>22</v>
      </c>
      <c r="I483" t="s">
        <v>22</v>
      </c>
      <c r="J483" s="41" t="s">
        <v>22</v>
      </c>
      <c r="K483" t="s">
        <v>22</v>
      </c>
      <c r="M483" t="s">
        <v>45</v>
      </c>
      <c r="N483" s="41" t="s">
        <v>22</v>
      </c>
      <c r="O483" s="41" t="s">
        <v>22</v>
      </c>
      <c r="P483" s="41" t="s">
        <v>22</v>
      </c>
      <c r="R483" s="41" t="s">
        <v>22</v>
      </c>
      <c r="S483" s="41" t="s">
        <v>22</v>
      </c>
      <c r="T483" s="41" t="s">
        <v>22</v>
      </c>
      <c r="U483" s="41" t="s">
        <v>22</v>
      </c>
      <c r="V483">
        <v>20200511</v>
      </c>
      <c r="W483" s="16" t="s">
        <v>659</v>
      </c>
      <c r="X483">
        <v>2011</v>
      </c>
      <c r="Y483" t="s">
        <v>76</v>
      </c>
      <c r="Z483" t="s">
        <v>667</v>
      </c>
      <c r="AA483" t="s">
        <v>737</v>
      </c>
      <c r="AB483" s="41">
        <v>0.04</v>
      </c>
      <c r="AC483" t="s">
        <v>269</v>
      </c>
      <c r="AD483" s="41" t="s">
        <v>22</v>
      </c>
      <c r="AE483" s="41" t="s">
        <v>22</v>
      </c>
      <c r="AF483" s="41" t="s">
        <v>22</v>
      </c>
      <c r="AG483" s="41" t="s">
        <v>22</v>
      </c>
      <c r="AH483" s="41" t="s">
        <v>22</v>
      </c>
      <c r="AI483" s="41" t="s">
        <v>22</v>
      </c>
      <c r="AJ483" s="41" t="s">
        <v>22</v>
      </c>
      <c r="AK483" s="41" t="s">
        <v>22</v>
      </c>
      <c r="AL483" s="41" t="s">
        <v>22</v>
      </c>
      <c r="AM483" s="43" t="e">
        <f t="shared" si="234"/>
        <v>#VALUE!</v>
      </c>
      <c r="AN483" s="43" t="e">
        <f t="shared" si="235"/>
        <v>#VALUE!</v>
      </c>
      <c r="AO483" s="3" t="s">
        <v>146</v>
      </c>
      <c r="AT483" s="2">
        <f t="shared" si="236"/>
        <v>9</v>
      </c>
      <c r="AU483" s="45">
        <f t="shared" si="237"/>
        <v>-0.79588001734407521</v>
      </c>
      <c r="AV483" s="45" t="e">
        <f t="shared" si="238"/>
        <v>#VALUE!</v>
      </c>
      <c r="AW483" s="45" t="e">
        <f t="shared" si="239"/>
        <v>#VALUE!</v>
      </c>
      <c r="AX483" s="45" t="e">
        <f t="shared" si="240"/>
        <v>#VALUE!</v>
      </c>
      <c r="AY483" s="45" t="e">
        <f t="shared" si="241"/>
        <v>#VALUE!</v>
      </c>
      <c r="AZ483" s="45" t="e">
        <f t="shared" si="242"/>
        <v>#VALUE!</v>
      </c>
      <c r="BA483" s="45" t="e">
        <f t="shared" si="243"/>
        <v>#VALUE!</v>
      </c>
      <c r="BB483" s="45" t="e">
        <f t="shared" si="244"/>
        <v>#NUM!</v>
      </c>
      <c r="BC483" s="45" t="e">
        <f t="shared" si="245"/>
        <v>#VALUE!</v>
      </c>
      <c r="BD483" s="45" t="e">
        <f t="shared" si="246"/>
        <v>#VALUE!</v>
      </c>
      <c r="BE483" s="45" t="e">
        <f t="shared" si="247"/>
        <v>#VALUE!</v>
      </c>
      <c r="BF483" s="45" t="e">
        <f t="shared" si="248"/>
        <v>#VALUE!</v>
      </c>
      <c r="BG483" s="45" t="e">
        <f t="shared" si="249"/>
        <v>#VALUE!</v>
      </c>
      <c r="BH483" s="45">
        <f t="shared" si="250"/>
        <v>-1.3979400086720375</v>
      </c>
      <c r="BI483" s="43" t="e">
        <f t="shared" si="251"/>
        <v>#VALUE!</v>
      </c>
      <c r="CA483" s="41" t="s">
        <v>22</v>
      </c>
      <c r="CC483" t="s">
        <v>22</v>
      </c>
      <c r="CE483" s="41" t="s">
        <v>22</v>
      </c>
      <c r="CF483" s="41" t="s">
        <v>22</v>
      </c>
      <c r="CG483" s="41" t="e">
        <f t="shared" si="262"/>
        <v>#VALUE!</v>
      </c>
      <c r="CH483" s="41" t="e">
        <f t="shared" si="263"/>
        <v>#VALUE!</v>
      </c>
      <c r="CI483" s="41" t="str">
        <f t="shared" si="264"/>
        <v>Not Reported/ Can not calculate</v>
      </c>
      <c r="CJ483" s="41" t="e">
        <f t="shared" si="265"/>
        <v>#VALUE!</v>
      </c>
      <c r="CL483" s="9" t="s">
        <v>1269</v>
      </c>
      <c r="CM483" s="18" t="s">
        <v>1284</v>
      </c>
      <c r="CN483" s="54" t="s">
        <v>1284</v>
      </c>
      <c r="CO483" s="18" t="s">
        <v>1284</v>
      </c>
    </row>
    <row r="484" spans="1:93" x14ac:dyDescent="0.25">
      <c r="A484" t="s">
        <v>266</v>
      </c>
      <c r="B484" s="41">
        <v>0.23800000000000002</v>
      </c>
      <c r="C484" s="41" t="s">
        <v>22</v>
      </c>
      <c r="D484" s="41" t="s">
        <v>22</v>
      </c>
      <c r="E484" s="41" t="s">
        <v>22</v>
      </c>
      <c r="F484" t="s">
        <v>22</v>
      </c>
      <c r="G484" t="s">
        <v>22</v>
      </c>
      <c r="H484" t="s">
        <v>22</v>
      </c>
      <c r="I484" t="s">
        <v>22</v>
      </c>
      <c r="J484" s="41">
        <v>1.1764705882352942</v>
      </c>
      <c r="K484" t="s">
        <v>22</v>
      </c>
      <c r="M484" t="s">
        <v>45</v>
      </c>
      <c r="N484" s="41">
        <v>150</v>
      </c>
      <c r="O484" s="41" t="s">
        <v>22</v>
      </c>
      <c r="P484" s="41">
        <v>10.18</v>
      </c>
      <c r="R484" s="41">
        <f>N484*B484</f>
        <v>35.700000000000003</v>
      </c>
      <c r="S484" s="41" t="s">
        <v>22</v>
      </c>
      <c r="T484" s="41" t="s">
        <v>22</v>
      </c>
      <c r="U484" s="41" t="s">
        <v>22</v>
      </c>
      <c r="V484">
        <v>20200511</v>
      </c>
      <c r="W484" s="16" t="s">
        <v>660</v>
      </c>
      <c r="X484">
        <v>2011</v>
      </c>
      <c r="Y484" t="s">
        <v>76</v>
      </c>
      <c r="Z484" t="s">
        <v>243</v>
      </c>
      <c r="AC484" t="s">
        <v>269</v>
      </c>
      <c r="AD484" s="41" t="s">
        <v>22</v>
      </c>
      <c r="AE484" s="41">
        <v>1594.1</v>
      </c>
      <c r="AF484" s="41" t="s">
        <v>22</v>
      </c>
      <c r="AG484" s="41" t="s">
        <v>22</v>
      </c>
      <c r="AH484" s="41" t="s">
        <v>22</v>
      </c>
      <c r="AI484" s="41" t="s">
        <v>22</v>
      </c>
      <c r="AJ484" s="41" t="s">
        <v>22</v>
      </c>
      <c r="AK484" s="41" t="s">
        <v>22</v>
      </c>
      <c r="AL484" s="41" t="s">
        <v>22</v>
      </c>
      <c r="AM484" s="43" t="e">
        <f t="shared" si="234"/>
        <v>#VALUE!</v>
      </c>
      <c r="AN484" s="43" t="e">
        <f t="shared" si="235"/>
        <v>#VALUE!</v>
      </c>
      <c r="AO484" s="3" t="s">
        <v>146</v>
      </c>
      <c r="AT484" s="2">
        <f t="shared" si="236"/>
        <v>9</v>
      </c>
      <c r="AU484" s="45">
        <f t="shared" si="237"/>
        <v>-0.62342304294348805</v>
      </c>
      <c r="AV484" s="45" t="e">
        <f t="shared" si="238"/>
        <v>#VALUE!</v>
      </c>
      <c r="AW484" s="45" t="e">
        <f t="shared" si="239"/>
        <v>#VALUE!</v>
      </c>
      <c r="AX484" s="45">
        <f t="shared" si="240"/>
        <v>2.1760912590556813</v>
      </c>
      <c r="AY484" s="45" t="e">
        <f t="shared" si="241"/>
        <v>#VALUE!</v>
      </c>
      <c r="AZ484" s="45">
        <f t="shared" si="242"/>
        <v>1.00774777800074</v>
      </c>
      <c r="BA484" s="45">
        <f t="shared" si="243"/>
        <v>7.0581074285707285E-2</v>
      </c>
      <c r="BB484" s="45" t="e">
        <f t="shared" si="244"/>
        <v>#NUM!</v>
      </c>
      <c r="BC484" s="45" t="e">
        <f t="shared" si="245"/>
        <v>#VALUE!</v>
      </c>
      <c r="BD484" s="45" t="e">
        <f t="shared" si="246"/>
        <v>#VALUE!</v>
      </c>
      <c r="BE484" s="45" t="e">
        <f t="shared" si="247"/>
        <v>#VALUE!</v>
      </c>
      <c r="BF484" s="45" t="e">
        <f t="shared" si="248"/>
        <v>#VALUE!</v>
      </c>
      <c r="BG484" s="45" t="e">
        <f t="shared" si="249"/>
        <v>#VALUE!</v>
      </c>
      <c r="BH484" s="45" t="e">
        <f t="shared" si="250"/>
        <v>#NUM!</v>
      </c>
      <c r="BI484" s="43" t="e">
        <f t="shared" si="251"/>
        <v>#VALUE!</v>
      </c>
      <c r="CA484" s="41" t="s">
        <v>22</v>
      </c>
      <c r="CC484" t="s">
        <v>22</v>
      </c>
      <c r="CE484" s="41" t="s">
        <v>22</v>
      </c>
      <c r="CF484" s="41" t="s">
        <v>22</v>
      </c>
      <c r="CG484" s="41" t="e">
        <f t="shared" si="262"/>
        <v>#VALUE!</v>
      </c>
      <c r="CH484" s="41" t="e">
        <f t="shared" si="263"/>
        <v>#VALUE!</v>
      </c>
      <c r="CI484" s="41" t="str">
        <f t="shared" si="264"/>
        <v>Not Reported/ Can not calculate</v>
      </c>
      <c r="CJ484" s="41" t="e">
        <f t="shared" si="265"/>
        <v>#VALUE!</v>
      </c>
      <c r="CL484" s="9" t="s">
        <v>1269</v>
      </c>
      <c r="CM484" s="18" t="s">
        <v>1284</v>
      </c>
      <c r="CN484" s="54" t="s">
        <v>1284</v>
      </c>
      <c r="CO484" s="18" t="s">
        <v>1284</v>
      </c>
    </row>
    <row r="485" spans="1:93" x14ac:dyDescent="0.25">
      <c r="A485" t="s">
        <v>266</v>
      </c>
      <c r="B485" s="41">
        <v>6.0000000000000005E-2</v>
      </c>
      <c r="C485" s="41" t="s">
        <v>22</v>
      </c>
      <c r="D485" s="41" t="s">
        <v>22</v>
      </c>
      <c r="E485" s="41" t="s">
        <v>22</v>
      </c>
      <c r="F485" t="s">
        <v>22</v>
      </c>
      <c r="G485" t="s">
        <v>22</v>
      </c>
      <c r="H485" t="s">
        <v>22</v>
      </c>
      <c r="I485" t="s">
        <v>22</v>
      </c>
      <c r="J485" s="41">
        <v>5.5555555555555554</v>
      </c>
      <c r="K485" t="s">
        <v>22</v>
      </c>
      <c r="M485" t="s">
        <v>23</v>
      </c>
      <c r="N485" s="41">
        <v>110</v>
      </c>
      <c r="O485" s="41" t="s">
        <v>22</v>
      </c>
      <c r="P485" s="41">
        <v>1.91</v>
      </c>
      <c r="R485" s="41">
        <f>N485*B485</f>
        <v>6.6000000000000005</v>
      </c>
      <c r="S485" s="41" t="s">
        <v>22</v>
      </c>
      <c r="T485" s="41" t="s">
        <v>22</v>
      </c>
      <c r="U485" s="41" t="s">
        <v>22</v>
      </c>
      <c r="V485">
        <v>20200511</v>
      </c>
      <c r="W485" s="16" t="s">
        <v>661</v>
      </c>
      <c r="X485" s="18">
        <v>2011</v>
      </c>
      <c r="Y485" t="s">
        <v>76</v>
      </c>
      <c r="Z485" t="s">
        <v>668</v>
      </c>
      <c r="AC485" t="s">
        <v>269</v>
      </c>
      <c r="AD485" s="41" t="s">
        <v>22</v>
      </c>
      <c r="AE485" s="41">
        <v>1578.6</v>
      </c>
      <c r="AF485" s="41" t="s">
        <v>22</v>
      </c>
      <c r="AG485" s="41" t="s">
        <v>22</v>
      </c>
      <c r="AH485" s="41" t="s">
        <v>22</v>
      </c>
      <c r="AI485" s="41" t="s">
        <v>22</v>
      </c>
      <c r="AJ485" s="41" t="s">
        <v>22</v>
      </c>
      <c r="AK485" s="41" t="s">
        <v>22</v>
      </c>
      <c r="AL485" s="41" t="s">
        <v>22</v>
      </c>
      <c r="AM485" s="43" t="e">
        <f t="shared" si="234"/>
        <v>#VALUE!</v>
      </c>
      <c r="AN485" s="43" t="e">
        <f t="shared" si="235"/>
        <v>#VALUE!</v>
      </c>
      <c r="AO485" s="3" t="s">
        <v>146</v>
      </c>
      <c r="AT485" s="2">
        <f t="shared" si="236"/>
        <v>9</v>
      </c>
      <c r="AU485" s="45">
        <f t="shared" si="237"/>
        <v>-1.2218487496163564</v>
      </c>
      <c r="AV485" s="45" t="e">
        <f t="shared" si="238"/>
        <v>#VALUE!</v>
      </c>
      <c r="AW485" s="45" t="e">
        <f t="shared" si="239"/>
        <v>#VALUE!</v>
      </c>
      <c r="AX485" s="45">
        <f t="shared" si="240"/>
        <v>2.0413926851582249</v>
      </c>
      <c r="AY485" s="45" t="e">
        <f t="shared" si="241"/>
        <v>#VALUE!</v>
      </c>
      <c r="AZ485" s="45">
        <f t="shared" si="242"/>
        <v>0.28103336724772754</v>
      </c>
      <c r="BA485" s="45">
        <f t="shared" si="243"/>
        <v>0.74472749489669388</v>
      </c>
      <c r="BB485" s="45" t="e">
        <f t="shared" si="244"/>
        <v>#NUM!</v>
      </c>
      <c r="BC485" s="45" t="e">
        <f t="shared" si="245"/>
        <v>#VALUE!</v>
      </c>
      <c r="BD485" s="45" t="e">
        <f t="shared" si="246"/>
        <v>#VALUE!</v>
      </c>
      <c r="BE485" s="45" t="e">
        <f t="shared" si="247"/>
        <v>#VALUE!</v>
      </c>
      <c r="BF485" s="45" t="e">
        <f t="shared" si="248"/>
        <v>#VALUE!</v>
      </c>
      <c r="BG485" s="45" t="e">
        <f t="shared" si="249"/>
        <v>#VALUE!</v>
      </c>
      <c r="BH485" s="45" t="e">
        <f t="shared" si="250"/>
        <v>#NUM!</v>
      </c>
      <c r="BI485" s="43" t="e">
        <f t="shared" si="251"/>
        <v>#VALUE!</v>
      </c>
      <c r="CA485" s="41" t="s">
        <v>22</v>
      </c>
      <c r="CC485" t="s">
        <v>22</v>
      </c>
      <c r="CE485" s="41" t="s">
        <v>22</v>
      </c>
      <c r="CF485" s="41" t="s">
        <v>22</v>
      </c>
      <c r="CG485" s="41" t="e">
        <f t="shared" si="262"/>
        <v>#VALUE!</v>
      </c>
      <c r="CH485" s="41" t="e">
        <f t="shared" si="263"/>
        <v>#VALUE!</v>
      </c>
      <c r="CI485" s="41" t="str">
        <f t="shared" si="264"/>
        <v>Not Reported/ Can not calculate</v>
      </c>
      <c r="CJ485" s="41" t="e">
        <f t="shared" si="265"/>
        <v>#VALUE!</v>
      </c>
      <c r="CL485" s="9" t="s">
        <v>1269</v>
      </c>
      <c r="CM485" s="18" t="s">
        <v>1284</v>
      </c>
      <c r="CN485" s="54" t="s">
        <v>1284</v>
      </c>
      <c r="CO485" s="18" t="s">
        <v>1284</v>
      </c>
    </row>
    <row r="486" spans="1:93" x14ac:dyDescent="0.25">
      <c r="A486" t="s">
        <v>266</v>
      </c>
      <c r="B486" s="41">
        <v>0.24000000000000002</v>
      </c>
      <c r="C486" s="41" t="s">
        <v>22</v>
      </c>
      <c r="D486" s="41" t="s">
        <v>22</v>
      </c>
      <c r="E486" s="41" t="s">
        <v>22</v>
      </c>
      <c r="F486" t="s">
        <v>22</v>
      </c>
      <c r="G486" t="s">
        <v>22</v>
      </c>
      <c r="H486" t="s">
        <v>22</v>
      </c>
      <c r="I486" t="s">
        <v>22</v>
      </c>
      <c r="J486" s="41" t="s">
        <v>22</v>
      </c>
      <c r="K486" t="s">
        <v>22</v>
      </c>
      <c r="M486" t="s">
        <v>45</v>
      </c>
      <c r="N486" s="41" t="s">
        <v>22</v>
      </c>
      <c r="O486" s="41" t="s">
        <v>22</v>
      </c>
      <c r="P486" s="41" t="s">
        <v>22</v>
      </c>
      <c r="R486" s="41" t="s">
        <v>22</v>
      </c>
      <c r="S486" s="41" t="s">
        <v>22</v>
      </c>
      <c r="T486" s="41" t="s">
        <v>22</v>
      </c>
      <c r="U486" s="41" t="s">
        <v>22</v>
      </c>
      <c r="V486">
        <v>20200511</v>
      </c>
      <c r="W486" s="16" t="s">
        <v>662</v>
      </c>
      <c r="X486" s="18">
        <v>2011</v>
      </c>
      <c r="Y486" t="s">
        <v>76</v>
      </c>
      <c r="Z486" t="s">
        <v>669</v>
      </c>
      <c r="AA486" t="s">
        <v>737</v>
      </c>
      <c r="AB486" s="41">
        <v>6.0000000000000005E-2</v>
      </c>
      <c r="AC486" t="s">
        <v>269</v>
      </c>
      <c r="AD486" s="41" t="s">
        <v>22</v>
      </c>
      <c r="AE486" s="41" t="s">
        <v>22</v>
      </c>
      <c r="AF486" s="41" t="s">
        <v>22</v>
      </c>
      <c r="AG486" s="41" t="s">
        <v>22</v>
      </c>
      <c r="AH486" s="41" t="s">
        <v>22</v>
      </c>
      <c r="AI486" s="41" t="s">
        <v>22</v>
      </c>
      <c r="AJ486" s="41" t="s">
        <v>22</v>
      </c>
      <c r="AK486" s="41" t="s">
        <v>22</v>
      </c>
      <c r="AL486" s="41" t="s">
        <v>22</v>
      </c>
      <c r="AM486" s="43" t="e">
        <f t="shared" si="234"/>
        <v>#VALUE!</v>
      </c>
      <c r="AN486" s="43" t="e">
        <f t="shared" si="235"/>
        <v>#VALUE!</v>
      </c>
      <c r="AO486" s="3" t="s">
        <v>146</v>
      </c>
      <c r="AT486" s="2">
        <f t="shared" si="236"/>
        <v>9</v>
      </c>
      <c r="AU486" s="45">
        <f t="shared" si="237"/>
        <v>-0.61978875828839397</v>
      </c>
      <c r="AV486" s="45" t="e">
        <f t="shared" si="238"/>
        <v>#VALUE!</v>
      </c>
      <c r="AW486" s="45" t="e">
        <f t="shared" si="239"/>
        <v>#VALUE!</v>
      </c>
      <c r="AX486" s="45" t="e">
        <f t="shared" si="240"/>
        <v>#VALUE!</v>
      </c>
      <c r="AY486" s="45" t="e">
        <f t="shared" si="241"/>
        <v>#VALUE!</v>
      </c>
      <c r="AZ486" s="45" t="e">
        <f t="shared" si="242"/>
        <v>#VALUE!</v>
      </c>
      <c r="BA486" s="45" t="e">
        <f t="shared" si="243"/>
        <v>#VALUE!</v>
      </c>
      <c r="BB486" s="45" t="e">
        <f t="shared" si="244"/>
        <v>#NUM!</v>
      </c>
      <c r="BC486" s="45" t="e">
        <f t="shared" si="245"/>
        <v>#VALUE!</v>
      </c>
      <c r="BD486" s="45" t="e">
        <f t="shared" si="246"/>
        <v>#VALUE!</v>
      </c>
      <c r="BE486" s="45" t="e">
        <f t="shared" si="247"/>
        <v>#VALUE!</v>
      </c>
      <c r="BF486" s="45" t="e">
        <f t="shared" si="248"/>
        <v>#VALUE!</v>
      </c>
      <c r="BG486" s="45" t="e">
        <f t="shared" si="249"/>
        <v>#VALUE!</v>
      </c>
      <c r="BH486" s="45">
        <f t="shared" si="250"/>
        <v>-1.2218487496163564</v>
      </c>
      <c r="BI486" s="43" t="e">
        <f t="shared" si="251"/>
        <v>#VALUE!</v>
      </c>
      <c r="CA486" s="41" t="s">
        <v>22</v>
      </c>
      <c r="CC486" t="s">
        <v>22</v>
      </c>
      <c r="CE486" s="41" t="s">
        <v>22</v>
      </c>
      <c r="CF486" s="41" t="s">
        <v>22</v>
      </c>
      <c r="CG486" s="41" t="e">
        <f t="shared" si="262"/>
        <v>#VALUE!</v>
      </c>
      <c r="CH486" s="41" t="e">
        <f t="shared" si="263"/>
        <v>#VALUE!</v>
      </c>
      <c r="CI486" s="41" t="str">
        <f t="shared" si="264"/>
        <v>Not Reported/ Can not calculate</v>
      </c>
      <c r="CJ486" s="41" t="e">
        <f t="shared" si="265"/>
        <v>#VALUE!</v>
      </c>
      <c r="CL486" s="9" t="s">
        <v>1269</v>
      </c>
      <c r="CM486" s="18" t="s">
        <v>1284</v>
      </c>
      <c r="CN486" s="54" t="s">
        <v>1284</v>
      </c>
      <c r="CO486" s="18" t="s">
        <v>1284</v>
      </c>
    </row>
    <row r="487" spans="1:93" x14ac:dyDescent="0.25">
      <c r="A487" t="s">
        <v>266</v>
      </c>
      <c r="B487" s="41">
        <v>0.62</v>
      </c>
      <c r="C487" s="41" t="s">
        <v>22</v>
      </c>
      <c r="D487" s="41" t="s">
        <v>22</v>
      </c>
      <c r="E487" s="41" t="s">
        <v>22</v>
      </c>
      <c r="F487" t="s">
        <v>22</v>
      </c>
      <c r="G487" t="s">
        <v>22</v>
      </c>
      <c r="H487" t="s">
        <v>22</v>
      </c>
      <c r="I487" t="s">
        <v>22</v>
      </c>
      <c r="J487" s="41">
        <v>1.1764705882352942</v>
      </c>
      <c r="K487" t="s">
        <v>22</v>
      </c>
      <c r="M487" t="s">
        <v>45</v>
      </c>
      <c r="N487" s="41">
        <v>220</v>
      </c>
      <c r="O487" s="41" t="s">
        <v>22</v>
      </c>
      <c r="P487" s="41">
        <v>8.8000000000000007</v>
      </c>
      <c r="R487" s="41">
        <f>N487*B487</f>
        <v>136.4</v>
      </c>
      <c r="S487" s="41" t="s">
        <v>22</v>
      </c>
      <c r="T487" s="41" t="s">
        <v>22</v>
      </c>
      <c r="U487" s="41" t="s">
        <v>22</v>
      </c>
      <c r="V487">
        <v>20200511</v>
      </c>
      <c r="W487" s="21" t="s">
        <v>663</v>
      </c>
      <c r="X487">
        <v>2011</v>
      </c>
      <c r="Y487" t="s">
        <v>76</v>
      </c>
      <c r="Z487" t="s">
        <v>670</v>
      </c>
      <c r="AC487" t="s">
        <v>269</v>
      </c>
      <c r="AD487" s="41" t="s">
        <v>22</v>
      </c>
      <c r="AE487" s="41">
        <v>1594.1</v>
      </c>
      <c r="AF487" s="41" t="s">
        <v>22</v>
      </c>
      <c r="AG487" s="41" t="s">
        <v>22</v>
      </c>
      <c r="AH487" s="41" t="s">
        <v>22</v>
      </c>
      <c r="AI487" s="41" t="s">
        <v>22</v>
      </c>
      <c r="AJ487" s="41" t="s">
        <v>22</v>
      </c>
      <c r="AK487" s="41" t="s">
        <v>22</v>
      </c>
      <c r="AL487" s="41" t="s">
        <v>22</v>
      </c>
      <c r="AM487" s="43" t="e">
        <f t="shared" si="234"/>
        <v>#VALUE!</v>
      </c>
      <c r="AN487" s="43" t="e">
        <f t="shared" si="235"/>
        <v>#VALUE!</v>
      </c>
      <c r="AO487" s="3" t="s">
        <v>146</v>
      </c>
      <c r="AT487" s="2">
        <f t="shared" si="236"/>
        <v>9</v>
      </c>
      <c r="AU487" s="45">
        <f t="shared" si="237"/>
        <v>-0.20760831050174613</v>
      </c>
      <c r="AV487" s="45" t="e">
        <f t="shared" si="238"/>
        <v>#VALUE!</v>
      </c>
      <c r="AW487" s="45" t="e">
        <f t="shared" si="239"/>
        <v>#VALUE!</v>
      </c>
      <c r="AX487" s="45">
        <f t="shared" si="240"/>
        <v>2.3424226808222062</v>
      </c>
      <c r="AY487" s="45" t="e">
        <f t="shared" si="241"/>
        <v>#VALUE!</v>
      </c>
      <c r="AZ487" s="45">
        <f t="shared" si="242"/>
        <v>0.94448267215016868</v>
      </c>
      <c r="BA487" s="45">
        <f t="shared" si="243"/>
        <v>7.0581074285707285E-2</v>
      </c>
      <c r="BB487" s="45" t="e">
        <f t="shared" si="244"/>
        <v>#NUM!</v>
      </c>
      <c r="BC487" s="45" t="e">
        <f t="shared" si="245"/>
        <v>#VALUE!</v>
      </c>
      <c r="BD487" s="45" t="e">
        <f t="shared" si="246"/>
        <v>#VALUE!</v>
      </c>
      <c r="BE487" s="45" t="e">
        <f t="shared" si="247"/>
        <v>#VALUE!</v>
      </c>
      <c r="BF487" s="45" t="e">
        <f t="shared" si="248"/>
        <v>#VALUE!</v>
      </c>
      <c r="BG487" s="45" t="e">
        <f t="shared" si="249"/>
        <v>#VALUE!</v>
      </c>
      <c r="BH487" s="45" t="e">
        <f t="shared" si="250"/>
        <v>#NUM!</v>
      </c>
      <c r="BI487" s="43" t="e">
        <f t="shared" si="251"/>
        <v>#VALUE!</v>
      </c>
      <c r="CA487" s="41" t="s">
        <v>22</v>
      </c>
      <c r="CC487" t="s">
        <v>22</v>
      </c>
      <c r="CE487" s="41" t="s">
        <v>22</v>
      </c>
      <c r="CF487" s="41" t="s">
        <v>22</v>
      </c>
      <c r="CG487" s="41" t="e">
        <f t="shared" si="262"/>
        <v>#VALUE!</v>
      </c>
      <c r="CH487" s="41" t="e">
        <f t="shared" si="263"/>
        <v>#VALUE!</v>
      </c>
      <c r="CI487" s="41" t="str">
        <f t="shared" si="264"/>
        <v>Not Reported/ Can not calculate</v>
      </c>
      <c r="CJ487" s="41" t="e">
        <f t="shared" si="265"/>
        <v>#VALUE!</v>
      </c>
      <c r="CL487" s="9" t="s">
        <v>1269</v>
      </c>
      <c r="CM487" s="18" t="s">
        <v>1284</v>
      </c>
      <c r="CN487" s="54" t="s">
        <v>1284</v>
      </c>
      <c r="CO487" s="18" t="s">
        <v>1284</v>
      </c>
    </row>
    <row r="488" spans="1:93" x14ac:dyDescent="0.25">
      <c r="A488" t="s">
        <v>315</v>
      </c>
      <c r="B488" s="41">
        <v>1.5000000000000001E-2</v>
      </c>
      <c r="C488" s="41" t="s">
        <v>22</v>
      </c>
      <c r="D488" s="41" t="s">
        <v>22</v>
      </c>
      <c r="E488" s="41" t="s">
        <v>22</v>
      </c>
      <c r="F488" t="s">
        <v>22</v>
      </c>
      <c r="G488" t="s">
        <v>22</v>
      </c>
      <c r="H488" t="s">
        <v>22</v>
      </c>
      <c r="I488" t="s">
        <v>22</v>
      </c>
      <c r="J488" s="41" t="s">
        <v>22</v>
      </c>
      <c r="K488" t="s">
        <v>22</v>
      </c>
      <c r="M488" t="s">
        <v>23</v>
      </c>
      <c r="N488" s="41">
        <v>16.25</v>
      </c>
      <c r="O488" s="41" t="s">
        <v>22</v>
      </c>
      <c r="P488" s="41">
        <v>2.02</v>
      </c>
      <c r="R488" s="41">
        <f>N488*B488</f>
        <v>0.24375000000000002</v>
      </c>
      <c r="S488" s="41" t="s">
        <v>22</v>
      </c>
      <c r="T488" s="41" t="s">
        <v>22</v>
      </c>
      <c r="U488" s="41" t="s">
        <v>22</v>
      </c>
      <c r="V488">
        <v>20200511</v>
      </c>
      <c r="W488" s="21" t="s">
        <v>664</v>
      </c>
      <c r="X488">
        <v>2011</v>
      </c>
      <c r="Y488" t="s">
        <v>328</v>
      </c>
      <c r="Z488" t="s">
        <v>32</v>
      </c>
      <c r="AC488" t="s">
        <v>269</v>
      </c>
      <c r="AD488" s="41" t="s">
        <v>22</v>
      </c>
      <c r="AE488" s="41">
        <v>1595.7</v>
      </c>
      <c r="AF488" s="41" t="s">
        <v>22</v>
      </c>
      <c r="AG488" s="41" t="s">
        <v>22</v>
      </c>
      <c r="AH488" s="41" t="s">
        <v>22</v>
      </c>
      <c r="AI488" s="41" t="s">
        <v>22</v>
      </c>
      <c r="AJ488" s="41" t="s">
        <v>22</v>
      </c>
      <c r="AK488" s="41" t="s">
        <v>22</v>
      </c>
      <c r="AL488" s="41" t="s">
        <v>22</v>
      </c>
      <c r="AM488" s="43" t="e">
        <f t="shared" si="234"/>
        <v>#VALUE!</v>
      </c>
      <c r="AN488" s="43" t="e">
        <f t="shared" si="235"/>
        <v>#VALUE!</v>
      </c>
      <c r="AO488" s="3" t="s">
        <v>146</v>
      </c>
      <c r="AT488" s="2">
        <f t="shared" si="236"/>
        <v>9</v>
      </c>
      <c r="AU488" s="45">
        <f t="shared" si="237"/>
        <v>-1.8239087409443187</v>
      </c>
      <c r="AV488" s="45" t="e">
        <f t="shared" si="238"/>
        <v>#VALUE!</v>
      </c>
      <c r="AW488" s="45" t="e">
        <f t="shared" si="239"/>
        <v>#VALUE!</v>
      </c>
      <c r="AX488" s="45">
        <f t="shared" si="240"/>
        <v>1.2108533653148932</v>
      </c>
      <c r="AY488" s="45" t="e">
        <f t="shared" si="241"/>
        <v>#VALUE!</v>
      </c>
      <c r="AZ488" s="45">
        <f t="shared" si="242"/>
        <v>0.30535136944662378</v>
      </c>
      <c r="BA488" s="45" t="e">
        <f t="shared" si="243"/>
        <v>#VALUE!</v>
      </c>
      <c r="BB488" s="45" t="e">
        <f t="shared" si="244"/>
        <v>#NUM!</v>
      </c>
      <c r="BC488" s="45" t="e">
        <f t="shared" si="245"/>
        <v>#VALUE!</v>
      </c>
      <c r="BD488" s="45" t="e">
        <f t="shared" si="246"/>
        <v>#VALUE!</v>
      </c>
      <c r="BE488" s="45" t="e">
        <f t="shared" si="247"/>
        <v>#VALUE!</v>
      </c>
      <c r="BF488" s="45" t="e">
        <f t="shared" si="248"/>
        <v>#VALUE!</v>
      </c>
      <c r="BG488" s="45" t="e">
        <f t="shared" si="249"/>
        <v>#VALUE!</v>
      </c>
      <c r="BH488" s="45" t="e">
        <f t="shared" si="250"/>
        <v>#NUM!</v>
      </c>
      <c r="BI488" s="43" t="e">
        <f t="shared" si="251"/>
        <v>#VALUE!</v>
      </c>
      <c r="CA488" s="41" t="s">
        <v>22</v>
      </c>
      <c r="CC488" t="s">
        <v>22</v>
      </c>
      <c r="CE488" s="41" t="s">
        <v>22</v>
      </c>
      <c r="CF488" s="41" t="s">
        <v>22</v>
      </c>
      <c r="CG488" s="41" t="e">
        <f t="shared" si="262"/>
        <v>#VALUE!</v>
      </c>
      <c r="CH488" s="41" t="e">
        <f t="shared" si="263"/>
        <v>#VALUE!</v>
      </c>
      <c r="CI488" s="41" t="str">
        <f t="shared" si="264"/>
        <v>Not Reported/ Can not calculate</v>
      </c>
      <c r="CJ488" s="41" t="e">
        <f t="shared" si="265"/>
        <v>#VALUE!</v>
      </c>
      <c r="CL488" s="9" t="s">
        <v>1269</v>
      </c>
      <c r="CM488" s="18" t="s">
        <v>1284</v>
      </c>
      <c r="CN488" s="54" t="s">
        <v>1284</v>
      </c>
      <c r="CO488" s="18" t="s">
        <v>1284</v>
      </c>
    </row>
    <row r="489" spans="1:93" x14ac:dyDescent="0.25">
      <c r="A489" t="s">
        <v>315</v>
      </c>
      <c r="B489" s="41">
        <v>3.3000000000000002E-2</v>
      </c>
      <c r="C489" s="41" t="s">
        <v>22</v>
      </c>
      <c r="D489" s="41" t="s">
        <v>22</v>
      </c>
      <c r="E489" s="41" t="s">
        <v>22</v>
      </c>
      <c r="F489" t="s">
        <v>22</v>
      </c>
      <c r="G489" t="s">
        <v>22</v>
      </c>
      <c r="H489" t="s">
        <v>22</v>
      </c>
      <c r="I489" t="s">
        <v>22</v>
      </c>
      <c r="J489" s="41" t="s">
        <v>22</v>
      </c>
      <c r="K489" t="s">
        <v>22</v>
      </c>
      <c r="M489" t="s">
        <v>45</v>
      </c>
      <c r="N489" s="41" t="s">
        <v>22</v>
      </c>
      <c r="O489" s="41" t="s">
        <v>22</v>
      </c>
      <c r="P489" s="41" t="s">
        <v>22</v>
      </c>
      <c r="R489" s="41" t="s">
        <v>22</v>
      </c>
      <c r="S489" s="41" t="s">
        <v>22</v>
      </c>
      <c r="T489" s="41" t="s">
        <v>22</v>
      </c>
      <c r="U489" s="41" t="s">
        <v>22</v>
      </c>
      <c r="V489">
        <v>20200511</v>
      </c>
      <c r="W489" s="21" t="s">
        <v>665</v>
      </c>
      <c r="X489">
        <v>2011</v>
      </c>
      <c r="Y489" t="s">
        <v>328</v>
      </c>
      <c r="Z489" t="s">
        <v>667</v>
      </c>
      <c r="AA489" t="s">
        <v>737</v>
      </c>
      <c r="AB489" s="41">
        <v>1.4999999999999999E-2</v>
      </c>
      <c r="AC489" t="s">
        <v>269</v>
      </c>
      <c r="AD489" s="41" t="s">
        <v>22</v>
      </c>
      <c r="AE489" s="41" t="s">
        <v>22</v>
      </c>
      <c r="AF489" s="41" t="s">
        <v>22</v>
      </c>
      <c r="AG489" s="41" t="s">
        <v>22</v>
      </c>
      <c r="AH489" s="41" t="s">
        <v>22</v>
      </c>
      <c r="AI489" s="41" t="s">
        <v>22</v>
      </c>
      <c r="AJ489" s="41" t="s">
        <v>22</v>
      </c>
      <c r="AK489" s="41" t="s">
        <v>22</v>
      </c>
      <c r="AL489" s="41" t="s">
        <v>22</v>
      </c>
      <c r="AM489" s="43" t="e">
        <f t="shared" si="234"/>
        <v>#VALUE!</v>
      </c>
      <c r="AN489" s="43" t="e">
        <f t="shared" si="235"/>
        <v>#VALUE!</v>
      </c>
      <c r="AO489" s="3" t="s">
        <v>146</v>
      </c>
      <c r="AT489" s="2">
        <f t="shared" si="236"/>
        <v>9</v>
      </c>
      <c r="AU489" s="45">
        <f t="shared" si="237"/>
        <v>-1.4814860601221125</v>
      </c>
      <c r="AV489" s="45" t="e">
        <f t="shared" si="238"/>
        <v>#VALUE!</v>
      </c>
      <c r="AW489" s="45" t="e">
        <f t="shared" si="239"/>
        <v>#VALUE!</v>
      </c>
      <c r="AX489" s="45" t="e">
        <f t="shared" si="240"/>
        <v>#VALUE!</v>
      </c>
      <c r="AY489" s="45" t="e">
        <f t="shared" si="241"/>
        <v>#VALUE!</v>
      </c>
      <c r="AZ489" s="45" t="e">
        <f t="shared" si="242"/>
        <v>#VALUE!</v>
      </c>
      <c r="BA489" s="45" t="e">
        <f t="shared" si="243"/>
        <v>#VALUE!</v>
      </c>
      <c r="BB489" s="45" t="e">
        <f t="shared" si="244"/>
        <v>#NUM!</v>
      </c>
      <c r="BC489" s="45" t="e">
        <f t="shared" si="245"/>
        <v>#VALUE!</v>
      </c>
      <c r="BD489" s="45" t="e">
        <f t="shared" si="246"/>
        <v>#VALUE!</v>
      </c>
      <c r="BE489" s="45" t="e">
        <f t="shared" si="247"/>
        <v>#VALUE!</v>
      </c>
      <c r="BF489" s="45" t="e">
        <f t="shared" si="248"/>
        <v>#VALUE!</v>
      </c>
      <c r="BG489" s="45" t="e">
        <f t="shared" si="249"/>
        <v>#VALUE!</v>
      </c>
      <c r="BH489" s="45">
        <f t="shared" si="250"/>
        <v>-1.8239087409443189</v>
      </c>
      <c r="BI489" s="43" t="e">
        <f t="shared" si="251"/>
        <v>#VALUE!</v>
      </c>
      <c r="CA489" s="41" t="s">
        <v>22</v>
      </c>
      <c r="CC489" t="s">
        <v>22</v>
      </c>
      <c r="CE489" s="41" t="s">
        <v>22</v>
      </c>
      <c r="CF489" s="41" t="s">
        <v>22</v>
      </c>
      <c r="CG489" s="41" t="e">
        <f t="shared" si="262"/>
        <v>#VALUE!</v>
      </c>
      <c r="CH489" s="41" t="e">
        <f t="shared" si="263"/>
        <v>#VALUE!</v>
      </c>
      <c r="CI489" s="41" t="str">
        <f t="shared" si="264"/>
        <v>Not Reported/ Can not calculate</v>
      </c>
      <c r="CJ489" s="41" t="e">
        <f t="shared" si="265"/>
        <v>#VALUE!</v>
      </c>
      <c r="CL489" s="9" t="s">
        <v>1269</v>
      </c>
      <c r="CM489" s="18" t="s">
        <v>1284</v>
      </c>
      <c r="CN489" s="54" t="s">
        <v>1284</v>
      </c>
      <c r="CO489" s="18" t="s">
        <v>1284</v>
      </c>
    </row>
    <row r="490" spans="1:93" x14ac:dyDescent="0.25">
      <c r="A490" t="s">
        <v>315</v>
      </c>
      <c r="B490" s="41">
        <v>5.5E-2</v>
      </c>
      <c r="C490" s="41" t="s">
        <v>22</v>
      </c>
      <c r="D490" s="41" t="s">
        <v>22</v>
      </c>
      <c r="E490" s="41" t="s">
        <v>22</v>
      </c>
      <c r="F490" t="s">
        <v>22</v>
      </c>
      <c r="G490" t="s">
        <v>22</v>
      </c>
      <c r="H490" t="s">
        <v>22</v>
      </c>
      <c r="I490" t="s">
        <v>22</v>
      </c>
      <c r="J490" s="41" t="s">
        <v>22</v>
      </c>
      <c r="K490" t="s">
        <v>22</v>
      </c>
      <c r="M490" t="s">
        <v>45</v>
      </c>
      <c r="N490" s="41">
        <v>65</v>
      </c>
      <c r="O490" s="41" t="s">
        <v>22</v>
      </c>
      <c r="P490" s="41">
        <v>8.6</v>
      </c>
      <c r="R490" s="41">
        <f>N490*B490</f>
        <v>3.5750000000000002</v>
      </c>
      <c r="S490" s="41" t="s">
        <v>22</v>
      </c>
      <c r="T490" s="41" t="s">
        <v>22</v>
      </c>
      <c r="U490" s="41" t="s">
        <v>22</v>
      </c>
      <c r="V490">
        <v>20200511</v>
      </c>
      <c r="W490" s="21" t="s">
        <v>666</v>
      </c>
      <c r="X490">
        <v>2011</v>
      </c>
      <c r="Y490" t="s">
        <v>328</v>
      </c>
      <c r="Z490" t="s">
        <v>243</v>
      </c>
      <c r="AC490" t="s">
        <v>269</v>
      </c>
      <c r="AD490" s="41" t="s">
        <v>22</v>
      </c>
      <c r="AE490" s="41">
        <v>1597.7</v>
      </c>
      <c r="AF490" s="41" t="s">
        <v>22</v>
      </c>
      <c r="AG490" s="41" t="s">
        <v>22</v>
      </c>
      <c r="AH490" s="41" t="s">
        <v>22</v>
      </c>
      <c r="AI490" s="41" t="s">
        <v>22</v>
      </c>
      <c r="AJ490" s="41" t="s">
        <v>22</v>
      </c>
      <c r="AK490" s="41" t="s">
        <v>22</v>
      </c>
      <c r="AL490" s="41" t="s">
        <v>22</v>
      </c>
      <c r="AM490" s="43" t="e">
        <f t="shared" si="234"/>
        <v>#VALUE!</v>
      </c>
      <c r="AN490" s="43" t="e">
        <f t="shared" si="235"/>
        <v>#VALUE!</v>
      </c>
      <c r="AO490" s="3" t="s">
        <v>146</v>
      </c>
      <c r="AT490" s="2">
        <f t="shared" si="236"/>
        <v>9</v>
      </c>
      <c r="AU490" s="45">
        <f t="shared" si="237"/>
        <v>-1.2596373105057561</v>
      </c>
      <c r="AV490" s="45" t="e">
        <f t="shared" si="238"/>
        <v>#VALUE!</v>
      </c>
      <c r="AW490" s="45" t="e">
        <f t="shared" si="239"/>
        <v>#VALUE!</v>
      </c>
      <c r="AX490" s="45">
        <f t="shared" si="240"/>
        <v>1.8129133566428555</v>
      </c>
      <c r="AY490" s="45" t="e">
        <f t="shared" si="241"/>
        <v>#VALUE!</v>
      </c>
      <c r="AZ490" s="45">
        <f t="shared" si="242"/>
        <v>0.93449845124356767</v>
      </c>
      <c r="BA490" s="45" t="e">
        <f t="shared" si="243"/>
        <v>#VALUE!</v>
      </c>
      <c r="BB490" s="45" t="e">
        <f t="shared" si="244"/>
        <v>#NUM!</v>
      </c>
      <c r="BC490" s="45" t="e">
        <f t="shared" si="245"/>
        <v>#VALUE!</v>
      </c>
      <c r="BD490" s="45" t="e">
        <f t="shared" si="246"/>
        <v>#VALUE!</v>
      </c>
      <c r="BE490" s="45" t="e">
        <f t="shared" si="247"/>
        <v>#VALUE!</v>
      </c>
      <c r="BF490" s="45" t="e">
        <f t="shared" si="248"/>
        <v>#VALUE!</v>
      </c>
      <c r="BG490" s="45" t="e">
        <f t="shared" si="249"/>
        <v>#VALUE!</v>
      </c>
      <c r="BH490" s="45" t="e">
        <f t="shared" si="250"/>
        <v>#NUM!</v>
      </c>
      <c r="BI490" s="43" t="e">
        <f t="shared" si="251"/>
        <v>#VALUE!</v>
      </c>
      <c r="CA490" s="41" t="s">
        <v>22</v>
      </c>
      <c r="CC490" t="s">
        <v>22</v>
      </c>
      <c r="CE490" s="41" t="s">
        <v>22</v>
      </c>
      <c r="CF490" s="41" t="s">
        <v>22</v>
      </c>
      <c r="CG490" s="41" t="e">
        <f t="shared" si="262"/>
        <v>#VALUE!</v>
      </c>
      <c r="CH490" s="41" t="e">
        <f t="shared" si="263"/>
        <v>#VALUE!</v>
      </c>
      <c r="CI490" s="41" t="str">
        <f t="shared" si="264"/>
        <v>Not Reported/ Can not calculate</v>
      </c>
      <c r="CJ490" s="41" t="e">
        <f t="shared" si="265"/>
        <v>#VALUE!</v>
      </c>
      <c r="CL490" s="9" t="s">
        <v>1269</v>
      </c>
      <c r="CM490" s="18" t="s">
        <v>1284</v>
      </c>
      <c r="CN490" s="54" t="s">
        <v>1284</v>
      </c>
      <c r="CO490" s="18" t="s">
        <v>1284</v>
      </c>
    </row>
    <row r="491" spans="1:93" x14ac:dyDescent="0.25">
      <c r="A491" t="s">
        <v>266</v>
      </c>
      <c r="B491" s="41">
        <v>6.6</v>
      </c>
      <c r="C491" s="41">
        <v>0.33</v>
      </c>
      <c r="D491" s="43" t="s">
        <v>171</v>
      </c>
      <c r="E491" s="41" t="s">
        <v>22</v>
      </c>
      <c r="F491">
        <v>4.9400000000000004</v>
      </c>
      <c r="G491" t="s">
        <v>52</v>
      </c>
      <c r="H491" t="s">
        <v>22</v>
      </c>
      <c r="I491" t="s">
        <v>22</v>
      </c>
      <c r="J491" s="41" t="s">
        <v>22</v>
      </c>
      <c r="K491">
        <v>632</v>
      </c>
      <c r="L491" s="41" t="e">
        <f>IF((10^-12)*J491*K491^4=0,"",(10^-12)*J491*K491^4)</f>
        <v>#VALUE!</v>
      </c>
      <c r="M491" t="s">
        <v>45</v>
      </c>
      <c r="N491" s="41">
        <v>640</v>
      </c>
      <c r="O491" s="41">
        <v>1.9</v>
      </c>
      <c r="P491" s="41">
        <v>6.73</v>
      </c>
      <c r="R491" s="41">
        <f>N491*B491</f>
        <v>4224</v>
      </c>
      <c r="S491" s="41" t="s">
        <v>172</v>
      </c>
      <c r="T491" s="41" t="s">
        <v>173</v>
      </c>
      <c r="U491" s="41">
        <v>2.5</v>
      </c>
      <c r="V491">
        <v>20200508</v>
      </c>
      <c r="W491" s="21" t="s">
        <v>174</v>
      </c>
      <c r="X491">
        <v>2011</v>
      </c>
      <c r="Y491" t="s">
        <v>76</v>
      </c>
      <c r="Z491" t="s">
        <v>175</v>
      </c>
      <c r="AA491" t="s">
        <v>894</v>
      </c>
      <c r="AB491" s="41">
        <v>2</v>
      </c>
      <c r="AC491" t="s">
        <v>514</v>
      </c>
      <c r="AD491" s="41">
        <v>5.67</v>
      </c>
      <c r="AE491" s="41">
        <v>1584.4</v>
      </c>
      <c r="AF491" s="41" t="s">
        <v>22</v>
      </c>
      <c r="AG491" s="41">
        <v>80.555999999999997</v>
      </c>
      <c r="AH491" s="41">
        <v>33.794268369349098</v>
      </c>
      <c r="AI491" s="41" t="s">
        <v>22</v>
      </c>
      <c r="AJ491" s="41" t="s">
        <v>22</v>
      </c>
      <c r="AK491" s="41">
        <v>31.463515306997198</v>
      </c>
      <c r="AL491" s="41">
        <v>39.334442490014403</v>
      </c>
      <c r="AM491" s="43" t="e">
        <f t="shared" si="234"/>
        <v>#VALUE!</v>
      </c>
      <c r="AN491" s="43" t="e">
        <f t="shared" si="235"/>
        <v>#VALUE!</v>
      </c>
      <c r="AO491" s="3" t="s">
        <v>176</v>
      </c>
      <c r="AT491" s="2">
        <f t="shared" si="236"/>
        <v>3</v>
      </c>
      <c r="AU491" s="45">
        <f t="shared" si="237"/>
        <v>0.81954393554186866</v>
      </c>
      <c r="AV491" s="45">
        <f t="shared" si="238"/>
        <v>-0.48148606012211248</v>
      </c>
      <c r="AW491" s="45" t="e">
        <f t="shared" si="239"/>
        <v>#VALUE!</v>
      </c>
      <c r="AX491" s="45">
        <f t="shared" si="240"/>
        <v>2.8061799739838871</v>
      </c>
      <c r="AY491" s="45">
        <f t="shared" si="241"/>
        <v>0.27875360095282892</v>
      </c>
      <c r="AZ491" s="45">
        <f t="shared" si="242"/>
        <v>0.82801506422397686</v>
      </c>
      <c r="BA491" s="45" t="e">
        <f t="shared" si="243"/>
        <v>#VALUE!</v>
      </c>
      <c r="BB491" s="45" t="e">
        <f t="shared" si="244"/>
        <v>#VALUE!</v>
      </c>
      <c r="BC491" s="45">
        <f t="shared" si="245"/>
        <v>0.3979400086720376</v>
      </c>
      <c r="BD491" s="45">
        <f t="shared" si="246"/>
        <v>0.75358305889290655</v>
      </c>
      <c r="BE491" s="45" t="e">
        <f t="shared" si="247"/>
        <v>#VALUE!</v>
      </c>
      <c r="BF491" s="45" t="e">
        <f t="shared" si="248"/>
        <v>#VALUE!</v>
      </c>
      <c r="BG491" s="45" t="e">
        <f t="shared" si="249"/>
        <v>#VALUE!</v>
      </c>
      <c r="BH491" s="45">
        <f t="shared" si="250"/>
        <v>0.3010299956639812</v>
      </c>
      <c r="BI491" s="43" t="e">
        <f t="shared" si="251"/>
        <v>#VALUE!</v>
      </c>
      <c r="CA491" s="41" t="s">
        <v>22</v>
      </c>
      <c r="CC491" t="s">
        <v>22</v>
      </c>
      <c r="CE491" s="41" t="s">
        <v>22</v>
      </c>
      <c r="CF491" s="41" t="s">
        <v>22</v>
      </c>
      <c r="CG491" s="41">
        <f t="shared" si="262"/>
        <v>5670</v>
      </c>
      <c r="CH491" s="41">
        <f t="shared" si="263"/>
        <v>3.7535830588929064</v>
      </c>
      <c r="CI491" s="41">
        <f t="shared" si="264"/>
        <v>5670</v>
      </c>
      <c r="CJ491" s="41">
        <f t="shared" si="265"/>
        <v>3.7535830588929064</v>
      </c>
      <c r="CL491" s="9" t="s">
        <v>1269</v>
      </c>
      <c r="CM491" s="18" t="s">
        <v>1283</v>
      </c>
      <c r="CN491" s="54" t="s">
        <v>1284</v>
      </c>
      <c r="CO491" s="18" t="s">
        <v>1284</v>
      </c>
    </row>
    <row r="492" spans="1:93" x14ac:dyDescent="0.25">
      <c r="A492" t="s">
        <v>266</v>
      </c>
      <c r="B492" s="41">
        <v>2</v>
      </c>
      <c r="C492" s="41">
        <v>0.28000000000000003</v>
      </c>
      <c r="D492" s="43" t="s">
        <v>177</v>
      </c>
      <c r="E492" s="41" t="s">
        <v>22</v>
      </c>
      <c r="F492">
        <v>1.69</v>
      </c>
      <c r="G492" t="s">
        <v>52</v>
      </c>
      <c r="H492" t="s">
        <v>22</v>
      </c>
      <c r="I492" t="s">
        <v>22</v>
      </c>
      <c r="J492" s="41">
        <v>128</v>
      </c>
      <c r="K492">
        <v>632</v>
      </c>
      <c r="L492" s="41">
        <f>IF((10^-12)*J492*K492^4=0,"",(10^-12)*J492*K492^4)</f>
        <v>20.421060067328</v>
      </c>
      <c r="M492" t="s">
        <v>45</v>
      </c>
      <c r="N492" s="41">
        <v>320</v>
      </c>
      <c r="O492" s="41">
        <v>1.1000000000000001</v>
      </c>
      <c r="P492" s="41">
        <v>2.1</v>
      </c>
      <c r="R492" s="41">
        <f>N492*B492</f>
        <v>640</v>
      </c>
      <c r="S492" s="41" t="s">
        <v>178</v>
      </c>
      <c r="T492" s="41" t="s">
        <v>173</v>
      </c>
      <c r="U492" s="41">
        <v>2.5</v>
      </c>
      <c r="V492">
        <v>20200508</v>
      </c>
      <c r="W492" s="21" t="s">
        <v>618</v>
      </c>
      <c r="X492">
        <v>2011</v>
      </c>
      <c r="Y492" t="s">
        <v>76</v>
      </c>
      <c r="Z492" t="s">
        <v>619</v>
      </c>
      <c r="AC492" t="s">
        <v>514</v>
      </c>
      <c r="AD492" s="41">
        <v>5.51</v>
      </c>
      <c r="AE492" s="41">
        <v>1584.4</v>
      </c>
      <c r="AF492" s="41" t="s">
        <v>22</v>
      </c>
      <c r="AG492" s="41" t="s">
        <v>22</v>
      </c>
      <c r="AH492" s="41" t="s">
        <v>22</v>
      </c>
      <c r="AI492" s="41" t="s">
        <v>22</v>
      </c>
      <c r="AJ492" s="41" t="s">
        <v>22</v>
      </c>
      <c r="AK492" s="41" t="s">
        <v>22</v>
      </c>
      <c r="AL492" s="41" t="s">
        <v>22</v>
      </c>
      <c r="AM492" s="43" t="e">
        <f t="shared" si="234"/>
        <v>#VALUE!</v>
      </c>
      <c r="AN492" s="43" t="e">
        <f t="shared" si="235"/>
        <v>#VALUE!</v>
      </c>
      <c r="AO492" s="3" t="s">
        <v>176</v>
      </c>
      <c r="AT492" s="2">
        <f t="shared" si="236"/>
        <v>3</v>
      </c>
      <c r="AU492" s="45">
        <f t="shared" si="237"/>
        <v>0.3010299956639812</v>
      </c>
      <c r="AV492" s="45">
        <f t="shared" si="238"/>
        <v>-0.55284196865778079</v>
      </c>
      <c r="AW492" s="45" t="e">
        <f t="shared" si="239"/>
        <v>#VALUE!</v>
      </c>
      <c r="AX492" s="45">
        <f t="shared" si="240"/>
        <v>2.5051499783199058</v>
      </c>
      <c r="AY492" s="45">
        <f t="shared" si="241"/>
        <v>4.1392685158225077E-2</v>
      </c>
      <c r="AZ492" s="45">
        <f t="shared" si="242"/>
        <v>0.3222192947339193</v>
      </c>
      <c r="BA492" s="45">
        <f t="shared" si="243"/>
        <v>2.1072099696478683</v>
      </c>
      <c r="BB492" s="45">
        <f t="shared" si="244"/>
        <v>1.3100782827774085</v>
      </c>
      <c r="BC492" s="45">
        <f t="shared" si="245"/>
        <v>0.3979400086720376</v>
      </c>
      <c r="BD492" s="45">
        <f t="shared" si="246"/>
        <v>0.74115159885178505</v>
      </c>
      <c r="BE492" s="45" t="e">
        <f t="shared" si="247"/>
        <v>#VALUE!</v>
      </c>
      <c r="BF492" s="45" t="e">
        <f t="shared" si="248"/>
        <v>#VALUE!</v>
      </c>
      <c r="BG492" s="45" t="e">
        <f t="shared" si="249"/>
        <v>#VALUE!</v>
      </c>
      <c r="BH492" s="45" t="e">
        <f t="shared" si="250"/>
        <v>#NUM!</v>
      </c>
      <c r="BI492" s="43" t="e">
        <f t="shared" si="251"/>
        <v>#VALUE!</v>
      </c>
      <c r="CA492" s="41" t="s">
        <v>22</v>
      </c>
      <c r="CC492" t="s">
        <v>22</v>
      </c>
      <c r="CE492" s="41" t="s">
        <v>22</v>
      </c>
      <c r="CF492" s="41" t="s">
        <v>22</v>
      </c>
      <c r="CG492" s="41">
        <f t="shared" si="262"/>
        <v>5510</v>
      </c>
      <c r="CH492" s="41">
        <f t="shared" si="263"/>
        <v>3.7411515988517849</v>
      </c>
      <c r="CI492" s="41">
        <f t="shared" si="264"/>
        <v>5510</v>
      </c>
      <c r="CJ492" s="41">
        <f t="shared" si="265"/>
        <v>3.7411515988517849</v>
      </c>
      <c r="CL492" s="9" t="s">
        <v>1269</v>
      </c>
      <c r="CM492" s="18" t="s">
        <v>1283</v>
      </c>
      <c r="CN492" s="54" t="s">
        <v>1284</v>
      </c>
      <c r="CO492" s="18" t="s">
        <v>1284</v>
      </c>
    </row>
    <row r="493" spans="1:93" x14ac:dyDescent="0.25">
      <c r="A493" t="s">
        <v>266</v>
      </c>
      <c r="B493" s="41">
        <v>4.0999999999999996</v>
      </c>
      <c r="C493" s="41">
        <v>0.33</v>
      </c>
      <c r="D493" s="43" t="s">
        <v>1014</v>
      </c>
      <c r="E493" s="41" t="s">
        <v>22</v>
      </c>
      <c r="F493" t="s">
        <v>22</v>
      </c>
      <c r="G493" t="s">
        <v>52</v>
      </c>
      <c r="H493" t="s">
        <v>22</v>
      </c>
      <c r="I493" t="s">
        <v>22</v>
      </c>
      <c r="J493" s="41" t="s">
        <v>22</v>
      </c>
      <c r="K493">
        <v>632</v>
      </c>
      <c r="L493" s="41" t="e">
        <f>IF((10^-12)*J493*K493^4=0,"",(10^-12)*J493*K493^4)</f>
        <v>#VALUE!</v>
      </c>
      <c r="M493" t="s">
        <v>45</v>
      </c>
      <c r="N493" s="41" t="s">
        <v>22</v>
      </c>
      <c r="O493" s="41" t="s">
        <v>22</v>
      </c>
      <c r="P493" s="41" t="s">
        <v>22</v>
      </c>
      <c r="R493" s="41" t="e">
        <f>N493*B493</f>
        <v>#VALUE!</v>
      </c>
      <c r="S493" s="41" t="e">
        <f>O493*D493</f>
        <v>#VALUE!</v>
      </c>
      <c r="T493" s="41" t="s">
        <v>173</v>
      </c>
      <c r="U493" s="41">
        <v>2.5</v>
      </c>
      <c r="V493">
        <v>20200630</v>
      </c>
      <c r="W493" s="21" t="s">
        <v>174</v>
      </c>
      <c r="X493">
        <v>2011</v>
      </c>
      <c r="Y493" t="s">
        <v>76</v>
      </c>
      <c r="Z493" t="s">
        <v>175</v>
      </c>
      <c r="AA493" t="s">
        <v>894</v>
      </c>
      <c r="AB493" s="41">
        <v>2</v>
      </c>
      <c r="AC493" t="s">
        <v>514</v>
      </c>
      <c r="AD493" s="42">
        <v>4.22</v>
      </c>
      <c r="AE493" s="41">
        <v>1584.4</v>
      </c>
      <c r="AF493" s="41" t="s">
        <v>22</v>
      </c>
      <c r="AG493" s="41" t="s">
        <v>22</v>
      </c>
      <c r="AH493" s="41" t="s">
        <v>22</v>
      </c>
      <c r="AI493" s="41" t="s">
        <v>22</v>
      </c>
      <c r="AJ493" s="41" t="s">
        <v>22</v>
      </c>
      <c r="AK493" s="41" t="s">
        <v>22</v>
      </c>
      <c r="AL493" s="41" t="s">
        <v>22</v>
      </c>
      <c r="AM493" s="43" t="e">
        <f t="shared" si="234"/>
        <v>#VALUE!</v>
      </c>
      <c r="AN493" s="43" t="e">
        <f t="shared" si="235"/>
        <v>#VALUE!</v>
      </c>
      <c r="AO493" s="3" t="s">
        <v>176</v>
      </c>
      <c r="AT493" s="2">
        <f t="shared" si="236"/>
        <v>3</v>
      </c>
      <c r="AU493" s="45">
        <f t="shared" si="237"/>
        <v>0.61278385671973545</v>
      </c>
      <c r="AV493" s="45">
        <f t="shared" si="238"/>
        <v>-0.48148606012211248</v>
      </c>
      <c r="AW493" s="45" t="e">
        <f t="shared" si="239"/>
        <v>#VALUE!</v>
      </c>
      <c r="AX493" s="45" t="e">
        <f t="shared" si="240"/>
        <v>#VALUE!</v>
      </c>
      <c r="AY493" s="45" t="e">
        <f t="shared" si="241"/>
        <v>#VALUE!</v>
      </c>
      <c r="AZ493" s="45" t="e">
        <f t="shared" si="242"/>
        <v>#VALUE!</v>
      </c>
      <c r="BA493" s="45" t="e">
        <f t="shared" si="243"/>
        <v>#VALUE!</v>
      </c>
      <c r="BB493" s="45" t="e">
        <f t="shared" si="244"/>
        <v>#VALUE!</v>
      </c>
      <c r="BC493" s="45">
        <f t="shared" si="245"/>
        <v>0.3979400086720376</v>
      </c>
      <c r="BD493" s="45">
        <f t="shared" si="246"/>
        <v>0.62531245096167387</v>
      </c>
      <c r="BE493" s="45" t="e">
        <f t="shared" si="247"/>
        <v>#VALUE!</v>
      </c>
      <c r="BF493" s="45" t="e">
        <f t="shared" si="248"/>
        <v>#VALUE!</v>
      </c>
      <c r="BG493" s="45" t="e">
        <f t="shared" si="249"/>
        <v>#VALUE!</v>
      </c>
      <c r="BH493" s="45">
        <f t="shared" si="250"/>
        <v>0.3010299956639812</v>
      </c>
      <c r="BI493" s="43" t="e">
        <f t="shared" si="251"/>
        <v>#VALUE!</v>
      </c>
      <c r="BJ493" t="s">
        <v>520</v>
      </c>
      <c r="BK493" t="s">
        <v>521</v>
      </c>
      <c r="BL493" s="7" t="s">
        <v>974</v>
      </c>
      <c r="BM493" s="41">
        <v>22.5</v>
      </c>
      <c r="BN493" s="41">
        <v>1620000000</v>
      </c>
      <c r="BO493" s="43">
        <f>BN493/(C493*1000000)</f>
        <v>4909.090909090909</v>
      </c>
      <c r="BP493" s="41" t="s">
        <v>22</v>
      </c>
      <c r="BQ493" s="41" t="s">
        <v>22</v>
      </c>
      <c r="BR493" s="41" t="s">
        <v>22</v>
      </c>
      <c r="BS493" t="s">
        <v>22</v>
      </c>
      <c r="BT493" t="s">
        <v>22</v>
      </c>
      <c r="BU493" s="41" t="s">
        <v>22</v>
      </c>
      <c r="BV493" s="41" t="s">
        <v>22</v>
      </c>
      <c r="BW493" s="41" t="s">
        <v>22</v>
      </c>
      <c r="BX493" s="41" t="s">
        <v>22</v>
      </c>
      <c r="BY493" s="41" t="s">
        <v>22</v>
      </c>
      <c r="BZ493" s="41">
        <v>6500</v>
      </c>
      <c r="CA493" s="41" t="s">
        <v>22</v>
      </c>
      <c r="CC493" t="s">
        <v>1008</v>
      </c>
      <c r="CE493" s="41">
        <f>LOG10(BN493)</f>
        <v>9.2095150145426317</v>
      </c>
      <c r="CF493" s="41" t="e">
        <f>LOG10(BV493)</f>
        <v>#VALUE!</v>
      </c>
      <c r="CG493" s="41">
        <f t="shared" si="262"/>
        <v>4220</v>
      </c>
      <c r="CH493" s="41">
        <f t="shared" si="263"/>
        <v>3.6253124509616739</v>
      </c>
      <c r="CI493" s="41">
        <f t="shared" si="264"/>
        <v>4220</v>
      </c>
      <c r="CJ493" s="41">
        <f t="shared" si="265"/>
        <v>3.6253124509616739</v>
      </c>
      <c r="CL493" s="9" t="s">
        <v>1269</v>
      </c>
      <c r="CM493" s="18" t="s">
        <v>1283</v>
      </c>
      <c r="CN493" s="54" t="s">
        <v>1284</v>
      </c>
      <c r="CO493" s="18" t="s">
        <v>1284</v>
      </c>
    </row>
    <row r="494" spans="1:93" x14ac:dyDescent="0.25">
      <c r="A494" t="s">
        <v>342</v>
      </c>
      <c r="B494" s="41">
        <v>5.9827885985747954E-4</v>
      </c>
      <c r="C494" s="41" t="s">
        <v>22</v>
      </c>
      <c r="D494" s="41" t="s">
        <v>22</v>
      </c>
      <c r="E494" s="41" t="s">
        <v>22</v>
      </c>
      <c r="F494" t="s">
        <v>22</v>
      </c>
      <c r="G494" t="s">
        <v>22</v>
      </c>
      <c r="H494" t="s">
        <v>22</v>
      </c>
      <c r="I494" t="s">
        <v>22</v>
      </c>
      <c r="J494" s="41" t="s">
        <v>22</v>
      </c>
      <c r="K494" t="s">
        <v>22</v>
      </c>
      <c r="L494" s="41" t="e">
        <f>IF((10^-12)*J494*K494^4=0,"",(10^-12)*J494*K494^4)</f>
        <v>#VALUE!</v>
      </c>
      <c r="M494" t="s">
        <v>23</v>
      </c>
      <c r="N494" s="41" t="s">
        <v>22</v>
      </c>
      <c r="O494" s="41" t="s">
        <v>22</v>
      </c>
      <c r="P494" s="41" t="s">
        <v>22</v>
      </c>
      <c r="R494" s="41" t="s">
        <v>22</v>
      </c>
      <c r="S494" s="41" t="s">
        <v>22</v>
      </c>
      <c r="T494" s="41" t="s">
        <v>316</v>
      </c>
      <c r="U494" s="41">
        <v>65</v>
      </c>
      <c r="V494">
        <v>20200511</v>
      </c>
      <c r="W494" s="21"/>
      <c r="X494">
        <v>2011</v>
      </c>
      <c r="Y494" t="s">
        <v>328</v>
      </c>
      <c r="Z494" t="s">
        <v>32</v>
      </c>
      <c r="AC494" t="s">
        <v>269</v>
      </c>
      <c r="AD494" s="41" t="s">
        <v>22</v>
      </c>
      <c r="AE494" s="41" t="s">
        <v>22</v>
      </c>
      <c r="AF494" s="41" t="s">
        <v>22</v>
      </c>
      <c r="AG494" s="41" t="s">
        <v>22</v>
      </c>
      <c r="AH494" s="41">
        <v>1.8522565320665001</v>
      </c>
      <c r="AI494" s="41">
        <v>1.77244655581947</v>
      </c>
      <c r="AJ494" s="41">
        <v>1.67743467933491</v>
      </c>
      <c r="AK494" s="41">
        <v>1.43325415676959</v>
      </c>
      <c r="AL494" s="41">
        <v>0.99904988123515404</v>
      </c>
      <c r="AM494" s="43">
        <f t="shared" si="234"/>
        <v>0.56365585633878534</v>
      </c>
      <c r="AN494" s="43">
        <f t="shared" si="235"/>
        <v>0.59558198810535479</v>
      </c>
      <c r="AO494" s="3" t="s">
        <v>317</v>
      </c>
      <c r="AT494" s="2">
        <f t="shared" si="236"/>
        <v>2</v>
      </c>
      <c r="AU494" s="45">
        <f t="shared" si="237"/>
        <v>-3.2230963426526005</v>
      </c>
      <c r="AV494" s="45" t="e">
        <f t="shared" si="238"/>
        <v>#VALUE!</v>
      </c>
      <c r="AW494" s="45" t="e">
        <f t="shared" si="239"/>
        <v>#VALUE!</v>
      </c>
      <c r="AX494" s="45" t="e">
        <f t="shared" si="240"/>
        <v>#VALUE!</v>
      </c>
      <c r="AY494" s="45" t="e">
        <f t="shared" si="241"/>
        <v>#VALUE!</v>
      </c>
      <c r="AZ494" s="45" t="e">
        <f t="shared" si="242"/>
        <v>#VALUE!</v>
      </c>
      <c r="BA494" s="45" t="e">
        <f t="shared" si="243"/>
        <v>#VALUE!</v>
      </c>
      <c r="BB494" s="45" t="e">
        <f t="shared" si="244"/>
        <v>#VALUE!</v>
      </c>
      <c r="BC494" s="45">
        <f t="shared" si="245"/>
        <v>1.8129133566428555</v>
      </c>
      <c r="BD494" s="45" t="e">
        <f t="shared" si="246"/>
        <v>#VALUE!</v>
      </c>
      <c r="BE494" s="45" t="e">
        <f t="shared" si="247"/>
        <v>#VALUE!</v>
      </c>
      <c r="BF494" s="45">
        <f t="shared" si="248"/>
        <v>-0.24898597635450631</v>
      </c>
      <c r="BG494" s="45">
        <f t="shared" si="249"/>
        <v>-0.22505844487677443</v>
      </c>
      <c r="BH494" s="45" t="e">
        <f t="shared" si="250"/>
        <v>#NUM!</v>
      </c>
      <c r="BI494" s="43" t="e">
        <f t="shared" si="251"/>
        <v>#VALUE!</v>
      </c>
      <c r="CA494" s="41" t="s">
        <v>22</v>
      </c>
      <c r="CC494" t="s">
        <v>22</v>
      </c>
      <c r="CE494" s="41" t="s">
        <v>22</v>
      </c>
      <c r="CF494" s="41" t="s">
        <v>22</v>
      </c>
      <c r="CG494" s="41" t="e">
        <f t="shared" si="262"/>
        <v>#VALUE!</v>
      </c>
      <c r="CH494" s="41" t="e">
        <f t="shared" si="263"/>
        <v>#VALUE!</v>
      </c>
      <c r="CI494" s="41">
        <f t="shared" si="264"/>
        <v>65</v>
      </c>
      <c r="CJ494" s="41">
        <f t="shared" si="265"/>
        <v>1.8129133566428555</v>
      </c>
      <c r="CL494" s="9" t="s">
        <v>1269</v>
      </c>
      <c r="CM494" s="18" t="s">
        <v>1285</v>
      </c>
      <c r="CN494" s="54" t="s">
        <v>1284</v>
      </c>
      <c r="CO494" s="18" t="s">
        <v>1284</v>
      </c>
    </row>
    <row r="495" spans="1:93" x14ac:dyDescent="0.25">
      <c r="A495" t="s">
        <v>141</v>
      </c>
      <c r="B495" s="41">
        <v>2.0650019002375194E-3</v>
      </c>
      <c r="C495" s="41" t="s">
        <v>22</v>
      </c>
      <c r="D495" s="41" t="s">
        <v>22</v>
      </c>
      <c r="E495" s="41" t="s">
        <v>22</v>
      </c>
      <c r="F495" t="s">
        <v>22</v>
      </c>
      <c r="G495" t="s">
        <v>22</v>
      </c>
      <c r="H495" t="s">
        <v>22</v>
      </c>
      <c r="I495" t="s">
        <v>22</v>
      </c>
      <c r="J495" s="41" t="s">
        <v>22</v>
      </c>
      <c r="K495" t="s">
        <v>22</v>
      </c>
      <c r="M495" t="s">
        <v>23</v>
      </c>
      <c r="N495" s="41" t="s">
        <v>22</v>
      </c>
      <c r="O495" s="41" t="s">
        <v>22</v>
      </c>
      <c r="P495" s="41" t="s">
        <v>22</v>
      </c>
      <c r="R495" s="41" t="s">
        <v>22</v>
      </c>
      <c r="S495" s="41" t="s">
        <v>22</v>
      </c>
      <c r="T495" s="41" t="s">
        <v>316</v>
      </c>
      <c r="U495" s="41">
        <v>65</v>
      </c>
      <c r="V495">
        <v>20200511</v>
      </c>
      <c r="W495" s="21"/>
      <c r="X495">
        <v>2011</v>
      </c>
      <c r="Y495" t="s">
        <v>452</v>
      </c>
      <c r="Z495" t="s">
        <v>32</v>
      </c>
      <c r="AC495" t="s">
        <v>269</v>
      </c>
      <c r="AD495" s="41" t="s">
        <v>22</v>
      </c>
      <c r="AE495" s="41" t="s">
        <v>22</v>
      </c>
      <c r="AF495" s="41" t="s">
        <v>22</v>
      </c>
      <c r="AG495" s="41" t="s">
        <v>22</v>
      </c>
      <c r="AH495" s="41">
        <v>1.80665083135391</v>
      </c>
      <c r="AI495" s="41">
        <v>1.61852731591448</v>
      </c>
      <c r="AJ495" s="41">
        <v>1.5539192399049799</v>
      </c>
      <c r="AK495" s="41">
        <v>1.3059382422802801</v>
      </c>
      <c r="AL495" s="41">
        <v>0.99904988123515404</v>
      </c>
      <c r="AM495" s="43">
        <f t="shared" si="234"/>
        <v>0.61725858526563293</v>
      </c>
      <c r="AN495" s="43">
        <f t="shared" si="235"/>
        <v>0.64292265362274847</v>
      </c>
      <c r="AO495" s="3" t="s">
        <v>317</v>
      </c>
      <c r="AT495" s="2">
        <f t="shared" si="236"/>
        <v>2</v>
      </c>
      <c r="AU495" s="45">
        <f t="shared" si="237"/>
        <v>-2.6850795443648252</v>
      </c>
      <c r="AV495" s="45" t="e">
        <f t="shared" si="238"/>
        <v>#VALUE!</v>
      </c>
      <c r="AW495" s="45" t="e">
        <f t="shared" si="239"/>
        <v>#VALUE!</v>
      </c>
      <c r="AX495" s="45" t="e">
        <f t="shared" si="240"/>
        <v>#VALUE!</v>
      </c>
      <c r="AY495" s="45" t="e">
        <f t="shared" si="241"/>
        <v>#VALUE!</v>
      </c>
      <c r="AZ495" s="45" t="e">
        <f t="shared" si="242"/>
        <v>#VALUE!</v>
      </c>
      <c r="BA495" s="45" t="e">
        <f t="shared" si="243"/>
        <v>#VALUE!</v>
      </c>
      <c r="BB495" s="45" t="e">
        <f t="shared" si="244"/>
        <v>#NUM!</v>
      </c>
      <c r="BC495" s="45">
        <f t="shared" si="245"/>
        <v>1.8129133566428555</v>
      </c>
      <c r="BD495" s="45" t="e">
        <f t="shared" si="246"/>
        <v>#VALUE!</v>
      </c>
      <c r="BE495" s="45" t="e">
        <f t="shared" si="247"/>
        <v>#VALUE!</v>
      </c>
      <c r="BF495" s="45">
        <f t="shared" si="248"/>
        <v>-0.20953286088155396</v>
      </c>
      <c r="BG495" s="45">
        <f t="shared" si="249"/>
        <v>-0.19184127143865842</v>
      </c>
      <c r="BH495" s="45" t="e">
        <f t="shared" si="250"/>
        <v>#NUM!</v>
      </c>
      <c r="BI495" s="43" t="e">
        <f t="shared" si="251"/>
        <v>#VALUE!</v>
      </c>
      <c r="CA495" s="41" t="s">
        <v>22</v>
      </c>
      <c r="CC495" t="s">
        <v>22</v>
      </c>
      <c r="CE495" s="41" t="s">
        <v>22</v>
      </c>
      <c r="CF495" s="41" t="s">
        <v>22</v>
      </c>
      <c r="CG495" s="41" t="e">
        <f t="shared" si="262"/>
        <v>#VALUE!</v>
      </c>
      <c r="CH495" s="41" t="e">
        <f t="shared" si="263"/>
        <v>#VALUE!</v>
      </c>
      <c r="CI495" s="41">
        <f t="shared" si="264"/>
        <v>65</v>
      </c>
      <c r="CJ495" s="41">
        <f t="shared" si="265"/>
        <v>1.8129133566428555</v>
      </c>
      <c r="CL495" s="9" t="s">
        <v>1269</v>
      </c>
      <c r="CM495" s="18" t="s">
        <v>1285</v>
      </c>
      <c r="CN495" s="54" t="s">
        <v>1284</v>
      </c>
      <c r="CO495" s="18" t="s">
        <v>1284</v>
      </c>
    </row>
    <row r="496" spans="1:93" x14ac:dyDescent="0.25">
      <c r="A496" s="2" t="s">
        <v>352</v>
      </c>
      <c r="B496" s="41">
        <v>0.16</v>
      </c>
      <c r="C496" s="41">
        <v>2.1</v>
      </c>
      <c r="D496" s="41">
        <f>0.001*(B496*10^6)/(C496*0.001*100^3)</f>
        <v>7.619047619047617E-2</v>
      </c>
      <c r="E496" s="41" t="s">
        <v>22</v>
      </c>
      <c r="F496" t="s">
        <v>22</v>
      </c>
      <c r="G496" t="s">
        <v>22</v>
      </c>
      <c r="H496" t="s">
        <v>22</v>
      </c>
      <c r="I496" t="s">
        <v>22</v>
      </c>
      <c r="J496" s="41">
        <v>0.88</v>
      </c>
      <c r="K496" t="s">
        <v>22</v>
      </c>
      <c r="L496" s="41" t="e">
        <f t="shared" ref="L496:L509" si="266">IF((10^-12)*J496*K496^4=0,"",(10^-12)*J496*K496^4)</f>
        <v>#VALUE!</v>
      </c>
      <c r="M496" t="s">
        <v>23</v>
      </c>
      <c r="N496" s="41" t="s">
        <v>22</v>
      </c>
      <c r="O496" s="41" t="s">
        <v>22</v>
      </c>
      <c r="P496" s="41" t="s">
        <v>22</v>
      </c>
      <c r="R496" s="41" t="s">
        <v>22</v>
      </c>
      <c r="S496" s="41" t="s">
        <v>22</v>
      </c>
      <c r="T496" s="41">
        <v>33.25</v>
      </c>
      <c r="U496" s="41">
        <v>33.25</v>
      </c>
      <c r="V496">
        <v>20200609</v>
      </c>
      <c r="W496" s="21"/>
      <c r="X496" s="21">
        <v>2011</v>
      </c>
      <c r="Y496" s="6" t="s">
        <v>1133</v>
      </c>
      <c r="Z496" s="6" t="s">
        <v>32</v>
      </c>
      <c r="AA496" t="s">
        <v>22</v>
      </c>
      <c r="AB496" s="41" t="s">
        <v>22</v>
      </c>
      <c r="AC496" t="s">
        <v>514</v>
      </c>
      <c r="AD496" s="41" t="s">
        <v>22</v>
      </c>
      <c r="AE496" s="41">
        <v>1567</v>
      </c>
      <c r="AF496" s="41" t="s">
        <v>22</v>
      </c>
      <c r="AG496" s="41" t="s">
        <v>22</v>
      </c>
      <c r="AH496" s="41" t="s">
        <v>22</v>
      </c>
      <c r="AI496" s="41" t="s">
        <v>22</v>
      </c>
      <c r="AJ496" s="41" t="s">
        <v>22</v>
      </c>
      <c r="AK496" s="41" t="s">
        <v>22</v>
      </c>
      <c r="AL496" s="41">
        <v>21400</v>
      </c>
      <c r="AM496" s="43" t="e">
        <f t="shared" si="234"/>
        <v>#VALUE!</v>
      </c>
      <c r="AN496" s="43" t="e">
        <f t="shared" si="235"/>
        <v>#VALUE!</v>
      </c>
      <c r="AO496" s="18" t="s">
        <v>985</v>
      </c>
      <c r="AT496" s="2">
        <f t="shared" si="236"/>
        <v>1</v>
      </c>
      <c r="AU496" s="45">
        <f t="shared" si="237"/>
        <v>-0.79588001734407521</v>
      </c>
      <c r="AV496" s="45">
        <f t="shared" si="238"/>
        <v>0.3222192947339193</v>
      </c>
      <c r="AW496" s="45">
        <f t="shared" si="239"/>
        <v>-1.1180993120779945</v>
      </c>
      <c r="AX496" s="45" t="e">
        <f t="shared" si="240"/>
        <v>#VALUE!</v>
      </c>
      <c r="AY496" s="45" t="e">
        <f t="shared" si="241"/>
        <v>#VALUE!</v>
      </c>
      <c r="AZ496" s="45" t="e">
        <f t="shared" si="242"/>
        <v>#VALUE!</v>
      </c>
      <c r="BA496" s="45">
        <f t="shared" si="243"/>
        <v>-5.551732784983137E-2</v>
      </c>
      <c r="BB496" s="45" t="e">
        <f t="shared" si="244"/>
        <v>#VALUE!</v>
      </c>
      <c r="BC496" s="45">
        <f t="shared" si="245"/>
        <v>1.5217916496391235</v>
      </c>
      <c r="BD496" s="45" t="e">
        <f t="shared" si="246"/>
        <v>#VALUE!</v>
      </c>
      <c r="BE496" s="45" t="e">
        <f t="shared" si="247"/>
        <v>#VALUE!</v>
      </c>
      <c r="BF496" s="45" t="e">
        <f t="shared" si="248"/>
        <v>#VALUE!</v>
      </c>
      <c r="BG496" s="45" t="e">
        <f t="shared" si="249"/>
        <v>#VALUE!</v>
      </c>
      <c r="BH496" s="45" t="e">
        <f t="shared" si="250"/>
        <v>#VALUE!</v>
      </c>
      <c r="BI496" s="43" t="e">
        <f t="shared" si="251"/>
        <v>#VALUE!</v>
      </c>
      <c r="BJ496" t="s">
        <v>520</v>
      </c>
      <c r="BK496" t="s">
        <v>521</v>
      </c>
      <c r="BL496" s="7" t="s">
        <v>871</v>
      </c>
      <c r="BM496" s="41">
        <v>0.14000000000000001</v>
      </c>
      <c r="BN496" s="41">
        <v>161233341636.42737</v>
      </c>
      <c r="BO496" s="43">
        <f>BN496/(C496*1000000)</f>
        <v>76777.781731632087</v>
      </c>
      <c r="BP496" s="41" t="s">
        <v>22</v>
      </c>
      <c r="BQ496" s="41" t="s">
        <v>22</v>
      </c>
      <c r="BR496" s="41" t="s">
        <v>22</v>
      </c>
      <c r="BS496" t="s">
        <v>22</v>
      </c>
      <c r="BT496" t="s">
        <v>22</v>
      </c>
      <c r="BU496" s="41" t="s">
        <v>22</v>
      </c>
      <c r="BV496" s="41" t="s">
        <v>22</v>
      </c>
      <c r="BW496" s="41" t="s">
        <v>22</v>
      </c>
      <c r="BX496" s="41" t="s">
        <v>22</v>
      </c>
      <c r="BY496" s="41" t="s">
        <v>22</v>
      </c>
      <c r="BZ496" s="41" t="s">
        <v>22</v>
      </c>
      <c r="CA496" s="41">
        <v>3</v>
      </c>
      <c r="CC496" t="s">
        <v>1009</v>
      </c>
      <c r="CE496" s="41">
        <f>LOG10(BN496)</f>
        <v>11.20745485503382</v>
      </c>
      <c r="CF496" s="41" t="e">
        <f>LOG10(BV496)</f>
        <v>#VALUE!</v>
      </c>
      <c r="CG496" s="41" t="e">
        <f t="shared" si="262"/>
        <v>#VALUE!</v>
      </c>
      <c r="CH496" s="41" t="e">
        <f t="shared" si="263"/>
        <v>#VALUE!</v>
      </c>
      <c r="CI496" s="41">
        <f t="shared" si="264"/>
        <v>33.25</v>
      </c>
      <c r="CJ496" s="41">
        <f t="shared" si="265"/>
        <v>1.5217916496391235</v>
      </c>
      <c r="CL496" s="9" t="s">
        <v>1269</v>
      </c>
      <c r="CM496" s="18" t="s">
        <v>1285</v>
      </c>
      <c r="CN496" s="54">
        <v>0.47712125471966244</v>
      </c>
      <c r="CO496" s="18" t="s">
        <v>1286</v>
      </c>
    </row>
    <row r="497" spans="1:93" x14ac:dyDescent="0.25">
      <c r="A497" t="s">
        <v>345</v>
      </c>
      <c r="B497" s="41">
        <v>3</v>
      </c>
      <c r="C497" s="41" t="s">
        <v>22</v>
      </c>
      <c r="D497" s="41" t="s">
        <v>22</v>
      </c>
      <c r="E497" s="41" t="s">
        <v>22</v>
      </c>
      <c r="F497" t="s">
        <v>22</v>
      </c>
      <c r="G497" t="s">
        <v>22</v>
      </c>
      <c r="H497" t="s">
        <v>22</v>
      </c>
      <c r="I497" t="s">
        <v>22</v>
      </c>
      <c r="J497" s="41" t="s">
        <v>22</v>
      </c>
      <c r="K497" t="s">
        <v>22</v>
      </c>
      <c r="L497" s="41" t="e">
        <f t="shared" si="266"/>
        <v>#VALUE!</v>
      </c>
      <c r="M497" t="s">
        <v>45</v>
      </c>
      <c r="N497" s="41" t="s">
        <v>22</v>
      </c>
      <c r="O497" s="41" t="s">
        <v>22</v>
      </c>
      <c r="P497" s="41" t="s">
        <v>22</v>
      </c>
      <c r="R497" s="41" t="s">
        <v>22</v>
      </c>
      <c r="S497" s="41" t="s">
        <v>22</v>
      </c>
      <c r="T497" s="41" t="s">
        <v>22</v>
      </c>
      <c r="U497" s="41" t="s">
        <v>22</v>
      </c>
      <c r="V497">
        <v>20200518</v>
      </c>
      <c r="W497" s="21" t="s">
        <v>444</v>
      </c>
      <c r="X497">
        <v>2012</v>
      </c>
      <c r="Y497" t="s">
        <v>782</v>
      </c>
      <c r="Z497" t="s">
        <v>22</v>
      </c>
      <c r="AA497" t="s">
        <v>1086</v>
      </c>
      <c r="AB497" s="41">
        <v>0.45</v>
      </c>
      <c r="AC497" t="s">
        <v>22</v>
      </c>
      <c r="AD497" s="41" t="s">
        <v>22</v>
      </c>
      <c r="AE497" s="41" t="s">
        <v>22</v>
      </c>
      <c r="AF497" s="41" t="s">
        <v>22</v>
      </c>
      <c r="AG497" s="41" t="s">
        <v>22</v>
      </c>
      <c r="AH497" s="41" t="s">
        <v>22</v>
      </c>
      <c r="AI497" s="41" t="s">
        <v>22</v>
      </c>
      <c r="AJ497" s="41" t="s">
        <v>22</v>
      </c>
      <c r="AK497" s="41" t="s">
        <v>22</v>
      </c>
      <c r="AL497" s="41" t="s">
        <v>22</v>
      </c>
      <c r="AM497" s="43" t="e">
        <f t="shared" si="234"/>
        <v>#VALUE!</v>
      </c>
      <c r="AN497" s="43" t="e">
        <f t="shared" si="235"/>
        <v>#VALUE!</v>
      </c>
      <c r="AO497" s="3" t="s">
        <v>1156</v>
      </c>
      <c r="AT497" s="2">
        <f t="shared" si="236"/>
        <v>2</v>
      </c>
      <c r="AU497" s="45">
        <f t="shared" si="237"/>
        <v>0.47712125471966244</v>
      </c>
      <c r="AV497" s="45" t="e">
        <f t="shared" si="238"/>
        <v>#VALUE!</v>
      </c>
      <c r="AW497" s="45" t="e">
        <f t="shared" si="239"/>
        <v>#VALUE!</v>
      </c>
      <c r="AX497" s="45" t="e">
        <f t="shared" si="240"/>
        <v>#VALUE!</v>
      </c>
      <c r="AY497" s="45" t="e">
        <f t="shared" si="241"/>
        <v>#VALUE!</v>
      </c>
      <c r="AZ497" s="45" t="e">
        <f t="shared" si="242"/>
        <v>#VALUE!</v>
      </c>
      <c r="BA497" s="45" t="e">
        <f t="shared" si="243"/>
        <v>#VALUE!</v>
      </c>
      <c r="BB497" s="45" t="e">
        <f t="shared" si="244"/>
        <v>#VALUE!</v>
      </c>
      <c r="BC497" s="45" t="e">
        <f t="shared" si="245"/>
        <v>#VALUE!</v>
      </c>
      <c r="BD497" s="45" t="e">
        <f t="shared" si="246"/>
        <v>#VALUE!</v>
      </c>
      <c r="BE497" s="45" t="e">
        <f t="shared" si="247"/>
        <v>#VALUE!</v>
      </c>
      <c r="BF497" s="45" t="e">
        <f t="shared" si="248"/>
        <v>#VALUE!</v>
      </c>
      <c r="BG497" s="45" t="e">
        <f t="shared" si="249"/>
        <v>#VALUE!</v>
      </c>
      <c r="BH497" s="45">
        <f t="shared" si="250"/>
        <v>-0.34678748622465633</v>
      </c>
      <c r="BI497" s="43" t="e">
        <f t="shared" si="251"/>
        <v>#VALUE!</v>
      </c>
      <c r="CA497" s="41" t="s">
        <v>22</v>
      </c>
      <c r="CC497" t="s">
        <v>22</v>
      </c>
      <c r="CE497" s="41" t="s">
        <v>22</v>
      </c>
      <c r="CF497" s="41" t="s">
        <v>22</v>
      </c>
      <c r="CG497" s="41" t="e">
        <f t="shared" si="262"/>
        <v>#VALUE!</v>
      </c>
      <c r="CH497" s="41" t="e">
        <f t="shared" si="263"/>
        <v>#VALUE!</v>
      </c>
      <c r="CI497" s="41" t="str">
        <f t="shared" si="264"/>
        <v>Not Reported/ Can not calculate</v>
      </c>
      <c r="CJ497" s="41" t="e">
        <f t="shared" si="265"/>
        <v>#VALUE!</v>
      </c>
      <c r="CL497" s="9" t="s">
        <v>1268</v>
      </c>
      <c r="CM497" s="18" t="s">
        <v>1284</v>
      </c>
      <c r="CN497" s="54" t="s">
        <v>1284</v>
      </c>
      <c r="CO497" s="18" t="s">
        <v>1284</v>
      </c>
    </row>
    <row r="498" spans="1:93" x14ac:dyDescent="0.25">
      <c r="A498" t="s">
        <v>345</v>
      </c>
      <c r="B498" s="41">
        <v>5</v>
      </c>
      <c r="C498" s="41" t="s">
        <v>22</v>
      </c>
      <c r="D498" s="41" t="s">
        <v>22</v>
      </c>
      <c r="E498" s="41" t="s">
        <v>22</v>
      </c>
      <c r="F498" t="s">
        <v>22</v>
      </c>
      <c r="G498" t="s">
        <v>22</v>
      </c>
      <c r="H498" t="s">
        <v>22</v>
      </c>
      <c r="I498" t="s">
        <v>22</v>
      </c>
      <c r="J498" s="41" t="s">
        <v>22</v>
      </c>
      <c r="K498" t="s">
        <v>22</v>
      </c>
      <c r="L498" s="41" t="e">
        <f t="shared" si="266"/>
        <v>#VALUE!</v>
      </c>
      <c r="M498" t="s">
        <v>45</v>
      </c>
      <c r="N498" s="41" t="s">
        <v>22</v>
      </c>
      <c r="O498" s="41" t="s">
        <v>22</v>
      </c>
      <c r="P498" s="41" t="s">
        <v>22</v>
      </c>
      <c r="R498" s="41" t="s">
        <v>22</v>
      </c>
      <c r="S498" s="41" t="s">
        <v>22</v>
      </c>
      <c r="T498" s="41" t="s">
        <v>22</v>
      </c>
      <c r="U498" s="41" t="s">
        <v>22</v>
      </c>
      <c r="V498">
        <v>20200518</v>
      </c>
      <c r="W498" s="21" t="s">
        <v>444</v>
      </c>
      <c r="X498">
        <v>2012</v>
      </c>
      <c r="Y498" t="s">
        <v>782</v>
      </c>
      <c r="Z498" t="s">
        <v>22</v>
      </c>
      <c r="AA498" t="s">
        <v>1087</v>
      </c>
      <c r="AB498" s="41">
        <v>0.45</v>
      </c>
      <c r="AC498" t="s">
        <v>22</v>
      </c>
      <c r="AD498" s="41" t="s">
        <v>22</v>
      </c>
      <c r="AE498" s="41" t="s">
        <v>22</v>
      </c>
      <c r="AF498" s="41" t="s">
        <v>22</v>
      </c>
      <c r="AG498" s="41" t="s">
        <v>22</v>
      </c>
      <c r="AH498" s="41" t="s">
        <v>22</v>
      </c>
      <c r="AI498" s="41" t="s">
        <v>22</v>
      </c>
      <c r="AJ498" s="41" t="s">
        <v>22</v>
      </c>
      <c r="AK498" s="41" t="s">
        <v>22</v>
      </c>
      <c r="AL498" s="41" t="s">
        <v>22</v>
      </c>
      <c r="AM498" s="43" t="e">
        <f t="shared" si="234"/>
        <v>#VALUE!</v>
      </c>
      <c r="AN498" s="43" t="e">
        <f t="shared" si="235"/>
        <v>#VALUE!</v>
      </c>
      <c r="AO498" s="3" t="s">
        <v>1156</v>
      </c>
      <c r="AT498" s="2">
        <f t="shared" si="236"/>
        <v>2</v>
      </c>
      <c r="AU498" s="45">
        <f t="shared" si="237"/>
        <v>0.69897000433601886</v>
      </c>
      <c r="AV498" s="45" t="e">
        <f t="shared" si="238"/>
        <v>#VALUE!</v>
      </c>
      <c r="AW498" s="45" t="e">
        <f t="shared" si="239"/>
        <v>#VALUE!</v>
      </c>
      <c r="AX498" s="45" t="e">
        <f t="shared" si="240"/>
        <v>#VALUE!</v>
      </c>
      <c r="AY498" s="45" t="e">
        <f t="shared" si="241"/>
        <v>#VALUE!</v>
      </c>
      <c r="AZ498" s="45" t="e">
        <f t="shared" si="242"/>
        <v>#VALUE!</v>
      </c>
      <c r="BA498" s="45" t="e">
        <f t="shared" si="243"/>
        <v>#VALUE!</v>
      </c>
      <c r="BB498" s="45" t="e">
        <f t="shared" si="244"/>
        <v>#VALUE!</v>
      </c>
      <c r="BC498" s="45" t="e">
        <f t="shared" si="245"/>
        <v>#VALUE!</v>
      </c>
      <c r="BD498" s="45" t="e">
        <f t="shared" si="246"/>
        <v>#VALUE!</v>
      </c>
      <c r="BE498" s="45" t="e">
        <f t="shared" si="247"/>
        <v>#VALUE!</v>
      </c>
      <c r="BF498" s="45" t="e">
        <f t="shared" si="248"/>
        <v>#VALUE!</v>
      </c>
      <c r="BG498" s="45" t="e">
        <f t="shared" si="249"/>
        <v>#VALUE!</v>
      </c>
      <c r="BH498" s="45">
        <f t="shared" si="250"/>
        <v>-0.34678748622465633</v>
      </c>
      <c r="BI498" s="43" t="e">
        <f t="shared" si="251"/>
        <v>#VALUE!</v>
      </c>
      <c r="CA498" s="41" t="s">
        <v>22</v>
      </c>
      <c r="CC498" t="s">
        <v>22</v>
      </c>
      <c r="CE498" s="41" t="s">
        <v>22</v>
      </c>
      <c r="CF498" s="41" t="s">
        <v>22</v>
      </c>
      <c r="CG498" s="41" t="e">
        <f t="shared" ref="CG498:CG529" si="267">AD498*1000</f>
        <v>#VALUE!</v>
      </c>
      <c r="CH498" s="41" t="e">
        <f t="shared" ref="CH498:CH529" si="268">LOG10(CG498)</f>
        <v>#VALUE!</v>
      </c>
      <c r="CI498" s="41" t="str">
        <f t="shared" ref="CI498:CI529" si="269">IF(ISNUMBER(CG498),CG498,U498)</f>
        <v>Not Reported/ Can not calculate</v>
      </c>
      <c r="CJ498" s="41" t="e">
        <f t="shared" ref="CJ498:CJ529" si="270">LOG10(CI498)</f>
        <v>#VALUE!</v>
      </c>
      <c r="CL498" s="9" t="s">
        <v>1268</v>
      </c>
      <c r="CM498" s="18" t="s">
        <v>1284</v>
      </c>
      <c r="CN498" s="54" t="s">
        <v>1284</v>
      </c>
      <c r="CO498" s="18" t="s">
        <v>1284</v>
      </c>
    </row>
    <row r="499" spans="1:93" x14ac:dyDescent="0.25">
      <c r="A499" t="s">
        <v>266</v>
      </c>
      <c r="B499" s="41">
        <v>4.5999999999999999E-2</v>
      </c>
      <c r="C499" s="41">
        <v>0.86</v>
      </c>
      <c r="D499" s="41">
        <f>0.001*(B499*10^6)/(C499*0.001*100^3)</f>
        <v>5.3488372093023255E-2</v>
      </c>
      <c r="E499" s="41" t="s">
        <v>22</v>
      </c>
      <c r="F499" t="s">
        <v>22</v>
      </c>
      <c r="G499" t="s">
        <v>22</v>
      </c>
      <c r="H499" t="s">
        <v>22</v>
      </c>
      <c r="I499" t="s">
        <v>22</v>
      </c>
      <c r="J499" s="41" t="s">
        <v>22</v>
      </c>
      <c r="K499" t="s">
        <v>22</v>
      </c>
      <c r="L499" s="41" t="e">
        <f t="shared" si="266"/>
        <v>#VALUE!</v>
      </c>
      <c r="M499" t="s">
        <v>23</v>
      </c>
      <c r="N499" s="41">
        <v>1050</v>
      </c>
      <c r="O499" s="41">
        <f>(10^6)*(N499/C499)*(0.01^3)*0.001</f>
        <v>1.2209302325581397</v>
      </c>
      <c r="P499" s="41" t="s">
        <v>22</v>
      </c>
      <c r="R499" s="41">
        <f>N499*B499</f>
        <v>48.3</v>
      </c>
      <c r="S499" s="41">
        <f>O499*D499</f>
        <v>6.5305570578691199E-2</v>
      </c>
      <c r="T499" s="41">
        <v>6</v>
      </c>
      <c r="U499" s="41">
        <v>6</v>
      </c>
      <c r="V499">
        <v>20200508</v>
      </c>
      <c r="W499" s="21" t="s">
        <v>122</v>
      </c>
      <c r="X499">
        <v>2012</v>
      </c>
      <c r="Y499" t="s">
        <v>26</v>
      </c>
      <c r="AC499" t="s">
        <v>514</v>
      </c>
      <c r="AD499" s="41">
        <v>10</v>
      </c>
      <c r="AE499" s="41">
        <v>1581.5</v>
      </c>
      <c r="AF499" s="41" t="s">
        <v>22</v>
      </c>
      <c r="AG499" s="41" t="s">
        <v>22</v>
      </c>
      <c r="AH499" s="41" t="s">
        <v>22</v>
      </c>
      <c r="AI499" s="41" t="s">
        <v>22</v>
      </c>
      <c r="AJ499" s="41" t="s">
        <v>22</v>
      </c>
      <c r="AK499" s="41" t="s">
        <v>22</v>
      </c>
      <c r="AL499" s="41" t="s">
        <v>22</v>
      </c>
      <c r="AM499" s="43" t="e">
        <f t="shared" si="234"/>
        <v>#VALUE!</v>
      </c>
      <c r="AN499" s="43" t="e">
        <f t="shared" si="235"/>
        <v>#VALUE!</v>
      </c>
      <c r="AO499" s="3" t="s">
        <v>123</v>
      </c>
      <c r="AT499" s="2">
        <f t="shared" si="236"/>
        <v>2</v>
      </c>
      <c r="AU499" s="45">
        <f t="shared" si="237"/>
        <v>-1.3372421683184259</v>
      </c>
      <c r="AV499" s="45">
        <f t="shared" si="238"/>
        <v>-6.5501548756432285E-2</v>
      </c>
      <c r="AW499" s="45">
        <f t="shared" si="239"/>
        <v>-1.2717406195619936</v>
      </c>
      <c r="AX499" s="45">
        <f t="shared" si="240"/>
        <v>3.0211892990699383</v>
      </c>
      <c r="AY499" s="45">
        <f t="shared" si="241"/>
        <v>8.6690847826370418E-2</v>
      </c>
      <c r="AZ499" s="45" t="e">
        <f t="shared" si="242"/>
        <v>#VALUE!</v>
      </c>
      <c r="BA499" s="45" t="e">
        <f t="shared" si="243"/>
        <v>#VALUE!</v>
      </c>
      <c r="BB499" s="45" t="e">
        <f t="shared" si="244"/>
        <v>#VALUE!</v>
      </c>
      <c r="BC499" s="45">
        <f t="shared" si="245"/>
        <v>0.77815125038364363</v>
      </c>
      <c r="BD499" s="45">
        <f t="shared" si="246"/>
        <v>1</v>
      </c>
      <c r="BE499" s="45" t="e">
        <f t="shared" si="247"/>
        <v>#VALUE!</v>
      </c>
      <c r="BF499" s="45" t="e">
        <f t="shared" si="248"/>
        <v>#VALUE!</v>
      </c>
      <c r="BG499" s="45" t="e">
        <f t="shared" si="249"/>
        <v>#VALUE!</v>
      </c>
      <c r="BH499" s="45" t="e">
        <f t="shared" si="250"/>
        <v>#NUM!</v>
      </c>
      <c r="BI499" s="43" t="e">
        <f t="shared" si="251"/>
        <v>#VALUE!</v>
      </c>
      <c r="CA499" s="41" t="s">
        <v>22</v>
      </c>
      <c r="CC499" t="s">
        <v>22</v>
      </c>
      <c r="CE499" s="41" t="s">
        <v>22</v>
      </c>
      <c r="CF499" s="41" t="s">
        <v>22</v>
      </c>
      <c r="CG499" s="41">
        <f t="shared" si="267"/>
        <v>10000</v>
      </c>
      <c r="CH499" s="41">
        <f t="shared" si="268"/>
        <v>4</v>
      </c>
      <c r="CI499" s="41">
        <f t="shared" si="269"/>
        <v>10000</v>
      </c>
      <c r="CJ499" s="41">
        <f t="shared" si="270"/>
        <v>4</v>
      </c>
      <c r="CL499" s="9" t="s">
        <v>1269</v>
      </c>
      <c r="CM499" s="18" t="s">
        <v>1283</v>
      </c>
      <c r="CN499" s="54" t="s">
        <v>1284</v>
      </c>
      <c r="CO499" s="18" t="s">
        <v>1284</v>
      </c>
    </row>
    <row r="500" spans="1:93" x14ac:dyDescent="0.25">
      <c r="A500" t="s">
        <v>266</v>
      </c>
      <c r="B500" s="41">
        <v>0.105</v>
      </c>
      <c r="E500" s="41" t="s">
        <v>22</v>
      </c>
      <c r="F500" t="s">
        <v>22</v>
      </c>
      <c r="G500" t="s">
        <v>22</v>
      </c>
      <c r="H500" t="s">
        <v>22</v>
      </c>
      <c r="I500" t="s">
        <v>22</v>
      </c>
      <c r="J500" s="41" t="s">
        <v>22</v>
      </c>
      <c r="K500" t="s">
        <v>22</v>
      </c>
      <c r="L500" s="41" t="e">
        <f t="shared" si="266"/>
        <v>#VALUE!</v>
      </c>
      <c r="M500" t="s">
        <v>45</v>
      </c>
      <c r="N500" s="41">
        <v>1520</v>
      </c>
      <c r="O500" s="41" t="s">
        <v>22</v>
      </c>
      <c r="P500" s="41" t="s">
        <v>22</v>
      </c>
      <c r="R500" s="41">
        <f>N500*B500</f>
        <v>159.6</v>
      </c>
      <c r="S500" s="41" t="s">
        <v>22</v>
      </c>
      <c r="T500" s="41">
        <v>6</v>
      </c>
      <c r="U500" s="41">
        <v>6</v>
      </c>
      <c r="V500">
        <v>20200508</v>
      </c>
      <c r="W500" s="21" t="s">
        <v>122</v>
      </c>
      <c r="X500">
        <v>2012</v>
      </c>
      <c r="Y500" t="s">
        <v>26</v>
      </c>
      <c r="Z500" t="s">
        <v>124</v>
      </c>
      <c r="AA500" t="s">
        <v>737</v>
      </c>
      <c r="AB500" s="41">
        <v>4.5999999999999999E-2</v>
      </c>
      <c r="AC500" t="s">
        <v>514</v>
      </c>
      <c r="AD500" s="41">
        <v>9</v>
      </c>
      <c r="AE500" s="41">
        <v>1583.4</v>
      </c>
      <c r="AF500" s="41" t="s">
        <v>22</v>
      </c>
      <c r="AG500" s="41" t="s">
        <v>22</v>
      </c>
      <c r="AH500" s="41" t="s">
        <v>22</v>
      </c>
      <c r="AI500" s="41" t="s">
        <v>22</v>
      </c>
      <c r="AJ500" s="41" t="s">
        <v>22</v>
      </c>
      <c r="AK500" s="41" t="s">
        <v>22</v>
      </c>
      <c r="AL500" s="41" t="s">
        <v>22</v>
      </c>
      <c r="AM500" s="43" t="e">
        <f t="shared" si="234"/>
        <v>#VALUE!</v>
      </c>
      <c r="AN500" s="43" t="e">
        <f t="shared" si="235"/>
        <v>#VALUE!</v>
      </c>
      <c r="AO500" s="3" t="s">
        <v>123</v>
      </c>
      <c r="AT500" s="2">
        <f t="shared" si="236"/>
        <v>2</v>
      </c>
      <c r="AU500" s="45">
        <f t="shared" si="237"/>
        <v>-0.97881070093006195</v>
      </c>
      <c r="AV500" s="45" t="e">
        <f t="shared" si="238"/>
        <v>#NUM!</v>
      </c>
      <c r="AW500" s="45" t="e">
        <f t="shared" si="239"/>
        <v>#NUM!</v>
      </c>
      <c r="AX500" s="45">
        <f t="shared" si="240"/>
        <v>3.1818435879447726</v>
      </c>
      <c r="AY500" s="45" t="e">
        <f t="shared" si="241"/>
        <v>#VALUE!</v>
      </c>
      <c r="AZ500" s="45" t="e">
        <f t="shared" si="242"/>
        <v>#VALUE!</v>
      </c>
      <c r="BA500" s="45" t="e">
        <f t="shared" si="243"/>
        <v>#VALUE!</v>
      </c>
      <c r="BB500" s="45" t="e">
        <f t="shared" si="244"/>
        <v>#VALUE!</v>
      </c>
      <c r="BC500" s="45">
        <f t="shared" si="245"/>
        <v>0.77815125038364363</v>
      </c>
      <c r="BD500" s="45">
        <f t="shared" si="246"/>
        <v>0.95424250943932487</v>
      </c>
      <c r="BE500" s="45" t="e">
        <f t="shared" si="247"/>
        <v>#VALUE!</v>
      </c>
      <c r="BF500" s="45" t="e">
        <f t="shared" si="248"/>
        <v>#VALUE!</v>
      </c>
      <c r="BG500" s="45" t="e">
        <f t="shared" si="249"/>
        <v>#VALUE!</v>
      </c>
      <c r="BH500" s="45">
        <f t="shared" si="250"/>
        <v>-1.3372421683184259</v>
      </c>
      <c r="BI500" s="43" t="e">
        <f t="shared" si="251"/>
        <v>#VALUE!</v>
      </c>
      <c r="CA500" s="41" t="s">
        <v>22</v>
      </c>
      <c r="CC500" t="s">
        <v>22</v>
      </c>
      <c r="CE500" s="41" t="s">
        <v>22</v>
      </c>
      <c r="CF500" s="41" t="s">
        <v>22</v>
      </c>
      <c r="CG500" s="41">
        <f t="shared" si="267"/>
        <v>9000</v>
      </c>
      <c r="CH500" s="41">
        <f t="shared" si="268"/>
        <v>3.9542425094393248</v>
      </c>
      <c r="CI500" s="41">
        <f t="shared" si="269"/>
        <v>9000</v>
      </c>
      <c r="CJ500" s="41">
        <f t="shared" si="270"/>
        <v>3.9542425094393248</v>
      </c>
      <c r="CL500" s="9" t="s">
        <v>1269</v>
      </c>
      <c r="CM500" s="18" t="s">
        <v>1283</v>
      </c>
      <c r="CN500" s="54" t="s">
        <v>1284</v>
      </c>
      <c r="CO500" s="18" t="s">
        <v>1284</v>
      </c>
    </row>
    <row r="501" spans="1:93" x14ac:dyDescent="0.25">
      <c r="A501" t="s">
        <v>315</v>
      </c>
      <c r="B501" s="41">
        <v>1.7153999999999999E-2</v>
      </c>
      <c r="C501" s="41" t="s">
        <v>22</v>
      </c>
      <c r="D501" s="41" t="s">
        <v>22</v>
      </c>
      <c r="E501" s="41" t="s">
        <v>22</v>
      </c>
      <c r="F501" t="s">
        <v>22</v>
      </c>
      <c r="G501" t="s">
        <v>22</v>
      </c>
      <c r="H501" t="s">
        <v>22</v>
      </c>
      <c r="I501" t="s">
        <v>22</v>
      </c>
      <c r="J501" s="41" t="s">
        <v>22</v>
      </c>
      <c r="K501" t="s">
        <v>22</v>
      </c>
      <c r="L501" s="41" t="e">
        <f t="shared" si="266"/>
        <v>#VALUE!</v>
      </c>
      <c r="M501" t="s">
        <v>23</v>
      </c>
      <c r="N501" s="41" t="s">
        <v>22</v>
      </c>
      <c r="O501" s="41" t="s">
        <v>22</v>
      </c>
      <c r="P501" s="41" t="s">
        <v>22</v>
      </c>
      <c r="R501" s="41" t="s">
        <v>22</v>
      </c>
      <c r="S501" s="41" t="s">
        <v>22</v>
      </c>
      <c r="T501" s="41" t="s">
        <v>270</v>
      </c>
      <c r="U501" s="41">
        <v>1.4</v>
      </c>
      <c r="V501">
        <v>20200511</v>
      </c>
      <c r="W501" s="21" t="s">
        <v>271</v>
      </c>
      <c r="X501">
        <v>2012</v>
      </c>
      <c r="Y501" t="s">
        <v>328</v>
      </c>
      <c r="Z501" t="s">
        <v>272</v>
      </c>
      <c r="AC501" t="s">
        <v>269</v>
      </c>
      <c r="AD501" s="41" t="s">
        <v>22</v>
      </c>
      <c r="AE501" s="41">
        <v>1590.6</v>
      </c>
      <c r="AF501" s="41" t="s">
        <v>22</v>
      </c>
      <c r="AG501" s="41" t="s">
        <v>22</v>
      </c>
      <c r="AH501" s="41" t="s">
        <v>22</v>
      </c>
      <c r="AI501" s="41" t="s">
        <v>22</v>
      </c>
      <c r="AJ501" s="41" t="s">
        <v>22</v>
      </c>
      <c r="AK501" s="41" t="s">
        <v>22</v>
      </c>
      <c r="AL501" s="41" t="s">
        <v>22</v>
      </c>
      <c r="AM501" s="43" t="e">
        <f t="shared" si="234"/>
        <v>#VALUE!</v>
      </c>
      <c r="AN501" s="43" t="e">
        <f t="shared" si="235"/>
        <v>#VALUE!</v>
      </c>
      <c r="AO501" s="3" t="s">
        <v>273</v>
      </c>
      <c r="AT501" s="2">
        <f t="shared" si="236"/>
        <v>8</v>
      </c>
      <c r="AU501" s="45">
        <f t="shared" si="237"/>
        <v>-1.7656345942583676</v>
      </c>
      <c r="AV501" s="45" t="e">
        <f t="shared" si="238"/>
        <v>#VALUE!</v>
      </c>
      <c r="AW501" s="45" t="e">
        <f t="shared" si="239"/>
        <v>#VALUE!</v>
      </c>
      <c r="AX501" s="45" t="e">
        <f t="shared" si="240"/>
        <v>#VALUE!</v>
      </c>
      <c r="AY501" s="45" t="e">
        <f t="shared" si="241"/>
        <v>#VALUE!</v>
      </c>
      <c r="AZ501" s="45" t="e">
        <f t="shared" si="242"/>
        <v>#VALUE!</v>
      </c>
      <c r="BA501" s="45" t="e">
        <f t="shared" si="243"/>
        <v>#VALUE!</v>
      </c>
      <c r="BB501" s="45" t="e">
        <f t="shared" si="244"/>
        <v>#VALUE!</v>
      </c>
      <c r="BC501" s="45">
        <f t="shared" si="245"/>
        <v>0.14612803567823801</v>
      </c>
      <c r="BD501" s="45" t="e">
        <f t="shared" si="246"/>
        <v>#VALUE!</v>
      </c>
      <c r="BE501" s="45" t="e">
        <f t="shared" si="247"/>
        <v>#VALUE!</v>
      </c>
      <c r="BF501" s="45" t="e">
        <f t="shared" si="248"/>
        <v>#VALUE!</v>
      </c>
      <c r="BG501" s="45" t="e">
        <f t="shared" si="249"/>
        <v>#VALUE!</v>
      </c>
      <c r="BH501" s="45" t="e">
        <f t="shared" si="250"/>
        <v>#NUM!</v>
      </c>
      <c r="BI501" s="43" t="e">
        <f t="shared" si="251"/>
        <v>#VALUE!</v>
      </c>
      <c r="CA501" s="41" t="s">
        <v>22</v>
      </c>
      <c r="CC501" t="s">
        <v>22</v>
      </c>
      <c r="CE501" s="41" t="s">
        <v>22</v>
      </c>
      <c r="CF501" s="41" t="s">
        <v>22</v>
      </c>
      <c r="CG501" s="41" t="e">
        <f t="shared" si="267"/>
        <v>#VALUE!</v>
      </c>
      <c r="CH501" s="41" t="e">
        <f t="shared" si="268"/>
        <v>#VALUE!</v>
      </c>
      <c r="CI501" s="41">
        <f t="shared" si="269"/>
        <v>1.4</v>
      </c>
      <c r="CJ501" s="41">
        <f t="shared" si="270"/>
        <v>0.14612803567823801</v>
      </c>
      <c r="CL501" s="9" t="s">
        <v>1269</v>
      </c>
      <c r="CM501" s="18" t="s">
        <v>1285</v>
      </c>
      <c r="CN501" s="54" t="s">
        <v>1284</v>
      </c>
      <c r="CO501" s="18" t="s">
        <v>1284</v>
      </c>
    </row>
    <row r="502" spans="1:93" x14ac:dyDescent="0.25">
      <c r="A502" t="s">
        <v>315</v>
      </c>
      <c r="B502" s="41">
        <v>1.4644000000000001E-2</v>
      </c>
      <c r="C502" s="41" t="s">
        <v>22</v>
      </c>
      <c r="D502" s="41" t="s">
        <v>22</v>
      </c>
      <c r="E502" s="41" t="s">
        <v>22</v>
      </c>
      <c r="F502" t="s">
        <v>22</v>
      </c>
      <c r="G502" t="s">
        <v>22</v>
      </c>
      <c r="H502" t="s">
        <v>22</v>
      </c>
      <c r="I502" t="s">
        <v>22</v>
      </c>
      <c r="J502" s="41" t="s">
        <v>22</v>
      </c>
      <c r="K502" t="s">
        <v>22</v>
      </c>
      <c r="L502" s="41" t="e">
        <f t="shared" si="266"/>
        <v>#VALUE!</v>
      </c>
      <c r="M502" t="s">
        <v>23</v>
      </c>
      <c r="N502" s="41" t="s">
        <v>22</v>
      </c>
      <c r="O502" s="41" t="s">
        <v>22</v>
      </c>
      <c r="P502" s="41" t="s">
        <v>22</v>
      </c>
      <c r="R502" s="41" t="s">
        <v>22</v>
      </c>
      <c r="S502" s="41" t="s">
        <v>22</v>
      </c>
      <c r="T502" s="41">
        <v>1</v>
      </c>
      <c r="U502" s="41">
        <v>1</v>
      </c>
      <c r="V502">
        <v>20200511</v>
      </c>
      <c r="W502" s="21" t="s">
        <v>271</v>
      </c>
      <c r="X502">
        <v>2012</v>
      </c>
      <c r="Y502" t="s">
        <v>328</v>
      </c>
      <c r="Z502" t="s">
        <v>272</v>
      </c>
      <c r="AC502" t="s">
        <v>269</v>
      </c>
      <c r="AD502" s="41" t="s">
        <v>22</v>
      </c>
      <c r="AE502" s="41">
        <v>1591.5</v>
      </c>
      <c r="AF502" s="41" t="s">
        <v>22</v>
      </c>
      <c r="AG502" s="41" t="s">
        <v>22</v>
      </c>
      <c r="AH502" s="41" t="s">
        <v>22</v>
      </c>
      <c r="AI502" s="41" t="s">
        <v>22</v>
      </c>
      <c r="AJ502" s="41" t="s">
        <v>22</v>
      </c>
      <c r="AK502" s="41" t="s">
        <v>22</v>
      </c>
      <c r="AL502" s="41" t="s">
        <v>22</v>
      </c>
      <c r="AM502" s="43" t="e">
        <f t="shared" si="234"/>
        <v>#VALUE!</v>
      </c>
      <c r="AN502" s="43" t="e">
        <f t="shared" si="235"/>
        <v>#VALUE!</v>
      </c>
      <c r="AO502" s="3" t="s">
        <v>273</v>
      </c>
      <c r="AT502" s="2">
        <f t="shared" si="236"/>
        <v>8</v>
      </c>
      <c r="AU502" s="45">
        <f t="shared" si="237"/>
        <v>-1.8343402797905066</v>
      </c>
      <c r="AV502" s="45" t="e">
        <f t="shared" si="238"/>
        <v>#VALUE!</v>
      </c>
      <c r="AW502" s="45" t="e">
        <f t="shared" si="239"/>
        <v>#VALUE!</v>
      </c>
      <c r="AX502" s="45" t="e">
        <f t="shared" si="240"/>
        <v>#VALUE!</v>
      </c>
      <c r="AY502" s="45" t="e">
        <f t="shared" si="241"/>
        <v>#VALUE!</v>
      </c>
      <c r="AZ502" s="45" t="e">
        <f t="shared" si="242"/>
        <v>#VALUE!</v>
      </c>
      <c r="BA502" s="45" t="e">
        <f t="shared" si="243"/>
        <v>#VALUE!</v>
      </c>
      <c r="BB502" s="45" t="e">
        <f t="shared" si="244"/>
        <v>#VALUE!</v>
      </c>
      <c r="BC502" s="45">
        <f t="shared" si="245"/>
        <v>0</v>
      </c>
      <c r="BD502" s="45" t="e">
        <f t="shared" si="246"/>
        <v>#VALUE!</v>
      </c>
      <c r="BE502" s="45" t="e">
        <f t="shared" si="247"/>
        <v>#VALUE!</v>
      </c>
      <c r="BF502" s="45" t="e">
        <f t="shared" si="248"/>
        <v>#VALUE!</v>
      </c>
      <c r="BG502" s="45" t="e">
        <f t="shared" si="249"/>
        <v>#VALUE!</v>
      </c>
      <c r="BH502" s="45" t="e">
        <f t="shared" si="250"/>
        <v>#NUM!</v>
      </c>
      <c r="BI502" s="43" t="e">
        <f t="shared" si="251"/>
        <v>#VALUE!</v>
      </c>
      <c r="CA502" s="41" t="s">
        <v>22</v>
      </c>
      <c r="CC502" t="s">
        <v>22</v>
      </c>
      <c r="CE502" s="41" t="s">
        <v>22</v>
      </c>
      <c r="CF502" s="41" t="s">
        <v>22</v>
      </c>
      <c r="CG502" s="41" t="e">
        <f t="shared" si="267"/>
        <v>#VALUE!</v>
      </c>
      <c r="CH502" s="41" t="e">
        <f t="shared" si="268"/>
        <v>#VALUE!</v>
      </c>
      <c r="CI502" s="41">
        <f t="shared" si="269"/>
        <v>1</v>
      </c>
      <c r="CJ502" s="41">
        <f t="shared" si="270"/>
        <v>0</v>
      </c>
      <c r="CL502" s="9" t="s">
        <v>1269</v>
      </c>
      <c r="CM502" s="18" t="s">
        <v>1285</v>
      </c>
      <c r="CN502" s="54" t="s">
        <v>1284</v>
      </c>
      <c r="CO502" s="18" t="s">
        <v>1284</v>
      </c>
    </row>
    <row r="503" spans="1:93" x14ac:dyDescent="0.25">
      <c r="A503" t="s">
        <v>315</v>
      </c>
      <c r="B503" s="41">
        <v>4.3096000000000002E-2</v>
      </c>
      <c r="C503" s="41" t="s">
        <v>22</v>
      </c>
      <c r="D503" s="41" t="s">
        <v>22</v>
      </c>
      <c r="E503" s="41" t="s">
        <v>22</v>
      </c>
      <c r="F503" t="s">
        <v>22</v>
      </c>
      <c r="G503" t="s">
        <v>22</v>
      </c>
      <c r="H503" t="s">
        <v>22</v>
      </c>
      <c r="I503" t="s">
        <v>22</v>
      </c>
      <c r="J503" s="41" t="s">
        <v>22</v>
      </c>
      <c r="K503" t="s">
        <v>22</v>
      </c>
      <c r="L503" s="41" t="e">
        <f t="shared" si="266"/>
        <v>#VALUE!</v>
      </c>
      <c r="M503" t="s">
        <v>23</v>
      </c>
      <c r="N503" s="41" t="s">
        <v>22</v>
      </c>
      <c r="O503" s="41" t="s">
        <v>22</v>
      </c>
      <c r="P503" s="41" t="s">
        <v>22</v>
      </c>
      <c r="R503" s="41" t="s">
        <v>22</v>
      </c>
      <c r="S503" s="41" t="s">
        <v>22</v>
      </c>
      <c r="T503" s="41" t="s">
        <v>274</v>
      </c>
      <c r="U503" s="41">
        <v>4.5</v>
      </c>
      <c r="V503">
        <v>20200511</v>
      </c>
      <c r="W503" s="21" t="s">
        <v>271</v>
      </c>
      <c r="X503">
        <v>2012</v>
      </c>
      <c r="Y503" t="s">
        <v>328</v>
      </c>
      <c r="Z503" t="s">
        <v>272</v>
      </c>
      <c r="AC503" t="s">
        <v>269</v>
      </c>
      <c r="AD503" s="41" t="s">
        <v>22</v>
      </c>
      <c r="AE503" s="41">
        <v>1591.6</v>
      </c>
      <c r="AF503" s="41" t="s">
        <v>22</v>
      </c>
      <c r="AG503" s="41" t="s">
        <v>22</v>
      </c>
      <c r="AH503" s="41" t="s">
        <v>22</v>
      </c>
      <c r="AI503" s="41" t="s">
        <v>22</v>
      </c>
      <c r="AJ503" s="41" t="s">
        <v>22</v>
      </c>
      <c r="AK503" s="41" t="s">
        <v>22</v>
      </c>
      <c r="AL503" s="41" t="s">
        <v>22</v>
      </c>
      <c r="AM503" s="43" t="e">
        <f t="shared" si="234"/>
        <v>#VALUE!</v>
      </c>
      <c r="AN503" s="43" t="e">
        <f t="shared" si="235"/>
        <v>#VALUE!</v>
      </c>
      <c r="AO503" s="3" t="s">
        <v>273</v>
      </c>
      <c r="AT503" s="2">
        <f t="shared" si="236"/>
        <v>8</v>
      </c>
      <c r="AU503" s="45">
        <f t="shared" si="237"/>
        <v>-1.3655630374621015</v>
      </c>
      <c r="AV503" s="45" t="e">
        <f t="shared" si="238"/>
        <v>#VALUE!</v>
      </c>
      <c r="AW503" s="45" t="e">
        <f t="shared" si="239"/>
        <v>#VALUE!</v>
      </c>
      <c r="AX503" s="45" t="e">
        <f t="shared" si="240"/>
        <v>#VALUE!</v>
      </c>
      <c r="AY503" s="45" t="e">
        <f t="shared" si="241"/>
        <v>#VALUE!</v>
      </c>
      <c r="AZ503" s="45" t="e">
        <f t="shared" si="242"/>
        <v>#VALUE!</v>
      </c>
      <c r="BA503" s="45" t="e">
        <f t="shared" si="243"/>
        <v>#VALUE!</v>
      </c>
      <c r="BB503" s="45" t="e">
        <f t="shared" si="244"/>
        <v>#VALUE!</v>
      </c>
      <c r="BC503" s="45">
        <f t="shared" si="245"/>
        <v>0.65321251377534373</v>
      </c>
      <c r="BD503" s="45" t="e">
        <f t="shared" si="246"/>
        <v>#VALUE!</v>
      </c>
      <c r="BE503" s="45" t="e">
        <f t="shared" si="247"/>
        <v>#VALUE!</v>
      </c>
      <c r="BF503" s="45" t="e">
        <f t="shared" si="248"/>
        <v>#VALUE!</v>
      </c>
      <c r="BG503" s="45" t="e">
        <f t="shared" si="249"/>
        <v>#VALUE!</v>
      </c>
      <c r="BH503" s="45" t="e">
        <f t="shared" si="250"/>
        <v>#NUM!</v>
      </c>
      <c r="BI503" s="43" t="e">
        <f t="shared" si="251"/>
        <v>#VALUE!</v>
      </c>
      <c r="CA503" s="41" t="s">
        <v>22</v>
      </c>
      <c r="CC503" t="s">
        <v>22</v>
      </c>
      <c r="CE503" s="41" t="s">
        <v>22</v>
      </c>
      <c r="CF503" s="41" t="s">
        <v>22</v>
      </c>
      <c r="CG503" s="41" t="e">
        <f t="shared" si="267"/>
        <v>#VALUE!</v>
      </c>
      <c r="CH503" s="41" t="e">
        <f t="shared" si="268"/>
        <v>#VALUE!</v>
      </c>
      <c r="CI503" s="41">
        <f t="shared" si="269"/>
        <v>4.5</v>
      </c>
      <c r="CJ503" s="41">
        <f t="shared" si="270"/>
        <v>0.65321251377534373</v>
      </c>
      <c r="CL503" s="9" t="s">
        <v>1269</v>
      </c>
      <c r="CM503" s="18" t="s">
        <v>1285</v>
      </c>
      <c r="CN503" s="54" t="s">
        <v>1284</v>
      </c>
      <c r="CO503" s="18" t="s">
        <v>1284</v>
      </c>
    </row>
    <row r="504" spans="1:93" x14ac:dyDescent="0.25">
      <c r="A504" t="s">
        <v>315</v>
      </c>
      <c r="B504" s="41">
        <v>0.14686099999999999</v>
      </c>
      <c r="C504" s="41" t="s">
        <v>22</v>
      </c>
      <c r="D504" s="41" t="s">
        <v>22</v>
      </c>
      <c r="E504" s="41" t="s">
        <v>22</v>
      </c>
      <c r="F504" t="s">
        <v>22</v>
      </c>
      <c r="G504" t="s">
        <v>22</v>
      </c>
      <c r="H504" t="s">
        <v>22</v>
      </c>
      <c r="I504" t="s">
        <v>22</v>
      </c>
      <c r="J504" s="41" t="s">
        <v>22</v>
      </c>
      <c r="K504" t="s">
        <v>22</v>
      </c>
      <c r="L504" s="41" t="e">
        <f t="shared" si="266"/>
        <v>#VALUE!</v>
      </c>
      <c r="M504" t="s">
        <v>23</v>
      </c>
      <c r="N504" s="41" t="s">
        <v>22</v>
      </c>
      <c r="O504" s="41" t="s">
        <v>22</v>
      </c>
      <c r="P504" s="41" t="s">
        <v>22</v>
      </c>
      <c r="R504" s="41" t="s">
        <v>22</v>
      </c>
      <c r="S504" s="41" t="s">
        <v>22</v>
      </c>
      <c r="T504" s="41" t="s">
        <v>275</v>
      </c>
      <c r="U504" s="41">
        <f>0.75+1.5</f>
        <v>2.25</v>
      </c>
      <c r="V504">
        <v>20200511</v>
      </c>
      <c r="W504" s="21" t="s">
        <v>271</v>
      </c>
      <c r="X504">
        <v>2012</v>
      </c>
      <c r="Y504" t="s">
        <v>328</v>
      </c>
      <c r="Z504" t="s">
        <v>272</v>
      </c>
      <c r="AC504" t="s">
        <v>269</v>
      </c>
      <c r="AD504" s="41" t="s">
        <v>22</v>
      </c>
      <c r="AE504" s="41">
        <v>1587</v>
      </c>
      <c r="AF504" s="41" t="s">
        <v>22</v>
      </c>
      <c r="AG504" s="41" t="s">
        <v>22</v>
      </c>
      <c r="AH504" s="41" t="s">
        <v>22</v>
      </c>
      <c r="AI504" s="41" t="s">
        <v>22</v>
      </c>
      <c r="AJ504" s="41" t="s">
        <v>22</v>
      </c>
      <c r="AK504" s="41" t="s">
        <v>22</v>
      </c>
      <c r="AL504" s="41" t="s">
        <v>22</v>
      </c>
      <c r="AM504" s="43" t="e">
        <f t="shared" si="234"/>
        <v>#VALUE!</v>
      </c>
      <c r="AN504" s="43" t="e">
        <f t="shared" si="235"/>
        <v>#VALUE!</v>
      </c>
      <c r="AO504" s="3" t="s">
        <v>273</v>
      </c>
      <c r="AT504" s="2">
        <f t="shared" si="236"/>
        <v>8</v>
      </c>
      <c r="AU504" s="45">
        <f t="shared" si="237"/>
        <v>-0.83309351893766004</v>
      </c>
      <c r="AV504" s="45" t="e">
        <f t="shared" si="238"/>
        <v>#VALUE!</v>
      </c>
      <c r="AW504" s="45" t="e">
        <f t="shared" si="239"/>
        <v>#VALUE!</v>
      </c>
      <c r="AX504" s="45" t="e">
        <f t="shared" si="240"/>
        <v>#VALUE!</v>
      </c>
      <c r="AY504" s="45" t="e">
        <f t="shared" si="241"/>
        <v>#VALUE!</v>
      </c>
      <c r="AZ504" s="45" t="e">
        <f t="shared" si="242"/>
        <v>#VALUE!</v>
      </c>
      <c r="BA504" s="45" t="e">
        <f t="shared" si="243"/>
        <v>#VALUE!</v>
      </c>
      <c r="BB504" s="45" t="e">
        <f t="shared" si="244"/>
        <v>#VALUE!</v>
      </c>
      <c r="BC504" s="45">
        <f t="shared" si="245"/>
        <v>0.35218251811136247</v>
      </c>
      <c r="BD504" s="45" t="e">
        <f t="shared" si="246"/>
        <v>#VALUE!</v>
      </c>
      <c r="BE504" s="45" t="e">
        <f t="shared" si="247"/>
        <v>#VALUE!</v>
      </c>
      <c r="BF504" s="45" t="e">
        <f t="shared" si="248"/>
        <v>#VALUE!</v>
      </c>
      <c r="BG504" s="45" t="e">
        <f t="shared" si="249"/>
        <v>#VALUE!</v>
      </c>
      <c r="BH504" s="45" t="e">
        <f t="shared" si="250"/>
        <v>#NUM!</v>
      </c>
      <c r="BI504" s="43" t="e">
        <f t="shared" si="251"/>
        <v>#VALUE!</v>
      </c>
      <c r="CA504" s="41" t="s">
        <v>22</v>
      </c>
      <c r="CC504" t="s">
        <v>22</v>
      </c>
      <c r="CE504" s="41" t="s">
        <v>22</v>
      </c>
      <c r="CF504" s="41" t="s">
        <v>22</v>
      </c>
      <c r="CG504" s="41" t="e">
        <f t="shared" si="267"/>
        <v>#VALUE!</v>
      </c>
      <c r="CH504" s="41" t="e">
        <f t="shared" si="268"/>
        <v>#VALUE!</v>
      </c>
      <c r="CI504" s="41">
        <f t="shared" si="269"/>
        <v>2.25</v>
      </c>
      <c r="CJ504" s="41">
        <f t="shared" si="270"/>
        <v>0.35218251811136247</v>
      </c>
      <c r="CL504" s="9" t="s">
        <v>1269</v>
      </c>
      <c r="CM504" s="18" t="s">
        <v>1285</v>
      </c>
      <c r="CN504" s="54" t="s">
        <v>1284</v>
      </c>
      <c r="CO504" s="18" t="s">
        <v>1284</v>
      </c>
    </row>
    <row r="505" spans="1:93" x14ac:dyDescent="0.25">
      <c r="A505" t="s">
        <v>315</v>
      </c>
      <c r="B505" s="41">
        <v>7.1548E-2</v>
      </c>
      <c r="C505" s="41" t="s">
        <v>22</v>
      </c>
      <c r="D505" s="41" t="s">
        <v>22</v>
      </c>
      <c r="E505" s="41" t="s">
        <v>22</v>
      </c>
      <c r="F505" t="s">
        <v>22</v>
      </c>
      <c r="G505" t="s">
        <v>22</v>
      </c>
      <c r="H505" t="s">
        <v>22</v>
      </c>
      <c r="I505" t="s">
        <v>22</v>
      </c>
      <c r="J505" s="41" t="s">
        <v>22</v>
      </c>
      <c r="K505" t="s">
        <v>22</v>
      </c>
      <c r="L505" s="41" t="e">
        <f t="shared" si="266"/>
        <v>#VALUE!</v>
      </c>
      <c r="M505" t="s">
        <v>45</v>
      </c>
      <c r="N505" s="41" t="s">
        <v>22</v>
      </c>
      <c r="O505" s="41" t="s">
        <v>22</v>
      </c>
      <c r="P505" s="41" t="s">
        <v>22</v>
      </c>
      <c r="R505" s="41" t="s">
        <v>22</v>
      </c>
      <c r="S505" s="41" t="s">
        <v>22</v>
      </c>
      <c r="T505" s="41" t="s">
        <v>270</v>
      </c>
      <c r="U505" s="41">
        <v>1.4</v>
      </c>
      <c r="V505">
        <v>20200511</v>
      </c>
      <c r="W505" s="21" t="s">
        <v>276</v>
      </c>
      <c r="X505">
        <v>2012</v>
      </c>
      <c r="Y505" t="s">
        <v>328</v>
      </c>
      <c r="Z505" t="s">
        <v>276</v>
      </c>
      <c r="AA505" t="s">
        <v>746</v>
      </c>
      <c r="AB505" s="41">
        <v>1.7153999999999999E-2</v>
      </c>
      <c r="AC505" t="s">
        <v>269</v>
      </c>
      <c r="AD505" s="41" t="s">
        <v>22</v>
      </c>
      <c r="AE505" s="41">
        <v>1594.2</v>
      </c>
      <c r="AF505" s="41" t="s">
        <v>22</v>
      </c>
      <c r="AG505" s="41" t="s">
        <v>22</v>
      </c>
      <c r="AH505" s="41" t="s">
        <v>22</v>
      </c>
      <c r="AI505" s="41" t="s">
        <v>22</v>
      </c>
      <c r="AJ505" s="41" t="s">
        <v>22</v>
      </c>
      <c r="AK505" s="41" t="s">
        <v>22</v>
      </c>
      <c r="AL505" s="41" t="s">
        <v>22</v>
      </c>
      <c r="AM505" s="43" t="e">
        <f t="shared" si="234"/>
        <v>#VALUE!</v>
      </c>
      <c r="AN505" s="43" t="e">
        <f t="shared" si="235"/>
        <v>#VALUE!</v>
      </c>
      <c r="AO505" s="3" t="s">
        <v>273</v>
      </c>
      <c r="AT505" s="2">
        <f t="shared" si="236"/>
        <v>8</v>
      </c>
      <c r="AU505" s="45">
        <f t="shared" si="237"/>
        <v>-1.1454025016820335</v>
      </c>
      <c r="AV505" s="45" t="e">
        <f t="shared" si="238"/>
        <v>#VALUE!</v>
      </c>
      <c r="AW505" s="45" t="e">
        <f t="shared" si="239"/>
        <v>#VALUE!</v>
      </c>
      <c r="AX505" s="45" t="e">
        <f t="shared" si="240"/>
        <v>#VALUE!</v>
      </c>
      <c r="AY505" s="45" t="e">
        <f t="shared" si="241"/>
        <v>#VALUE!</v>
      </c>
      <c r="AZ505" s="45" t="e">
        <f t="shared" si="242"/>
        <v>#VALUE!</v>
      </c>
      <c r="BA505" s="45" t="e">
        <f t="shared" si="243"/>
        <v>#VALUE!</v>
      </c>
      <c r="BB505" s="45" t="e">
        <f t="shared" si="244"/>
        <v>#VALUE!</v>
      </c>
      <c r="BC505" s="45">
        <f t="shared" si="245"/>
        <v>0.14612803567823801</v>
      </c>
      <c r="BD505" s="45" t="e">
        <f t="shared" si="246"/>
        <v>#VALUE!</v>
      </c>
      <c r="BE505" s="45" t="e">
        <f t="shared" si="247"/>
        <v>#VALUE!</v>
      </c>
      <c r="BF505" s="45" t="e">
        <f t="shared" si="248"/>
        <v>#VALUE!</v>
      </c>
      <c r="BG505" s="45" t="e">
        <f t="shared" si="249"/>
        <v>#VALUE!</v>
      </c>
      <c r="BH505" s="45">
        <f t="shared" si="250"/>
        <v>-1.7656345942583676</v>
      </c>
      <c r="BI505" s="43" t="e">
        <f t="shared" si="251"/>
        <v>#VALUE!</v>
      </c>
      <c r="CA505" s="41" t="s">
        <v>22</v>
      </c>
      <c r="CC505" t="s">
        <v>22</v>
      </c>
      <c r="CE505" s="41" t="s">
        <v>22</v>
      </c>
      <c r="CF505" s="41" t="s">
        <v>22</v>
      </c>
      <c r="CG505" s="41" t="e">
        <f t="shared" si="267"/>
        <v>#VALUE!</v>
      </c>
      <c r="CH505" s="41" t="e">
        <f t="shared" si="268"/>
        <v>#VALUE!</v>
      </c>
      <c r="CI505" s="41">
        <f t="shared" si="269"/>
        <v>1.4</v>
      </c>
      <c r="CJ505" s="41">
        <f t="shared" si="270"/>
        <v>0.14612803567823801</v>
      </c>
      <c r="CL505" s="9" t="s">
        <v>1269</v>
      </c>
      <c r="CM505" s="18" t="s">
        <v>1285</v>
      </c>
      <c r="CN505" s="54" t="s">
        <v>1284</v>
      </c>
      <c r="CO505" s="18" t="s">
        <v>1284</v>
      </c>
    </row>
    <row r="506" spans="1:93" x14ac:dyDescent="0.25">
      <c r="A506" t="s">
        <v>315</v>
      </c>
      <c r="B506" s="41">
        <v>0.110041</v>
      </c>
      <c r="C506" s="41" t="s">
        <v>22</v>
      </c>
      <c r="D506" s="41" t="s">
        <v>22</v>
      </c>
      <c r="E506" s="41" t="s">
        <v>22</v>
      </c>
      <c r="F506" t="s">
        <v>22</v>
      </c>
      <c r="G506" t="s">
        <v>22</v>
      </c>
      <c r="H506" t="s">
        <v>22</v>
      </c>
      <c r="I506" t="s">
        <v>22</v>
      </c>
      <c r="J506" s="41" t="s">
        <v>22</v>
      </c>
      <c r="K506" t="s">
        <v>22</v>
      </c>
      <c r="L506" s="41" t="e">
        <f t="shared" si="266"/>
        <v>#VALUE!</v>
      </c>
      <c r="M506" t="s">
        <v>45</v>
      </c>
      <c r="N506" s="41" t="s">
        <v>22</v>
      </c>
      <c r="O506" s="41" t="s">
        <v>22</v>
      </c>
      <c r="P506" s="41" t="s">
        <v>22</v>
      </c>
      <c r="R506" s="41" t="s">
        <v>22</v>
      </c>
      <c r="S506" s="41" t="s">
        <v>22</v>
      </c>
      <c r="T506" s="41">
        <v>1</v>
      </c>
      <c r="U506" s="41">
        <v>1</v>
      </c>
      <c r="V506">
        <v>20200511</v>
      </c>
      <c r="W506" s="21" t="s">
        <v>276</v>
      </c>
      <c r="X506">
        <v>2012</v>
      </c>
      <c r="Y506" t="s">
        <v>328</v>
      </c>
      <c r="Z506" t="s">
        <v>276</v>
      </c>
      <c r="AA506" t="s">
        <v>746</v>
      </c>
      <c r="AB506" s="41">
        <v>1.4644000000000001E-2</v>
      </c>
      <c r="AC506" t="s">
        <v>269</v>
      </c>
      <c r="AD506" s="41" t="s">
        <v>22</v>
      </c>
      <c r="AE506" s="41">
        <v>1590.7</v>
      </c>
      <c r="AF506" s="41" t="s">
        <v>22</v>
      </c>
      <c r="AG506" s="41" t="s">
        <v>22</v>
      </c>
      <c r="AH506" s="41" t="s">
        <v>22</v>
      </c>
      <c r="AI506" s="41" t="s">
        <v>22</v>
      </c>
      <c r="AJ506" s="41" t="s">
        <v>22</v>
      </c>
      <c r="AK506" s="41" t="s">
        <v>22</v>
      </c>
      <c r="AL506" s="41" t="s">
        <v>22</v>
      </c>
      <c r="AM506" s="43" t="e">
        <f t="shared" si="234"/>
        <v>#VALUE!</v>
      </c>
      <c r="AN506" s="43" t="e">
        <f t="shared" si="235"/>
        <v>#VALUE!</v>
      </c>
      <c r="AO506" s="3" t="s">
        <v>273</v>
      </c>
      <c r="AT506" s="2">
        <f t="shared" si="236"/>
        <v>8</v>
      </c>
      <c r="AU506" s="45">
        <f t="shared" si="237"/>
        <v>-0.95844547160379567</v>
      </c>
      <c r="AV506" s="45" t="e">
        <f t="shared" si="238"/>
        <v>#VALUE!</v>
      </c>
      <c r="AW506" s="45" t="e">
        <f t="shared" si="239"/>
        <v>#VALUE!</v>
      </c>
      <c r="AX506" s="45" t="e">
        <f t="shared" si="240"/>
        <v>#VALUE!</v>
      </c>
      <c r="AY506" s="45" t="e">
        <f t="shared" si="241"/>
        <v>#VALUE!</v>
      </c>
      <c r="AZ506" s="45" t="e">
        <f t="shared" si="242"/>
        <v>#VALUE!</v>
      </c>
      <c r="BA506" s="45" t="e">
        <f t="shared" si="243"/>
        <v>#VALUE!</v>
      </c>
      <c r="BB506" s="45" t="e">
        <f t="shared" si="244"/>
        <v>#VALUE!</v>
      </c>
      <c r="BC506" s="45">
        <f t="shared" si="245"/>
        <v>0</v>
      </c>
      <c r="BD506" s="45" t="e">
        <f t="shared" si="246"/>
        <v>#VALUE!</v>
      </c>
      <c r="BE506" s="45" t="e">
        <f t="shared" si="247"/>
        <v>#VALUE!</v>
      </c>
      <c r="BF506" s="45" t="e">
        <f t="shared" si="248"/>
        <v>#VALUE!</v>
      </c>
      <c r="BG506" s="45" t="e">
        <f t="shared" si="249"/>
        <v>#VALUE!</v>
      </c>
      <c r="BH506" s="45">
        <f t="shared" si="250"/>
        <v>-1.8343402797905066</v>
      </c>
      <c r="BI506" s="43" t="e">
        <f t="shared" si="251"/>
        <v>#VALUE!</v>
      </c>
      <c r="CA506" s="41" t="s">
        <v>22</v>
      </c>
      <c r="CC506" t="s">
        <v>22</v>
      </c>
      <c r="CE506" s="41" t="s">
        <v>22</v>
      </c>
      <c r="CF506" s="41" t="s">
        <v>22</v>
      </c>
      <c r="CG506" s="41" t="e">
        <f t="shared" si="267"/>
        <v>#VALUE!</v>
      </c>
      <c r="CH506" s="41" t="e">
        <f t="shared" si="268"/>
        <v>#VALUE!</v>
      </c>
      <c r="CI506" s="41">
        <f t="shared" si="269"/>
        <v>1</v>
      </c>
      <c r="CJ506" s="41">
        <f t="shared" si="270"/>
        <v>0</v>
      </c>
      <c r="CL506" s="9" t="s">
        <v>1269</v>
      </c>
      <c r="CM506" s="18" t="s">
        <v>1285</v>
      </c>
      <c r="CN506" s="54" t="s">
        <v>1284</v>
      </c>
      <c r="CO506" s="18" t="s">
        <v>1284</v>
      </c>
    </row>
    <row r="507" spans="1:93" x14ac:dyDescent="0.25">
      <c r="A507" t="s">
        <v>315</v>
      </c>
      <c r="B507" s="41">
        <v>0.30920500000000001</v>
      </c>
      <c r="C507" s="41" t="s">
        <v>22</v>
      </c>
      <c r="D507" s="41" t="s">
        <v>22</v>
      </c>
      <c r="E507" s="41" t="s">
        <v>22</v>
      </c>
      <c r="F507" t="s">
        <v>22</v>
      </c>
      <c r="G507" t="s">
        <v>22</v>
      </c>
      <c r="H507" t="s">
        <v>22</v>
      </c>
      <c r="I507" t="s">
        <v>22</v>
      </c>
      <c r="J507" s="41" t="s">
        <v>22</v>
      </c>
      <c r="K507" t="s">
        <v>22</v>
      </c>
      <c r="L507" s="41" t="e">
        <f t="shared" si="266"/>
        <v>#VALUE!</v>
      </c>
      <c r="M507" t="s">
        <v>45</v>
      </c>
      <c r="N507" s="41" t="s">
        <v>22</v>
      </c>
      <c r="O507" s="41" t="s">
        <v>22</v>
      </c>
      <c r="P507" s="41" t="s">
        <v>22</v>
      </c>
      <c r="R507" s="41" t="s">
        <v>22</v>
      </c>
      <c r="S507" s="41" t="s">
        <v>22</v>
      </c>
      <c r="T507" s="41" t="s">
        <v>274</v>
      </c>
      <c r="U507" s="41">
        <v>4.5</v>
      </c>
      <c r="V507">
        <v>20200511</v>
      </c>
      <c r="W507" s="21" t="s">
        <v>276</v>
      </c>
      <c r="X507">
        <v>2012</v>
      </c>
      <c r="Y507" t="s">
        <v>328</v>
      </c>
      <c r="Z507" t="s">
        <v>276</v>
      </c>
      <c r="AA507" t="s">
        <v>746</v>
      </c>
      <c r="AB507" s="41">
        <v>4.3096000000000002E-2</v>
      </c>
      <c r="AC507" t="s">
        <v>269</v>
      </c>
      <c r="AD507" s="41" t="s">
        <v>22</v>
      </c>
      <c r="AE507" s="41">
        <v>1597</v>
      </c>
      <c r="AF507" s="41" t="s">
        <v>22</v>
      </c>
      <c r="AG507" s="41" t="s">
        <v>22</v>
      </c>
      <c r="AH507" s="41" t="s">
        <v>22</v>
      </c>
      <c r="AI507" s="41" t="s">
        <v>22</v>
      </c>
      <c r="AJ507" s="41" t="s">
        <v>22</v>
      </c>
      <c r="AK507" s="41" t="s">
        <v>22</v>
      </c>
      <c r="AL507" s="41" t="s">
        <v>22</v>
      </c>
      <c r="AM507" s="43" t="e">
        <f t="shared" si="234"/>
        <v>#VALUE!</v>
      </c>
      <c r="AN507" s="43" t="e">
        <f t="shared" si="235"/>
        <v>#VALUE!</v>
      </c>
      <c r="AO507" s="3" t="s">
        <v>273</v>
      </c>
      <c r="AT507" s="2">
        <f t="shared" si="236"/>
        <v>8</v>
      </c>
      <c r="AU507" s="45">
        <f t="shared" si="237"/>
        <v>-0.50975349193724273</v>
      </c>
      <c r="AV507" s="45" t="e">
        <f t="shared" si="238"/>
        <v>#VALUE!</v>
      </c>
      <c r="AW507" s="45" t="e">
        <f t="shared" si="239"/>
        <v>#VALUE!</v>
      </c>
      <c r="AX507" s="45" t="e">
        <f t="shared" si="240"/>
        <v>#VALUE!</v>
      </c>
      <c r="AY507" s="45" t="e">
        <f t="shared" si="241"/>
        <v>#VALUE!</v>
      </c>
      <c r="AZ507" s="45" t="e">
        <f t="shared" si="242"/>
        <v>#VALUE!</v>
      </c>
      <c r="BA507" s="45" t="e">
        <f t="shared" si="243"/>
        <v>#VALUE!</v>
      </c>
      <c r="BB507" s="45" t="e">
        <f t="shared" si="244"/>
        <v>#VALUE!</v>
      </c>
      <c r="BC507" s="45">
        <f t="shared" si="245"/>
        <v>0.65321251377534373</v>
      </c>
      <c r="BD507" s="45" t="e">
        <f t="shared" si="246"/>
        <v>#VALUE!</v>
      </c>
      <c r="BE507" s="45" t="e">
        <f t="shared" si="247"/>
        <v>#VALUE!</v>
      </c>
      <c r="BF507" s="45" t="e">
        <f t="shared" si="248"/>
        <v>#VALUE!</v>
      </c>
      <c r="BG507" s="45" t="e">
        <f t="shared" si="249"/>
        <v>#VALUE!</v>
      </c>
      <c r="BH507" s="45">
        <f t="shared" si="250"/>
        <v>-1.3655630374621015</v>
      </c>
      <c r="BI507" s="43" t="e">
        <f t="shared" si="251"/>
        <v>#VALUE!</v>
      </c>
      <c r="CA507" s="41" t="s">
        <v>22</v>
      </c>
      <c r="CC507" t="s">
        <v>22</v>
      </c>
      <c r="CE507" s="41" t="s">
        <v>22</v>
      </c>
      <c r="CF507" s="41" t="s">
        <v>22</v>
      </c>
      <c r="CG507" s="41" t="e">
        <f t="shared" si="267"/>
        <v>#VALUE!</v>
      </c>
      <c r="CH507" s="41" t="e">
        <f t="shared" si="268"/>
        <v>#VALUE!</v>
      </c>
      <c r="CI507" s="41">
        <f t="shared" si="269"/>
        <v>4.5</v>
      </c>
      <c r="CJ507" s="41">
        <f t="shared" si="270"/>
        <v>0.65321251377534373</v>
      </c>
      <c r="CL507" s="9" t="s">
        <v>1269</v>
      </c>
      <c r="CM507" s="18" t="s">
        <v>1285</v>
      </c>
      <c r="CN507" s="54" t="s">
        <v>1284</v>
      </c>
      <c r="CO507" s="18" t="s">
        <v>1284</v>
      </c>
    </row>
    <row r="508" spans="1:93" x14ac:dyDescent="0.25">
      <c r="A508" t="s">
        <v>315</v>
      </c>
      <c r="B508" s="41">
        <v>1.7</v>
      </c>
      <c r="C508" s="41" t="s">
        <v>22</v>
      </c>
      <c r="D508" s="41" t="s">
        <v>22</v>
      </c>
      <c r="E508" s="41" t="s">
        <v>22</v>
      </c>
      <c r="F508" t="s">
        <v>22</v>
      </c>
      <c r="G508" t="s">
        <v>22</v>
      </c>
      <c r="H508" t="s">
        <v>22</v>
      </c>
      <c r="I508" t="s">
        <v>22</v>
      </c>
      <c r="J508" s="41" t="s">
        <v>22</v>
      </c>
      <c r="K508" t="s">
        <v>22</v>
      </c>
      <c r="L508" s="41" t="e">
        <f t="shared" si="266"/>
        <v>#VALUE!</v>
      </c>
      <c r="M508" t="s">
        <v>45</v>
      </c>
      <c r="N508" s="41" t="s">
        <v>22</v>
      </c>
      <c r="O508" s="41" t="s">
        <v>22</v>
      </c>
      <c r="P508" s="41" t="s">
        <v>22</v>
      </c>
      <c r="R508" s="41" t="s">
        <v>22</v>
      </c>
      <c r="S508" s="41" t="s">
        <v>22</v>
      </c>
      <c r="T508" s="41" t="s">
        <v>275</v>
      </c>
      <c r="U508" s="41">
        <f>0.75+1.5</f>
        <v>2.25</v>
      </c>
      <c r="V508">
        <v>20200511</v>
      </c>
      <c r="W508" s="21" t="s">
        <v>276</v>
      </c>
      <c r="X508">
        <v>2012</v>
      </c>
      <c r="Y508" t="s">
        <v>328</v>
      </c>
      <c r="Z508" t="s">
        <v>276</v>
      </c>
      <c r="AA508" t="s">
        <v>746</v>
      </c>
      <c r="AB508" s="41">
        <v>0.14686099999999999</v>
      </c>
      <c r="AC508" t="s">
        <v>269</v>
      </c>
      <c r="AD508" s="41" t="s">
        <v>22</v>
      </c>
      <c r="AE508" s="41">
        <v>1593.7</v>
      </c>
      <c r="AF508" s="41" t="s">
        <v>22</v>
      </c>
      <c r="AG508" s="41" t="s">
        <v>22</v>
      </c>
      <c r="AH508" s="41" t="s">
        <v>22</v>
      </c>
      <c r="AI508" s="41" t="s">
        <v>22</v>
      </c>
      <c r="AJ508" s="41" t="s">
        <v>22</v>
      </c>
      <c r="AK508" s="41" t="s">
        <v>22</v>
      </c>
      <c r="AL508" s="41" t="s">
        <v>22</v>
      </c>
      <c r="AM508" s="43" t="e">
        <f t="shared" si="234"/>
        <v>#VALUE!</v>
      </c>
      <c r="AN508" s="43" t="e">
        <f t="shared" si="235"/>
        <v>#VALUE!</v>
      </c>
      <c r="AO508" s="3" t="s">
        <v>273</v>
      </c>
      <c r="AT508" s="2">
        <f t="shared" si="236"/>
        <v>8</v>
      </c>
      <c r="AU508" s="45">
        <f t="shared" si="237"/>
        <v>0.23044892137827391</v>
      </c>
      <c r="AV508" s="45" t="e">
        <f t="shared" si="238"/>
        <v>#VALUE!</v>
      </c>
      <c r="AW508" s="45" t="e">
        <f t="shared" si="239"/>
        <v>#VALUE!</v>
      </c>
      <c r="AX508" s="45" t="e">
        <f t="shared" si="240"/>
        <v>#VALUE!</v>
      </c>
      <c r="AY508" s="45" t="e">
        <f t="shared" si="241"/>
        <v>#VALUE!</v>
      </c>
      <c r="AZ508" s="45" t="e">
        <f t="shared" si="242"/>
        <v>#VALUE!</v>
      </c>
      <c r="BA508" s="45" t="e">
        <f t="shared" si="243"/>
        <v>#VALUE!</v>
      </c>
      <c r="BB508" s="45" t="e">
        <f t="shared" si="244"/>
        <v>#VALUE!</v>
      </c>
      <c r="BC508" s="45">
        <f t="shared" si="245"/>
        <v>0.35218251811136247</v>
      </c>
      <c r="BD508" s="45" t="e">
        <f t="shared" si="246"/>
        <v>#VALUE!</v>
      </c>
      <c r="BE508" s="45" t="e">
        <f t="shared" si="247"/>
        <v>#VALUE!</v>
      </c>
      <c r="BF508" s="45" t="e">
        <f t="shared" si="248"/>
        <v>#VALUE!</v>
      </c>
      <c r="BG508" s="45" t="e">
        <f t="shared" si="249"/>
        <v>#VALUE!</v>
      </c>
      <c r="BH508" s="45">
        <f t="shared" si="250"/>
        <v>-0.83309351893766004</v>
      </c>
      <c r="BI508" s="43" t="e">
        <f t="shared" si="251"/>
        <v>#VALUE!</v>
      </c>
      <c r="CA508" s="41" t="s">
        <v>22</v>
      </c>
      <c r="CC508" t="s">
        <v>22</v>
      </c>
      <c r="CE508" s="41" t="s">
        <v>22</v>
      </c>
      <c r="CF508" s="41" t="s">
        <v>22</v>
      </c>
      <c r="CG508" s="41" t="e">
        <f t="shared" si="267"/>
        <v>#VALUE!</v>
      </c>
      <c r="CH508" s="41" t="e">
        <f t="shared" si="268"/>
        <v>#VALUE!</v>
      </c>
      <c r="CI508" s="41">
        <f t="shared" si="269"/>
        <v>2.25</v>
      </c>
      <c r="CJ508" s="41">
        <f t="shared" si="270"/>
        <v>0.35218251811136247</v>
      </c>
      <c r="CL508" s="9" t="s">
        <v>1269</v>
      </c>
      <c r="CM508" s="18" t="s">
        <v>1285</v>
      </c>
      <c r="CN508" s="54" t="s">
        <v>1284</v>
      </c>
      <c r="CO508" s="18" t="s">
        <v>1284</v>
      </c>
    </row>
    <row r="509" spans="1:93" x14ac:dyDescent="0.25">
      <c r="A509" t="s">
        <v>266</v>
      </c>
      <c r="B509" s="41">
        <f>1870*10^-6</f>
        <v>1.8699999999999999E-3</v>
      </c>
      <c r="C509" s="41" t="s">
        <v>22</v>
      </c>
      <c r="D509" s="41" t="s">
        <v>22</v>
      </c>
      <c r="E509" s="41" t="s">
        <v>22</v>
      </c>
      <c r="F509" t="s">
        <v>22</v>
      </c>
      <c r="G509" t="s">
        <v>22</v>
      </c>
      <c r="H509" t="s">
        <v>22</v>
      </c>
      <c r="I509" t="s">
        <v>22</v>
      </c>
      <c r="J509" s="41" t="s">
        <v>22</v>
      </c>
      <c r="K509" t="s">
        <v>22</v>
      </c>
      <c r="L509" s="41" t="e">
        <f t="shared" si="266"/>
        <v>#VALUE!</v>
      </c>
      <c r="M509" t="s">
        <v>23</v>
      </c>
      <c r="N509" s="41">
        <v>189</v>
      </c>
      <c r="O509" s="41" t="s">
        <v>22</v>
      </c>
      <c r="P509" s="41">
        <v>9.16</v>
      </c>
      <c r="R509" s="41">
        <f>N509*B509</f>
        <v>0.35342999999999997</v>
      </c>
      <c r="S509" s="41" t="s">
        <v>22</v>
      </c>
      <c r="T509" s="41" t="s">
        <v>22</v>
      </c>
      <c r="U509" s="41" t="s">
        <v>22</v>
      </c>
      <c r="V509">
        <v>20200510</v>
      </c>
      <c r="W509" s="21" t="s">
        <v>260</v>
      </c>
      <c r="X509">
        <v>2012</v>
      </c>
      <c r="Y509" t="s">
        <v>76</v>
      </c>
      <c r="Z509" t="s">
        <v>32</v>
      </c>
      <c r="AC509" t="s">
        <v>514</v>
      </c>
      <c r="AD509" s="41">
        <v>57.3</v>
      </c>
      <c r="AE509" s="41" t="s">
        <v>22</v>
      </c>
      <c r="AF509" s="41" t="s">
        <v>22</v>
      </c>
      <c r="AG509" s="41" t="s">
        <v>22</v>
      </c>
      <c r="AH509" s="41" t="s">
        <v>22</v>
      </c>
      <c r="AI509" s="41" t="s">
        <v>22</v>
      </c>
      <c r="AJ509" s="41" t="s">
        <v>22</v>
      </c>
      <c r="AK509" s="41" t="s">
        <v>22</v>
      </c>
      <c r="AL509" s="41" t="s">
        <v>22</v>
      </c>
      <c r="AM509" s="43" t="e">
        <f t="shared" si="234"/>
        <v>#VALUE!</v>
      </c>
      <c r="AN509" s="43" t="e">
        <f t="shared" si="235"/>
        <v>#VALUE!</v>
      </c>
      <c r="AO509" s="3" t="s">
        <v>261</v>
      </c>
      <c r="AT509" s="2">
        <f t="shared" si="236"/>
        <v>1</v>
      </c>
      <c r="AU509" s="45">
        <f t="shared" si="237"/>
        <v>-2.728158393463501</v>
      </c>
      <c r="AV509" s="45" t="e">
        <f t="shared" si="238"/>
        <v>#VALUE!</v>
      </c>
      <c r="AW509" s="45" t="e">
        <f t="shared" si="239"/>
        <v>#VALUE!</v>
      </c>
      <c r="AX509" s="45">
        <f t="shared" si="240"/>
        <v>2.2764618041732443</v>
      </c>
      <c r="AY509" s="45" t="e">
        <f t="shared" si="241"/>
        <v>#VALUE!</v>
      </c>
      <c r="AZ509" s="45">
        <f t="shared" si="242"/>
        <v>0.96189547366785044</v>
      </c>
      <c r="BA509" s="45" t="e">
        <f t="shared" si="243"/>
        <v>#VALUE!</v>
      </c>
      <c r="BB509" s="45" t="e">
        <f t="shared" si="244"/>
        <v>#VALUE!</v>
      </c>
      <c r="BC509" s="45" t="e">
        <f t="shared" si="245"/>
        <v>#VALUE!</v>
      </c>
      <c r="BD509" s="45">
        <f t="shared" si="246"/>
        <v>1.75815462196739</v>
      </c>
      <c r="BE509" s="45" t="e">
        <f t="shared" si="247"/>
        <v>#VALUE!</v>
      </c>
      <c r="BF509" s="45" t="e">
        <f t="shared" si="248"/>
        <v>#VALUE!</v>
      </c>
      <c r="BG509" s="45" t="e">
        <f t="shared" si="249"/>
        <v>#VALUE!</v>
      </c>
      <c r="BH509" s="45" t="e">
        <f t="shared" si="250"/>
        <v>#NUM!</v>
      </c>
      <c r="BI509" s="43" t="e">
        <f t="shared" si="251"/>
        <v>#VALUE!</v>
      </c>
      <c r="CA509" s="41" t="s">
        <v>22</v>
      </c>
      <c r="CC509" t="s">
        <v>22</v>
      </c>
      <c r="CE509" s="41" t="s">
        <v>22</v>
      </c>
      <c r="CF509" s="41" t="s">
        <v>22</v>
      </c>
      <c r="CG509" s="41">
        <f t="shared" si="267"/>
        <v>57300</v>
      </c>
      <c r="CH509" s="41">
        <f t="shared" si="268"/>
        <v>4.7581546219673898</v>
      </c>
      <c r="CI509" s="41">
        <f t="shared" si="269"/>
        <v>57300</v>
      </c>
      <c r="CJ509" s="41">
        <f t="shared" si="270"/>
        <v>4.7581546219673898</v>
      </c>
      <c r="CL509" s="9" t="s">
        <v>1269</v>
      </c>
      <c r="CM509" s="18" t="s">
        <v>1283</v>
      </c>
      <c r="CN509" s="54" t="s">
        <v>1284</v>
      </c>
      <c r="CO509" s="18" t="s">
        <v>1284</v>
      </c>
    </row>
    <row r="510" spans="1:93" x14ac:dyDescent="0.25">
      <c r="A510" t="s">
        <v>141</v>
      </c>
      <c r="B510" s="41" t="s">
        <v>22</v>
      </c>
      <c r="C510" s="41" t="s">
        <v>22</v>
      </c>
      <c r="D510" s="41" t="s">
        <v>22</v>
      </c>
      <c r="E510" s="41" t="s">
        <v>22</v>
      </c>
      <c r="F510" t="s">
        <v>22</v>
      </c>
      <c r="G510" t="s">
        <v>22</v>
      </c>
      <c r="H510" t="s">
        <v>22</v>
      </c>
      <c r="I510" t="s">
        <v>22</v>
      </c>
      <c r="J510" s="41" t="s">
        <v>22</v>
      </c>
      <c r="K510" t="s">
        <v>22</v>
      </c>
      <c r="L510" s="41" t="s">
        <v>22</v>
      </c>
      <c r="M510" t="s">
        <v>23</v>
      </c>
      <c r="N510" s="41">
        <v>486.13281249999898</v>
      </c>
      <c r="O510" s="41" t="s">
        <v>22</v>
      </c>
      <c r="P510" s="41">
        <v>28.380792853154599</v>
      </c>
      <c r="R510" s="41" t="s">
        <v>22</v>
      </c>
      <c r="S510" s="41" t="s">
        <v>22</v>
      </c>
      <c r="T510" s="41">
        <v>40</v>
      </c>
      <c r="U510" s="41">
        <v>40</v>
      </c>
      <c r="V510">
        <v>20200508</v>
      </c>
      <c r="W510" s="21"/>
      <c r="X510">
        <v>2012</v>
      </c>
      <c r="Y510" t="s">
        <v>26</v>
      </c>
      <c r="Z510" t="s">
        <v>507</v>
      </c>
      <c r="AC510" t="s">
        <v>514</v>
      </c>
      <c r="AD510" s="41">
        <v>11.249999999999901</v>
      </c>
      <c r="AE510" s="41" t="s">
        <v>22</v>
      </c>
      <c r="AF510" s="41" t="s">
        <v>22</v>
      </c>
      <c r="AG510" s="41" t="s">
        <v>22</v>
      </c>
      <c r="AH510" s="41" t="s">
        <v>22</v>
      </c>
      <c r="AI510" s="41" t="s">
        <v>22</v>
      </c>
      <c r="AJ510" s="41" t="s">
        <v>22</v>
      </c>
      <c r="AK510" s="41" t="s">
        <v>22</v>
      </c>
      <c r="AL510" s="41" t="s">
        <v>22</v>
      </c>
      <c r="AM510" s="43" t="e">
        <f t="shared" si="234"/>
        <v>#VALUE!</v>
      </c>
      <c r="AN510" s="43" t="e">
        <f t="shared" si="235"/>
        <v>#VALUE!</v>
      </c>
      <c r="AO510" s="3" t="s">
        <v>130</v>
      </c>
      <c r="AT510" s="2">
        <f t="shared" si="236"/>
        <v>17</v>
      </c>
      <c r="AU510" s="45" t="e">
        <f t="shared" si="237"/>
        <v>#VALUE!</v>
      </c>
      <c r="AV510" s="45" t="e">
        <f t="shared" si="238"/>
        <v>#VALUE!</v>
      </c>
      <c r="AW510" s="45" t="e">
        <f t="shared" si="239"/>
        <v>#VALUE!</v>
      </c>
      <c r="AX510" s="45">
        <f t="shared" si="240"/>
        <v>2.6867549356327616</v>
      </c>
      <c r="AY510" s="45" t="e">
        <f t="shared" si="241"/>
        <v>#VALUE!</v>
      </c>
      <c r="AZ510" s="45">
        <f t="shared" si="242"/>
        <v>1.453024523853671</v>
      </c>
      <c r="BA510" s="45" t="e">
        <f t="shared" si="243"/>
        <v>#VALUE!</v>
      </c>
      <c r="BB510" s="45" t="e">
        <f t="shared" si="244"/>
        <v>#VALUE!</v>
      </c>
      <c r="BC510" s="45">
        <f t="shared" si="245"/>
        <v>1.6020599913279623</v>
      </c>
      <c r="BD510" s="45">
        <f t="shared" si="246"/>
        <v>1.0511525224473774</v>
      </c>
      <c r="BE510" s="45" t="e">
        <f t="shared" si="247"/>
        <v>#VALUE!</v>
      </c>
      <c r="BF510" s="45" t="e">
        <f t="shared" si="248"/>
        <v>#VALUE!</v>
      </c>
      <c r="BG510" s="45" t="e">
        <f t="shared" si="249"/>
        <v>#VALUE!</v>
      </c>
      <c r="BH510" s="45" t="e">
        <f t="shared" si="250"/>
        <v>#NUM!</v>
      </c>
      <c r="BI510" s="43" t="e">
        <f t="shared" si="251"/>
        <v>#VALUE!</v>
      </c>
      <c r="CA510" s="41" t="s">
        <v>22</v>
      </c>
      <c r="CC510" t="s">
        <v>22</v>
      </c>
      <c r="CE510" s="41" t="s">
        <v>22</v>
      </c>
      <c r="CF510" s="41" t="s">
        <v>22</v>
      </c>
      <c r="CG510" s="41">
        <f t="shared" si="267"/>
        <v>11249.9999999999</v>
      </c>
      <c r="CH510" s="41">
        <f t="shared" si="268"/>
        <v>4.051152522447377</v>
      </c>
      <c r="CI510" s="41">
        <f t="shared" si="269"/>
        <v>11249.9999999999</v>
      </c>
      <c r="CJ510" s="41">
        <f t="shared" si="270"/>
        <v>4.051152522447377</v>
      </c>
      <c r="CL510" s="9" t="s">
        <v>1269</v>
      </c>
      <c r="CM510" s="18" t="s">
        <v>1283</v>
      </c>
      <c r="CN510" s="54" t="s">
        <v>1284</v>
      </c>
      <c r="CO510" s="18" t="s">
        <v>1284</v>
      </c>
    </row>
    <row r="511" spans="1:93" x14ac:dyDescent="0.25">
      <c r="A511" t="s">
        <v>141</v>
      </c>
      <c r="B511" s="41" t="s">
        <v>22</v>
      </c>
      <c r="C511" s="41" t="s">
        <v>22</v>
      </c>
      <c r="D511" s="41" t="s">
        <v>22</v>
      </c>
      <c r="E511" s="41" t="s">
        <v>22</v>
      </c>
      <c r="F511" t="s">
        <v>22</v>
      </c>
      <c r="G511" t="s">
        <v>22</v>
      </c>
      <c r="H511" t="s">
        <v>22</v>
      </c>
      <c r="I511" t="s">
        <v>22</v>
      </c>
      <c r="J511" s="41" t="s">
        <v>22</v>
      </c>
      <c r="K511" t="s">
        <v>22</v>
      </c>
      <c r="L511" s="41" t="s">
        <v>22</v>
      </c>
      <c r="M511" t="s">
        <v>23</v>
      </c>
      <c r="N511" s="41">
        <v>543.203125</v>
      </c>
      <c r="O511" s="41" t="s">
        <v>22</v>
      </c>
      <c r="P511" s="41">
        <v>18.677957689682898</v>
      </c>
      <c r="R511" s="41" t="s">
        <v>22</v>
      </c>
      <c r="S511" s="41" t="s">
        <v>22</v>
      </c>
      <c r="T511" s="41">
        <v>40</v>
      </c>
      <c r="U511" s="41">
        <v>40</v>
      </c>
      <c r="V511">
        <v>20200508</v>
      </c>
      <c r="W511" s="21"/>
      <c r="X511">
        <v>2012</v>
      </c>
      <c r="Y511" t="s">
        <v>26</v>
      </c>
      <c r="Z511" t="s">
        <v>507</v>
      </c>
      <c r="AC511" t="s">
        <v>514</v>
      </c>
      <c r="AD511" s="41">
        <v>16.499999999999901</v>
      </c>
      <c r="AE511" s="41" t="s">
        <v>22</v>
      </c>
      <c r="AF511" s="41" t="s">
        <v>22</v>
      </c>
      <c r="AG511" s="41" t="s">
        <v>22</v>
      </c>
      <c r="AH511" s="41" t="s">
        <v>22</v>
      </c>
      <c r="AI511" s="41" t="s">
        <v>22</v>
      </c>
      <c r="AJ511" s="41" t="s">
        <v>22</v>
      </c>
      <c r="AK511" s="41" t="s">
        <v>22</v>
      </c>
      <c r="AL511" s="41" t="s">
        <v>22</v>
      </c>
      <c r="AM511" s="43" t="e">
        <f t="shared" si="234"/>
        <v>#VALUE!</v>
      </c>
      <c r="AN511" s="43" t="e">
        <f t="shared" si="235"/>
        <v>#VALUE!</v>
      </c>
      <c r="AO511" s="3" t="s">
        <v>130</v>
      </c>
      <c r="AT511" s="2">
        <f t="shared" si="236"/>
        <v>17</v>
      </c>
      <c r="AU511" s="45" t="e">
        <f t="shared" si="237"/>
        <v>#VALUE!</v>
      </c>
      <c r="AV511" s="45" t="e">
        <f t="shared" si="238"/>
        <v>#VALUE!</v>
      </c>
      <c r="AW511" s="45" t="e">
        <f t="shared" si="239"/>
        <v>#VALUE!</v>
      </c>
      <c r="AX511" s="45">
        <f t="shared" si="240"/>
        <v>2.7349622597377472</v>
      </c>
      <c r="AY511" s="45" t="e">
        <f t="shared" si="241"/>
        <v>#VALUE!</v>
      </c>
      <c r="AZ511" s="45">
        <f t="shared" si="242"/>
        <v>1.2713293872799902</v>
      </c>
      <c r="BA511" s="45" t="e">
        <f t="shared" si="243"/>
        <v>#VALUE!</v>
      </c>
      <c r="BB511" s="45" t="e">
        <f t="shared" si="244"/>
        <v>#VALUE!</v>
      </c>
      <c r="BC511" s="45">
        <f t="shared" si="245"/>
        <v>1.6020599913279623</v>
      </c>
      <c r="BD511" s="45">
        <f t="shared" si="246"/>
        <v>1.2174839442139036</v>
      </c>
      <c r="BE511" s="45" t="e">
        <f t="shared" si="247"/>
        <v>#VALUE!</v>
      </c>
      <c r="BF511" s="45" t="e">
        <f t="shared" si="248"/>
        <v>#VALUE!</v>
      </c>
      <c r="BG511" s="45" t="e">
        <f t="shared" si="249"/>
        <v>#VALUE!</v>
      </c>
      <c r="BH511" s="45" t="e">
        <f t="shared" si="250"/>
        <v>#NUM!</v>
      </c>
      <c r="BI511" s="43" t="e">
        <f t="shared" si="251"/>
        <v>#VALUE!</v>
      </c>
      <c r="CA511" s="41" t="s">
        <v>22</v>
      </c>
      <c r="CC511" t="s">
        <v>22</v>
      </c>
      <c r="CE511" s="41" t="s">
        <v>22</v>
      </c>
      <c r="CF511" s="41" t="s">
        <v>22</v>
      </c>
      <c r="CG511" s="41">
        <f t="shared" si="267"/>
        <v>16499.999999999902</v>
      </c>
      <c r="CH511" s="41">
        <f t="shared" si="268"/>
        <v>4.217483944213904</v>
      </c>
      <c r="CI511" s="41">
        <f t="shared" si="269"/>
        <v>16499.999999999902</v>
      </c>
      <c r="CJ511" s="41">
        <f t="shared" si="270"/>
        <v>4.217483944213904</v>
      </c>
      <c r="CL511" s="9" t="s">
        <v>1269</v>
      </c>
      <c r="CM511" s="18" t="s">
        <v>1283</v>
      </c>
      <c r="CN511" s="54" t="s">
        <v>1284</v>
      </c>
      <c r="CO511" s="18" t="s">
        <v>1284</v>
      </c>
    </row>
    <row r="512" spans="1:93" x14ac:dyDescent="0.25">
      <c r="A512" t="s">
        <v>141</v>
      </c>
      <c r="B512" s="41" t="s">
        <v>22</v>
      </c>
      <c r="C512" s="41" t="s">
        <v>22</v>
      </c>
      <c r="D512" s="41" t="s">
        <v>22</v>
      </c>
      <c r="E512" s="41" t="s">
        <v>22</v>
      </c>
      <c r="F512" t="s">
        <v>22</v>
      </c>
      <c r="G512" t="s">
        <v>22</v>
      </c>
      <c r="H512" t="s">
        <v>22</v>
      </c>
      <c r="I512" t="s">
        <v>22</v>
      </c>
      <c r="J512" s="41" t="s">
        <v>22</v>
      </c>
      <c r="K512" t="s">
        <v>22</v>
      </c>
      <c r="L512" s="41" t="s">
        <v>22</v>
      </c>
      <c r="M512" t="s">
        <v>23</v>
      </c>
      <c r="N512" s="41">
        <v>618.515625</v>
      </c>
      <c r="O512" s="41" t="s">
        <v>22</v>
      </c>
      <c r="P512" s="41">
        <v>23.281220919411801</v>
      </c>
      <c r="R512" s="41" t="s">
        <v>22</v>
      </c>
      <c r="S512" s="41" t="s">
        <v>22</v>
      </c>
      <c r="T512" s="41">
        <v>40</v>
      </c>
      <c r="U512" s="41">
        <v>40</v>
      </c>
      <c r="V512">
        <v>20200508</v>
      </c>
      <c r="W512" s="21"/>
      <c r="X512">
        <v>2012</v>
      </c>
      <c r="Y512" t="s">
        <v>26</v>
      </c>
      <c r="Z512" t="s">
        <v>507</v>
      </c>
      <c r="AC512" t="s">
        <v>514</v>
      </c>
      <c r="AD512" s="41">
        <v>18.499999999999901</v>
      </c>
      <c r="AE512" s="41" t="s">
        <v>22</v>
      </c>
      <c r="AF512" s="41" t="s">
        <v>22</v>
      </c>
      <c r="AG512" s="41" t="s">
        <v>22</v>
      </c>
      <c r="AH512" s="41" t="s">
        <v>22</v>
      </c>
      <c r="AI512" s="41" t="s">
        <v>22</v>
      </c>
      <c r="AJ512" s="41" t="s">
        <v>22</v>
      </c>
      <c r="AK512" s="41" t="s">
        <v>22</v>
      </c>
      <c r="AL512" s="41" t="s">
        <v>22</v>
      </c>
      <c r="AM512" s="43" t="e">
        <f t="shared" si="234"/>
        <v>#VALUE!</v>
      </c>
      <c r="AN512" s="43" t="e">
        <f t="shared" si="235"/>
        <v>#VALUE!</v>
      </c>
      <c r="AO512" s="3" t="s">
        <v>130</v>
      </c>
      <c r="AT512" s="2">
        <f t="shared" si="236"/>
        <v>17</v>
      </c>
      <c r="AU512" s="45" t="e">
        <f t="shared" si="237"/>
        <v>#VALUE!</v>
      </c>
      <c r="AV512" s="45" t="e">
        <f t="shared" si="238"/>
        <v>#VALUE!</v>
      </c>
      <c r="AW512" s="45" t="e">
        <f t="shared" si="239"/>
        <v>#VALUE!</v>
      </c>
      <c r="AX512" s="45">
        <f t="shared" si="240"/>
        <v>2.7913506752918438</v>
      </c>
      <c r="AY512" s="45" t="e">
        <f t="shared" si="241"/>
        <v>#VALUE!</v>
      </c>
      <c r="AZ512" s="45">
        <f t="shared" si="242"/>
        <v>1.3670057519512058</v>
      </c>
      <c r="BA512" s="45" t="e">
        <f t="shared" si="243"/>
        <v>#VALUE!</v>
      </c>
      <c r="BB512" s="45" t="e">
        <f t="shared" si="244"/>
        <v>#VALUE!</v>
      </c>
      <c r="BC512" s="45">
        <f t="shared" si="245"/>
        <v>1.6020599913279623</v>
      </c>
      <c r="BD512" s="45">
        <f t="shared" si="246"/>
        <v>1.2671717284030115</v>
      </c>
      <c r="BE512" s="45" t="e">
        <f t="shared" si="247"/>
        <v>#VALUE!</v>
      </c>
      <c r="BF512" s="45" t="e">
        <f t="shared" si="248"/>
        <v>#VALUE!</v>
      </c>
      <c r="BG512" s="45" t="e">
        <f t="shared" si="249"/>
        <v>#VALUE!</v>
      </c>
      <c r="BH512" s="45" t="e">
        <f t="shared" si="250"/>
        <v>#NUM!</v>
      </c>
      <c r="BI512" s="43" t="e">
        <f t="shared" si="251"/>
        <v>#VALUE!</v>
      </c>
      <c r="CA512" s="41" t="s">
        <v>22</v>
      </c>
      <c r="CC512" t="s">
        <v>22</v>
      </c>
      <c r="CE512" s="41" t="s">
        <v>22</v>
      </c>
      <c r="CF512" s="41" t="s">
        <v>22</v>
      </c>
      <c r="CG512" s="41">
        <f t="shared" si="267"/>
        <v>18499.999999999902</v>
      </c>
      <c r="CH512" s="41">
        <f t="shared" si="268"/>
        <v>4.2671717284030111</v>
      </c>
      <c r="CI512" s="41">
        <f t="shared" si="269"/>
        <v>18499.999999999902</v>
      </c>
      <c r="CJ512" s="41">
        <f t="shared" si="270"/>
        <v>4.2671717284030111</v>
      </c>
      <c r="CL512" s="9" t="s">
        <v>1269</v>
      </c>
      <c r="CM512" s="18" t="s">
        <v>1283</v>
      </c>
      <c r="CN512" s="54" t="s">
        <v>1284</v>
      </c>
      <c r="CO512" s="18" t="s">
        <v>1284</v>
      </c>
    </row>
    <row r="513" spans="1:93" x14ac:dyDescent="0.25">
      <c r="A513" t="s">
        <v>141</v>
      </c>
      <c r="B513" s="41" t="s">
        <v>22</v>
      </c>
      <c r="C513" s="41" t="s">
        <v>22</v>
      </c>
      <c r="D513" s="41" t="s">
        <v>22</v>
      </c>
      <c r="E513" s="41" t="s">
        <v>22</v>
      </c>
      <c r="F513" t="s">
        <v>22</v>
      </c>
      <c r="G513" t="s">
        <v>22</v>
      </c>
      <c r="H513" t="s">
        <v>22</v>
      </c>
      <c r="I513" t="s">
        <v>22</v>
      </c>
      <c r="J513" s="41" t="s">
        <v>22</v>
      </c>
      <c r="K513" t="s">
        <v>22</v>
      </c>
      <c r="L513" s="41" t="s">
        <v>22</v>
      </c>
      <c r="M513" t="s">
        <v>23</v>
      </c>
      <c r="N513" s="41">
        <v>666.8359375</v>
      </c>
      <c r="O513" s="41" t="s">
        <v>22</v>
      </c>
      <c r="P513" s="41">
        <v>16.5562379800235</v>
      </c>
      <c r="R513" s="41" t="s">
        <v>22</v>
      </c>
      <c r="S513" s="41" t="s">
        <v>22</v>
      </c>
      <c r="T513" s="41">
        <v>40</v>
      </c>
      <c r="U513" s="41">
        <v>40</v>
      </c>
      <c r="V513">
        <v>20200508</v>
      </c>
      <c r="W513" s="21"/>
      <c r="X513">
        <v>2012</v>
      </c>
      <c r="Y513" t="s">
        <v>26</v>
      </c>
      <c r="Z513" t="s">
        <v>507</v>
      </c>
      <c r="AC513" t="s">
        <v>514</v>
      </c>
      <c r="AD513" s="41">
        <v>27.749999999999901</v>
      </c>
      <c r="AE513" s="41" t="s">
        <v>22</v>
      </c>
      <c r="AF513" s="41" t="s">
        <v>22</v>
      </c>
      <c r="AG513" s="41" t="s">
        <v>22</v>
      </c>
      <c r="AH513" s="41" t="s">
        <v>22</v>
      </c>
      <c r="AI513" s="41" t="s">
        <v>22</v>
      </c>
      <c r="AJ513" s="41" t="s">
        <v>22</v>
      </c>
      <c r="AK513" s="41" t="s">
        <v>22</v>
      </c>
      <c r="AL513" s="41" t="s">
        <v>22</v>
      </c>
      <c r="AM513" s="43" t="e">
        <f t="shared" si="234"/>
        <v>#VALUE!</v>
      </c>
      <c r="AN513" s="43" t="e">
        <f t="shared" si="235"/>
        <v>#VALUE!</v>
      </c>
      <c r="AO513" s="3" t="s">
        <v>130</v>
      </c>
      <c r="AT513" s="2">
        <f t="shared" si="236"/>
        <v>17</v>
      </c>
      <c r="AU513" s="45" t="e">
        <f t="shared" si="237"/>
        <v>#VALUE!</v>
      </c>
      <c r="AV513" s="45" t="e">
        <f t="shared" si="238"/>
        <v>#VALUE!</v>
      </c>
      <c r="AW513" s="45" t="e">
        <f t="shared" si="239"/>
        <v>#VALUE!</v>
      </c>
      <c r="AX513" s="45">
        <f t="shared" si="240"/>
        <v>2.8240189970308522</v>
      </c>
      <c r="AY513" s="45" t="e">
        <f t="shared" si="241"/>
        <v>#VALUE!</v>
      </c>
      <c r="AZ513" s="45">
        <f t="shared" si="242"/>
        <v>1.2189616603397517</v>
      </c>
      <c r="BA513" s="45" t="e">
        <f t="shared" si="243"/>
        <v>#VALUE!</v>
      </c>
      <c r="BB513" s="45" t="e">
        <f t="shared" si="244"/>
        <v>#VALUE!</v>
      </c>
      <c r="BC513" s="45">
        <f t="shared" si="245"/>
        <v>1.6020599913279623</v>
      </c>
      <c r="BD513" s="45">
        <f t="shared" si="246"/>
        <v>1.4432629874586935</v>
      </c>
      <c r="BE513" s="45" t="e">
        <f t="shared" si="247"/>
        <v>#VALUE!</v>
      </c>
      <c r="BF513" s="45" t="e">
        <f t="shared" si="248"/>
        <v>#VALUE!</v>
      </c>
      <c r="BG513" s="45" t="e">
        <f t="shared" si="249"/>
        <v>#VALUE!</v>
      </c>
      <c r="BH513" s="45" t="e">
        <f t="shared" si="250"/>
        <v>#NUM!</v>
      </c>
      <c r="BI513" s="43" t="e">
        <f t="shared" si="251"/>
        <v>#VALUE!</v>
      </c>
      <c r="CA513" s="41" t="s">
        <v>22</v>
      </c>
      <c r="CC513" t="s">
        <v>22</v>
      </c>
      <c r="CE513" s="41" t="s">
        <v>22</v>
      </c>
      <c r="CF513" s="41" t="s">
        <v>22</v>
      </c>
      <c r="CG513" s="41">
        <f t="shared" si="267"/>
        <v>27749.999999999902</v>
      </c>
      <c r="CH513" s="41">
        <f t="shared" si="268"/>
        <v>4.4432629874586933</v>
      </c>
      <c r="CI513" s="41">
        <f t="shared" si="269"/>
        <v>27749.999999999902</v>
      </c>
      <c r="CJ513" s="41">
        <f t="shared" si="270"/>
        <v>4.4432629874586933</v>
      </c>
      <c r="CL513" s="9" t="s">
        <v>1269</v>
      </c>
      <c r="CM513" s="18" t="s">
        <v>1283</v>
      </c>
      <c r="CN513" s="54" t="s">
        <v>1284</v>
      </c>
      <c r="CO513" s="18" t="s">
        <v>1284</v>
      </c>
    </row>
    <row r="514" spans="1:93" x14ac:dyDescent="0.25">
      <c r="A514" t="s">
        <v>141</v>
      </c>
      <c r="B514" s="41" t="s">
        <v>22</v>
      </c>
      <c r="C514" s="41" t="s">
        <v>22</v>
      </c>
      <c r="D514" s="41" t="s">
        <v>22</v>
      </c>
      <c r="E514" s="41" t="s">
        <v>22</v>
      </c>
      <c r="F514" t="s">
        <v>22</v>
      </c>
      <c r="G514" t="s">
        <v>22</v>
      </c>
      <c r="H514" t="s">
        <v>22</v>
      </c>
      <c r="I514" t="s">
        <v>22</v>
      </c>
      <c r="J514" s="41" t="s">
        <v>22</v>
      </c>
      <c r="K514" t="s">
        <v>22</v>
      </c>
      <c r="L514" s="41" t="s">
        <v>22</v>
      </c>
      <c r="M514" t="s">
        <v>23</v>
      </c>
      <c r="N514" s="41">
        <v>468.55468749999898</v>
      </c>
      <c r="O514" s="41" t="s">
        <v>22</v>
      </c>
      <c r="P514" s="41">
        <v>8.0073205533842007</v>
      </c>
      <c r="R514" s="41" t="s">
        <v>22</v>
      </c>
      <c r="S514" s="41" t="s">
        <v>22</v>
      </c>
      <c r="T514" s="41">
        <v>40</v>
      </c>
      <c r="U514" s="41">
        <v>40</v>
      </c>
      <c r="V514">
        <v>20200508</v>
      </c>
      <c r="W514" s="21"/>
      <c r="X514">
        <v>2012</v>
      </c>
      <c r="Y514" t="s">
        <v>26</v>
      </c>
      <c r="Z514" t="s">
        <v>507</v>
      </c>
      <c r="AC514" t="s">
        <v>514</v>
      </c>
      <c r="AD514" s="41">
        <v>38.75</v>
      </c>
      <c r="AE514" s="41" t="s">
        <v>22</v>
      </c>
      <c r="AF514" s="41" t="s">
        <v>22</v>
      </c>
      <c r="AG514" s="41" t="s">
        <v>22</v>
      </c>
      <c r="AH514" s="41" t="s">
        <v>22</v>
      </c>
      <c r="AI514" s="41" t="s">
        <v>22</v>
      </c>
      <c r="AJ514" s="41" t="s">
        <v>22</v>
      </c>
      <c r="AK514" s="41" t="s">
        <v>22</v>
      </c>
      <c r="AL514" s="41" t="s">
        <v>22</v>
      </c>
      <c r="AM514" s="43" t="e">
        <f t="shared" ref="AM514:AM577" si="271">AL514/AI514</f>
        <v>#VALUE!</v>
      </c>
      <c r="AN514" s="43" t="e">
        <f t="shared" ref="AN514:AN577" si="272">AL514/AJ514</f>
        <v>#VALUE!</v>
      </c>
      <c r="AO514" s="3" t="s">
        <v>130</v>
      </c>
      <c r="AT514" s="2">
        <f t="shared" ref="AT514:AT577" si="273">COUNTIF($AO$2:$AO$1400,AO514)</f>
        <v>17</v>
      </c>
      <c r="AU514" s="45" t="e">
        <f t="shared" ref="AU514:AU577" si="274">LOG10(B514)</f>
        <v>#VALUE!</v>
      </c>
      <c r="AV514" s="45" t="e">
        <f t="shared" ref="AV514:AV577" si="275">LOG10(C514)</f>
        <v>#VALUE!</v>
      </c>
      <c r="AW514" s="45" t="e">
        <f t="shared" ref="AW514:AW577" si="276">LOG10(D514)</f>
        <v>#VALUE!</v>
      </c>
      <c r="AX514" s="45">
        <f t="shared" ref="AX514:AX577" si="277">LOG10(N514)</f>
        <v>2.6707602869919991</v>
      </c>
      <c r="AY514" s="45" t="e">
        <f t="shared" ref="AY514:AY577" si="278">LOG10(O514)</f>
        <v>#VALUE!</v>
      </c>
      <c r="AZ514" s="45">
        <f t="shared" ref="AZ514:AZ577" si="279">LOG10(P514)</f>
        <v>0.90348721476660809</v>
      </c>
      <c r="BA514" s="45" t="e">
        <f t="shared" ref="BA514:BA577" si="280">LOG10(J514)</f>
        <v>#VALUE!</v>
      </c>
      <c r="BB514" s="45" t="e">
        <f t="shared" ref="BB514:BB577" si="281">LOG10(L514)</f>
        <v>#VALUE!</v>
      </c>
      <c r="BC514" s="45">
        <f t="shared" ref="BC514:BC577" si="282">LOG10(U514)</f>
        <v>1.6020599913279623</v>
      </c>
      <c r="BD514" s="45">
        <f t="shared" ref="BD514:BD577" si="283">LOG10(AD514)</f>
        <v>1.5882717068423291</v>
      </c>
      <c r="BE514" s="45" t="e">
        <f t="shared" ref="BE514:BE577" si="284">LOG10(AF514)</f>
        <v>#VALUE!</v>
      </c>
      <c r="BF514" s="45" t="e">
        <f t="shared" ref="BF514:BF577" si="285">LOG10(AM514)</f>
        <v>#VALUE!</v>
      </c>
      <c r="BG514" s="45" t="e">
        <f t="shared" ref="BG514:BG577" si="286">LOG10(AN514)</f>
        <v>#VALUE!</v>
      </c>
      <c r="BH514" s="45" t="e">
        <f t="shared" ref="BH514:BH577" si="287">LOG10(AB514)</f>
        <v>#NUM!</v>
      </c>
      <c r="BI514" s="43" t="e">
        <f t="shared" ref="BI514:BI577" si="288">LOG10(AF514)</f>
        <v>#VALUE!</v>
      </c>
      <c r="CA514" s="41" t="s">
        <v>22</v>
      </c>
      <c r="CC514" t="s">
        <v>22</v>
      </c>
      <c r="CE514" s="41" t="s">
        <v>22</v>
      </c>
      <c r="CF514" s="41" t="s">
        <v>22</v>
      </c>
      <c r="CG514" s="41">
        <f t="shared" si="267"/>
        <v>38750</v>
      </c>
      <c r="CH514" s="41">
        <f t="shared" si="268"/>
        <v>4.5882717068423293</v>
      </c>
      <c r="CI514" s="41">
        <f t="shared" si="269"/>
        <v>38750</v>
      </c>
      <c r="CJ514" s="41">
        <f t="shared" si="270"/>
        <v>4.5882717068423293</v>
      </c>
      <c r="CL514" s="9" t="s">
        <v>1269</v>
      </c>
      <c r="CM514" s="18" t="s">
        <v>1283</v>
      </c>
      <c r="CN514" s="54" t="s">
        <v>1284</v>
      </c>
      <c r="CO514" s="18" t="s">
        <v>1284</v>
      </c>
    </row>
    <row r="515" spans="1:93" x14ac:dyDescent="0.25">
      <c r="A515" t="s">
        <v>141</v>
      </c>
      <c r="B515" s="41" t="s">
        <v>22</v>
      </c>
      <c r="C515" s="41" t="s">
        <v>22</v>
      </c>
      <c r="D515" s="41" t="s">
        <v>22</v>
      </c>
      <c r="E515" s="41" t="s">
        <v>22</v>
      </c>
      <c r="F515" t="s">
        <v>22</v>
      </c>
      <c r="G515" t="s">
        <v>22</v>
      </c>
      <c r="H515" t="s">
        <v>22</v>
      </c>
      <c r="I515" t="s">
        <v>22</v>
      </c>
      <c r="J515" s="41" t="s">
        <v>22</v>
      </c>
      <c r="K515" t="s">
        <v>22</v>
      </c>
      <c r="L515" s="41" t="s">
        <v>22</v>
      </c>
      <c r="M515" t="s">
        <v>23</v>
      </c>
      <c r="N515" s="41">
        <v>462.53906249999898</v>
      </c>
      <c r="O515" s="41" t="s">
        <v>22</v>
      </c>
      <c r="P515" s="41">
        <v>7.5879396984924403</v>
      </c>
      <c r="R515" s="41" t="s">
        <v>22</v>
      </c>
      <c r="S515" s="41" t="s">
        <v>22</v>
      </c>
      <c r="T515" s="41">
        <v>40</v>
      </c>
      <c r="U515" s="41">
        <v>40</v>
      </c>
      <c r="V515">
        <v>20200508</v>
      </c>
      <c r="W515" s="21"/>
      <c r="X515">
        <v>2012</v>
      </c>
      <c r="Y515" t="s">
        <v>26</v>
      </c>
      <c r="Z515" t="s">
        <v>507</v>
      </c>
      <c r="AC515" t="s">
        <v>514</v>
      </c>
      <c r="AD515" s="41">
        <v>40.25</v>
      </c>
      <c r="AE515" s="41" t="s">
        <v>22</v>
      </c>
      <c r="AF515" s="41" t="s">
        <v>22</v>
      </c>
      <c r="AG515" s="41" t="s">
        <v>22</v>
      </c>
      <c r="AH515" s="41" t="s">
        <v>22</v>
      </c>
      <c r="AI515" s="41" t="s">
        <v>22</v>
      </c>
      <c r="AJ515" s="41" t="s">
        <v>22</v>
      </c>
      <c r="AK515" s="41" t="s">
        <v>22</v>
      </c>
      <c r="AL515" s="41" t="s">
        <v>22</v>
      </c>
      <c r="AM515" s="43" t="e">
        <f t="shared" si="271"/>
        <v>#VALUE!</v>
      </c>
      <c r="AN515" s="43" t="e">
        <f t="shared" si="272"/>
        <v>#VALUE!</v>
      </c>
      <c r="AO515" s="19" t="s">
        <v>130</v>
      </c>
      <c r="AT515" s="2">
        <f t="shared" si="273"/>
        <v>17</v>
      </c>
      <c r="AU515" s="45" t="e">
        <f t="shared" si="274"/>
        <v>#VALUE!</v>
      </c>
      <c r="AV515" s="45" t="e">
        <f t="shared" si="275"/>
        <v>#VALUE!</v>
      </c>
      <c r="AW515" s="45" t="e">
        <f t="shared" si="276"/>
        <v>#VALUE!</v>
      </c>
      <c r="AX515" s="45">
        <f t="shared" si="277"/>
        <v>2.6651484158033272</v>
      </c>
      <c r="AY515" s="45" t="e">
        <f t="shared" si="278"/>
        <v>#VALUE!</v>
      </c>
      <c r="AZ515" s="45">
        <f t="shared" si="279"/>
        <v>0.88012387088346156</v>
      </c>
      <c r="BA515" s="45" t="e">
        <f t="shared" si="280"/>
        <v>#VALUE!</v>
      </c>
      <c r="BB515" s="45" t="e">
        <f t="shared" si="281"/>
        <v>#VALUE!</v>
      </c>
      <c r="BC515" s="45">
        <f t="shared" si="282"/>
        <v>1.6020599913279623</v>
      </c>
      <c r="BD515" s="45">
        <f t="shared" si="283"/>
        <v>1.6047658847038873</v>
      </c>
      <c r="BE515" s="45" t="e">
        <f t="shared" si="284"/>
        <v>#VALUE!</v>
      </c>
      <c r="BF515" s="45" t="e">
        <f t="shared" si="285"/>
        <v>#VALUE!</v>
      </c>
      <c r="BG515" s="45" t="e">
        <f t="shared" si="286"/>
        <v>#VALUE!</v>
      </c>
      <c r="BH515" s="45" t="e">
        <f t="shared" si="287"/>
        <v>#NUM!</v>
      </c>
      <c r="BI515" s="43" t="e">
        <f t="shared" si="288"/>
        <v>#VALUE!</v>
      </c>
      <c r="BJ515" s="18"/>
      <c r="BK515" s="18"/>
      <c r="BL515" s="20"/>
      <c r="CA515" s="41" t="s">
        <v>22</v>
      </c>
      <c r="CC515" t="s">
        <v>22</v>
      </c>
      <c r="CE515" s="41" t="s">
        <v>22</v>
      </c>
      <c r="CF515" s="41" t="s">
        <v>22</v>
      </c>
      <c r="CG515" s="41">
        <f t="shared" si="267"/>
        <v>40250</v>
      </c>
      <c r="CH515" s="41">
        <f t="shared" si="268"/>
        <v>4.6047658847038875</v>
      </c>
      <c r="CI515" s="41">
        <f t="shared" si="269"/>
        <v>40250</v>
      </c>
      <c r="CJ515" s="41">
        <f t="shared" si="270"/>
        <v>4.6047658847038875</v>
      </c>
      <c r="CL515" s="9" t="s">
        <v>1269</v>
      </c>
      <c r="CM515" s="18" t="s">
        <v>1283</v>
      </c>
      <c r="CN515" s="54" t="s">
        <v>1284</v>
      </c>
      <c r="CO515" s="18" t="s">
        <v>1284</v>
      </c>
    </row>
    <row r="516" spans="1:93" x14ac:dyDescent="0.25">
      <c r="A516" t="s">
        <v>141</v>
      </c>
      <c r="B516" s="41" t="s">
        <v>22</v>
      </c>
      <c r="C516" s="41" t="s">
        <v>22</v>
      </c>
      <c r="D516" s="41" t="s">
        <v>22</v>
      </c>
      <c r="E516" s="41" t="s">
        <v>22</v>
      </c>
      <c r="F516" t="s">
        <v>22</v>
      </c>
      <c r="G516" t="s">
        <v>22</v>
      </c>
      <c r="H516" t="s">
        <v>22</v>
      </c>
      <c r="I516" t="s">
        <v>22</v>
      </c>
      <c r="J516" s="41" t="s">
        <v>22</v>
      </c>
      <c r="K516" t="s">
        <v>22</v>
      </c>
      <c r="L516" s="41" t="s">
        <v>22</v>
      </c>
      <c r="M516" t="s">
        <v>23</v>
      </c>
      <c r="N516" s="41">
        <v>375.93749999999898</v>
      </c>
      <c r="O516" s="41" t="s">
        <v>22</v>
      </c>
      <c r="P516" s="41">
        <v>8.1338792729077394</v>
      </c>
      <c r="R516" s="41" t="s">
        <v>22</v>
      </c>
      <c r="S516" s="41" t="s">
        <v>22</v>
      </c>
      <c r="T516" s="41">
        <v>40</v>
      </c>
      <c r="U516" s="41">
        <v>40</v>
      </c>
      <c r="V516">
        <v>20200508</v>
      </c>
      <c r="W516" s="21"/>
      <c r="X516">
        <v>2012</v>
      </c>
      <c r="Y516" t="s">
        <v>26</v>
      </c>
      <c r="Z516" t="s">
        <v>507</v>
      </c>
      <c r="AC516" t="s">
        <v>514</v>
      </c>
      <c r="AD516" s="41">
        <v>46</v>
      </c>
      <c r="AE516" s="41" t="s">
        <v>22</v>
      </c>
      <c r="AF516" s="41" t="s">
        <v>22</v>
      </c>
      <c r="AG516" s="41" t="s">
        <v>22</v>
      </c>
      <c r="AH516" s="41" t="s">
        <v>22</v>
      </c>
      <c r="AI516" s="41" t="s">
        <v>22</v>
      </c>
      <c r="AJ516" s="41" t="s">
        <v>22</v>
      </c>
      <c r="AK516" s="41" t="s">
        <v>22</v>
      </c>
      <c r="AL516" s="41" t="s">
        <v>22</v>
      </c>
      <c r="AM516" s="43" t="e">
        <f t="shared" si="271"/>
        <v>#VALUE!</v>
      </c>
      <c r="AN516" s="43" t="e">
        <f t="shared" si="272"/>
        <v>#VALUE!</v>
      </c>
      <c r="AO516" s="19" t="s">
        <v>130</v>
      </c>
      <c r="AT516" s="2">
        <f t="shared" si="273"/>
        <v>17</v>
      </c>
      <c r="AU516" s="45" t="e">
        <f t="shared" si="274"/>
        <v>#VALUE!</v>
      </c>
      <c r="AV516" s="45" t="e">
        <f t="shared" si="275"/>
        <v>#VALUE!</v>
      </c>
      <c r="AW516" s="45" t="e">
        <f t="shared" si="276"/>
        <v>#VALUE!</v>
      </c>
      <c r="AX516" s="45">
        <f t="shared" si="277"/>
        <v>2.5751156490199376</v>
      </c>
      <c r="AY516" s="45" t="e">
        <f t="shared" si="278"/>
        <v>#VALUE!</v>
      </c>
      <c r="AZ516" s="45">
        <f t="shared" si="279"/>
        <v>0.91029772210113735</v>
      </c>
      <c r="BA516" s="45" t="e">
        <f t="shared" si="280"/>
        <v>#VALUE!</v>
      </c>
      <c r="BB516" s="45" t="e">
        <f t="shared" si="281"/>
        <v>#VALUE!</v>
      </c>
      <c r="BC516" s="45">
        <f t="shared" si="282"/>
        <v>1.6020599913279623</v>
      </c>
      <c r="BD516" s="45">
        <f t="shared" si="283"/>
        <v>1.6627578316815741</v>
      </c>
      <c r="BE516" s="45" t="e">
        <f t="shared" si="284"/>
        <v>#VALUE!</v>
      </c>
      <c r="BF516" s="45" t="e">
        <f t="shared" si="285"/>
        <v>#VALUE!</v>
      </c>
      <c r="BG516" s="45" t="e">
        <f t="shared" si="286"/>
        <v>#VALUE!</v>
      </c>
      <c r="BH516" s="45" t="e">
        <f t="shared" si="287"/>
        <v>#NUM!</v>
      </c>
      <c r="BI516" s="43" t="e">
        <f t="shared" si="288"/>
        <v>#VALUE!</v>
      </c>
      <c r="BJ516" s="18"/>
      <c r="BK516" s="18"/>
      <c r="BL516" s="20"/>
      <c r="CA516" s="41" t="s">
        <v>22</v>
      </c>
      <c r="CC516" t="s">
        <v>22</v>
      </c>
      <c r="CE516" s="41" t="s">
        <v>22</v>
      </c>
      <c r="CF516" s="41" t="s">
        <v>22</v>
      </c>
      <c r="CG516" s="41">
        <f t="shared" si="267"/>
        <v>46000</v>
      </c>
      <c r="CH516" s="41">
        <f t="shared" si="268"/>
        <v>4.6627578316815743</v>
      </c>
      <c r="CI516" s="41">
        <f t="shared" si="269"/>
        <v>46000</v>
      </c>
      <c r="CJ516" s="41">
        <f t="shared" si="270"/>
        <v>4.6627578316815743</v>
      </c>
      <c r="CL516" s="9" t="s">
        <v>1269</v>
      </c>
      <c r="CM516" s="18" t="s">
        <v>1283</v>
      </c>
      <c r="CN516" s="54" t="s">
        <v>1284</v>
      </c>
      <c r="CO516" s="18" t="s">
        <v>1284</v>
      </c>
    </row>
    <row r="517" spans="1:93" x14ac:dyDescent="0.25">
      <c r="A517" t="s">
        <v>141</v>
      </c>
      <c r="B517" s="41" t="s">
        <v>22</v>
      </c>
      <c r="D517" s="41" t="s">
        <v>22</v>
      </c>
      <c r="E517" s="41" t="s">
        <v>22</v>
      </c>
      <c r="F517" t="s">
        <v>22</v>
      </c>
      <c r="G517" t="s">
        <v>22</v>
      </c>
      <c r="H517" t="s">
        <v>22</v>
      </c>
      <c r="I517" t="s">
        <v>22</v>
      </c>
      <c r="J517" s="41" t="s">
        <v>22</v>
      </c>
      <c r="K517" t="s">
        <v>22</v>
      </c>
      <c r="L517" s="41" t="s">
        <v>22</v>
      </c>
      <c r="M517" t="s">
        <v>23</v>
      </c>
      <c r="N517" s="41">
        <v>327.3046875</v>
      </c>
      <c r="O517" s="41" t="s">
        <v>22</v>
      </c>
      <c r="P517" s="41">
        <v>21.109870339351001</v>
      </c>
      <c r="R517" s="41" t="s">
        <v>22</v>
      </c>
      <c r="S517" s="41" t="s">
        <v>22</v>
      </c>
      <c r="T517" s="41">
        <v>40</v>
      </c>
      <c r="U517" s="41">
        <v>40</v>
      </c>
      <c r="V517">
        <v>20200508</v>
      </c>
      <c r="W517" s="21"/>
      <c r="X517">
        <v>2012</v>
      </c>
      <c r="Y517" t="s">
        <v>26</v>
      </c>
      <c r="Z517" t="s">
        <v>32</v>
      </c>
      <c r="AC517" t="s">
        <v>514</v>
      </c>
      <c r="AD517" s="41">
        <v>14.749999999999901</v>
      </c>
      <c r="AE517" s="41" t="s">
        <v>22</v>
      </c>
      <c r="AF517" s="41" t="s">
        <v>22</v>
      </c>
      <c r="AG517" s="41" t="s">
        <v>22</v>
      </c>
      <c r="AH517" s="41" t="s">
        <v>22</v>
      </c>
      <c r="AI517" s="41" t="s">
        <v>22</v>
      </c>
      <c r="AJ517" s="41" t="s">
        <v>22</v>
      </c>
      <c r="AK517" s="41" t="s">
        <v>22</v>
      </c>
      <c r="AL517" s="41" t="s">
        <v>22</v>
      </c>
      <c r="AM517" s="43" t="e">
        <f t="shared" si="271"/>
        <v>#VALUE!</v>
      </c>
      <c r="AN517" s="43" t="e">
        <f t="shared" si="272"/>
        <v>#VALUE!</v>
      </c>
      <c r="AO517" s="19" t="s">
        <v>130</v>
      </c>
      <c r="AT517" s="2">
        <f t="shared" si="273"/>
        <v>17</v>
      </c>
      <c r="AU517" s="45" t="e">
        <f t="shared" si="274"/>
        <v>#VALUE!</v>
      </c>
      <c r="AV517" s="45" t="e">
        <f t="shared" si="275"/>
        <v>#NUM!</v>
      </c>
      <c r="AW517" s="45" t="e">
        <f t="shared" si="276"/>
        <v>#VALUE!</v>
      </c>
      <c r="AX517" s="45">
        <f t="shared" si="277"/>
        <v>2.5149522251088179</v>
      </c>
      <c r="AY517" s="45" t="e">
        <f t="shared" si="278"/>
        <v>#VALUE!</v>
      </c>
      <c r="AZ517" s="45">
        <f t="shared" si="279"/>
        <v>1.3244855658004411</v>
      </c>
      <c r="BA517" s="45" t="e">
        <f t="shared" si="280"/>
        <v>#VALUE!</v>
      </c>
      <c r="BB517" s="45" t="e">
        <f t="shared" si="281"/>
        <v>#VALUE!</v>
      </c>
      <c r="BC517" s="45">
        <f t="shared" si="282"/>
        <v>1.6020599913279623</v>
      </c>
      <c r="BD517" s="45">
        <f t="shared" si="283"/>
        <v>1.1687920203141788</v>
      </c>
      <c r="BE517" s="45" t="e">
        <f t="shared" si="284"/>
        <v>#VALUE!</v>
      </c>
      <c r="BF517" s="45" t="e">
        <f t="shared" si="285"/>
        <v>#VALUE!</v>
      </c>
      <c r="BG517" s="45" t="e">
        <f t="shared" si="286"/>
        <v>#VALUE!</v>
      </c>
      <c r="BH517" s="45" t="e">
        <f t="shared" si="287"/>
        <v>#NUM!</v>
      </c>
      <c r="BI517" s="43" t="e">
        <f t="shared" si="288"/>
        <v>#VALUE!</v>
      </c>
      <c r="BJ517" s="18"/>
      <c r="BK517" s="18"/>
      <c r="BL517" s="20"/>
      <c r="CA517" s="41" t="s">
        <v>22</v>
      </c>
      <c r="CC517" t="s">
        <v>22</v>
      </c>
      <c r="CE517" s="41" t="s">
        <v>22</v>
      </c>
      <c r="CF517" s="41" t="s">
        <v>22</v>
      </c>
      <c r="CG517" s="41">
        <f t="shared" si="267"/>
        <v>14749.9999999999</v>
      </c>
      <c r="CH517" s="41">
        <f t="shared" si="268"/>
        <v>4.1687920203141786</v>
      </c>
      <c r="CI517" s="41">
        <f t="shared" si="269"/>
        <v>14749.9999999999</v>
      </c>
      <c r="CJ517" s="41">
        <f t="shared" si="270"/>
        <v>4.1687920203141786</v>
      </c>
      <c r="CL517" s="9" t="s">
        <v>1269</v>
      </c>
      <c r="CM517" s="18" t="s">
        <v>1283</v>
      </c>
      <c r="CN517" s="54" t="s">
        <v>1284</v>
      </c>
      <c r="CO517" s="18" t="s">
        <v>1284</v>
      </c>
    </row>
    <row r="518" spans="1:93" x14ac:dyDescent="0.25">
      <c r="A518" t="s">
        <v>141</v>
      </c>
      <c r="B518" s="41" t="s">
        <v>22</v>
      </c>
      <c r="D518" s="41" t="s">
        <v>22</v>
      </c>
      <c r="E518" s="41" t="s">
        <v>22</v>
      </c>
      <c r="F518" t="s">
        <v>22</v>
      </c>
      <c r="G518" t="s">
        <v>22</v>
      </c>
      <c r="H518" t="s">
        <v>22</v>
      </c>
      <c r="I518" t="s">
        <v>22</v>
      </c>
      <c r="J518" s="41" t="s">
        <v>22</v>
      </c>
      <c r="K518" t="s">
        <v>22</v>
      </c>
      <c r="L518" s="41" t="s">
        <v>22</v>
      </c>
      <c r="M518" t="s">
        <v>23</v>
      </c>
      <c r="N518" s="41">
        <v>259.8046875</v>
      </c>
      <c r="O518" s="41" t="s">
        <v>22</v>
      </c>
      <c r="P518" s="41">
        <v>13.7942800421862</v>
      </c>
      <c r="R518" s="41" t="s">
        <v>22</v>
      </c>
      <c r="S518" s="41" t="s">
        <v>22</v>
      </c>
      <c r="T518" s="41">
        <v>40</v>
      </c>
      <c r="U518" s="41">
        <v>40</v>
      </c>
      <c r="V518">
        <v>20200508</v>
      </c>
      <c r="W518" s="21"/>
      <c r="X518">
        <v>2012</v>
      </c>
      <c r="Y518" t="s">
        <v>26</v>
      </c>
      <c r="Z518" t="s">
        <v>32</v>
      </c>
      <c r="AC518" t="s">
        <v>514</v>
      </c>
      <c r="AD518" s="41">
        <v>22.749999999999901</v>
      </c>
      <c r="AE518" s="41" t="s">
        <v>22</v>
      </c>
      <c r="AF518" s="41" t="s">
        <v>22</v>
      </c>
      <c r="AG518" s="41" t="s">
        <v>22</v>
      </c>
      <c r="AH518" s="41" t="s">
        <v>22</v>
      </c>
      <c r="AI518" s="41" t="s">
        <v>22</v>
      </c>
      <c r="AJ518" s="41" t="s">
        <v>22</v>
      </c>
      <c r="AK518" s="41" t="s">
        <v>22</v>
      </c>
      <c r="AL518" s="41" t="s">
        <v>22</v>
      </c>
      <c r="AM518" s="43" t="e">
        <f t="shared" si="271"/>
        <v>#VALUE!</v>
      </c>
      <c r="AN518" s="43" t="e">
        <f t="shared" si="272"/>
        <v>#VALUE!</v>
      </c>
      <c r="AO518" s="19" t="s">
        <v>130</v>
      </c>
      <c r="AT518" s="2">
        <f t="shared" si="273"/>
        <v>17</v>
      </c>
      <c r="AU518" s="45" t="e">
        <f t="shared" si="274"/>
        <v>#VALUE!</v>
      </c>
      <c r="AV518" s="45" t="e">
        <f t="shared" si="275"/>
        <v>#NUM!</v>
      </c>
      <c r="AW518" s="45" t="e">
        <f t="shared" si="276"/>
        <v>#VALUE!</v>
      </c>
      <c r="AX518" s="45">
        <f t="shared" si="277"/>
        <v>2.4146469825223011</v>
      </c>
      <c r="AY518" s="45" t="e">
        <f t="shared" si="278"/>
        <v>#VALUE!</v>
      </c>
      <c r="AZ518" s="45">
        <f t="shared" si="279"/>
        <v>1.1396990384965957</v>
      </c>
      <c r="BA518" s="45" t="e">
        <f t="shared" si="280"/>
        <v>#VALUE!</v>
      </c>
      <c r="BB518" s="45" t="e">
        <f t="shared" si="281"/>
        <v>#VALUE!</v>
      </c>
      <c r="BC518" s="45">
        <f t="shared" si="282"/>
        <v>1.6020599913279623</v>
      </c>
      <c r="BD518" s="45">
        <f t="shared" si="283"/>
        <v>1.3569814009931294</v>
      </c>
      <c r="BE518" s="45" t="e">
        <f t="shared" si="284"/>
        <v>#VALUE!</v>
      </c>
      <c r="BF518" s="45" t="e">
        <f t="shared" si="285"/>
        <v>#VALUE!</v>
      </c>
      <c r="BG518" s="45" t="e">
        <f t="shared" si="286"/>
        <v>#VALUE!</v>
      </c>
      <c r="BH518" s="45" t="e">
        <f t="shared" si="287"/>
        <v>#NUM!</v>
      </c>
      <c r="BI518" s="43" t="e">
        <f t="shared" si="288"/>
        <v>#VALUE!</v>
      </c>
      <c r="BJ518" s="18"/>
      <c r="BK518" s="18"/>
      <c r="BL518" s="20"/>
      <c r="CA518" s="41" t="s">
        <v>22</v>
      </c>
      <c r="CC518" t="s">
        <v>22</v>
      </c>
      <c r="CE518" s="41" t="s">
        <v>22</v>
      </c>
      <c r="CF518" s="41" t="s">
        <v>22</v>
      </c>
      <c r="CG518" s="41">
        <f t="shared" si="267"/>
        <v>22749.999999999902</v>
      </c>
      <c r="CH518" s="41">
        <f t="shared" si="268"/>
        <v>4.3569814009931296</v>
      </c>
      <c r="CI518" s="41">
        <f t="shared" si="269"/>
        <v>22749.999999999902</v>
      </c>
      <c r="CJ518" s="41">
        <f t="shared" si="270"/>
        <v>4.3569814009931296</v>
      </c>
      <c r="CL518" s="9" t="s">
        <v>1269</v>
      </c>
      <c r="CM518" s="18" t="s">
        <v>1283</v>
      </c>
      <c r="CN518" s="54" t="s">
        <v>1284</v>
      </c>
      <c r="CO518" s="18" t="s">
        <v>1284</v>
      </c>
    </row>
    <row r="519" spans="1:93" x14ac:dyDescent="0.25">
      <c r="A519" t="s">
        <v>141</v>
      </c>
      <c r="B519" s="41" t="s">
        <v>22</v>
      </c>
      <c r="D519" s="41" t="s">
        <v>22</v>
      </c>
      <c r="E519" s="41" t="s">
        <v>22</v>
      </c>
      <c r="F519" t="s">
        <v>22</v>
      </c>
      <c r="G519" t="s">
        <v>22</v>
      </c>
      <c r="H519" t="s">
        <v>22</v>
      </c>
      <c r="I519" t="s">
        <v>22</v>
      </c>
      <c r="J519" s="41" t="s">
        <v>22</v>
      </c>
      <c r="K519" t="s">
        <v>22</v>
      </c>
      <c r="L519" s="41" t="s">
        <v>22</v>
      </c>
      <c r="M519" t="s">
        <v>23</v>
      </c>
      <c r="N519" s="41">
        <v>276.64062499999898</v>
      </c>
      <c r="O519" s="41" t="s">
        <v>22</v>
      </c>
      <c r="P519" s="41">
        <v>7.8857249209007803</v>
      </c>
      <c r="R519" s="41" t="s">
        <v>22</v>
      </c>
      <c r="S519" s="41" t="s">
        <v>22</v>
      </c>
      <c r="T519" s="41">
        <v>40</v>
      </c>
      <c r="U519" s="41">
        <v>40</v>
      </c>
      <c r="V519">
        <v>20200508</v>
      </c>
      <c r="W519" s="21"/>
      <c r="X519">
        <v>2012</v>
      </c>
      <c r="Y519" t="s">
        <v>26</v>
      </c>
      <c r="Z519" t="s">
        <v>32</v>
      </c>
      <c r="AC519" t="s">
        <v>514</v>
      </c>
      <c r="AD519" s="41">
        <v>30.499999999999901</v>
      </c>
      <c r="AE519" s="41" t="s">
        <v>22</v>
      </c>
      <c r="AF519" s="41" t="s">
        <v>22</v>
      </c>
      <c r="AG519" s="41" t="s">
        <v>22</v>
      </c>
      <c r="AH519" s="41" t="s">
        <v>22</v>
      </c>
      <c r="AI519" s="41" t="s">
        <v>22</v>
      </c>
      <c r="AJ519" s="41" t="s">
        <v>22</v>
      </c>
      <c r="AK519" s="41" t="s">
        <v>22</v>
      </c>
      <c r="AL519" s="41" t="s">
        <v>22</v>
      </c>
      <c r="AM519" s="43" t="e">
        <f t="shared" si="271"/>
        <v>#VALUE!</v>
      </c>
      <c r="AN519" s="43" t="e">
        <f t="shared" si="272"/>
        <v>#VALUE!</v>
      </c>
      <c r="AO519" s="19" t="s">
        <v>130</v>
      </c>
      <c r="AT519" s="2">
        <f t="shared" si="273"/>
        <v>17</v>
      </c>
      <c r="AU519" s="45" t="e">
        <f t="shared" si="274"/>
        <v>#VALUE!</v>
      </c>
      <c r="AV519" s="45" t="e">
        <f t="shared" si="275"/>
        <v>#NUM!</v>
      </c>
      <c r="AW519" s="45" t="e">
        <f t="shared" si="276"/>
        <v>#VALUE!</v>
      </c>
      <c r="AX519" s="45">
        <f t="shared" si="277"/>
        <v>2.4419159571102411</v>
      </c>
      <c r="AY519" s="45" t="e">
        <f t="shared" si="278"/>
        <v>#VALUE!</v>
      </c>
      <c r="AZ519" s="45">
        <f t="shared" si="279"/>
        <v>0.89684162343229457</v>
      </c>
      <c r="BA519" s="45" t="e">
        <f t="shared" si="280"/>
        <v>#VALUE!</v>
      </c>
      <c r="BB519" s="45" t="e">
        <f t="shared" si="281"/>
        <v>#VALUE!</v>
      </c>
      <c r="BC519" s="45">
        <f t="shared" si="282"/>
        <v>1.6020599913279623</v>
      </c>
      <c r="BD519" s="45">
        <f t="shared" si="283"/>
        <v>1.4842998393467843</v>
      </c>
      <c r="BE519" s="45" t="e">
        <f t="shared" si="284"/>
        <v>#VALUE!</v>
      </c>
      <c r="BF519" s="45" t="e">
        <f t="shared" si="285"/>
        <v>#VALUE!</v>
      </c>
      <c r="BG519" s="45" t="e">
        <f t="shared" si="286"/>
        <v>#VALUE!</v>
      </c>
      <c r="BH519" s="45" t="e">
        <f t="shared" si="287"/>
        <v>#NUM!</v>
      </c>
      <c r="BI519" s="43" t="e">
        <f t="shared" si="288"/>
        <v>#VALUE!</v>
      </c>
      <c r="BJ519" s="18"/>
      <c r="BK519" s="18"/>
      <c r="BL519" s="20"/>
      <c r="CA519" s="41" t="s">
        <v>22</v>
      </c>
      <c r="CC519" t="s">
        <v>22</v>
      </c>
      <c r="CE519" s="41" t="s">
        <v>22</v>
      </c>
      <c r="CF519" s="41" t="s">
        <v>22</v>
      </c>
      <c r="CG519" s="41">
        <f t="shared" si="267"/>
        <v>30499.999999999902</v>
      </c>
      <c r="CH519" s="41">
        <f t="shared" si="268"/>
        <v>4.4842998393467841</v>
      </c>
      <c r="CI519" s="41">
        <f t="shared" si="269"/>
        <v>30499.999999999902</v>
      </c>
      <c r="CJ519" s="41">
        <f t="shared" si="270"/>
        <v>4.4842998393467841</v>
      </c>
      <c r="CL519" s="9" t="s">
        <v>1269</v>
      </c>
      <c r="CM519" s="18" t="s">
        <v>1283</v>
      </c>
      <c r="CN519" s="54" t="s">
        <v>1284</v>
      </c>
      <c r="CO519" s="18" t="s">
        <v>1284</v>
      </c>
    </row>
    <row r="520" spans="1:93" x14ac:dyDescent="0.25">
      <c r="A520" t="s">
        <v>141</v>
      </c>
      <c r="B520" s="41" t="s">
        <v>22</v>
      </c>
      <c r="D520" s="41" t="s">
        <v>22</v>
      </c>
      <c r="E520" s="41" t="s">
        <v>22</v>
      </c>
      <c r="F520" t="s">
        <v>22</v>
      </c>
      <c r="G520" t="s">
        <v>22</v>
      </c>
      <c r="H520" t="s">
        <v>22</v>
      </c>
      <c r="I520" t="s">
        <v>22</v>
      </c>
      <c r="J520" s="41" t="s">
        <v>22</v>
      </c>
      <c r="K520" t="s">
        <v>22</v>
      </c>
      <c r="L520" s="41" t="s">
        <v>22</v>
      </c>
      <c r="M520" t="s">
        <v>23</v>
      </c>
      <c r="N520" s="41">
        <v>206.79687499999901</v>
      </c>
      <c r="O520" s="41" t="s">
        <v>22</v>
      </c>
      <c r="P520" s="41">
        <v>8.7617097834853297</v>
      </c>
      <c r="R520" s="41" t="s">
        <v>22</v>
      </c>
      <c r="S520" s="41" t="s">
        <v>22</v>
      </c>
      <c r="T520" s="41">
        <v>40</v>
      </c>
      <c r="U520" s="41">
        <v>40</v>
      </c>
      <c r="V520">
        <v>20200508</v>
      </c>
      <c r="W520" s="21"/>
      <c r="X520">
        <v>2012</v>
      </c>
      <c r="Y520" t="s">
        <v>26</v>
      </c>
      <c r="Z520" t="s">
        <v>32</v>
      </c>
      <c r="AC520" t="s">
        <v>514</v>
      </c>
      <c r="AD520" s="41">
        <v>43.5</v>
      </c>
      <c r="AE520" s="41" t="s">
        <v>22</v>
      </c>
      <c r="AF520" s="41" t="s">
        <v>22</v>
      </c>
      <c r="AG520" s="41" t="s">
        <v>22</v>
      </c>
      <c r="AH520" s="41" t="s">
        <v>22</v>
      </c>
      <c r="AI520" s="41" t="s">
        <v>22</v>
      </c>
      <c r="AJ520" s="41" t="s">
        <v>22</v>
      </c>
      <c r="AK520" s="41" t="s">
        <v>22</v>
      </c>
      <c r="AL520" s="41" t="s">
        <v>22</v>
      </c>
      <c r="AM520" s="43" t="e">
        <f t="shared" si="271"/>
        <v>#VALUE!</v>
      </c>
      <c r="AN520" s="43" t="e">
        <f t="shared" si="272"/>
        <v>#VALUE!</v>
      </c>
      <c r="AO520" s="19" t="s">
        <v>130</v>
      </c>
      <c r="AT520" s="2">
        <f t="shared" si="273"/>
        <v>17</v>
      </c>
      <c r="AU520" s="45" t="e">
        <f t="shared" si="274"/>
        <v>#VALUE!</v>
      </c>
      <c r="AV520" s="45" t="e">
        <f t="shared" si="275"/>
        <v>#NUM!</v>
      </c>
      <c r="AW520" s="45" t="e">
        <f t="shared" si="276"/>
        <v>#VALUE!</v>
      </c>
      <c r="AX520" s="45">
        <f t="shared" si="277"/>
        <v>2.3155439716534776</v>
      </c>
      <c r="AY520" s="45" t="e">
        <f t="shared" si="278"/>
        <v>#VALUE!</v>
      </c>
      <c r="AZ520" s="45">
        <f t="shared" si="279"/>
        <v>0.9425888638252341</v>
      </c>
      <c r="BA520" s="45" t="e">
        <f t="shared" si="280"/>
        <v>#VALUE!</v>
      </c>
      <c r="BB520" s="45" t="e">
        <f t="shared" si="281"/>
        <v>#VALUE!</v>
      </c>
      <c r="BC520" s="45">
        <f t="shared" si="282"/>
        <v>1.6020599913279623</v>
      </c>
      <c r="BD520" s="45">
        <f t="shared" si="283"/>
        <v>1.6384892569546374</v>
      </c>
      <c r="BE520" s="45" t="e">
        <f t="shared" si="284"/>
        <v>#VALUE!</v>
      </c>
      <c r="BF520" s="45" t="e">
        <f t="shared" si="285"/>
        <v>#VALUE!</v>
      </c>
      <c r="BG520" s="45" t="e">
        <f t="shared" si="286"/>
        <v>#VALUE!</v>
      </c>
      <c r="BH520" s="45" t="e">
        <f t="shared" si="287"/>
        <v>#NUM!</v>
      </c>
      <c r="BI520" s="43" t="e">
        <f t="shared" si="288"/>
        <v>#VALUE!</v>
      </c>
      <c r="BJ520" s="18"/>
      <c r="BK520" s="18"/>
      <c r="BL520" s="20"/>
      <c r="CA520" s="41" t="s">
        <v>22</v>
      </c>
      <c r="CC520" t="s">
        <v>22</v>
      </c>
      <c r="CE520" s="41" t="s">
        <v>22</v>
      </c>
      <c r="CF520" s="41" t="s">
        <v>22</v>
      </c>
      <c r="CG520" s="41">
        <f t="shared" si="267"/>
        <v>43500</v>
      </c>
      <c r="CH520" s="41">
        <f t="shared" si="268"/>
        <v>4.638489256954637</v>
      </c>
      <c r="CI520" s="41">
        <f t="shared" si="269"/>
        <v>43500</v>
      </c>
      <c r="CJ520" s="41">
        <f t="shared" si="270"/>
        <v>4.638489256954637</v>
      </c>
      <c r="CL520" s="9" t="s">
        <v>1269</v>
      </c>
      <c r="CM520" s="18" t="s">
        <v>1283</v>
      </c>
      <c r="CN520" s="54" t="s">
        <v>1284</v>
      </c>
      <c r="CO520" s="18" t="s">
        <v>1284</v>
      </c>
    </row>
    <row r="521" spans="1:93" x14ac:dyDescent="0.25">
      <c r="A521" t="s">
        <v>141</v>
      </c>
      <c r="B521" s="41" t="s">
        <v>22</v>
      </c>
      <c r="D521" s="41" t="s">
        <v>22</v>
      </c>
      <c r="E521" s="41" t="s">
        <v>22</v>
      </c>
      <c r="F521" t="s">
        <v>22</v>
      </c>
      <c r="G521" t="s">
        <v>22</v>
      </c>
      <c r="H521" t="s">
        <v>22</v>
      </c>
      <c r="I521" t="s">
        <v>22</v>
      </c>
      <c r="J521" s="41" t="s">
        <v>22</v>
      </c>
      <c r="K521" t="s">
        <v>22</v>
      </c>
      <c r="L521" s="41" t="s">
        <v>22</v>
      </c>
      <c r="M521" t="s">
        <v>23</v>
      </c>
      <c r="N521" s="41">
        <v>162.18749999999901</v>
      </c>
      <c r="O521" s="41" t="s">
        <v>22</v>
      </c>
      <c r="P521" s="41">
        <v>4.5976797568087298</v>
      </c>
      <c r="R521" s="41" t="s">
        <v>22</v>
      </c>
      <c r="S521" s="41" t="s">
        <v>22</v>
      </c>
      <c r="T521" s="41">
        <v>40</v>
      </c>
      <c r="U521" s="41">
        <v>40</v>
      </c>
      <c r="V521">
        <v>20200508</v>
      </c>
      <c r="X521">
        <v>2012</v>
      </c>
      <c r="Y521" t="s">
        <v>26</v>
      </c>
      <c r="Z521" t="s">
        <v>32</v>
      </c>
      <c r="AC521" t="s">
        <v>514</v>
      </c>
      <c r="AD521" s="41">
        <v>58</v>
      </c>
      <c r="AE521" s="41" t="s">
        <v>22</v>
      </c>
      <c r="AF521" s="41" t="s">
        <v>22</v>
      </c>
      <c r="AG521" s="41" t="s">
        <v>22</v>
      </c>
      <c r="AH521" s="41" t="s">
        <v>22</v>
      </c>
      <c r="AI521" s="41" t="s">
        <v>22</v>
      </c>
      <c r="AJ521" s="41" t="s">
        <v>22</v>
      </c>
      <c r="AK521" s="41" t="s">
        <v>22</v>
      </c>
      <c r="AL521" s="41" t="s">
        <v>22</v>
      </c>
      <c r="AM521" s="43" t="e">
        <f t="shared" si="271"/>
        <v>#VALUE!</v>
      </c>
      <c r="AN521" s="43" t="e">
        <f t="shared" si="272"/>
        <v>#VALUE!</v>
      </c>
      <c r="AO521" s="3" t="s">
        <v>130</v>
      </c>
      <c r="AT521" s="2">
        <f t="shared" si="273"/>
        <v>17</v>
      </c>
      <c r="AU521" s="45" t="e">
        <f t="shared" si="274"/>
        <v>#VALUE!</v>
      </c>
      <c r="AV521" s="45" t="e">
        <f t="shared" si="275"/>
        <v>#NUM!</v>
      </c>
      <c r="AW521" s="45" t="e">
        <f t="shared" si="276"/>
        <v>#VALUE!</v>
      </c>
      <c r="AX521" s="45">
        <f t="shared" si="277"/>
        <v>2.2100173795285492</v>
      </c>
      <c r="AY521" s="45" t="e">
        <f t="shared" si="278"/>
        <v>#VALUE!</v>
      </c>
      <c r="AZ521" s="45">
        <f t="shared" si="279"/>
        <v>0.66253871797840969</v>
      </c>
      <c r="BA521" s="45" t="e">
        <f t="shared" si="280"/>
        <v>#VALUE!</v>
      </c>
      <c r="BB521" s="45" t="e">
        <f t="shared" si="281"/>
        <v>#VALUE!</v>
      </c>
      <c r="BC521" s="45">
        <f t="shared" si="282"/>
        <v>1.6020599913279623</v>
      </c>
      <c r="BD521" s="45">
        <f t="shared" si="283"/>
        <v>1.7634279935629373</v>
      </c>
      <c r="BE521" s="45" t="e">
        <f t="shared" si="284"/>
        <v>#VALUE!</v>
      </c>
      <c r="BF521" s="45" t="e">
        <f t="shared" si="285"/>
        <v>#VALUE!</v>
      </c>
      <c r="BG521" s="45" t="e">
        <f t="shared" si="286"/>
        <v>#VALUE!</v>
      </c>
      <c r="BH521" s="45" t="e">
        <f t="shared" si="287"/>
        <v>#NUM!</v>
      </c>
      <c r="BI521" s="43" t="e">
        <f t="shared" si="288"/>
        <v>#VALUE!</v>
      </c>
      <c r="CA521" s="41" t="s">
        <v>22</v>
      </c>
      <c r="CC521" t="s">
        <v>22</v>
      </c>
      <c r="CE521" s="41" t="s">
        <v>22</v>
      </c>
      <c r="CF521" s="41" t="s">
        <v>22</v>
      </c>
      <c r="CG521" s="41">
        <f t="shared" si="267"/>
        <v>58000</v>
      </c>
      <c r="CH521" s="41">
        <f t="shared" si="268"/>
        <v>4.7634279935629369</v>
      </c>
      <c r="CI521" s="41">
        <f t="shared" si="269"/>
        <v>58000</v>
      </c>
      <c r="CJ521" s="41">
        <f t="shared" si="270"/>
        <v>4.7634279935629369</v>
      </c>
      <c r="CL521" s="9" t="s">
        <v>1269</v>
      </c>
      <c r="CM521" s="18" t="s">
        <v>1283</v>
      </c>
      <c r="CN521" s="54" t="s">
        <v>1284</v>
      </c>
      <c r="CO521" s="18" t="s">
        <v>1284</v>
      </c>
    </row>
    <row r="522" spans="1:93" x14ac:dyDescent="0.25">
      <c r="A522" t="s">
        <v>141</v>
      </c>
      <c r="B522" s="41" t="s">
        <v>22</v>
      </c>
      <c r="D522" s="41" t="s">
        <v>22</v>
      </c>
      <c r="E522" s="41" t="s">
        <v>22</v>
      </c>
      <c r="F522" t="s">
        <v>22</v>
      </c>
      <c r="G522" t="s">
        <v>22</v>
      </c>
      <c r="H522" t="s">
        <v>22</v>
      </c>
      <c r="I522" t="s">
        <v>22</v>
      </c>
      <c r="J522" s="41" t="s">
        <v>22</v>
      </c>
      <c r="K522" t="s">
        <v>22</v>
      </c>
      <c r="L522" s="41" t="s">
        <v>22</v>
      </c>
      <c r="M522" t="s">
        <v>23</v>
      </c>
      <c r="N522" s="41">
        <v>293.67187499999898</v>
      </c>
      <c r="O522" s="41" t="s">
        <v>22</v>
      </c>
      <c r="P522" s="41">
        <v>4.7813139772938698</v>
      </c>
      <c r="R522" s="41" t="s">
        <v>22</v>
      </c>
      <c r="S522" s="41" t="s">
        <v>22</v>
      </c>
      <c r="T522" s="41">
        <v>40</v>
      </c>
      <c r="U522" s="41">
        <v>40</v>
      </c>
      <c r="V522">
        <v>20200508</v>
      </c>
      <c r="X522">
        <v>2012</v>
      </c>
      <c r="Y522" t="s">
        <v>26</v>
      </c>
      <c r="Z522" t="s">
        <v>32</v>
      </c>
      <c r="AC522" t="s">
        <v>514</v>
      </c>
      <c r="AD522" s="41">
        <v>59.5</v>
      </c>
      <c r="AE522" s="41" t="s">
        <v>22</v>
      </c>
      <c r="AF522" s="41" t="s">
        <v>22</v>
      </c>
      <c r="AG522" s="41" t="s">
        <v>22</v>
      </c>
      <c r="AH522" s="41" t="s">
        <v>22</v>
      </c>
      <c r="AI522" s="41" t="s">
        <v>22</v>
      </c>
      <c r="AJ522" s="41" t="s">
        <v>22</v>
      </c>
      <c r="AK522" s="41" t="s">
        <v>22</v>
      </c>
      <c r="AL522" s="41" t="s">
        <v>22</v>
      </c>
      <c r="AM522" s="43" t="e">
        <f t="shared" si="271"/>
        <v>#VALUE!</v>
      </c>
      <c r="AN522" s="43" t="e">
        <f t="shared" si="272"/>
        <v>#VALUE!</v>
      </c>
      <c r="AO522" s="3" t="s">
        <v>130</v>
      </c>
      <c r="AT522" s="2">
        <f t="shared" si="273"/>
        <v>17</v>
      </c>
      <c r="AU522" s="45" t="e">
        <f t="shared" si="274"/>
        <v>#VALUE!</v>
      </c>
      <c r="AV522" s="45" t="e">
        <f t="shared" si="275"/>
        <v>#NUM!</v>
      </c>
      <c r="AW522" s="45" t="e">
        <f t="shared" si="276"/>
        <v>#VALUE!</v>
      </c>
      <c r="AX522" s="45">
        <f t="shared" si="277"/>
        <v>2.4678623560659427</v>
      </c>
      <c r="AY522" s="45" t="e">
        <f t="shared" si="278"/>
        <v>#VALUE!</v>
      </c>
      <c r="AZ522" s="45">
        <f t="shared" si="279"/>
        <v>0.67954726369765162</v>
      </c>
      <c r="BA522" s="45" t="e">
        <f t="shared" si="280"/>
        <v>#VALUE!</v>
      </c>
      <c r="BB522" s="45" t="e">
        <f t="shared" si="281"/>
        <v>#VALUE!</v>
      </c>
      <c r="BC522" s="45">
        <f t="shared" si="282"/>
        <v>1.6020599913279623</v>
      </c>
      <c r="BD522" s="45">
        <f t="shared" si="283"/>
        <v>1.7745169657285496</v>
      </c>
      <c r="BE522" s="45" t="e">
        <f t="shared" si="284"/>
        <v>#VALUE!</v>
      </c>
      <c r="BF522" s="45" t="e">
        <f t="shared" si="285"/>
        <v>#VALUE!</v>
      </c>
      <c r="BG522" s="45" t="e">
        <f t="shared" si="286"/>
        <v>#VALUE!</v>
      </c>
      <c r="BH522" s="45" t="e">
        <f t="shared" si="287"/>
        <v>#NUM!</v>
      </c>
      <c r="BI522" s="43" t="e">
        <f t="shared" si="288"/>
        <v>#VALUE!</v>
      </c>
      <c r="CA522" s="41" t="s">
        <v>22</v>
      </c>
      <c r="CC522" t="s">
        <v>22</v>
      </c>
      <c r="CE522" s="41" t="s">
        <v>22</v>
      </c>
      <c r="CF522" s="41" t="s">
        <v>22</v>
      </c>
      <c r="CG522" s="41">
        <f t="shared" si="267"/>
        <v>59500</v>
      </c>
      <c r="CH522" s="41">
        <f t="shared" si="268"/>
        <v>4.7745169657285498</v>
      </c>
      <c r="CI522" s="41">
        <f t="shared" si="269"/>
        <v>59500</v>
      </c>
      <c r="CJ522" s="41">
        <f t="shared" si="270"/>
        <v>4.7745169657285498</v>
      </c>
      <c r="CL522" s="9" t="s">
        <v>1269</v>
      </c>
      <c r="CM522" s="18" t="s">
        <v>1283</v>
      </c>
      <c r="CN522" s="54" t="s">
        <v>1284</v>
      </c>
      <c r="CO522" s="18" t="s">
        <v>1284</v>
      </c>
    </row>
    <row r="523" spans="1:93" x14ac:dyDescent="0.25">
      <c r="A523" t="s">
        <v>141</v>
      </c>
      <c r="B523" s="41" t="s">
        <v>22</v>
      </c>
      <c r="D523" s="41" t="s">
        <v>22</v>
      </c>
      <c r="E523" s="41" t="s">
        <v>22</v>
      </c>
      <c r="F523" t="s">
        <v>22</v>
      </c>
      <c r="G523" t="s">
        <v>22</v>
      </c>
      <c r="H523" t="s">
        <v>22</v>
      </c>
      <c r="I523" t="s">
        <v>22</v>
      </c>
      <c r="J523" s="41" t="s">
        <v>22</v>
      </c>
      <c r="K523" t="s">
        <v>22</v>
      </c>
      <c r="L523" s="41" t="s">
        <v>22</v>
      </c>
      <c r="M523" t="s">
        <v>23</v>
      </c>
      <c r="N523" s="41">
        <v>159.88281249999901</v>
      </c>
      <c r="O523" s="41" t="s">
        <v>22</v>
      </c>
      <c r="P523" s="41">
        <v>3.74154724238476</v>
      </c>
      <c r="R523" s="41" t="s">
        <v>22</v>
      </c>
      <c r="S523" s="41" t="s">
        <v>22</v>
      </c>
      <c r="T523" s="41">
        <v>40</v>
      </c>
      <c r="U523" s="41">
        <v>40</v>
      </c>
      <c r="V523">
        <v>20200508</v>
      </c>
      <c r="X523" s="18">
        <v>2012</v>
      </c>
      <c r="Y523" t="s">
        <v>26</v>
      </c>
      <c r="Z523" t="s">
        <v>32</v>
      </c>
      <c r="AC523" t="s">
        <v>514</v>
      </c>
      <c r="AD523" s="41">
        <v>63.25</v>
      </c>
      <c r="AE523" s="41" t="s">
        <v>22</v>
      </c>
      <c r="AF523" s="41" t="s">
        <v>22</v>
      </c>
      <c r="AG523" s="41" t="s">
        <v>22</v>
      </c>
      <c r="AH523" s="41" t="s">
        <v>22</v>
      </c>
      <c r="AI523" s="41" t="s">
        <v>22</v>
      </c>
      <c r="AJ523" s="41" t="s">
        <v>22</v>
      </c>
      <c r="AK523" s="41" t="s">
        <v>22</v>
      </c>
      <c r="AL523" s="41" t="s">
        <v>22</v>
      </c>
      <c r="AM523" s="43" t="e">
        <f t="shared" si="271"/>
        <v>#VALUE!</v>
      </c>
      <c r="AN523" s="43" t="e">
        <f t="shared" si="272"/>
        <v>#VALUE!</v>
      </c>
      <c r="AO523" s="3" t="s">
        <v>130</v>
      </c>
      <c r="AT523" s="2">
        <f t="shared" si="273"/>
        <v>17</v>
      </c>
      <c r="AU523" s="45" t="e">
        <f t="shared" si="274"/>
        <v>#VALUE!</v>
      </c>
      <c r="AV523" s="45" t="e">
        <f t="shared" si="275"/>
        <v>#NUM!</v>
      </c>
      <c r="AW523" s="45" t="e">
        <f t="shared" si="276"/>
        <v>#VALUE!</v>
      </c>
      <c r="AX523" s="45">
        <f t="shared" si="277"/>
        <v>2.2038017793334173</v>
      </c>
      <c r="AY523" s="45" t="e">
        <f t="shared" si="278"/>
        <v>#VALUE!</v>
      </c>
      <c r="AZ523" s="45">
        <f t="shared" si="279"/>
        <v>0.57305123318259599</v>
      </c>
      <c r="BA523" s="45" t="e">
        <f t="shared" si="280"/>
        <v>#VALUE!</v>
      </c>
      <c r="BB523" s="45" t="e">
        <f t="shared" si="281"/>
        <v>#VALUE!</v>
      </c>
      <c r="BC523" s="45">
        <f t="shared" si="282"/>
        <v>1.6020599913279623</v>
      </c>
      <c r="BD523" s="45">
        <f t="shared" si="283"/>
        <v>1.8010605298478555</v>
      </c>
      <c r="BE523" s="45" t="e">
        <f t="shared" si="284"/>
        <v>#VALUE!</v>
      </c>
      <c r="BF523" s="45" t="e">
        <f t="shared" si="285"/>
        <v>#VALUE!</v>
      </c>
      <c r="BG523" s="45" t="e">
        <f t="shared" si="286"/>
        <v>#VALUE!</v>
      </c>
      <c r="BH523" s="45" t="e">
        <f t="shared" si="287"/>
        <v>#NUM!</v>
      </c>
      <c r="BI523" s="43" t="e">
        <f t="shared" si="288"/>
        <v>#VALUE!</v>
      </c>
      <c r="CA523" s="41" t="s">
        <v>22</v>
      </c>
      <c r="CC523" t="s">
        <v>22</v>
      </c>
      <c r="CE523" s="41" t="s">
        <v>22</v>
      </c>
      <c r="CF523" s="41" t="s">
        <v>22</v>
      </c>
      <c r="CG523" s="41">
        <f t="shared" si="267"/>
        <v>63250</v>
      </c>
      <c r="CH523" s="41">
        <f t="shared" si="268"/>
        <v>4.8010605298478559</v>
      </c>
      <c r="CI523" s="41">
        <f t="shared" si="269"/>
        <v>63250</v>
      </c>
      <c r="CJ523" s="41">
        <f t="shared" si="270"/>
        <v>4.8010605298478559</v>
      </c>
      <c r="CL523" s="9" t="s">
        <v>1269</v>
      </c>
      <c r="CM523" s="18" t="s">
        <v>1283</v>
      </c>
      <c r="CN523" s="54" t="s">
        <v>1284</v>
      </c>
      <c r="CO523" s="18" t="s">
        <v>1284</v>
      </c>
    </row>
    <row r="524" spans="1:93" x14ac:dyDescent="0.25">
      <c r="A524" t="s">
        <v>141</v>
      </c>
      <c r="B524" s="41" t="s">
        <v>22</v>
      </c>
      <c r="C524" s="41">
        <v>0.56999999999999995</v>
      </c>
      <c r="D524" s="41" t="s">
        <v>22</v>
      </c>
      <c r="E524" s="41" t="s">
        <v>22</v>
      </c>
      <c r="F524" t="s">
        <v>22</v>
      </c>
      <c r="G524" t="s">
        <v>22</v>
      </c>
      <c r="H524" t="s">
        <v>22</v>
      </c>
      <c r="I524" t="s">
        <v>22</v>
      </c>
      <c r="J524" s="41" t="s">
        <v>22</v>
      </c>
      <c r="K524" t="s">
        <v>22</v>
      </c>
      <c r="L524" s="41" t="e">
        <f t="shared" ref="L524:L555" si="289">IF((10^-12)*J524*K524^4=0,"",(10^-12)*J524*K524^4)</f>
        <v>#VALUE!</v>
      </c>
      <c r="M524" t="s">
        <v>23</v>
      </c>
      <c r="N524" s="41">
        <v>300</v>
      </c>
      <c r="O524" s="41">
        <f>(N524*10^6)*(0.01^3)*0.001/C524</f>
        <v>0.52631578947368429</v>
      </c>
      <c r="P524" s="41">
        <v>36</v>
      </c>
      <c r="R524" s="41" t="s">
        <v>22</v>
      </c>
      <c r="S524" s="41" t="s">
        <v>22</v>
      </c>
      <c r="T524" s="41">
        <v>40</v>
      </c>
      <c r="U524" s="41">
        <v>40</v>
      </c>
      <c r="V524">
        <v>20200508</v>
      </c>
      <c r="X524" s="18">
        <v>2012</v>
      </c>
      <c r="Y524" t="s">
        <v>26</v>
      </c>
      <c r="Z524" t="s">
        <v>32</v>
      </c>
      <c r="AC524" t="s">
        <v>514</v>
      </c>
      <c r="AD524" s="41" t="s">
        <v>22</v>
      </c>
      <c r="AE524" s="41" t="s">
        <v>22</v>
      </c>
      <c r="AF524" s="41" t="s">
        <v>22</v>
      </c>
      <c r="AG524" s="41" t="s">
        <v>22</v>
      </c>
      <c r="AH524" s="41" t="s">
        <v>22</v>
      </c>
      <c r="AI524" s="41" t="s">
        <v>22</v>
      </c>
      <c r="AJ524" s="41" t="s">
        <v>22</v>
      </c>
      <c r="AK524" s="41" t="s">
        <v>22</v>
      </c>
      <c r="AL524" s="41" t="s">
        <v>22</v>
      </c>
      <c r="AM524" s="43" t="e">
        <f t="shared" si="271"/>
        <v>#VALUE!</v>
      </c>
      <c r="AN524" s="43" t="e">
        <f t="shared" si="272"/>
        <v>#VALUE!</v>
      </c>
      <c r="AO524" s="3" t="s">
        <v>130</v>
      </c>
      <c r="AT524" s="2">
        <f t="shared" si="273"/>
        <v>17</v>
      </c>
      <c r="AU524" s="45" t="e">
        <f t="shared" si="274"/>
        <v>#VALUE!</v>
      </c>
      <c r="AV524" s="45">
        <f t="shared" si="275"/>
        <v>-0.24412514432750865</v>
      </c>
      <c r="AW524" s="45" t="e">
        <f t="shared" si="276"/>
        <v>#VALUE!</v>
      </c>
      <c r="AX524" s="45">
        <f t="shared" si="277"/>
        <v>2.4771212547196626</v>
      </c>
      <c r="AY524" s="45">
        <f t="shared" si="278"/>
        <v>-0.27875360095282892</v>
      </c>
      <c r="AZ524" s="45">
        <f t="shared" si="279"/>
        <v>1.5563025007672873</v>
      </c>
      <c r="BA524" s="45" t="e">
        <f t="shared" si="280"/>
        <v>#VALUE!</v>
      </c>
      <c r="BB524" s="45" t="e">
        <f t="shared" si="281"/>
        <v>#VALUE!</v>
      </c>
      <c r="BC524" s="45">
        <f t="shared" si="282"/>
        <v>1.6020599913279623</v>
      </c>
      <c r="BD524" s="45" t="e">
        <f t="shared" si="283"/>
        <v>#VALUE!</v>
      </c>
      <c r="BE524" s="45" t="e">
        <f t="shared" si="284"/>
        <v>#VALUE!</v>
      </c>
      <c r="BF524" s="45" t="e">
        <f t="shared" si="285"/>
        <v>#VALUE!</v>
      </c>
      <c r="BG524" s="45" t="e">
        <f t="shared" si="286"/>
        <v>#VALUE!</v>
      </c>
      <c r="BH524" s="45" t="e">
        <f t="shared" si="287"/>
        <v>#NUM!</v>
      </c>
      <c r="BI524" s="43" t="e">
        <f t="shared" si="288"/>
        <v>#VALUE!</v>
      </c>
      <c r="CA524" s="41" t="s">
        <v>22</v>
      </c>
      <c r="CC524" t="s">
        <v>22</v>
      </c>
      <c r="CE524" s="41" t="s">
        <v>22</v>
      </c>
      <c r="CF524" s="41" t="s">
        <v>22</v>
      </c>
      <c r="CG524" s="41" t="e">
        <f t="shared" si="267"/>
        <v>#VALUE!</v>
      </c>
      <c r="CH524" s="41" t="e">
        <f t="shared" si="268"/>
        <v>#VALUE!</v>
      </c>
      <c r="CI524" s="41">
        <f t="shared" si="269"/>
        <v>40</v>
      </c>
      <c r="CJ524" s="41">
        <f t="shared" si="270"/>
        <v>1.6020599913279623</v>
      </c>
      <c r="CL524" s="9" t="s">
        <v>1269</v>
      </c>
      <c r="CM524" s="18" t="s">
        <v>1285</v>
      </c>
      <c r="CN524" s="54" t="s">
        <v>1284</v>
      </c>
      <c r="CO524" s="18" t="s">
        <v>1284</v>
      </c>
    </row>
    <row r="525" spans="1:93" x14ac:dyDescent="0.25">
      <c r="A525" s="18" t="s">
        <v>141</v>
      </c>
      <c r="B525" s="41" t="s">
        <v>22</v>
      </c>
      <c r="C525" s="41">
        <v>1.22</v>
      </c>
      <c r="D525" s="41" t="s">
        <v>22</v>
      </c>
      <c r="E525" s="41" t="s">
        <v>22</v>
      </c>
      <c r="F525" s="18" t="s">
        <v>22</v>
      </c>
      <c r="G525" s="18" t="s">
        <v>22</v>
      </c>
      <c r="H525" s="18" t="s">
        <v>22</v>
      </c>
      <c r="I525" s="18" t="s">
        <v>22</v>
      </c>
      <c r="J525" s="41" t="s">
        <v>22</v>
      </c>
      <c r="K525" s="18" t="s">
        <v>22</v>
      </c>
      <c r="L525" s="41" t="e">
        <f t="shared" si="289"/>
        <v>#VALUE!</v>
      </c>
      <c r="M525" s="18" t="s">
        <v>23</v>
      </c>
      <c r="N525" s="41">
        <v>676</v>
      </c>
      <c r="O525" s="41">
        <f>(N525*10^6)*(0.01^3)*0.001/C525</f>
        <v>0.55409836065573781</v>
      </c>
      <c r="P525" s="41">
        <v>34</v>
      </c>
      <c r="R525" s="41" t="s">
        <v>22</v>
      </c>
      <c r="S525" s="41" t="s">
        <v>22</v>
      </c>
      <c r="T525" s="41">
        <v>40</v>
      </c>
      <c r="U525" s="41">
        <v>40</v>
      </c>
      <c r="V525" s="18">
        <v>20200508</v>
      </c>
      <c r="W525" s="21"/>
      <c r="X525" s="18">
        <v>2012</v>
      </c>
      <c r="Y525" s="18" t="s">
        <v>26</v>
      </c>
      <c r="Z525" s="18" t="s">
        <v>131</v>
      </c>
      <c r="AA525" s="18"/>
      <c r="AC525" s="18" t="s">
        <v>514</v>
      </c>
      <c r="AD525" s="41" t="s">
        <v>22</v>
      </c>
      <c r="AE525" s="41" t="s">
        <v>22</v>
      </c>
      <c r="AF525" s="41" t="s">
        <v>22</v>
      </c>
      <c r="AG525" s="41" t="s">
        <v>22</v>
      </c>
      <c r="AH525" s="41" t="s">
        <v>22</v>
      </c>
      <c r="AI525" s="41" t="s">
        <v>22</v>
      </c>
      <c r="AJ525" s="41" t="s">
        <v>22</v>
      </c>
      <c r="AK525" s="41" t="s">
        <v>22</v>
      </c>
      <c r="AL525" s="41" t="s">
        <v>22</v>
      </c>
      <c r="AM525" s="43" t="e">
        <f t="shared" si="271"/>
        <v>#VALUE!</v>
      </c>
      <c r="AN525" s="43" t="e">
        <f t="shared" si="272"/>
        <v>#VALUE!</v>
      </c>
      <c r="AO525" s="19" t="s">
        <v>130</v>
      </c>
      <c r="AP525" s="18"/>
      <c r="AQ525" s="18"/>
      <c r="AR525" s="18"/>
      <c r="AS525" s="18"/>
      <c r="AT525" s="2">
        <f t="shared" si="273"/>
        <v>17</v>
      </c>
      <c r="AU525" s="45" t="e">
        <f t="shared" si="274"/>
        <v>#VALUE!</v>
      </c>
      <c r="AV525" s="45">
        <f t="shared" si="275"/>
        <v>8.6359830674748214E-2</v>
      </c>
      <c r="AW525" s="45" t="e">
        <f t="shared" si="276"/>
        <v>#VALUE!</v>
      </c>
      <c r="AX525" s="45">
        <f t="shared" si="277"/>
        <v>2.8299466959416359</v>
      </c>
      <c r="AY525" s="45">
        <f t="shared" si="278"/>
        <v>-0.25641313473311222</v>
      </c>
      <c r="AZ525" s="45">
        <f t="shared" si="279"/>
        <v>1.5314789170422551</v>
      </c>
      <c r="BA525" s="45" t="e">
        <f t="shared" si="280"/>
        <v>#VALUE!</v>
      </c>
      <c r="BB525" s="45" t="e">
        <f t="shared" si="281"/>
        <v>#VALUE!</v>
      </c>
      <c r="BC525" s="45">
        <f t="shared" si="282"/>
        <v>1.6020599913279623</v>
      </c>
      <c r="BD525" s="45" t="e">
        <f t="shared" si="283"/>
        <v>#VALUE!</v>
      </c>
      <c r="BE525" s="45" t="e">
        <f t="shared" si="284"/>
        <v>#VALUE!</v>
      </c>
      <c r="BF525" s="45" t="e">
        <f t="shared" si="285"/>
        <v>#VALUE!</v>
      </c>
      <c r="BG525" s="45" t="e">
        <f t="shared" si="286"/>
        <v>#VALUE!</v>
      </c>
      <c r="BH525" s="45" t="e">
        <f t="shared" si="287"/>
        <v>#NUM!</v>
      </c>
      <c r="BI525" s="43" t="e">
        <f t="shared" si="288"/>
        <v>#VALUE!</v>
      </c>
      <c r="BJ525" s="18"/>
      <c r="BK525" s="18"/>
      <c r="BL525" s="20"/>
      <c r="BS525" s="18"/>
      <c r="BT525" s="18"/>
      <c r="CA525" s="41" t="s">
        <v>22</v>
      </c>
      <c r="CB525" s="18"/>
      <c r="CC525" s="18" t="s">
        <v>22</v>
      </c>
      <c r="CD525" s="18"/>
      <c r="CE525" s="41" t="s">
        <v>22</v>
      </c>
      <c r="CF525" s="41" t="s">
        <v>22</v>
      </c>
      <c r="CG525" s="41" t="e">
        <f t="shared" si="267"/>
        <v>#VALUE!</v>
      </c>
      <c r="CH525" s="41" t="e">
        <f t="shared" si="268"/>
        <v>#VALUE!</v>
      </c>
      <c r="CI525" s="41">
        <f t="shared" si="269"/>
        <v>40</v>
      </c>
      <c r="CJ525" s="41">
        <f t="shared" si="270"/>
        <v>1.6020599913279623</v>
      </c>
      <c r="CK525" s="18"/>
      <c r="CL525" s="9" t="s">
        <v>1269</v>
      </c>
      <c r="CM525" s="18" t="s">
        <v>1285</v>
      </c>
      <c r="CN525" s="54" t="s">
        <v>1284</v>
      </c>
      <c r="CO525" s="18" t="s">
        <v>1284</v>
      </c>
    </row>
    <row r="526" spans="1:93" x14ac:dyDescent="0.25">
      <c r="A526" s="18" t="s">
        <v>141</v>
      </c>
      <c r="B526" s="41" t="s">
        <v>22</v>
      </c>
      <c r="C526" s="41">
        <v>1.89</v>
      </c>
      <c r="D526" s="41" t="s">
        <v>22</v>
      </c>
      <c r="E526" s="41" t="s">
        <v>22</v>
      </c>
      <c r="F526" s="18" t="s">
        <v>22</v>
      </c>
      <c r="G526" s="18" t="s">
        <v>22</v>
      </c>
      <c r="H526" s="18" t="s">
        <v>22</v>
      </c>
      <c r="I526" s="18" t="s">
        <v>22</v>
      </c>
      <c r="J526" s="41" t="s">
        <v>22</v>
      </c>
      <c r="K526" s="18" t="s">
        <v>22</v>
      </c>
      <c r="L526" s="41" t="e">
        <f t="shared" si="289"/>
        <v>#VALUE!</v>
      </c>
      <c r="M526" s="18" t="s">
        <v>23</v>
      </c>
      <c r="N526" s="41">
        <v>1068</v>
      </c>
      <c r="O526" s="41">
        <f>(N526*10^6)*(0.01^3)*0.001/C526</f>
        <v>0.56507936507936529</v>
      </c>
      <c r="P526" s="41">
        <v>50</v>
      </c>
      <c r="R526" s="41" t="s">
        <v>22</v>
      </c>
      <c r="S526" s="41" t="s">
        <v>22</v>
      </c>
      <c r="T526" s="41">
        <v>40</v>
      </c>
      <c r="U526" s="41">
        <v>40</v>
      </c>
      <c r="V526" s="18">
        <v>20200508</v>
      </c>
      <c r="W526" s="21"/>
      <c r="X526" s="18">
        <v>2012</v>
      </c>
      <c r="Y526" s="18" t="s">
        <v>26</v>
      </c>
      <c r="Z526" s="18" t="s">
        <v>132</v>
      </c>
      <c r="AA526" s="18"/>
      <c r="AC526" s="18" t="s">
        <v>514</v>
      </c>
      <c r="AD526" s="41" t="s">
        <v>22</v>
      </c>
      <c r="AE526" s="41" t="s">
        <v>22</v>
      </c>
      <c r="AF526" s="41" t="s">
        <v>22</v>
      </c>
      <c r="AG526" s="41" t="s">
        <v>22</v>
      </c>
      <c r="AH526" s="41" t="s">
        <v>22</v>
      </c>
      <c r="AI526" s="41" t="s">
        <v>22</v>
      </c>
      <c r="AJ526" s="41" t="s">
        <v>22</v>
      </c>
      <c r="AK526" s="41" t="s">
        <v>22</v>
      </c>
      <c r="AL526" s="41" t="s">
        <v>22</v>
      </c>
      <c r="AM526" s="43" t="e">
        <f t="shared" si="271"/>
        <v>#VALUE!</v>
      </c>
      <c r="AN526" s="43" t="e">
        <f t="shared" si="272"/>
        <v>#VALUE!</v>
      </c>
      <c r="AO526" s="19" t="s">
        <v>130</v>
      </c>
      <c r="AP526" s="18"/>
      <c r="AQ526" s="18"/>
      <c r="AR526" s="18"/>
      <c r="AS526" s="18"/>
      <c r="AT526" s="2">
        <f t="shared" si="273"/>
        <v>17</v>
      </c>
      <c r="AU526" s="45" t="e">
        <f t="shared" si="274"/>
        <v>#VALUE!</v>
      </c>
      <c r="AV526" s="45">
        <f t="shared" si="275"/>
        <v>0.27646180417324412</v>
      </c>
      <c r="AW526" s="45" t="e">
        <f t="shared" si="276"/>
        <v>#VALUE!</v>
      </c>
      <c r="AX526" s="45">
        <f t="shared" si="277"/>
        <v>3.0285712526925375</v>
      </c>
      <c r="AY526" s="45">
        <f t="shared" si="278"/>
        <v>-0.24789055148070638</v>
      </c>
      <c r="AZ526" s="45">
        <f t="shared" si="279"/>
        <v>1.6989700043360187</v>
      </c>
      <c r="BA526" s="45" t="e">
        <f t="shared" si="280"/>
        <v>#VALUE!</v>
      </c>
      <c r="BB526" s="45" t="e">
        <f t="shared" si="281"/>
        <v>#VALUE!</v>
      </c>
      <c r="BC526" s="45">
        <f t="shared" si="282"/>
        <v>1.6020599913279623</v>
      </c>
      <c r="BD526" s="45" t="e">
        <f t="shared" si="283"/>
        <v>#VALUE!</v>
      </c>
      <c r="BE526" s="45" t="e">
        <f t="shared" si="284"/>
        <v>#VALUE!</v>
      </c>
      <c r="BF526" s="45" t="e">
        <f t="shared" si="285"/>
        <v>#VALUE!</v>
      </c>
      <c r="BG526" s="45" t="e">
        <f t="shared" si="286"/>
        <v>#VALUE!</v>
      </c>
      <c r="BH526" s="45" t="e">
        <f t="shared" si="287"/>
        <v>#NUM!</v>
      </c>
      <c r="BI526" s="43" t="e">
        <f t="shared" si="288"/>
        <v>#VALUE!</v>
      </c>
      <c r="BJ526" s="18"/>
      <c r="BK526" s="18"/>
      <c r="BL526" s="20"/>
      <c r="BS526" s="18"/>
      <c r="BT526" s="18"/>
      <c r="CA526" s="41" t="s">
        <v>22</v>
      </c>
      <c r="CB526" s="18"/>
      <c r="CC526" s="18" t="s">
        <v>22</v>
      </c>
      <c r="CD526" s="18"/>
      <c r="CE526" s="41" t="s">
        <v>22</v>
      </c>
      <c r="CF526" s="41" t="s">
        <v>22</v>
      </c>
      <c r="CG526" s="41" t="e">
        <f t="shared" si="267"/>
        <v>#VALUE!</v>
      </c>
      <c r="CH526" s="41" t="e">
        <f t="shared" si="268"/>
        <v>#VALUE!</v>
      </c>
      <c r="CI526" s="41">
        <f t="shared" si="269"/>
        <v>40</v>
      </c>
      <c r="CJ526" s="41">
        <f t="shared" si="270"/>
        <v>1.6020599913279623</v>
      </c>
      <c r="CK526" s="18"/>
      <c r="CL526" s="9" t="s">
        <v>1269</v>
      </c>
      <c r="CM526" s="18" t="s">
        <v>1285</v>
      </c>
      <c r="CN526" s="54" t="s">
        <v>1284</v>
      </c>
      <c r="CO526" s="18" t="s">
        <v>1284</v>
      </c>
    </row>
    <row r="527" spans="1:93" x14ac:dyDescent="0.25">
      <c r="A527" t="s">
        <v>141</v>
      </c>
      <c r="B527" s="41">
        <v>8.7188612099644416E-2</v>
      </c>
      <c r="C527" s="41" t="s">
        <v>22</v>
      </c>
      <c r="D527" s="41" t="s">
        <v>22</v>
      </c>
      <c r="E527" s="41" t="s">
        <v>22</v>
      </c>
      <c r="F527" t="s">
        <v>22</v>
      </c>
      <c r="G527" t="s">
        <v>22</v>
      </c>
      <c r="H527" t="s">
        <v>22</v>
      </c>
      <c r="I527" t="s">
        <v>22</v>
      </c>
      <c r="J527" s="41">
        <v>2.2000000000000002</v>
      </c>
      <c r="K527">
        <v>514</v>
      </c>
      <c r="L527" s="41">
        <f t="shared" si="289"/>
        <v>0.15355895811520001</v>
      </c>
      <c r="M527" t="s">
        <v>23</v>
      </c>
      <c r="N527" s="41">
        <v>1061.2909687009101</v>
      </c>
      <c r="O527" s="41" t="s">
        <v>22</v>
      </c>
      <c r="P527" s="41" t="s">
        <v>22</v>
      </c>
      <c r="R527" s="41" t="s">
        <v>22</v>
      </c>
      <c r="S527" s="41" t="s">
        <v>22</v>
      </c>
      <c r="T527" s="41" t="s">
        <v>22</v>
      </c>
      <c r="U527" s="41" t="s">
        <v>22</v>
      </c>
      <c r="V527">
        <v>20200504</v>
      </c>
      <c r="W527" s="21"/>
      <c r="X527" s="18">
        <v>2012</v>
      </c>
      <c r="Y527" t="s">
        <v>26</v>
      </c>
      <c r="Z527" t="s">
        <v>32</v>
      </c>
      <c r="AC527" t="s">
        <v>514</v>
      </c>
      <c r="AD527" s="41">
        <v>3.8755980861244002</v>
      </c>
      <c r="AE527" s="41">
        <v>1584</v>
      </c>
      <c r="AF527" s="41" t="s">
        <v>22</v>
      </c>
      <c r="AG527" s="41" t="s">
        <v>22</v>
      </c>
      <c r="AH527" s="41" t="s">
        <v>22</v>
      </c>
      <c r="AI527" s="41" t="s">
        <v>22</v>
      </c>
      <c r="AJ527" s="41" t="s">
        <v>22</v>
      </c>
      <c r="AK527" s="41" t="s">
        <v>22</v>
      </c>
      <c r="AL527" s="41" t="s">
        <v>22</v>
      </c>
      <c r="AM527" s="43" t="e">
        <f t="shared" si="271"/>
        <v>#VALUE!</v>
      </c>
      <c r="AN527" s="43" t="e">
        <f t="shared" si="272"/>
        <v>#VALUE!</v>
      </c>
      <c r="AO527" s="3" t="s">
        <v>66</v>
      </c>
      <c r="AT527" s="2">
        <f t="shared" si="273"/>
        <v>13</v>
      </c>
      <c r="AU527" s="45">
        <f t="shared" si="274"/>
        <v>-1.0595402355405459</v>
      </c>
      <c r="AV527" s="45" t="e">
        <f t="shared" si="275"/>
        <v>#VALUE!</v>
      </c>
      <c r="AW527" s="45" t="e">
        <f t="shared" si="276"/>
        <v>#VALUE!</v>
      </c>
      <c r="AX527" s="45">
        <f t="shared" si="277"/>
        <v>3.0258344685168503</v>
      </c>
      <c r="AY527" s="45" t="e">
        <f t="shared" si="278"/>
        <v>#VALUE!</v>
      </c>
      <c r="AZ527" s="45" t="e">
        <f t="shared" si="279"/>
        <v>#VALUE!</v>
      </c>
      <c r="BA527" s="45">
        <f t="shared" si="280"/>
        <v>0.34242268082220628</v>
      </c>
      <c r="BB527" s="45">
        <f t="shared" si="281"/>
        <v>-0.81372484319669081</v>
      </c>
      <c r="BC527" s="45" t="e">
        <f t="shared" si="282"/>
        <v>#VALUE!</v>
      </c>
      <c r="BD527" s="45">
        <f t="shared" si="283"/>
        <v>0.58833873276759552</v>
      </c>
      <c r="BE527" s="45" t="e">
        <f t="shared" si="284"/>
        <v>#VALUE!</v>
      </c>
      <c r="BF527" s="45" t="e">
        <f t="shared" si="285"/>
        <v>#VALUE!</v>
      </c>
      <c r="BG527" s="45" t="e">
        <f t="shared" si="286"/>
        <v>#VALUE!</v>
      </c>
      <c r="BH527" s="45" t="e">
        <f t="shared" si="287"/>
        <v>#NUM!</v>
      </c>
      <c r="BI527" s="43" t="e">
        <f t="shared" si="288"/>
        <v>#VALUE!</v>
      </c>
      <c r="CA527" s="41" t="s">
        <v>22</v>
      </c>
      <c r="CC527" t="s">
        <v>22</v>
      </c>
      <c r="CE527" s="41" t="s">
        <v>22</v>
      </c>
      <c r="CF527" s="41" t="s">
        <v>22</v>
      </c>
      <c r="CG527" s="41">
        <f t="shared" si="267"/>
        <v>3875.5980861244002</v>
      </c>
      <c r="CH527" s="41">
        <f t="shared" si="268"/>
        <v>3.5883387327675957</v>
      </c>
      <c r="CI527" s="41">
        <f t="shared" si="269"/>
        <v>3875.5980861244002</v>
      </c>
      <c r="CJ527" s="41">
        <f t="shared" si="270"/>
        <v>3.5883387327675957</v>
      </c>
      <c r="CL527" s="9" t="s">
        <v>1269</v>
      </c>
      <c r="CM527" s="18" t="s">
        <v>1283</v>
      </c>
      <c r="CN527" s="54" t="s">
        <v>1284</v>
      </c>
      <c r="CO527" s="18" t="s">
        <v>1284</v>
      </c>
    </row>
    <row r="528" spans="1:93" x14ac:dyDescent="0.25">
      <c r="A528" s="18" t="s">
        <v>141</v>
      </c>
      <c r="B528" s="41">
        <v>9.9999999999999978E-2</v>
      </c>
      <c r="C528" s="41" t="s">
        <v>22</v>
      </c>
      <c r="D528" s="41" t="s">
        <v>22</v>
      </c>
      <c r="E528" s="41" t="s">
        <v>22</v>
      </c>
      <c r="F528" s="18" t="s">
        <v>22</v>
      </c>
      <c r="G528" s="18" t="s">
        <v>22</v>
      </c>
      <c r="H528" s="18" t="s">
        <v>22</v>
      </c>
      <c r="I528" s="18" t="s">
        <v>22</v>
      </c>
      <c r="J528" s="41">
        <v>2.2000000000000002</v>
      </c>
      <c r="K528" s="18">
        <v>514</v>
      </c>
      <c r="L528" s="41">
        <f t="shared" si="289"/>
        <v>0.15355895811520001</v>
      </c>
      <c r="M528" s="18" t="s">
        <v>23</v>
      </c>
      <c r="N528" s="41">
        <v>1293.3828102763</v>
      </c>
      <c r="O528" s="41" t="s">
        <v>22</v>
      </c>
      <c r="P528" s="41" t="s">
        <v>22</v>
      </c>
      <c r="R528" s="41" t="s">
        <v>22</v>
      </c>
      <c r="S528" s="41" t="s">
        <v>22</v>
      </c>
      <c r="T528" s="41" t="s">
        <v>22</v>
      </c>
      <c r="U528" s="41" t="s">
        <v>22</v>
      </c>
      <c r="V528" s="18">
        <v>20200507</v>
      </c>
      <c r="W528" s="21"/>
      <c r="X528" s="18">
        <v>2012</v>
      </c>
      <c r="Y528" s="18" t="s">
        <v>26</v>
      </c>
      <c r="Z528" s="18" t="s">
        <v>32</v>
      </c>
      <c r="AA528" s="18"/>
      <c r="AC528" s="18" t="s">
        <v>514</v>
      </c>
      <c r="AD528" s="41">
        <v>5.5980861244019096</v>
      </c>
      <c r="AE528" s="41">
        <v>1584</v>
      </c>
      <c r="AF528" s="41" t="s">
        <v>22</v>
      </c>
      <c r="AG528" s="41" t="s">
        <v>22</v>
      </c>
      <c r="AH528" s="41" t="s">
        <v>22</v>
      </c>
      <c r="AI528" s="41" t="s">
        <v>22</v>
      </c>
      <c r="AJ528" s="41" t="s">
        <v>22</v>
      </c>
      <c r="AK528" s="41" t="s">
        <v>22</v>
      </c>
      <c r="AL528" s="41" t="s">
        <v>22</v>
      </c>
      <c r="AM528" s="43" t="e">
        <f t="shared" si="271"/>
        <v>#VALUE!</v>
      </c>
      <c r="AN528" s="43" t="e">
        <f t="shared" si="272"/>
        <v>#VALUE!</v>
      </c>
      <c r="AO528" s="19" t="s">
        <v>66</v>
      </c>
      <c r="AP528" s="18"/>
      <c r="AQ528" s="18"/>
      <c r="AR528" s="18"/>
      <c r="AS528" s="18"/>
      <c r="AT528" s="2">
        <f t="shared" si="273"/>
        <v>13</v>
      </c>
      <c r="AU528" s="45">
        <f t="shared" si="274"/>
        <v>-1</v>
      </c>
      <c r="AV528" s="45" t="e">
        <f t="shared" si="275"/>
        <v>#VALUE!</v>
      </c>
      <c r="AW528" s="45" t="e">
        <f t="shared" si="276"/>
        <v>#VALUE!</v>
      </c>
      <c r="AX528" s="45">
        <f t="shared" si="277"/>
        <v>3.1117270846521081</v>
      </c>
      <c r="AY528" s="45" t="e">
        <f t="shared" si="278"/>
        <v>#VALUE!</v>
      </c>
      <c r="AZ528" s="45" t="e">
        <f t="shared" si="279"/>
        <v>#VALUE!</v>
      </c>
      <c r="BA528" s="45">
        <f t="shared" si="280"/>
        <v>0.34242268082220628</v>
      </c>
      <c r="BB528" s="45">
        <f t="shared" si="281"/>
        <v>-0.81372484319669081</v>
      </c>
      <c r="BC528" s="45" t="e">
        <f t="shared" si="282"/>
        <v>#VALUE!</v>
      </c>
      <c r="BD528" s="45">
        <f t="shared" si="283"/>
        <v>0.74803957563510726</v>
      </c>
      <c r="BE528" s="45" t="e">
        <f t="shared" si="284"/>
        <v>#VALUE!</v>
      </c>
      <c r="BF528" s="45" t="e">
        <f t="shared" si="285"/>
        <v>#VALUE!</v>
      </c>
      <c r="BG528" s="45" t="e">
        <f t="shared" si="286"/>
        <v>#VALUE!</v>
      </c>
      <c r="BH528" s="45" t="e">
        <f t="shared" si="287"/>
        <v>#NUM!</v>
      </c>
      <c r="BI528" s="43" t="e">
        <f t="shared" si="288"/>
        <v>#VALUE!</v>
      </c>
      <c r="BJ528" s="18"/>
      <c r="BK528" s="18"/>
      <c r="BL528" s="20"/>
      <c r="BS528" s="18"/>
      <c r="BT528" s="18"/>
      <c r="CA528" s="41" t="s">
        <v>22</v>
      </c>
      <c r="CB528" s="18"/>
      <c r="CC528" s="18" t="s">
        <v>22</v>
      </c>
      <c r="CD528" s="18"/>
      <c r="CE528" s="41" t="s">
        <v>22</v>
      </c>
      <c r="CF528" s="41" t="s">
        <v>22</v>
      </c>
      <c r="CG528" s="41">
        <f t="shared" si="267"/>
        <v>5598.0861244019097</v>
      </c>
      <c r="CH528" s="41">
        <f t="shared" si="268"/>
        <v>3.7480395756351075</v>
      </c>
      <c r="CI528" s="41">
        <f t="shared" si="269"/>
        <v>5598.0861244019097</v>
      </c>
      <c r="CJ528" s="41">
        <f t="shared" si="270"/>
        <v>3.7480395756351075</v>
      </c>
      <c r="CK528" s="18"/>
      <c r="CL528" s="9" t="s">
        <v>1269</v>
      </c>
      <c r="CM528" s="18" t="s">
        <v>1283</v>
      </c>
      <c r="CN528" s="54" t="s">
        <v>1284</v>
      </c>
      <c r="CO528" s="18" t="s">
        <v>1284</v>
      </c>
    </row>
    <row r="529" spans="1:93" x14ac:dyDescent="0.25">
      <c r="A529" s="18" t="s">
        <v>141</v>
      </c>
      <c r="B529" s="41">
        <v>9.8393574297189229E-2</v>
      </c>
      <c r="C529" s="41" t="s">
        <v>22</v>
      </c>
      <c r="D529" s="41" t="s">
        <v>22</v>
      </c>
      <c r="E529" s="41" t="s">
        <v>22</v>
      </c>
      <c r="F529" s="18" t="s">
        <v>22</v>
      </c>
      <c r="G529" s="18" t="s">
        <v>22</v>
      </c>
      <c r="H529" s="18" t="s">
        <v>22</v>
      </c>
      <c r="I529" s="18" t="s">
        <v>22</v>
      </c>
      <c r="J529" s="41">
        <v>2.2000000000000002</v>
      </c>
      <c r="K529" s="18">
        <v>514</v>
      </c>
      <c r="L529" s="41">
        <f t="shared" si="289"/>
        <v>0.15355895811520001</v>
      </c>
      <c r="M529" s="18" t="s">
        <v>23</v>
      </c>
      <c r="N529" s="41">
        <v>1562.57392551049</v>
      </c>
      <c r="O529" s="41" t="s">
        <v>22</v>
      </c>
      <c r="P529" s="41">
        <v>110</v>
      </c>
      <c r="R529" s="41">
        <f>N529*B529</f>
        <v>153.74723363456701</v>
      </c>
      <c r="S529" s="41" t="s">
        <v>22</v>
      </c>
      <c r="T529" s="41" t="s">
        <v>22</v>
      </c>
      <c r="U529" s="41" t="s">
        <v>22</v>
      </c>
      <c r="V529" s="18">
        <v>20200507</v>
      </c>
      <c r="W529" s="21"/>
      <c r="X529" s="18">
        <v>2012</v>
      </c>
      <c r="Y529" s="18" t="s">
        <v>26</v>
      </c>
      <c r="Z529" s="18" t="s">
        <v>32</v>
      </c>
      <c r="AA529" s="18"/>
      <c r="AC529" s="18" t="s">
        <v>514</v>
      </c>
      <c r="AD529" s="41">
        <v>9.3301435406698499</v>
      </c>
      <c r="AE529" s="41">
        <v>1584</v>
      </c>
      <c r="AF529" s="41" t="s">
        <v>22</v>
      </c>
      <c r="AG529" s="41" t="s">
        <v>22</v>
      </c>
      <c r="AH529" s="41" t="s">
        <v>22</v>
      </c>
      <c r="AI529" s="41" t="s">
        <v>22</v>
      </c>
      <c r="AJ529" s="41" t="s">
        <v>22</v>
      </c>
      <c r="AK529" s="41" t="s">
        <v>22</v>
      </c>
      <c r="AL529" s="41" t="s">
        <v>22</v>
      </c>
      <c r="AM529" s="43" t="e">
        <f t="shared" si="271"/>
        <v>#VALUE!</v>
      </c>
      <c r="AN529" s="43" t="e">
        <f t="shared" si="272"/>
        <v>#VALUE!</v>
      </c>
      <c r="AO529" s="19" t="s">
        <v>66</v>
      </c>
      <c r="AP529" s="18"/>
      <c r="AQ529" s="18"/>
      <c r="AR529" s="18"/>
      <c r="AS529" s="18"/>
      <c r="AT529" s="2">
        <f t="shared" si="273"/>
        <v>13</v>
      </c>
      <c r="AU529" s="45">
        <f t="shared" si="274"/>
        <v>-1.0070332627312018</v>
      </c>
      <c r="AV529" s="45" t="e">
        <f t="shared" si="275"/>
        <v>#VALUE!</v>
      </c>
      <c r="AW529" s="45" t="e">
        <f t="shared" si="276"/>
        <v>#VALUE!</v>
      </c>
      <c r="AX529" s="45">
        <f t="shared" si="277"/>
        <v>3.1938405730124715</v>
      </c>
      <c r="AY529" s="45" t="e">
        <f t="shared" si="278"/>
        <v>#VALUE!</v>
      </c>
      <c r="AZ529" s="45">
        <f t="shared" si="279"/>
        <v>2.0413926851582249</v>
      </c>
      <c r="BA529" s="45">
        <f t="shared" si="280"/>
        <v>0.34242268082220628</v>
      </c>
      <c r="BB529" s="45">
        <f t="shared" si="281"/>
        <v>-0.81372484319669081</v>
      </c>
      <c r="BC529" s="45" t="e">
        <f t="shared" si="282"/>
        <v>#VALUE!</v>
      </c>
      <c r="BD529" s="45">
        <f t="shared" si="283"/>
        <v>0.96988832525146373</v>
      </c>
      <c r="BE529" s="45" t="e">
        <f t="shared" si="284"/>
        <v>#VALUE!</v>
      </c>
      <c r="BF529" s="45" t="e">
        <f t="shared" si="285"/>
        <v>#VALUE!</v>
      </c>
      <c r="BG529" s="45" t="e">
        <f t="shared" si="286"/>
        <v>#VALUE!</v>
      </c>
      <c r="BH529" s="45" t="e">
        <f t="shared" si="287"/>
        <v>#NUM!</v>
      </c>
      <c r="BI529" s="43" t="e">
        <f t="shared" si="288"/>
        <v>#VALUE!</v>
      </c>
      <c r="BJ529" s="18"/>
      <c r="BK529" s="18"/>
      <c r="BL529" s="20"/>
      <c r="BS529" s="18"/>
      <c r="BT529" s="18"/>
      <c r="CA529" s="41" t="s">
        <v>22</v>
      </c>
      <c r="CB529" s="18"/>
      <c r="CC529" s="18" t="s">
        <v>22</v>
      </c>
      <c r="CD529" s="18"/>
      <c r="CE529" s="41" t="s">
        <v>22</v>
      </c>
      <c r="CF529" s="41" t="s">
        <v>22</v>
      </c>
      <c r="CG529" s="41">
        <f t="shared" si="267"/>
        <v>9330.1435406698492</v>
      </c>
      <c r="CH529" s="41">
        <f t="shared" si="268"/>
        <v>3.9698883252514636</v>
      </c>
      <c r="CI529" s="41">
        <f t="shared" si="269"/>
        <v>9330.1435406698492</v>
      </c>
      <c r="CJ529" s="41">
        <f t="shared" si="270"/>
        <v>3.9698883252514636</v>
      </c>
      <c r="CK529" s="18"/>
      <c r="CL529" s="9" t="s">
        <v>1269</v>
      </c>
      <c r="CM529" s="18" t="s">
        <v>1283</v>
      </c>
      <c r="CN529" s="54" t="s">
        <v>1284</v>
      </c>
      <c r="CO529" s="18" t="s">
        <v>1284</v>
      </c>
    </row>
    <row r="530" spans="1:93" x14ac:dyDescent="0.25">
      <c r="A530" t="s">
        <v>141</v>
      </c>
      <c r="B530" s="41">
        <v>8.7188612099644416E-2</v>
      </c>
      <c r="C530" s="41" t="s">
        <v>22</v>
      </c>
      <c r="D530" s="41" t="s">
        <v>22</v>
      </c>
      <c r="E530" s="41" t="s">
        <v>22</v>
      </c>
      <c r="F530" t="s">
        <v>22</v>
      </c>
      <c r="G530" t="s">
        <v>22</v>
      </c>
      <c r="H530" t="s">
        <v>22</v>
      </c>
      <c r="I530" t="s">
        <v>22</v>
      </c>
      <c r="J530" s="41">
        <v>2.2000000000000002</v>
      </c>
      <c r="K530">
        <v>514</v>
      </c>
      <c r="L530" s="41">
        <f t="shared" si="289"/>
        <v>0.15355895811520001</v>
      </c>
      <c r="M530" t="s">
        <v>23</v>
      </c>
      <c r="N530" s="41">
        <v>1398.6337616884</v>
      </c>
      <c r="O530" s="41" t="s">
        <v>22</v>
      </c>
      <c r="P530" s="41" t="s">
        <v>22</v>
      </c>
      <c r="R530" s="41" t="s">
        <v>22</v>
      </c>
      <c r="S530" s="41" t="s">
        <v>22</v>
      </c>
      <c r="T530" s="41" t="s">
        <v>22</v>
      </c>
      <c r="U530" s="41" t="s">
        <v>22</v>
      </c>
      <c r="V530">
        <v>20200507</v>
      </c>
      <c r="W530" s="21"/>
      <c r="X530">
        <v>2012</v>
      </c>
      <c r="Y530" t="s">
        <v>26</v>
      </c>
      <c r="Z530" t="s">
        <v>32</v>
      </c>
      <c r="AC530" t="s">
        <v>514</v>
      </c>
      <c r="AD530" s="41">
        <v>14.401913875598</v>
      </c>
      <c r="AE530" s="41">
        <v>1584</v>
      </c>
      <c r="AF530" s="41" t="s">
        <v>22</v>
      </c>
      <c r="AG530" s="41" t="s">
        <v>22</v>
      </c>
      <c r="AH530" s="41" t="s">
        <v>22</v>
      </c>
      <c r="AI530" s="41" t="s">
        <v>22</v>
      </c>
      <c r="AJ530" s="41" t="s">
        <v>22</v>
      </c>
      <c r="AK530" s="41" t="s">
        <v>22</v>
      </c>
      <c r="AL530" s="41" t="s">
        <v>22</v>
      </c>
      <c r="AM530" s="43" t="e">
        <f t="shared" si="271"/>
        <v>#VALUE!</v>
      </c>
      <c r="AN530" s="43" t="e">
        <f t="shared" si="272"/>
        <v>#VALUE!</v>
      </c>
      <c r="AO530" s="3" t="s">
        <v>66</v>
      </c>
      <c r="AT530" s="2">
        <f t="shared" si="273"/>
        <v>13</v>
      </c>
      <c r="AU530" s="45">
        <f t="shared" si="274"/>
        <v>-1.0595402355405459</v>
      </c>
      <c r="AV530" s="45" t="e">
        <f t="shared" si="275"/>
        <v>#VALUE!</v>
      </c>
      <c r="AW530" s="45" t="e">
        <f t="shared" si="276"/>
        <v>#VALUE!</v>
      </c>
      <c r="AX530" s="45">
        <f t="shared" si="277"/>
        <v>3.1457040074863745</v>
      </c>
      <c r="AY530" s="45" t="e">
        <f t="shared" si="278"/>
        <v>#VALUE!</v>
      </c>
      <c r="AZ530" s="45" t="e">
        <f t="shared" si="279"/>
        <v>#VALUE!</v>
      </c>
      <c r="BA530" s="45">
        <f t="shared" si="280"/>
        <v>0.34242268082220628</v>
      </c>
      <c r="BB530" s="45">
        <f t="shared" si="281"/>
        <v>-0.81372484319669081</v>
      </c>
      <c r="BC530" s="45" t="e">
        <f t="shared" si="282"/>
        <v>#VALUE!</v>
      </c>
      <c r="BD530" s="45">
        <f t="shared" si="283"/>
        <v>1.1584202094827867</v>
      </c>
      <c r="BE530" s="45" t="e">
        <f t="shared" si="284"/>
        <v>#VALUE!</v>
      </c>
      <c r="BF530" s="45" t="e">
        <f t="shared" si="285"/>
        <v>#VALUE!</v>
      </c>
      <c r="BG530" s="45" t="e">
        <f t="shared" si="286"/>
        <v>#VALUE!</v>
      </c>
      <c r="BH530" s="45" t="e">
        <f t="shared" si="287"/>
        <v>#NUM!</v>
      </c>
      <c r="BI530" s="43" t="e">
        <f t="shared" si="288"/>
        <v>#VALUE!</v>
      </c>
      <c r="CA530" s="41" t="s">
        <v>22</v>
      </c>
      <c r="CC530" t="s">
        <v>22</v>
      </c>
      <c r="CE530" s="41" t="s">
        <v>22</v>
      </c>
      <c r="CF530" s="41" t="s">
        <v>22</v>
      </c>
      <c r="CG530" s="41">
        <f t="shared" ref="CG530:CG564" si="290">AD530*1000</f>
        <v>14401.913875598</v>
      </c>
      <c r="CH530" s="41">
        <f t="shared" ref="CH530:CH561" si="291">LOG10(CG530)</f>
        <v>4.1584202094827871</v>
      </c>
      <c r="CI530" s="41">
        <f t="shared" ref="CI530:CI566" si="292">IF(ISNUMBER(CG530),CG530,U530)</f>
        <v>14401.913875598</v>
      </c>
      <c r="CJ530" s="41">
        <f t="shared" ref="CJ530:CJ561" si="293">LOG10(CI530)</f>
        <v>4.1584202094827871</v>
      </c>
      <c r="CL530" s="9" t="s">
        <v>1269</v>
      </c>
      <c r="CM530" s="18" t="s">
        <v>1283</v>
      </c>
      <c r="CN530" s="54" t="s">
        <v>1284</v>
      </c>
      <c r="CO530" s="18" t="s">
        <v>1284</v>
      </c>
    </row>
    <row r="531" spans="1:93" x14ac:dyDescent="0.25">
      <c r="A531" t="s">
        <v>141</v>
      </c>
      <c r="B531" s="41">
        <v>7.0200573065902938E-2</v>
      </c>
      <c r="C531" s="41" t="s">
        <v>22</v>
      </c>
      <c r="D531" s="41" t="s">
        <v>22</v>
      </c>
      <c r="E531" s="41" t="s">
        <v>22</v>
      </c>
      <c r="F531" t="s">
        <v>22</v>
      </c>
      <c r="G531" t="s">
        <v>22</v>
      </c>
      <c r="H531" t="s">
        <v>22</v>
      </c>
      <c r="I531" t="s">
        <v>22</v>
      </c>
      <c r="J531" s="41">
        <v>2.2000000000000002</v>
      </c>
      <c r="K531">
        <v>514</v>
      </c>
      <c r="L531" s="41">
        <f t="shared" si="289"/>
        <v>0.15355895811520001</v>
      </c>
      <c r="M531" t="s">
        <v>23</v>
      </c>
      <c r="N531" s="41">
        <v>1131.2305632570401</v>
      </c>
      <c r="O531" s="41" t="s">
        <v>22</v>
      </c>
      <c r="P531" s="41" t="s">
        <v>22</v>
      </c>
      <c r="R531" s="41" t="s">
        <v>22</v>
      </c>
      <c r="S531" s="41" t="s">
        <v>22</v>
      </c>
      <c r="T531" s="41" t="s">
        <v>22</v>
      </c>
      <c r="U531" s="41" t="s">
        <v>22</v>
      </c>
      <c r="V531">
        <v>20200507</v>
      </c>
      <c r="W531" s="21"/>
      <c r="X531">
        <v>2012</v>
      </c>
      <c r="Y531" t="s">
        <v>26</v>
      </c>
      <c r="Z531" t="s">
        <v>32</v>
      </c>
      <c r="AC531" t="s">
        <v>514</v>
      </c>
      <c r="AD531" s="41">
        <v>22.153110047846798</v>
      </c>
      <c r="AE531" s="41">
        <v>1584</v>
      </c>
      <c r="AF531" s="41" t="s">
        <v>22</v>
      </c>
      <c r="AG531" s="41" t="s">
        <v>22</v>
      </c>
      <c r="AH531" s="41" t="s">
        <v>22</v>
      </c>
      <c r="AI531" s="41" t="s">
        <v>22</v>
      </c>
      <c r="AJ531" s="41" t="s">
        <v>22</v>
      </c>
      <c r="AK531" s="41" t="s">
        <v>22</v>
      </c>
      <c r="AL531" s="41" t="s">
        <v>22</v>
      </c>
      <c r="AM531" s="43" t="e">
        <f t="shared" si="271"/>
        <v>#VALUE!</v>
      </c>
      <c r="AN531" s="43" t="e">
        <f t="shared" si="272"/>
        <v>#VALUE!</v>
      </c>
      <c r="AO531" s="3" t="s">
        <v>66</v>
      </c>
      <c r="AT531" s="2">
        <f t="shared" si="273"/>
        <v>13</v>
      </c>
      <c r="AU531" s="45">
        <f t="shared" si="274"/>
        <v>-1.1536593425946453</v>
      </c>
      <c r="AV531" s="45" t="e">
        <f t="shared" si="275"/>
        <v>#VALUE!</v>
      </c>
      <c r="AW531" s="45" t="e">
        <f t="shared" si="276"/>
        <v>#VALUE!</v>
      </c>
      <c r="AX531" s="45">
        <f t="shared" si="277"/>
        <v>3.0535511302528335</v>
      </c>
      <c r="AY531" s="45" t="e">
        <f t="shared" si="278"/>
        <v>#VALUE!</v>
      </c>
      <c r="AZ531" s="45" t="e">
        <f t="shared" si="279"/>
        <v>#VALUE!</v>
      </c>
      <c r="BA531" s="45">
        <f t="shared" si="280"/>
        <v>0.34242268082220628</v>
      </c>
      <c r="BB531" s="45">
        <f t="shared" si="281"/>
        <v>-0.81372484319669081</v>
      </c>
      <c r="BC531" s="45" t="e">
        <f t="shared" si="282"/>
        <v>#VALUE!</v>
      </c>
      <c r="BD531" s="45">
        <f t="shared" si="283"/>
        <v>1.3454347049068973</v>
      </c>
      <c r="BE531" s="45" t="e">
        <f t="shared" si="284"/>
        <v>#VALUE!</v>
      </c>
      <c r="BF531" s="45" t="e">
        <f t="shared" si="285"/>
        <v>#VALUE!</v>
      </c>
      <c r="BG531" s="45" t="e">
        <f t="shared" si="286"/>
        <v>#VALUE!</v>
      </c>
      <c r="BH531" s="45" t="e">
        <f t="shared" si="287"/>
        <v>#NUM!</v>
      </c>
      <c r="BI531" s="43" t="e">
        <f t="shared" si="288"/>
        <v>#VALUE!</v>
      </c>
      <c r="CA531" s="41" t="s">
        <v>22</v>
      </c>
      <c r="CC531" t="s">
        <v>22</v>
      </c>
      <c r="CE531" s="41" t="s">
        <v>22</v>
      </c>
      <c r="CF531" s="41" t="s">
        <v>22</v>
      </c>
      <c r="CG531" s="41">
        <f t="shared" si="290"/>
        <v>22153.1100478468</v>
      </c>
      <c r="CH531" s="41">
        <f t="shared" si="291"/>
        <v>4.3454347049068973</v>
      </c>
      <c r="CI531" s="41">
        <f t="shared" si="292"/>
        <v>22153.1100478468</v>
      </c>
      <c r="CJ531" s="41">
        <f t="shared" si="293"/>
        <v>4.3454347049068973</v>
      </c>
      <c r="CL531" s="9" t="s">
        <v>1269</v>
      </c>
      <c r="CM531" s="18" t="s">
        <v>1283</v>
      </c>
      <c r="CN531" s="54" t="s">
        <v>1284</v>
      </c>
      <c r="CO531" s="18" t="s">
        <v>1284</v>
      </c>
    </row>
    <row r="532" spans="1:93" x14ac:dyDescent="0.25">
      <c r="A532" t="s">
        <v>141</v>
      </c>
      <c r="B532" s="41">
        <v>6.0493827160494042E-2</v>
      </c>
      <c r="C532" s="41" t="s">
        <v>22</v>
      </c>
      <c r="D532" s="41" t="s">
        <v>22</v>
      </c>
      <c r="E532" s="41" t="s">
        <v>22</v>
      </c>
      <c r="F532" t="s">
        <v>22</v>
      </c>
      <c r="G532" t="s">
        <v>22</v>
      </c>
      <c r="H532" t="s">
        <v>22</v>
      </c>
      <c r="I532" t="s">
        <v>22</v>
      </c>
      <c r="J532" s="41">
        <v>2.2000000000000002</v>
      </c>
      <c r="K532">
        <v>514</v>
      </c>
      <c r="L532" s="41">
        <f t="shared" si="289"/>
        <v>0.15355895811520001</v>
      </c>
      <c r="M532" t="s">
        <v>23</v>
      </c>
      <c r="N532" s="41">
        <v>909.65538325303794</v>
      </c>
      <c r="O532" s="41" t="s">
        <v>22</v>
      </c>
      <c r="P532" s="41" t="s">
        <v>22</v>
      </c>
      <c r="R532" s="41" t="s">
        <v>22</v>
      </c>
      <c r="S532" s="41" t="s">
        <v>22</v>
      </c>
      <c r="T532" s="41" t="s">
        <v>22</v>
      </c>
      <c r="U532" s="41" t="s">
        <v>22</v>
      </c>
      <c r="V532">
        <v>20200507</v>
      </c>
      <c r="W532" s="21"/>
      <c r="X532">
        <v>2012</v>
      </c>
      <c r="Y532" t="s">
        <v>26</v>
      </c>
      <c r="Z532" t="s">
        <v>32</v>
      </c>
      <c r="AC532" t="s">
        <v>514</v>
      </c>
      <c r="AD532" s="41">
        <v>30.287081339712898</v>
      </c>
      <c r="AE532" s="41">
        <v>1584</v>
      </c>
      <c r="AF532" s="41" t="s">
        <v>22</v>
      </c>
      <c r="AG532" s="41" t="s">
        <v>22</v>
      </c>
      <c r="AH532" s="41" t="s">
        <v>22</v>
      </c>
      <c r="AI532" s="41" t="s">
        <v>22</v>
      </c>
      <c r="AJ532" s="41" t="s">
        <v>22</v>
      </c>
      <c r="AK532" s="41" t="s">
        <v>22</v>
      </c>
      <c r="AL532" s="41" t="s">
        <v>22</v>
      </c>
      <c r="AM532" s="43" t="e">
        <f t="shared" si="271"/>
        <v>#VALUE!</v>
      </c>
      <c r="AN532" s="43" t="e">
        <f t="shared" si="272"/>
        <v>#VALUE!</v>
      </c>
      <c r="AO532" s="3" t="s">
        <v>66</v>
      </c>
      <c r="AT532" s="2">
        <f t="shared" si="273"/>
        <v>13</v>
      </c>
      <c r="AU532" s="45">
        <f t="shared" si="274"/>
        <v>-1.2182889388501346</v>
      </c>
      <c r="AV532" s="45" t="e">
        <f t="shared" si="275"/>
        <v>#VALUE!</v>
      </c>
      <c r="AW532" s="45" t="e">
        <f t="shared" si="276"/>
        <v>#VALUE!</v>
      </c>
      <c r="AX532" s="45">
        <f t="shared" si="277"/>
        <v>2.9588768939718526</v>
      </c>
      <c r="AY532" s="45" t="e">
        <f t="shared" si="278"/>
        <v>#VALUE!</v>
      </c>
      <c r="AZ532" s="45" t="e">
        <f t="shared" si="279"/>
        <v>#VALUE!</v>
      </c>
      <c r="BA532" s="45">
        <f t="shared" si="280"/>
        <v>0.34242268082220628</v>
      </c>
      <c r="BB532" s="45">
        <f t="shared" si="281"/>
        <v>-0.81372484319669081</v>
      </c>
      <c r="BC532" s="45" t="e">
        <f t="shared" si="282"/>
        <v>#VALUE!</v>
      </c>
      <c r="BD532" s="45">
        <f t="shared" si="283"/>
        <v>1.4812574239063008</v>
      </c>
      <c r="BE532" s="45" t="e">
        <f t="shared" si="284"/>
        <v>#VALUE!</v>
      </c>
      <c r="BF532" s="45" t="e">
        <f t="shared" si="285"/>
        <v>#VALUE!</v>
      </c>
      <c r="BG532" s="45" t="e">
        <f t="shared" si="286"/>
        <v>#VALUE!</v>
      </c>
      <c r="BH532" s="45" t="e">
        <f t="shared" si="287"/>
        <v>#NUM!</v>
      </c>
      <c r="BI532" s="43" t="e">
        <f t="shared" si="288"/>
        <v>#VALUE!</v>
      </c>
      <c r="CA532" s="41" t="s">
        <v>22</v>
      </c>
      <c r="CC532" t="s">
        <v>22</v>
      </c>
      <c r="CE532" s="41" t="s">
        <v>22</v>
      </c>
      <c r="CF532" s="41" t="s">
        <v>22</v>
      </c>
      <c r="CG532" s="41">
        <f t="shared" si="290"/>
        <v>30287.081339712899</v>
      </c>
      <c r="CH532" s="41">
        <f t="shared" si="291"/>
        <v>4.4812574239063006</v>
      </c>
      <c r="CI532" s="41">
        <f t="shared" si="292"/>
        <v>30287.081339712899</v>
      </c>
      <c r="CJ532" s="41">
        <f t="shared" si="293"/>
        <v>4.4812574239063006</v>
      </c>
      <c r="CL532" s="9" t="s">
        <v>1269</v>
      </c>
      <c r="CM532" s="18" t="s">
        <v>1283</v>
      </c>
      <c r="CN532" s="54" t="s">
        <v>1284</v>
      </c>
      <c r="CO532" s="18" t="s">
        <v>1284</v>
      </c>
    </row>
    <row r="533" spans="1:93" x14ac:dyDescent="0.25">
      <c r="A533" t="s">
        <v>141</v>
      </c>
      <c r="B533" s="41">
        <v>5.5056179775281038E-2</v>
      </c>
      <c r="C533" s="41" t="s">
        <v>22</v>
      </c>
      <c r="D533" s="41" t="s">
        <v>22</v>
      </c>
      <c r="E533" s="41" t="s">
        <v>22</v>
      </c>
      <c r="F533" t="s">
        <v>22</v>
      </c>
      <c r="G533" t="s">
        <v>22</v>
      </c>
      <c r="H533" t="s">
        <v>22</v>
      </c>
      <c r="I533" t="s">
        <v>22</v>
      </c>
      <c r="J533" s="41">
        <v>2.2000000000000002</v>
      </c>
      <c r="K533">
        <v>514</v>
      </c>
      <c r="L533" s="41">
        <f t="shared" si="289"/>
        <v>0.15355895811520001</v>
      </c>
      <c r="M533" t="s">
        <v>23</v>
      </c>
      <c r="N533" s="41">
        <v>850.86496800514294</v>
      </c>
      <c r="O533" s="41" t="s">
        <v>22</v>
      </c>
      <c r="P533" s="41" t="s">
        <v>22</v>
      </c>
      <c r="R533" s="41" t="s">
        <v>22</v>
      </c>
      <c r="S533" s="41" t="s">
        <v>22</v>
      </c>
      <c r="T533" s="41" t="s">
        <v>22</v>
      </c>
      <c r="U533" s="41" t="s">
        <v>22</v>
      </c>
      <c r="V533">
        <v>20200507</v>
      </c>
      <c r="W533" s="21"/>
      <c r="X533">
        <v>2012</v>
      </c>
      <c r="Y533" t="s">
        <v>26</v>
      </c>
      <c r="Z533" t="s">
        <v>32</v>
      </c>
      <c r="AC533" t="s">
        <v>514</v>
      </c>
      <c r="AD533" s="41">
        <v>45.311004784688897</v>
      </c>
      <c r="AE533" s="41">
        <v>1584</v>
      </c>
      <c r="AF533" s="41" t="s">
        <v>22</v>
      </c>
      <c r="AG533" s="41" t="s">
        <v>22</v>
      </c>
      <c r="AH533" s="41" t="s">
        <v>22</v>
      </c>
      <c r="AI533" s="41" t="s">
        <v>22</v>
      </c>
      <c r="AJ533" s="41" t="s">
        <v>22</v>
      </c>
      <c r="AK533" s="41" t="s">
        <v>22</v>
      </c>
      <c r="AL533" s="41" t="s">
        <v>22</v>
      </c>
      <c r="AM533" s="43" t="e">
        <f t="shared" si="271"/>
        <v>#VALUE!</v>
      </c>
      <c r="AN533" s="43" t="e">
        <f t="shared" si="272"/>
        <v>#VALUE!</v>
      </c>
      <c r="AO533" s="3" t="s">
        <v>66</v>
      </c>
      <c r="AT533" s="2">
        <f t="shared" si="273"/>
        <v>13</v>
      </c>
      <c r="AU533" s="45">
        <f t="shared" si="274"/>
        <v>-1.2591939266163981</v>
      </c>
      <c r="AV533" s="45" t="e">
        <f t="shared" si="275"/>
        <v>#VALUE!</v>
      </c>
      <c r="AW533" s="45" t="e">
        <f t="shared" si="276"/>
        <v>#VALUE!</v>
      </c>
      <c r="AX533" s="45">
        <f t="shared" si="277"/>
        <v>2.929860643159365</v>
      </c>
      <c r="AY533" s="45" t="e">
        <f t="shared" si="278"/>
        <v>#VALUE!</v>
      </c>
      <c r="AZ533" s="45" t="e">
        <f t="shared" si="279"/>
        <v>#VALUE!</v>
      </c>
      <c r="BA533" s="45">
        <f t="shared" si="280"/>
        <v>0.34242268082220628</v>
      </c>
      <c r="BB533" s="45">
        <f t="shared" si="281"/>
        <v>-0.81372484319669081</v>
      </c>
      <c r="BC533" s="45" t="e">
        <f t="shared" si="282"/>
        <v>#VALUE!</v>
      </c>
      <c r="BD533" s="45">
        <f t="shared" si="283"/>
        <v>1.6562036928922186</v>
      </c>
      <c r="BE533" s="45" t="e">
        <f t="shared" si="284"/>
        <v>#VALUE!</v>
      </c>
      <c r="BF533" s="45" t="e">
        <f t="shared" si="285"/>
        <v>#VALUE!</v>
      </c>
      <c r="BG533" s="45" t="e">
        <f t="shared" si="286"/>
        <v>#VALUE!</v>
      </c>
      <c r="BH533" s="45" t="e">
        <f t="shared" si="287"/>
        <v>#NUM!</v>
      </c>
      <c r="BI533" s="43" t="e">
        <f t="shared" si="288"/>
        <v>#VALUE!</v>
      </c>
      <c r="CA533" s="41" t="s">
        <v>22</v>
      </c>
      <c r="CC533" t="s">
        <v>22</v>
      </c>
      <c r="CE533" s="41" t="s">
        <v>22</v>
      </c>
      <c r="CF533" s="41" t="s">
        <v>22</v>
      </c>
      <c r="CG533" s="41">
        <f t="shared" si="290"/>
        <v>45311.004784688899</v>
      </c>
      <c r="CH533" s="41">
        <f t="shared" si="291"/>
        <v>4.6562036928922188</v>
      </c>
      <c r="CI533" s="41">
        <f t="shared" si="292"/>
        <v>45311.004784688899</v>
      </c>
      <c r="CJ533" s="41">
        <f t="shared" si="293"/>
        <v>4.6562036928922188</v>
      </c>
      <c r="CL533" s="9" t="s">
        <v>1269</v>
      </c>
      <c r="CM533" s="18" t="s">
        <v>1283</v>
      </c>
      <c r="CN533" s="54" t="s">
        <v>1284</v>
      </c>
      <c r="CO533" s="18" t="s">
        <v>1284</v>
      </c>
    </row>
    <row r="534" spans="1:93" x14ac:dyDescent="0.25">
      <c r="A534" t="s">
        <v>141</v>
      </c>
      <c r="B534" s="41">
        <v>4.2999999999999997E-2</v>
      </c>
      <c r="C534" s="41" t="s">
        <v>22</v>
      </c>
      <c r="D534" s="41" t="s">
        <v>22</v>
      </c>
      <c r="E534" s="41" t="s">
        <v>22</v>
      </c>
      <c r="F534" t="s">
        <v>22</v>
      </c>
      <c r="G534" t="s">
        <v>22</v>
      </c>
      <c r="H534" t="s">
        <v>22</v>
      </c>
      <c r="I534" t="s">
        <v>22</v>
      </c>
      <c r="J534" s="41">
        <v>2.1764999999999999</v>
      </c>
      <c r="K534">
        <v>514</v>
      </c>
      <c r="L534" s="41">
        <f t="shared" si="289"/>
        <v>0.15191866924442399</v>
      </c>
      <c r="M534" t="s">
        <v>23</v>
      </c>
      <c r="N534" s="41">
        <v>798.461538461538</v>
      </c>
      <c r="O534" s="41" t="s">
        <v>22</v>
      </c>
      <c r="P534" s="41">
        <v>45.466000000000001</v>
      </c>
      <c r="R534" s="41">
        <f>N534*B534</f>
        <v>34.333846153846132</v>
      </c>
      <c r="S534" s="41" t="s">
        <v>22</v>
      </c>
      <c r="T534" s="41" t="s">
        <v>22</v>
      </c>
      <c r="U534" s="41" t="s">
        <v>22</v>
      </c>
      <c r="V534">
        <v>20200511</v>
      </c>
      <c r="W534" s="21" t="s">
        <v>152</v>
      </c>
      <c r="X534">
        <v>2012</v>
      </c>
      <c r="Y534" t="s">
        <v>26</v>
      </c>
      <c r="Z534" t="s">
        <v>32</v>
      </c>
      <c r="AC534" t="s">
        <v>514</v>
      </c>
      <c r="AD534" s="41">
        <v>27</v>
      </c>
      <c r="AE534" s="41">
        <v>1584</v>
      </c>
      <c r="AF534" s="41" t="s">
        <v>22</v>
      </c>
      <c r="AG534" s="41" t="s">
        <v>22</v>
      </c>
      <c r="AH534" s="41" t="s">
        <v>22</v>
      </c>
      <c r="AI534" s="41" t="s">
        <v>22</v>
      </c>
      <c r="AJ534" s="41" t="s">
        <v>22</v>
      </c>
      <c r="AK534" s="41" t="s">
        <v>22</v>
      </c>
      <c r="AL534" s="41" t="s">
        <v>22</v>
      </c>
      <c r="AM534" s="43" t="e">
        <f t="shared" si="271"/>
        <v>#VALUE!</v>
      </c>
      <c r="AN534" s="43" t="e">
        <f t="shared" si="272"/>
        <v>#VALUE!</v>
      </c>
      <c r="AO534" s="3" t="s">
        <v>66</v>
      </c>
      <c r="AT534" s="2">
        <f t="shared" si="273"/>
        <v>13</v>
      </c>
      <c r="AU534" s="45">
        <f t="shared" si="274"/>
        <v>-1.3665315444204136</v>
      </c>
      <c r="AV534" s="45" t="e">
        <f t="shared" si="275"/>
        <v>#VALUE!</v>
      </c>
      <c r="AW534" s="45" t="e">
        <f t="shared" si="276"/>
        <v>#VALUE!</v>
      </c>
      <c r="AX534" s="45">
        <f t="shared" si="277"/>
        <v>2.902254001205602</v>
      </c>
      <c r="AY534" s="45" t="e">
        <f t="shared" si="278"/>
        <v>#VALUE!</v>
      </c>
      <c r="AZ534" s="45">
        <f t="shared" si="279"/>
        <v>1.6576867475998311</v>
      </c>
      <c r="BA534" s="45">
        <f t="shared" si="280"/>
        <v>0.3377586714934171</v>
      </c>
      <c r="BB534" s="45">
        <f t="shared" si="281"/>
        <v>-0.81838885252547999</v>
      </c>
      <c r="BC534" s="45" t="e">
        <f t="shared" si="282"/>
        <v>#VALUE!</v>
      </c>
      <c r="BD534" s="45">
        <f t="shared" si="283"/>
        <v>1.4313637641589874</v>
      </c>
      <c r="BE534" s="45" t="e">
        <f t="shared" si="284"/>
        <v>#VALUE!</v>
      </c>
      <c r="BF534" s="45" t="e">
        <f t="shared" si="285"/>
        <v>#VALUE!</v>
      </c>
      <c r="BG534" s="45" t="e">
        <f t="shared" si="286"/>
        <v>#VALUE!</v>
      </c>
      <c r="BH534" s="45" t="e">
        <f t="shared" si="287"/>
        <v>#NUM!</v>
      </c>
      <c r="BI534" s="43" t="e">
        <f t="shared" si="288"/>
        <v>#VALUE!</v>
      </c>
      <c r="CA534" s="41" t="s">
        <v>22</v>
      </c>
      <c r="CC534" t="s">
        <v>22</v>
      </c>
      <c r="CE534" s="41" t="s">
        <v>22</v>
      </c>
      <c r="CF534" s="41" t="s">
        <v>22</v>
      </c>
      <c r="CG534" s="41">
        <f t="shared" si="290"/>
        <v>27000</v>
      </c>
      <c r="CH534" s="41">
        <f t="shared" si="291"/>
        <v>4.4313637641589869</v>
      </c>
      <c r="CI534" s="41">
        <f t="shared" si="292"/>
        <v>27000</v>
      </c>
      <c r="CJ534" s="41">
        <f t="shared" si="293"/>
        <v>4.4313637641589869</v>
      </c>
      <c r="CL534" s="9" t="s">
        <v>1269</v>
      </c>
      <c r="CM534" s="18" t="s">
        <v>1283</v>
      </c>
      <c r="CN534" s="54" t="s">
        <v>1284</v>
      </c>
      <c r="CO534" s="18" t="s">
        <v>1284</v>
      </c>
    </row>
    <row r="535" spans="1:93" x14ac:dyDescent="0.25">
      <c r="A535" t="s">
        <v>141</v>
      </c>
      <c r="B535" s="41">
        <v>6.5510835913312596E-2</v>
      </c>
      <c r="C535" s="41" t="s">
        <v>22</v>
      </c>
      <c r="D535" s="41" t="s">
        <v>22</v>
      </c>
      <c r="E535" s="41" t="s">
        <v>22</v>
      </c>
      <c r="F535" t="s">
        <v>22</v>
      </c>
      <c r="G535" t="s">
        <v>22</v>
      </c>
      <c r="H535" t="s">
        <v>22</v>
      </c>
      <c r="I535" t="s">
        <v>22</v>
      </c>
      <c r="J535" s="41">
        <v>12.0780358766636</v>
      </c>
      <c r="K535">
        <v>514</v>
      </c>
      <c r="L535" s="41">
        <f t="shared" si="289"/>
        <v>0.8430411842265767</v>
      </c>
      <c r="M535" t="s">
        <v>23</v>
      </c>
      <c r="N535" s="41">
        <v>700</v>
      </c>
      <c r="O535" s="41" t="s">
        <v>22</v>
      </c>
      <c r="P535" s="41">
        <v>73.911693221712099</v>
      </c>
      <c r="R535" s="41">
        <f>N535*B535</f>
        <v>45.857585139318815</v>
      </c>
      <c r="S535" s="41" t="s">
        <v>22</v>
      </c>
      <c r="T535" s="41" t="s">
        <v>22</v>
      </c>
      <c r="U535" s="41" t="s">
        <v>22</v>
      </c>
      <c r="V535">
        <v>20200507</v>
      </c>
      <c r="W535" s="21" t="s">
        <v>67</v>
      </c>
      <c r="X535">
        <v>2012</v>
      </c>
      <c r="Y535" t="s">
        <v>26</v>
      </c>
      <c r="Z535" t="s">
        <v>68</v>
      </c>
      <c r="AC535" t="s">
        <v>514</v>
      </c>
      <c r="AD535" s="41" t="s">
        <v>22</v>
      </c>
      <c r="AE535" s="41">
        <v>1581.49779735682</v>
      </c>
      <c r="AF535" s="41" t="s">
        <v>22</v>
      </c>
      <c r="AG535" s="41" t="s">
        <v>22</v>
      </c>
      <c r="AH535" s="41" t="s">
        <v>22</v>
      </c>
      <c r="AI535" s="41" t="s">
        <v>22</v>
      </c>
      <c r="AJ535" s="41" t="s">
        <v>22</v>
      </c>
      <c r="AK535" s="41" t="s">
        <v>22</v>
      </c>
      <c r="AL535" s="41" t="s">
        <v>22</v>
      </c>
      <c r="AM535" s="43" t="e">
        <f t="shared" si="271"/>
        <v>#VALUE!</v>
      </c>
      <c r="AN535" s="43" t="e">
        <f t="shared" si="272"/>
        <v>#VALUE!</v>
      </c>
      <c r="AO535" s="3" t="s">
        <v>66</v>
      </c>
      <c r="AT535" s="2">
        <f t="shared" si="273"/>
        <v>13</v>
      </c>
      <c r="AU535" s="45">
        <f t="shared" si="274"/>
        <v>-1.1836868589679554</v>
      </c>
      <c r="AV535" s="45" t="e">
        <f t="shared" si="275"/>
        <v>#VALUE!</v>
      </c>
      <c r="AW535" s="45" t="e">
        <f t="shared" si="276"/>
        <v>#VALUE!</v>
      </c>
      <c r="AX535" s="45">
        <f t="shared" si="277"/>
        <v>2.8450980400142569</v>
      </c>
      <c r="AY535" s="45" t="e">
        <f t="shared" si="278"/>
        <v>#VALUE!</v>
      </c>
      <c r="AZ535" s="45">
        <f t="shared" si="279"/>
        <v>1.8687131515198181</v>
      </c>
      <c r="BA535" s="45">
        <f t="shared" si="280"/>
        <v>1.0819963153049104</v>
      </c>
      <c r="BB535" s="45">
        <f t="shared" si="281"/>
        <v>-7.4151208713986755E-2</v>
      </c>
      <c r="BC535" s="45" t="e">
        <f t="shared" si="282"/>
        <v>#VALUE!</v>
      </c>
      <c r="BD535" s="45" t="e">
        <f t="shared" si="283"/>
        <v>#VALUE!</v>
      </c>
      <c r="BE535" s="45" t="e">
        <f t="shared" si="284"/>
        <v>#VALUE!</v>
      </c>
      <c r="BF535" s="45" t="e">
        <f t="shared" si="285"/>
        <v>#VALUE!</v>
      </c>
      <c r="BG535" s="45" t="e">
        <f t="shared" si="286"/>
        <v>#VALUE!</v>
      </c>
      <c r="BH535" s="45" t="e">
        <f t="shared" si="287"/>
        <v>#NUM!</v>
      </c>
      <c r="BI535" s="43" t="e">
        <f t="shared" si="288"/>
        <v>#VALUE!</v>
      </c>
      <c r="CA535" s="41" t="s">
        <v>22</v>
      </c>
      <c r="CC535" t="s">
        <v>22</v>
      </c>
      <c r="CE535" s="41" t="s">
        <v>22</v>
      </c>
      <c r="CF535" s="41" t="s">
        <v>22</v>
      </c>
      <c r="CG535" s="41" t="e">
        <f t="shared" si="290"/>
        <v>#VALUE!</v>
      </c>
      <c r="CH535" s="41" t="e">
        <f t="shared" si="291"/>
        <v>#VALUE!</v>
      </c>
      <c r="CI535" s="41" t="str">
        <f t="shared" si="292"/>
        <v>Not Reported/ Can not calculate</v>
      </c>
      <c r="CJ535" s="41" t="e">
        <f t="shared" si="293"/>
        <v>#VALUE!</v>
      </c>
      <c r="CL535" s="9" t="s">
        <v>1269</v>
      </c>
      <c r="CM535" s="18" t="s">
        <v>1284</v>
      </c>
      <c r="CN535" s="54" t="s">
        <v>1284</v>
      </c>
      <c r="CO535" s="18" t="s">
        <v>1284</v>
      </c>
    </row>
    <row r="536" spans="1:93" x14ac:dyDescent="0.25">
      <c r="A536" s="18" t="s">
        <v>141</v>
      </c>
      <c r="B536" s="41">
        <v>6.4210526315789399E-2</v>
      </c>
      <c r="C536" s="41" t="s">
        <v>22</v>
      </c>
      <c r="D536" s="41" t="s">
        <v>22</v>
      </c>
      <c r="E536" s="41" t="s">
        <v>22</v>
      </c>
      <c r="F536" s="18" t="s">
        <v>22</v>
      </c>
      <c r="G536" s="18" t="s">
        <v>22</v>
      </c>
      <c r="H536" s="18" t="s">
        <v>22</v>
      </c>
      <c r="I536" s="18" t="s">
        <v>22</v>
      </c>
      <c r="J536" s="41">
        <v>9.1950070265354995</v>
      </c>
      <c r="K536" s="18">
        <v>514</v>
      </c>
      <c r="L536" s="41">
        <f t="shared" si="289"/>
        <v>0.6418071358439702</v>
      </c>
      <c r="M536" s="18" t="s">
        <v>23</v>
      </c>
      <c r="N536" s="41">
        <v>843.93939393939399</v>
      </c>
      <c r="O536" s="41" t="s">
        <v>22</v>
      </c>
      <c r="P536" s="41">
        <v>71.915242467497393</v>
      </c>
      <c r="R536" s="41">
        <f>N536*B536</f>
        <v>54.189792663476815</v>
      </c>
      <c r="S536" s="41" t="s">
        <v>22</v>
      </c>
      <c r="T536" s="41" t="s">
        <v>22</v>
      </c>
      <c r="U536" s="41" t="s">
        <v>22</v>
      </c>
      <c r="V536" s="18">
        <v>20200507</v>
      </c>
      <c r="W536" s="21" t="s">
        <v>69</v>
      </c>
      <c r="X536" s="18">
        <v>2012</v>
      </c>
      <c r="Y536" s="18" t="s">
        <v>26</v>
      </c>
      <c r="Z536" s="18" t="s">
        <v>68</v>
      </c>
      <c r="AA536" s="18"/>
      <c r="AC536" s="18" t="s">
        <v>514</v>
      </c>
      <c r="AD536" s="41" t="s">
        <v>22</v>
      </c>
      <c r="AE536" s="41">
        <v>1581.9383259911799</v>
      </c>
      <c r="AF536" s="41" t="s">
        <v>22</v>
      </c>
      <c r="AG536" s="41" t="s">
        <v>22</v>
      </c>
      <c r="AH536" s="41" t="s">
        <v>22</v>
      </c>
      <c r="AI536" s="41" t="s">
        <v>22</v>
      </c>
      <c r="AJ536" s="41" t="s">
        <v>22</v>
      </c>
      <c r="AK536" s="41" t="s">
        <v>22</v>
      </c>
      <c r="AL536" s="41" t="s">
        <v>22</v>
      </c>
      <c r="AM536" s="43" t="e">
        <f t="shared" si="271"/>
        <v>#VALUE!</v>
      </c>
      <c r="AN536" s="43" t="e">
        <f t="shared" si="272"/>
        <v>#VALUE!</v>
      </c>
      <c r="AO536" s="19" t="s">
        <v>66</v>
      </c>
      <c r="AP536" s="18"/>
      <c r="AQ536" s="18"/>
      <c r="AR536" s="18"/>
      <c r="AS536" s="18"/>
      <c r="AT536" s="2">
        <f t="shared" si="273"/>
        <v>13</v>
      </c>
      <c r="AU536" s="45">
        <f t="shared" si="274"/>
        <v>-1.1923937702780811</v>
      </c>
      <c r="AV536" s="45" t="e">
        <f t="shared" si="275"/>
        <v>#VALUE!</v>
      </c>
      <c r="AW536" s="45" t="e">
        <f t="shared" si="276"/>
        <v>#VALUE!</v>
      </c>
      <c r="AX536" s="45">
        <f t="shared" si="277"/>
        <v>2.9263112596318601</v>
      </c>
      <c r="AY536" s="45" t="e">
        <f t="shared" si="278"/>
        <v>#VALUE!</v>
      </c>
      <c r="AZ536" s="45">
        <f t="shared" si="279"/>
        <v>1.856820949046984</v>
      </c>
      <c r="BA536" s="45">
        <f t="shared" si="280"/>
        <v>0.96355206544842231</v>
      </c>
      <c r="BB536" s="45">
        <f t="shared" si="281"/>
        <v>-0.19259545857047472</v>
      </c>
      <c r="BC536" s="45" t="e">
        <f t="shared" si="282"/>
        <v>#VALUE!</v>
      </c>
      <c r="BD536" s="45" t="e">
        <f t="shared" si="283"/>
        <v>#VALUE!</v>
      </c>
      <c r="BE536" s="45" t="e">
        <f t="shared" si="284"/>
        <v>#VALUE!</v>
      </c>
      <c r="BF536" s="45" t="e">
        <f t="shared" si="285"/>
        <v>#VALUE!</v>
      </c>
      <c r="BG536" s="45" t="e">
        <f t="shared" si="286"/>
        <v>#VALUE!</v>
      </c>
      <c r="BH536" s="45" t="e">
        <f t="shared" si="287"/>
        <v>#NUM!</v>
      </c>
      <c r="BI536" s="43" t="e">
        <f t="shared" si="288"/>
        <v>#VALUE!</v>
      </c>
      <c r="BJ536" s="18"/>
      <c r="BK536" s="18"/>
      <c r="BL536" s="20"/>
      <c r="BS536" s="18"/>
      <c r="BT536" s="18"/>
      <c r="CA536" s="41" t="s">
        <v>22</v>
      </c>
      <c r="CB536" s="18"/>
      <c r="CC536" t="s">
        <v>22</v>
      </c>
      <c r="CE536" s="41" t="s">
        <v>22</v>
      </c>
      <c r="CF536" s="41" t="s">
        <v>22</v>
      </c>
      <c r="CG536" s="41" t="e">
        <f t="shared" si="290"/>
        <v>#VALUE!</v>
      </c>
      <c r="CH536" s="41" t="e">
        <f t="shared" si="291"/>
        <v>#VALUE!</v>
      </c>
      <c r="CI536" s="41" t="str">
        <f t="shared" si="292"/>
        <v>Not Reported/ Can not calculate</v>
      </c>
      <c r="CJ536" s="41" t="e">
        <f t="shared" si="293"/>
        <v>#VALUE!</v>
      </c>
      <c r="CL536" s="9" t="s">
        <v>1269</v>
      </c>
      <c r="CM536" s="18" t="s">
        <v>1284</v>
      </c>
      <c r="CN536" s="54" t="s">
        <v>1284</v>
      </c>
      <c r="CO536" s="18" t="s">
        <v>1284</v>
      </c>
    </row>
    <row r="537" spans="1:93" x14ac:dyDescent="0.25">
      <c r="A537" s="18" t="s">
        <v>141</v>
      </c>
      <c r="B537" s="41">
        <v>6.1424148606811092E-2</v>
      </c>
      <c r="C537" s="41" t="s">
        <v>22</v>
      </c>
      <c r="D537" s="41" t="s">
        <v>22</v>
      </c>
      <c r="E537" s="41" t="s">
        <v>22</v>
      </c>
      <c r="F537" s="18" t="s">
        <v>22</v>
      </c>
      <c r="G537" s="18" t="s">
        <v>22</v>
      </c>
      <c r="H537" s="18" t="s">
        <v>22</v>
      </c>
      <c r="I537" s="18" t="s">
        <v>22</v>
      </c>
      <c r="J537" s="41" t="s">
        <v>22</v>
      </c>
      <c r="K537" s="18" t="s">
        <v>22</v>
      </c>
      <c r="L537" s="41" t="e">
        <f t="shared" si="289"/>
        <v>#VALUE!</v>
      </c>
      <c r="M537" s="18" t="s">
        <v>23</v>
      </c>
      <c r="N537" s="41" t="s">
        <v>22</v>
      </c>
      <c r="O537" s="41" t="s">
        <v>22</v>
      </c>
      <c r="P537" s="41" t="s">
        <v>22</v>
      </c>
      <c r="R537" s="41" t="s">
        <v>22</v>
      </c>
      <c r="S537" s="41" t="s">
        <v>22</v>
      </c>
      <c r="T537" s="41" t="s">
        <v>22</v>
      </c>
      <c r="U537" s="41" t="s">
        <v>22</v>
      </c>
      <c r="V537" s="18">
        <v>20200507</v>
      </c>
      <c r="W537" s="21" t="s">
        <v>70</v>
      </c>
      <c r="X537" s="18">
        <v>2012</v>
      </c>
      <c r="Y537" s="18" t="s">
        <v>26</v>
      </c>
      <c r="Z537" s="18" t="s">
        <v>68</v>
      </c>
      <c r="AA537" s="18"/>
      <c r="AC537" s="18" t="s">
        <v>514</v>
      </c>
      <c r="AD537" s="41" t="s">
        <v>22</v>
      </c>
      <c r="AE537" s="41" t="s">
        <v>22</v>
      </c>
      <c r="AF537" s="41" t="s">
        <v>22</v>
      </c>
      <c r="AG537" s="41" t="s">
        <v>22</v>
      </c>
      <c r="AH537" s="41" t="s">
        <v>22</v>
      </c>
      <c r="AI537" s="41" t="s">
        <v>22</v>
      </c>
      <c r="AJ537" s="41" t="s">
        <v>22</v>
      </c>
      <c r="AK537" s="41" t="s">
        <v>22</v>
      </c>
      <c r="AL537" s="41" t="s">
        <v>22</v>
      </c>
      <c r="AM537" s="43" t="e">
        <f t="shared" si="271"/>
        <v>#VALUE!</v>
      </c>
      <c r="AN537" s="43" t="e">
        <f t="shared" si="272"/>
        <v>#VALUE!</v>
      </c>
      <c r="AO537" s="19" t="s">
        <v>66</v>
      </c>
      <c r="AP537" s="18"/>
      <c r="AQ537" s="18"/>
      <c r="AR537" s="18"/>
      <c r="AS537" s="18"/>
      <c r="AT537" s="2">
        <f t="shared" si="273"/>
        <v>13</v>
      </c>
      <c r="AU537" s="45">
        <f t="shared" si="274"/>
        <v>-1.2116608545129435</v>
      </c>
      <c r="AV537" s="45" t="e">
        <f t="shared" si="275"/>
        <v>#VALUE!</v>
      </c>
      <c r="AW537" s="45" t="e">
        <f t="shared" si="276"/>
        <v>#VALUE!</v>
      </c>
      <c r="AX537" s="45" t="e">
        <f t="shared" si="277"/>
        <v>#VALUE!</v>
      </c>
      <c r="AY537" s="45" t="e">
        <f t="shared" si="278"/>
        <v>#VALUE!</v>
      </c>
      <c r="AZ537" s="45" t="e">
        <f t="shared" si="279"/>
        <v>#VALUE!</v>
      </c>
      <c r="BA537" s="45" t="e">
        <f t="shared" si="280"/>
        <v>#VALUE!</v>
      </c>
      <c r="BB537" s="45" t="e">
        <f t="shared" si="281"/>
        <v>#VALUE!</v>
      </c>
      <c r="BC537" s="45" t="e">
        <f t="shared" si="282"/>
        <v>#VALUE!</v>
      </c>
      <c r="BD537" s="45" t="e">
        <f t="shared" si="283"/>
        <v>#VALUE!</v>
      </c>
      <c r="BE537" s="45" t="e">
        <f t="shared" si="284"/>
        <v>#VALUE!</v>
      </c>
      <c r="BF537" s="45" t="e">
        <f t="shared" si="285"/>
        <v>#VALUE!</v>
      </c>
      <c r="BG537" s="45" t="e">
        <f t="shared" si="286"/>
        <v>#VALUE!</v>
      </c>
      <c r="BH537" s="45" t="e">
        <f t="shared" si="287"/>
        <v>#NUM!</v>
      </c>
      <c r="BI537" s="43" t="e">
        <f t="shared" si="288"/>
        <v>#VALUE!</v>
      </c>
      <c r="BJ537" s="18"/>
      <c r="BK537" s="18"/>
      <c r="BL537" s="20"/>
      <c r="BS537" s="18"/>
      <c r="BT537" s="18"/>
      <c r="CA537" s="41" t="s">
        <v>22</v>
      </c>
      <c r="CB537" s="18"/>
      <c r="CC537" t="s">
        <v>22</v>
      </c>
      <c r="CE537" s="41" t="s">
        <v>22</v>
      </c>
      <c r="CF537" s="41" t="s">
        <v>22</v>
      </c>
      <c r="CG537" s="41" t="e">
        <f t="shared" si="290"/>
        <v>#VALUE!</v>
      </c>
      <c r="CH537" s="41" t="e">
        <f t="shared" si="291"/>
        <v>#VALUE!</v>
      </c>
      <c r="CI537" s="41" t="str">
        <f t="shared" si="292"/>
        <v>Not Reported/ Can not calculate</v>
      </c>
      <c r="CJ537" s="41" t="e">
        <f t="shared" si="293"/>
        <v>#VALUE!</v>
      </c>
      <c r="CL537" s="9" t="s">
        <v>1269</v>
      </c>
      <c r="CM537" s="18" t="s">
        <v>1284</v>
      </c>
      <c r="CN537" s="54" t="s">
        <v>1284</v>
      </c>
      <c r="CO537" s="18" t="s">
        <v>1284</v>
      </c>
    </row>
    <row r="538" spans="1:93" x14ac:dyDescent="0.25">
      <c r="A538" t="s">
        <v>141</v>
      </c>
      <c r="C538" s="41" t="s">
        <v>22</v>
      </c>
      <c r="D538" s="41" t="s">
        <v>22</v>
      </c>
      <c r="E538" s="41" t="s">
        <v>22</v>
      </c>
      <c r="F538" t="s">
        <v>22</v>
      </c>
      <c r="G538" t="s">
        <v>22</v>
      </c>
      <c r="H538" t="s">
        <v>22</v>
      </c>
      <c r="I538" t="s">
        <v>22</v>
      </c>
      <c r="J538" s="41">
        <v>5.0452178226006499</v>
      </c>
      <c r="K538">
        <v>514</v>
      </c>
      <c r="L538" s="41">
        <f t="shared" si="289"/>
        <v>0.35215381468308804</v>
      </c>
      <c r="M538" t="s">
        <v>23</v>
      </c>
      <c r="N538" s="41">
        <v>892.42424242424204</v>
      </c>
      <c r="O538" s="41" t="s">
        <v>22</v>
      </c>
      <c r="P538" s="41">
        <v>66.667181050113797</v>
      </c>
      <c r="R538" s="41" t="s">
        <v>22</v>
      </c>
      <c r="S538" s="41" t="s">
        <v>22</v>
      </c>
      <c r="T538" s="41" t="s">
        <v>22</v>
      </c>
      <c r="U538" s="41" t="s">
        <v>22</v>
      </c>
      <c r="V538">
        <v>20200507</v>
      </c>
      <c r="W538" s="21" t="s">
        <v>71</v>
      </c>
      <c r="X538">
        <v>2012</v>
      </c>
      <c r="Y538" t="s">
        <v>26</v>
      </c>
      <c r="Z538" t="s">
        <v>68</v>
      </c>
      <c r="AC538" t="s">
        <v>514</v>
      </c>
      <c r="AD538" s="41" t="s">
        <v>22</v>
      </c>
      <c r="AE538" s="41">
        <v>1582.37885462555</v>
      </c>
      <c r="AF538" s="41" t="s">
        <v>22</v>
      </c>
      <c r="AG538" s="41" t="s">
        <v>22</v>
      </c>
      <c r="AH538" s="41" t="s">
        <v>22</v>
      </c>
      <c r="AI538" s="41" t="s">
        <v>22</v>
      </c>
      <c r="AJ538" s="41" t="s">
        <v>22</v>
      </c>
      <c r="AK538" s="41" t="s">
        <v>22</v>
      </c>
      <c r="AL538" s="41" t="s">
        <v>22</v>
      </c>
      <c r="AM538" s="43" t="e">
        <f t="shared" si="271"/>
        <v>#VALUE!</v>
      </c>
      <c r="AN538" s="43" t="e">
        <f t="shared" si="272"/>
        <v>#VALUE!</v>
      </c>
      <c r="AO538" s="19" t="s">
        <v>66</v>
      </c>
      <c r="AT538" s="2">
        <f t="shared" si="273"/>
        <v>13</v>
      </c>
      <c r="AU538" s="45" t="e">
        <f t="shared" si="274"/>
        <v>#NUM!</v>
      </c>
      <c r="AV538" s="45" t="e">
        <f t="shared" si="275"/>
        <v>#VALUE!</v>
      </c>
      <c r="AW538" s="45" t="e">
        <f t="shared" si="276"/>
        <v>#VALUE!</v>
      </c>
      <c r="AX538" s="45">
        <f t="shared" si="277"/>
        <v>2.9505713592452327</v>
      </c>
      <c r="AY538" s="45" t="e">
        <f t="shared" si="278"/>
        <v>#VALUE!</v>
      </c>
      <c r="AZ538" s="45">
        <f t="shared" si="279"/>
        <v>1.8239120918397815</v>
      </c>
      <c r="BA538" s="45">
        <f t="shared" si="280"/>
        <v>0.70287992123920318</v>
      </c>
      <c r="BB538" s="45">
        <f t="shared" si="281"/>
        <v>-0.45326760277969397</v>
      </c>
      <c r="BC538" s="45" t="e">
        <f t="shared" si="282"/>
        <v>#VALUE!</v>
      </c>
      <c r="BD538" s="45" t="e">
        <f t="shared" si="283"/>
        <v>#VALUE!</v>
      </c>
      <c r="BE538" s="45" t="e">
        <f t="shared" si="284"/>
        <v>#VALUE!</v>
      </c>
      <c r="BF538" s="45" t="e">
        <f t="shared" si="285"/>
        <v>#VALUE!</v>
      </c>
      <c r="BG538" s="45" t="e">
        <f t="shared" si="286"/>
        <v>#VALUE!</v>
      </c>
      <c r="BH538" s="45" t="e">
        <f t="shared" si="287"/>
        <v>#NUM!</v>
      </c>
      <c r="BI538" s="43" t="e">
        <f t="shared" si="288"/>
        <v>#VALUE!</v>
      </c>
      <c r="BJ538" s="18"/>
      <c r="BK538" s="18"/>
      <c r="BL538" s="20"/>
      <c r="CA538" s="41" t="s">
        <v>22</v>
      </c>
      <c r="CC538" t="s">
        <v>22</v>
      </c>
      <c r="CE538" s="41" t="s">
        <v>22</v>
      </c>
      <c r="CF538" s="41" t="s">
        <v>22</v>
      </c>
      <c r="CG538" s="41" t="e">
        <f t="shared" si="290"/>
        <v>#VALUE!</v>
      </c>
      <c r="CH538" s="41" t="e">
        <f t="shared" si="291"/>
        <v>#VALUE!</v>
      </c>
      <c r="CI538" s="41" t="str">
        <f t="shared" si="292"/>
        <v>Not Reported/ Can not calculate</v>
      </c>
      <c r="CJ538" s="41" t="e">
        <f t="shared" si="293"/>
        <v>#VALUE!</v>
      </c>
      <c r="CL538" s="9" t="s">
        <v>1269</v>
      </c>
      <c r="CM538" s="18" t="s">
        <v>1284</v>
      </c>
      <c r="CN538" s="54" t="s">
        <v>1284</v>
      </c>
      <c r="CO538" s="18" t="s">
        <v>1284</v>
      </c>
    </row>
    <row r="539" spans="1:93" x14ac:dyDescent="0.25">
      <c r="A539" t="s">
        <v>141</v>
      </c>
      <c r="B539" s="41">
        <v>5.6160990712074296E-2</v>
      </c>
      <c r="C539" s="41" t="s">
        <v>22</v>
      </c>
      <c r="D539" s="41" t="s">
        <v>22</v>
      </c>
      <c r="E539" s="41" t="s">
        <v>22</v>
      </c>
      <c r="F539" t="s">
        <v>22</v>
      </c>
      <c r="G539" t="s">
        <v>22</v>
      </c>
      <c r="H539" t="s">
        <v>22</v>
      </c>
      <c r="I539" t="s">
        <v>22</v>
      </c>
      <c r="J539" s="41" t="s">
        <v>22</v>
      </c>
      <c r="K539" t="s">
        <v>22</v>
      </c>
      <c r="L539" s="41" t="e">
        <f t="shared" si="289"/>
        <v>#VALUE!</v>
      </c>
      <c r="M539" t="s">
        <v>23</v>
      </c>
      <c r="N539" s="41" t="s">
        <v>22</v>
      </c>
      <c r="O539" s="41" t="s">
        <v>22</v>
      </c>
      <c r="P539" s="41" t="s">
        <v>22</v>
      </c>
      <c r="R539" s="41" t="s">
        <v>22</v>
      </c>
      <c r="S539" s="41" t="s">
        <v>22</v>
      </c>
      <c r="T539" s="41" t="s">
        <v>22</v>
      </c>
      <c r="U539" s="41" t="s">
        <v>22</v>
      </c>
      <c r="V539">
        <v>20200507</v>
      </c>
      <c r="W539" s="21" t="s">
        <v>72</v>
      </c>
      <c r="X539">
        <v>2012</v>
      </c>
      <c r="Y539" t="s">
        <v>26</v>
      </c>
      <c r="Z539" t="s">
        <v>68</v>
      </c>
      <c r="AC539" t="s">
        <v>514</v>
      </c>
      <c r="AD539" s="41" t="s">
        <v>22</v>
      </c>
      <c r="AE539" s="41" t="s">
        <v>22</v>
      </c>
      <c r="AF539" s="41" t="s">
        <v>22</v>
      </c>
      <c r="AG539" s="41" t="s">
        <v>22</v>
      </c>
      <c r="AH539" s="41" t="s">
        <v>22</v>
      </c>
      <c r="AI539" s="41" t="s">
        <v>22</v>
      </c>
      <c r="AJ539" s="41" t="s">
        <v>22</v>
      </c>
      <c r="AK539" s="41" t="s">
        <v>22</v>
      </c>
      <c r="AL539" s="41" t="s">
        <v>22</v>
      </c>
      <c r="AM539" s="43" t="e">
        <f t="shared" si="271"/>
        <v>#VALUE!</v>
      </c>
      <c r="AN539" s="43" t="e">
        <f t="shared" si="272"/>
        <v>#VALUE!</v>
      </c>
      <c r="AO539" s="19" t="s">
        <v>66</v>
      </c>
      <c r="AT539" s="2">
        <f t="shared" si="273"/>
        <v>13</v>
      </c>
      <c r="AU539" s="45">
        <f t="shared" si="274"/>
        <v>-1.2505652396070266</v>
      </c>
      <c r="AV539" s="45" t="e">
        <f t="shared" si="275"/>
        <v>#VALUE!</v>
      </c>
      <c r="AW539" s="45" t="e">
        <f t="shared" si="276"/>
        <v>#VALUE!</v>
      </c>
      <c r="AX539" s="45" t="e">
        <f t="shared" si="277"/>
        <v>#VALUE!</v>
      </c>
      <c r="AY539" s="45" t="e">
        <f t="shared" si="278"/>
        <v>#VALUE!</v>
      </c>
      <c r="AZ539" s="45" t="e">
        <f t="shared" si="279"/>
        <v>#VALUE!</v>
      </c>
      <c r="BA539" s="45" t="e">
        <f t="shared" si="280"/>
        <v>#VALUE!</v>
      </c>
      <c r="BB539" s="45" t="e">
        <f t="shared" si="281"/>
        <v>#VALUE!</v>
      </c>
      <c r="BC539" s="45" t="e">
        <f t="shared" si="282"/>
        <v>#VALUE!</v>
      </c>
      <c r="BD539" s="45" t="e">
        <f t="shared" si="283"/>
        <v>#VALUE!</v>
      </c>
      <c r="BE539" s="45" t="e">
        <f t="shared" si="284"/>
        <v>#VALUE!</v>
      </c>
      <c r="BF539" s="45" t="e">
        <f t="shared" si="285"/>
        <v>#VALUE!</v>
      </c>
      <c r="BG539" s="45" t="e">
        <f t="shared" si="286"/>
        <v>#VALUE!</v>
      </c>
      <c r="BH539" s="45" t="e">
        <f t="shared" si="287"/>
        <v>#NUM!</v>
      </c>
      <c r="BI539" s="43" t="e">
        <f t="shared" si="288"/>
        <v>#VALUE!</v>
      </c>
      <c r="BJ539" s="18"/>
      <c r="BK539" s="18"/>
      <c r="BL539" s="20"/>
      <c r="CA539" s="41" t="s">
        <v>22</v>
      </c>
      <c r="CC539" t="s">
        <v>22</v>
      </c>
      <c r="CE539" s="41" t="s">
        <v>22</v>
      </c>
      <c r="CF539" s="41" t="s">
        <v>22</v>
      </c>
      <c r="CG539" s="41" t="e">
        <f t="shared" si="290"/>
        <v>#VALUE!</v>
      </c>
      <c r="CH539" s="41" t="e">
        <f t="shared" si="291"/>
        <v>#VALUE!</v>
      </c>
      <c r="CI539" s="41" t="str">
        <f t="shared" si="292"/>
        <v>Not Reported/ Can not calculate</v>
      </c>
      <c r="CJ539" s="41" t="e">
        <f t="shared" si="293"/>
        <v>#VALUE!</v>
      </c>
      <c r="CL539" s="9" t="s">
        <v>1269</v>
      </c>
      <c r="CM539" s="18" t="s">
        <v>1284</v>
      </c>
      <c r="CN539" s="54" t="s">
        <v>1284</v>
      </c>
      <c r="CO539" s="18" t="s">
        <v>1284</v>
      </c>
    </row>
    <row r="540" spans="1:93" x14ac:dyDescent="0.25">
      <c r="A540" t="s">
        <v>342</v>
      </c>
      <c r="B540" s="41">
        <v>6.0000000000000001E-3</v>
      </c>
      <c r="C540" s="41" t="s">
        <v>22</v>
      </c>
      <c r="D540" s="41" t="s">
        <v>22</v>
      </c>
      <c r="E540" s="41" t="s">
        <v>22</v>
      </c>
      <c r="F540" t="s">
        <v>22</v>
      </c>
      <c r="G540" t="s">
        <v>22</v>
      </c>
      <c r="H540" t="s">
        <v>22</v>
      </c>
      <c r="I540" t="s">
        <v>22</v>
      </c>
      <c r="J540" s="41">
        <v>5.77</v>
      </c>
      <c r="K540">
        <v>514.5</v>
      </c>
      <c r="L540" s="41">
        <f t="shared" si="289"/>
        <v>0.40431264994571059</v>
      </c>
      <c r="M540" t="s">
        <v>23</v>
      </c>
      <c r="N540" s="41">
        <v>15.36</v>
      </c>
      <c r="O540" s="41" t="s">
        <v>22</v>
      </c>
      <c r="P540" s="41">
        <v>0.20799999999999999</v>
      </c>
      <c r="R540" s="41">
        <f>N540*B540</f>
        <v>9.2159999999999992E-2</v>
      </c>
      <c r="S540" s="41" t="s">
        <v>22</v>
      </c>
      <c r="T540" s="41" t="s">
        <v>22</v>
      </c>
      <c r="U540" s="41" t="s">
        <v>22</v>
      </c>
      <c r="V540">
        <v>20200511</v>
      </c>
      <c r="W540" s="21"/>
      <c r="X540">
        <v>2012</v>
      </c>
      <c r="Y540" t="s">
        <v>328</v>
      </c>
      <c r="Z540" t="s">
        <v>32</v>
      </c>
      <c r="AC540" t="s">
        <v>269</v>
      </c>
      <c r="AD540" s="41" t="s">
        <v>22</v>
      </c>
      <c r="AE540" s="41">
        <v>1571.1</v>
      </c>
      <c r="AF540" s="41" t="s">
        <v>22</v>
      </c>
      <c r="AG540" s="41" t="s">
        <v>22</v>
      </c>
      <c r="AH540" s="41" t="s">
        <v>22</v>
      </c>
      <c r="AI540" s="41" t="s">
        <v>22</v>
      </c>
      <c r="AJ540" s="41" t="s">
        <v>22</v>
      </c>
      <c r="AK540" s="41" t="s">
        <v>22</v>
      </c>
      <c r="AL540" s="41" t="s">
        <v>22</v>
      </c>
      <c r="AM540" s="43" t="e">
        <f t="shared" si="271"/>
        <v>#VALUE!</v>
      </c>
      <c r="AN540" s="43" t="e">
        <f t="shared" si="272"/>
        <v>#VALUE!</v>
      </c>
      <c r="AO540" s="19" t="s">
        <v>324</v>
      </c>
      <c r="AT540" s="2">
        <f t="shared" si="273"/>
        <v>1</v>
      </c>
      <c r="AU540" s="45">
        <f t="shared" si="274"/>
        <v>-2.2218487496163561</v>
      </c>
      <c r="AV540" s="45" t="e">
        <f t="shared" si="275"/>
        <v>#VALUE!</v>
      </c>
      <c r="AW540" s="45" t="e">
        <f t="shared" si="276"/>
        <v>#VALUE!</v>
      </c>
      <c r="AX540" s="45">
        <f t="shared" si="277"/>
        <v>1.1863912156954932</v>
      </c>
      <c r="AY540" s="45" t="e">
        <f t="shared" si="278"/>
        <v>#VALUE!</v>
      </c>
      <c r="AZ540" s="45">
        <f t="shared" si="279"/>
        <v>-0.68193666503723849</v>
      </c>
      <c r="BA540" s="45">
        <f t="shared" si="280"/>
        <v>0.76117581315573135</v>
      </c>
      <c r="BB540" s="45">
        <f t="shared" si="281"/>
        <v>-0.39328267045046167</v>
      </c>
      <c r="BC540" s="45" t="e">
        <f t="shared" si="282"/>
        <v>#VALUE!</v>
      </c>
      <c r="BD540" s="45" t="e">
        <f t="shared" si="283"/>
        <v>#VALUE!</v>
      </c>
      <c r="BE540" s="45" t="e">
        <f t="shared" si="284"/>
        <v>#VALUE!</v>
      </c>
      <c r="BF540" s="45" t="e">
        <f t="shared" si="285"/>
        <v>#VALUE!</v>
      </c>
      <c r="BG540" s="45" t="e">
        <f t="shared" si="286"/>
        <v>#VALUE!</v>
      </c>
      <c r="BH540" s="45" t="e">
        <f t="shared" si="287"/>
        <v>#NUM!</v>
      </c>
      <c r="BI540" s="43" t="e">
        <f t="shared" si="288"/>
        <v>#VALUE!</v>
      </c>
      <c r="BJ540" s="18"/>
      <c r="BK540" s="18"/>
      <c r="BL540" s="20"/>
      <c r="CA540" s="41" t="s">
        <v>22</v>
      </c>
      <c r="CC540" t="s">
        <v>22</v>
      </c>
      <c r="CE540" s="41" t="s">
        <v>22</v>
      </c>
      <c r="CF540" s="41" t="s">
        <v>22</v>
      </c>
      <c r="CG540" s="41" t="e">
        <f t="shared" si="290"/>
        <v>#VALUE!</v>
      </c>
      <c r="CH540" s="41" t="e">
        <f t="shared" si="291"/>
        <v>#VALUE!</v>
      </c>
      <c r="CI540" s="41" t="str">
        <f t="shared" si="292"/>
        <v>Not Reported/ Can not calculate</v>
      </c>
      <c r="CJ540" s="41" t="e">
        <f t="shared" si="293"/>
        <v>#VALUE!</v>
      </c>
      <c r="CL540" s="9" t="s">
        <v>1269</v>
      </c>
      <c r="CM540" s="18" t="s">
        <v>1284</v>
      </c>
      <c r="CN540" s="54" t="s">
        <v>1284</v>
      </c>
      <c r="CO540" s="18" t="s">
        <v>1284</v>
      </c>
    </row>
    <row r="541" spans="1:93" x14ac:dyDescent="0.25">
      <c r="A541" t="s">
        <v>141</v>
      </c>
      <c r="B541" s="41">
        <v>3.2184873949579799E-2</v>
      </c>
      <c r="C541" s="41">
        <v>0.76976744186046497</v>
      </c>
      <c r="D541" s="41">
        <f t="shared" ref="D541:D548" si="294">0.001*(B541*10^6)/(C541*0.001*100^3)</f>
        <v>4.1811165553834802E-2</v>
      </c>
      <c r="E541" s="41" t="s">
        <v>22</v>
      </c>
      <c r="F541" t="s">
        <v>22</v>
      </c>
      <c r="G541" t="s">
        <v>22</v>
      </c>
      <c r="H541" t="s">
        <v>22</v>
      </c>
      <c r="I541" t="s">
        <v>22</v>
      </c>
      <c r="J541" s="41" t="s">
        <v>22</v>
      </c>
      <c r="K541" t="s">
        <v>22</v>
      </c>
      <c r="L541" s="41" t="e">
        <f t="shared" si="289"/>
        <v>#VALUE!</v>
      </c>
      <c r="M541" t="s">
        <v>23</v>
      </c>
      <c r="N541" s="41" t="s">
        <v>22</v>
      </c>
      <c r="O541" s="41" t="s">
        <v>22</v>
      </c>
      <c r="P541" s="41">
        <v>0.25</v>
      </c>
      <c r="R541" s="41" t="s">
        <v>22</v>
      </c>
      <c r="S541" s="41" t="s">
        <v>22</v>
      </c>
      <c r="T541" s="41">
        <v>12</v>
      </c>
      <c r="U541" s="41">
        <v>12</v>
      </c>
      <c r="V541">
        <v>20200507</v>
      </c>
      <c r="W541" s="21"/>
      <c r="X541">
        <v>2012</v>
      </c>
      <c r="Y541" t="s">
        <v>26</v>
      </c>
      <c r="Z541" t="s">
        <v>53</v>
      </c>
      <c r="AC541" t="s">
        <v>514</v>
      </c>
      <c r="AD541" s="41" t="s">
        <v>22</v>
      </c>
      <c r="AE541" s="41" t="s">
        <v>22</v>
      </c>
      <c r="AF541" s="41" t="s">
        <v>22</v>
      </c>
      <c r="AG541" s="41" t="s">
        <v>22</v>
      </c>
      <c r="AH541" s="41" t="s">
        <v>22</v>
      </c>
      <c r="AI541" s="41" t="s">
        <v>22</v>
      </c>
      <c r="AJ541" s="41" t="s">
        <v>22</v>
      </c>
      <c r="AK541" s="41" t="s">
        <v>22</v>
      </c>
      <c r="AL541" s="41" t="s">
        <v>22</v>
      </c>
      <c r="AM541" s="43" t="e">
        <f t="shared" si="271"/>
        <v>#VALUE!</v>
      </c>
      <c r="AN541" s="43" t="e">
        <f t="shared" si="272"/>
        <v>#VALUE!</v>
      </c>
      <c r="AO541" s="3" t="s">
        <v>54</v>
      </c>
      <c r="AT541" s="2">
        <f t="shared" si="273"/>
        <v>8</v>
      </c>
      <c r="AU541" s="45">
        <f t="shared" si="274"/>
        <v>-1.4923481874239084</v>
      </c>
      <c r="AV541" s="45">
        <f t="shared" si="275"/>
        <v>-0.11364046180386787</v>
      </c>
      <c r="AW541" s="45">
        <f t="shared" si="276"/>
        <v>-1.3787077256200404</v>
      </c>
      <c r="AX541" s="45" t="e">
        <f t="shared" si="277"/>
        <v>#VALUE!</v>
      </c>
      <c r="AY541" s="45" t="e">
        <f t="shared" si="278"/>
        <v>#VALUE!</v>
      </c>
      <c r="AZ541" s="45">
        <f t="shared" si="279"/>
        <v>-0.6020599913279624</v>
      </c>
      <c r="BA541" s="45" t="e">
        <f t="shared" si="280"/>
        <v>#VALUE!</v>
      </c>
      <c r="BB541" s="45" t="e">
        <f t="shared" si="281"/>
        <v>#VALUE!</v>
      </c>
      <c r="BC541" s="45">
        <f t="shared" si="282"/>
        <v>1.0791812460476249</v>
      </c>
      <c r="BD541" s="45" t="e">
        <f t="shared" si="283"/>
        <v>#VALUE!</v>
      </c>
      <c r="BE541" s="45" t="e">
        <f t="shared" si="284"/>
        <v>#VALUE!</v>
      </c>
      <c r="BF541" s="45" t="e">
        <f t="shared" si="285"/>
        <v>#VALUE!</v>
      </c>
      <c r="BG541" s="45" t="e">
        <f t="shared" si="286"/>
        <v>#VALUE!</v>
      </c>
      <c r="BH541" s="45" t="e">
        <f t="shared" si="287"/>
        <v>#NUM!</v>
      </c>
      <c r="BI541" s="43" t="e">
        <f t="shared" si="288"/>
        <v>#VALUE!</v>
      </c>
      <c r="CA541" s="41" t="s">
        <v>22</v>
      </c>
      <c r="CC541" t="s">
        <v>22</v>
      </c>
      <c r="CE541" s="41" t="s">
        <v>22</v>
      </c>
      <c r="CF541" s="41" t="s">
        <v>22</v>
      </c>
      <c r="CG541" s="41" t="e">
        <f t="shared" si="290"/>
        <v>#VALUE!</v>
      </c>
      <c r="CH541" s="41" t="e">
        <f t="shared" si="291"/>
        <v>#VALUE!</v>
      </c>
      <c r="CI541" s="41">
        <f t="shared" si="292"/>
        <v>12</v>
      </c>
      <c r="CJ541" s="41">
        <f t="shared" si="293"/>
        <v>1.0791812460476249</v>
      </c>
      <c r="CL541" s="9" t="s">
        <v>1269</v>
      </c>
      <c r="CM541" s="18" t="s">
        <v>1285</v>
      </c>
      <c r="CN541" s="54" t="s">
        <v>1284</v>
      </c>
      <c r="CO541" s="18" t="s">
        <v>1284</v>
      </c>
    </row>
    <row r="542" spans="1:93" x14ac:dyDescent="0.25">
      <c r="A542" t="s">
        <v>141</v>
      </c>
      <c r="B542" s="41">
        <v>4.4957983193277297E-2</v>
      </c>
      <c r="C542" s="41">
        <v>0.80930232558139503</v>
      </c>
      <c r="D542" s="41">
        <f t="shared" si="294"/>
        <v>5.5551530957210472E-2</v>
      </c>
      <c r="E542" s="41" t="s">
        <v>22</v>
      </c>
      <c r="F542" t="s">
        <v>22</v>
      </c>
      <c r="G542" t="s">
        <v>22</v>
      </c>
      <c r="H542" t="s">
        <v>22</v>
      </c>
      <c r="I542" t="s">
        <v>22</v>
      </c>
      <c r="J542" s="41" t="s">
        <v>22</v>
      </c>
      <c r="K542" t="s">
        <v>22</v>
      </c>
      <c r="L542" s="41" t="e">
        <f t="shared" si="289"/>
        <v>#VALUE!</v>
      </c>
      <c r="M542" t="s">
        <v>23</v>
      </c>
      <c r="N542" s="41" t="s">
        <v>22</v>
      </c>
      <c r="O542" s="41" t="s">
        <v>22</v>
      </c>
      <c r="P542" s="41">
        <v>2.25</v>
      </c>
      <c r="R542" s="41" t="s">
        <v>22</v>
      </c>
      <c r="S542" s="41" t="s">
        <v>22</v>
      </c>
      <c r="T542" s="41">
        <v>12</v>
      </c>
      <c r="U542" s="41">
        <v>12</v>
      </c>
      <c r="V542">
        <v>20200507</v>
      </c>
      <c r="W542" s="21"/>
      <c r="X542">
        <v>2012</v>
      </c>
      <c r="Y542" t="s">
        <v>26</v>
      </c>
      <c r="Z542" t="s">
        <v>53</v>
      </c>
      <c r="AC542" t="s">
        <v>514</v>
      </c>
      <c r="AD542" s="41" t="s">
        <v>22</v>
      </c>
      <c r="AE542" s="41" t="s">
        <v>22</v>
      </c>
      <c r="AF542" s="41">
        <v>473.58490566037699</v>
      </c>
      <c r="AG542" s="41" t="s">
        <v>22</v>
      </c>
      <c r="AH542" s="41" t="s">
        <v>22</v>
      </c>
      <c r="AI542" s="41" t="s">
        <v>22</v>
      </c>
      <c r="AJ542" s="41" t="s">
        <v>22</v>
      </c>
      <c r="AK542" s="41" t="s">
        <v>22</v>
      </c>
      <c r="AL542" s="41" t="s">
        <v>22</v>
      </c>
      <c r="AM542" s="43" t="e">
        <f t="shared" si="271"/>
        <v>#VALUE!</v>
      </c>
      <c r="AN542" s="43" t="e">
        <f t="shared" si="272"/>
        <v>#VALUE!</v>
      </c>
      <c r="AO542" s="3" t="s">
        <v>54</v>
      </c>
      <c r="AT542" s="2">
        <f t="shared" si="273"/>
        <v>8</v>
      </c>
      <c r="AU542" s="45">
        <f t="shared" si="274"/>
        <v>-1.3471931793713023</v>
      </c>
      <c r="AV542" s="45">
        <f t="shared" si="275"/>
        <v>-9.1889211633005785E-2</v>
      </c>
      <c r="AW542" s="45">
        <f t="shared" si="276"/>
        <v>-1.2553039677382967</v>
      </c>
      <c r="AX542" s="45" t="e">
        <f t="shared" si="277"/>
        <v>#VALUE!</v>
      </c>
      <c r="AY542" s="45" t="e">
        <f t="shared" si="278"/>
        <v>#VALUE!</v>
      </c>
      <c r="AZ542" s="45">
        <f t="shared" si="279"/>
        <v>0.35218251811136247</v>
      </c>
      <c r="BA542" s="45" t="e">
        <f t="shared" si="280"/>
        <v>#VALUE!</v>
      </c>
      <c r="BB542" s="45" t="e">
        <f t="shared" si="281"/>
        <v>#VALUE!</v>
      </c>
      <c r="BC542" s="45">
        <f t="shared" si="282"/>
        <v>1.0791812460476249</v>
      </c>
      <c r="BD542" s="45" t="e">
        <f t="shared" si="283"/>
        <v>#VALUE!</v>
      </c>
      <c r="BE542" s="45">
        <f t="shared" si="284"/>
        <v>2.6753978518802488</v>
      </c>
      <c r="BF542" s="45" t="e">
        <f t="shared" si="285"/>
        <v>#VALUE!</v>
      </c>
      <c r="BG542" s="45" t="e">
        <f t="shared" si="286"/>
        <v>#VALUE!</v>
      </c>
      <c r="BH542" s="45" t="e">
        <f t="shared" si="287"/>
        <v>#NUM!</v>
      </c>
      <c r="BI542" s="43">
        <f t="shared" si="288"/>
        <v>2.6753978518802488</v>
      </c>
      <c r="CA542" s="41" t="s">
        <v>22</v>
      </c>
      <c r="CC542" t="s">
        <v>22</v>
      </c>
      <c r="CE542" s="41" t="s">
        <v>22</v>
      </c>
      <c r="CF542" s="41" t="s">
        <v>22</v>
      </c>
      <c r="CG542" s="41" t="e">
        <f t="shared" si="290"/>
        <v>#VALUE!</v>
      </c>
      <c r="CH542" s="41" t="e">
        <f t="shared" si="291"/>
        <v>#VALUE!</v>
      </c>
      <c r="CI542" s="41">
        <f t="shared" si="292"/>
        <v>12</v>
      </c>
      <c r="CJ542" s="41">
        <f t="shared" si="293"/>
        <v>1.0791812460476249</v>
      </c>
      <c r="CL542" s="9" t="s">
        <v>1269</v>
      </c>
      <c r="CM542" s="18" t="s">
        <v>1285</v>
      </c>
      <c r="CN542" s="54" t="s">
        <v>1284</v>
      </c>
      <c r="CO542" s="18" t="s">
        <v>1284</v>
      </c>
    </row>
    <row r="543" spans="1:93" x14ac:dyDescent="0.25">
      <c r="A543" t="s">
        <v>141</v>
      </c>
      <c r="B543" s="41">
        <v>4.8655462184873897E-2</v>
      </c>
      <c r="C543" s="41">
        <v>0.86046511627906896</v>
      </c>
      <c r="D543" s="41">
        <f t="shared" si="294"/>
        <v>5.6545537133772417E-2</v>
      </c>
      <c r="E543" s="41" t="s">
        <v>22</v>
      </c>
      <c r="F543" t="s">
        <v>22</v>
      </c>
      <c r="G543" t="s">
        <v>22</v>
      </c>
      <c r="H543" t="s">
        <v>22</v>
      </c>
      <c r="I543" t="s">
        <v>22</v>
      </c>
      <c r="J543" s="41" t="s">
        <v>22</v>
      </c>
      <c r="K543" t="s">
        <v>22</v>
      </c>
      <c r="L543" s="41" t="e">
        <f t="shared" si="289"/>
        <v>#VALUE!</v>
      </c>
      <c r="M543" t="s">
        <v>23</v>
      </c>
      <c r="N543" s="41" t="s">
        <v>22</v>
      </c>
      <c r="O543" s="41" t="s">
        <v>22</v>
      </c>
      <c r="P543" s="41" t="s">
        <v>22</v>
      </c>
      <c r="R543" s="41" t="s">
        <v>22</v>
      </c>
      <c r="S543" s="41" t="s">
        <v>22</v>
      </c>
      <c r="T543" s="41">
        <v>12</v>
      </c>
      <c r="U543" s="41">
        <v>12</v>
      </c>
      <c r="V543">
        <v>20200507</v>
      </c>
      <c r="W543" s="21"/>
      <c r="X543">
        <v>2012</v>
      </c>
      <c r="Y543" t="s">
        <v>26</v>
      </c>
      <c r="Z543" t="s">
        <v>53</v>
      </c>
      <c r="AC543" t="s">
        <v>514</v>
      </c>
      <c r="AD543" s="41" t="s">
        <v>22</v>
      </c>
      <c r="AE543" s="41" t="s">
        <v>22</v>
      </c>
      <c r="AF543" s="41">
        <v>532.07547169811301</v>
      </c>
      <c r="AG543" s="41" t="s">
        <v>22</v>
      </c>
      <c r="AH543" s="41" t="s">
        <v>22</v>
      </c>
      <c r="AI543" s="41" t="s">
        <v>22</v>
      </c>
      <c r="AJ543" s="41" t="s">
        <v>22</v>
      </c>
      <c r="AK543" s="41" t="s">
        <v>22</v>
      </c>
      <c r="AL543" s="41" t="s">
        <v>22</v>
      </c>
      <c r="AM543" s="43" t="e">
        <f t="shared" si="271"/>
        <v>#VALUE!</v>
      </c>
      <c r="AN543" s="43" t="e">
        <f t="shared" si="272"/>
        <v>#VALUE!</v>
      </c>
      <c r="AO543" s="3" t="s">
        <v>54</v>
      </c>
      <c r="AT543" s="2">
        <f t="shared" si="273"/>
        <v>8</v>
      </c>
      <c r="AU543" s="45">
        <f t="shared" si="274"/>
        <v>-1.312868397665095</v>
      </c>
      <c r="AV543" s="45">
        <f t="shared" si="275"/>
        <v>-6.5266731512591936E-2</v>
      </c>
      <c r="AW543" s="45">
        <f t="shared" si="276"/>
        <v>-1.2476016661525031</v>
      </c>
      <c r="AX543" s="45" t="e">
        <f t="shared" si="277"/>
        <v>#VALUE!</v>
      </c>
      <c r="AY543" s="45" t="e">
        <f t="shared" si="278"/>
        <v>#VALUE!</v>
      </c>
      <c r="AZ543" s="45" t="e">
        <f t="shared" si="279"/>
        <v>#VALUE!</v>
      </c>
      <c r="BA543" s="45" t="e">
        <f t="shared" si="280"/>
        <v>#VALUE!</v>
      </c>
      <c r="BB543" s="45" t="e">
        <f t="shared" si="281"/>
        <v>#VALUE!</v>
      </c>
      <c r="BC543" s="45">
        <f t="shared" si="282"/>
        <v>1.0791812460476249</v>
      </c>
      <c r="BD543" s="45" t="e">
        <f t="shared" si="283"/>
        <v>#VALUE!</v>
      </c>
      <c r="BE543" s="45">
        <f t="shared" si="284"/>
        <v>2.7259732387185718</v>
      </c>
      <c r="BF543" s="45" t="e">
        <f t="shared" si="285"/>
        <v>#VALUE!</v>
      </c>
      <c r="BG543" s="45" t="e">
        <f t="shared" si="286"/>
        <v>#VALUE!</v>
      </c>
      <c r="BH543" s="45" t="e">
        <f t="shared" si="287"/>
        <v>#NUM!</v>
      </c>
      <c r="BI543" s="43">
        <f t="shared" si="288"/>
        <v>2.7259732387185718</v>
      </c>
      <c r="CA543" s="41" t="s">
        <v>22</v>
      </c>
      <c r="CC543" t="s">
        <v>22</v>
      </c>
      <c r="CE543" s="41" t="s">
        <v>22</v>
      </c>
      <c r="CF543" s="41" t="s">
        <v>22</v>
      </c>
      <c r="CG543" s="41" t="e">
        <f t="shared" si="290"/>
        <v>#VALUE!</v>
      </c>
      <c r="CH543" s="41" t="e">
        <f t="shared" si="291"/>
        <v>#VALUE!</v>
      </c>
      <c r="CI543" s="41">
        <f t="shared" si="292"/>
        <v>12</v>
      </c>
      <c r="CJ543" s="41">
        <f t="shared" si="293"/>
        <v>1.0791812460476249</v>
      </c>
      <c r="CL543" s="9" t="s">
        <v>1269</v>
      </c>
      <c r="CM543" s="18" t="s">
        <v>1285</v>
      </c>
      <c r="CN543" s="54" t="s">
        <v>1284</v>
      </c>
      <c r="CO543" s="18" t="s">
        <v>1284</v>
      </c>
    </row>
    <row r="544" spans="1:93" x14ac:dyDescent="0.25">
      <c r="A544" t="s">
        <v>141</v>
      </c>
      <c r="B544" s="41">
        <v>5.5882352941176404E-2</v>
      </c>
      <c r="C544" s="41">
        <v>1.0744186046511599</v>
      </c>
      <c r="D544" s="41">
        <f t="shared" si="294"/>
        <v>5.2011713776419735E-2</v>
      </c>
      <c r="E544" s="41" t="s">
        <v>22</v>
      </c>
      <c r="F544" t="s">
        <v>22</v>
      </c>
      <c r="G544" t="s">
        <v>22</v>
      </c>
      <c r="H544" t="s">
        <v>22</v>
      </c>
      <c r="I544" t="s">
        <v>22</v>
      </c>
      <c r="J544" s="41" t="s">
        <v>22</v>
      </c>
      <c r="K544" t="s">
        <v>22</v>
      </c>
      <c r="L544" s="41" t="e">
        <f t="shared" si="289"/>
        <v>#VALUE!</v>
      </c>
      <c r="M544" t="s">
        <v>23</v>
      </c>
      <c r="N544" s="41" t="s">
        <v>22</v>
      </c>
      <c r="O544" s="41" t="s">
        <v>22</v>
      </c>
      <c r="P544" s="41" t="s">
        <v>22</v>
      </c>
      <c r="R544" s="41" t="s">
        <v>22</v>
      </c>
      <c r="S544" s="41" t="s">
        <v>22</v>
      </c>
      <c r="T544" s="41">
        <v>12</v>
      </c>
      <c r="U544" s="41">
        <v>12</v>
      </c>
      <c r="V544">
        <v>20200507</v>
      </c>
      <c r="W544" s="21"/>
      <c r="X544">
        <v>2012</v>
      </c>
      <c r="Y544" t="s">
        <v>26</v>
      </c>
      <c r="Z544" t="s">
        <v>53</v>
      </c>
      <c r="AC544" t="s">
        <v>514</v>
      </c>
      <c r="AD544" s="41" t="s">
        <v>22</v>
      </c>
      <c r="AE544" s="41" t="s">
        <v>22</v>
      </c>
      <c r="AF544" s="41">
        <v>552.830188679245</v>
      </c>
      <c r="AG544" s="41" t="s">
        <v>22</v>
      </c>
      <c r="AH544" s="41" t="s">
        <v>22</v>
      </c>
      <c r="AI544" s="41" t="s">
        <v>22</v>
      </c>
      <c r="AJ544" s="41" t="s">
        <v>22</v>
      </c>
      <c r="AK544" s="41" t="s">
        <v>22</v>
      </c>
      <c r="AL544" s="41" t="s">
        <v>22</v>
      </c>
      <c r="AM544" s="43" t="e">
        <f t="shared" si="271"/>
        <v>#VALUE!</v>
      </c>
      <c r="AN544" s="43" t="e">
        <f t="shared" si="272"/>
        <v>#VALUE!</v>
      </c>
      <c r="AO544" s="3" t="s">
        <v>54</v>
      </c>
      <c r="AT544" s="2">
        <f t="shared" si="273"/>
        <v>8</v>
      </c>
      <c r="AU544" s="45">
        <f t="shared" si="274"/>
        <v>-1.2527253160894267</v>
      </c>
      <c r="AV544" s="45">
        <f t="shared" si="275"/>
        <v>3.1173519976537809E-2</v>
      </c>
      <c r="AW544" s="45">
        <f t="shared" si="276"/>
        <v>-1.2838988360659644</v>
      </c>
      <c r="AX544" s="45" t="e">
        <f t="shared" si="277"/>
        <v>#VALUE!</v>
      </c>
      <c r="AY544" s="45" t="e">
        <f t="shared" si="278"/>
        <v>#VALUE!</v>
      </c>
      <c r="AZ544" s="45" t="e">
        <f t="shared" si="279"/>
        <v>#VALUE!</v>
      </c>
      <c r="BA544" s="45" t="e">
        <f t="shared" si="280"/>
        <v>#VALUE!</v>
      </c>
      <c r="BB544" s="45" t="e">
        <f t="shared" si="281"/>
        <v>#VALUE!</v>
      </c>
      <c r="BC544" s="45">
        <f t="shared" si="282"/>
        <v>1.0791812460476249</v>
      </c>
      <c r="BD544" s="45" t="e">
        <f t="shared" si="283"/>
        <v>#VALUE!</v>
      </c>
      <c r="BE544" s="45">
        <f t="shared" si="284"/>
        <v>2.7425917507533204</v>
      </c>
      <c r="BF544" s="45" t="e">
        <f t="shared" si="285"/>
        <v>#VALUE!</v>
      </c>
      <c r="BG544" s="45" t="e">
        <f t="shared" si="286"/>
        <v>#VALUE!</v>
      </c>
      <c r="BH544" s="45" t="e">
        <f t="shared" si="287"/>
        <v>#NUM!</v>
      </c>
      <c r="BI544" s="43">
        <f t="shared" si="288"/>
        <v>2.7425917507533204</v>
      </c>
      <c r="CA544" s="41" t="s">
        <v>22</v>
      </c>
      <c r="CC544" t="s">
        <v>22</v>
      </c>
      <c r="CE544" s="41" t="s">
        <v>22</v>
      </c>
      <c r="CF544" s="41" t="s">
        <v>22</v>
      </c>
      <c r="CG544" s="41" t="e">
        <f t="shared" si="290"/>
        <v>#VALUE!</v>
      </c>
      <c r="CH544" s="41" t="e">
        <f t="shared" si="291"/>
        <v>#VALUE!</v>
      </c>
      <c r="CI544" s="41">
        <f t="shared" si="292"/>
        <v>12</v>
      </c>
      <c r="CJ544" s="41">
        <f t="shared" si="293"/>
        <v>1.0791812460476249</v>
      </c>
      <c r="CL544" s="9" t="s">
        <v>1269</v>
      </c>
      <c r="CM544" s="18" t="s">
        <v>1285</v>
      </c>
      <c r="CN544" s="54" t="s">
        <v>1284</v>
      </c>
      <c r="CO544" s="18" t="s">
        <v>1284</v>
      </c>
    </row>
    <row r="545" spans="1:93" x14ac:dyDescent="0.25">
      <c r="A545" t="s">
        <v>141</v>
      </c>
      <c r="B545" s="41">
        <v>5.7058823529411697E-2</v>
      </c>
      <c r="C545" s="41">
        <v>1.1593023255813899</v>
      </c>
      <c r="D545" s="41">
        <f t="shared" si="294"/>
        <v>4.9218242964186851E-2</v>
      </c>
      <c r="E545" s="41" t="s">
        <v>22</v>
      </c>
      <c r="F545" t="s">
        <v>22</v>
      </c>
      <c r="G545" t="s">
        <v>22</v>
      </c>
      <c r="H545" t="s">
        <v>22</v>
      </c>
      <c r="I545" t="s">
        <v>22</v>
      </c>
      <c r="J545" s="41" t="s">
        <v>22</v>
      </c>
      <c r="K545" t="s">
        <v>22</v>
      </c>
      <c r="L545" s="41" t="e">
        <f t="shared" si="289"/>
        <v>#VALUE!</v>
      </c>
      <c r="M545" t="s">
        <v>23</v>
      </c>
      <c r="N545" s="41" t="s">
        <v>22</v>
      </c>
      <c r="O545" s="41" t="s">
        <v>22</v>
      </c>
      <c r="P545" s="41" t="s">
        <v>22</v>
      </c>
      <c r="R545" s="41" t="s">
        <v>22</v>
      </c>
      <c r="S545" s="41" t="s">
        <v>22</v>
      </c>
      <c r="T545" s="41">
        <v>12</v>
      </c>
      <c r="U545" s="41">
        <v>12</v>
      </c>
      <c r="V545">
        <v>20200507</v>
      </c>
      <c r="W545" s="21"/>
      <c r="X545">
        <v>2012</v>
      </c>
      <c r="Y545" t="s">
        <v>26</v>
      </c>
      <c r="Z545" t="s">
        <v>53</v>
      </c>
      <c r="AC545" t="s">
        <v>514</v>
      </c>
      <c r="AD545" s="41" t="s">
        <v>22</v>
      </c>
      <c r="AE545" s="41" t="s">
        <v>22</v>
      </c>
      <c r="AF545" s="41" t="s">
        <v>22</v>
      </c>
      <c r="AG545" s="41" t="s">
        <v>22</v>
      </c>
      <c r="AH545" s="41" t="s">
        <v>22</v>
      </c>
      <c r="AI545" s="41" t="s">
        <v>22</v>
      </c>
      <c r="AJ545" s="41" t="s">
        <v>22</v>
      </c>
      <c r="AK545" s="41" t="s">
        <v>22</v>
      </c>
      <c r="AL545" s="41" t="s">
        <v>22</v>
      </c>
      <c r="AM545" s="43" t="e">
        <f t="shared" si="271"/>
        <v>#VALUE!</v>
      </c>
      <c r="AN545" s="43" t="e">
        <f t="shared" si="272"/>
        <v>#VALUE!</v>
      </c>
      <c r="AO545" s="3" t="s">
        <v>54</v>
      </c>
      <c r="AT545" s="2">
        <f t="shared" si="273"/>
        <v>8</v>
      </c>
      <c r="AU545" s="45">
        <f t="shared" si="274"/>
        <v>-1.2436771871120296</v>
      </c>
      <c r="AV545" s="45">
        <f t="shared" si="275"/>
        <v>6.4196707068085959E-2</v>
      </c>
      <c r="AW545" s="45">
        <f t="shared" si="276"/>
        <v>-1.3078738941801156</v>
      </c>
      <c r="AX545" s="45" t="e">
        <f t="shared" si="277"/>
        <v>#VALUE!</v>
      </c>
      <c r="AY545" s="45" t="e">
        <f t="shared" si="278"/>
        <v>#VALUE!</v>
      </c>
      <c r="AZ545" s="45" t="e">
        <f t="shared" si="279"/>
        <v>#VALUE!</v>
      </c>
      <c r="BA545" s="45" t="e">
        <f t="shared" si="280"/>
        <v>#VALUE!</v>
      </c>
      <c r="BB545" s="45" t="e">
        <f t="shared" si="281"/>
        <v>#VALUE!</v>
      </c>
      <c r="BC545" s="45">
        <f t="shared" si="282"/>
        <v>1.0791812460476249</v>
      </c>
      <c r="BD545" s="45" t="e">
        <f t="shared" si="283"/>
        <v>#VALUE!</v>
      </c>
      <c r="BE545" s="45" t="e">
        <f t="shared" si="284"/>
        <v>#VALUE!</v>
      </c>
      <c r="BF545" s="45" t="e">
        <f t="shared" si="285"/>
        <v>#VALUE!</v>
      </c>
      <c r="BG545" s="45" t="e">
        <f t="shared" si="286"/>
        <v>#VALUE!</v>
      </c>
      <c r="BH545" s="45" t="e">
        <f t="shared" si="287"/>
        <v>#NUM!</v>
      </c>
      <c r="BI545" s="43" t="e">
        <f t="shared" si="288"/>
        <v>#VALUE!</v>
      </c>
      <c r="CA545" s="41" t="s">
        <v>22</v>
      </c>
      <c r="CC545" t="s">
        <v>22</v>
      </c>
      <c r="CE545" s="41" t="s">
        <v>22</v>
      </c>
      <c r="CF545" s="41" t="s">
        <v>22</v>
      </c>
      <c r="CG545" s="41" t="e">
        <f t="shared" si="290"/>
        <v>#VALUE!</v>
      </c>
      <c r="CH545" s="41" t="e">
        <f t="shared" si="291"/>
        <v>#VALUE!</v>
      </c>
      <c r="CI545" s="41">
        <f t="shared" si="292"/>
        <v>12</v>
      </c>
      <c r="CJ545" s="41">
        <f t="shared" si="293"/>
        <v>1.0791812460476249</v>
      </c>
      <c r="CL545" s="9" t="s">
        <v>1269</v>
      </c>
      <c r="CM545" s="18" t="s">
        <v>1285</v>
      </c>
      <c r="CN545" s="54" t="s">
        <v>1284</v>
      </c>
      <c r="CO545" s="18" t="s">
        <v>1284</v>
      </c>
    </row>
    <row r="546" spans="1:93" x14ac:dyDescent="0.25">
      <c r="A546" t="s">
        <v>141</v>
      </c>
      <c r="B546" s="41">
        <v>6.1428571428571395E-2</v>
      </c>
      <c r="C546" s="41">
        <v>1.25697674418604</v>
      </c>
      <c r="D546" s="41">
        <f t="shared" si="294"/>
        <v>4.8870093828465938E-2</v>
      </c>
      <c r="E546" s="41" t="s">
        <v>22</v>
      </c>
      <c r="F546" t="s">
        <v>22</v>
      </c>
      <c r="G546" t="s">
        <v>22</v>
      </c>
      <c r="H546" t="s">
        <v>22</v>
      </c>
      <c r="I546" t="s">
        <v>22</v>
      </c>
      <c r="J546" s="41" t="s">
        <v>22</v>
      </c>
      <c r="K546" t="s">
        <v>22</v>
      </c>
      <c r="L546" s="41" t="e">
        <f t="shared" si="289"/>
        <v>#VALUE!</v>
      </c>
      <c r="M546" t="s">
        <v>23</v>
      </c>
      <c r="N546" s="41" t="s">
        <v>22</v>
      </c>
      <c r="O546" s="41" t="s">
        <v>22</v>
      </c>
      <c r="P546" s="41" t="s">
        <v>22</v>
      </c>
      <c r="R546" s="41" t="s">
        <v>22</v>
      </c>
      <c r="S546" s="41" t="s">
        <v>22</v>
      </c>
      <c r="T546" s="41">
        <v>12</v>
      </c>
      <c r="U546" s="41">
        <v>12</v>
      </c>
      <c r="V546">
        <v>20200507</v>
      </c>
      <c r="W546" s="21"/>
      <c r="X546">
        <v>2012</v>
      </c>
      <c r="Y546" t="s">
        <v>26</v>
      </c>
      <c r="Z546" t="s">
        <v>53</v>
      </c>
      <c r="AC546" t="s">
        <v>514</v>
      </c>
      <c r="AD546" s="41" t="s">
        <v>22</v>
      </c>
      <c r="AE546" s="41" t="s">
        <v>22</v>
      </c>
      <c r="AF546" s="41">
        <v>779.24528301886699</v>
      </c>
      <c r="AG546" s="41" t="s">
        <v>22</v>
      </c>
      <c r="AH546" s="41" t="s">
        <v>22</v>
      </c>
      <c r="AI546" s="41" t="s">
        <v>22</v>
      </c>
      <c r="AJ546" s="41" t="s">
        <v>22</v>
      </c>
      <c r="AK546" s="41" t="s">
        <v>22</v>
      </c>
      <c r="AL546" s="41" t="s">
        <v>22</v>
      </c>
      <c r="AM546" s="43" t="e">
        <f t="shared" si="271"/>
        <v>#VALUE!</v>
      </c>
      <c r="AN546" s="43" t="e">
        <f t="shared" si="272"/>
        <v>#VALUE!</v>
      </c>
      <c r="AO546" s="3" t="s">
        <v>54</v>
      </c>
      <c r="AT546" s="2">
        <f t="shared" si="273"/>
        <v>8</v>
      </c>
      <c r="AU546" s="45">
        <f t="shared" si="274"/>
        <v>-1.2116295844346705</v>
      </c>
      <c r="AV546" s="45">
        <f t="shared" si="275"/>
        <v>9.9327242709740374E-2</v>
      </c>
      <c r="AW546" s="45">
        <f t="shared" si="276"/>
        <v>-1.310956827144411</v>
      </c>
      <c r="AX546" s="45" t="e">
        <f t="shared" si="277"/>
        <v>#VALUE!</v>
      </c>
      <c r="AY546" s="45" t="e">
        <f t="shared" si="278"/>
        <v>#VALUE!</v>
      </c>
      <c r="AZ546" s="45" t="e">
        <f t="shared" si="279"/>
        <v>#VALUE!</v>
      </c>
      <c r="BA546" s="45" t="e">
        <f t="shared" si="280"/>
        <v>#VALUE!</v>
      </c>
      <c r="BB546" s="45" t="e">
        <f t="shared" si="281"/>
        <v>#VALUE!</v>
      </c>
      <c r="BC546" s="45">
        <f t="shared" si="282"/>
        <v>1.0791812460476249</v>
      </c>
      <c r="BD546" s="45" t="e">
        <f t="shared" si="283"/>
        <v>#VALUE!</v>
      </c>
      <c r="BE546" s="45">
        <f t="shared" si="284"/>
        <v>2.8916741820556116</v>
      </c>
      <c r="BF546" s="45" t="e">
        <f t="shared" si="285"/>
        <v>#VALUE!</v>
      </c>
      <c r="BG546" s="45" t="e">
        <f t="shared" si="286"/>
        <v>#VALUE!</v>
      </c>
      <c r="BH546" s="45" t="e">
        <f t="shared" si="287"/>
        <v>#NUM!</v>
      </c>
      <c r="BI546" s="43">
        <f t="shared" si="288"/>
        <v>2.8916741820556116</v>
      </c>
      <c r="CA546" s="41" t="s">
        <v>22</v>
      </c>
      <c r="CC546" t="s">
        <v>22</v>
      </c>
      <c r="CE546" s="41" t="s">
        <v>22</v>
      </c>
      <c r="CF546" s="41" t="s">
        <v>22</v>
      </c>
      <c r="CG546" s="41" t="e">
        <f t="shared" si="290"/>
        <v>#VALUE!</v>
      </c>
      <c r="CH546" s="41" t="e">
        <f t="shared" si="291"/>
        <v>#VALUE!</v>
      </c>
      <c r="CI546" s="41">
        <f t="shared" si="292"/>
        <v>12</v>
      </c>
      <c r="CJ546" s="41">
        <f t="shared" si="293"/>
        <v>1.0791812460476249</v>
      </c>
      <c r="CL546" s="9" t="s">
        <v>1269</v>
      </c>
      <c r="CM546" s="18" t="s">
        <v>1285</v>
      </c>
      <c r="CN546" s="54" t="s">
        <v>1284</v>
      </c>
      <c r="CO546" s="18" t="s">
        <v>1284</v>
      </c>
    </row>
    <row r="547" spans="1:93" x14ac:dyDescent="0.25">
      <c r="A547" t="s">
        <v>141</v>
      </c>
      <c r="B547" s="41">
        <v>5.8571428571428497E-2</v>
      </c>
      <c r="C547" s="41">
        <v>1.2790697674418601</v>
      </c>
      <c r="D547" s="41">
        <f t="shared" si="294"/>
        <v>4.5792207792207745E-2</v>
      </c>
      <c r="E547" s="41" t="s">
        <v>22</v>
      </c>
      <c r="F547" t="s">
        <v>22</v>
      </c>
      <c r="G547" t="s">
        <v>22</v>
      </c>
      <c r="H547" t="s">
        <v>22</v>
      </c>
      <c r="I547" t="s">
        <v>22</v>
      </c>
      <c r="J547" s="41" t="s">
        <v>22</v>
      </c>
      <c r="K547" t="s">
        <v>22</v>
      </c>
      <c r="L547" s="41" t="e">
        <f t="shared" si="289"/>
        <v>#VALUE!</v>
      </c>
      <c r="M547" t="s">
        <v>23</v>
      </c>
      <c r="N547" s="41" t="s">
        <v>22</v>
      </c>
      <c r="O547" s="41" t="s">
        <v>22</v>
      </c>
      <c r="P547" s="41">
        <v>2.19</v>
      </c>
      <c r="R547" s="41" t="s">
        <v>22</v>
      </c>
      <c r="S547" s="41" t="s">
        <v>22</v>
      </c>
      <c r="T547" s="41">
        <v>12</v>
      </c>
      <c r="U547" s="41">
        <v>12</v>
      </c>
      <c r="V547">
        <v>20200507</v>
      </c>
      <c r="W547" s="21"/>
      <c r="X547">
        <v>2012</v>
      </c>
      <c r="Y547" t="s">
        <v>26</v>
      </c>
      <c r="Z547" t="s">
        <v>53</v>
      </c>
      <c r="AC547" t="s">
        <v>514</v>
      </c>
      <c r="AD547" s="41" t="s">
        <v>22</v>
      </c>
      <c r="AE547" s="41" t="s">
        <v>22</v>
      </c>
      <c r="AF547" s="41">
        <v>794.33962264150898</v>
      </c>
      <c r="AG547" s="41" t="s">
        <v>22</v>
      </c>
      <c r="AH547" s="41" t="s">
        <v>22</v>
      </c>
      <c r="AI547" s="41" t="s">
        <v>22</v>
      </c>
      <c r="AJ547" s="41" t="s">
        <v>22</v>
      </c>
      <c r="AK547" s="41" t="s">
        <v>22</v>
      </c>
      <c r="AL547" s="41" t="s">
        <v>22</v>
      </c>
      <c r="AM547" s="43" t="e">
        <f t="shared" si="271"/>
        <v>#VALUE!</v>
      </c>
      <c r="AN547" s="43" t="e">
        <f t="shared" si="272"/>
        <v>#VALUE!</v>
      </c>
      <c r="AO547" s="3" t="s">
        <v>54</v>
      </c>
      <c r="AT547" s="2">
        <f t="shared" si="273"/>
        <v>8</v>
      </c>
      <c r="AU547" s="45">
        <f t="shared" si="274"/>
        <v>-1.2323141832945219</v>
      </c>
      <c r="AV547" s="45">
        <f t="shared" si="275"/>
        <v>0.10689423391465719</v>
      </c>
      <c r="AW547" s="45">
        <f t="shared" si="276"/>
        <v>-1.3392084172091792</v>
      </c>
      <c r="AX547" s="45" t="e">
        <f t="shared" si="277"/>
        <v>#VALUE!</v>
      </c>
      <c r="AY547" s="45" t="e">
        <f t="shared" si="278"/>
        <v>#VALUE!</v>
      </c>
      <c r="AZ547" s="45">
        <f t="shared" si="279"/>
        <v>0.34044411484011833</v>
      </c>
      <c r="BA547" s="45" t="e">
        <f t="shared" si="280"/>
        <v>#VALUE!</v>
      </c>
      <c r="BB547" s="45" t="e">
        <f t="shared" si="281"/>
        <v>#VALUE!</v>
      </c>
      <c r="BC547" s="45">
        <f t="shared" si="282"/>
        <v>1.0791812460476249</v>
      </c>
      <c r="BD547" s="45" t="e">
        <f t="shared" si="283"/>
        <v>#VALUE!</v>
      </c>
      <c r="BE547" s="45">
        <f t="shared" si="284"/>
        <v>2.9000062262348791</v>
      </c>
      <c r="BF547" s="45" t="e">
        <f t="shared" si="285"/>
        <v>#VALUE!</v>
      </c>
      <c r="BG547" s="45" t="e">
        <f t="shared" si="286"/>
        <v>#VALUE!</v>
      </c>
      <c r="BH547" s="45" t="e">
        <f t="shared" si="287"/>
        <v>#NUM!</v>
      </c>
      <c r="BI547" s="43">
        <f t="shared" si="288"/>
        <v>2.9000062262348791</v>
      </c>
      <c r="CA547" s="41" t="s">
        <v>22</v>
      </c>
      <c r="CC547" t="s">
        <v>22</v>
      </c>
      <c r="CE547" s="41" t="s">
        <v>22</v>
      </c>
      <c r="CF547" s="41" t="s">
        <v>22</v>
      </c>
      <c r="CG547" s="41" t="e">
        <f t="shared" si="290"/>
        <v>#VALUE!</v>
      </c>
      <c r="CH547" s="41" t="e">
        <f t="shared" si="291"/>
        <v>#VALUE!</v>
      </c>
      <c r="CI547" s="41">
        <f t="shared" si="292"/>
        <v>12</v>
      </c>
      <c r="CJ547" s="41">
        <f t="shared" si="293"/>
        <v>1.0791812460476249</v>
      </c>
      <c r="CL547" s="9" t="s">
        <v>1269</v>
      </c>
      <c r="CM547" s="18" t="s">
        <v>1285</v>
      </c>
      <c r="CN547" s="54" t="s">
        <v>1284</v>
      </c>
      <c r="CO547" s="18" t="s">
        <v>1284</v>
      </c>
    </row>
    <row r="548" spans="1:93" x14ac:dyDescent="0.25">
      <c r="A548" t="s">
        <v>141</v>
      </c>
      <c r="B548" s="41">
        <v>6.3949579831932696E-2</v>
      </c>
      <c r="C548" s="41">
        <v>1.38720930232558</v>
      </c>
      <c r="D548" s="41">
        <f t="shared" si="294"/>
        <v>4.6099445645819088E-2</v>
      </c>
      <c r="E548" s="41" t="s">
        <v>22</v>
      </c>
      <c r="F548" t="s">
        <v>22</v>
      </c>
      <c r="G548" t="s">
        <v>22</v>
      </c>
      <c r="H548" t="s">
        <v>22</v>
      </c>
      <c r="I548" t="s">
        <v>22</v>
      </c>
      <c r="J548" s="41" t="s">
        <v>22</v>
      </c>
      <c r="K548" t="s">
        <v>22</v>
      </c>
      <c r="L548" s="41" t="e">
        <f t="shared" si="289"/>
        <v>#VALUE!</v>
      </c>
      <c r="M548" t="s">
        <v>23</v>
      </c>
      <c r="N548" s="41" t="s">
        <v>22</v>
      </c>
      <c r="O548" s="41" t="s">
        <v>22</v>
      </c>
      <c r="P548" s="41" t="s">
        <v>22</v>
      </c>
      <c r="R548" s="41" t="s">
        <v>22</v>
      </c>
      <c r="S548" s="41" t="s">
        <v>22</v>
      </c>
      <c r="T548" s="41">
        <v>12</v>
      </c>
      <c r="U548" s="41">
        <v>12</v>
      </c>
      <c r="V548">
        <v>20200507</v>
      </c>
      <c r="W548" s="21"/>
      <c r="X548">
        <v>2012</v>
      </c>
      <c r="Y548" t="s">
        <v>26</v>
      </c>
      <c r="Z548" t="s">
        <v>53</v>
      </c>
      <c r="AC548" t="s">
        <v>514</v>
      </c>
      <c r="AD548" s="41" t="s">
        <v>22</v>
      </c>
      <c r="AE548" s="41" t="s">
        <v>22</v>
      </c>
      <c r="AF548" s="41">
        <v>766.03773584905605</v>
      </c>
      <c r="AG548" s="41" t="s">
        <v>22</v>
      </c>
      <c r="AH548" s="41" t="s">
        <v>22</v>
      </c>
      <c r="AI548" s="41" t="s">
        <v>22</v>
      </c>
      <c r="AJ548" s="41" t="s">
        <v>22</v>
      </c>
      <c r="AK548" s="41" t="s">
        <v>22</v>
      </c>
      <c r="AL548" s="41" t="s">
        <v>22</v>
      </c>
      <c r="AM548" s="43" t="e">
        <f t="shared" si="271"/>
        <v>#VALUE!</v>
      </c>
      <c r="AN548" s="43" t="e">
        <f t="shared" si="272"/>
        <v>#VALUE!</v>
      </c>
      <c r="AO548" s="3" t="s">
        <v>54</v>
      </c>
      <c r="AT548" s="2">
        <f t="shared" si="273"/>
        <v>8</v>
      </c>
      <c r="AU548" s="45">
        <f t="shared" si="274"/>
        <v>-1.1941623046219585</v>
      </c>
      <c r="AV548" s="45">
        <f t="shared" si="275"/>
        <v>0.14214199242677372</v>
      </c>
      <c r="AW548" s="45">
        <f t="shared" si="276"/>
        <v>-1.3363042970487322</v>
      </c>
      <c r="AX548" s="45" t="e">
        <f t="shared" si="277"/>
        <v>#VALUE!</v>
      </c>
      <c r="AY548" s="45" t="e">
        <f t="shared" si="278"/>
        <v>#VALUE!</v>
      </c>
      <c r="AZ548" s="45" t="e">
        <f t="shared" si="279"/>
        <v>#VALUE!</v>
      </c>
      <c r="BA548" s="45" t="e">
        <f t="shared" si="280"/>
        <v>#VALUE!</v>
      </c>
      <c r="BB548" s="45" t="e">
        <f t="shared" si="281"/>
        <v>#VALUE!</v>
      </c>
      <c r="BC548" s="45">
        <f t="shared" si="282"/>
        <v>1.0791812460476249</v>
      </c>
      <c r="BD548" s="45" t="e">
        <f t="shared" si="283"/>
        <v>#VALUE!</v>
      </c>
      <c r="BE548" s="45">
        <f t="shared" si="284"/>
        <v>2.8842501639764047</v>
      </c>
      <c r="BF548" s="45" t="e">
        <f t="shared" si="285"/>
        <v>#VALUE!</v>
      </c>
      <c r="BG548" s="45" t="e">
        <f t="shared" si="286"/>
        <v>#VALUE!</v>
      </c>
      <c r="BH548" s="45" t="e">
        <f t="shared" si="287"/>
        <v>#NUM!</v>
      </c>
      <c r="BI548" s="43">
        <f t="shared" si="288"/>
        <v>2.8842501639764047</v>
      </c>
      <c r="CA548" s="41" t="s">
        <v>22</v>
      </c>
      <c r="CC548" t="s">
        <v>22</v>
      </c>
      <c r="CE548" s="41" t="s">
        <v>22</v>
      </c>
      <c r="CF548" s="41" t="s">
        <v>22</v>
      </c>
      <c r="CG548" s="41" t="e">
        <f t="shared" si="290"/>
        <v>#VALUE!</v>
      </c>
      <c r="CH548" s="41" t="e">
        <f t="shared" si="291"/>
        <v>#VALUE!</v>
      </c>
      <c r="CI548" s="41">
        <f t="shared" si="292"/>
        <v>12</v>
      </c>
      <c r="CJ548" s="41">
        <f t="shared" si="293"/>
        <v>1.0791812460476249</v>
      </c>
      <c r="CL548" s="9" t="s">
        <v>1269</v>
      </c>
      <c r="CM548" s="18" t="s">
        <v>1285</v>
      </c>
      <c r="CN548" s="54" t="s">
        <v>1284</v>
      </c>
      <c r="CO548" s="18" t="s">
        <v>1284</v>
      </c>
    </row>
    <row r="549" spans="1:93" x14ac:dyDescent="0.25">
      <c r="A549" t="s">
        <v>141</v>
      </c>
      <c r="B549" s="41">
        <v>0.06</v>
      </c>
      <c r="C549" s="41" t="s">
        <v>22</v>
      </c>
      <c r="D549" s="41" t="s">
        <v>22</v>
      </c>
      <c r="E549" s="41">
        <v>12.3</v>
      </c>
      <c r="F549" t="s">
        <v>22</v>
      </c>
      <c r="G549" t="s">
        <v>22</v>
      </c>
      <c r="H549">
        <v>34</v>
      </c>
      <c r="I549" t="s">
        <v>82</v>
      </c>
      <c r="J549" s="41" t="s">
        <v>22</v>
      </c>
      <c r="K549" t="s">
        <v>22</v>
      </c>
      <c r="L549" s="41" t="e">
        <f t="shared" si="289"/>
        <v>#VALUE!</v>
      </c>
      <c r="M549" t="s">
        <v>23</v>
      </c>
      <c r="N549" s="41" t="s">
        <v>22</v>
      </c>
      <c r="O549" s="41" t="s">
        <v>22</v>
      </c>
      <c r="P549" s="41" t="s">
        <v>22</v>
      </c>
      <c r="R549" s="41" t="s">
        <v>22</v>
      </c>
      <c r="S549" s="41" t="s">
        <v>22</v>
      </c>
      <c r="T549" s="41" t="s">
        <v>83</v>
      </c>
      <c r="U549" s="41">
        <v>5.5</v>
      </c>
      <c r="V549">
        <v>20200507</v>
      </c>
      <c r="W549" s="21" t="s">
        <v>84</v>
      </c>
      <c r="X549">
        <v>2012</v>
      </c>
      <c r="Y549" t="s">
        <v>76</v>
      </c>
      <c r="Z549" t="s">
        <v>85</v>
      </c>
      <c r="AC549" t="s">
        <v>514</v>
      </c>
      <c r="AD549" s="41" t="s">
        <v>22</v>
      </c>
      <c r="AE549" s="41" t="s">
        <v>22</v>
      </c>
      <c r="AF549" s="41" t="s">
        <v>22</v>
      </c>
      <c r="AG549" s="41" t="s">
        <v>22</v>
      </c>
      <c r="AH549" s="41" t="s">
        <v>22</v>
      </c>
      <c r="AI549" s="41" t="s">
        <v>22</v>
      </c>
      <c r="AJ549" s="41" t="s">
        <v>22</v>
      </c>
      <c r="AK549" s="41" t="s">
        <v>22</v>
      </c>
      <c r="AL549" s="41" t="s">
        <v>22</v>
      </c>
      <c r="AM549" s="43" t="e">
        <f t="shared" si="271"/>
        <v>#VALUE!</v>
      </c>
      <c r="AN549" s="43" t="e">
        <f t="shared" si="272"/>
        <v>#VALUE!</v>
      </c>
      <c r="AO549" s="3" t="s">
        <v>86</v>
      </c>
      <c r="AT549" s="2">
        <f t="shared" si="273"/>
        <v>3</v>
      </c>
      <c r="AU549" s="45">
        <f t="shared" si="274"/>
        <v>-1.2218487496163564</v>
      </c>
      <c r="AV549" s="45" t="e">
        <f t="shared" si="275"/>
        <v>#VALUE!</v>
      </c>
      <c r="AW549" s="45" t="e">
        <f t="shared" si="276"/>
        <v>#VALUE!</v>
      </c>
      <c r="AX549" s="45" t="e">
        <f t="shared" si="277"/>
        <v>#VALUE!</v>
      </c>
      <c r="AY549" s="45" t="e">
        <f t="shared" si="278"/>
        <v>#VALUE!</v>
      </c>
      <c r="AZ549" s="45" t="e">
        <f t="shared" si="279"/>
        <v>#VALUE!</v>
      </c>
      <c r="BA549" s="45" t="e">
        <f t="shared" si="280"/>
        <v>#VALUE!</v>
      </c>
      <c r="BB549" s="45" t="e">
        <f t="shared" si="281"/>
        <v>#VALUE!</v>
      </c>
      <c r="BC549" s="45">
        <f t="shared" si="282"/>
        <v>0.74036268949424389</v>
      </c>
      <c r="BD549" s="45" t="e">
        <f t="shared" si="283"/>
        <v>#VALUE!</v>
      </c>
      <c r="BE549" s="45" t="e">
        <f t="shared" si="284"/>
        <v>#VALUE!</v>
      </c>
      <c r="BF549" s="45" t="e">
        <f t="shared" si="285"/>
        <v>#VALUE!</v>
      </c>
      <c r="BG549" s="45" t="e">
        <f t="shared" si="286"/>
        <v>#VALUE!</v>
      </c>
      <c r="BH549" s="45" t="e">
        <f t="shared" si="287"/>
        <v>#NUM!</v>
      </c>
      <c r="BI549" s="43" t="e">
        <f t="shared" si="288"/>
        <v>#VALUE!</v>
      </c>
      <c r="CA549" s="41" t="s">
        <v>22</v>
      </c>
      <c r="CC549" t="s">
        <v>22</v>
      </c>
      <c r="CE549" s="41" t="s">
        <v>22</v>
      </c>
      <c r="CF549" s="41" t="s">
        <v>22</v>
      </c>
      <c r="CG549" s="41" t="e">
        <f t="shared" si="290"/>
        <v>#VALUE!</v>
      </c>
      <c r="CH549" s="41" t="e">
        <f t="shared" si="291"/>
        <v>#VALUE!</v>
      </c>
      <c r="CI549" s="41">
        <f t="shared" si="292"/>
        <v>5.5</v>
      </c>
      <c r="CJ549" s="41">
        <f t="shared" si="293"/>
        <v>0.74036268949424389</v>
      </c>
      <c r="CL549" s="9" t="s">
        <v>1269</v>
      </c>
      <c r="CM549" s="18" t="s">
        <v>1285</v>
      </c>
      <c r="CN549" s="54" t="s">
        <v>1284</v>
      </c>
      <c r="CO549" s="18" t="s">
        <v>1284</v>
      </c>
    </row>
    <row r="550" spans="1:93" x14ac:dyDescent="0.25">
      <c r="A550" t="s">
        <v>141</v>
      </c>
      <c r="B550" s="41">
        <f>(1*10^-6)*(2*10^-5)^-1</f>
        <v>4.9999999999999989E-2</v>
      </c>
      <c r="C550" s="41" t="s">
        <v>22</v>
      </c>
      <c r="D550" s="41" t="s">
        <v>22</v>
      </c>
      <c r="E550" s="41">
        <v>3.9</v>
      </c>
      <c r="F550" t="s">
        <v>22</v>
      </c>
      <c r="G550" t="s">
        <v>22</v>
      </c>
      <c r="H550">
        <v>39.630000000000003</v>
      </c>
      <c r="I550" t="s">
        <v>82</v>
      </c>
      <c r="J550" s="41" t="s">
        <v>22</v>
      </c>
      <c r="K550" t="s">
        <v>22</v>
      </c>
      <c r="L550" s="41" t="e">
        <f t="shared" si="289"/>
        <v>#VALUE!</v>
      </c>
      <c r="M550" t="s">
        <v>23</v>
      </c>
      <c r="N550" s="41" t="s">
        <v>22</v>
      </c>
      <c r="O550" s="41" t="s">
        <v>22</v>
      </c>
      <c r="P550" s="41" t="s">
        <v>22</v>
      </c>
      <c r="R550" s="41" t="s">
        <v>22</v>
      </c>
      <c r="S550" s="41" t="s">
        <v>22</v>
      </c>
      <c r="T550" s="41" t="s">
        <v>83</v>
      </c>
      <c r="U550" s="41">
        <v>5.5</v>
      </c>
      <c r="V550">
        <v>20200507</v>
      </c>
      <c r="W550" s="21" t="s">
        <v>87</v>
      </c>
      <c r="X550">
        <v>2012</v>
      </c>
      <c r="Y550" t="s">
        <v>76</v>
      </c>
      <c r="Z550" t="s">
        <v>85</v>
      </c>
      <c r="AC550" t="s">
        <v>514</v>
      </c>
      <c r="AD550" s="41" t="s">
        <v>22</v>
      </c>
      <c r="AE550" s="41" t="s">
        <v>22</v>
      </c>
      <c r="AF550" s="41" t="s">
        <v>22</v>
      </c>
      <c r="AG550" s="41" t="s">
        <v>22</v>
      </c>
      <c r="AH550" s="41" t="s">
        <v>22</v>
      </c>
      <c r="AI550" s="41" t="s">
        <v>22</v>
      </c>
      <c r="AJ550" s="41" t="s">
        <v>22</v>
      </c>
      <c r="AK550" s="41" t="s">
        <v>22</v>
      </c>
      <c r="AL550" s="41" t="s">
        <v>22</v>
      </c>
      <c r="AM550" s="43" t="e">
        <f t="shared" si="271"/>
        <v>#VALUE!</v>
      </c>
      <c r="AN550" s="43" t="e">
        <f t="shared" si="272"/>
        <v>#VALUE!</v>
      </c>
      <c r="AO550" s="3" t="s">
        <v>86</v>
      </c>
      <c r="AT550" s="2">
        <f t="shared" si="273"/>
        <v>3</v>
      </c>
      <c r="AU550" s="45">
        <f t="shared" si="274"/>
        <v>-1.3010299956639813</v>
      </c>
      <c r="AV550" s="45" t="e">
        <f t="shared" si="275"/>
        <v>#VALUE!</v>
      </c>
      <c r="AW550" s="45" t="e">
        <f t="shared" si="276"/>
        <v>#VALUE!</v>
      </c>
      <c r="AX550" s="45" t="e">
        <f t="shared" si="277"/>
        <v>#VALUE!</v>
      </c>
      <c r="AY550" s="45" t="e">
        <f t="shared" si="278"/>
        <v>#VALUE!</v>
      </c>
      <c r="AZ550" s="45" t="e">
        <f t="shared" si="279"/>
        <v>#VALUE!</v>
      </c>
      <c r="BA550" s="45" t="e">
        <f t="shared" si="280"/>
        <v>#VALUE!</v>
      </c>
      <c r="BB550" s="45" t="e">
        <f t="shared" si="281"/>
        <v>#VALUE!</v>
      </c>
      <c r="BC550" s="45">
        <f t="shared" si="282"/>
        <v>0.74036268949424389</v>
      </c>
      <c r="BD550" s="45" t="e">
        <f t="shared" si="283"/>
        <v>#VALUE!</v>
      </c>
      <c r="BE550" s="45" t="e">
        <f t="shared" si="284"/>
        <v>#VALUE!</v>
      </c>
      <c r="BF550" s="45" t="e">
        <f t="shared" si="285"/>
        <v>#VALUE!</v>
      </c>
      <c r="BG550" s="45" t="e">
        <f t="shared" si="286"/>
        <v>#VALUE!</v>
      </c>
      <c r="BH550" s="45" t="e">
        <f t="shared" si="287"/>
        <v>#NUM!</v>
      </c>
      <c r="BI550" s="43" t="e">
        <f t="shared" si="288"/>
        <v>#VALUE!</v>
      </c>
      <c r="CA550" s="41" t="s">
        <v>22</v>
      </c>
      <c r="CC550" t="s">
        <v>22</v>
      </c>
      <c r="CE550" s="41" t="s">
        <v>22</v>
      </c>
      <c r="CF550" s="41" t="s">
        <v>22</v>
      </c>
      <c r="CG550" s="41" t="e">
        <f t="shared" si="290"/>
        <v>#VALUE!</v>
      </c>
      <c r="CH550" s="41" t="e">
        <f t="shared" si="291"/>
        <v>#VALUE!</v>
      </c>
      <c r="CI550" s="41">
        <f t="shared" si="292"/>
        <v>5.5</v>
      </c>
      <c r="CJ550" s="41">
        <f t="shared" si="293"/>
        <v>0.74036268949424389</v>
      </c>
      <c r="CL550" s="9" t="s">
        <v>1269</v>
      </c>
      <c r="CM550" s="18" t="s">
        <v>1285</v>
      </c>
      <c r="CN550" s="54" t="s">
        <v>1284</v>
      </c>
      <c r="CO550" s="18" t="s">
        <v>1284</v>
      </c>
    </row>
    <row r="551" spans="1:93" x14ac:dyDescent="0.25">
      <c r="A551" t="s">
        <v>141</v>
      </c>
      <c r="B551" s="41">
        <v>0.04</v>
      </c>
      <c r="C551" s="41" t="s">
        <v>22</v>
      </c>
      <c r="D551" s="41" t="s">
        <v>22</v>
      </c>
      <c r="E551" s="41">
        <v>1.04</v>
      </c>
      <c r="F551" t="s">
        <v>22</v>
      </c>
      <c r="G551" t="s">
        <v>22</v>
      </c>
      <c r="H551" t="s">
        <v>22</v>
      </c>
      <c r="I551" t="s">
        <v>22</v>
      </c>
      <c r="J551" s="41" t="s">
        <v>22</v>
      </c>
      <c r="K551" t="s">
        <v>22</v>
      </c>
      <c r="L551" s="41" t="e">
        <f t="shared" si="289"/>
        <v>#VALUE!</v>
      </c>
      <c r="M551" t="s">
        <v>23</v>
      </c>
      <c r="N551" s="41" t="s">
        <v>22</v>
      </c>
      <c r="O551" s="41" t="s">
        <v>22</v>
      </c>
      <c r="P551" s="41" t="s">
        <v>22</v>
      </c>
      <c r="R551" s="41" t="s">
        <v>22</v>
      </c>
      <c r="S551" s="41" t="s">
        <v>22</v>
      </c>
      <c r="T551" s="41" t="s">
        <v>83</v>
      </c>
      <c r="U551" s="41">
        <v>5.5</v>
      </c>
      <c r="V551">
        <v>20200512</v>
      </c>
      <c r="W551" s="21" t="s">
        <v>341</v>
      </c>
      <c r="X551">
        <v>2012</v>
      </c>
      <c r="Y551" t="s">
        <v>452</v>
      </c>
      <c r="Z551" t="s">
        <v>32</v>
      </c>
      <c r="AC551" t="s">
        <v>269</v>
      </c>
      <c r="AD551" s="41" t="s">
        <v>22</v>
      </c>
      <c r="AE551" s="41" t="s">
        <v>22</v>
      </c>
      <c r="AF551" s="41" t="s">
        <v>22</v>
      </c>
      <c r="AG551" s="41" t="s">
        <v>22</v>
      </c>
      <c r="AH551" s="41" t="s">
        <v>22</v>
      </c>
      <c r="AI551" s="41" t="s">
        <v>22</v>
      </c>
      <c r="AJ551" s="41" t="s">
        <v>22</v>
      </c>
      <c r="AK551" s="41" t="s">
        <v>22</v>
      </c>
      <c r="AL551" s="41" t="s">
        <v>22</v>
      </c>
      <c r="AM551" s="43" t="e">
        <f t="shared" si="271"/>
        <v>#VALUE!</v>
      </c>
      <c r="AN551" s="43" t="e">
        <f t="shared" si="272"/>
        <v>#VALUE!</v>
      </c>
      <c r="AO551" s="3" t="s">
        <v>86</v>
      </c>
      <c r="AT551" s="2">
        <f t="shared" si="273"/>
        <v>3</v>
      </c>
      <c r="AU551" s="45">
        <f t="shared" si="274"/>
        <v>-1.3979400086720375</v>
      </c>
      <c r="AV551" s="45" t="e">
        <f t="shared" si="275"/>
        <v>#VALUE!</v>
      </c>
      <c r="AW551" s="45" t="e">
        <f t="shared" si="276"/>
        <v>#VALUE!</v>
      </c>
      <c r="AX551" s="45" t="e">
        <f t="shared" si="277"/>
        <v>#VALUE!</v>
      </c>
      <c r="AY551" s="45" t="e">
        <f t="shared" si="278"/>
        <v>#VALUE!</v>
      </c>
      <c r="AZ551" s="45" t="e">
        <f t="shared" si="279"/>
        <v>#VALUE!</v>
      </c>
      <c r="BA551" s="45" t="e">
        <f t="shared" si="280"/>
        <v>#VALUE!</v>
      </c>
      <c r="BB551" s="45" t="e">
        <f t="shared" si="281"/>
        <v>#VALUE!</v>
      </c>
      <c r="BC551" s="45">
        <f t="shared" si="282"/>
        <v>0.74036268949424389</v>
      </c>
      <c r="BD551" s="45" t="e">
        <f t="shared" si="283"/>
        <v>#VALUE!</v>
      </c>
      <c r="BE551" s="45" t="e">
        <f t="shared" si="284"/>
        <v>#VALUE!</v>
      </c>
      <c r="BF551" s="45" t="e">
        <f t="shared" si="285"/>
        <v>#VALUE!</v>
      </c>
      <c r="BG551" s="45" t="e">
        <f t="shared" si="286"/>
        <v>#VALUE!</v>
      </c>
      <c r="BH551" s="45" t="e">
        <f t="shared" si="287"/>
        <v>#NUM!</v>
      </c>
      <c r="BI551" s="43" t="e">
        <f t="shared" si="288"/>
        <v>#VALUE!</v>
      </c>
      <c r="CA551" s="41" t="s">
        <v>22</v>
      </c>
      <c r="CC551" t="s">
        <v>22</v>
      </c>
      <c r="CE551" s="41" t="s">
        <v>22</v>
      </c>
      <c r="CF551" s="41" t="s">
        <v>22</v>
      </c>
      <c r="CG551" s="41" t="e">
        <f t="shared" si="290"/>
        <v>#VALUE!</v>
      </c>
      <c r="CH551" s="41" t="e">
        <f t="shared" si="291"/>
        <v>#VALUE!</v>
      </c>
      <c r="CI551" s="41">
        <f t="shared" si="292"/>
        <v>5.5</v>
      </c>
      <c r="CJ551" s="41">
        <f t="shared" si="293"/>
        <v>0.74036268949424389</v>
      </c>
      <c r="CL551" s="9" t="s">
        <v>1269</v>
      </c>
      <c r="CM551" s="18" t="s">
        <v>1285</v>
      </c>
      <c r="CN551" s="54" t="s">
        <v>1284</v>
      </c>
      <c r="CO551" s="18" t="s">
        <v>1284</v>
      </c>
    </row>
    <row r="552" spans="1:93" x14ac:dyDescent="0.25">
      <c r="A552" t="s">
        <v>141</v>
      </c>
      <c r="B552" s="41">
        <f>2000*10^-6</f>
        <v>2E-3</v>
      </c>
      <c r="C552" s="41">
        <v>3.9E-2</v>
      </c>
      <c r="D552" s="41">
        <f t="shared" ref="D552:D564" si="295">0.001*(B552*10^6)/(C552*0.001*100^3)</f>
        <v>5.128205128205128E-2</v>
      </c>
      <c r="E552" s="41" t="s">
        <v>22</v>
      </c>
      <c r="F552" t="s">
        <v>22</v>
      </c>
      <c r="G552" t="s">
        <v>22</v>
      </c>
      <c r="H552" t="s">
        <v>22</v>
      </c>
      <c r="I552" t="s">
        <v>22</v>
      </c>
      <c r="J552" s="41">
        <v>1.26</v>
      </c>
      <c r="K552">
        <v>632.79999999999995</v>
      </c>
      <c r="L552" s="41">
        <f t="shared" si="289"/>
        <v>0.20203956606519705</v>
      </c>
      <c r="M552" t="s">
        <v>23</v>
      </c>
      <c r="N552" s="41">
        <v>7.9</v>
      </c>
      <c r="O552" s="41">
        <v>0.20300000000000001</v>
      </c>
      <c r="P552" s="41">
        <v>0.69</v>
      </c>
      <c r="R552" s="41">
        <f>N552*B552</f>
        <v>1.5800000000000002E-2</v>
      </c>
      <c r="S552" s="41">
        <f>O552*D552</f>
        <v>1.041025641025641E-2</v>
      </c>
      <c r="T552" s="41">
        <v>20</v>
      </c>
      <c r="U552" s="41">
        <v>20</v>
      </c>
      <c r="V552">
        <v>20200507</v>
      </c>
      <c r="W552" s="21" t="s">
        <v>35</v>
      </c>
      <c r="X552">
        <v>2012</v>
      </c>
      <c r="Y552" t="s">
        <v>26</v>
      </c>
      <c r="Z552" t="s">
        <v>32</v>
      </c>
      <c r="AC552" t="s">
        <v>514</v>
      </c>
      <c r="AD552" s="41" t="s">
        <v>22</v>
      </c>
      <c r="AE552" s="41">
        <v>1581</v>
      </c>
      <c r="AF552" s="41">
        <v>2.54</v>
      </c>
      <c r="AG552" s="41" t="s">
        <v>22</v>
      </c>
      <c r="AH552" s="41">
        <v>9.7087378640776698E-2</v>
      </c>
      <c r="AI552" s="41">
        <v>9.7087378640776698E-2</v>
      </c>
      <c r="AJ552" s="41">
        <v>7.6546233925290877E-2</v>
      </c>
      <c r="AK552" s="41">
        <v>5.9276822762299938E-2</v>
      </c>
      <c r="AL552" s="41">
        <v>4.7908781679681885E-2</v>
      </c>
      <c r="AM552" s="43">
        <f t="shared" si="271"/>
        <v>0.49346045130072341</v>
      </c>
      <c r="AN552" s="43">
        <f t="shared" si="272"/>
        <v>0.62588032386336412</v>
      </c>
      <c r="AO552" s="3" t="s">
        <v>36</v>
      </c>
      <c r="AT552" s="2">
        <f t="shared" si="273"/>
        <v>1</v>
      </c>
      <c r="AU552" s="45">
        <f t="shared" si="274"/>
        <v>-2.6989700043360187</v>
      </c>
      <c r="AV552" s="45">
        <f t="shared" si="275"/>
        <v>-1.4089353929735009</v>
      </c>
      <c r="AW552" s="45">
        <f t="shared" si="276"/>
        <v>-1.2900346113625181</v>
      </c>
      <c r="AX552" s="45">
        <f t="shared" si="277"/>
        <v>0.89762709129044149</v>
      </c>
      <c r="AY552" s="45">
        <f t="shared" si="278"/>
        <v>-0.69250396208678711</v>
      </c>
      <c r="AZ552" s="45">
        <f t="shared" si="279"/>
        <v>-0.16115090926274472</v>
      </c>
      <c r="BA552" s="45">
        <f t="shared" si="280"/>
        <v>0.10037054511756291</v>
      </c>
      <c r="BB552" s="45">
        <f t="shared" si="281"/>
        <v>-0.69456357292395654</v>
      </c>
      <c r="BC552" s="45">
        <f t="shared" si="282"/>
        <v>1.3010299956639813</v>
      </c>
      <c r="BD552" s="45" t="e">
        <f t="shared" si="283"/>
        <v>#VALUE!</v>
      </c>
      <c r="BE552" s="45">
        <f t="shared" si="284"/>
        <v>0.40483371661993806</v>
      </c>
      <c r="BF552" s="45">
        <f t="shared" si="285"/>
        <v>-0.30674764840493379</v>
      </c>
      <c r="BG552" s="45">
        <f t="shared" si="286"/>
        <v>-0.20350870138149424</v>
      </c>
      <c r="BH552" s="45" t="e">
        <f t="shared" si="287"/>
        <v>#NUM!</v>
      </c>
      <c r="BI552" s="43">
        <f t="shared" si="288"/>
        <v>0.40483371661993806</v>
      </c>
      <c r="CA552" s="41" t="s">
        <v>22</v>
      </c>
      <c r="CC552" t="s">
        <v>22</v>
      </c>
      <c r="CE552" s="41" t="s">
        <v>22</v>
      </c>
      <c r="CF552" s="41" t="s">
        <v>22</v>
      </c>
      <c r="CG552" s="41" t="e">
        <f t="shared" si="290"/>
        <v>#VALUE!</v>
      </c>
      <c r="CH552" s="41" t="e">
        <f t="shared" si="291"/>
        <v>#VALUE!</v>
      </c>
      <c r="CI552" s="41">
        <f t="shared" si="292"/>
        <v>20</v>
      </c>
      <c r="CJ552" s="41">
        <f t="shared" si="293"/>
        <v>1.3010299956639813</v>
      </c>
      <c r="CL552" s="9" t="s">
        <v>1269</v>
      </c>
      <c r="CM552" s="18" t="s">
        <v>1285</v>
      </c>
      <c r="CN552" s="54" t="s">
        <v>1284</v>
      </c>
      <c r="CO552" s="18" t="s">
        <v>1284</v>
      </c>
    </row>
    <row r="553" spans="1:93" x14ac:dyDescent="0.25">
      <c r="A553" t="s">
        <v>141</v>
      </c>
      <c r="B553" s="41">
        <v>3.9854368932038801E-2</v>
      </c>
      <c r="C553" s="41">
        <v>0.9</v>
      </c>
      <c r="D553" s="41">
        <f t="shared" si="295"/>
        <v>4.4282632146709772E-2</v>
      </c>
      <c r="E553" s="41" t="s">
        <v>22</v>
      </c>
      <c r="F553" t="s">
        <v>22</v>
      </c>
      <c r="G553" t="s">
        <v>22</v>
      </c>
      <c r="H553" t="s">
        <v>22</v>
      </c>
      <c r="I553" t="s">
        <v>22</v>
      </c>
      <c r="J553" s="41" t="s">
        <v>22</v>
      </c>
      <c r="K553" t="s">
        <v>22</v>
      </c>
      <c r="L553" s="41" t="e">
        <f t="shared" si="289"/>
        <v>#VALUE!</v>
      </c>
      <c r="M553" t="s">
        <v>23</v>
      </c>
      <c r="N553" s="41" t="s">
        <v>22</v>
      </c>
      <c r="O553" s="41" t="s">
        <v>22</v>
      </c>
      <c r="P553" s="41" t="s">
        <v>22</v>
      </c>
      <c r="R553" s="41" t="s">
        <v>22</v>
      </c>
      <c r="S553" s="41" t="s">
        <v>22</v>
      </c>
      <c r="T553" s="41">
        <v>15</v>
      </c>
      <c r="U553" s="41">
        <v>15</v>
      </c>
      <c r="V553">
        <v>20200507</v>
      </c>
      <c r="W553" s="21" t="s">
        <v>35</v>
      </c>
      <c r="X553" s="18">
        <v>2012</v>
      </c>
      <c r="Y553" t="s">
        <v>26</v>
      </c>
      <c r="Z553" t="s">
        <v>40</v>
      </c>
      <c r="AC553" t="s">
        <v>514</v>
      </c>
      <c r="AD553" s="41">
        <v>21.688679245283002</v>
      </c>
      <c r="AE553" s="41" t="s">
        <v>22</v>
      </c>
      <c r="AF553" s="41" t="s">
        <v>22</v>
      </c>
      <c r="AG553" s="41" t="s">
        <v>22</v>
      </c>
      <c r="AH553" s="41" t="s">
        <v>22</v>
      </c>
      <c r="AI553" s="41" t="s">
        <v>22</v>
      </c>
      <c r="AJ553" s="41" t="s">
        <v>22</v>
      </c>
      <c r="AK553" s="41" t="s">
        <v>22</v>
      </c>
      <c r="AL553" s="41" t="s">
        <v>22</v>
      </c>
      <c r="AM553" s="43" t="e">
        <f t="shared" si="271"/>
        <v>#VALUE!</v>
      </c>
      <c r="AN553" s="43" t="e">
        <f t="shared" si="272"/>
        <v>#VALUE!</v>
      </c>
      <c r="AO553" s="3" t="s">
        <v>41</v>
      </c>
      <c r="AT553" s="2">
        <f t="shared" si="273"/>
        <v>12</v>
      </c>
      <c r="AU553" s="45">
        <f t="shared" si="274"/>
        <v>-1.399524063249713</v>
      </c>
      <c r="AV553" s="45">
        <f t="shared" si="275"/>
        <v>-4.5757490560675115E-2</v>
      </c>
      <c r="AW553" s="45">
        <f t="shared" si="276"/>
        <v>-1.353766572689038</v>
      </c>
      <c r="AX553" s="45" t="e">
        <f t="shared" si="277"/>
        <v>#VALUE!</v>
      </c>
      <c r="AY553" s="45" t="e">
        <f t="shared" si="278"/>
        <v>#VALUE!</v>
      </c>
      <c r="AZ553" s="45" t="e">
        <f t="shared" si="279"/>
        <v>#VALUE!</v>
      </c>
      <c r="BA553" s="45" t="e">
        <f t="shared" si="280"/>
        <v>#VALUE!</v>
      </c>
      <c r="BB553" s="45" t="e">
        <f t="shared" si="281"/>
        <v>#VALUE!</v>
      </c>
      <c r="BC553" s="45">
        <f t="shared" si="282"/>
        <v>1.1760912590556813</v>
      </c>
      <c r="BD553" s="45">
        <f t="shared" si="283"/>
        <v>1.3362331060045085</v>
      </c>
      <c r="BE553" s="45" t="e">
        <f t="shared" si="284"/>
        <v>#VALUE!</v>
      </c>
      <c r="BF553" s="45" t="e">
        <f t="shared" si="285"/>
        <v>#VALUE!</v>
      </c>
      <c r="BG553" s="45" t="e">
        <f t="shared" si="286"/>
        <v>#VALUE!</v>
      </c>
      <c r="BH553" s="45" t="e">
        <f t="shared" si="287"/>
        <v>#NUM!</v>
      </c>
      <c r="BI553" s="43" t="e">
        <f t="shared" si="288"/>
        <v>#VALUE!</v>
      </c>
      <c r="CA553" s="41" t="s">
        <v>22</v>
      </c>
      <c r="CC553" t="s">
        <v>22</v>
      </c>
      <c r="CE553" s="41" t="s">
        <v>22</v>
      </c>
      <c r="CF553" s="41" t="s">
        <v>22</v>
      </c>
      <c r="CG553" s="41">
        <f t="shared" si="290"/>
        <v>21688.679245283001</v>
      </c>
      <c r="CH553" s="41">
        <f t="shared" si="291"/>
        <v>4.3362331060045083</v>
      </c>
      <c r="CI553" s="41">
        <f t="shared" si="292"/>
        <v>21688.679245283001</v>
      </c>
      <c r="CJ553" s="41">
        <f t="shared" si="293"/>
        <v>4.3362331060045083</v>
      </c>
      <c r="CL553" s="9" t="s">
        <v>1269</v>
      </c>
      <c r="CM553" s="18" t="s">
        <v>1283</v>
      </c>
      <c r="CN553" s="54" t="s">
        <v>1284</v>
      </c>
      <c r="CO553" s="18" t="s">
        <v>1284</v>
      </c>
    </row>
    <row r="554" spans="1:93" x14ac:dyDescent="0.25">
      <c r="A554" t="s">
        <v>141</v>
      </c>
      <c r="B554" s="41">
        <v>4.3398058252427089E-2</v>
      </c>
      <c r="C554" s="41">
        <v>0.9</v>
      </c>
      <c r="D554" s="41">
        <f t="shared" si="295"/>
        <v>4.8220064724918979E-2</v>
      </c>
      <c r="E554" s="41" t="s">
        <v>22</v>
      </c>
      <c r="F554" t="s">
        <v>22</v>
      </c>
      <c r="G554" t="s">
        <v>22</v>
      </c>
      <c r="H554" t="s">
        <v>22</v>
      </c>
      <c r="I554" t="s">
        <v>22</v>
      </c>
      <c r="J554" s="41" t="s">
        <v>22</v>
      </c>
      <c r="K554" t="s">
        <v>22</v>
      </c>
      <c r="L554" s="41" t="e">
        <f t="shared" si="289"/>
        <v>#VALUE!</v>
      </c>
      <c r="M554" t="s">
        <v>23</v>
      </c>
      <c r="N554" s="41" t="s">
        <v>22</v>
      </c>
      <c r="O554" s="41" t="s">
        <v>22</v>
      </c>
      <c r="P554" s="41" t="s">
        <v>22</v>
      </c>
      <c r="R554" s="41" t="s">
        <v>22</v>
      </c>
      <c r="S554" s="41" t="s">
        <v>22</v>
      </c>
      <c r="T554" s="41">
        <v>15</v>
      </c>
      <c r="U554" s="41">
        <v>15</v>
      </c>
      <c r="V554">
        <v>20200507</v>
      </c>
      <c r="W554" s="21" t="s">
        <v>35</v>
      </c>
      <c r="X554" s="18">
        <v>2012</v>
      </c>
      <c r="Y554" t="s">
        <v>26</v>
      </c>
      <c r="Z554" t="s">
        <v>40</v>
      </c>
      <c r="AC554" t="s">
        <v>514</v>
      </c>
      <c r="AD554" s="41">
        <v>19.339622641509401</v>
      </c>
      <c r="AE554" s="41" t="s">
        <v>22</v>
      </c>
      <c r="AF554" s="41" t="s">
        <v>22</v>
      </c>
      <c r="AG554" s="41" t="s">
        <v>22</v>
      </c>
      <c r="AH554" s="41" t="s">
        <v>22</v>
      </c>
      <c r="AI554" s="41" t="s">
        <v>22</v>
      </c>
      <c r="AJ554" s="41" t="s">
        <v>22</v>
      </c>
      <c r="AK554" s="41" t="s">
        <v>22</v>
      </c>
      <c r="AL554" s="41" t="s">
        <v>22</v>
      </c>
      <c r="AM554" s="43" t="e">
        <f t="shared" si="271"/>
        <v>#VALUE!</v>
      </c>
      <c r="AN554" s="43" t="e">
        <f t="shared" si="272"/>
        <v>#VALUE!</v>
      </c>
      <c r="AO554" s="3" t="s">
        <v>41</v>
      </c>
      <c r="AT554" s="2">
        <f t="shared" si="273"/>
        <v>12</v>
      </c>
      <c r="AU554" s="45">
        <f t="shared" si="274"/>
        <v>-1.3625297015732367</v>
      </c>
      <c r="AV554" s="45">
        <f t="shared" si="275"/>
        <v>-4.5757490560675115E-2</v>
      </c>
      <c r="AW554" s="45">
        <f t="shared" si="276"/>
        <v>-1.3167722110125617</v>
      </c>
      <c r="AX554" s="45" t="e">
        <f t="shared" si="277"/>
        <v>#VALUE!</v>
      </c>
      <c r="AY554" s="45" t="e">
        <f t="shared" si="278"/>
        <v>#VALUE!</v>
      </c>
      <c r="AZ554" s="45" t="e">
        <f t="shared" si="279"/>
        <v>#VALUE!</v>
      </c>
      <c r="BA554" s="45" t="e">
        <f t="shared" si="280"/>
        <v>#VALUE!</v>
      </c>
      <c r="BB554" s="45" t="e">
        <f t="shared" si="281"/>
        <v>#VALUE!</v>
      </c>
      <c r="BC554" s="45">
        <f t="shared" si="282"/>
        <v>1.1760912590556813</v>
      </c>
      <c r="BD554" s="45">
        <f t="shared" si="283"/>
        <v>1.2864479957909833</v>
      </c>
      <c r="BE554" s="45" t="e">
        <f t="shared" si="284"/>
        <v>#VALUE!</v>
      </c>
      <c r="BF554" s="45" t="e">
        <f t="shared" si="285"/>
        <v>#VALUE!</v>
      </c>
      <c r="BG554" s="45" t="e">
        <f t="shared" si="286"/>
        <v>#VALUE!</v>
      </c>
      <c r="BH554" s="45" t="e">
        <f t="shared" si="287"/>
        <v>#NUM!</v>
      </c>
      <c r="BI554" s="43" t="e">
        <f t="shared" si="288"/>
        <v>#VALUE!</v>
      </c>
      <c r="CA554" s="41" t="s">
        <v>22</v>
      </c>
      <c r="CC554" t="s">
        <v>22</v>
      </c>
      <c r="CE554" s="41" t="s">
        <v>22</v>
      </c>
      <c r="CF554" s="41" t="s">
        <v>22</v>
      </c>
      <c r="CG554" s="41">
        <f t="shared" si="290"/>
        <v>19339.622641509399</v>
      </c>
      <c r="CH554" s="41">
        <f t="shared" si="291"/>
        <v>4.2864479957909829</v>
      </c>
      <c r="CI554" s="41">
        <f t="shared" si="292"/>
        <v>19339.622641509399</v>
      </c>
      <c r="CJ554" s="41">
        <f t="shared" si="293"/>
        <v>4.2864479957909829</v>
      </c>
      <c r="CL554" s="9" t="s">
        <v>1269</v>
      </c>
      <c r="CM554" s="18" t="s">
        <v>1283</v>
      </c>
      <c r="CN554" s="54" t="s">
        <v>1284</v>
      </c>
      <c r="CO554" s="18" t="s">
        <v>1284</v>
      </c>
    </row>
    <row r="555" spans="1:93" x14ac:dyDescent="0.25">
      <c r="A555" t="s">
        <v>141</v>
      </c>
      <c r="B555" s="41">
        <v>4.7475728155339798E-2</v>
      </c>
      <c r="C555" s="41">
        <v>0.9</v>
      </c>
      <c r="D555" s="41">
        <f t="shared" si="295"/>
        <v>5.2750809061488664E-2</v>
      </c>
      <c r="E555" s="41" t="s">
        <v>22</v>
      </c>
      <c r="F555" t="s">
        <v>22</v>
      </c>
      <c r="G555" t="s">
        <v>22</v>
      </c>
      <c r="H555" t="s">
        <v>22</v>
      </c>
      <c r="I555" t="s">
        <v>22</v>
      </c>
      <c r="J555" s="41" t="s">
        <v>22</v>
      </c>
      <c r="K555" t="s">
        <v>22</v>
      </c>
      <c r="L555" s="41" t="e">
        <f t="shared" si="289"/>
        <v>#VALUE!</v>
      </c>
      <c r="M555" t="s">
        <v>23</v>
      </c>
      <c r="N555" s="41" t="s">
        <v>22</v>
      </c>
      <c r="O555" s="41" t="s">
        <v>22</v>
      </c>
      <c r="P555" s="41" t="s">
        <v>22</v>
      </c>
      <c r="R555" s="41" t="s">
        <v>22</v>
      </c>
      <c r="S555" s="41" t="s">
        <v>22</v>
      </c>
      <c r="T555" s="41">
        <v>15</v>
      </c>
      <c r="U555" s="41">
        <v>15</v>
      </c>
      <c r="V555">
        <v>20200507</v>
      </c>
      <c r="W555" s="21" t="s">
        <v>35</v>
      </c>
      <c r="X555" s="18">
        <v>2012</v>
      </c>
      <c r="Y555" t="s">
        <v>26</v>
      </c>
      <c r="Z555" t="s">
        <v>40</v>
      </c>
      <c r="AC555" t="s">
        <v>514</v>
      </c>
      <c r="AD555" s="41">
        <v>18.018867924528301</v>
      </c>
      <c r="AE555" s="41" t="s">
        <v>22</v>
      </c>
      <c r="AF555" s="41" t="s">
        <v>22</v>
      </c>
      <c r="AG555" s="41" t="s">
        <v>22</v>
      </c>
      <c r="AH555" s="41" t="s">
        <v>22</v>
      </c>
      <c r="AI555" s="41" t="s">
        <v>22</v>
      </c>
      <c r="AJ555" s="41" t="s">
        <v>22</v>
      </c>
      <c r="AK555" s="41" t="s">
        <v>22</v>
      </c>
      <c r="AL555" s="41" t="s">
        <v>22</v>
      </c>
      <c r="AM555" s="43" t="e">
        <f t="shared" si="271"/>
        <v>#VALUE!</v>
      </c>
      <c r="AN555" s="43" t="e">
        <f t="shared" si="272"/>
        <v>#VALUE!</v>
      </c>
      <c r="AO555" s="19" t="s">
        <v>41</v>
      </c>
      <c r="AT555" s="2">
        <f t="shared" si="273"/>
        <v>12</v>
      </c>
      <c r="AU555" s="45">
        <f t="shared" si="274"/>
        <v>-1.323528365581552</v>
      </c>
      <c r="AV555" s="45">
        <f t="shared" si="275"/>
        <v>-4.5757490560675115E-2</v>
      </c>
      <c r="AW555" s="45">
        <f t="shared" si="276"/>
        <v>-1.2777708750208769</v>
      </c>
      <c r="AX555" s="45" t="e">
        <f t="shared" si="277"/>
        <v>#VALUE!</v>
      </c>
      <c r="AY555" s="45" t="e">
        <f t="shared" si="278"/>
        <v>#VALUE!</v>
      </c>
      <c r="AZ555" s="45" t="e">
        <f t="shared" si="279"/>
        <v>#VALUE!</v>
      </c>
      <c r="BA555" s="45" t="e">
        <f t="shared" si="280"/>
        <v>#VALUE!</v>
      </c>
      <c r="BB555" s="45" t="e">
        <f t="shared" si="281"/>
        <v>#VALUE!</v>
      </c>
      <c r="BC555" s="45">
        <f t="shared" si="282"/>
        <v>1.1760912590556813</v>
      </c>
      <c r="BD555" s="45">
        <f t="shared" si="283"/>
        <v>1.2557275019829572</v>
      </c>
      <c r="BE555" s="45" t="e">
        <f t="shared" si="284"/>
        <v>#VALUE!</v>
      </c>
      <c r="BF555" s="45" t="e">
        <f t="shared" si="285"/>
        <v>#VALUE!</v>
      </c>
      <c r="BG555" s="45" t="e">
        <f t="shared" si="286"/>
        <v>#VALUE!</v>
      </c>
      <c r="BH555" s="45" t="e">
        <f t="shared" si="287"/>
        <v>#NUM!</v>
      </c>
      <c r="BI555" s="43" t="e">
        <f t="shared" si="288"/>
        <v>#VALUE!</v>
      </c>
      <c r="BJ555" s="18"/>
      <c r="BK555" s="18"/>
      <c r="BL555" s="20"/>
      <c r="CA555" s="41" t="s">
        <v>22</v>
      </c>
      <c r="CC555" t="s">
        <v>22</v>
      </c>
      <c r="CE555" s="41" t="s">
        <v>22</v>
      </c>
      <c r="CF555" s="41" t="s">
        <v>22</v>
      </c>
      <c r="CG555" s="41">
        <f t="shared" si="290"/>
        <v>18018.867924528302</v>
      </c>
      <c r="CH555" s="41">
        <f t="shared" si="291"/>
        <v>4.2557275019829577</v>
      </c>
      <c r="CI555" s="41">
        <f t="shared" si="292"/>
        <v>18018.867924528302</v>
      </c>
      <c r="CJ555" s="41">
        <f t="shared" si="293"/>
        <v>4.2557275019829577</v>
      </c>
      <c r="CL555" s="9" t="s">
        <v>1269</v>
      </c>
      <c r="CM555" s="18" t="s">
        <v>1283</v>
      </c>
      <c r="CN555" s="54" t="s">
        <v>1284</v>
      </c>
      <c r="CO555" s="18" t="s">
        <v>1284</v>
      </c>
    </row>
    <row r="556" spans="1:93" x14ac:dyDescent="0.25">
      <c r="A556" t="s">
        <v>141</v>
      </c>
      <c r="B556" s="41">
        <v>5.7087378640776704E-2</v>
      </c>
      <c r="C556" s="41">
        <v>0.9</v>
      </c>
      <c r="D556" s="41">
        <f t="shared" si="295"/>
        <v>6.3430420711974106E-2</v>
      </c>
      <c r="E556" s="41" t="s">
        <v>22</v>
      </c>
      <c r="F556" t="s">
        <v>22</v>
      </c>
      <c r="G556" t="s">
        <v>22</v>
      </c>
      <c r="H556" t="s">
        <v>22</v>
      </c>
      <c r="I556" t="s">
        <v>22</v>
      </c>
      <c r="J556" s="41" t="s">
        <v>22</v>
      </c>
      <c r="K556" t="s">
        <v>22</v>
      </c>
      <c r="L556" s="41" t="e">
        <f t="shared" ref="L556:L587" si="296">IF((10^-12)*J556*K556^4=0,"",(10^-12)*J556*K556^4)</f>
        <v>#VALUE!</v>
      </c>
      <c r="M556" t="s">
        <v>23</v>
      </c>
      <c r="N556" s="41" t="s">
        <v>22</v>
      </c>
      <c r="O556" s="41" t="s">
        <v>22</v>
      </c>
      <c r="P556" s="41" t="s">
        <v>22</v>
      </c>
      <c r="R556" s="41" t="s">
        <v>22</v>
      </c>
      <c r="S556" s="41" t="s">
        <v>22</v>
      </c>
      <c r="T556" s="41">
        <v>15</v>
      </c>
      <c r="U556" s="41">
        <v>15</v>
      </c>
      <c r="V556">
        <v>20200507</v>
      </c>
      <c r="W556" s="21" t="s">
        <v>35</v>
      </c>
      <c r="X556" s="18">
        <v>2012</v>
      </c>
      <c r="Y556" t="s">
        <v>26</v>
      </c>
      <c r="Z556" t="s">
        <v>40</v>
      </c>
      <c r="AC556" t="s">
        <v>514</v>
      </c>
      <c r="AD556" s="41">
        <v>15.622641509433899</v>
      </c>
      <c r="AE556" s="41" t="s">
        <v>22</v>
      </c>
      <c r="AF556" s="41" t="s">
        <v>22</v>
      </c>
      <c r="AG556" s="41" t="s">
        <v>22</v>
      </c>
      <c r="AH556" s="41" t="s">
        <v>22</v>
      </c>
      <c r="AI556" s="41" t="s">
        <v>22</v>
      </c>
      <c r="AJ556" s="41" t="s">
        <v>22</v>
      </c>
      <c r="AK556" s="41" t="s">
        <v>22</v>
      </c>
      <c r="AL556" s="41" t="s">
        <v>22</v>
      </c>
      <c r="AM556" s="43" t="e">
        <f t="shared" si="271"/>
        <v>#VALUE!</v>
      </c>
      <c r="AN556" s="43" t="e">
        <f t="shared" si="272"/>
        <v>#VALUE!</v>
      </c>
      <c r="AO556" s="19" t="s">
        <v>41</v>
      </c>
      <c r="AT556" s="2">
        <f t="shared" si="273"/>
        <v>12</v>
      </c>
      <c r="AU556" s="45">
        <f t="shared" si="274"/>
        <v>-1.2434598986290337</v>
      </c>
      <c r="AV556" s="45">
        <f t="shared" si="275"/>
        <v>-4.5757490560675115E-2</v>
      </c>
      <c r="AW556" s="45">
        <f t="shared" si="276"/>
        <v>-1.1977024080683587</v>
      </c>
      <c r="AX556" s="45" t="e">
        <f t="shared" si="277"/>
        <v>#VALUE!</v>
      </c>
      <c r="AY556" s="45" t="e">
        <f t="shared" si="278"/>
        <v>#VALUE!</v>
      </c>
      <c r="AZ556" s="45" t="e">
        <f t="shared" si="279"/>
        <v>#VALUE!</v>
      </c>
      <c r="BA556" s="45" t="e">
        <f t="shared" si="280"/>
        <v>#VALUE!</v>
      </c>
      <c r="BB556" s="45" t="e">
        <f t="shared" si="281"/>
        <v>#VALUE!</v>
      </c>
      <c r="BC556" s="45">
        <f t="shared" si="282"/>
        <v>1.1760912590556813</v>
      </c>
      <c r="BD556" s="45">
        <f t="shared" si="283"/>
        <v>1.1937544671840894</v>
      </c>
      <c r="BE556" s="45" t="e">
        <f t="shared" si="284"/>
        <v>#VALUE!</v>
      </c>
      <c r="BF556" s="45" t="e">
        <f t="shared" si="285"/>
        <v>#VALUE!</v>
      </c>
      <c r="BG556" s="45" t="e">
        <f t="shared" si="286"/>
        <v>#VALUE!</v>
      </c>
      <c r="BH556" s="45" t="e">
        <f t="shared" si="287"/>
        <v>#NUM!</v>
      </c>
      <c r="BI556" s="43" t="e">
        <f t="shared" si="288"/>
        <v>#VALUE!</v>
      </c>
      <c r="BJ556" s="18"/>
      <c r="BK556" s="18"/>
      <c r="BL556" s="20"/>
      <c r="CA556" s="41" t="s">
        <v>22</v>
      </c>
      <c r="CC556" t="s">
        <v>22</v>
      </c>
      <c r="CE556" s="41" t="s">
        <v>22</v>
      </c>
      <c r="CF556" s="41" t="s">
        <v>22</v>
      </c>
      <c r="CG556" s="41">
        <f t="shared" si="290"/>
        <v>15622.641509433899</v>
      </c>
      <c r="CH556" s="41">
        <f t="shared" si="291"/>
        <v>4.193754467184089</v>
      </c>
      <c r="CI556" s="41">
        <f t="shared" si="292"/>
        <v>15622.641509433899</v>
      </c>
      <c r="CJ556" s="41">
        <f t="shared" si="293"/>
        <v>4.193754467184089</v>
      </c>
      <c r="CL556" s="9" t="s">
        <v>1269</v>
      </c>
      <c r="CM556" s="18" t="s">
        <v>1283</v>
      </c>
      <c r="CN556" s="54" t="s">
        <v>1284</v>
      </c>
      <c r="CO556" s="18" t="s">
        <v>1284</v>
      </c>
    </row>
    <row r="557" spans="1:93" x14ac:dyDescent="0.25">
      <c r="A557" t="s">
        <v>141</v>
      </c>
      <c r="B557" s="41">
        <v>0.06</v>
      </c>
      <c r="C557" s="41">
        <v>0.9</v>
      </c>
      <c r="D557" s="41">
        <f t="shared" si="295"/>
        <v>6.6666666666666652E-2</v>
      </c>
      <c r="E557" s="41" t="s">
        <v>22</v>
      </c>
      <c r="F557" t="s">
        <v>22</v>
      </c>
      <c r="G557" t="s">
        <v>22</v>
      </c>
      <c r="H557" t="s">
        <v>22</v>
      </c>
      <c r="I557" t="s">
        <v>22</v>
      </c>
      <c r="J557" s="41" t="s">
        <v>22</v>
      </c>
      <c r="K557" t="s">
        <v>22</v>
      </c>
      <c r="L557" s="41" t="e">
        <f t="shared" si="296"/>
        <v>#VALUE!</v>
      </c>
      <c r="M557" t="s">
        <v>23</v>
      </c>
      <c r="N557" s="41" t="s">
        <v>22</v>
      </c>
      <c r="O557" s="41" t="s">
        <v>22</v>
      </c>
      <c r="P557" s="41" t="s">
        <v>22</v>
      </c>
      <c r="R557" s="41" t="s">
        <v>22</v>
      </c>
      <c r="S557" s="41" t="s">
        <v>22</v>
      </c>
      <c r="T557" s="41">
        <v>15</v>
      </c>
      <c r="U557" s="41">
        <v>15</v>
      </c>
      <c r="V557">
        <v>20200507</v>
      </c>
      <c r="W557" s="21" t="s">
        <v>35</v>
      </c>
      <c r="X557">
        <v>2012</v>
      </c>
      <c r="Y557" t="s">
        <v>26</v>
      </c>
      <c r="Z557" t="s">
        <v>40</v>
      </c>
      <c r="AC557" t="s">
        <v>514</v>
      </c>
      <c r="AD557" s="41">
        <v>15.641509433962201</v>
      </c>
      <c r="AE557" s="41" t="s">
        <v>22</v>
      </c>
      <c r="AF557" s="41" t="s">
        <v>22</v>
      </c>
      <c r="AG557" s="41" t="s">
        <v>22</v>
      </c>
      <c r="AH557" s="41" t="s">
        <v>22</v>
      </c>
      <c r="AI557" s="41" t="s">
        <v>22</v>
      </c>
      <c r="AJ557" s="41" t="s">
        <v>22</v>
      </c>
      <c r="AK557" s="41" t="s">
        <v>22</v>
      </c>
      <c r="AL557" s="41" t="s">
        <v>22</v>
      </c>
      <c r="AM557" s="43" t="e">
        <f t="shared" si="271"/>
        <v>#VALUE!</v>
      </c>
      <c r="AN557" s="43" t="e">
        <f t="shared" si="272"/>
        <v>#VALUE!</v>
      </c>
      <c r="AO557" s="19" t="s">
        <v>41</v>
      </c>
      <c r="AT557" s="2">
        <f t="shared" si="273"/>
        <v>12</v>
      </c>
      <c r="AU557" s="45">
        <f t="shared" si="274"/>
        <v>-1.2218487496163564</v>
      </c>
      <c r="AV557" s="45">
        <f t="shared" si="275"/>
        <v>-4.5757490560675115E-2</v>
      </c>
      <c r="AW557" s="45">
        <f t="shared" si="276"/>
        <v>-1.1760912590556813</v>
      </c>
      <c r="AX557" s="45" t="e">
        <f t="shared" si="277"/>
        <v>#VALUE!</v>
      </c>
      <c r="AY557" s="45" t="e">
        <f t="shared" si="278"/>
        <v>#VALUE!</v>
      </c>
      <c r="AZ557" s="45" t="e">
        <f t="shared" si="279"/>
        <v>#VALUE!</v>
      </c>
      <c r="BA557" s="45" t="e">
        <f t="shared" si="280"/>
        <v>#VALUE!</v>
      </c>
      <c r="BB557" s="45" t="e">
        <f t="shared" si="281"/>
        <v>#VALUE!</v>
      </c>
      <c r="BC557" s="45">
        <f t="shared" si="282"/>
        <v>1.1760912590556813</v>
      </c>
      <c r="BD557" s="45">
        <f t="shared" si="283"/>
        <v>1.1942786609494827</v>
      </c>
      <c r="BE557" s="45" t="e">
        <f t="shared" si="284"/>
        <v>#VALUE!</v>
      </c>
      <c r="BF557" s="45" t="e">
        <f t="shared" si="285"/>
        <v>#VALUE!</v>
      </c>
      <c r="BG557" s="45" t="e">
        <f t="shared" si="286"/>
        <v>#VALUE!</v>
      </c>
      <c r="BH557" s="45" t="e">
        <f t="shared" si="287"/>
        <v>#NUM!</v>
      </c>
      <c r="BI557" s="43" t="e">
        <f t="shared" si="288"/>
        <v>#VALUE!</v>
      </c>
      <c r="BJ557" s="18"/>
      <c r="BK557" s="18"/>
      <c r="BL557" s="20"/>
      <c r="CA557" s="41" t="s">
        <v>22</v>
      </c>
      <c r="CC557" t="s">
        <v>22</v>
      </c>
      <c r="CE557" s="41" t="s">
        <v>22</v>
      </c>
      <c r="CF557" s="41" t="s">
        <v>22</v>
      </c>
      <c r="CG557" s="41">
        <f t="shared" si="290"/>
        <v>15641.509433962201</v>
      </c>
      <c r="CH557" s="41">
        <f t="shared" si="291"/>
        <v>4.1942786609494824</v>
      </c>
      <c r="CI557" s="41">
        <f t="shared" si="292"/>
        <v>15641.509433962201</v>
      </c>
      <c r="CJ557" s="41">
        <f t="shared" si="293"/>
        <v>4.1942786609494824</v>
      </c>
      <c r="CL557" s="9" t="s">
        <v>1269</v>
      </c>
      <c r="CM557" s="18" t="s">
        <v>1283</v>
      </c>
      <c r="CN557" s="54" t="s">
        <v>1284</v>
      </c>
      <c r="CO557" s="18" t="s">
        <v>1284</v>
      </c>
    </row>
    <row r="558" spans="1:93" x14ac:dyDescent="0.25">
      <c r="A558" s="18" t="s">
        <v>141</v>
      </c>
      <c r="B558" s="41">
        <v>6.2233009708737796E-2</v>
      </c>
      <c r="C558" s="41">
        <v>0.9</v>
      </c>
      <c r="D558" s="41">
        <f t="shared" si="295"/>
        <v>6.9147788565264212E-2</v>
      </c>
      <c r="E558" s="41" t="s">
        <v>22</v>
      </c>
      <c r="F558" t="s">
        <v>22</v>
      </c>
      <c r="G558" t="s">
        <v>22</v>
      </c>
      <c r="H558" t="s">
        <v>22</v>
      </c>
      <c r="I558" t="s">
        <v>22</v>
      </c>
      <c r="J558" s="41" t="s">
        <v>22</v>
      </c>
      <c r="K558" t="s">
        <v>22</v>
      </c>
      <c r="L558" s="41" t="e">
        <f t="shared" si="296"/>
        <v>#VALUE!</v>
      </c>
      <c r="M558" t="s">
        <v>23</v>
      </c>
      <c r="N558" s="41" t="s">
        <v>22</v>
      </c>
      <c r="O558" s="41" t="s">
        <v>22</v>
      </c>
      <c r="P558" s="41" t="s">
        <v>22</v>
      </c>
      <c r="R558" s="41" t="s">
        <v>22</v>
      </c>
      <c r="S558" s="41" t="s">
        <v>22</v>
      </c>
      <c r="T558" s="41">
        <v>15</v>
      </c>
      <c r="U558" s="41">
        <v>15</v>
      </c>
      <c r="V558">
        <v>20200507</v>
      </c>
      <c r="W558" s="21" t="s">
        <v>35</v>
      </c>
      <c r="X558" s="18">
        <v>2012</v>
      </c>
      <c r="Y558" s="18" t="s">
        <v>26</v>
      </c>
      <c r="Z558" s="18" t="s">
        <v>40</v>
      </c>
      <c r="AC558" t="s">
        <v>514</v>
      </c>
      <c r="AD558" s="41">
        <v>15.320754716981099</v>
      </c>
      <c r="AE558" s="41" t="s">
        <v>22</v>
      </c>
      <c r="AF558" s="41" t="s">
        <v>22</v>
      </c>
      <c r="AG558" s="41" t="s">
        <v>22</v>
      </c>
      <c r="AH558" s="41" t="s">
        <v>22</v>
      </c>
      <c r="AI558" s="41" t="s">
        <v>22</v>
      </c>
      <c r="AJ558" s="41" t="s">
        <v>22</v>
      </c>
      <c r="AK558" s="41" t="s">
        <v>22</v>
      </c>
      <c r="AL558" s="41" t="s">
        <v>22</v>
      </c>
      <c r="AM558" s="43" t="e">
        <f t="shared" si="271"/>
        <v>#VALUE!</v>
      </c>
      <c r="AN558" s="43" t="e">
        <f t="shared" si="272"/>
        <v>#VALUE!</v>
      </c>
      <c r="AO558" s="19" t="s">
        <v>41</v>
      </c>
      <c r="AT558" s="2">
        <f t="shared" si="273"/>
        <v>12</v>
      </c>
      <c r="AU558" s="45">
        <f t="shared" si="274"/>
        <v>-1.2059791951863552</v>
      </c>
      <c r="AV558" s="45">
        <f t="shared" si="275"/>
        <v>-4.5757490560675115E-2</v>
      </c>
      <c r="AW558" s="45">
        <f t="shared" si="276"/>
        <v>-1.1602217046256802</v>
      </c>
      <c r="AX558" s="45" t="e">
        <f t="shared" si="277"/>
        <v>#VALUE!</v>
      </c>
      <c r="AY558" s="45" t="e">
        <f t="shared" si="278"/>
        <v>#VALUE!</v>
      </c>
      <c r="AZ558" s="45" t="e">
        <f t="shared" si="279"/>
        <v>#VALUE!</v>
      </c>
      <c r="BA558" s="45" t="e">
        <f t="shared" si="280"/>
        <v>#VALUE!</v>
      </c>
      <c r="BB558" s="45" t="e">
        <f t="shared" si="281"/>
        <v>#VALUE!</v>
      </c>
      <c r="BC558" s="45">
        <f t="shared" si="282"/>
        <v>1.1760912590556813</v>
      </c>
      <c r="BD558" s="45">
        <f t="shared" si="283"/>
        <v>1.1852801596403852</v>
      </c>
      <c r="BE558" s="45" t="e">
        <f t="shared" si="284"/>
        <v>#VALUE!</v>
      </c>
      <c r="BF558" s="45" t="e">
        <f t="shared" si="285"/>
        <v>#VALUE!</v>
      </c>
      <c r="BG558" s="45" t="e">
        <f t="shared" si="286"/>
        <v>#VALUE!</v>
      </c>
      <c r="BH558" s="45" t="e">
        <f t="shared" si="287"/>
        <v>#NUM!</v>
      </c>
      <c r="BI558" s="43" t="e">
        <f t="shared" si="288"/>
        <v>#VALUE!</v>
      </c>
      <c r="BJ558" s="18"/>
      <c r="BK558" s="18"/>
      <c r="BL558" s="20"/>
      <c r="CA558" s="41" t="s">
        <v>22</v>
      </c>
      <c r="CC558" t="s">
        <v>22</v>
      </c>
      <c r="CE558" s="41" t="s">
        <v>22</v>
      </c>
      <c r="CF558" s="41" t="s">
        <v>22</v>
      </c>
      <c r="CG558" s="41">
        <f t="shared" si="290"/>
        <v>15320.754716981099</v>
      </c>
      <c r="CH558" s="41">
        <f t="shared" si="291"/>
        <v>4.185280159640385</v>
      </c>
      <c r="CI558" s="41">
        <f t="shared" si="292"/>
        <v>15320.754716981099</v>
      </c>
      <c r="CJ558" s="41">
        <f t="shared" si="293"/>
        <v>4.185280159640385</v>
      </c>
      <c r="CL558" s="9" t="s">
        <v>1269</v>
      </c>
      <c r="CM558" s="18" t="s">
        <v>1283</v>
      </c>
      <c r="CN558" s="54" t="s">
        <v>1284</v>
      </c>
      <c r="CO558" s="18" t="s">
        <v>1284</v>
      </c>
    </row>
    <row r="559" spans="1:93" x14ac:dyDescent="0.25">
      <c r="A559" t="s">
        <v>141</v>
      </c>
      <c r="B559" s="41">
        <v>6.5533980582524201E-2</v>
      </c>
      <c r="C559" s="41">
        <v>0.9</v>
      </c>
      <c r="D559" s="41">
        <f t="shared" si="295"/>
        <v>7.281553398058245E-2</v>
      </c>
      <c r="E559" s="41" t="s">
        <v>22</v>
      </c>
      <c r="F559" t="s">
        <v>22</v>
      </c>
      <c r="G559" t="s">
        <v>22</v>
      </c>
      <c r="H559" t="s">
        <v>22</v>
      </c>
      <c r="I559" t="s">
        <v>22</v>
      </c>
      <c r="J559" s="41" t="s">
        <v>22</v>
      </c>
      <c r="K559" t="s">
        <v>22</v>
      </c>
      <c r="L559" s="41" t="e">
        <f t="shared" si="296"/>
        <v>#VALUE!</v>
      </c>
      <c r="M559" t="s">
        <v>23</v>
      </c>
      <c r="N559" s="41" t="s">
        <v>22</v>
      </c>
      <c r="O559" s="41" t="s">
        <v>22</v>
      </c>
      <c r="P559" s="41" t="s">
        <v>22</v>
      </c>
      <c r="R559" s="41" t="s">
        <v>22</v>
      </c>
      <c r="S559" s="41" t="s">
        <v>22</v>
      </c>
      <c r="T559" s="41">
        <v>15</v>
      </c>
      <c r="U559" s="41">
        <v>15</v>
      </c>
      <c r="V559">
        <v>20200507</v>
      </c>
      <c r="W559" s="21" t="s">
        <v>35</v>
      </c>
      <c r="X559">
        <v>2012</v>
      </c>
      <c r="Y559" t="s">
        <v>26</v>
      </c>
      <c r="Z559" t="s">
        <v>40</v>
      </c>
      <c r="AC559" t="s">
        <v>514</v>
      </c>
      <c r="AD559" s="41">
        <v>14.2264150943396</v>
      </c>
      <c r="AE559" s="41" t="s">
        <v>22</v>
      </c>
      <c r="AF559" s="41" t="s">
        <v>22</v>
      </c>
      <c r="AG559" s="41" t="s">
        <v>22</v>
      </c>
      <c r="AH559" s="41" t="s">
        <v>22</v>
      </c>
      <c r="AI559" s="41" t="s">
        <v>22</v>
      </c>
      <c r="AJ559" s="41" t="s">
        <v>22</v>
      </c>
      <c r="AK559" s="41" t="s">
        <v>22</v>
      </c>
      <c r="AL559" s="41" t="s">
        <v>22</v>
      </c>
      <c r="AM559" s="43" t="e">
        <f t="shared" si="271"/>
        <v>#VALUE!</v>
      </c>
      <c r="AN559" s="43" t="e">
        <f t="shared" si="272"/>
        <v>#VALUE!</v>
      </c>
      <c r="AO559" s="19" t="s">
        <v>41</v>
      </c>
      <c r="AT559" s="2">
        <f t="shared" si="273"/>
        <v>12</v>
      </c>
      <c r="AU559" s="45">
        <f t="shared" si="274"/>
        <v>-1.1835334518741478</v>
      </c>
      <c r="AV559" s="45">
        <f t="shared" si="275"/>
        <v>-4.5757490560675115E-2</v>
      </c>
      <c r="AW559" s="45">
        <f t="shared" si="276"/>
        <v>-1.1377759613134726</v>
      </c>
      <c r="AX559" s="45" t="e">
        <f t="shared" si="277"/>
        <v>#VALUE!</v>
      </c>
      <c r="AY559" s="45" t="e">
        <f t="shared" si="278"/>
        <v>#VALUE!</v>
      </c>
      <c r="AZ559" s="45" t="e">
        <f t="shared" si="279"/>
        <v>#VALUE!</v>
      </c>
      <c r="BA559" s="45" t="e">
        <f t="shared" si="280"/>
        <v>#VALUE!</v>
      </c>
      <c r="BB559" s="45" t="e">
        <f t="shared" si="281"/>
        <v>#VALUE!</v>
      </c>
      <c r="BC559" s="45">
        <f t="shared" si="282"/>
        <v>1.1760912590556813</v>
      </c>
      <c r="BD559" s="45">
        <f t="shared" si="283"/>
        <v>1.1530954762689842</v>
      </c>
      <c r="BE559" s="45" t="e">
        <f t="shared" si="284"/>
        <v>#VALUE!</v>
      </c>
      <c r="BF559" s="45" t="e">
        <f t="shared" si="285"/>
        <v>#VALUE!</v>
      </c>
      <c r="BG559" s="45" t="e">
        <f t="shared" si="286"/>
        <v>#VALUE!</v>
      </c>
      <c r="BH559" s="45" t="e">
        <f t="shared" si="287"/>
        <v>#NUM!</v>
      </c>
      <c r="BI559" s="43" t="e">
        <f t="shared" si="288"/>
        <v>#VALUE!</v>
      </c>
      <c r="BJ559" s="18"/>
      <c r="BK559" s="18"/>
      <c r="BL559" s="20"/>
      <c r="CA559" s="41" t="s">
        <v>22</v>
      </c>
      <c r="CC559" t="s">
        <v>22</v>
      </c>
      <c r="CE559" s="41" t="s">
        <v>22</v>
      </c>
      <c r="CF559" s="41" t="s">
        <v>22</v>
      </c>
      <c r="CG559" s="41">
        <f t="shared" si="290"/>
        <v>14226.4150943396</v>
      </c>
      <c r="CH559" s="41">
        <f t="shared" si="291"/>
        <v>4.1530954762689847</v>
      </c>
      <c r="CI559" s="41">
        <f t="shared" si="292"/>
        <v>14226.4150943396</v>
      </c>
      <c r="CJ559" s="41">
        <f t="shared" si="293"/>
        <v>4.1530954762689847</v>
      </c>
      <c r="CL559" s="9" t="s">
        <v>1269</v>
      </c>
      <c r="CM559" s="18" t="s">
        <v>1283</v>
      </c>
      <c r="CN559" s="54" t="s">
        <v>1284</v>
      </c>
      <c r="CO559" s="18" t="s">
        <v>1284</v>
      </c>
    </row>
    <row r="560" spans="1:93" x14ac:dyDescent="0.25">
      <c r="A560" t="s">
        <v>141</v>
      </c>
      <c r="B560" s="41">
        <v>6.24271844660194E-2</v>
      </c>
      <c r="C560" s="41">
        <v>0.9</v>
      </c>
      <c r="D560" s="41">
        <f t="shared" si="295"/>
        <v>6.9363538295577107E-2</v>
      </c>
      <c r="E560" s="41" t="s">
        <v>22</v>
      </c>
      <c r="F560" t="s">
        <v>22</v>
      </c>
      <c r="G560" t="s">
        <v>22</v>
      </c>
      <c r="H560" t="s">
        <v>22</v>
      </c>
      <c r="I560" t="s">
        <v>22</v>
      </c>
      <c r="J560" s="41" t="s">
        <v>22</v>
      </c>
      <c r="K560" t="s">
        <v>22</v>
      </c>
      <c r="L560" s="41" t="e">
        <f t="shared" si="296"/>
        <v>#VALUE!</v>
      </c>
      <c r="M560" t="s">
        <v>23</v>
      </c>
      <c r="N560" s="41" t="s">
        <v>22</v>
      </c>
      <c r="O560" s="41" t="s">
        <v>22</v>
      </c>
      <c r="P560" s="41" t="s">
        <v>22</v>
      </c>
      <c r="R560" s="41" t="s">
        <v>22</v>
      </c>
      <c r="S560" s="41" t="s">
        <v>22</v>
      </c>
      <c r="T560" s="41">
        <v>15</v>
      </c>
      <c r="U560" s="41">
        <v>15</v>
      </c>
      <c r="V560">
        <v>20200507</v>
      </c>
      <c r="W560" s="21" t="s">
        <v>35</v>
      </c>
      <c r="X560">
        <v>2012</v>
      </c>
      <c r="Y560" t="s">
        <v>26</v>
      </c>
      <c r="Z560" t="s">
        <v>40</v>
      </c>
      <c r="AC560" t="s">
        <v>514</v>
      </c>
      <c r="AD560" s="41">
        <v>13.396226415094301</v>
      </c>
      <c r="AE560" s="41" t="s">
        <v>22</v>
      </c>
      <c r="AF560" s="41" t="s">
        <v>22</v>
      </c>
      <c r="AG560" s="41" t="s">
        <v>22</v>
      </c>
      <c r="AH560" s="41" t="s">
        <v>22</v>
      </c>
      <c r="AI560" s="41" t="s">
        <v>22</v>
      </c>
      <c r="AJ560" s="41" t="s">
        <v>22</v>
      </c>
      <c r="AK560" s="41" t="s">
        <v>22</v>
      </c>
      <c r="AL560" s="41" t="s">
        <v>22</v>
      </c>
      <c r="AM560" s="43" t="e">
        <f t="shared" si="271"/>
        <v>#VALUE!</v>
      </c>
      <c r="AN560" s="43" t="e">
        <f t="shared" si="272"/>
        <v>#VALUE!</v>
      </c>
      <c r="AO560" s="19" t="s">
        <v>41</v>
      </c>
      <c r="AT560" s="2">
        <f t="shared" si="273"/>
        <v>12</v>
      </c>
      <c r="AU560" s="45">
        <f t="shared" si="274"/>
        <v>-1.2046262517809503</v>
      </c>
      <c r="AV560" s="45">
        <f t="shared" si="275"/>
        <v>-4.5757490560675115E-2</v>
      </c>
      <c r="AW560" s="45">
        <f t="shared" si="276"/>
        <v>-1.158868761220275</v>
      </c>
      <c r="AX560" s="45" t="e">
        <f t="shared" si="277"/>
        <v>#VALUE!</v>
      </c>
      <c r="AY560" s="45" t="e">
        <f t="shared" si="278"/>
        <v>#VALUE!</v>
      </c>
      <c r="AZ560" s="45" t="e">
        <f t="shared" si="279"/>
        <v>#VALUE!</v>
      </c>
      <c r="BA560" s="45" t="e">
        <f t="shared" si="280"/>
        <v>#VALUE!</v>
      </c>
      <c r="BB560" s="45" t="e">
        <f t="shared" si="281"/>
        <v>#VALUE!</v>
      </c>
      <c r="BC560" s="45">
        <f t="shared" si="282"/>
        <v>1.1760912590556813</v>
      </c>
      <c r="BD560" s="45">
        <f t="shared" si="283"/>
        <v>1.126982479118285</v>
      </c>
      <c r="BE560" s="45" t="e">
        <f t="shared" si="284"/>
        <v>#VALUE!</v>
      </c>
      <c r="BF560" s="45" t="e">
        <f t="shared" si="285"/>
        <v>#VALUE!</v>
      </c>
      <c r="BG560" s="45" t="e">
        <f t="shared" si="286"/>
        <v>#VALUE!</v>
      </c>
      <c r="BH560" s="45" t="e">
        <f t="shared" si="287"/>
        <v>#NUM!</v>
      </c>
      <c r="BI560" s="43" t="e">
        <f t="shared" si="288"/>
        <v>#VALUE!</v>
      </c>
      <c r="BJ560" s="18"/>
      <c r="BK560" s="18"/>
      <c r="BL560" s="20"/>
      <c r="CA560" s="41" t="s">
        <v>22</v>
      </c>
      <c r="CC560" t="s">
        <v>22</v>
      </c>
      <c r="CE560" s="41" t="s">
        <v>22</v>
      </c>
      <c r="CF560" s="41" t="s">
        <v>22</v>
      </c>
      <c r="CG560" s="41">
        <f t="shared" si="290"/>
        <v>13396.226415094301</v>
      </c>
      <c r="CH560" s="41">
        <f t="shared" si="291"/>
        <v>4.1269824791182854</v>
      </c>
      <c r="CI560" s="41">
        <f t="shared" si="292"/>
        <v>13396.226415094301</v>
      </c>
      <c r="CJ560" s="41">
        <f t="shared" si="293"/>
        <v>4.1269824791182854</v>
      </c>
      <c r="CL560" s="9" t="s">
        <v>1269</v>
      </c>
      <c r="CM560" s="18" t="s">
        <v>1283</v>
      </c>
      <c r="CN560" s="54" t="s">
        <v>1284</v>
      </c>
      <c r="CO560" s="18" t="s">
        <v>1284</v>
      </c>
    </row>
    <row r="561" spans="1:93" x14ac:dyDescent="0.25">
      <c r="A561" s="18" t="s">
        <v>141</v>
      </c>
      <c r="B561" s="41">
        <v>7.1262135922330105E-2</v>
      </c>
      <c r="C561" s="41">
        <v>0.9</v>
      </c>
      <c r="D561" s="41">
        <f t="shared" si="295"/>
        <v>7.9180151024811227E-2</v>
      </c>
      <c r="E561" s="41" t="s">
        <v>22</v>
      </c>
      <c r="F561" s="18" t="s">
        <v>22</v>
      </c>
      <c r="G561" s="18" t="s">
        <v>22</v>
      </c>
      <c r="H561" s="18" t="s">
        <v>22</v>
      </c>
      <c r="I561" s="18" t="s">
        <v>22</v>
      </c>
      <c r="J561" s="41" t="s">
        <v>22</v>
      </c>
      <c r="K561" s="18" t="s">
        <v>22</v>
      </c>
      <c r="L561" s="41" t="e">
        <f t="shared" si="296"/>
        <v>#VALUE!</v>
      </c>
      <c r="M561" s="18" t="s">
        <v>23</v>
      </c>
      <c r="N561" s="41" t="s">
        <v>22</v>
      </c>
      <c r="O561" s="41" t="s">
        <v>22</v>
      </c>
      <c r="P561" s="41" t="s">
        <v>22</v>
      </c>
      <c r="R561" s="41" t="s">
        <v>22</v>
      </c>
      <c r="S561" s="41" t="s">
        <v>22</v>
      </c>
      <c r="T561" s="41">
        <v>15</v>
      </c>
      <c r="U561" s="41">
        <v>15</v>
      </c>
      <c r="V561" s="18">
        <v>20200507</v>
      </c>
      <c r="W561" s="21" t="s">
        <v>35</v>
      </c>
      <c r="X561" s="18">
        <v>2012</v>
      </c>
      <c r="Y561" s="18" t="s">
        <v>26</v>
      </c>
      <c r="Z561" s="18" t="s">
        <v>40</v>
      </c>
      <c r="AA561" s="18"/>
      <c r="AC561" s="18" t="s">
        <v>514</v>
      </c>
      <c r="AD561" s="41">
        <v>13</v>
      </c>
      <c r="AE561" s="41" t="s">
        <v>22</v>
      </c>
      <c r="AF561" s="41" t="s">
        <v>22</v>
      </c>
      <c r="AG561" s="41" t="s">
        <v>22</v>
      </c>
      <c r="AH561" s="41" t="s">
        <v>22</v>
      </c>
      <c r="AI561" s="41" t="s">
        <v>22</v>
      </c>
      <c r="AJ561" s="41" t="s">
        <v>22</v>
      </c>
      <c r="AK561" s="41" t="s">
        <v>22</v>
      </c>
      <c r="AL561" s="41" t="s">
        <v>22</v>
      </c>
      <c r="AM561" s="43" t="e">
        <f t="shared" si="271"/>
        <v>#VALUE!</v>
      </c>
      <c r="AN561" s="43" t="e">
        <f t="shared" si="272"/>
        <v>#VALUE!</v>
      </c>
      <c r="AO561" s="19" t="s">
        <v>41</v>
      </c>
      <c r="AP561" s="18"/>
      <c r="AQ561" s="18"/>
      <c r="AR561" s="18"/>
      <c r="AS561" s="18"/>
      <c r="AT561" s="2">
        <f t="shared" si="273"/>
        <v>12</v>
      </c>
      <c r="AU561" s="45">
        <f t="shared" si="274"/>
        <v>-1.1471411647891017</v>
      </c>
      <c r="AV561" s="45">
        <f t="shared" si="275"/>
        <v>-4.5757490560675115E-2</v>
      </c>
      <c r="AW561" s="45">
        <f t="shared" si="276"/>
        <v>-1.1013836742284264</v>
      </c>
      <c r="AX561" s="45" t="e">
        <f t="shared" si="277"/>
        <v>#VALUE!</v>
      </c>
      <c r="AY561" s="45" t="e">
        <f t="shared" si="278"/>
        <v>#VALUE!</v>
      </c>
      <c r="AZ561" s="45" t="e">
        <f t="shared" si="279"/>
        <v>#VALUE!</v>
      </c>
      <c r="BA561" s="45" t="e">
        <f t="shared" si="280"/>
        <v>#VALUE!</v>
      </c>
      <c r="BB561" s="45" t="e">
        <f t="shared" si="281"/>
        <v>#VALUE!</v>
      </c>
      <c r="BC561" s="45">
        <f t="shared" si="282"/>
        <v>1.1760912590556813</v>
      </c>
      <c r="BD561" s="45">
        <f t="shared" si="283"/>
        <v>1.1139433523068367</v>
      </c>
      <c r="BE561" s="45" t="e">
        <f t="shared" si="284"/>
        <v>#VALUE!</v>
      </c>
      <c r="BF561" s="45" t="e">
        <f t="shared" si="285"/>
        <v>#VALUE!</v>
      </c>
      <c r="BG561" s="45" t="e">
        <f t="shared" si="286"/>
        <v>#VALUE!</v>
      </c>
      <c r="BH561" s="45" t="e">
        <f t="shared" si="287"/>
        <v>#NUM!</v>
      </c>
      <c r="BI561" s="43" t="e">
        <f t="shared" si="288"/>
        <v>#VALUE!</v>
      </c>
      <c r="BJ561" s="18"/>
      <c r="BK561" s="18"/>
      <c r="BL561" s="20"/>
      <c r="BS561" s="18"/>
      <c r="BT561" s="18"/>
      <c r="CA561" s="41" t="s">
        <v>22</v>
      </c>
      <c r="CB561" s="18"/>
      <c r="CC561" s="18" t="s">
        <v>22</v>
      </c>
      <c r="CD561" s="18"/>
      <c r="CE561" s="41" t="s">
        <v>22</v>
      </c>
      <c r="CF561" s="41" t="s">
        <v>22</v>
      </c>
      <c r="CG561" s="41">
        <f t="shared" si="290"/>
        <v>13000</v>
      </c>
      <c r="CH561" s="41">
        <f t="shared" si="291"/>
        <v>4.1139433523068369</v>
      </c>
      <c r="CI561" s="41">
        <f t="shared" si="292"/>
        <v>13000</v>
      </c>
      <c r="CJ561" s="41">
        <f t="shared" si="293"/>
        <v>4.1139433523068369</v>
      </c>
      <c r="CK561" s="18"/>
      <c r="CL561" s="9" t="s">
        <v>1269</v>
      </c>
      <c r="CM561" s="18" t="s">
        <v>1283</v>
      </c>
      <c r="CN561" s="54" t="s">
        <v>1284</v>
      </c>
      <c r="CO561" s="18" t="s">
        <v>1284</v>
      </c>
    </row>
    <row r="562" spans="1:93" x14ac:dyDescent="0.25">
      <c r="A562" s="18" t="s">
        <v>141</v>
      </c>
      <c r="B562" s="41">
        <v>8.1553398058252388E-2</v>
      </c>
      <c r="C562" s="41">
        <v>0.9</v>
      </c>
      <c r="D562" s="41">
        <f t="shared" si="295"/>
        <v>9.0614886731391536E-2</v>
      </c>
      <c r="E562" s="41" t="s">
        <v>22</v>
      </c>
      <c r="F562" s="18" t="s">
        <v>22</v>
      </c>
      <c r="G562" s="18" t="s">
        <v>22</v>
      </c>
      <c r="H562" s="18" t="s">
        <v>22</v>
      </c>
      <c r="I562" s="18" t="s">
        <v>22</v>
      </c>
      <c r="J562" s="41" t="s">
        <v>22</v>
      </c>
      <c r="K562" s="18" t="s">
        <v>22</v>
      </c>
      <c r="L562" s="41" t="e">
        <f t="shared" si="296"/>
        <v>#VALUE!</v>
      </c>
      <c r="M562" s="18" t="s">
        <v>23</v>
      </c>
      <c r="N562" s="41" t="s">
        <v>22</v>
      </c>
      <c r="O562" s="41" t="s">
        <v>22</v>
      </c>
      <c r="P562" s="41" t="s">
        <v>22</v>
      </c>
      <c r="R562" s="41" t="s">
        <v>22</v>
      </c>
      <c r="S562" s="41" t="s">
        <v>22</v>
      </c>
      <c r="T562" s="41">
        <v>15</v>
      </c>
      <c r="U562" s="41">
        <v>15</v>
      </c>
      <c r="V562" s="18">
        <v>20200507</v>
      </c>
      <c r="W562" s="21" t="s">
        <v>35</v>
      </c>
      <c r="X562" s="18">
        <v>2012</v>
      </c>
      <c r="Y562" s="18" t="s">
        <v>26</v>
      </c>
      <c r="Z562" s="18" t="s">
        <v>40</v>
      </c>
      <c r="AA562" s="18"/>
      <c r="AC562" s="18" t="s">
        <v>514</v>
      </c>
      <c r="AD562" s="41">
        <v>12.698113207547101</v>
      </c>
      <c r="AE562" s="41" t="s">
        <v>22</v>
      </c>
      <c r="AF562" s="41" t="s">
        <v>22</v>
      </c>
      <c r="AG562" s="41" t="s">
        <v>22</v>
      </c>
      <c r="AH562" s="41" t="s">
        <v>22</v>
      </c>
      <c r="AI562" s="41" t="s">
        <v>22</v>
      </c>
      <c r="AJ562" s="41" t="s">
        <v>22</v>
      </c>
      <c r="AK562" s="41" t="s">
        <v>22</v>
      </c>
      <c r="AL562" s="41" t="s">
        <v>22</v>
      </c>
      <c r="AM562" s="43" t="e">
        <f t="shared" si="271"/>
        <v>#VALUE!</v>
      </c>
      <c r="AN562" s="43" t="e">
        <f t="shared" si="272"/>
        <v>#VALUE!</v>
      </c>
      <c r="AO562" s="19" t="s">
        <v>41</v>
      </c>
      <c r="AP562" s="18"/>
      <c r="AQ562" s="18"/>
      <c r="AR562" s="18"/>
      <c r="AS562" s="18"/>
      <c r="AT562" s="2">
        <f t="shared" si="273"/>
        <v>12</v>
      </c>
      <c r="AU562" s="45">
        <f t="shared" si="274"/>
        <v>-1.0885579386432906</v>
      </c>
      <c r="AV562" s="45">
        <f t="shared" si="275"/>
        <v>-4.5757490560675115E-2</v>
      </c>
      <c r="AW562" s="45">
        <f t="shared" si="276"/>
        <v>-1.0428004480826156</v>
      </c>
      <c r="AX562" s="45" t="e">
        <f t="shared" si="277"/>
        <v>#VALUE!</v>
      </c>
      <c r="AY562" s="45" t="e">
        <f t="shared" si="278"/>
        <v>#VALUE!</v>
      </c>
      <c r="AZ562" s="45" t="e">
        <f t="shared" si="279"/>
        <v>#VALUE!</v>
      </c>
      <c r="BA562" s="45" t="e">
        <f t="shared" si="280"/>
        <v>#VALUE!</v>
      </c>
      <c r="BB562" s="45" t="e">
        <f t="shared" si="281"/>
        <v>#VALUE!</v>
      </c>
      <c r="BC562" s="45">
        <f t="shared" si="282"/>
        <v>1.1760912590556813</v>
      </c>
      <c r="BD562" s="45">
        <f t="shared" si="283"/>
        <v>1.1037391946231854</v>
      </c>
      <c r="BE562" s="45" t="e">
        <f t="shared" si="284"/>
        <v>#VALUE!</v>
      </c>
      <c r="BF562" s="45" t="e">
        <f t="shared" si="285"/>
        <v>#VALUE!</v>
      </c>
      <c r="BG562" s="45" t="e">
        <f t="shared" si="286"/>
        <v>#VALUE!</v>
      </c>
      <c r="BH562" s="45" t="e">
        <f t="shared" si="287"/>
        <v>#NUM!</v>
      </c>
      <c r="BI562" s="43" t="e">
        <f t="shared" si="288"/>
        <v>#VALUE!</v>
      </c>
      <c r="BJ562" s="18"/>
      <c r="BK562" s="18"/>
      <c r="BL562" s="20"/>
      <c r="BS562" s="18"/>
      <c r="BT562" s="18"/>
      <c r="CA562" s="41" t="s">
        <v>22</v>
      </c>
      <c r="CB562" s="18"/>
      <c r="CC562" s="18" t="s">
        <v>22</v>
      </c>
      <c r="CD562" s="18"/>
      <c r="CE562" s="41" t="s">
        <v>22</v>
      </c>
      <c r="CF562" s="41" t="s">
        <v>22</v>
      </c>
      <c r="CG562" s="41">
        <f t="shared" si="290"/>
        <v>12698.113207547101</v>
      </c>
      <c r="CH562" s="41">
        <f t="shared" ref="CH562:CH564" si="297">LOG10(CG562)</f>
        <v>4.1037391946231851</v>
      </c>
      <c r="CI562" s="41">
        <f t="shared" si="292"/>
        <v>12698.113207547101</v>
      </c>
      <c r="CJ562" s="41">
        <f t="shared" ref="CJ562:CJ566" si="298">LOG10(CI562)</f>
        <v>4.1037391946231851</v>
      </c>
      <c r="CK562" s="18"/>
      <c r="CL562" s="9" t="s">
        <v>1269</v>
      </c>
      <c r="CM562" s="18" t="s">
        <v>1283</v>
      </c>
      <c r="CN562" s="54" t="s">
        <v>1284</v>
      </c>
      <c r="CO562" s="18" t="s">
        <v>1284</v>
      </c>
    </row>
    <row r="563" spans="1:93" x14ac:dyDescent="0.25">
      <c r="A563" s="18" t="s">
        <v>141</v>
      </c>
      <c r="B563" s="41">
        <v>6.1499999999999999E-2</v>
      </c>
      <c r="C563" s="41">
        <v>0.9</v>
      </c>
      <c r="D563" s="41">
        <f t="shared" si="295"/>
        <v>6.8333333333333329E-2</v>
      </c>
      <c r="E563" s="41" t="s">
        <v>22</v>
      </c>
      <c r="F563" s="18" t="s">
        <v>22</v>
      </c>
      <c r="G563" s="18" t="s">
        <v>22</v>
      </c>
      <c r="H563" s="18" t="s">
        <v>22</v>
      </c>
      <c r="I563" s="18" t="s">
        <v>22</v>
      </c>
      <c r="J563" s="41" t="s">
        <v>22</v>
      </c>
      <c r="K563" s="18" t="s">
        <v>22</v>
      </c>
      <c r="L563" s="41" t="e">
        <f t="shared" si="296"/>
        <v>#VALUE!</v>
      </c>
      <c r="M563" s="18" t="s">
        <v>23</v>
      </c>
      <c r="N563" s="41" t="s">
        <v>22</v>
      </c>
      <c r="O563" s="41" t="s">
        <v>22</v>
      </c>
      <c r="P563" s="41" t="s">
        <v>22</v>
      </c>
      <c r="R563" s="41" t="s">
        <v>22</v>
      </c>
      <c r="S563" s="41" t="s">
        <v>22</v>
      </c>
      <c r="T563" s="41">
        <v>15</v>
      </c>
      <c r="U563" s="41">
        <v>15</v>
      </c>
      <c r="V563" s="18">
        <v>20200507</v>
      </c>
      <c r="W563" s="21" t="s">
        <v>35</v>
      </c>
      <c r="X563" s="6">
        <v>2012</v>
      </c>
      <c r="Y563" s="18" t="s">
        <v>26</v>
      </c>
      <c r="Z563" s="18" t="s">
        <v>40</v>
      </c>
      <c r="AA563" s="18"/>
      <c r="AC563" s="18" t="s">
        <v>514</v>
      </c>
      <c r="AD563" s="41">
        <v>10</v>
      </c>
      <c r="AE563" s="41" t="s">
        <v>22</v>
      </c>
      <c r="AF563" s="41">
        <v>60</v>
      </c>
      <c r="AG563" s="41" t="s">
        <v>22</v>
      </c>
      <c r="AH563" s="41">
        <v>3.6840554081933401E-3</v>
      </c>
      <c r="AI563" s="41">
        <v>3.5074181894707303E-3</v>
      </c>
      <c r="AJ563" s="41">
        <v>2.9110386585933863E-3</v>
      </c>
      <c r="AK563" s="41">
        <v>2.0548648926333093E-3</v>
      </c>
      <c r="AL563" s="41">
        <v>1.6181229773462784E-3</v>
      </c>
      <c r="AM563" s="43">
        <f t="shared" si="271"/>
        <v>0.46134304207119747</v>
      </c>
      <c r="AN563" s="43">
        <f t="shared" si="272"/>
        <v>0.55585760517799354</v>
      </c>
      <c r="AO563" s="19" t="s">
        <v>41</v>
      </c>
      <c r="AP563" s="18"/>
      <c r="AQ563" s="18"/>
      <c r="AR563" s="18"/>
      <c r="AS563" s="18"/>
      <c r="AT563" s="2">
        <f t="shared" si="273"/>
        <v>12</v>
      </c>
      <c r="AU563" s="45">
        <f t="shared" si="274"/>
        <v>-1.2111248842245832</v>
      </c>
      <c r="AV563" s="45">
        <f t="shared" si="275"/>
        <v>-4.5757490560675115E-2</v>
      </c>
      <c r="AW563" s="45">
        <f t="shared" si="276"/>
        <v>-1.1653673936639082</v>
      </c>
      <c r="AX563" s="45" t="e">
        <f t="shared" si="277"/>
        <v>#VALUE!</v>
      </c>
      <c r="AY563" s="45" t="e">
        <f t="shared" si="278"/>
        <v>#VALUE!</v>
      </c>
      <c r="AZ563" s="45" t="e">
        <f t="shared" si="279"/>
        <v>#VALUE!</v>
      </c>
      <c r="BA563" s="45" t="e">
        <f t="shared" si="280"/>
        <v>#VALUE!</v>
      </c>
      <c r="BB563" s="45" t="e">
        <f t="shared" si="281"/>
        <v>#VALUE!</v>
      </c>
      <c r="BC563" s="45">
        <f t="shared" si="282"/>
        <v>1.1760912590556813</v>
      </c>
      <c r="BD563" s="45">
        <f t="shared" si="283"/>
        <v>1</v>
      </c>
      <c r="BE563" s="45">
        <f t="shared" si="284"/>
        <v>1.7781512503836436</v>
      </c>
      <c r="BF563" s="45">
        <f t="shared" si="285"/>
        <v>-0.33597602498856127</v>
      </c>
      <c r="BG563" s="45">
        <f t="shared" si="286"/>
        <v>-0.25503644799664238</v>
      </c>
      <c r="BH563" s="45" t="e">
        <f t="shared" si="287"/>
        <v>#NUM!</v>
      </c>
      <c r="BI563" s="43">
        <f t="shared" si="288"/>
        <v>1.7781512503836436</v>
      </c>
      <c r="BJ563" s="18"/>
      <c r="BK563" s="18"/>
      <c r="BL563" s="20"/>
      <c r="BS563" s="18"/>
      <c r="BT563" s="18"/>
      <c r="CA563" s="41" t="s">
        <v>22</v>
      </c>
      <c r="CB563" s="18"/>
      <c r="CC563" s="18" t="s">
        <v>22</v>
      </c>
      <c r="CD563" s="18"/>
      <c r="CE563" s="41" t="s">
        <v>22</v>
      </c>
      <c r="CF563" s="41" t="s">
        <v>22</v>
      </c>
      <c r="CG563" s="41">
        <f t="shared" si="290"/>
        <v>10000</v>
      </c>
      <c r="CH563" s="41">
        <f t="shared" si="297"/>
        <v>4</v>
      </c>
      <c r="CI563" s="41">
        <f t="shared" si="292"/>
        <v>10000</v>
      </c>
      <c r="CJ563" s="41">
        <f t="shared" si="298"/>
        <v>4</v>
      </c>
      <c r="CK563" s="18"/>
      <c r="CL563" s="9" t="s">
        <v>1269</v>
      </c>
      <c r="CM563" s="18" t="s">
        <v>1283</v>
      </c>
      <c r="CN563" s="54" t="s">
        <v>1284</v>
      </c>
      <c r="CO563" s="18" t="s">
        <v>1284</v>
      </c>
    </row>
    <row r="564" spans="1:93" x14ac:dyDescent="0.25">
      <c r="A564" s="18" t="s">
        <v>141</v>
      </c>
      <c r="B564" s="41">
        <v>3.3000000000000002E-2</v>
      </c>
      <c r="C564" s="41">
        <v>0.9</v>
      </c>
      <c r="D564" s="41">
        <f t="shared" si="295"/>
        <v>3.666666666666666E-2</v>
      </c>
      <c r="E564" s="41" t="s">
        <v>22</v>
      </c>
      <c r="F564" s="18" t="s">
        <v>22</v>
      </c>
      <c r="G564" s="18" t="s">
        <v>22</v>
      </c>
      <c r="H564" s="18" t="s">
        <v>22</v>
      </c>
      <c r="I564" s="18" t="s">
        <v>22</v>
      </c>
      <c r="J564" s="41" t="s">
        <v>22</v>
      </c>
      <c r="K564" s="18" t="s">
        <v>22</v>
      </c>
      <c r="L564" s="41" t="e">
        <f t="shared" si="296"/>
        <v>#VALUE!</v>
      </c>
      <c r="M564" s="18" t="s">
        <v>23</v>
      </c>
      <c r="N564" s="41" t="s">
        <v>22</v>
      </c>
      <c r="O564" s="41" t="s">
        <v>22</v>
      </c>
      <c r="P564" s="41" t="s">
        <v>22</v>
      </c>
      <c r="R564" s="41" t="s">
        <v>22</v>
      </c>
      <c r="S564" s="41" t="s">
        <v>22</v>
      </c>
      <c r="T564" s="41">
        <v>15</v>
      </c>
      <c r="U564" s="41">
        <v>15</v>
      </c>
      <c r="V564" s="18">
        <v>20200507</v>
      </c>
      <c r="W564" s="21" t="s">
        <v>35</v>
      </c>
      <c r="X564" s="6">
        <v>2012</v>
      </c>
      <c r="Y564" s="18" t="s">
        <v>26</v>
      </c>
      <c r="Z564" s="18" t="s">
        <v>40</v>
      </c>
      <c r="AA564" s="18"/>
      <c r="AC564" s="18" t="s">
        <v>514</v>
      </c>
      <c r="AD564" s="41">
        <v>34</v>
      </c>
      <c r="AE564" s="41" t="s">
        <v>22</v>
      </c>
      <c r="AF564" s="41">
        <v>24</v>
      </c>
      <c r="AG564" s="41" t="s">
        <v>22</v>
      </c>
      <c r="AH564" s="41">
        <v>5.8119260723003604E-3</v>
      </c>
      <c r="AI564" s="41">
        <v>5.4203479863407225E-3</v>
      </c>
      <c r="AJ564" s="41">
        <v>4.8631036327384134E-3</v>
      </c>
      <c r="AK564" s="41">
        <v>3.7659109738645774E-3</v>
      </c>
      <c r="AL564" s="41">
        <v>3.0206004953784813E-3</v>
      </c>
      <c r="AM564" s="43">
        <f t="shared" si="271"/>
        <v>0.55727058539237606</v>
      </c>
      <c r="AN564" s="43">
        <f t="shared" si="272"/>
        <v>0.62112607986467716</v>
      </c>
      <c r="AO564" s="19" t="s">
        <v>41</v>
      </c>
      <c r="AP564" s="18"/>
      <c r="AQ564" s="18"/>
      <c r="AR564" s="18"/>
      <c r="AS564" s="18"/>
      <c r="AT564" s="2">
        <f t="shared" si="273"/>
        <v>12</v>
      </c>
      <c r="AU564" s="45">
        <f t="shared" si="274"/>
        <v>-1.4814860601221125</v>
      </c>
      <c r="AV564" s="45">
        <f t="shared" si="275"/>
        <v>-4.5757490560675115E-2</v>
      </c>
      <c r="AW564" s="45">
        <f t="shared" si="276"/>
        <v>-1.4357285695614375</v>
      </c>
      <c r="AX564" s="45" t="e">
        <f t="shared" si="277"/>
        <v>#VALUE!</v>
      </c>
      <c r="AY564" s="45" t="e">
        <f t="shared" si="278"/>
        <v>#VALUE!</v>
      </c>
      <c r="AZ564" s="45" t="e">
        <f t="shared" si="279"/>
        <v>#VALUE!</v>
      </c>
      <c r="BA564" s="45" t="e">
        <f t="shared" si="280"/>
        <v>#VALUE!</v>
      </c>
      <c r="BB564" s="45" t="e">
        <f t="shared" si="281"/>
        <v>#VALUE!</v>
      </c>
      <c r="BC564" s="45">
        <f t="shared" si="282"/>
        <v>1.1760912590556813</v>
      </c>
      <c r="BD564" s="45">
        <f t="shared" si="283"/>
        <v>1.5314789170422551</v>
      </c>
      <c r="BE564" s="45">
        <f t="shared" si="284"/>
        <v>1.3802112417116059</v>
      </c>
      <c r="BF564" s="45">
        <f t="shared" si="285"/>
        <v>-0.25393387985590393</v>
      </c>
      <c r="BG564" s="45">
        <f t="shared" si="286"/>
        <v>-0.20682023519893594</v>
      </c>
      <c r="BH564" s="45" t="e">
        <f t="shared" si="287"/>
        <v>#NUM!</v>
      </c>
      <c r="BI564" s="43">
        <f t="shared" si="288"/>
        <v>1.3802112417116059</v>
      </c>
      <c r="BJ564" s="18"/>
      <c r="BK564" s="18"/>
      <c r="BL564" s="20"/>
      <c r="BS564" s="18"/>
      <c r="BT564" s="18"/>
      <c r="CA564" s="41" t="s">
        <v>22</v>
      </c>
      <c r="CB564" s="18"/>
      <c r="CC564" s="18" t="s">
        <v>22</v>
      </c>
      <c r="CD564" s="18"/>
      <c r="CE564" s="41" t="s">
        <v>22</v>
      </c>
      <c r="CF564" s="41" t="s">
        <v>22</v>
      </c>
      <c r="CG564" s="41">
        <f t="shared" si="290"/>
        <v>34000</v>
      </c>
      <c r="CH564" s="41">
        <f t="shared" si="297"/>
        <v>4.5314789170422554</v>
      </c>
      <c r="CI564" s="41">
        <f t="shared" si="292"/>
        <v>34000</v>
      </c>
      <c r="CJ564" s="41">
        <f t="shared" si="298"/>
        <v>4.5314789170422554</v>
      </c>
      <c r="CK564" s="18"/>
      <c r="CL564" s="9" t="s">
        <v>1269</v>
      </c>
      <c r="CM564" s="18" t="s">
        <v>1283</v>
      </c>
      <c r="CN564" s="54" t="s">
        <v>1284</v>
      </c>
      <c r="CO564" s="18" t="s">
        <v>1284</v>
      </c>
    </row>
    <row r="565" spans="1:93" s="9" customFormat="1" x14ac:dyDescent="0.25">
      <c r="A565" s="9" t="s">
        <v>141</v>
      </c>
      <c r="B565" s="50">
        <f>4.14537419298359/60</f>
        <v>6.9089569883059837E-2</v>
      </c>
      <c r="C565" s="50" t="s">
        <v>22</v>
      </c>
      <c r="D565" s="50" t="s">
        <v>22</v>
      </c>
      <c r="E565" s="50">
        <f>4.14537419298359/1.18482549554556</f>
        <v>3.4987212957253493</v>
      </c>
      <c r="F565" s="9" t="s">
        <v>22</v>
      </c>
      <c r="G565" s="9" t="s">
        <v>22</v>
      </c>
      <c r="H565" s="9" t="s">
        <v>22</v>
      </c>
      <c r="I565" s="9" t="s">
        <v>22</v>
      </c>
      <c r="J565" s="50" t="s">
        <v>22</v>
      </c>
      <c r="K565" s="9" t="s">
        <v>22</v>
      </c>
      <c r="L565" s="50" t="e">
        <f t="shared" si="296"/>
        <v>#VALUE!</v>
      </c>
      <c r="M565" s="9" t="s">
        <v>45</v>
      </c>
      <c r="N565" s="50" t="s">
        <v>22</v>
      </c>
      <c r="O565" s="50" t="s">
        <v>22</v>
      </c>
      <c r="P565" s="50" t="s">
        <v>22</v>
      </c>
      <c r="Q565" s="50"/>
      <c r="R565" s="50" t="s">
        <v>22</v>
      </c>
      <c r="S565" s="50" t="s">
        <v>22</v>
      </c>
      <c r="T565" s="50" t="s">
        <v>22</v>
      </c>
      <c r="U565" s="50" t="s">
        <v>22</v>
      </c>
      <c r="V565" s="9">
        <v>20200716</v>
      </c>
      <c r="W565" s="21" t="s">
        <v>1076</v>
      </c>
      <c r="X565" s="21">
        <v>2012</v>
      </c>
      <c r="Y565" s="9" t="s">
        <v>76</v>
      </c>
      <c r="Z565" s="9" t="s">
        <v>1075</v>
      </c>
      <c r="AA565" s="9" t="s">
        <v>737</v>
      </c>
      <c r="AB565" s="50">
        <f>2.06275473199787/60</f>
        <v>3.4379245533297832E-2</v>
      </c>
      <c r="AC565" s="9" t="s">
        <v>514</v>
      </c>
      <c r="AD565" s="50" t="s">
        <v>22</v>
      </c>
      <c r="AE565" s="50" t="s">
        <v>22</v>
      </c>
      <c r="AF565" s="50" t="s">
        <v>22</v>
      </c>
      <c r="AG565" s="50">
        <v>148.66</v>
      </c>
      <c r="AH565" s="50">
        <f>2.97226699315082^-1</f>
        <v>0.3364435302428625</v>
      </c>
      <c r="AI565" s="50">
        <f>3.27778706108476^-1</f>
        <v>0.30508388170556061</v>
      </c>
      <c r="AJ565" s="50">
        <f>3.66217738803607^-1</f>
        <v>0.27306159534130975</v>
      </c>
      <c r="AK565" s="50">
        <f>4.54175597318688^-1</f>
        <v>0.22017915667501517</v>
      </c>
      <c r="AL565" s="50">
        <f>4.14537419298359^-1</f>
        <v>0.24123274605525064</v>
      </c>
      <c r="AM565" s="43">
        <f t="shared" si="271"/>
        <v>0.79070957372984618</v>
      </c>
      <c r="AN565" s="43">
        <f t="shared" si="272"/>
        <v>0.88343710785738627</v>
      </c>
      <c r="AO565" s="21" t="s">
        <v>1077</v>
      </c>
      <c r="AT565" s="2">
        <f t="shared" si="273"/>
        <v>2</v>
      </c>
      <c r="AU565" s="45">
        <f t="shared" si="274"/>
        <v>-1.1605875110068742</v>
      </c>
      <c r="AV565" s="45" t="e">
        <f t="shared" si="275"/>
        <v>#VALUE!</v>
      </c>
      <c r="AW565" s="45" t="e">
        <f t="shared" si="276"/>
        <v>#VALUE!</v>
      </c>
      <c r="AX565" s="45" t="e">
        <f t="shared" si="277"/>
        <v>#VALUE!</v>
      </c>
      <c r="AY565" s="45" t="e">
        <f t="shared" si="278"/>
        <v>#VALUE!</v>
      </c>
      <c r="AZ565" s="45" t="e">
        <f t="shared" si="279"/>
        <v>#VALUE!</v>
      </c>
      <c r="BA565" s="45" t="e">
        <f t="shared" si="280"/>
        <v>#VALUE!</v>
      </c>
      <c r="BB565" s="45" t="e">
        <f t="shared" si="281"/>
        <v>#VALUE!</v>
      </c>
      <c r="BC565" s="45" t="e">
        <f t="shared" si="282"/>
        <v>#VALUE!</v>
      </c>
      <c r="BD565" s="45" t="e">
        <f t="shared" si="283"/>
        <v>#VALUE!</v>
      </c>
      <c r="BE565" s="45" t="e">
        <f t="shared" si="284"/>
        <v>#VALUE!</v>
      </c>
      <c r="BF565" s="45">
        <f t="shared" si="285"/>
        <v>-0.10198300283286085</v>
      </c>
      <c r="BG565" s="45">
        <f t="shared" si="286"/>
        <v>-5.3824362606231954E-2</v>
      </c>
      <c r="BH565" s="45">
        <f t="shared" si="287"/>
        <v>-1.4637036583156573</v>
      </c>
      <c r="BI565" s="43" t="e">
        <f t="shared" si="288"/>
        <v>#VALUE!</v>
      </c>
      <c r="BL565" s="20"/>
      <c r="BM565" s="50"/>
      <c r="BN565" s="50"/>
      <c r="BO565" s="50"/>
      <c r="BP565" s="50"/>
      <c r="BQ565" s="50"/>
      <c r="BR565" s="50"/>
      <c r="BU565" s="50"/>
      <c r="BV565" s="50"/>
      <c r="BW565" s="50"/>
      <c r="BX565" s="50"/>
      <c r="BY565" s="50"/>
      <c r="BZ565" s="50"/>
      <c r="CA565" s="50" t="s">
        <v>22</v>
      </c>
      <c r="CE565" s="50"/>
      <c r="CF565" s="50"/>
      <c r="CG565" s="50"/>
      <c r="CH565" s="50"/>
      <c r="CI565" s="50" t="str">
        <f t="shared" si="292"/>
        <v>Not Reported/ Can not calculate</v>
      </c>
      <c r="CJ565" s="50" t="e">
        <f t="shared" si="298"/>
        <v>#VALUE!</v>
      </c>
      <c r="CL565" s="9" t="s">
        <v>1269</v>
      </c>
      <c r="CM565" s="9" t="s">
        <v>1284</v>
      </c>
      <c r="CN565" s="55" t="s">
        <v>1284</v>
      </c>
      <c r="CO565" s="9" t="s">
        <v>1284</v>
      </c>
    </row>
    <row r="566" spans="1:93" s="9" customFormat="1" x14ac:dyDescent="0.25">
      <c r="A566" s="9" t="s">
        <v>141</v>
      </c>
      <c r="B566" s="50">
        <f>2.06275473199787/60</f>
        <v>3.4379245533297832E-2</v>
      </c>
      <c r="C566" s="50" t="s">
        <v>22</v>
      </c>
      <c r="D566" s="50" t="s">
        <v>22</v>
      </c>
      <c r="E566" s="50">
        <f>2.06275473199787/0.703113595754282</f>
        <v>2.9337432023128498</v>
      </c>
      <c r="F566" s="9" t="s">
        <v>22</v>
      </c>
      <c r="G566" s="9" t="s">
        <v>22</v>
      </c>
      <c r="H566" s="9" t="s">
        <v>22</v>
      </c>
      <c r="I566" s="9" t="s">
        <v>22</v>
      </c>
      <c r="J566" s="50" t="s">
        <v>22</v>
      </c>
      <c r="K566" s="9" t="s">
        <v>22</v>
      </c>
      <c r="L566" s="50" t="e">
        <f t="shared" si="296"/>
        <v>#VALUE!</v>
      </c>
      <c r="M566" s="9" t="s">
        <v>23</v>
      </c>
      <c r="N566" s="50" t="s">
        <v>22</v>
      </c>
      <c r="O566" s="50" t="s">
        <v>22</v>
      </c>
      <c r="P566" s="50" t="s">
        <v>22</v>
      </c>
      <c r="Q566" s="50"/>
      <c r="R566" s="50" t="s">
        <v>22</v>
      </c>
      <c r="S566" s="50" t="s">
        <v>22</v>
      </c>
      <c r="T566" s="50" t="s">
        <v>22</v>
      </c>
      <c r="U566" s="50" t="s">
        <v>22</v>
      </c>
      <c r="V566" s="9">
        <v>20200716</v>
      </c>
      <c r="W566" s="21" t="s">
        <v>1076</v>
      </c>
      <c r="X566" s="21">
        <v>2012</v>
      </c>
      <c r="Y566" s="9" t="s">
        <v>76</v>
      </c>
      <c r="Z566" s="9" t="s">
        <v>85</v>
      </c>
      <c r="AB566" s="50"/>
      <c r="AC566" s="9" t="s">
        <v>514</v>
      </c>
      <c r="AD566" s="50" t="s">
        <v>22</v>
      </c>
      <c r="AE566" s="50" t="s">
        <v>22</v>
      </c>
      <c r="AF566" s="50" t="s">
        <v>22</v>
      </c>
      <c r="AG566" s="50" t="s">
        <v>22</v>
      </c>
      <c r="AH566" s="50">
        <f>0.299171817537833^-1</f>
        <v>3.3425608342053841</v>
      </c>
      <c r="AI566" s="50">
        <f>0.43960182840424^-1</f>
        <v>2.2747858070336338</v>
      </c>
      <c r="AJ566" s="50">
        <f>0.625221629988033^-1</f>
        <v>1.5994328283542276</v>
      </c>
      <c r="AK566" s="50">
        <f>1.27296324447933^-1</f>
        <v>0.78556863627984963</v>
      </c>
      <c r="AL566" s="50">
        <f>2.06275473199787^-1</f>
        <v>0.48478861034120885</v>
      </c>
      <c r="AM566" s="43">
        <f t="shared" si="271"/>
        <v>0.21311395949554604</v>
      </c>
      <c r="AN566" s="43">
        <f t="shared" si="272"/>
        <v>0.30310032515716401</v>
      </c>
      <c r="AO566" s="21" t="s">
        <v>1077</v>
      </c>
      <c r="AT566" s="2">
        <f t="shared" si="273"/>
        <v>2</v>
      </c>
      <c r="AU566" s="45">
        <f t="shared" si="274"/>
        <v>-1.4637036583156573</v>
      </c>
      <c r="AV566" s="45" t="e">
        <f t="shared" si="275"/>
        <v>#VALUE!</v>
      </c>
      <c r="AW566" s="45" t="e">
        <f t="shared" si="276"/>
        <v>#VALUE!</v>
      </c>
      <c r="AX566" s="45" t="e">
        <f t="shared" si="277"/>
        <v>#VALUE!</v>
      </c>
      <c r="AY566" s="45" t="e">
        <f t="shared" si="278"/>
        <v>#VALUE!</v>
      </c>
      <c r="AZ566" s="45" t="e">
        <f t="shared" si="279"/>
        <v>#VALUE!</v>
      </c>
      <c r="BA566" s="45" t="e">
        <f t="shared" si="280"/>
        <v>#VALUE!</v>
      </c>
      <c r="BB566" s="45" t="e">
        <f t="shared" si="281"/>
        <v>#VALUE!</v>
      </c>
      <c r="BC566" s="45" t="e">
        <f t="shared" si="282"/>
        <v>#VALUE!</v>
      </c>
      <c r="BD566" s="45" t="e">
        <f t="shared" si="283"/>
        <v>#VALUE!</v>
      </c>
      <c r="BE566" s="45" t="e">
        <f t="shared" si="284"/>
        <v>#VALUE!</v>
      </c>
      <c r="BF566" s="45">
        <f t="shared" si="285"/>
        <v>-0.67138810198300125</v>
      </c>
      <c r="BG566" s="45">
        <f t="shared" si="286"/>
        <v>-0.51841359773370954</v>
      </c>
      <c r="BH566" s="45" t="e">
        <f t="shared" si="287"/>
        <v>#NUM!</v>
      </c>
      <c r="BI566" s="43" t="e">
        <f t="shared" si="288"/>
        <v>#VALUE!</v>
      </c>
      <c r="BL566" s="20"/>
      <c r="BM566" s="50"/>
      <c r="BN566" s="50"/>
      <c r="BO566" s="50"/>
      <c r="BP566" s="50"/>
      <c r="BQ566" s="50"/>
      <c r="BR566" s="50"/>
      <c r="BU566" s="50"/>
      <c r="BV566" s="50"/>
      <c r="BW566" s="50"/>
      <c r="BX566" s="50"/>
      <c r="BY566" s="50"/>
      <c r="BZ566" s="50"/>
      <c r="CA566" s="50" t="s">
        <v>22</v>
      </c>
      <c r="CE566" s="50"/>
      <c r="CF566" s="50"/>
      <c r="CG566" s="50"/>
      <c r="CH566" s="50"/>
      <c r="CI566" s="50" t="str">
        <f t="shared" si="292"/>
        <v>Not Reported/ Can not calculate</v>
      </c>
      <c r="CJ566" s="50" t="e">
        <f t="shared" si="298"/>
        <v>#VALUE!</v>
      </c>
      <c r="CL566" s="9" t="s">
        <v>1269</v>
      </c>
      <c r="CM566" s="9" t="s">
        <v>1284</v>
      </c>
      <c r="CN566" s="55" t="s">
        <v>1284</v>
      </c>
      <c r="CO566" s="9" t="s">
        <v>1284</v>
      </c>
    </row>
    <row r="567" spans="1:93" x14ac:dyDescent="0.25">
      <c r="A567" s="18" t="s">
        <v>315</v>
      </c>
      <c r="B567" s="41">
        <v>0.16190430466260036</v>
      </c>
      <c r="C567" s="41" t="s">
        <v>22</v>
      </c>
      <c r="D567" s="41" t="s">
        <v>22</v>
      </c>
      <c r="E567" s="41" t="s">
        <v>22</v>
      </c>
      <c r="F567" s="18" t="s">
        <v>22</v>
      </c>
      <c r="G567" s="18" t="s">
        <v>22</v>
      </c>
      <c r="H567" s="18" t="s">
        <v>22</v>
      </c>
      <c r="I567" s="18" t="s">
        <v>22</v>
      </c>
      <c r="J567" s="41">
        <v>3.919406774847217</v>
      </c>
      <c r="K567" s="18">
        <v>632.57000000000005</v>
      </c>
      <c r="L567" s="41">
        <f t="shared" si="296"/>
        <v>0.62755920560434819</v>
      </c>
      <c r="M567" s="18" t="s">
        <v>23</v>
      </c>
      <c r="N567" s="41" t="s">
        <v>22</v>
      </c>
      <c r="O567" s="41" t="s">
        <v>22</v>
      </c>
      <c r="P567" s="41" t="s">
        <v>22</v>
      </c>
      <c r="R567" s="41" t="s">
        <v>22</v>
      </c>
      <c r="S567" s="41" t="s">
        <v>22</v>
      </c>
      <c r="T567" s="41" t="s">
        <v>22</v>
      </c>
      <c r="U567" s="41" t="s">
        <v>22</v>
      </c>
      <c r="V567" s="18">
        <v>20200524</v>
      </c>
      <c r="W567" s="9" t="s">
        <v>890</v>
      </c>
      <c r="X567" s="18">
        <v>2012</v>
      </c>
      <c r="Y567" s="18" t="s">
        <v>328</v>
      </c>
      <c r="Z567" s="18" t="s">
        <v>32</v>
      </c>
      <c r="AA567" s="18"/>
      <c r="AC567" s="18" t="s">
        <v>287</v>
      </c>
      <c r="AD567" s="41" t="s">
        <v>22</v>
      </c>
      <c r="AF567" s="41" t="s">
        <v>22</v>
      </c>
      <c r="AG567" s="41" t="s">
        <v>22</v>
      </c>
      <c r="AH567" s="41" t="s">
        <v>22</v>
      </c>
      <c r="AI567" s="41" t="s">
        <v>22</v>
      </c>
      <c r="AJ567" s="41" t="s">
        <v>22</v>
      </c>
      <c r="AK567" s="41" t="s">
        <v>22</v>
      </c>
      <c r="AL567" s="41" t="s">
        <v>22</v>
      </c>
      <c r="AM567" s="43" t="e">
        <f t="shared" si="271"/>
        <v>#VALUE!</v>
      </c>
      <c r="AN567" s="43" t="e">
        <f t="shared" si="272"/>
        <v>#VALUE!</v>
      </c>
      <c r="AO567" s="19" t="s">
        <v>891</v>
      </c>
      <c r="AP567" s="18"/>
      <c r="AQ567" s="18"/>
      <c r="AR567" s="18"/>
      <c r="AS567" s="18"/>
      <c r="AT567" s="2">
        <f t="shared" si="273"/>
        <v>28</v>
      </c>
      <c r="AU567" s="45">
        <f t="shared" si="274"/>
        <v>-0.79074160420301387</v>
      </c>
      <c r="AV567" s="45" t="e">
        <f t="shared" si="275"/>
        <v>#VALUE!</v>
      </c>
      <c r="AW567" s="45" t="e">
        <f t="shared" si="276"/>
        <v>#VALUE!</v>
      </c>
      <c r="AX567" s="45" t="e">
        <f t="shared" si="277"/>
        <v>#VALUE!</v>
      </c>
      <c r="AY567" s="45" t="e">
        <f t="shared" si="278"/>
        <v>#VALUE!</v>
      </c>
      <c r="AZ567" s="45" t="e">
        <f t="shared" si="279"/>
        <v>#VALUE!</v>
      </c>
      <c r="BA567" s="45">
        <f t="shared" si="280"/>
        <v>0.5932203389830506</v>
      </c>
      <c r="BB567" s="45">
        <f t="shared" si="281"/>
        <v>-0.20234529541771737</v>
      </c>
      <c r="BC567" s="45" t="e">
        <f t="shared" si="282"/>
        <v>#VALUE!</v>
      </c>
      <c r="BD567" s="45" t="e">
        <f t="shared" si="283"/>
        <v>#VALUE!</v>
      </c>
      <c r="BE567" s="45" t="e">
        <f t="shared" si="284"/>
        <v>#VALUE!</v>
      </c>
      <c r="BF567" s="45" t="e">
        <f t="shared" si="285"/>
        <v>#VALUE!</v>
      </c>
      <c r="BG567" s="45" t="e">
        <f t="shared" si="286"/>
        <v>#VALUE!</v>
      </c>
      <c r="BH567" s="45" t="e">
        <f t="shared" si="287"/>
        <v>#NUM!</v>
      </c>
      <c r="BI567" s="43" t="e">
        <f t="shared" si="288"/>
        <v>#VALUE!</v>
      </c>
      <c r="BJ567" s="18"/>
      <c r="BK567" s="18"/>
      <c r="BL567" s="20"/>
      <c r="BS567" s="18"/>
      <c r="BT567" s="18"/>
      <c r="CA567" s="41" t="s">
        <v>22</v>
      </c>
      <c r="CB567" s="18"/>
      <c r="CC567" s="18" t="s">
        <v>22</v>
      </c>
      <c r="CD567" s="18"/>
      <c r="CE567" s="41" t="s">
        <v>22</v>
      </c>
      <c r="CF567" s="41" t="s">
        <v>22</v>
      </c>
      <c r="CG567" s="41" t="e">
        <f t="shared" ref="CG567:CG594" si="299">AD567*1000</f>
        <v>#VALUE!</v>
      </c>
      <c r="CH567" s="41" t="e">
        <f t="shared" ref="CH567:CH594" si="300">LOG10(CG567)</f>
        <v>#VALUE!</v>
      </c>
      <c r="CI567" s="41" t="str">
        <f t="shared" ref="CI567:CI594" si="301">IF(ISNUMBER(CG567),CG567,U567)</f>
        <v>Not Reported/ Can not calculate</v>
      </c>
      <c r="CJ567" s="41" t="e">
        <f t="shared" ref="CJ567:CJ594" si="302">LOG10(CI567)</f>
        <v>#VALUE!</v>
      </c>
      <c r="CK567" s="18"/>
      <c r="CL567" s="9" t="s">
        <v>1269</v>
      </c>
      <c r="CM567" s="18" t="s">
        <v>1284</v>
      </c>
      <c r="CN567" s="54" t="s">
        <v>1284</v>
      </c>
      <c r="CO567" s="18" t="s">
        <v>1284</v>
      </c>
    </row>
    <row r="568" spans="1:93" x14ac:dyDescent="0.25">
      <c r="A568" s="18" t="s">
        <v>315</v>
      </c>
      <c r="B568" s="41">
        <v>0.13208203808069757</v>
      </c>
      <c r="C568" s="41" t="s">
        <v>22</v>
      </c>
      <c r="D568" s="41" t="s">
        <v>22</v>
      </c>
      <c r="E568" s="41" t="s">
        <v>22</v>
      </c>
      <c r="F568" s="18" t="s">
        <v>22</v>
      </c>
      <c r="G568" s="18" t="s">
        <v>22</v>
      </c>
      <c r="H568" s="18" t="s">
        <v>22</v>
      </c>
      <c r="I568" s="18" t="s">
        <v>22</v>
      </c>
      <c r="J568" s="41">
        <v>2.1898156351113585</v>
      </c>
      <c r="K568" s="18">
        <v>632.57000000000005</v>
      </c>
      <c r="L568" s="41">
        <f t="shared" si="296"/>
        <v>0.35062422436212554</v>
      </c>
      <c r="M568" s="18" t="s">
        <v>23</v>
      </c>
      <c r="N568" s="41" t="s">
        <v>22</v>
      </c>
      <c r="O568" s="41" t="s">
        <v>22</v>
      </c>
      <c r="P568" s="41" t="s">
        <v>22</v>
      </c>
      <c r="R568" s="41" t="s">
        <v>22</v>
      </c>
      <c r="S568" s="41" t="s">
        <v>22</v>
      </c>
      <c r="T568" s="41" t="s">
        <v>22</v>
      </c>
      <c r="U568" s="41" t="s">
        <v>22</v>
      </c>
      <c r="V568" s="18">
        <v>20200524</v>
      </c>
      <c r="W568" s="9" t="s">
        <v>890</v>
      </c>
      <c r="X568" s="18">
        <v>2012</v>
      </c>
      <c r="Y568" s="18" t="s">
        <v>328</v>
      </c>
      <c r="Z568" s="18" t="s">
        <v>892</v>
      </c>
      <c r="AA568" s="18"/>
      <c r="AC568" s="18" t="s">
        <v>287</v>
      </c>
      <c r="AD568" s="41" t="s">
        <v>22</v>
      </c>
      <c r="AF568" s="41" t="s">
        <v>22</v>
      </c>
      <c r="AG568" s="41" t="s">
        <v>22</v>
      </c>
      <c r="AH568" s="41" t="s">
        <v>22</v>
      </c>
      <c r="AI568" s="41" t="s">
        <v>22</v>
      </c>
      <c r="AJ568" s="41" t="s">
        <v>22</v>
      </c>
      <c r="AK568" s="41" t="s">
        <v>22</v>
      </c>
      <c r="AL568" s="41" t="s">
        <v>22</v>
      </c>
      <c r="AM568" s="43" t="e">
        <f t="shared" si="271"/>
        <v>#VALUE!</v>
      </c>
      <c r="AN568" s="43" t="e">
        <f t="shared" si="272"/>
        <v>#VALUE!</v>
      </c>
      <c r="AO568" s="19" t="s">
        <v>891</v>
      </c>
      <c r="AP568" s="18"/>
      <c r="AQ568" s="18"/>
      <c r="AR568" s="18"/>
      <c r="AS568" s="18"/>
      <c r="AT568" s="2">
        <f t="shared" si="273"/>
        <v>28</v>
      </c>
      <c r="AU568" s="45">
        <f t="shared" si="274"/>
        <v>-0.87915623834935386</v>
      </c>
      <c r="AV568" s="45" t="e">
        <f t="shared" si="275"/>
        <v>#VALUE!</v>
      </c>
      <c r="AW568" s="45" t="e">
        <f t="shared" si="276"/>
        <v>#VALUE!</v>
      </c>
      <c r="AX568" s="45" t="e">
        <f t="shared" si="277"/>
        <v>#VALUE!</v>
      </c>
      <c r="AY568" s="45" t="e">
        <f t="shared" si="278"/>
        <v>#VALUE!</v>
      </c>
      <c r="AZ568" s="45" t="e">
        <f t="shared" si="279"/>
        <v>#VALUE!</v>
      </c>
      <c r="BA568" s="45">
        <f t="shared" si="280"/>
        <v>0.34040755227195946</v>
      </c>
      <c r="BB568" s="45">
        <f t="shared" si="281"/>
        <v>-0.45515808212880843</v>
      </c>
      <c r="BC568" s="45" t="e">
        <f t="shared" si="282"/>
        <v>#VALUE!</v>
      </c>
      <c r="BD568" s="45" t="e">
        <f t="shared" si="283"/>
        <v>#VALUE!</v>
      </c>
      <c r="BE568" s="45" t="e">
        <f t="shared" si="284"/>
        <v>#VALUE!</v>
      </c>
      <c r="BF568" s="45" t="e">
        <f t="shared" si="285"/>
        <v>#VALUE!</v>
      </c>
      <c r="BG568" s="45" t="e">
        <f t="shared" si="286"/>
        <v>#VALUE!</v>
      </c>
      <c r="BH568" s="45" t="e">
        <f t="shared" si="287"/>
        <v>#NUM!</v>
      </c>
      <c r="BI568" s="43" t="e">
        <f t="shared" si="288"/>
        <v>#VALUE!</v>
      </c>
      <c r="BJ568" s="18"/>
      <c r="BK568" s="18"/>
      <c r="BL568" s="20"/>
      <c r="BS568" s="18"/>
      <c r="BT568" s="18"/>
      <c r="CA568" s="41" t="s">
        <v>22</v>
      </c>
      <c r="CB568" s="18"/>
      <c r="CC568" s="18" t="s">
        <v>22</v>
      </c>
      <c r="CD568" s="18"/>
      <c r="CE568" s="41" t="s">
        <v>22</v>
      </c>
      <c r="CF568" s="41" t="s">
        <v>22</v>
      </c>
      <c r="CG568" s="41" t="e">
        <f t="shared" si="299"/>
        <v>#VALUE!</v>
      </c>
      <c r="CH568" s="41" t="e">
        <f t="shared" si="300"/>
        <v>#VALUE!</v>
      </c>
      <c r="CI568" s="41" t="str">
        <f t="shared" si="301"/>
        <v>Not Reported/ Can not calculate</v>
      </c>
      <c r="CJ568" s="41" t="e">
        <f t="shared" si="302"/>
        <v>#VALUE!</v>
      </c>
      <c r="CK568" s="18"/>
      <c r="CL568" s="9" t="s">
        <v>1269</v>
      </c>
      <c r="CM568" s="18" t="s">
        <v>1284</v>
      </c>
      <c r="CN568" s="54" t="s">
        <v>1284</v>
      </c>
      <c r="CO568" s="18" t="s">
        <v>1284</v>
      </c>
    </row>
    <row r="569" spans="1:93" x14ac:dyDescent="0.25">
      <c r="A569" t="s">
        <v>315</v>
      </c>
      <c r="B569" s="41">
        <v>0.10625064289389012</v>
      </c>
      <c r="C569" s="41" t="s">
        <v>22</v>
      </c>
      <c r="D569" s="41" t="s">
        <v>22</v>
      </c>
      <c r="E569" s="41" t="s">
        <v>22</v>
      </c>
      <c r="F569" t="s">
        <v>22</v>
      </c>
      <c r="G569" t="s">
        <v>22</v>
      </c>
      <c r="H569" t="s">
        <v>22</v>
      </c>
      <c r="I569" t="s">
        <v>22</v>
      </c>
      <c r="J569" s="41">
        <v>1.4592967291835408</v>
      </c>
      <c r="K569">
        <v>632.57000000000005</v>
      </c>
      <c r="L569" s="41">
        <f t="shared" si="296"/>
        <v>0.23365655792212212</v>
      </c>
      <c r="M569" t="s">
        <v>23</v>
      </c>
      <c r="N569" s="41" t="s">
        <v>22</v>
      </c>
      <c r="O569" s="41" t="s">
        <v>22</v>
      </c>
      <c r="P569" s="41" t="s">
        <v>22</v>
      </c>
      <c r="R569" s="41" t="s">
        <v>22</v>
      </c>
      <c r="S569" s="41" t="s">
        <v>22</v>
      </c>
      <c r="T569" s="41" t="s">
        <v>22</v>
      </c>
      <c r="U569" s="41" t="s">
        <v>22</v>
      </c>
      <c r="V569">
        <v>20200524</v>
      </c>
      <c r="W569" s="9" t="s">
        <v>890</v>
      </c>
      <c r="X569" s="18">
        <v>2012</v>
      </c>
      <c r="Y569" t="s">
        <v>328</v>
      </c>
      <c r="Z569" t="s">
        <v>892</v>
      </c>
      <c r="AC569" t="s">
        <v>287</v>
      </c>
      <c r="AD569" s="41" t="s">
        <v>22</v>
      </c>
      <c r="AF569" s="41" t="s">
        <v>22</v>
      </c>
      <c r="AG569" s="41" t="s">
        <v>22</v>
      </c>
      <c r="AH569" s="41" t="s">
        <v>22</v>
      </c>
      <c r="AI569" s="41" t="s">
        <v>22</v>
      </c>
      <c r="AJ569" s="41" t="s">
        <v>22</v>
      </c>
      <c r="AK569" s="41" t="s">
        <v>22</v>
      </c>
      <c r="AL569" s="41" t="s">
        <v>22</v>
      </c>
      <c r="AM569" s="43" t="e">
        <f t="shared" si="271"/>
        <v>#VALUE!</v>
      </c>
      <c r="AN569" s="43" t="e">
        <f t="shared" si="272"/>
        <v>#VALUE!</v>
      </c>
      <c r="AO569" s="3" t="s">
        <v>891</v>
      </c>
      <c r="AT569" s="2">
        <f t="shared" si="273"/>
        <v>28</v>
      </c>
      <c r="AU569" s="45">
        <f t="shared" si="274"/>
        <v>-0.97366843347130516</v>
      </c>
      <c r="AV569" s="45" t="e">
        <f t="shared" si="275"/>
        <v>#VALUE!</v>
      </c>
      <c r="AW569" s="45" t="e">
        <f t="shared" si="276"/>
        <v>#VALUE!</v>
      </c>
      <c r="AX569" s="45" t="e">
        <f t="shared" si="277"/>
        <v>#VALUE!</v>
      </c>
      <c r="AY569" s="45" t="e">
        <f t="shared" si="278"/>
        <v>#VALUE!</v>
      </c>
      <c r="AZ569" s="45" t="e">
        <f t="shared" si="279"/>
        <v>#VALUE!</v>
      </c>
      <c r="BA569" s="45">
        <f t="shared" si="280"/>
        <v>0.16414360905886308</v>
      </c>
      <c r="BB569" s="45">
        <f t="shared" si="281"/>
        <v>-0.63142202534190484</v>
      </c>
      <c r="BC569" s="45" t="e">
        <f t="shared" si="282"/>
        <v>#VALUE!</v>
      </c>
      <c r="BD569" s="45" t="e">
        <f t="shared" si="283"/>
        <v>#VALUE!</v>
      </c>
      <c r="BE569" s="45" t="e">
        <f t="shared" si="284"/>
        <v>#VALUE!</v>
      </c>
      <c r="BF569" s="45" t="e">
        <f t="shared" si="285"/>
        <v>#VALUE!</v>
      </c>
      <c r="BG569" s="45" t="e">
        <f t="shared" si="286"/>
        <v>#VALUE!</v>
      </c>
      <c r="BH569" s="45" t="e">
        <f t="shared" si="287"/>
        <v>#NUM!</v>
      </c>
      <c r="BI569" s="43" t="e">
        <f t="shared" si="288"/>
        <v>#VALUE!</v>
      </c>
      <c r="CA569" s="41" t="s">
        <v>22</v>
      </c>
      <c r="CC569" t="s">
        <v>22</v>
      </c>
      <c r="CE569" s="41" t="s">
        <v>22</v>
      </c>
      <c r="CF569" s="41" t="s">
        <v>22</v>
      </c>
      <c r="CG569" s="41" t="e">
        <f t="shared" si="299"/>
        <v>#VALUE!</v>
      </c>
      <c r="CH569" s="41" t="e">
        <f t="shared" si="300"/>
        <v>#VALUE!</v>
      </c>
      <c r="CI569" s="41" t="str">
        <f t="shared" si="301"/>
        <v>Not Reported/ Can not calculate</v>
      </c>
      <c r="CJ569" s="41" t="e">
        <f t="shared" si="302"/>
        <v>#VALUE!</v>
      </c>
      <c r="CL569" s="9" t="s">
        <v>1269</v>
      </c>
      <c r="CM569" s="18" t="s">
        <v>1284</v>
      </c>
      <c r="CN569" s="54" t="s">
        <v>1284</v>
      </c>
      <c r="CO569" s="18" t="s">
        <v>1284</v>
      </c>
    </row>
    <row r="570" spans="1:93" x14ac:dyDescent="0.25">
      <c r="A570" t="s">
        <v>315</v>
      </c>
      <c r="B570" s="41">
        <v>7.8016277625117952E-2</v>
      </c>
      <c r="C570" s="41" t="s">
        <v>22</v>
      </c>
      <c r="D570" s="41" t="s">
        <v>22</v>
      </c>
      <c r="E570" s="41" t="s">
        <v>22</v>
      </c>
      <c r="F570" t="s">
        <v>22</v>
      </c>
      <c r="G570" t="s">
        <v>22</v>
      </c>
      <c r="H570" t="s">
        <v>22</v>
      </c>
      <c r="I570" t="s">
        <v>22</v>
      </c>
      <c r="J570" s="41">
        <v>1.0184303524805216</v>
      </c>
      <c r="K570">
        <v>632.57000000000005</v>
      </c>
      <c r="L570" s="41">
        <f t="shared" si="296"/>
        <v>0.16306685671607696</v>
      </c>
      <c r="M570" t="s">
        <v>23</v>
      </c>
      <c r="N570" s="41" t="s">
        <v>22</v>
      </c>
      <c r="O570" s="41" t="s">
        <v>22</v>
      </c>
      <c r="P570" s="41" t="s">
        <v>22</v>
      </c>
      <c r="R570" s="41" t="s">
        <v>22</v>
      </c>
      <c r="S570" s="41" t="s">
        <v>22</v>
      </c>
      <c r="T570" s="41" t="s">
        <v>22</v>
      </c>
      <c r="U570" s="41" t="s">
        <v>22</v>
      </c>
      <c r="V570">
        <v>20200524</v>
      </c>
      <c r="W570" s="9" t="s">
        <v>890</v>
      </c>
      <c r="X570" s="18">
        <v>2012</v>
      </c>
      <c r="Y570" t="s">
        <v>328</v>
      </c>
      <c r="Z570" t="s">
        <v>892</v>
      </c>
      <c r="AC570" t="s">
        <v>287</v>
      </c>
      <c r="AD570" s="41" t="s">
        <v>22</v>
      </c>
      <c r="AF570" s="41" t="s">
        <v>22</v>
      </c>
      <c r="AG570" s="41" t="s">
        <v>22</v>
      </c>
      <c r="AH570" s="41" t="s">
        <v>22</v>
      </c>
      <c r="AI570" s="41" t="s">
        <v>22</v>
      </c>
      <c r="AJ570" s="41" t="s">
        <v>22</v>
      </c>
      <c r="AK570" s="41" t="s">
        <v>22</v>
      </c>
      <c r="AL570" s="41" t="s">
        <v>22</v>
      </c>
      <c r="AM570" s="43" t="e">
        <f t="shared" si="271"/>
        <v>#VALUE!</v>
      </c>
      <c r="AN570" s="43" t="e">
        <f t="shared" si="272"/>
        <v>#VALUE!</v>
      </c>
      <c r="AO570" s="3" t="s">
        <v>891</v>
      </c>
      <c r="AT570" s="2">
        <f t="shared" si="273"/>
        <v>28</v>
      </c>
      <c r="AU570" s="45">
        <f t="shared" si="274"/>
        <v>-1.1078147749347202</v>
      </c>
      <c r="AV570" s="45" t="e">
        <f t="shared" si="275"/>
        <v>#VALUE!</v>
      </c>
      <c r="AW570" s="45" t="e">
        <f t="shared" si="276"/>
        <v>#VALUE!</v>
      </c>
      <c r="AX570" s="45" t="e">
        <f t="shared" si="277"/>
        <v>#VALUE!</v>
      </c>
      <c r="AY570" s="45" t="e">
        <f t="shared" si="278"/>
        <v>#VALUE!</v>
      </c>
      <c r="AZ570" s="45" t="e">
        <f t="shared" si="279"/>
        <v>#VALUE!</v>
      </c>
      <c r="BA570" s="45">
        <f t="shared" si="280"/>
        <v>7.9313342025206773E-3</v>
      </c>
      <c r="BB570" s="45">
        <f t="shared" si="281"/>
        <v>-0.78763430019824732</v>
      </c>
      <c r="BC570" s="45" t="e">
        <f t="shared" si="282"/>
        <v>#VALUE!</v>
      </c>
      <c r="BD570" s="45" t="e">
        <f t="shared" si="283"/>
        <v>#VALUE!</v>
      </c>
      <c r="BE570" s="45" t="e">
        <f t="shared" si="284"/>
        <v>#VALUE!</v>
      </c>
      <c r="BF570" s="45" t="e">
        <f t="shared" si="285"/>
        <v>#VALUE!</v>
      </c>
      <c r="BG570" s="45" t="e">
        <f t="shared" si="286"/>
        <v>#VALUE!</v>
      </c>
      <c r="BH570" s="45" t="e">
        <f t="shared" si="287"/>
        <v>#NUM!</v>
      </c>
      <c r="BI570" s="43" t="e">
        <f t="shared" si="288"/>
        <v>#VALUE!</v>
      </c>
      <c r="CA570" s="41" t="s">
        <v>22</v>
      </c>
      <c r="CC570" t="s">
        <v>22</v>
      </c>
      <c r="CE570" s="41" t="s">
        <v>22</v>
      </c>
      <c r="CF570" s="41" t="s">
        <v>22</v>
      </c>
      <c r="CG570" s="41" t="e">
        <f t="shared" si="299"/>
        <v>#VALUE!</v>
      </c>
      <c r="CH570" s="41" t="e">
        <f t="shared" si="300"/>
        <v>#VALUE!</v>
      </c>
      <c r="CI570" s="41" t="str">
        <f t="shared" si="301"/>
        <v>Not Reported/ Can not calculate</v>
      </c>
      <c r="CJ570" s="41" t="e">
        <f t="shared" si="302"/>
        <v>#VALUE!</v>
      </c>
      <c r="CL570" s="9" t="s">
        <v>1269</v>
      </c>
      <c r="CM570" s="18" t="s">
        <v>1284</v>
      </c>
      <c r="CN570" s="54" t="s">
        <v>1284</v>
      </c>
      <c r="CO570" s="18" t="s">
        <v>1284</v>
      </c>
    </row>
    <row r="571" spans="1:93" x14ac:dyDescent="0.25">
      <c r="A571" t="s">
        <v>315</v>
      </c>
      <c r="B571" s="41">
        <v>6.2319541498453805E-2</v>
      </c>
      <c r="C571" s="41" t="s">
        <v>22</v>
      </c>
      <c r="D571" s="41" t="s">
        <v>22</v>
      </c>
      <c r="E571" s="41" t="s">
        <v>22</v>
      </c>
      <c r="F571" t="s">
        <v>22</v>
      </c>
      <c r="G571" t="s">
        <v>22</v>
      </c>
      <c r="H571" t="s">
        <v>22</v>
      </c>
      <c r="I571" t="s">
        <v>22</v>
      </c>
      <c r="J571" s="41">
        <v>0.91078062108996094</v>
      </c>
      <c r="K571">
        <v>632.57000000000005</v>
      </c>
      <c r="L571" s="41">
        <f t="shared" si="296"/>
        <v>0.14583042686946704</v>
      </c>
      <c r="M571" t="s">
        <v>23</v>
      </c>
      <c r="N571" s="41" t="s">
        <v>22</v>
      </c>
      <c r="O571" s="41" t="s">
        <v>22</v>
      </c>
      <c r="P571" s="41" t="s">
        <v>22</v>
      </c>
      <c r="R571" s="41" t="s">
        <v>22</v>
      </c>
      <c r="S571" s="41" t="s">
        <v>22</v>
      </c>
      <c r="T571" s="41" t="s">
        <v>22</v>
      </c>
      <c r="U571" s="41" t="s">
        <v>22</v>
      </c>
      <c r="V571">
        <v>20200524</v>
      </c>
      <c r="W571" s="9" t="s">
        <v>890</v>
      </c>
      <c r="X571" s="18">
        <v>2012</v>
      </c>
      <c r="Y571" t="s">
        <v>328</v>
      </c>
      <c r="Z571" t="s">
        <v>892</v>
      </c>
      <c r="AC571" t="s">
        <v>287</v>
      </c>
      <c r="AD571" s="41" t="s">
        <v>22</v>
      </c>
      <c r="AF571" s="41" t="s">
        <v>22</v>
      </c>
      <c r="AG571" s="41" t="s">
        <v>22</v>
      </c>
      <c r="AH571" s="41" t="s">
        <v>22</v>
      </c>
      <c r="AI571" s="41" t="s">
        <v>22</v>
      </c>
      <c r="AJ571" s="41" t="s">
        <v>22</v>
      </c>
      <c r="AK571" s="41" t="s">
        <v>22</v>
      </c>
      <c r="AL571" s="41" t="s">
        <v>22</v>
      </c>
      <c r="AM571" s="43" t="e">
        <f t="shared" si="271"/>
        <v>#VALUE!</v>
      </c>
      <c r="AN571" s="43" t="e">
        <f t="shared" si="272"/>
        <v>#VALUE!</v>
      </c>
      <c r="AO571" s="3" t="s">
        <v>891</v>
      </c>
      <c r="AT571" s="2">
        <f t="shared" si="273"/>
        <v>28</v>
      </c>
      <c r="AU571" s="45">
        <f t="shared" si="274"/>
        <v>-1.2053757505444773</v>
      </c>
      <c r="AV571" s="45" t="e">
        <f t="shared" si="275"/>
        <v>#VALUE!</v>
      </c>
      <c r="AW571" s="45" t="e">
        <f t="shared" si="276"/>
        <v>#VALUE!</v>
      </c>
      <c r="AX571" s="45" t="e">
        <f t="shared" si="277"/>
        <v>#VALUE!</v>
      </c>
      <c r="AY571" s="45" t="e">
        <f t="shared" si="278"/>
        <v>#VALUE!</v>
      </c>
      <c r="AZ571" s="45" t="e">
        <f t="shared" si="279"/>
        <v>#VALUE!</v>
      </c>
      <c r="BA571" s="45">
        <f t="shared" si="280"/>
        <v>-4.0586218552317463E-2</v>
      </c>
      <c r="BB571" s="45">
        <f t="shared" si="281"/>
        <v>-0.83615185295308536</v>
      </c>
      <c r="BC571" s="45" t="e">
        <f t="shared" si="282"/>
        <v>#VALUE!</v>
      </c>
      <c r="BD571" s="45" t="e">
        <f t="shared" si="283"/>
        <v>#VALUE!</v>
      </c>
      <c r="BE571" s="45" t="e">
        <f t="shared" si="284"/>
        <v>#VALUE!</v>
      </c>
      <c r="BF571" s="45" t="e">
        <f t="shared" si="285"/>
        <v>#VALUE!</v>
      </c>
      <c r="BG571" s="45" t="e">
        <f t="shared" si="286"/>
        <v>#VALUE!</v>
      </c>
      <c r="BH571" s="45" t="e">
        <f t="shared" si="287"/>
        <v>#NUM!</v>
      </c>
      <c r="BI571" s="43" t="e">
        <f t="shared" si="288"/>
        <v>#VALUE!</v>
      </c>
      <c r="CA571" s="41" t="s">
        <v>22</v>
      </c>
      <c r="CC571" t="s">
        <v>22</v>
      </c>
      <c r="CE571" s="41" t="s">
        <v>22</v>
      </c>
      <c r="CF571" s="41" t="s">
        <v>22</v>
      </c>
      <c r="CG571" s="41" t="e">
        <f t="shared" si="299"/>
        <v>#VALUE!</v>
      </c>
      <c r="CH571" s="41" t="e">
        <f t="shared" si="300"/>
        <v>#VALUE!</v>
      </c>
      <c r="CI571" s="41" t="str">
        <f t="shared" si="301"/>
        <v>Not Reported/ Can not calculate</v>
      </c>
      <c r="CJ571" s="41" t="e">
        <f t="shared" si="302"/>
        <v>#VALUE!</v>
      </c>
      <c r="CL571" s="9" t="s">
        <v>1269</v>
      </c>
      <c r="CM571" s="18" t="s">
        <v>1284</v>
      </c>
      <c r="CN571" s="54" t="s">
        <v>1284</v>
      </c>
      <c r="CO571" s="18" t="s">
        <v>1284</v>
      </c>
    </row>
    <row r="572" spans="1:93" x14ac:dyDescent="0.25">
      <c r="A572" t="s">
        <v>315</v>
      </c>
      <c r="B572" s="41">
        <v>5.0840476851581641E-2</v>
      </c>
      <c r="C572" s="41" t="s">
        <v>22</v>
      </c>
      <c r="D572" s="41" t="s">
        <v>22</v>
      </c>
      <c r="E572" s="41" t="s">
        <v>22</v>
      </c>
      <c r="F572" t="s">
        <v>22</v>
      </c>
      <c r="G572" t="s">
        <v>22</v>
      </c>
      <c r="H572" t="s">
        <v>22</v>
      </c>
      <c r="I572" t="s">
        <v>22</v>
      </c>
      <c r="J572" s="41">
        <v>0.83628171331184165</v>
      </c>
      <c r="K572">
        <v>632.57000000000005</v>
      </c>
      <c r="L572" s="41">
        <f t="shared" si="296"/>
        <v>0.13390196981732794</v>
      </c>
      <c r="M572" t="s">
        <v>23</v>
      </c>
      <c r="N572" s="41" t="s">
        <v>22</v>
      </c>
      <c r="O572" s="41" t="s">
        <v>22</v>
      </c>
      <c r="P572" s="41" t="s">
        <v>22</v>
      </c>
      <c r="R572" s="41" t="s">
        <v>22</v>
      </c>
      <c r="S572" s="41" t="s">
        <v>22</v>
      </c>
      <c r="T572" s="41" t="s">
        <v>22</v>
      </c>
      <c r="U572" s="41" t="s">
        <v>22</v>
      </c>
      <c r="V572">
        <v>20200524</v>
      </c>
      <c r="W572" s="9" t="s">
        <v>890</v>
      </c>
      <c r="X572" s="18">
        <v>2012</v>
      </c>
      <c r="Y572" t="s">
        <v>328</v>
      </c>
      <c r="Z572" t="s">
        <v>892</v>
      </c>
      <c r="AC572" t="s">
        <v>287</v>
      </c>
      <c r="AD572" s="41" t="s">
        <v>22</v>
      </c>
      <c r="AF572" s="41" t="s">
        <v>22</v>
      </c>
      <c r="AG572" s="41" t="s">
        <v>22</v>
      </c>
      <c r="AH572" s="41" t="s">
        <v>22</v>
      </c>
      <c r="AI572" s="41" t="s">
        <v>22</v>
      </c>
      <c r="AJ572" s="41" t="s">
        <v>22</v>
      </c>
      <c r="AK572" s="41" t="s">
        <v>22</v>
      </c>
      <c r="AL572" s="41" t="s">
        <v>22</v>
      </c>
      <c r="AM572" s="43" t="e">
        <f t="shared" si="271"/>
        <v>#VALUE!</v>
      </c>
      <c r="AN572" s="43" t="e">
        <f t="shared" si="272"/>
        <v>#VALUE!</v>
      </c>
      <c r="AO572" s="3" t="s">
        <v>891</v>
      </c>
      <c r="AT572" s="2">
        <f t="shared" si="273"/>
        <v>28</v>
      </c>
      <c r="AU572" s="45">
        <f t="shared" si="274"/>
        <v>-1.293790384690819</v>
      </c>
      <c r="AV572" s="45" t="e">
        <f t="shared" si="275"/>
        <v>#VALUE!</v>
      </c>
      <c r="AW572" s="45" t="e">
        <f t="shared" si="276"/>
        <v>#VALUE!</v>
      </c>
      <c r="AX572" s="45" t="e">
        <f t="shared" si="277"/>
        <v>#VALUE!</v>
      </c>
      <c r="AY572" s="45" t="e">
        <f t="shared" si="278"/>
        <v>#VALUE!</v>
      </c>
      <c r="AZ572" s="45" t="e">
        <f t="shared" si="279"/>
        <v>#VALUE!</v>
      </c>
      <c r="BA572" s="45">
        <f t="shared" si="280"/>
        <v>-7.7647399681297774E-2</v>
      </c>
      <c r="BB572" s="45">
        <f t="shared" si="281"/>
        <v>-0.87321303408206563</v>
      </c>
      <c r="BC572" s="45" t="e">
        <f t="shared" si="282"/>
        <v>#VALUE!</v>
      </c>
      <c r="BD572" s="45" t="e">
        <f t="shared" si="283"/>
        <v>#VALUE!</v>
      </c>
      <c r="BE572" s="45" t="e">
        <f t="shared" si="284"/>
        <v>#VALUE!</v>
      </c>
      <c r="BF572" s="45" t="e">
        <f t="shared" si="285"/>
        <v>#VALUE!</v>
      </c>
      <c r="BG572" s="45" t="e">
        <f t="shared" si="286"/>
        <v>#VALUE!</v>
      </c>
      <c r="BH572" s="45" t="e">
        <f t="shared" si="287"/>
        <v>#NUM!</v>
      </c>
      <c r="BI572" s="43" t="e">
        <f t="shared" si="288"/>
        <v>#VALUE!</v>
      </c>
      <c r="CA572" s="41" t="s">
        <v>22</v>
      </c>
      <c r="CC572" t="s">
        <v>22</v>
      </c>
      <c r="CE572" s="41" t="s">
        <v>22</v>
      </c>
      <c r="CF572" s="41" t="s">
        <v>22</v>
      </c>
      <c r="CG572" s="41" t="e">
        <f t="shared" si="299"/>
        <v>#VALUE!</v>
      </c>
      <c r="CH572" s="41" t="e">
        <f t="shared" si="300"/>
        <v>#VALUE!</v>
      </c>
      <c r="CI572" s="41" t="str">
        <f t="shared" si="301"/>
        <v>Not Reported/ Can not calculate</v>
      </c>
      <c r="CJ572" s="41" t="e">
        <f t="shared" si="302"/>
        <v>#VALUE!</v>
      </c>
      <c r="CL572" s="9" t="s">
        <v>1269</v>
      </c>
      <c r="CM572" s="18" t="s">
        <v>1284</v>
      </c>
      <c r="CN572" s="54" t="s">
        <v>1284</v>
      </c>
      <c r="CO572" s="18" t="s">
        <v>1284</v>
      </c>
    </row>
    <row r="573" spans="1:93" x14ac:dyDescent="0.25">
      <c r="A573" t="s">
        <v>315</v>
      </c>
      <c r="B573" s="41">
        <v>8.7905185222681547E-3</v>
      </c>
      <c r="C573" s="41" t="s">
        <v>22</v>
      </c>
      <c r="D573" s="41" t="s">
        <v>22</v>
      </c>
      <c r="E573" s="41" t="s">
        <v>22</v>
      </c>
      <c r="F573" t="s">
        <v>22</v>
      </c>
      <c r="G573" t="s">
        <v>22</v>
      </c>
      <c r="H573" t="s">
        <v>22</v>
      </c>
      <c r="I573" t="s">
        <v>22</v>
      </c>
      <c r="J573" s="41">
        <v>0.40176909978552489</v>
      </c>
      <c r="K573">
        <v>632.57000000000005</v>
      </c>
      <c r="L573" s="41">
        <f t="shared" si="296"/>
        <v>6.4329606897616951E-2</v>
      </c>
      <c r="M573" t="s">
        <v>23</v>
      </c>
      <c r="N573" s="41" t="s">
        <v>22</v>
      </c>
      <c r="O573" s="41" t="s">
        <v>22</v>
      </c>
      <c r="P573" s="41" t="s">
        <v>22</v>
      </c>
      <c r="R573" s="41" t="s">
        <v>22</v>
      </c>
      <c r="S573" s="41" t="s">
        <v>22</v>
      </c>
      <c r="T573" s="41" t="s">
        <v>22</v>
      </c>
      <c r="U573" s="41" t="s">
        <v>22</v>
      </c>
      <c r="V573">
        <v>20200524</v>
      </c>
      <c r="W573" s="9" t="s">
        <v>890</v>
      </c>
      <c r="X573" s="18">
        <v>2012</v>
      </c>
      <c r="Y573" t="s">
        <v>328</v>
      </c>
      <c r="Z573" t="s">
        <v>892</v>
      </c>
      <c r="AC573" t="s">
        <v>287</v>
      </c>
      <c r="AD573" s="41" t="s">
        <v>22</v>
      </c>
      <c r="AF573" s="41" t="s">
        <v>22</v>
      </c>
      <c r="AG573" s="41" t="s">
        <v>22</v>
      </c>
      <c r="AH573" s="41" t="s">
        <v>22</v>
      </c>
      <c r="AI573" s="41" t="s">
        <v>22</v>
      </c>
      <c r="AJ573" s="41" t="s">
        <v>22</v>
      </c>
      <c r="AK573" s="41" t="s">
        <v>22</v>
      </c>
      <c r="AL573" s="41" t="s">
        <v>22</v>
      </c>
      <c r="AM573" s="43" t="e">
        <f t="shared" si="271"/>
        <v>#VALUE!</v>
      </c>
      <c r="AN573" s="43" t="e">
        <f t="shared" si="272"/>
        <v>#VALUE!</v>
      </c>
      <c r="AO573" s="3" t="s">
        <v>891</v>
      </c>
      <c r="AT573" s="2">
        <f t="shared" si="273"/>
        <v>28</v>
      </c>
      <c r="AU573" s="45">
        <f t="shared" si="274"/>
        <v>-2.0559855066420365</v>
      </c>
      <c r="AV573" s="45" t="e">
        <f t="shared" si="275"/>
        <v>#VALUE!</v>
      </c>
      <c r="AW573" s="45" t="e">
        <f t="shared" si="276"/>
        <v>#VALUE!</v>
      </c>
      <c r="AX573" s="45" t="e">
        <f t="shared" si="277"/>
        <v>#VALUE!</v>
      </c>
      <c r="AY573" s="45" t="e">
        <f t="shared" si="278"/>
        <v>#VALUE!</v>
      </c>
      <c r="AZ573" s="45" t="e">
        <f t="shared" si="279"/>
        <v>#VALUE!</v>
      </c>
      <c r="BA573" s="45">
        <f t="shared" si="280"/>
        <v>-0.39602346805736555</v>
      </c>
      <c r="BB573" s="45">
        <f t="shared" si="281"/>
        <v>-1.1915891024581333</v>
      </c>
      <c r="BC573" s="45" t="e">
        <f t="shared" si="282"/>
        <v>#VALUE!</v>
      </c>
      <c r="BD573" s="45" t="e">
        <f t="shared" si="283"/>
        <v>#VALUE!</v>
      </c>
      <c r="BE573" s="45" t="e">
        <f t="shared" si="284"/>
        <v>#VALUE!</v>
      </c>
      <c r="BF573" s="45" t="e">
        <f t="shared" si="285"/>
        <v>#VALUE!</v>
      </c>
      <c r="BG573" s="45" t="e">
        <f t="shared" si="286"/>
        <v>#VALUE!</v>
      </c>
      <c r="BH573" s="45" t="e">
        <f t="shared" si="287"/>
        <v>#NUM!</v>
      </c>
      <c r="BI573" s="43" t="e">
        <f t="shared" si="288"/>
        <v>#VALUE!</v>
      </c>
      <c r="CA573" s="41" t="s">
        <v>22</v>
      </c>
      <c r="CC573" t="s">
        <v>22</v>
      </c>
      <c r="CE573" s="41" t="s">
        <v>22</v>
      </c>
      <c r="CF573" s="41" t="s">
        <v>22</v>
      </c>
      <c r="CG573" s="41" t="e">
        <f t="shared" si="299"/>
        <v>#VALUE!</v>
      </c>
      <c r="CH573" s="41" t="e">
        <f t="shared" si="300"/>
        <v>#VALUE!</v>
      </c>
      <c r="CI573" s="41" t="str">
        <f t="shared" si="301"/>
        <v>Not Reported/ Can not calculate</v>
      </c>
      <c r="CJ573" s="41" t="e">
        <f t="shared" si="302"/>
        <v>#VALUE!</v>
      </c>
      <c r="CL573" s="9" t="s">
        <v>1269</v>
      </c>
      <c r="CM573" s="18" t="s">
        <v>1284</v>
      </c>
      <c r="CN573" s="54" t="s">
        <v>1284</v>
      </c>
      <c r="CO573" s="18" t="s">
        <v>1284</v>
      </c>
    </row>
    <row r="574" spans="1:93" x14ac:dyDescent="0.25">
      <c r="A574" t="s">
        <v>315</v>
      </c>
      <c r="B574" s="41">
        <v>3.7330454184710377E-3</v>
      </c>
      <c r="C574" s="41" t="s">
        <v>22</v>
      </c>
      <c r="D574" s="41" t="s">
        <v>22</v>
      </c>
      <c r="E574" s="41" t="s">
        <v>22</v>
      </c>
      <c r="F574" t="s">
        <v>22</v>
      </c>
      <c r="G574" t="s">
        <v>22</v>
      </c>
      <c r="H574" t="s">
        <v>22</v>
      </c>
      <c r="I574" t="s">
        <v>22</v>
      </c>
      <c r="J574" s="41">
        <v>0.52013223154460597</v>
      </c>
      <c r="K574">
        <v>632.57000000000005</v>
      </c>
      <c r="L574" s="41">
        <f t="shared" si="296"/>
        <v>8.3281422110128858E-2</v>
      </c>
      <c r="M574" t="s">
        <v>23</v>
      </c>
      <c r="N574" s="41" t="s">
        <v>22</v>
      </c>
      <c r="O574" s="41" t="s">
        <v>22</v>
      </c>
      <c r="P574" s="41" t="s">
        <v>22</v>
      </c>
      <c r="R574" s="41" t="s">
        <v>22</v>
      </c>
      <c r="S574" s="41" t="s">
        <v>22</v>
      </c>
      <c r="T574" s="41" t="s">
        <v>22</v>
      </c>
      <c r="U574" s="41" t="s">
        <v>22</v>
      </c>
      <c r="V574">
        <v>20200524</v>
      </c>
      <c r="W574" s="9" t="s">
        <v>890</v>
      </c>
      <c r="X574" s="18">
        <v>2012</v>
      </c>
      <c r="Y574" t="s">
        <v>328</v>
      </c>
      <c r="Z574" t="s">
        <v>892</v>
      </c>
      <c r="AC574" t="s">
        <v>287</v>
      </c>
      <c r="AD574" s="41" t="s">
        <v>22</v>
      </c>
      <c r="AF574" s="41" t="s">
        <v>22</v>
      </c>
      <c r="AG574" s="41" t="s">
        <v>22</v>
      </c>
      <c r="AH574" s="41" t="s">
        <v>22</v>
      </c>
      <c r="AI574" s="41" t="s">
        <v>22</v>
      </c>
      <c r="AJ574" s="41" t="s">
        <v>22</v>
      </c>
      <c r="AK574" s="41" t="s">
        <v>22</v>
      </c>
      <c r="AL574" s="41" t="s">
        <v>22</v>
      </c>
      <c r="AM574" s="43" t="e">
        <f t="shared" si="271"/>
        <v>#VALUE!</v>
      </c>
      <c r="AN574" s="43" t="e">
        <f t="shared" si="272"/>
        <v>#VALUE!</v>
      </c>
      <c r="AO574" s="3" t="s">
        <v>891</v>
      </c>
      <c r="AT574" s="2">
        <f t="shared" si="273"/>
        <v>28</v>
      </c>
      <c r="AU574" s="45">
        <f t="shared" si="274"/>
        <v>-2.4279367261542326</v>
      </c>
      <c r="AV574" s="45" t="e">
        <f t="shared" si="275"/>
        <v>#VALUE!</v>
      </c>
      <c r="AW574" s="45" t="e">
        <f t="shared" si="276"/>
        <v>#VALUE!</v>
      </c>
      <c r="AX574" s="45" t="e">
        <f t="shared" si="277"/>
        <v>#VALUE!</v>
      </c>
      <c r="AY574" s="45" t="e">
        <f t="shared" si="278"/>
        <v>#VALUE!</v>
      </c>
      <c r="AZ574" s="45" t="e">
        <f t="shared" si="279"/>
        <v>#VALUE!</v>
      </c>
      <c r="BA574" s="45">
        <f t="shared" si="280"/>
        <v>-0.2838862330387743</v>
      </c>
      <c r="BB574" s="45">
        <f t="shared" si="281"/>
        <v>-1.0794518674395421</v>
      </c>
      <c r="BC574" s="45" t="e">
        <f t="shared" si="282"/>
        <v>#VALUE!</v>
      </c>
      <c r="BD574" s="45" t="e">
        <f t="shared" si="283"/>
        <v>#VALUE!</v>
      </c>
      <c r="BE574" s="45" t="e">
        <f t="shared" si="284"/>
        <v>#VALUE!</v>
      </c>
      <c r="BF574" s="45" t="e">
        <f t="shared" si="285"/>
        <v>#VALUE!</v>
      </c>
      <c r="BG574" s="45" t="e">
        <f t="shared" si="286"/>
        <v>#VALUE!</v>
      </c>
      <c r="BH574" s="45" t="e">
        <f t="shared" si="287"/>
        <v>#NUM!</v>
      </c>
      <c r="BI574" s="43" t="e">
        <f t="shared" si="288"/>
        <v>#VALUE!</v>
      </c>
      <c r="CA574" s="41" t="s">
        <v>22</v>
      </c>
      <c r="CC574" t="s">
        <v>22</v>
      </c>
      <c r="CE574" s="41" t="s">
        <v>22</v>
      </c>
      <c r="CF574" s="41" t="s">
        <v>22</v>
      </c>
      <c r="CG574" s="41" t="e">
        <f t="shared" si="299"/>
        <v>#VALUE!</v>
      </c>
      <c r="CH574" s="41" t="e">
        <f t="shared" si="300"/>
        <v>#VALUE!</v>
      </c>
      <c r="CI574" s="41" t="str">
        <f t="shared" si="301"/>
        <v>Not Reported/ Can not calculate</v>
      </c>
      <c r="CJ574" s="41" t="e">
        <f t="shared" si="302"/>
        <v>#VALUE!</v>
      </c>
      <c r="CL574" s="9" t="s">
        <v>1269</v>
      </c>
      <c r="CM574" s="18" t="s">
        <v>1284</v>
      </c>
      <c r="CN574" s="54" t="s">
        <v>1284</v>
      </c>
      <c r="CO574" s="18" t="s">
        <v>1284</v>
      </c>
    </row>
    <row r="575" spans="1:93" x14ac:dyDescent="0.25">
      <c r="A575" t="s">
        <v>315</v>
      </c>
      <c r="B575" s="41">
        <v>0.13873474014862752</v>
      </c>
      <c r="C575" s="41" t="s">
        <v>22</v>
      </c>
      <c r="D575" s="41" t="s">
        <v>22</v>
      </c>
      <c r="E575" s="41" t="s">
        <v>22</v>
      </c>
      <c r="F575" t="s">
        <v>22</v>
      </c>
      <c r="G575" t="s">
        <v>22</v>
      </c>
      <c r="H575" t="s">
        <v>22</v>
      </c>
      <c r="I575" t="s">
        <v>22</v>
      </c>
      <c r="J575" s="41">
        <v>2.1657830476866531</v>
      </c>
      <c r="K575">
        <v>632.57000000000005</v>
      </c>
      <c r="L575" s="41">
        <f t="shared" si="296"/>
        <v>0.34677622584111134</v>
      </c>
      <c r="M575" t="s">
        <v>23</v>
      </c>
      <c r="N575" s="41" t="s">
        <v>22</v>
      </c>
      <c r="O575" s="41" t="s">
        <v>22</v>
      </c>
      <c r="P575" s="41" t="s">
        <v>22</v>
      </c>
      <c r="R575" s="41" t="s">
        <v>22</v>
      </c>
      <c r="S575" s="41" t="s">
        <v>22</v>
      </c>
      <c r="T575" s="41" t="s">
        <v>22</v>
      </c>
      <c r="U575" s="41" t="s">
        <v>22</v>
      </c>
      <c r="V575">
        <v>20200524</v>
      </c>
      <c r="W575" s="9" t="s">
        <v>890</v>
      </c>
      <c r="X575" s="18">
        <v>2012</v>
      </c>
      <c r="Y575" t="s">
        <v>328</v>
      </c>
      <c r="Z575" t="s">
        <v>892</v>
      </c>
      <c r="AC575" t="s">
        <v>287</v>
      </c>
      <c r="AD575" s="41" t="s">
        <v>22</v>
      </c>
      <c r="AF575" s="41" t="s">
        <v>22</v>
      </c>
      <c r="AG575" s="41" t="s">
        <v>22</v>
      </c>
      <c r="AH575" s="41" t="s">
        <v>22</v>
      </c>
      <c r="AI575" s="41" t="s">
        <v>22</v>
      </c>
      <c r="AJ575" s="41" t="s">
        <v>22</v>
      </c>
      <c r="AK575" s="41" t="s">
        <v>22</v>
      </c>
      <c r="AL575" s="41" t="s">
        <v>22</v>
      </c>
      <c r="AM575" s="43" t="e">
        <f t="shared" si="271"/>
        <v>#VALUE!</v>
      </c>
      <c r="AN575" s="43" t="e">
        <f t="shared" si="272"/>
        <v>#VALUE!</v>
      </c>
      <c r="AO575" s="3" t="s">
        <v>891</v>
      </c>
      <c r="AT575" s="2">
        <f t="shared" si="273"/>
        <v>28</v>
      </c>
      <c r="AU575" s="45">
        <f t="shared" si="274"/>
        <v>-0.85781477493472047</v>
      </c>
      <c r="AV575" s="45" t="e">
        <f t="shared" si="275"/>
        <v>#VALUE!</v>
      </c>
      <c r="AW575" s="45" t="e">
        <f t="shared" si="276"/>
        <v>#VALUE!</v>
      </c>
      <c r="AX575" s="45" t="e">
        <f t="shared" si="277"/>
        <v>#VALUE!</v>
      </c>
      <c r="AY575" s="45" t="e">
        <f t="shared" si="278"/>
        <v>#VALUE!</v>
      </c>
      <c r="AZ575" s="45" t="e">
        <f t="shared" si="279"/>
        <v>#VALUE!</v>
      </c>
      <c r="BA575" s="45">
        <f t="shared" si="280"/>
        <v>0.33561495002172986</v>
      </c>
      <c r="BB575" s="45">
        <f t="shared" si="281"/>
        <v>-0.45995068437903802</v>
      </c>
      <c r="BC575" s="45" t="e">
        <f t="shared" si="282"/>
        <v>#VALUE!</v>
      </c>
      <c r="BD575" s="45" t="e">
        <f t="shared" si="283"/>
        <v>#VALUE!</v>
      </c>
      <c r="BE575" s="45" t="e">
        <f t="shared" si="284"/>
        <v>#VALUE!</v>
      </c>
      <c r="BF575" s="45" t="e">
        <f t="shared" si="285"/>
        <v>#VALUE!</v>
      </c>
      <c r="BG575" s="45" t="e">
        <f t="shared" si="286"/>
        <v>#VALUE!</v>
      </c>
      <c r="BH575" s="45" t="e">
        <f t="shared" si="287"/>
        <v>#NUM!</v>
      </c>
      <c r="BI575" s="43" t="e">
        <f t="shared" si="288"/>
        <v>#VALUE!</v>
      </c>
      <c r="CA575" s="41" t="s">
        <v>22</v>
      </c>
      <c r="CC575" t="s">
        <v>22</v>
      </c>
      <c r="CE575" s="41" t="s">
        <v>22</v>
      </c>
      <c r="CF575" s="41" t="s">
        <v>22</v>
      </c>
      <c r="CG575" s="41" t="e">
        <f t="shared" si="299"/>
        <v>#VALUE!</v>
      </c>
      <c r="CH575" s="41" t="e">
        <f t="shared" si="300"/>
        <v>#VALUE!</v>
      </c>
      <c r="CI575" s="41" t="str">
        <f t="shared" si="301"/>
        <v>Not Reported/ Can not calculate</v>
      </c>
      <c r="CJ575" s="41" t="e">
        <f t="shared" si="302"/>
        <v>#VALUE!</v>
      </c>
      <c r="CL575" s="9" t="s">
        <v>1269</v>
      </c>
      <c r="CM575" s="18" t="s">
        <v>1284</v>
      </c>
      <c r="CN575" s="54" t="s">
        <v>1284</v>
      </c>
      <c r="CO575" s="18" t="s">
        <v>1284</v>
      </c>
    </row>
    <row r="576" spans="1:93" x14ac:dyDescent="0.25">
      <c r="A576" t="s">
        <v>315</v>
      </c>
      <c r="B576" s="41">
        <v>0.1180492613122493</v>
      </c>
      <c r="C576" s="41" t="s">
        <v>22</v>
      </c>
      <c r="D576" s="41" t="s">
        <v>22</v>
      </c>
      <c r="E576" s="41" t="s">
        <v>22</v>
      </c>
      <c r="F576" t="s">
        <v>22</v>
      </c>
      <c r="G576" t="s">
        <v>22</v>
      </c>
      <c r="H576" t="s">
        <v>22</v>
      </c>
      <c r="I576" t="s">
        <v>22</v>
      </c>
      <c r="J576" s="41">
        <v>1.8733676402776942</v>
      </c>
      <c r="K576">
        <v>632.57000000000005</v>
      </c>
      <c r="L576" s="41">
        <f t="shared" si="296"/>
        <v>0.29995587997711476</v>
      </c>
      <c r="M576" t="s">
        <v>23</v>
      </c>
      <c r="N576" s="41" t="s">
        <v>22</v>
      </c>
      <c r="O576" s="41" t="s">
        <v>22</v>
      </c>
      <c r="P576" s="41" t="s">
        <v>22</v>
      </c>
      <c r="R576" s="41" t="s">
        <v>22</v>
      </c>
      <c r="S576" s="41" t="s">
        <v>22</v>
      </c>
      <c r="T576" s="41" t="s">
        <v>22</v>
      </c>
      <c r="U576" s="41" t="s">
        <v>22</v>
      </c>
      <c r="V576">
        <v>20200524</v>
      </c>
      <c r="W576" s="9" t="s">
        <v>890</v>
      </c>
      <c r="X576" s="18">
        <v>2012</v>
      </c>
      <c r="Y576" t="s">
        <v>328</v>
      </c>
      <c r="Z576" t="s">
        <v>892</v>
      </c>
      <c r="AC576" t="s">
        <v>287</v>
      </c>
      <c r="AD576" s="41" t="s">
        <v>22</v>
      </c>
      <c r="AF576" s="41" t="s">
        <v>22</v>
      </c>
      <c r="AG576" s="41" t="s">
        <v>22</v>
      </c>
      <c r="AH576" s="41" t="s">
        <v>22</v>
      </c>
      <c r="AI576" s="41" t="s">
        <v>22</v>
      </c>
      <c r="AJ576" s="41" t="s">
        <v>22</v>
      </c>
      <c r="AK576" s="41" t="s">
        <v>22</v>
      </c>
      <c r="AL576" s="41" t="s">
        <v>22</v>
      </c>
      <c r="AM576" s="43" t="e">
        <f t="shared" si="271"/>
        <v>#VALUE!</v>
      </c>
      <c r="AN576" s="43" t="e">
        <f t="shared" si="272"/>
        <v>#VALUE!</v>
      </c>
      <c r="AO576" s="3" t="s">
        <v>891</v>
      </c>
      <c r="AT576" s="2">
        <f t="shared" si="273"/>
        <v>28</v>
      </c>
      <c r="AU576" s="45">
        <f t="shared" si="274"/>
        <v>-0.92793672615423084</v>
      </c>
      <c r="AV576" s="45" t="e">
        <f t="shared" si="275"/>
        <v>#VALUE!</v>
      </c>
      <c r="AW576" s="45" t="e">
        <f t="shared" si="276"/>
        <v>#VALUE!</v>
      </c>
      <c r="AX576" s="45" t="e">
        <f t="shared" si="277"/>
        <v>#VALUE!</v>
      </c>
      <c r="AY576" s="45" t="e">
        <f t="shared" si="278"/>
        <v>#VALUE!</v>
      </c>
      <c r="AZ576" s="45" t="e">
        <f t="shared" si="279"/>
        <v>#VALUE!</v>
      </c>
      <c r="BA576" s="45">
        <f t="shared" si="280"/>
        <v>0.27262301414843815</v>
      </c>
      <c r="BB576" s="45">
        <f t="shared" si="281"/>
        <v>-0.52294262025232974</v>
      </c>
      <c r="BC576" s="45" t="e">
        <f t="shared" si="282"/>
        <v>#VALUE!</v>
      </c>
      <c r="BD576" s="45" t="e">
        <f t="shared" si="283"/>
        <v>#VALUE!</v>
      </c>
      <c r="BE576" s="45" t="e">
        <f t="shared" si="284"/>
        <v>#VALUE!</v>
      </c>
      <c r="BF576" s="45" t="e">
        <f t="shared" si="285"/>
        <v>#VALUE!</v>
      </c>
      <c r="BG576" s="45" t="e">
        <f t="shared" si="286"/>
        <v>#VALUE!</v>
      </c>
      <c r="BH576" s="45" t="e">
        <f t="shared" si="287"/>
        <v>#NUM!</v>
      </c>
      <c r="BI576" s="43" t="e">
        <f t="shared" si="288"/>
        <v>#VALUE!</v>
      </c>
      <c r="CA576" s="41" t="s">
        <v>22</v>
      </c>
      <c r="CC576" t="s">
        <v>22</v>
      </c>
      <c r="CE576" s="41" t="s">
        <v>22</v>
      </c>
      <c r="CF576" s="41" t="s">
        <v>22</v>
      </c>
      <c r="CG576" s="41" t="e">
        <f t="shared" si="299"/>
        <v>#VALUE!</v>
      </c>
      <c r="CH576" s="41" t="e">
        <f t="shared" si="300"/>
        <v>#VALUE!</v>
      </c>
      <c r="CI576" s="41" t="str">
        <f t="shared" si="301"/>
        <v>Not Reported/ Can not calculate</v>
      </c>
      <c r="CJ576" s="41" t="e">
        <f t="shared" si="302"/>
        <v>#VALUE!</v>
      </c>
      <c r="CL576" s="9" t="s">
        <v>1269</v>
      </c>
      <c r="CM576" s="18" t="s">
        <v>1284</v>
      </c>
      <c r="CN576" s="54" t="s">
        <v>1284</v>
      </c>
      <c r="CO576" s="18" t="s">
        <v>1284</v>
      </c>
    </row>
    <row r="577" spans="1:93" x14ac:dyDescent="0.25">
      <c r="A577" t="s">
        <v>315</v>
      </c>
      <c r="B577" s="41">
        <v>5.4921981899067905E-2</v>
      </c>
      <c r="C577" s="41" t="s">
        <v>22</v>
      </c>
      <c r="D577" s="41" t="s">
        <v>22</v>
      </c>
      <c r="E577" s="41" t="s">
        <v>22</v>
      </c>
      <c r="F577" t="s">
        <v>22</v>
      </c>
      <c r="G577" t="s">
        <v>22</v>
      </c>
      <c r="H577" t="s">
        <v>22</v>
      </c>
      <c r="I577" t="s">
        <v>22</v>
      </c>
      <c r="J577" s="41">
        <v>0.79542415173205194</v>
      </c>
      <c r="K577">
        <v>632.57000000000005</v>
      </c>
      <c r="L577" s="41">
        <f t="shared" si="296"/>
        <v>0.12736002600774643</v>
      </c>
      <c r="M577" t="s">
        <v>23</v>
      </c>
      <c r="N577" s="41" t="s">
        <v>22</v>
      </c>
      <c r="O577" s="41" t="s">
        <v>22</v>
      </c>
      <c r="P577" s="41" t="s">
        <v>22</v>
      </c>
      <c r="R577" s="41" t="s">
        <v>22</v>
      </c>
      <c r="S577" s="41" t="s">
        <v>22</v>
      </c>
      <c r="T577" s="41" t="s">
        <v>22</v>
      </c>
      <c r="U577" s="41" t="s">
        <v>22</v>
      </c>
      <c r="V577">
        <v>20200524</v>
      </c>
      <c r="W577" s="9" t="s">
        <v>890</v>
      </c>
      <c r="X577" s="18">
        <v>2012</v>
      </c>
      <c r="Y577" t="s">
        <v>328</v>
      </c>
      <c r="Z577" t="s">
        <v>892</v>
      </c>
      <c r="AC577" t="s">
        <v>287</v>
      </c>
      <c r="AD577" s="41" t="s">
        <v>22</v>
      </c>
      <c r="AF577" s="41" t="s">
        <v>22</v>
      </c>
      <c r="AG577" s="41" t="s">
        <v>22</v>
      </c>
      <c r="AH577" s="41" t="s">
        <v>22</v>
      </c>
      <c r="AI577" s="41" t="s">
        <v>22</v>
      </c>
      <c r="AJ577" s="41" t="s">
        <v>22</v>
      </c>
      <c r="AK577" s="41" t="s">
        <v>22</v>
      </c>
      <c r="AL577" s="41" t="s">
        <v>22</v>
      </c>
      <c r="AM577" s="43" t="e">
        <f t="shared" si="271"/>
        <v>#VALUE!</v>
      </c>
      <c r="AN577" s="43" t="e">
        <f t="shared" si="272"/>
        <v>#VALUE!</v>
      </c>
      <c r="AO577" s="3" t="s">
        <v>891</v>
      </c>
      <c r="AT577" s="2">
        <f t="shared" si="273"/>
        <v>28</v>
      </c>
      <c r="AU577" s="45">
        <f t="shared" si="274"/>
        <v>-1.2602537993249638</v>
      </c>
      <c r="AV577" s="45" t="e">
        <f t="shared" si="275"/>
        <v>#VALUE!</v>
      </c>
      <c r="AW577" s="45" t="e">
        <f t="shared" si="276"/>
        <v>#VALUE!</v>
      </c>
      <c r="AX577" s="45" t="e">
        <f t="shared" si="277"/>
        <v>#VALUE!</v>
      </c>
      <c r="AY577" s="45" t="e">
        <f t="shared" si="278"/>
        <v>#VALUE!</v>
      </c>
      <c r="AZ577" s="45" t="e">
        <f t="shared" si="279"/>
        <v>#VALUE!</v>
      </c>
      <c r="BA577" s="45">
        <f t="shared" si="280"/>
        <v>-9.9401226519868768E-2</v>
      </c>
      <c r="BB577" s="45">
        <f t="shared" si="281"/>
        <v>-0.8949668609206366</v>
      </c>
      <c r="BC577" s="45" t="e">
        <f t="shared" si="282"/>
        <v>#VALUE!</v>
      </c>
      <c r="BD577" s="45" t="e">
        <f t="shared" si="283"/>
        <v>#VALUE!</v>
      </c>
      <c r="BE577" s="45" t="e">
        <f t="shared" si="284"/>
        <v>#VALUE!</v>
      </c>
      <c r="BF577" s="45" t="e">
        <f t="shared" si="285"/>
        <v>#VALUE!</v>
      </c>
      <c r="BG577" s="45" t="e">
        <f t="shared" si="286"/>
        <v>#VALUE!</v>
      </c>
      <c r="BH577" s="45" t="e">
        <f t="shared" si="287"/>
        <v>#NUM!</v>
      </c>
      <c r="BI577" s="43" t="e">
        <f t="shared" si="288"/>
        <v>#VALUE!</v>
      </c>
      <c r="CA577" s="41" t="s">
        <v>22</v>
      </c>
      <c r="CC577" t="s">
        <v>22</v>
      </c>
      <c r="CE577" s="41" t="s">
        <v>22</v>
      </c>
      <c r="CF577" s="41" t="s">
        <v>22</v>
      </c>
      <c r="CG577" s="41" t="e">
        <f t="shared" si="299"/>
        <v>#VALUE!</v>
      </c>
      <c r="CH577" s="41" t="e">
        <f t="shared" si="300"/>
        <v>#VALUE!</v>
      </c>
      <c r="CI577" s="41" t="str">
        <f t="shared" si="301"/>
        <v>Not Reported/ Can not calculate</v>
      </c>
      <c r="CJ577" s="41" t="e">
        <f t="shared" si="302"/>
        <v>#VALUE!</v>
      </c>
      <c r="CL577" s="9" t="s">
        <v>1269</v>
      </c>
      <c r="CM577" s="18" t="s">
        <v>1284</v>
      </c>
      <c r="CN577" s="54" t="s">
        <v>1284</v>
      </c>
      <c r="CO577" s="18" t="s">
        <v>1284</v>
      </c>
    </row>
    <row r="578" spans="1:93" x14ac:dyDescent="0.25">
      <c r="A578" t="s">
        <v>315</v>
      </c>
      <c r="B578" s="41">
        <v>3.1988222127502054E-2</v>
      </c>
      <c r="C578" s="41" t="s">
        <v>22</v>
      </c>
      <c r="D578" s="41" t="s">
        <v>22</v>
      </c>
      <c r="E578" s="41" t="s">
        <v>22</v>
      </c>
      <c r="F578" t="s">
        <v>22</v>
      </c>
      <c r="G578" t="s">
        <v>22</v>
      </c>
      <c r="H578" t="s">
        <v>22</v>
      </c>
      <c r="I578" t="s">
        <v>22</v>
      </c>
      <c r="J578" s="41">
        <v>0.53734119001793645</v>
      </c>
      <c r="K578">
        <v>632.57000000000005</v>
      </c>
      <c r="L578" s="41">
        <f t="shared" si="296"/>
        <v>8.603684937991575E-2</v>
      </c>
      <c r="M578" t="s">
        <v>23</v>
      </c>
      <c r="N578" s="41" t="s">
        <v>22</v>
      </c>
      <c r="O578" s="41" t="s">
        <v>22</v>
      </c>
      <c r="P578" s="41" t="s">
        <v>22</v>
      </c>
      <c r="R578" s="41" t="s">
        <v>22</v>
      </c>
      <c r="S578" s="41" t="s">
        <v>22</v>
      </c>
      <c r="T578" s="41" t="s">
        <v>22</v>
      </c>
      <c r="U578" s="41" t="s">
        <v>22</v>
      </c>
      <c r="V578">
        <v>20200524</v>
      </c>
      <c r="W578" s="9" t="s">
        <v>890</v>
      </c>
      <c r="X578">
        <v>2012</v>
      </c>
      <c r="Y578" t="s">
        <v>328</v>
      </c>
      <c r="Z578" t="s">
        <v>892</v>
      </c>
      <c r="AC578" t="s">
        <v>287</v>
      </c>
      <c r="AD578" s="41" t="s">
        <v>22</v>
      </c>
      <c r="AF578" s="41" t="s">
        <v>22</v>
      </c>
      <c r="AG578" s="41" t="s">
        <v>22</v>
      </c>
      <c r="AH578" s="41" t="s">
        <v>22</v>
      </c>
      <c r="AI578" s="41" t="s">
        <v>22</v>
      </c>
      <c r="AJ578" s="41" t="s">
        <v>22</v>
      </c>
      <c r="AK578" s="41" t="s">
        <v>22</v>
      </c>
      <c r="AL578" s="41" t="s">
        <v>22</v>
      </c>
      <c r="AM578" s="43" t="e">
        <f t="shared" ref="AM578:AM641" si="303">AL578/AI578</f>
        <v>#VALUE!</v>
      </c>
      <c r="AN578" s="43" t="e">
        <f t="shared" ref="AN578:AN641" si="304">AL578/AJ578</f>
        <v>#VALUE!</v>
      </c>
      <c r="AO578" s="3" t="s">
        <v>891</v>
      </c>
      <c r="AT578" s="2">
        <f t="shared" ref="AT578:AT641" si="305">COUNTIF($AO$2:$AO$1400,AO578)</f>
        <v>28</v>
      </c>
      <c r="AU578" s="45">
        <f t="shared" ref="AU578:AU641" si="306">LOG10(B578)</f>
        <v>-1.4950098968859402</v>
      </c>
      <c r="AV578" s="45" t="e">
        <f t="shared" ref="AV578:AV641" si="307">LOG10(C578)</f>
        <v>#VALUE!</v>
      </c>
      <c r="AW578" s="45" t="e">
        <f t="shared" ref="AW578:AW641" si="308">LOG10(D578)</f>
        <v>#VALUE!</v>
      </c>
      <c r="AX578" s="45" t="e">
        <f t="shared" ref="AX578:AX641" si="309">LOG10(N578)</f>
        <v>#VALUE!</v>
      </c>
      <c r="AY578" s="45" t="e">
        <f t="shared" ref="AY578:AY641" si="310">LOG10(O578)</f>
        <v>#VALUE!</v>
      </c>
      <c r="AZ578" s="45" t="e">
        <f t="shared" ref="AZ578:AZ641" si="311">LOG10(P578)</f>
        <v>#VALUE!</v>
      </c>
      <c r="BA578" s="45">
        <f t="shared" ref="BA578:BA641" si="312">LOG10(J578)</f>
        <v>-0.26974986720749361</v>
      </c>
      <c r="BB578" s="45">
        <f t="shared" ref="BB578:BB641" si="313">LOG10(L578)</f>
        <v>-1.0653155016082614</v>
      </c>
      <c r="BC578" s="45" t="e">
        <f t="shared" ref="BC578:BC641" si="314">LOG10(U578)</f>
        <v>#VALUE!</v>
      </c>
      <c r="BD578" s="45" t="e">
        <f t="shared" ref="BD578:BD641" si="315">LOG10(AD578)</f>
        <v>#VALUE!</v>
      </c>
      <c r="BE578" s="45" t="e">
        <f t="shared" ref="BE578:BE641" si="316">LOG10(AF578)</f>
        <v>#VALUE!</v>
      </c>
      <c r="BF578" s="45" t="e">
        <f t="shared" ref="BF578:BF641" si="317">LOG10(AM578)</f>
        <v>#VALUE!</v>
      </c>
      <c r="BG578" s="45" t="e">
        <f t="shared" ref="BG578:BG641" si="318">LOG10(AN578)</f>
        <v>#VALUE!</v>
      </c>
      <c r="BH578" s="45" t="e">
        <f t="shared" ref="BH578:BH641" si="319">LOG10(AB578)</f>
        <v>#NUM!</v>
      </c>
      <c r="BI578" s="43" t="e">
        <f t="shared" ref="BI578:BI641" si="320">LOG10(AF578)</f>
        <v>#VALUE!</v>
      </c>
      <c r="CA578" s="41" t="s">
        <v>22</v>
      </c>
      <c r="CC578" t="s">
        <v>22</v>
      </c>
      <c r="CE578" s="41" t="s">
        <v>22</v>
      </c>
      <c r="CF578" s="41" t="s">
        <v>22</v>
      </c>
      <c r="CG578" s="41" t="e">
        <f t="shared" si="299"/>
        <v>#VALUE!</v>
      </c>
      <c r="CH578" s="41" t="e">
        <f t="shared" si="300"/>
        <v>#VALUE!</v>
      </c>
      <c r="CI578" s="41" t="str">
        <f t="shared" si="301"/>
        <v>Not Reported/ Can not calculate</v>
      </c>
      <c r="CJ578" s="41" t="e">
        <f t="shared" si="302"/>
        <v>#VALUE!</v>
      </c>
      <c r="CL578" s="9" t="s">
        <v>1269</v>
      </c>
      <c r="CM578" s="18" t="s">
        <v>1284</v>
      </c>
      <c r="CN578" s="54" t="s">
        <v>1284</v>
      </c>
      <c r="CO578" s="18" t="s">
        <v>1284</v>
      </c>
    </row>
    <row r="579" spans="1:93" x14ac:dyDescent="0.25">
      <c r="A579" t="s">
        <v>315</v>
      </c>
      <c r="B579" s="41">
        <v>5.5698533624350911E-3</v>
      </c>
      <c r="C579" s="41" t="s">
        <v>22</v>
      </c>
      <c r="D579" s="41" t="s">
        <v>22</v>
      </c>
      <c r="E579" s="41" t="s">
        <v>22</v>
      </c>
      <c r="F579" t="s">
        <v>22</v>
      </c>
      <c r="G579" t="s">
        <v>22</v>
      </c>
      <c r="H579" t="s">
        <v>22</v>
      </c>
      <c r="I579" t="s">
        <v>22</v>
      </c>
      <c r="J579" s="41">
        <v>0.42601452322173694</v>
      </c>
      <c r="K579">
        <v>632.57000000000005</v>
      </c>
      <c r="L579" s="41">
        <f t="shared" si="296"/>
        <v>6.8211683840692955E-2</v>
      </c>
      <c r="M579" t="s">
        <v>23</v>
      </c>
      <c r="N579" s="41" t="s">
        <v>22</v>
      </c>
      <c r="O579" s="41" t="s">
        <v>22</v>
      </c>
      <c r="P579" s="41" t="s">
        <v>22</v>
      </c>
      <c r="R579" s="41" t="s">
        <v>22</v>
      </c>
      <c r="S579" s="41" t="s">
        <v>22</v>
      </c>
      <c r="T579" s="41" t="s">
        <v>22</v>
      </c>
      <c r="U579" s="41" t="s">
        <v>22</v>
      </c>
      <c r="V579">
        <v>20200524</v>
      </c>
      <c r="W579" s="9" t="s">
        <v>890</v>
      </c>
      <c r="X579">
        <v>2012</v>
      </c>
      <c r="Y579" t="s">
        <v>328</v>
      </c>
      <c r="Z579" t="s">
        <v>892</v>
      </c>
      <c r="AC579" t="s">
        <v>287</v>
      </c>
      <c r="AD579" s="41" t="s">
        <v>22</v>
      </c>
      <c r="AF579" s="41" t="s">
        <v>22</v>
      </c>
      <c r="AG579" s="41" t="s">
        <v>22</v>
      </c>
      <c r="AH579" s="41" t="s">
        <v>22</v>
      </c>
      <c r="AI579" s="41" t="s">
        <v>22</v>
      </c>
      <c r="AJ579" s="41" t="s">
        <v>22</v>
      </c>
      <c r="AK579" s="41" t="s">
        <v>22</v>
      </c>
      <c r="AL579" s="41" t="s">
        <v>22</v>
      </c>
      <c r="AM579" s="43" t="e">
        <f t="shared" si="303"/>
        <v>#VALUE!</v>
      </c>
      <c r="AN579" s="43" t="e">
        <f t="shared" si="304"/>
        <v>#VALUE!</v>
      </c>
      <c r="AO579" s="3" t="s">
        <v>891</v>
      </c>
      <c r="AT579" s="2">
        <f t="shared" si="305"/>
        <v>28</v>
      </c>
      <c r="AU579" s="45">
        <f t="shared" si="306"/>
        <v>-2.2541562383493545</v>
      </c>
      <c r="AV579" s="45" t="e">
        <f t="shared" si="307"/>
        <v>#VALUE!</v>
      </c>
      <c r="AW579" s="45" t="e">
        <f t="shared" si="308"/>
        <v>#VALUE!</v>
      </c>
      <c r="AX579" s="45" t="e">
        <f t="shared" si="309"/>
        <v>#VALUE!</v>
      </c>
      <c r="AY579" s="45" t="e">
        <f t="shared" si="310"/>
        <v>#VALUE!</v>
      </c>
      <c r="AZ579" s="45" t="e">
        <f t="shared" si="311"/>
        <v>#VALUE!</v>
      </c>
      <c r="BA579" s="45">
        <f t="shared" si="312"/>
        <v>-0.37057559515186594</v>
      </c>
      <c r="BB579" s="45">
        <f t="shared" si="313"/>
        <v>-1.1661412295526339</v>
      </c>
      <c r="BC579" s="45" t="e">
        <f t="shared" si="314"/>
        <v>#VALUE!</v>
      </c>
      <c r="BD579" s="45" t="e">
        <f t="shared" si="315"/>
        <v>#VALUE!</v>
      </c>
      <c r="BE579" s="45" t="e">
        <f t="shared" si="316"/>
        <v>#VALUE!</v>
      </c>
      <c r="BF579" s="45" t="e">
        <f t="shared" si="317"/>
        <v>#VALUE!</v>
      </c>
      <c r="BG579" s="45" t="e">
        <f t="shared" si="318"/>
        <v>#VALUE!</v>
      </c>
      <c r="BH579" s="45" t="e">
        <f t="shared" si="319"/>
        <v>#NUM!</v>
      </c>
      <c r="BI579" s="43" t="e">
        <f t="shared" si="320"/>
        <v>#VALUE!</v>
      </c>
      <c r="CA579" s="41" t="s">
        <v>22</v>
      </c>
      <c r="CC579" t="s">
        <v>22</v>
      </c>
      <c r="CE579" s="41" t="s">
        <v>22</v>
      </c>
      <c r="CF579" s="41" t="s">
        <v>22</v>
      </c>
      <c r="CG579" s="41" t="e">
        <f t="shared" si="299"/>
        <v>#VALUE!</v>
      </c>
      <c r="CH579" s="41" t="e">
        <f t="shared" si="300"/>
        <v>#VALUE!</v>
      </c>
      <c r="CI579" s="41" t="str">
        <f t="shared" si="301"/>
        <v>Not Reported/ Can not calculate</v>
      </c>
      <c r="CJ579" s="41" t="e">
        <f t="shared" si="302"/>
        <v>#VALUE!</v>
      </c>
      <c r="CL579" s="9" t="s">
        <v>1269</v>
      </c>
      <c r="CM579" s="18" t="s">
        <v>1284</v>
      </c>
      <c r="CN579" s="54" t="s">
        <v>1284</v>
      </c>
      <c r="CO579" s="18" t="s">
        <v>1284</v>
      </c>
    </row>
    <row r="580" spans="1:93" x14ac:dyDescent="0.25">
      <c r="A580" s="18" t="s">
        <v>315</v>
      </c>
      <c r="B580" s="41">
        <v>2.4326950087987234E-3</v>
      </c>
      <c r="C580" s="41" t="s">
        <v>22</v>
      </c>
      <c r="D580" s="41" t="s">
        <v>22</v>
      </c>
      <c r="E580" s="41" t="s">
        <v>22</v>
      </c>
      <c r="F580" s="18" t="s">
        <v>22</v>
      </c>
      <c r="G580" s="18" t="s">
        <v>22</v>
      </c>
      <c r="H580" s="18" t="s">
        <v>22</v>
      </c>
      <c r="I580" s="18" t="s">
        <v>22</v>
      </c>
      <c r="J580" s="41">
        <v>0.59630989641488463</v>
      </c>
      <c r="K580" s="18">
        <v>632.57000000000005</v>
      </c>
      <c r="L580" s="41">
        <f t="shared" si="296"/>
        <v>9.5478674806016697E-2</v>
      </c>
      <c r="M580" s="18" t="s">
        <v>23</v>
      </c>
      <c r="N580" s="41" t="s">
        <v>22</v>
      </c>
      <c r="O580" s="41" t="s">
        <v>22</v>
      </c>
      <c r="P580" s="41" t="s">
        <v>22</v>
      </c>
      <c r="R580" s="41" t="s">
        <v>22</v>
      </c>
      <c r="S580" s="41" t="s">
        <v>22</v>
      </c>
      <c r="T580" s="41" t="s">
        <v>22</v>
      </c>
      <c r="U580" s="41" t="s">
        <v>22</v>
      </c>
      <c r="V580" s="18">
        <v>20200524</v>
      </c>
      <c r="W580" s="9" t="s">
        <v>890</v>
      </c>
      <c r="X580" s="18">
        <v>2012</v>
      </c>
      <c r="Y580" s="18" t="s">
        <v>328</v>
      </c>
      <c r="Z580" s="18" t="s">
        <v>892</v>
      </c>
      <c r="AA580" s="18"/>
      <c r="AC580" s="18" t="s">
        <v>287</v>
      </c>
      <c r="AD580" s="41" t="s">
        <v>22</v>
      </c>
      <c r="AF580" s="41" t="s">
        <v>22</v>
      </c>
      <c r="AG580" s="41" t="s">
        <v>22</v>
      </c>
      <c r="AH580" s="41" t="s">
        <v>22</v>
      </c>
      <c r="AI580" s="41" t="s">
        <v>22</v>
      </c>
      <c r="AJ580" s="41" t="s">
        <v>22</v>
      </c>
      <c r="AK580" s="41" t="s">
        <v>22</v>
      </c>
      <c r="AL580" s="41" t="s">
        <v>22</v>
      </c>
      <c r="AM580" s="43" t="e">
        <f t="shared" si="303"/>
        <v>#VALUE!</v>
      </c>
      <c r="AN580" s="43" t="e">
        <f t="shared" si="304"/>
        <v>#VALUE!</v>
      </c>
      <c r="AO580" s="19" t="s">
        <v>891</v>
      </c>
      <c r="AP580" s="18"/>
      <c r="AQ580" s="18"/>
      <c r="AR580" s="18"/>
      <c r="AS580" s="18"/>
      <c r="AT580" s="2">
        <f t="shared" si="305"/>
        <v>28</v>
      </c>
      <c r="AU580" s="45">
        <f t="shared" si="306"/>
        <v>-2.6139123359103307</v>
      </c>
      <c r="AV580" s="45" t="e">
        <f t="shared" si="307"/>
        <v>#VALUE!</v>
      </c>
      <c r="AW580" s="45" t="e">
        <f t="shared" si="308"/>
        <v>#VALUE!</v>
      </c>
      <c r="AX580" s="45" t="e">
        <f t="shared" si="309"/>
        <v>#VALUE!</v>
      </c>
      <c r="AY580" s="45" t="e">
        <f t="shared" si="310"/>
        <v>#VALUE!</v>
      </c>
      <c r="AZ580" s="45" t="e">
        <f t="shared" si="311"/>
        <v>#VALUE!</v>
      </c>
      <c r="BA580" s="45">
        <f t="shared" si="312"/>
        <v>-0.22452798300255833</v>
      </c>
      <c r="BB580" s="45">
        <f t="shared" si="313"/>
        <v>-1.0200936174033264</v>
      </c>
      <c r="BC580" s="45" t="e">
        <f t="shared" si="314"/>
        <v>#VALUE!</v>
      </c>
      <c r="BD580" s="45" t="e">
        <f t="shared" si="315"/>
        <v>#VALUE!</v>
      </c>
      <c r="BE580" s="45" t="e">
        <f t="shared" si="316"/>
        <v>#VALUE!</v>
      </c>
      <c r="BF580" s="45" t="e">
        <f t="shared" si="317"/>
        <v>#VALUE!</v>
      </c>
      <c r="BG580" s="45" t="e">
        <f t="shared" si="318"/>
        <v>#VALUE!</v>
      </c>
      <c r="BH580" s="45" t="e">
        <f t="shared" si="319"/>
        <v>#NUM!</v>
      </c>
      <c r="BI580" s="43" t="e">
        <f t="shared" si="320"/>
        <v>#VALUE!</v>
      </c>
      <c r="BJ580" s="18"/>
      <c r="BK580" s="18"/>
      <c r="BL580" s="20"/>
      <c r="BS580" s="18"/>
      <c r="BT580" s="18"/>
      <c r="CA580" s="41" t="s">
        <v>22</v>
      </c>
      <c r="CB580" s="18"/>
      <c r="CC580" t="s">
        <v>22</v>
      </c>
      <c r="CE580" s="41" t="s">
        <v>22</v>
      </c>
      <c r="CF580" s="41" t="s">
        <v>22</v>
      </c>
      <c r="CG580" s="41" t="e">
        <f t="shared" si="299"/>
        <v>#VALUE!</v>
      </c>
      <c r="CH580" s="41" t="e">
        <f t="shared" si="300"/>
        <v>#VALUE!</v>
      </c>
      <c r="CI580" s="41" t="str">
        <f t="shared" si="301"/>
        <v>Not Reported/ Can not calculate</v>
      </c>
      <c r="CJ580" s="41" t="e">
        <f t="shared" si="302"/>
        <v>#VALUE!</v>
      </c>
      <c r="CL580" s="9" t="s">
        <v>1269</v>
      </c>
      <c r="CM580" s="18" t="s">
        <v>1284</v>
      </c>
      <c r="CN580" s="54" t="s">
        <v>1284</v>
      </c>
      <c r="CO580" s="18" t="s">
        <v>1284</v>
      </c>
    </row>
    <row r="581" spans="1:93" x14ac:dyDescent="0.25">
      <c r="A581" s="18" t="s">
        <v>315</v>
      </c>
      <c r="B581" s="41">
        <v>7.5831684864561308E-2</v>
      </c>
      <c r="C581" s="41" t="s">
        <v>22</v>
      </c>
      <c r="D581" s="41" t="s">
        <v>22</v>
      </c>
      <c r="E581" s="41" t="s">
        <v>22</v>
      </c>
      <c r="F581" s="18" t="s">
        <v>22</v>
      </c>
      <c r="G581" s="18" t="s">
        <v>22</v>
      </c>
      <c r="H581" s="18" t="s">
        <v>22</v>
      </c>
      <c r="I581" s="18" t="s">
        <v>22</v>
      </c>
      <c r="J581" s="41">
        <v>12.393907968041034</v>
      </c>
      <c r="K581" s="18">
        <v>632.57000000000005</v>
      </c>
      <c r="L581" s="41">
        <f t="shared" si="296"/>
        <v>1.984461293650855</v>
      </c>
      <c r="M581" s="18" t="s">
        <v>23</v>
      </c>
      <c r="N581" s="41" t="s">
        <v>22</v>
      </c>
      <c r="O581" s="41" t="s">
        <v>22</v>
      </c>
      <c r="P581" s="41" t="s">
        <v>22</v>
      </c>
      <c r="R581" s="41" t="s">
        <v>22</v>
      </c>
      <c r="S581" s="41" t="s">
        <v>22</v>
      </c>
      <c r="T581" s="41" t="s">
        <v>22</v>
      </c>
      <c r="U581" s="41" t="s">
        <v>22</v>
      </c>
      <c r="V581" s="18">
        <v>20200524</v>
      </c>
      <c r="W581" s="9" t="s">
        <v>890</v>
      </c>
      <c r="X581" s="18">
        <v>2012</v>
      </c>
      <c r="Y581" s="18" t="s">
        <v>328</v>
      </c>
      <c r="Z581" s="18" t="s">
        <v>32</v>
      </c>
      <c r="AA581" s="18"/>
      <c r="AC581" s="18" t="s">
        <v>533</v>
      </c>
      <c r="AD581" s="41" t="s">
        <v>22</v>
      </c>
      <c r="AF581" s="41" t="s">
        <v>22</v>
      </c>
      <c r="AG581" s="41" t="s">
        <v>22</v>
      </c>
      <c r="AH581" s="41" t="s">
        <v>22</v>
      </c>
      <c r="AI581" s="41" t="s">
        <v>22</v>
      </c>
      <c r="AJ581" s="41" t="s">
        <v>22</v>
      </c>
      <c r="AK581" s="41" t="s">
        <v>22</v>
      </c>
      <c r="AL581" s="41" t="s">
        <v>22</v>
      </c>
      <c r="AM581" s="43" t="e">
        <f t="shared" si="303"/>
        <v>#VALUE!</v>
      </c>
      <c r="AN581" s="43" t="e">
        <f t="shared" si="304"/>
        <v>#VALUE!</v>
      </c>
      <c r="AO581" s="19" t="s">
        <v>891</v>
      </c>
      <c r="AP581" s="18"/>
      <c r="AQ581" s="18"/>
      <c r="AR581" s="18"/>
      <c r="AS581" s="18"/>
      <c r="AT581" s="2">
        <f t="shared" si="305"/>
        <v>28</v>
      </c>
      <c r="AU581" s="45">
        <f t="shared" si="306"/>
        <v>-1.120149294544194</v>
      </c>
      <c r="AV581" s="45" t="e">
        <f t="shared" si="307"/>
        <v>#VALUE!</v>
      </c>
      <c r="AW581" s="45" t="e">
        <f t="shared" si="308"/>
        <v>#VALUE!</v>
      </c>
      <c r="AX581" s="45" t="e">
        <f t="shared" si="309"/>
        <v>#VALUE!</v>
      </c>
      <c r="AY581" s="45" t="e">
        <f t="shared" si="310"/>
        <v>#VALUE!</v>
      </c>
      <c r="AZ581" s="45" t="e">
        <f t="shared" si="311"/>
        <v>#VALUE!</v>
      </c>
      <c r="BA581" s="45">
        <f t="shared" si="312"/>
        <v>1.09320826693708</v>
      </c>
      <c r="BB581" s="45">
        <f t="shared" si="313"/>
        <v>0.29764263253631201</v>
      </c>
      <c r="BC581" s="45" t="e">
        <f t="shared" si="314"/>
        <v>#VALUE!</v>
      </c>
      <c r="BD581" s="45" t="e">
        <f t="shared" si="315"/>
        <v>#VALUE!</v>
      </c>
      <c r="BE581" s="45" t="e">
        <f t="shared" si="316"/>
        <v>#VALUE!</v>
      </c>
      <c r="BF581" s="45" t="e">
        <f t="shared" si="317"/>
        <v>#VALUE!</v>
      </c>
      <c r="BG581" s="45" t="e">
        <f t="shared" si="318"/>
        <v>#VALUE!</v>
      </c>
      <c r="BH581" s="45" t="e">
        <f t="shared" si="319"/>
        <v>#NUM!</v>
      </c>
      <c r="BI581" s="43" t="e">
        <f t="shared" si="320"/>
        <v>#VALUE!</v>
      </c>
      <c r="BJ581" s="18"/>
      <c r="BK581" s="18"/>
      <c r="BL581" s="20"/>
      <c r="BS581" s="18"/>
      <c r="BT581" s="18"/>
      <c r="CA581" s="41" t="s">
        <v>22</v>
      </c>
      <c r="CB581" s="18"/>
      <c r="CC581" t="s">
        <v>22</v>
      </c>
      <c r="CE581" s="41" t="s">
        <v>22</v>
      </c>
      <c r="CF581" s="41" t="s">
        <v>22</v>
      </c>
      <c r="CG581" s="41" t="e">
        <f t="shared" si="299"/>
        <v>#VALUE!</v>
      </c>
      <c r="CH581" s="41" t="e">
        <f t="shared" si="300"/>
        <v>#VALUE!</v>
      </c>
      <c r="CI581" s="41" t="str">
        <f t="shared" si="301"/>
        <v>Not Reported/ Can not calculate</v>
      </c>
      <c r="CJ581" s="41" t="e">
        <f t="shared" si="302"/>
        <v>#VALUE!</v>
      </c>
      <c r="CL581" s="9" t="s">
        <v>1269</v>
      </c>
      <c r="CM581" s="18" t="s">
        <v>1284</v>
      </c>
      <c r="CN581" s="54" t="s">
        <v>1284</v>
      </c>
      <c r="CO581" s="18" t="s">
        <v>1284</v>
      </c>
    </row>
    <row r="582" spans="1:93" x14ac:dyDescent="0.25">
      <c r="A582" s="18" t="s">
        <v>315</v>
      </c>
      <c r="B582" s="41">
        <v>7.5301204819277101E-2</v>
      </c>
      <c r="C582" s="41" t="s">
        <v>22</v>
      </c>
      <c r="D582" s="41" t="s">
        <v>22</v>
      </c>
      <c r="E582" s="41" t="s">
        <v>22</v>
      </c>
      <c r="F582" s="18" t="s">
        <v>22</v>
      </c>
      <c r="G582" s="18" t="s">
        <v>22</v>
      </c>
      <c r="H582" s="18" t="s">
        <v>22</v>
      </c>
      <c r="I582" s="18" t="s">
        <v>22</v>
      </c>
      <c r="J582" s="41">
        <v>7.6843173528019557</v>
      </c>
      <c r="K582" s="18">
        <v>632.57000000000005</v>
      </c>
      <c r="L582" s="41">
        <f t="shared" si="296"/>
        <v>1.2303811190212797</v>
      </c>
      <c r="M582" s="18" t="s">
        <v>23</v>
      </c>
      <c r="N582" s="41" t="s">
        <v>22</v>
      </c>
      <c r="O582" s="41" t="s">
        <v>22</v>
      </c>
      <c r="P582" s="41" t="s">
        <v>22</v>
      </c>
      <c r="R582" s="41" t="s">
        <v>22</v>
      </c>
      <c r="S582" s="41" t="s">
        <v>22</v>
      </c>
      <c r="T582" s="41" t="s">
        <v>22</v>
      </c>
      <c r="U582" s="41" t="s">
        <v>22</v>
      </c>
      <c r="V582" s="18">
        <v>20200524</v>
      </c>
      <c r="W582" s="9" t="s">
        <v>890</v>
      </c>
      <c r="X582" s="18">
        <v>2012</v>
      </c>
      <c r="Y582" s="18" t="s">
        <v>328</v>
      </c>
      <c r="Z582" s="18" t="s">
        <v>892</v>
      </c>
      <c r="AA582" s="18"/>
      <c r="AC582" s="18" t="s">
        <v>533</v>
      </c>
      <c r="AD582" s="41" t="s">
        <v>22</v>
      </c>
      <c r="AF582" s="41" t="s">
        <v>22</v>
      </c>
      <c r="AG582" s="41" t="s">
        <v>22</v>
      </c>
      <c r="AH582" s="41" t="s">
        <v>22</v>
      </c>
      <c r="AI582" s="41" t="s">
        <v>22</v>
      </c>
      <c r="AJ582" s="41" t="s">
        <v>22</v>
      </c>
      <c r="AK582" s="41" t="s">
        <v>22</v>
      </c>
      <c r="AL582" s="41" t="s">
        <v>22</v>
      </c>
      <c r="AM582" s="43" t="e">
        <f t="shared" si="303"/>
        <v>#VALUE!</v>
      </c>
      <c r="AN582" s="43" t="e">
        <f t="shared" si="304"/>
        <v>#VALUE!</v>
      </c>
      <c r="AO582" s="19" t="s">
        <v>891</v>
      </c>
      <c r="AP582" s="18"/>
      <c r="AQ582" s="18"/>
      <c r="AR582" s="18"/>
      <c r="AS582" s="18"/>
      <c r="AT582" s="2">
        <f t="shared" si="305"/>
        <v>28</v>
      </c>
      <c r="AU582" s="45">
        <f t="shared" si="306"/>
        <v>-1.1231980750319988</v>
      </c>
      <c r="AV582" s="45" t="e">
        <f t="shared" si="307"/>
        <v>#VALUE!</v>
      </c>
      <c r="AW582" s="45" t="e">
        <f t="shared" si="308"/>
        <v>#VALUE!</v>
      </c>
      <c r="AX582" s="45" t="e">
        <f t="shared" si="309"/>
        <v>#VALUE!</v>
      </c>
      <c r="AY582" s="45" t="e">
        <f t="shared" si="310"/>
        <v>#VALUE!</v>
      </c>
      <c r="AZ582" s="45" t="e">
        <f t="shared" si="311"/>
        <v>#VALUE!</v>
      </c>
      <c r="BA582" s="45">
        <f t="shared" si="312"/>
        <v>0.88560529238495467</v>
      </c>
      <c r="BB582" s="45">
        <f t="shared" si="313"/>
        <v>9.0039657984186755E-2</v>
      </c>
      <c r="BC582" s="45" t="e">
        <f t="shared" si="314"/>
        <v>#VALUE!</v>
      </c>
      <c r="BD582" s="45" t="e">
        <f t="shared" si="315"/>
        <v>#VALUE!</v>
      </c>
      <c r="BE582" s="45" t="e">
        <f t="shared" si="316"/>
        <v>#VALUE!</v>
      </c>
      <c r="BF582" s="45" t="e">
        <f t="shared" si="317"/>
        <v>#VALUE!</v>
      </c>
      <c r="BG582" s="45" t="e">
        <f t="shared" si="318"/>
        <v>#VALUE!</v>
      </c>
      <c r="BH582" s="45" t="e">
        <f t="shared" si="319"/>
        <v>#NUM!</v>
      </c>
      <c r="BI582" s="43" t="e">
        <f t="shared" si="320"/>
        <v>#VALUE!</v>
      </c>
      <c r="BJ582" s="18"/>
      <c r="BK582" s="18"/>
      <c r="BL582" s="20"/>
      <c r="BS582" s="18"/>
      <c r="BT582" s="18"/>
      <c r="CA582" s="41" t="s">
        <v>22</v>
      </c>
      <c r="CB582" s="18"/>
      <c r="CC582" s="18" t="s">
        <v>22</v>
      </c>
      <c r="CD582" s="18"/>
      <c r="CE582" s="41" t="s">
        <v>22</v>
      </c>
      <c r="CF582" s="41" t="s">
        <v>22</v>
      </c>
      <c r="CG582" s="41" t="e">
        <f t="shared" si="299"/>
        <v>#VALUE!</v>
      </c>
      <c r="CH582" s="41" t="e">
        <f t="shared" si="300"/>
        <v>#VALUE!</v>
      </c>
      <c r="CI582" s="41" t="str">
        <f t="shared" si="301"/>
        <v>Not Reported/ Can not calculate</v>
      </c>
      <c r="CJ582" s="41" t="e">
        <f t="shared" si="302"/>
        <v>#VALUE!</v>
      </c>
      <c r="CK582" s="18"/>
      <c r="CL582" s="9" t="s">
        <v>1269</v>
      </c>
      <c r="CM582" s="18" t="s">
        <v>1284</v>
      </c>
      <c r="CN582" s="54" t="s">
        <v>1284</v>
      </c>
      <c r="CO582" s="18" t="s">
        <v>1284</v>
      </c>
    </row>
    <row r="583" spans="1:93" x14ac:dyDescent="0.25">
      <c r="A583" s="18" t="s">
        <v>315</v>
      </c>
      <c r="B583" s="41">
        <v>6.1001218528017292E-2</v>
      </c>
      <c r="C583" s="41" t="s">
        <v>22</v>
      </c>
      <c r="D583" s="41" t="s">
        <v>22</v>
      </c>
      <c r="E583" s="41" t="s">
        <v>22</v>
      </c>
      <c r="F583" s="18" t="s">
        <v>22</v>
      </c>
      <c r="G583" s="18" t="s">
        <v>22</v>
      </c>
      <c r="H583" s="18" t="s">
        <v>22</v>
      </c>
      <c r="I583" s="18" t="s">
        <v>22</v>
      </c>
      <c r="J583" s="41">
        <v>5.4295655167982</v>
      </c>
      <c r="K583" s="18">
        <v>632.57000000000005</v>
      </c>
      <c r="L583" s="41">
        <f t="shared" si="296"/>
        <v>0.86935957869069724</v>
      </c>
      <c r="M583" s="18" t="s">
        <v>23</v>
      </c>
      <c r="N583" s="41" t="s">
        <v>22</v>
      </c>
      <c r="O583" s="41" t="s">
        <v>22</v>
      </c>
      <c r="P583" s="41" t="s">
        <v>22</v>
      </c>
      <c r="R583" s="41" t="s">
        <v>22</v>
      </c>
      <c r="S583" s="41" t="s">
        <v>22</v>
      </c>
      <c r="T583" s="41" t="s">
        <v>22</v>
      </c>
      <c r="U583" s="41" t="s">
        <v>22</v>
      </c>
      <c r="V583" s="18">
        <v>20200524</v>
      </c>
      <c r="W583" s="9" t="s">
        <v>890</v>
      </c>
      <c r="X583" s="18">
        <v>2012</v>
      </c>
      <c r="Y583" s="18" t="s">
        <v>328</v>
      </c>
      <c r="Z583" s="18" t="s">
        <v>892</v>
      </c>
      <c r="AC583" s="18" t="s">
        <v>533</v>
      </c>
      <c r="AD583" s="41" t="s">
        <v>22</v>
      </c>
      <c r="AF583" s="41" t="s">
        <v>22</v>
      </c>
      <c r="AG583" s="41" t="s">
        <v>22</v>
      </c>
      <c r="AH583" s="41" t="s">
        <v>22</v>
      </c>
      <c r="AI583" s="41" t="s">
        <v>22</v>
      </c>
      <c r="AJ583" s="41" t="s">
        <v>22</v>
      </c>
      <c r="AK583" s="41" t="s">
        <v>22</v>
      </c>
      <c r="AL583" s="41" t="s">
        <v>22</v>
      </c>
      <c r="AM583" s="43" t="e">
        <f t="shared" si="303"/>
        <v>#VALUE!</v>
      </c>
      <c r="AN583" s="43" t="e">
        <f t="shared" si="304"/>
        <v>#VALUE!</v>
      </c>
      <c r="AO583" s="19" t="s">
        <v>891</v>
      </c>
      <c r="AT583" s="2">
        <f t="shared" si="305"/>
        <v>28</v>
      </c>
      <c r="AU583" s="45">
        <f t="shared" si="306"/>
        <v>-1.2146614896661443</v>
      </c>
      <c r="AV583" s="45" t="e">
        <f t="shared" si="307"/>
        <v>#VALUE!</v>
      </c>
      <c r="AW583" s="45" t="e">
        <f t="shared" si="308"/>
        <v>#VALUE!</v>
      </c>
      <c r="AX583" s="45" t="e">
        <f t="shared" si="309"/>
        <v>#VALUE!</v>
      </c>
      <c r="AY583" s="45" t="e">
        <f t="shared" si="310"/>
        <v>#VALUE!</v>
      </c>
      <c r="AZ583" s="45" t="e">
        <f t="shared" si="311"/>
        <v>#VALUE!</v>
      </c>
      <c r="BA583" s="45">
        <f t="shared" si="312"/>
        <v>0.73476507798541857</v>
      </c>
      <c r="BB583" s="45">
        <f t="shared" si="313"/>
        <v>-6.0800556415349316E-2</v>
      </c>
      <c r="BC583" s="45" t="e">
        <f t="shared" si="314"/>
        <v>#VALUE!</v>
      </c>
      <c r="BD583" s="45" t="e">
        <f t="shared" si="315"/>
        <v>#VALUE!</v>
      </c>
      <c r="BE583" s="45" t="e">
        <f t="shared" si="316"/>
        <v>#VALUE!</v>
      </c>
      <c r="BF583" s="45" t="e">
        <f t="shared" si="317"/>
        <v>#VALUE!</v>
      </c>
      <c r="BG583" s="45" t="e">
        <f t="shared" si="318"/>
        <v>#VALUE!</v>
      </c>
      <c r="BH583" s="45" t="e">
        <f t="shared" si="319"/>
        <v>#NUM!</v>
      </c>
      <c r="BI583" s="43" t="e">
        <f t="shared" si="320"/>
        <v>#VALUE!</v>
      </c>
      <c r="BL583" s="20"/>
      <c r="CA583" s="41" t="s">
        <v>22</v>
      </c>
      <c r="CC583" t="s">
        <v>22</v>
      </c>
      <c r="CE583" s="41" t="s">
        <v>22</v>
      </c>
      <c r="CF583" s="41" t="s">
        <v>22</v>
      </c>
      <c r="CG583" s="41" t="e">
        <f t="shared" si="299"/>
        <v>#VALUE!</v>
      </c>
      <c r="CH583" s="41" t="e">
        <f t="shared" si="300"/>
        <v>#VALUE!</v>
      </c>
      <c r="CI583" s="41" t="str">
        <f t="shared" si="301"/>
        <v>Not Reported/ Can not calculate</v>
      </c>
      <c r="CJ583" s="41" t="e">
        <f t="shared" si="302"/>
        <v>#VALUE!</v>
      </c>
      <c r="CL583" s="9" t="s">
        <v>1269</v>
      </c>
      <c r="CM583" s="18" t="s">
        <v>1284</v>
      </c>
      <c r="CN583" s="54" t="s">
        <v>1284</v>
      </c>
      <c r="CO583" s="18" t="s">
        <v>1284</v>
      </c>
    </row>
    <row r="584" spans="1:93" x14ac:dyDescent="0.25">
      <c r="A584" s="18" t="s">
        <v>315</v>
      </c>
      <c r="B584" s="41">
        <v>4.2943702542636832E-2</v>
      </c>
      <c r="C584" s="41" t="s">
        <v>22</v>
      </c>
      <c r="D584" s="41" t="s">
        <v>22</v>
      </c>
      <c r="E584" s="41" t="s">
        <v>22</v>
      </c>
      <c r="F584" s="18" t="s">
        <v>22</v>
      </c>
      <c r="G584" s="18" t="s">
        <v>22</v>
      </c>
      <c r="H584" s="18" t="s">
        <v>22</v>
      </c>
      <c r="I584" s="18" t="s">
        <v>22</v>
      </c>
      <c r="J584" s="41">
        <v>4.0969737395808998</v>
      </c>
      <c r="K584" s="18">
        <v>632.57000000000005</v>
      </c>
      <c r="L584" s="41">
        <f t="shared" si="296"/>
        <v>0.65599049373830032</v>
      </c>
      <c r="M584" s="18" t="s">
        <v>23</v>
      </c>
      <c r="N584" s="41" t="s">
        <v>22</v>
      </c>
      <c r="O584" s="41" t="s">
        <v>22</v>
      </c>
      <c r="P584" s="41" t="s">
        <v>22</v>
      </c>
      <c r="R584" s="41" t="s">
        <v>22</v>
      </c>
      <c r="S584" s="41" t="s">
        <v>22</v>
      </c>
      <c r="T584" s="41" t="s">
        <v>22</v>
      </c>
      <c r="U584" s="41" t="s">
        <v>22</v>
      </c>
      <c r="V584" s="18">
        <v>20200524</v>
      </c>
      <c r="W584" s="9" t="s">
        <v>890</v>
      </c>
      <c r="X584" s="18">
        <v>2012</v>
      </c>
      <c r="Y584" s="18" t="s">
        <v>328</v>
      </c>
      <c r="Z584" s="18" t="s">
        <v>892</v>
      </c>
      <c r="AC584" s="18" t="s">
        <v>533</v>
      </c>
      <c r="AD584" s="41" t="s">
        <v>22</v>
      </c>
      <c r="AF584" s="41" t="s">
        <v>22</v>
      </c>
      <c r="AG584" s="41" t="s">
        <v>22</v>
      </c>
      <c r="AH584" s="41" t="s">
        <v>22</v>
      </c>
      <c r="AI584" s="41" t="s">
        <v>22</v>
      </c>
      <c r="AJ584" s="41" t="s">
        <v>22</v>
      </c>
      <c r="AK584" s="41" t="s">
        <v>22</v>
      </c>
      <c r="AL584" s="41" t="s">
        <v>22</v>
      </c>
      <c r="AM584" s="43" t="e">
        <f t="shared" si="303"/>
        <v>#VALUE!</v>
      </c>
      <c r="AN584" s="43" t="e">
        <f t="shared" si="304"/>
        <v>#VALUE!</v>
      </c>
      <c r="AO584" s="19" t="s">
        <v>891</v>
      </c>
      <c r="AT584" s="2">
        <f t="shared" si="305"/>
        <v>28</v>
      </c>
      <c r="AU584" s="45">
        <f t="shared" si="306"/>
        <v>-1.3671005140563894</v>
      </c>
      <c r="AV584" s="45" t="e">
        <f t="shared" si="307"/>
        <v>#VALUE!</v>
      </c>
      <c r="AW584" s="45" t="e">
        <f t="shared" si="308"/>
        <v>#VALUE!</v>
      </c>
      <c r="AX584" s="45" t="e">
        <f t="shared" si="309"/>
        <v>#VALUE!</v>
      </c>
      <c r="AY584" s="45" t="e">
        <f t="shared" si="310"/>
        <v>#VALUE!</v>
      </c>
      <c r="AZ584" s="45" t="e">
        <f t="shared" si="311"/>
        <v>#VALUE!</v>
      </c>
      <c r="BA584" s="45">
        <f t="shared" si="312"/>
        <v>0.61246318025979152</v>
      </c>
      <c r="BB584" s="45">
        <f t="shared" si="313"/>
        <v>-0.18310245414097642</v>
      </c>
      <c r="BC584" s="45" t="e">
        <f t="shared" si="314"/>
        <v>#VALUE!</v>
      </c>
      <c r="BD584" s="45" t="e">
        <f t="shared" si="315"/>
        <v>#VALUE!</v>
      </c>
      <c r="BE584" s="45" t="e">
        <f t="shared" si="316"/>
        <v>#VALUE!</v>
      </c>
      <c r="BF584" s="45" t="e">
        <f t="shared" si="317"/>
        <v>#VALUE!</v>
      </c>
      <c r="BG584" s="45" t="e">
        <f t="shared" si="318"/>
        <v>#VALUE!</v>
      </c>
      <c r="BH584" s="45" t="e">
        <f t="shared" si="319"/>
        <v>#NUM!</v>
      </c>
      <c r="BI584" s="43" t="e">
        <f t="shared" si="320"/>
        <v>#VALUE!</v>
      </c>
      <c r="BL584" s="20"/>
      <c r="CA584" s="41" t="s">
        <v>22</v>
      </c>
      <c r="CC584" t="s">
        <v>22</v>
      </c>
      <c r="CE584" s="41" t="s">
        <v>22</v>
      </c>
      <c r="CF584" s="41" t="s">
        <v>22</v>
      </c>
      <c r="CG584" s="41" t="e">
        <f t="shared" si="299"/>
        <v>#VALUE!</v>
      </c>
      <c r="CH584" s="41" t="e">
        <f t="shared" si="300"/>
        <v>#VALUE!</v>
      </c>
      <c r="CI584" s="41" t="str">
        <f t="shared" si="301"/>
        <v>Not Reported/ Can not calculate</v>
      </c>
      <c r="CJ584" s="41" t="e">
        <f t="shared" si="302"/>
        <v>#VALUE!</v>
      </c>
      <c r="CL584" s="9" t="s">
        <v>1269</v>
      </c>
      <c r="CM584" s="18" t="s">
        <v>1284</v>
      </c>
      <c r="CN584" s="54" t="s">
        <v>1284</v>
      </c>
      <c r="CO584" s="18" t="s">
        <v>1284</v>
      </c>
    </row>
    <row r="585" spans="1:93" x14ac:dyDescent="0.25">
      <c r="A585" s="18" t="s">
        <v>315</v>
      </c>
      <c r="B585" s="41">
        <v>3.0874988394115007E-2</v>
      </c>
      <c r="C585" s="41" t="s">
        <v>22</v>
      </c>
      <c r="D585" s="41" t="s">
        <v>22</v>
      </c>
      <c r="E585" s="41" t="s">
        <v>22</v>
      </c>
      <c r="F585" s="18" t="s">
        <v>22</v>
      </c>
      <c r="G585" s="18" t="s">
        <v>22</v>
      </c>
      <c r="H585" s="18" t="s">
        <v>22</v>
      </c>
      <c r="I585" s="18" t="s">
        <v>22</v>
      </c>
      <c r="J585" s="41">
        <v>3.3667463008233058</v>
      </c>
      <c r="K585" s="18">
        <v>632.57000000000005</v>
      </c>
      <c r="L585" s="41">
        <f t="shared" si="296"/>
        <v>0.53906949581634389</v>
      </c>
      <c r="M585" s="18" t="s">
        <v>23</v>
      </c>
      <c r="N585" s="41" t="s">
        <v>22</v>
      </c>
      <c r="O585" s="41" t="s">
        <v>22</v>
      </c>
      <c r="P585" s="41" t="s">
        <v>22</v>
      </c>
      <c r="R585" s="41" t="s">
        <v>22</v>
      </c>
      <c r="S585" s="41" t="s">
        <v>22</v>
      </c>
      <c r="T585" s="41" t="s">
        <v>22</v>
      </c>
      <c r="U585" s="41" t="s">
        <v>22</v>
      </c>
      <c r="V585" s="18">
        <v>20200524</v>
      </c>
      <c r="W585" s="9" t="s">
        <v>890</v>
      </c>
      <c r="X585" s="18">
        <v>2012</v>
      </c>
      <c r="Y585" s="18" t="s">
        <v>328</v>
      </c>
      <c r="Z585" s="18" t="s">
        <v>892</v>
      </c>
      <c r="AA585" s="18"/>
      <c r="AC585" s="18" t="s">
        <v>533</v>
      </c>
      <c r="AD585" s="41" t="s">
        <v>22</v>
      </c>
      <c r="AF585" s="41" t="s">
        <v>22</v>
      </c>
      <c r="AG585" s="41" t="s">
        <v>22</v>
      </c>
      <c r="AH585" s="41" t="s">
        <v>22</v>
      </c>
      <c r="AI585" s="41" t="s">
        <v>22</v>
      </c>
      <c r="AJ585" s="41" t="s">
        <v>22</v>
      </c>
      <c r="AK585" s="41" t="s">
        <v>22</v>
      </c>
      <c r="AL585" s="41" t="s">
        <v>22</v>
      </c>
      <c r="AM585" s="43" t="e">
        <f t="shared" si="303"/>
        <v>#VALUE!</v>
      </c>
      <c r="AN585" s="43" t="e">
        <f t="shared" si="304"/>
        <v>#VALUE!</v>
      </c>
      <c r="AO585" s="19" t="s">
        <v>891</v>
      </c>
      <c r="AP585" s="18"/>
      <c r="AQ585" s="18"/>
      <c r="AR585" s="18"/>
      <c r="AS585" s="18"/>
      <c r="AT585" s="2">
        <f t="shared" si="305"/>
        <v>28</v>
      </c>
      <c r="AU585" s="45">
        <f t="shared" si="306"/>
        <v>-1.5103931969832174</v>
      </c>
      <c r="AV585" s="45" t="e">
        <f t="shared" si="307"/>
        <v>#VALUE!</v>
      </c>
      <c r="AW585" s="45" t="e">
        <f t="shared" si="308"/>
        <v>#VALUE!</v>
      </c>
      <c r="AX585" s="45" t="e">
        <f t="shared" si="309"/>
        <v>#VALUE!</v>
      </c>
      <c r="AY585" s="45" t="e">
        <f t="shared" si="310"/>
        <v>#VALUE!</v>
      </c>
      <c r="AZ585" s="45" t="e">
        <f t="shared" si="311"/>
        <v>#VALUE!</v>
      </c>
      <c r="BA585" s="45">
        <f t="shared" si="312"/>
        <v>0.52721039161717165</v>
      </c>
      <c r="BB585" s="45">
        <f t="shared" si="313"/>
        <v>-0.26835524278359635</v>
      </c>
      <c r="BC585" s="45" t="e">
        <f t="shared" si="314"/>
        <v>#VALUE!</v>
      </c>
      <c r="BD585" s="45" t="e">
        <f t="shared" si="315"/>
        <v>#VALUE!</v>
      </c>
      <c r="BE585" s="45" t="e">
        <f t="shared" si="316"/>
        <v>#VALUE!</v>
      </c>
      <c r="BF585" s="45" t="e">
        <f t="shared" si="317"/>
        <v>#VALUE!</v>
      </c>
      <c r="BG585" s="45" t="e">
        <f t="shared" si="318"/>
        <v>#VALUE!</v>
      </c>
      <c r="BH585" s="45" t="e">
        <f t="shared" si="319"/>
        <v>#NUM!</v>
      </c>
      <c r="BI585" s="43" t="e">
        <f t="shared" si="320"/>
        <v>#VALUE!</v>
      </c>
      <c r="BJ585" s="18"/>
      <c r="BK585" s="18"/>
      <c r="BL585" s="20"/>
      <c r="BS585" s="18"/>
      <c r="BT585" s="18"/>
      <c r="CA585" s="41" t="s">
        <v>22</v>
      </c>
      <c r="CB585" s="18"/>
      <c r="CC585" t="s">
        <v>22</v>
      </c>
      <c r="CE585" s="41" t="s">
        <v>22</v>
      </c>
      <c r="CF585" s="41" t="s">
        <v>22</v>
      </c>
      <c r="CG585" s="41" t="e">
        <f t="shared" si="299"/>
        <v>#VALUE!</v>
      </c>
      <c r="CH585" s="41" t="e">
        <f t="shared" si="300"/>
        <v>#VALUE!</v>
      </c>
      <c r="CI585" s="41" t="str">
        <f t="shared" si="301"/>
        <v>Not Reported/ Can not calculate</v>
      </c>
      <c r="CJ585" s="41" t="e">
        <f t="shared" si="302"/>
        <v>#VALUE!</v>
      </c>
      <c r="CL585" s="9" t="s">
        <v>1269</v>
      </c>
      <c r="CM585" s="18" t="s">
        <v>1284</v>
      </c>
      <c r="CN585" s="54" t="s">
        <v>1284</v>
      </c>
      <c r="CO585" s="18" t="s">
        <v>1284</v>
      </c>
    </row>
    <row r="586" spans="1:93" x14ac:dyDescent="0.25">
      <c r="A586" s="18" t="s">
        <v>315</v>
      </c>
      <c r="B586" s="41">
        <v>2.5905220354215146E-2</v>
      </c>
      <c r="C586" s="41" t="s">
        <v>22</v>
      </c>
      <c r="D586" s="41" t="s">
        <v>22</v>
      </c>
      <c r="E586" s="41" t="s">
        <v>22</v>
      </c>
      <c r="F586" s="18" t="s">
        <v>22</v>
      </c>
      <c r="G586" s="18" t="s">
        <v>22</v>
      </c>
      <c r="H586" s="18" t="s">
        <v>22</v>
      </c>
      <c r="I586" s="18" t="s">
        <v>22</v>
      </c>
      <c r="J586" s="41">
        <v>2.8039891521390663</v>
      </c>
      <c r="K586" s="18">
        <v>632.57000000000005</v>
      </c>
      <c r="L586" s="41">
        <f t="shared" si="296"/>
        <v>0.44896314823260375</v>
      </c>
      <c r="M586" s="18" t="s">
        <v>23</v>
      </c>
      <c r="N586" s="41" t="s">
        <v>22</v>
      </c>
      <c r="O586" s="41" t="s">
        <v>22</v>
      </c>
      <c r="P586" s="41" t="s">
        <v>22</v>
      </c>
      <c r="R586" s="41" t="s">
        <v>22</v>
      </c>
      <c r="S586" s="41" t="s">
        <v>22</v>
      </c>
      <c r="T586" s="41" t="s">
        <v>22</v>
      </c>
      <c r="U586" s="41" t="s">
        <v>22</v>
      </c>
      <c r="V586" s="18">
        <v>20200524</v>
      </c>
      <c r="W586" s="9" t="s">
        <v>890</v>
      </c>
      <c r="X586" s="18">
        <v>2012</v>
      </c>
      <c r="Y586" s="18" t="s">
        <v>328</v>
      </c>
      <c r="Z586" s="18" t="s">
        <v>892</v>
      </c>
      <c r="AA586" s="18"/>
      <c r="AC586" s="18" t="s">
        <v>533</v>
      </c>
      <c r="AD586" s="41" t="s">
        <v>22</v>
      </c>
      <c r="AF586" s="41" t="s">
        <v>22</v>
      </c>
      <c r="AG586" s="41" t="s">
        <v>22</v>
      </c>
      <c r="AH586" s="41" t="s">
        <v>22</v>
      </c>
      <c r="AI586" s="41" t="s">
        <v>22</v>
      </c>
      <c r="AJ586" s="41" t="s">
        <v>22</v>
      </c>
      <c r="AK586" s="41" t="s">
        <v>22</v>
      </c>
      <c r="AL586" s="41" t="s">
        <v>22</v>
      </c>
      <c r="AM586" s="43" t="e">
        <f t="shared" si="303"/>
        <v>#VALUE!</v>
      </c>
      <c r="AN586" s="43" t="e">
        <f t="shared" si="304"/>
        <v>#VALUE!</v>
      </c>
      <c r="AO586" s="19" t="s">
        <v>891</v>
      </c>
      <c r="AP586" s="18"/>
      <c r="AQ586" s="18"/>
      <c r="AR586" s="18"/>
      <c r="AS586" s="18"/>
      <c r="AT586" s="2">
        <f t="shared" si="305"/>
        <v>28</v>
      </c>
      <c r="AU586" s="45">
        <f t="shared" si="306"/>
        <v>-1.5866127091783391</v>
      </c>
      <c r="AV586" s="45" t="e">
        <f t="shared" si="307"/>
        <v>#VALUE!</v>
      </c>
      <c r="AW586" s="45" t="e">
        <f t="shared" si="308"/>
        <v>#VALUE!</v>
      </c>
      <c r="AX586" s="45" t="e">
        <f t="shared" si="309"/>
        <v>#VALUE!</v>
      </c>
      <c r="AY586" s="45" t="e">
        <f t="shared" si="310"/>
        <v>#VALUE!</v>
      </c>
      <c r="AZ586" s="45" t="e">
        <f t="shared" si="311"/>
        <v>#VALUE!</v>
      </c>
      <c r="BA586" s="45">
        <f t="shared" si="312"/>
        <v>0.44777632913226117</v>
      </c>
      <c r="BB586" s="45">
        <f t="shared" si="313"/>
        <v>-0.34778930526850671</v>
      </c>
      <c r="BC586" s="45" t="e">
        <f t="shared" si="314"/>
        <v>#VALUE!</v>
      </c>
      <c r="BD586" s="45" t="e">
        <f t="shared" si="315"/>
        <v>#VALUE!</v>
      </c>
      <c r="BE586" s="45" t="e">
        <f t="shared" si="316"/>
        <v>#VALUE!</v>
      </c>
      <c r="BF586" s="45" t="e">
        <f t="shared" si="317"/>
        <v>#VALUE!</v>
      </c>
      <c r="BG586" s="45" t="e">
        <f t="shared" si="318"/>
        <v>#VALUE!</v>
      </c>
      <c r="BH586" s="45" t="e">
        <f t="shared" si="319"/>
        <v>#NUM!</v>
      </c>
      <c r="BI586" s="43" t="e">
        <f t="shared" si="320"/>
        <v>#VALUE!</v>
      </c>
      <c r="BJ586" s="18"/>
      <c r="BK586" s="18"/>
      <c r="BL586" s="20"/>
      <c r="BS586" s="18"/>
      <c r="BT586" s="18"/>
      <c r="CA586" s="41" t="s">
        <v>22</v>
      </c>
      <c r="CB586" s="18"/>
      <c r="CC586" t="s">
        <v>22</v>
      </c>
      <c r="CE586" s="41" t="s">
        <v>22</v>
      </c>
      <c r="CF586" s="41" t="s">
        <v>22</v>
      </c>
      <c r="CG586" s="41" t="e">
        <f t="shared" si="299"/>
        <v>#VALUE!</v>
      </c>
      <c r="CH586" s="41" t="e">
        <f t="shared" si="300"/>
        <v>#VALUE!</v>
      </c>
      <c r="CI586" s="41" t="str">
        <f t="shared" si="301"/>
        <v>Not Reported/ Can not calculate</v>
      </c>
      <c r="CJ586" s="41" t="e">
        <f t="shared" si="302"/>
        <v>#VALUE!</v>
      </c>
      <c r="CL586" s="9" t="s">
        <v>1269</v>
      </c>
      <c r="CM586" s="18" t="s">
        <v>1284</v>
      </c>
      <c r="CN586" s="54" t="s">
        <v>1284</v>
      </c>
      <c r="CO586" s="18" t="s">
        <v>1284</v>
      </c>
    </row>
    <row r="587" spans="1:93" x14ac:dyDescent="0.25">
      <c r="A587" s="18" t="s">
        <v>315</v>
      </c>
      <c r="B587" s="41">
        <v>5.0115567970608179E-3</v>
      </c>
      <c r="C587" s="41" t="s">
        <v>22</v>
      </c>
      <c r="D587" s="41" t="s">
        <v>22</v>
      </c>
      <c r="E587" s="41" t="s">
        <v>22</v>
      </c>
      <c r="F587" s="18" t="s">
        <v>22</v>
      </c>
      <c r="G587" s="18" t="s">
        <v>22</v>
      </c>
      <c r="H587" s="18" t="s">
        <v>22</v>
      </c>
      <c r="I587" s="18" t="s">
        <v>22</v>
      </c>
      <c r="J587" s="41">
        <v>1.278831904981871</v>
      </c>
      <c r="K587" s="18">
        <v>632.57000000000005</v>
      </c>
      <c r="L587" s="41">
        <f t="shared" si="296"/>
        <v>0.20476127651312803</v>
      </c>
      <c r="M587" s="18" t="s">
        <v>23</v>
      </c>
      <c r="N587" s="41" t="s">
        <v>22</v>
      </c>
      <c r="O587" s="41" t="s">
        <v>22</v>
      </c>
      <c r="P587" s="41" t="s">
        <v>22</v>
      </c>
      <c r="R587" s="41" t="s">
        <v>22</v>
      </c>
      <c r="S587" s="41" t="s">
        <v>22</v>
      </c>
      <c r="T587" s="41" t="s">
        <v>22</v>
      </c>
      <c r="U587" s="41" t="s">
        <v>22</v>
      </c>
      <c r="V587" s="18">
        <v>20200524</v>
      </c>
      <c r="W587" s="9" t="s">
        <v>890</v>
      </c>
      <c r="X587" s="18">
        <v>2012</v>
      </c>
      <c r="Y587" s="18" t="s">
        <v>328</v>
      </c>
      <c r="Z587" s="18" t="s">
        <v>892</v>
      </c>
      <c r="AA587" s="18"/>
      <c r="AC587" s="18" t="s">
        <v>533</v>
      </c>
      <c r="AD587" s="41" t="s">
        <v>22</v>
      </c>
      <c r="AF587" s="41" t="s">
        <v>22</v>
      </c>
      <c r="AG587" s="41" t="s">
        <v>22</v>
      </c>
      <c r="AH587" s="41" t="s">
        <v>22</v>
      </c>
      <c r="AI587" s="41" t="s">
        <v>22</v>
      </c>
      <c r="AJ587" s="41" t="s">
        <v>22</v>
      </c>
      <c r="AK587" s="41" t="s">
        <v>22</v>
      </c>
      <c r="AL587" s="41" t="s">
        <v>22</v>
      </c>
      <c r="AM587" s="43" t="e">
        <f t="shared" si="303"/>
        <v>#VALUE!</v>
      </c>
      <c r="AN587" s="43" t="e">
        <f t="shared" si="304"/>
        <v>#VALUE!</v>
      </c>
      <c r="AO587" s="19" t="s">
        <v>891</v>
      </c>
      <c r="AP587" s="18"/>
      <c r="AQ587" s="18"/>
      <c r="AR587" s="18"/>
      <c r="AS587" s="18"/>
      <c r="AT587" s="2">
        <f t="shared" si="305"/>
        <v>28</v>
      </c>
      <c r="AU587" s="45">
        <f t="shared" si="306"/>
        <v>-2.3000273433246798</v>
      </c>
      <c r="AV587" s="45" t="e">
        <f t="shared" si="307"/>
        <v>#VALUE!</v>
      </c>
      <c r="AW587" s="45" t="e">
        <f t="shared" si="308"/>
        <v>#VALUE!</v>
      </c>
      <c r="AX587" s="45" t="e">
        <f t="shared" si="309"/>
        <v>#VALUE!</v>
      </c>
      <c r="AY587" s="45" t="e">
        <f t="shared" si="310"/>
        <v>#VALUE!</v>
      </c>
      <c r="AZ587" s="45" t="e">
        <f t="shared" si="311"/>
        <v>#VALUE!</v>
      </c>
      <c r="BA587" s="45">
        <f t="shared" si="312"/>
        <v>0.10681346274566612</v>
      </c>
      <c r="BB587" s="45">
        <f t="shared" si="313"/>
        <v>-0.68875217165510183</v>
      </c>
      <c r="BC587" s="45" t="e">
        <f t="shared" si="314"/>
        <v>#VALUE!</v>
      </c>
      <c r="BD587" s="45" t="e">
        <f t="shared" si="315"/>
        <v>#VALUE!</v>
      </c>
      <c r="BE587" s="45" t="e">
        <f t="shared" si="316"/>
        <v>#VALUE!</v>
      </c>
      <c r="BF587" s="45" t="e">
        <f t="shared" si="317"/>
        <v>#VALUE!</v>
      </c>
      <c r="BG587" s="45" t="e">
        <f t="shared" si="318"/>
        <v>#VALUE!</v>
      </c>
      <c r="BH587" s="45" t="e">
        <f t="shared" si="319"/>
        <v>#NUM!</v>
      </c>
      <c r="BI587" s="43" t="e">
        <f t="shared" si="320"/>
        <v>#VALUE!</v>
      </c>
      <c r="BJ587" s="18"/>
      <c r="BK587" s="18"/>
      <c r="BL587" s="20"/>
      <c r="BS587" s="18"/>
      <c r="BT587" s="18"/>
      <c r="CA587" s="41" t="s">
        <v>22</v>
      </c>
      <c r="CB587" s="18"/>
      <c r="CC587" s="18" t="s">
        <v>22</v>
      </c>
      <c r="CD587" s="18"/>
      <c r="CE587" s="41" t="s">
        <v>22</v>
      </c>
      <c r="CF587" s="41" t="s">
        <v>22</v>
      </c>
      <c r="CG587" s="41" t="e">
        <f t="shared" si="299"/>
        <v>#VALUE!</v>
      </c>
      <c r="CH587" s="41" t="e">
        <f t="shared" si="300"/>
        <v>#VALUE!</v>
      </c>
      <c r="CI587" s="41" t="str">
        <f t="shared" si="301"/>
        <v>Not Reported/ Can not calculate</v>
      </c>
      <c r="CJ587" s="41" t="e">
        <f t="shared" si="302"/>
        <v>#VALUE!</v>
      </c>
      <c r="CK587" s="18"/>
      <c r="CL587" s="9" t="s">
        <v>1269</v>
      </c>
      <c r="CM587" s="18" t="s">
        <v>1284</v>
      </c>
      <c r="CN587" s="54" t="s">
        <v>1284</v>
      </c>
      <c r="CO587" s="18" t="s">
        <v>1284</v>
      </c>
    </row>
    <row r="588" spans="1:93" x14ac:dyDescent="0.25">
      <c r="A588" s="18" t="s">
        <v>315</v>
      </c>
      <c r="B588" s="41">
        <v>3.0659002618898339E-3</v>
      </c>
      <c r="C588" s="41" t="s">
        <v>22</v>
      </c>
      <c r="D588" s="41" t="s">
        <v>22</v>
      </c>
      <c r="E588" s="41" t="s">
        <v>22</v>
      </c>
      <c r="F588" s="18" t="s">
        <v>22</v>
      </c>
      <c r="G588" s="18" t="s">
        <v>22</v>
      </c>
      <c r="H588" s="18" t="s">
        <v>22</v>
      </c>
      <c r="I588" s="18" t="s">
        <v>22</v>
      </c>
      <c r="J588" s="41">
        <v>0.95246664426444438</v>
      </c>
      <c r="K588" s="18">
        <v>632.57000000000005</v>
      </c>
      <c r="L588" s="41">
        <f t="shared" ref="L588:L594" si="321">IF((10^-12)*J588*K588^4=0,"",(10^-12)*J588*K588^4)</f>
        <v>0.15250502052380982</v>
      </c>
      <c r="M588" s="18" t="s">
        <v>23</v>
      </c>
      <c r="N588" s="41" t="s">
        <v>22</v>
      </c>
      <c r="O588" s="41" t="s">
        <v>22</v>
      </c>
      <c r="P588" s="41" t="s">
        <v>22</v>
      </c>
      <c r="R588" s="41" t="s">
        <v>22</v>
      </c>
      <c r="S588" s="41" t="s">
        <v>22</v>
      </c>
      <c r="T588" s="41" t="s">
        <v>22</v>
      </c>
      <c r="U588" s="41" t="s">
        <v>22</v>
      </c>
      <c r="V588" s="18">
        <v>20200524</v>
      </c>
      <c r="W588" s="9" t="s">
        <v>890</v>
      </c>
      <c r="X588" s="18">
        <v>2012</v>
      </c>
      <c r="Y588" s="18" t="s">
        <v>328</v>
      </c>
      <c r="Z588" s="18" t="s">
        <v>892</v>
      </c>
      <c r="AC588" s="18" t="s">
        <v>533</v>
      </c>
      <c r="AD588" s="41" t="s">
        <v>22</v>
      </c>
      <c r="AF588" s="41" t="s">
        <v>22</v>
      </c>
      <c r="AG588" s="41" t="s">
        <v>22</v>
      </c>
      <c r="AH588" s="41" t="s">
        <v>22</v>
      </c>
      <c r="AI588" s="41" t="s">
        <v>22</v>
      </c>
      <c r="AJ588" s="41" t="s">
        <v>22</v>
      </c>
      <c r="AK588" s="41" t="s">
        <v>22</v>
      </c>
      <c r="AL588" s="41" t="s">
        <v>22</v>
      </c>
      <c r="AM588" s="43" t="e">
        <f t="shared" si="303"/>
        <v>#VALUE!</v>
      </c>
      <c r="AN588" s="43" t="e">
        <f t="shared" si="304"/>
        <v>#VALUE!</v>
      </c>
      <c r="AO588" s="19" t="s">
        <v>891</v>
      </c>
      <c r="AT588" s="2">
        <f t="shared" si="305"/>
        <v>28</v>
      </c>
      <c r="AU588" s="45">
        <f t="shared" si="306"/>
        <v>-2.5134419774710222</v>
      </c>
      <c r="AV588" s="45" t="e">
        <f t="shared" si="307"/>
        <v>#VALUE!</v>
      </c>
      <c r="AW588" s="45" t="e">
        <f t="shared" si="308"/>
        <v>#VALUE!</v>
      </c>
      <c r="AX588" s="45" t="e">
        <f t="shared" si="309"/>
        <v>#VALUE!</v>
      </c>
      <c r="AY588" s="45" t="e">
        <f t="shared" si="310"/>
        <v>#VALUE!</v>
      </c>
      <c r="AZ588" s="45" t="e">
        <f t="shared" si="311"/>
        <v>#VALUE!</v>
      </c>
      <c r="BA588" s="45">
        <f t="shared" si="312"/>
        <v>-2.1150224540054299E-2</v>
      </c>
      <c r="BB588" s="45">
        <f t="shared" si="313"/>
        <v>-0.81671585894082221</v>
      </c>
      <c r="BC588" s="45" t="e">
        <f t="shared" si="314"/>
        <v>#VALUE!</v>
      </c>
      <c r="BD588" s="45" t="e">
        <f t="shared" si="315"/>
        <v>#VALUE!</v>
      </c>
      <c r="BE588" s="45" t="e">
        <f t="shared" si="316"/>
        <v>#VALUE!</v>
      </c>
      <c r="BF588" s="45" t="e">
        <f t="shared" si="317"/>
        <v>#VALUE!</v>
      </c>
      <c r="BG588" s="45" t="e">
        <f t="shared" si="318"/>
        <v>#VALUE!</v>
      </c>
      <c r="BH588" s="45" t="e">
        <f t="shared" si="319"/>
        <v>#NUM!</v>
      </c>
      <c r="BI588" s="43" t="e">
        <f t="shared" si="320"/>
        <v>#VALUE!</v>
      </c>
      <c r="CA588" s="41" t="s">
        <v>22</v>
      </c>
      <c r="CC588" t="s">
        <v>22</v>
      </c>
      <c r="CE588" s="41" t="s">
        <v>22</v>
      </c>
      <c r="CF588" s="41" t="s">
        <v>22</v>
      </c>
      <c r="CG588" s="41" t="e">
        <f t="shared" si="299"/>
        <v>#VALUE!</v>
      </c>
      <c r="CH588" s="41" t="e">
        <f t="shared" si="300"/>
        <v>#VALUE!</v>
      </c>
      <c r="CI588" s="41" t="str">
        <f t="shared" si="301"/>
        <v>Not Reported/ Can not calculate</v>
      </c>
      <c r="CJ588" s="41" t="e">
        <f t="shared" si="302"/>
        <v>#VALUE!</v>
      </c>
      <c r="CL588" s="9" t="s">
        <v>1269</v>
      </c>
      <c r="CM588" s="18" t="s">
        <v>1284</v>
      </c>
      <c r="CN588" s="54" t="s">
        <v>1284</v>
      </c>
      <c r="CO588" s="18" t="s">
        <v>1284</v>
      </c>
    </row>
    <row r="589" spans="1:93" x14ac:dyDescent="0.25">
      <c r="A589" s="18" t="s">
        <v>315</v>
      </c>
      <c r="B589" s="41">
        <v>0.13873474014862752</v>
      </c>
      <c r="C589" s="41" t="s">
        <v>22</v>
      </c>
      <c r="D589" s="41" t="s">
        <v>22</v>
      </c>
      <c r="E589" s="41" t="s">
        <v>22</v>
      </c>
      <c r="F589" s="18" t="s">
        <v>22</v>
      </c>
      <c r="G589" s="18" t="s">
        <v>22</v>
      </c>
      <c r="H589" s="18" t="s">
        <v>22</v>
      </c>
      <c r="I589" s="18" t="s">
        <v>22</v>
      </c>
      <c r="J589" s="41">
        <v>2.1657830476866531</v>
      </c>
      <c r="K589" s="18">
        <v>632.57000000000005</v>
      </c>
      <c r="L589" s="41">
        <f t="shared" si="321"/>
        <v>0.34677622584111134</v>
      </c>
      <c r="M589" s="18" t="s">
        <v>23</v>
      </c>
      <c r="N589" s="41" t="s">
        <v>22</v>
      </c>
      <c r="O589" s="41" t="s">
        <v>22</v>
      </c>
      <c r="P589" s="41" t="s">
        <v>22</v>
      </c>
      <c r="R589" s="41" t="s">
        <v>22</v>
      </c>
      <c r="S589" s="41" t="s">
        <v>22</v>
      </c>
      <c r="T589" s="41" t="s">
        <v>22</v>
      </c>
      <c r="U589" s="41" t="s">
        <v>22</v>
      </c>
      <c r="V589" s="18">
        <v>20200524</v>
      </c>
      <c r="W589" s="9" t="s">
        <v>890</v>
      </c>
      <c r="X589" s="18">
        <v>2012</v>
      </c>
      <c r="Y589" s="18" t="s">
        <v>328</v>
      </c>
      <c r="Z589" s="18" t="s">
        <v>892</v>
      </c>
      <c r="AC589" s="18" t="s">
        <v>533</v>
      </c>
      <c r="AD589" s="41" t="s">
        <v>22</v>
      </c>
      <c r="AF589" s="41" t="s">
        <v>22</v>
      </c>
      <c r="AG589" s="41" t="s">
        <v>22</v>
      </c>
      <c r="AH589" s="41" t="s">
        <v>22</v>
      </c>
      <c r="AI589" s="41" t="s">
        <v>22</v>
      </c>
      <c r="AJ589" s="41" t="s">
        <v>22</v>
      </c>
      <c r="AK589" s="41" t="s">
        <v>22</v>
      </c>
      <c r="AL589" s="41" t="s">
        <v>22</v>
      </c>
      <c r="AM589" s="43" t="e">
        <f t="shared" si="303"/>
        <v>#VALUE!</v>
      </c>
      <c r="AN589" s="43" t="e">
        <f t="shared" si="304"/>
        <v>#VALUE!</v>
      </c>
      <c r="AO589" s="19" t="s">
        <v>891</v>
      </c>
      <c r="AT589" s="2">
        <f t="shared" si="305"/>
        <v>28</v>
      </c>
      <c r="AU589" s="45">
        <f t="shared" si="306"/>
        <v>-0.85781477493472047</v>
      </c>
      <c r="AV589" s="45" t="e">
        <f t="shared" si="307"/>
        <v>#VALUE!</v>
      </c>
      <c r="AW589" s="45" t="e">
        <f t="shared" si="308"/>
        <v>#VALUE!</v>
      </c>
      <c r="AX589" s="45" t="e">
        <f t="shared" si="309"/>
        <v>#VALUE!</v>
      </c>
      <c r="AY589" s="45" t="e">
        <f t="shared" si="310"/>
        <v>#VALUE!</v>
      </c>
      <c r="AZ589" s="45" t="e">
        <f t="shared" si="311"/>
        <v>#VALUE!</v>
      </c>
      <c r="BA589" s="45">
        <f t="shared" si="312"/>
        <v>0.33561495002172986</v>
      </c>
      <c r="BB589" s="45">
        <f t="shared" si="313"/>
        <v>-0.45995068437903802</v>
      </c>
      <c r="BC589" s="45" t="e">
        <f t="shared" si="314"/>
        <v>#VALUE!</v>
      </c>
      <c r="BD589" s="45" t="e">
        <f t="shared" si="315"/>
        <v>#VALUE!</v>
      </c>
      <c r="BE589" s="45" t="e">
        <f t="shared" si="316"/>
        <v>#VALUE!</v>
      </c>
      <c r="BF589" s="45" t="e">
        <f t="shared" si="317"/>
        <v>#VALUE!</v>
      </c>
      <c r="BG589" s="45" t="e">
        <f t="shared" si="318"/>
        <v>#VALUE!</v>
      </c>
      <c r="BH589" s="45" t="e">
        <f t="shared" si="319"/>
        <v>#NUM!</v>
      </c>
      <c r="BI589" s="43" t="e">
        <f t="shared" si="320"/>
        <v>#VALUE!</v>
      </c>
      <c r="CA589" s="41" t="s">
        <v>22</v>
      </c>
      <c r="CC589" t="s">
        <v>22</v>
      </c>
      <c r="CE589" s="41" t="s">
        <v>22</v>
      </c>
      <c r="CF589" s="41" t="s">
        <v>22</v>
      </c>
      <c r="CG589" s="41" t="e">
        <f t="shared" si="299"/>
        <v>#VALUE!</v>
      </c>
      <c r="CH589" s="41" t="e">
        <f t="shared" si="300"/>
        <v>#VALUE!</v>
      </c>
      <c r="CI589" s="41" t="str">
        <f t="shared" si="301"/>
        <v>Not Reported/ Can not calculate</v>
      </c>
      <c r="CJ589" s="41" t="e">
        <f t="shared" si="302"/>
        <v>#VALUE!</v>
      </c>
      <c r="CL589" s="9" t="s">
        <v>1269</v>
      </c>
      <c r="CM589" s="18" t="s">
        <v>1284</v>
      </c>
      <c r="CN589" s="54" t="s">
        <v>1284</v>
      </c>
      <c r="CO589" s="18" t="s">
        <v>1284</v>
      </c>
    </row>
    <row r="590" spans="1:93" x14ac:dyDescent="0.25">
      <c r="A590" t="s">
        <v>315</v>
      </c>
      <c r="B590" s="41">
        <v>0.1180492613122493</v>
      </c>
      <c r="C590" s="41" t="s">
        <v>22</v>
      </c>
      <c r="D590" s="41" t="s">
        <v>22</v>
      </c>
      <c r="E590" s="41" t="s">
        <v>22</v>
      </c>
      <c r="F590" t="s">
        <v>22</v>
      </c>
      <c r="G590" t="s">
        <v>22</v>
      </c>
      <c r="H590" t="s">
        <v>22</v>
      </c>
      <c r="I590" t="s">
        <v>22</v>
      </c>
      <c r="J590" s="41">
        <v>1.8733676402776942</v>
      </c>
      <c r="K590">
        <v>632.57000000000005</v>
      </c>
      <c r="L590" s="41">
        <f t="shared" si="321"/>
        <v>0.29995587997711476</v>
      </c>
      <c r="M590" t="s">
        <v>23</v>
      </c>
      <c r="N590" s="41" t="s">
        <v>22</v>
      </c>
      <c r="O590" s="41" t="s">
        <v>22</v>
      </c>
      <c r="P590" s="41" t="s">
        <v>22</v>
      </c>
      <c r="R590" s="41" t="s">
        <v>22</v>
      </c>
      <c r="S590" s="41" t="s">
        <v>22</v>
      </c>
      <c r="T590" s="41" t="s">
        <v>22</v>
      </c>
      <c r="U590" s="41" t="s">
        <v>22</v>
      </c>
      <c r="V590">
        <v>20200524</v>
      </c>
      <c r="W590" s="9" t="s">
        <v>890</v>
      </c>
      <c r="X590" s="18">
        <v>2012</v>
      </c>
      <c r="Y590" t="s">
        <v>328</v>
      </c>
      <c r="Z590" t="s">
        <v>892</v>
      </c>
      <c r="AC590" t="s">
        <v>533</v>
      </c>
      <c r="AD590" s="41" t="s">
        <v>22</v>
      </c>
      <c r="AF590" s="41" t="s">
        <v>22</v>
      </c>
      <c r="AG590" s="41" t="s">
        <v>22</v>
      </c>
      <c r="AH590" s="41" t="s">
        <v>22</v>
      </c>
      <c r="AI590" s="41" t="s">
        <v>22</v>
      </c>
      <c r="AJ590" s="41" t="s">
        <v>22</v>
      </c>
      <c r="AK590" s="41" t="s">
        <v>22</v>
      </c>
      <c r="AL590" s="41" t="s">
        <v>22</v>
      </c>
      <c r="AM590" s="43" t="e">
        <f t="shared" si="303"/>
        <v>#VALUE!</v>
      </c>
      <c r="AN590" s="43" t="e">
        <f t="shared" si="304"/>
        <v>#VALUE!</v>
      </c>
      <c r="AO590" s="19" t="s">
        <v>891</v>
      </c>
      <c r="AT590" s="2">
        <f t="shared" si="305"/>
        <v>28</v>
      </c>
      <c r="AU590" s="45">
        <f t="shared" si="306"/>
        <v>-0.92793672615423084</v>
      </c>
      <c r="AV590" s="45" t="e">
        <f t="shared" si="307"/>
        <v>#VALUE!</v>
      </c>
      <c r="AW590" s="45" t="e">
        <f t="shared" si="308"/>
        <v>#VALUE!</v>
      </c>
      <c r="AX590" s="45" t="e">
        <f t="shared" si="309"/>
        <v>#VALUE!</v>
      </c>
      <c r="AY590" s="45" t="e">
        <f t="shared" si="310"/>
        <v>#VALUE!</v>
      </c>
      <c r="AZ590" s="45" t="e">
        <f t="shared" si="311"/>
        <v>#VALUE!</v>
      </c>
      <c r="BA590" s="45">
        <f t="shared" si="312"/>
        <v>0.27262301414843815</v>
      </c>
      <c r="BB590" s="45">
        <f t="shared" si="313"/>
        <v>-0.52294262025232974</v>
      </c>
      <c r="BC590" s="45" t="e">
        <f t="shared" si="314"/>
        <v>#VALUE!</v>
      </c>
      <c r="BD590" s="45" t="e">
        <f t="shared" si="315"/>
        <v>#VALUE!</v>
      </c>
      <c r="BE590" s="45" t="e">
        <f t="shared" si="316"/>
        <v>#VALUE!</v>
      </c>
      <c r="BF590" s="45" t="e">
        <f t="shared" si="317"/>
        <v>#VALUE!</v>
      </c>
      <c r="BG590" s="45" t="e">
        <f t="shared" si="318"/>
        <v>#VALUE!</v>
      </c>
      <c r="BH590" s="45" t="e">
        <f t="shared" si="319"/>
        <v>#NUM!</v>
      </c>
      <c r="BI590" s="43" t="e">
        <f t="shared" si="320"/>
        <v>#VALUE!</v>
      </c>
      <c r="BJ590" s="18"/>
      <c r="BK590" s="18"/>
      <c r="BL590" s="20"/>
      <c r="CA590" s="41" t="s">
        <v>22</v>
      </c>
      <c r="CC590" t="s">
        <v>22</v>
      </c>
      <c r="CE590" s="41" t="s">
        <v>22</v>
      </c>
      <c r="CF590" s="41" t="s">
        <v>22</v>
      </c>
      <c r="CG590" s="41" t="e">
        <f t="shared" si="299"/>
        <v>#VALUE!</v>
      </c>
      <c r="CH590" s="41" t="e">
        <f t="shared" si="300"/>
        <v>#VALUE!</v>
      </c>
      <c r="CI590" s="41" t="str">
        <f t="shared" si="301"/>
        <v>Not Reported/ Can not calculate</v>
      </c>
      <c r="CJ590" s="41" t="e">
        <f t="shared" si="302"/>
        <v>#VALUE!</v>
      </c>
      <c r="CL590" s="9" t="s">
        <v>1269</v>
      </c>
      <c r="CM590" s="18" t="s">
        <v>1284</v>
      </c>
      <c r="CN590" s="54" t="s">
        <v>1284</v>
      </c>
      <c r="CO590" s="18" t="s">
        <v>1284</v>
      </c>
    </row>
    <row r="591" spans="1:93" x14ac:dyDescent="0.25">
      <c r="A591" t="s">
        <v>315</v>
      </c>
      <c r="B591" s="41">
        <v>5.4921981899067905E-2</v>
      </c>
      <c r="C591" s="41" t="s">
        <v>22</v>
      </c>
      <c r="D591" s="41" t="s">
        <v>22</v>
      </c>
      <c r="E591" s="41" t="s">
        <v>22</v>
      </c>
      <c r="F591" t="s">
        <v>22</v>
      </c>
      <c r="G591" t="s">
        <v>22</v>
      </c>
      <c r="H591" t="s">
        <v>22</v>
      </c>
      <c r="I591" t="s">
        <v>22</v>
      </c>
      <c r="J591" s="41">
        <v>0.79542415173205194</v>
      </c>
      <c r="K591">
        <v>632.57000000000005</v>
      </c>
      <c r="L591" s="41">
        <f t="shared" si="321"/>
        <v>0.12736002600774643</v>
      </c>
      <c r="M591" t="s">
        <v>23</v>
      </c>
      <c r="N591" s="41" t="s">
        <v>22</v>
      </c>
      <c r="O591" s="41" t="s">
        <v>22</v>
      </c>
      <c r="P591" s="41" t="s">
        <v>22</v>
      </c>
      <c r="R591" s="41" t="s">
        <v>22</v>
      </c>
      <c r="S591" s="41" t="s">
        <v>22</v>
      </c>
      <c r="T591" s="41" t="s">
        <v>22</v>
      </c>
      <c r="U591" s="41" t="s">
        <v>22</v>
      </c>
      <c r="V591">
        <v>20200524</v>
      </c>
      <c r="W591" s="9" t="s">
        <v>890</v>
      </c>
      <c r="X591">
        <v>2012</v>
      </c>
      <c r="Y591" t="s">
        <v>328</v>
      </c>
      <c r="Z591" t="s">
        <v>892</v>
      </c>
      <c r="AC591" t="s">
        <v>533</v>
      </c>
      <c r="AD591" s="41" t="s">
        <v>22</v>
      </c>
      <c r="AF591" s="41" t="s">
        <v>22</v>
      </c>
      <c r="AG591" s="41" t="s">
        <v>22</v>
      </c>
      <c r="AH591" s="41" t="s">
        <v>22</v>
      </c>
      <c r="AI591" s="41" t="s">
        <v>22</v>
      </c>
      <c r="AJ591" s="41" t="s">
        <v>22</v>
      </c>
      <c r="AK591" s="41" t="s">
        <v>22</v>
      </c>
      <c r="AL591" s="41" t="s">
        <v>22</v>
      </c>
      <c r="AM591" s="43" t="e">
        <f t="shared" si="303"/>
        <v>#VALUE!</v>
      </c>
      <c r="AN591" s="43" t="e">
        <f t="shared" si="304"/>
        <v>#VALUE!</v>
      </c>
      <c r="AO591" s="19" t="s">
        <v>891</v>
      </c>
      <c r="AT591" s="2">
        <f t="shared" si="305"/>
        <v>28</v>
      </c>
      <c r="AU591" s="45">
        <f t="shared" si="306"/>
        <v>-1.2602537993249638</v>
      </c>
      <c r="AV591" s="45" t="e">
        <f t="shared" si="307"/>
        <v>#VALUE!</v>
      </c>
      <c r="AW591" s="45" t="e">
        <f t="shared" si="308"/>
        <v>#VALUE!</v>
      </c>
      <c r="AX591" s="45" t="e">
        <f t="shared" si="309"/>
        <v>#VALUE!</v>
      </c>
      <c r="AY591" s="45" t="e">
        <f t="shared" si="310"/>
        <v>#VALUE!</v>
      </c>
      <c r="AZ591" s="45" t="e">
        <f t="shared" si="311"/>
        <v>#VALUE!</v>
      </c>
      <c r="BA591" s="45">
        <f t="shared" si="312"/>
        <v>-9.9401226519868768E-2</v>
      </c>
      <c r="BB591" s="45">
        <f t="shared" si="313"/>
        <v>-0.8949668609206366</v>
      </c>
      <c r="BC591" s="45" t="e">
        <f t="shared" si="314"/>
        <v>#VALUE!</v>
      </c>
      <c r="BD591" s="45" t="e">
        <f t="shared" si="315"/>
        <v>#VALUE!</v>
      </c>
      <c r="BE591" s="45" t="e">
        <f t="shared" si="316"/>
        <v>#VALUE!</v>
      </c>
      <c r="BF591" s="45" t="e">
        <f t="shared" si="317"/>
        <v>#VALUE!</v>
      </c>
      <c r="BG591" s="45" t="e">
        <f t="shared" si="318"/>
        <v>#VALUE!</v>
      </c>
      <c r="BH591" s="45" t="e">
        <f t="shared" si="319"/>
        <v>#NUM!</v>
      </c>
      <c r="BI591" s="43" t="e">
        <f t="shared" si="320"/>
        <v>#VALUE!</v>
      </c>
      <c r="BJ591" s="18"/>
      <c r="BK591" s="18"/>
      <c r="BL591" s="20"/>
      <c r="CA591" s="41" t="s">
        <v>22</v>
      </c>
      <c r="CC591" t="s">
        <v>22</v>
      </c>
      <c r="CE591" s="41" t="s">
        <v>22</v>
      </c>
      <c r="CF591" s="41" t="s">
        <v>22</v>
      </c>
      <c r="CG591" s="41" t="e">
        <f t="shared" si="299"/>
        <v>#VALUE!</v>
      </c>
      <c r="CH591" s="41" t="e">
        <f t="shared" si="300"/>
        <v>#VALUE!</v>
      </c>
      <c r="CI591" s="41" t="str">
        <f t="shared" si="301"/>
        <v>Not Reported/ Can not calculate</v>
      </c>
      <c r="CJ591" s="41" t="e">
        <f t="shared" si="302"/>
        <v>#VALUE!</v>
      </c>
      <c r="CL591" s="9" t="s">
        <v>1269</v>
      </c>
      <c r="CM591" s="18" t="s">
        <v>1284</v>
      </c>
      <c r="CN591" s="54" t="s">
        <v>1284</v>
      </c>
      <c r="CO591" s="18" t="s">
        <v>1284</v>
      </c>
    </row>
    <row r="592" spans="1:93" x14ac:dyDescent="0.25">
      <c r="A592" t="s">
        <v>315</v>
      </c>
      <c r="B592" s="41">
        <v>3.1988222127502054E-2</v>
      </c>
      <c r="C592" s="41" t="s">
        <v>22</v>
      </c>
      <c r="D592" s="41" t="s">
        <v>22</v>
      </c>
      <c r="E592" s="41" t="s">
        <v>22</v>
      </c>
      <c r="F592" t="s">
        <v>22</v>
      </c>
      <c r="G592" t="s">
        <v>22</v>
      </c>
      <c r="H592" t="s">
        <v>22</v>
      </c>
      <c r="I592" t="s">
        <v>22</v>
      </c>
      <c r="J592" s="41">
        <v>0.53734119001793645</v>
      </c>
      <c r="K592">
        <v>632.57000000000005</v>
      </c>
      <c r="L592" s="41">
        <f t="shared" si="321"/>
        <v>8.603684937991575E-2</v>
      </c>
      <c r="M592" t="s">
        <v>23</v>
      </c>
      <c r="N592" s="41" t="s">
        <v>22</v>
      </c>
      <c r="O592" s="41" t="s">
        <v>22</v>
      </c>
      <c r="P592" s="41" t="s">
        <v>22</v>
      </c>
      <c r="R592" s="41" t="s">
        <v>22</v>
      </c>
      <c r="S592" s="41" t="s">
        <v>22</v>
      </c>
      <c r="T592" s="41" t="s">
        <v>22</v>
      </c>
      <c r="U592" s="41" t="s">
        <v>22</v>
      </c>
      <c r="V592">
        <v>20200524</v>
      </c>
      <c r="W592" s="9" t="s">
        <v>890</v>
      </c>
      <c r="X592">
        <v>2012</v>
      </c>
      <c r="Y592" t="s">
        <v>328</v>
      </c>
      <c r="Z592" t="s">
        <v>892</v>
      </c>
      <c r="AC592" t="s">
        <v>533</v>
      </c>
      <c r="AD592" s="41" t="s">
        <v>22</v>
      </c>
      <c r="AF592" s="41" t="s">
        <v>22</v>
      </c>
      <c r="AG592" s="41" t="s">
        <v>22</v>
      </c>
      <c r="AH592" s="41" t="s">
        <v>22</v>
      </c>
      <c r="AI592" s="41" t="s">
        <v>22</v>
      </c>
      <c r="AJ592" s="41" t="s">
        <v>22</v>
      </c>
      <c r="AK592" s="41" t="s">
        <v>22</v>
      </c>
      <c r="AL592" s="41" t="s">
        <v>22</v>
      </c>
      <c r="AM592" s="43" t="e">
        <f t="shared" si="303"/>
        <v>#VALUE!</v>
      </c>
      <c r="AN592" s="43" t="e">
        <f t="shared" si="304"/>
        <v>#VALUE!</v>
      </c>
      <c r="AO592" s="19" t="s">
        <v>891</v>
      </c>
      <c r="AT592" s="2">
        <f t="shared" si="305"/>
        <v>28</v>
      </c>
      <c r="AU592" s="45">
        <f t="shared" si="306"/>
        <v>-1.4950098968859402</v>
      </c>
      <c r="AV592" s="45" t="e">
        <f t="shared" si="307"/>
        <v>#VALUE!</v>
      </c>
      <c r="AW592" s="45" t="e">
        <f t="shared" si="308"/>
        <v>#VALUE!</v>
      </c>
      <c r="AX592" s="45" t="e">
        <f t="shared" si="309"/>
        <v>#VALUE!</v>
      </c>
      <c r="AY592" s="45" t="e">
        <f t="shared" si="310"/>
        <v>#VALUE!</v>
      </c>
      <c r="AZ592" s="45" t="e">
        <f t="shared" si="311"/>
        <v>#VALUE!</v>
      </c>
      <c r="BA592" s="45">
        <f t="shared" si="312"/>
        <v>-0.26974986720749361</v>
      </c>
      <c r="BB592" s="45">
        <f t="shared" si="313"/>
        <v>-1.0653155016082614</v>
      </c>
      <c r="BC592" s="45" t="e">
        <f t="shared" si="314"/>
        <v>#VALUE!</v>
      </c>
      <c r="BD592" s="45" t="e">
        <f t="shared" si="315"/>
        <v>#VALUE!</v>
      </c>
      <c r="BE592" s="45" t="e">
        <f t="shared" si="316"/>
        <v>#VALUE!</v>
      </c>
      <c r="BF592" s="45" t="e">
        <f t="shared" si="317"/>
        <v>#VALUE!</v>
      </c>
      <c r="BG592" s="45" t="e">
        <f t="shared" si="318"/>
        <v>#VALUE!</v>
      </c>
      <c r="BH592" s="45" t="e">
        <f t="shared" si="319"/>
        <v>#NUM!</v>
      </c>
      <c r="BI592" s="43" t="e">
        <f t="shared" si="320"/>
        <v>#VALUE!</v>
      </c>
      <c r="BJ592" s="18"/>
      <c r="BK592" s="18"/>
      <c r="BL592" s="20"/>
      <c r="CA592" s="41" t="s">
        <v>22</v>
      </c>
      <c r="CC592" t="s">
        <v>22</v>
      </c>
      <c r="CE592" s="41" t="s">
        <v>22</v>
      </c>
      <c r="CF592" s="41" t="s">
        <v>22</v>
      </c>
      <c r="CG592" s="41" t="e">
        <f t="shared" si="299"/>
        <v>#VALUE!</v>
      </c>
      <c r="CH592" s="41" t="e">
        <f t="shared" si="300"/>
        <v>#VALUE!</v>
      </c>
      <c r="CI592" s="41" t="str">
        <f t="shared" si="301"/>
        <v>Not Reported/ Can not calculate</v>
      </c>
      <c r="CJ592" s="41" t="e">
        <f t="shared" si="302"/>
        <v>#VALUE!</v>
      </c>
      <c r="CL592" s="9" t="s">
        <v>1269</v>
      </c>
      <c r="CM592" s="18" t="s">
        <v>1284</v>
      </c>
      <c r="CN592" s="54" t="s">
        <v>1284</v>
      </c>
      <c r="CO592" s="18" t="s">
        <v>1284</v>
      </c>
    </row>
    <row r="593" spans="1:93" x14ac:dyDescent="0.25">
      <c r="A593" t="s">
        <v>315</v>
      </c>
      <c r="B593" s="41">
        <v>5.5698533624350911E-3</v>
      </c>
      <c r="C593" s="41" t="s">
        <v>22</v>
      </c>
      <c r="D593" s="41" t="s">
        <v>22</v>
      </c>
      <c r="E593" s="41" t="s">
        <v>22</v>
      </c>
      <c r="F593" t="s">
        <v>22</v>
      </c>
      <c r="G593" t="s">
        <v>22</v>
      </c>
      <c r="H593" t="s">
        <v>22</v>
      </c>
      <c r="I593" t="s">
        <v>22</v>
      </c>
      <c r="J593" s="41">
        <v>0.42601452322173694</v>
      </c>
      <c r="K593">
        <v>632.57000000000005</v>
      </c>
      <c r="L593" s="41">
        <f t="shared" si="321"/>
        <v>6.8211683840692955E-2</v>
      </c>
      <c r="M593" t="s">
        <v>23</v>
      </c>
      <c r="N593" s="41" t="s">
        <v>22</v>
      </c>
      <c r="O593" s="41" t="s">
        <v>22</v>
      </c>
      <c r="P593" s="41" t="s">
        <v>22</v>
      </c>
      <c r="R593" s="41" t="s">
        <v>22</v>
      </c>
      <c r="S593" s="41" t="s">
        <v>22</v>
      </c>
      <c r="T593" s="41" t="s">
        <v>22</v>
      </c>
      <c r="U593" s="41" t="s">
        <v>22</v>
      </c>
      <c r="V593">
        <v>20200524</v>
      </c>
      <c r="W593" s="9" t="s">
        <v>890</v>
      </c>
      <c r="X593">
        <v>2012</v>
      </c>
      <c r="Y593" t="s">
        <v>328</v>
      </c>
      <c r="Z593" t="s">
        <v>892</v>
      </c>
      <c r="AC593" t="s">
        <v>533</v>
      </c>
      <c r="AD593" s="41" t="s">
        <v>22</v>
      </c>
      <c r="AF593" s="41" t="s">
        <v>22</v>
      </c>
      <c r="AG593" s="41" t="s">
        <v>22</v>
      </c>
      <c r="AH593" s="41" t="s">
        <v>22</v>
      </c>
      <c r="AI593" s="41" t="s">
        <v>22</v>
      </c>
      <c r="AJ593" s="41" t="s">
        <v>22</v>
      </c>
      <c r="AK593" s="41" t="s">
        <v>22</v>
      </c>
      <c r="AL593" s="41" t="s">
        <v>22</v>
      </c>
      <c r="AM593" s="43" t="e">
        <f t="shared" si="303"/>
        <v>#VALUE!</v>
      </c>
      <c r="AN593" s="43" t="e">
        <f t="shared" si="304"/>
        <v>#VALUE!</v>
      </c>
      <c r="AO593" s="3" t="s">
        <v>891</v>
      </c>
      <c r="AT593" s="2">
        <f t="shared" si="305"/>
        <v>28</v>
      </c>
      <c r="AU593" s="45">
        <f t="shared" si="306"/>
        <v>-2.2541562383493545</v>
      </c>
      <c r="AV593" s="45" t="e">
        <f t="shared" si="307"/>
        <v>#VALUE!</v>
      </c>
      <c r="AW593" s="45" t="e">
        <f t="shared" si="308"/>
        <v>#VALUE!</v>
      </c>
      <c r="AX593" s="45" t="e">
        <f t="shared" si="309"/>
        <v>#VALUE!</v>
      </c>
      <c r="AY593" s="45" t="e">
        <f t="shared" si="310"/>
        <v>#VALUE!</v>
      </c>
      <c r="AZ593" s="45" t="e">
        <f t="shared" si="311"/>
        <v>#VALUE!</v>
      </c>
      <c r="BA593" s="45">
        <f t="shared" si="312"/>
        <v>-0.37057559515186594</v>
      </c>
      <c r="BB593" s="45">
        <f t="shared" si="313"/>
        <v>-1.1661412295526339</v>
      </c>
      <c r="BC593" s="45" t="e">
        <f t="shared" si="314"/>
        <v>#VALUE!</v>
      </c>
      <c r="BD593" s="45" t="e">
        <f t="shared" si="315"/>
        <v>#VALUE!</v>
      </c>
      <c r="BE593" s="45" t="e">
        <f t="shared" si="316"/>
        <v>#VALUE!</v>
      </c>
      <c r="BF593" s="45" t="e">
        <f t="shared" si="317"/>
        <v>#VALUE!</v>
      </c>
      <c r="BG593" s="45" t="e">
        <f t="shared" si="318"/>
        <v>#VALUE!</v>
      </c>
      <c r="BH593" s="45" t="e">
        <f t="shared" si="319"/>
        <v>#NUM!</v>
      </c>
      <c r="BI593" s="43" t="e">
        <f t="shared" si="320"/>
        <v>#VALUE!</v>
      </c>
      <c r="CA593" s="41" t="s">
        <v>22</v>
      </c>
      <c r="CC593" t="s">
        <v>22</v>
      </c>
      <c r="CE593" s="41" t="s">
        <v>22</v>
      </c>
      <c r="CF593" s="41" t="s">
        <v>22</v>
      </c>
      <c r="CG593" s="41" t="e">
        <f t="shared" si="299"/>
        <v>#VALUE!</v>
      </c>
      <c r="CH593" s="41" t="e">
        <f t="shared" si="300"/>
        <v>#VALUE!</v>
      </c>
      <c r="CI593" s="41" t="str">
        <f t="shared" si="301"/>
        <v>Not Reported/ Can not calculate</v>
      </c>
      <c r="CJ593" s="41" t="e">
        <f t="shared" si="302"/>
        <v>#VALUE!</v>
      </c>
      <c r="CL593" s="9" t="s">
        <v>1269</v>
      </c>
      <c r="CM593" s="18" t="s">
        <v>1284</v>
      </c>
      <c r="CN593" s="54" t="s">
        <v>1284</v>
      </c>
      <c r="CO593" s="18" t="s">
        <v>1284</v>
      </c>
    </row>
    <row r="594" spans="1:93" x14ac:dyDescent="0.25">
      <c r="A594" t="s">
        <v>315</v>
      </c>
      <c r="B594" s="41">
        <v>2.4326950087987234E-3</v>
      </c>
      <c r="C594" s="41" t="s">
        <v>22</v>
      </c>
      <c r="D594" s="41" t="s">
        <v>22</v>
      </c>
      <c r="E594" s="41" t="s">
        <v>22</v>
      </c>
      <c r="F594" t="s">
        <v>22</v>
      </c>
      <c r="G594" t="s">
        <v>22</v>
      </c>
      <c r="H594" t="s">
        <v>22</v>
      </c>
      <c r="I594" t="s">
        <v>22</v>
      </c>
      <c r="J594" s="41">
        <v>0.59630989641488463</v>
      </c>
      <c r="K594">
        <v>632.57000000000005</v>
      </c>
      <c r="L594" s="41">
        <f t="shared" si="321"/>
        <v>9.5478674806016697E-2</v>
      </c>
      <c r="M594" t="s">
        <v>23</v>
      </c>
      <c r="N594" s="41" t="s">
        <v>22</v>
      </c>
      <c r="O594" s="41" t="s">
        <v>22</v>
      </c>
      <c r="P594" s="41" t="s">
        <v>22</v>
      </c>
      <c r="R594" s="41" t="s">
        <v>22</v>
      </c>
      <c r="S594" s="41" t="s">
        <v>22</v>
      </c>
      <c r="T594" s="41" t="s">
        <v>22</v>
      </c>
      <c r="U594" s="41" t="s">
        <v>22</v>
      </c>
      <c r="V594">
        <v>20200524</v>
      </c>
      <c r="W594" s="9" t="s">
        <v>890</v>
      </c>
      <c r="X594">
        <v>2012</v>
      </c>
      <c r="Y594" t="s">
        <v>328</v>
      </c>
      <c r="Z594" t="s">
        <v>892</v>
      </c>
      <c r="AC594" t="s">
        <v>533</v>
      </c>
      <c r="AD594" s="41" t="s">
        <v>22</v>
      </c>
      <c r="AF594" s="41" t="s">
        <v>22</v>
      </c>
      <c r="AG594" s="41" t="s">
        <v>22</v>
      </c>
      <c r="AH594" s="41" t="s">
        <v>22</v>
      </c>
      <c r="AI594" s="41" t="s">
        <v>22</v>
      </c>
      <c r="AJ594" s="41" t="s">
        <v>22</v>
      </c>
      <c r="AK594" s="41" t="s">
        <v>22</v>
      </c>
      <c r="AL594" s="41" t="s">
        <v>22</v>
      </c>
      <c r="AM594" s="43" t="e">
        <f t="shared" si="303"/>
        <v>#VALUE!</v>
      </c>
      <c r="AN594" s="43" t="e">
        <f t="shared" si="304"/>
        <v>#VALUE!</v>
      </c>
      <c r="AO594" s="3" t="s">
        <v>891</v>
      </c>
      <c r="AT594" s="2">
        <f t="shared" si="305"/>
        <v>28</v>
      </c>
      <c r="AU594" s="45">
        <f t="shared" si="306"/>
        <v>-2.6139123359103307</v>
      </c>
      <c r="AV594" s="45" t="e">
        <f t="shared" si="307"/>
        <v>#VALUE!</v>
      </c>
      <c r="AW594" s="45" t="e">
        <f t="shared" si="308"/>
        <v>#VALUE!</v>
      </c>
      <c r="AX594" s="45" t="e">
        <f t="shared" si="309"/>
        <v>#VALUE!</v>
      </c>
      <c r="AY594" s="45" t="e">
        <f t="shared" si="310"/>
        <v>#VALUE!</v>
      </c>
      <c r="AZ594" s="45" t="e">
        <f t="shared" si="311"/>
        <v>#VALUE!</v>
      </c>
      <c r="BA594" s="45">
        <f t="shared" si="312"/>
        <v>-0.22452798300255833</v>
      </c>
      <c r="BB594" s="45">
        <f t="shared" si="313"/>
        <v>-1.0200936174033264</v>
      </c>
      <c r="BC594" s="45" t="e">
        <f t="shared" si="314"/>
        <v>#VALUE!</v>
      </c>
      <c r="BD594" s="45" t="e">
        <f t="shared" si="315"/>
        <v>#VALUE!</v>
      </c>
      <c r="BE594" s="45" t="e">
        <f t="shared" si="316"/>
        <v>#VALUE!</v>
      </c>
      <c r="BF594" s="45" t="e">
        <f t="shared" si="317"/>
        <v>#VALUE!</v>
      </c>
      <c r="BG594" s="45" t="e">
        <f t="shared" si="318"/>
        <v>#VALUE!</v>
      </c>
      <c r="BH594" s="45" t="e">
        <f t="shared" si="319"/>
        <v>#NUM!</v>
      </c>
      <c r="BI594" s="43" t="e">
        <f t="shared" si="320"/>
        <v>#VALUE!</v>
      </c>
      <c r="CA594" s="41" t="s">
        <v>22</v>
      </c>
      <c r="CC594" t="s">
        <v>22</v>
      </c>
      <c r="CE594" s="41" t="s">
        <v>22</v>
      </c>
      <c r="CF594" s="41" t="s">
        <v>22</v>
      </c>
      <c r="CG594" s="41" t="e">
        <f t="shared" si="299"/>
        <v>#VALUE!</v>
      </c>
      <c r="CH594" s="41" t="e">
        <f t="shared" si="300"/>
        <v>#VALUE!</v>
      </c>
      <c r="CI594" s="41" t="str">
        <f t="shared" si="301"/>
        <v>Not Reported/ Can not calculate</v>
      </c>
      <c r="CJ594" s="41" t="e">
        <f t="shared" si="302"/>
        <v>#VALUE!</v>
      </c>
      <c r="CL594" s="9" t="s">
        <v>1269</v>
      </c>
      <c r="CM594" s="18" t="s">
        <v>1284</v>
      </c>
      <c r="CN594" s="54" t="s">
        <v>1284</v>
      </c>
      <c r="CO594" s="18" t="s">
        <v>1284</v>
      </c>
    </row>
    <row r="595" spans="1:93" s="9" customFormat="1" x14ac:dyDescent="0.25">
      <c r="A595" s="9" t="s">
        <v>141</v>
      </c>
      <c r="B595" s="50" t="s">
        <v>22</v>
      </c>
      <c r="C595" s="50">
        <v>1.07</v>
      </c>
      <c r="D595" s="50" t="s">
        <v>22</v>
      </c>
      <c r="E595" s="50" t="s">
        <v>22</v>
      </c>
      <c r="F595" s="9" t="s">
        <v>22</v>
      </c>
      <c r="G595" s="9" t="s">
        <v>22</v>
      </c>
      <c r="H595" s="9" t="s">
        <v>22</v>
      </c>
      <c r="I595" s="9" t="s">
        <v>22</v>
      </c>
      <c r="J595" s="50" t="s">
        <v>22</v>
      </c>
      <c r="K595" s="9" t="s">
        <v>22</v>
      </c>
      <c r="L595" s="50"/>
      <c r="M595" s="9" t="s">
        <v>23</v>
      </c>
      <c r="N595" s="50">
        <v>650</v>
      </c>
      <c r="O595" s="50">
        <v>0.61199999999999999</v>
      </c>
      <c r="P595" s="50">
        <v>41</v>
      </c>
      <c r="Q595" s="50"/>
      <c r="R595" s="50" t="s">
        <v>22</v>
      </c>
      <c r="S595" s="50" t="s">
        <v>22</v>
      </c>
      <c r="T595" s="50">
        <v>10</v>
      </c>
      <c r="U595" s="50">
        <v>10</v>
      </c>
      <c r="V595" s="9">
        <v>20201127</v>
      </c>
      <c r="W595" s="21"/>
      <c r="X595" s="21">
        <v>2012</v>
      </c>
      <c r="Y595" s="21" t="s">
        <v>26</v>
      </c>
      <c r="Z595" s="9" t="s">
        <v>53</v>
      </c>
      <c r="AB595" s="50"/>
      <c r="AC595" s="9" t="s">
        <v>514</v>
      </c>
      <c r="AD595" s="50" t="s">
        <v>22</v>
      </c>
      <c r="AE595" s="50" t="s">
        <v>22</v>
      </c>
      <c r="AF595" s="50" t="s">
        <v>22</v>
      </c>
      <c r="AG595" s="50" t="s">
        <v>22</v>
      </c>
      <c r="AH595" s="50" t="s">
        <v>22</v>
      </c>
      <c r="AI595" s="50" t="s">
        <v>22</v>
      </c>
      <c r="AJ595" s="50" t="s">
        <v>22</v>
      </c>
      <c r="AK595" s="50" t="s">
        <v>22</v>
      </c>
      <c r="AL595" s="50" t="s">
        <v>22</v>
      </c>
      <c r="AM595" s="43" t="e">
        <f t="shared" si="303"/>
        <v>#VALUE!</v>
      </c>
      <c r="AN595" s="43" t="e">
        <f t="shared" si="304"/>
        <v>#VALUE!</v>
      </c>
      <c r="AO595" s="57" t="s">
        <v>1163</v>
      </c>
      <c r="AT595" s="2">
        <f t="shared" si="305"/>
        <v>1</v>
      </c>
      <c r="AU595" s="45" t="e">
        <f t="shared" si="306"/>
        <v>#VALUE!</v>
      </c>
      <c r="AV595" s="45">
        <f t="shared" si="307"/>
        <v>2.9383777685209667E-2</v>
      </c>
      <c r="AW595" s="45" t="e">
        <f t="shared" si="308"/>
        <v>#VALUE!</v>
      </c>
      <c r="AX595" s="45">
        <f t="shared" si="309"/>
        <v>2.8129133566428557</v>
      </c>
      <c r="AY595" s="45">
        <f t="shared" si="310"/>
        <v>-0.21324857785443882</v>
      </c>
      <c r="AZ595" s="45">
        <f t="shared" si="311"/>
        <v>1.6127838567197355</v>
      </c>
      <c r="BA595" s="45" t="e">
        <f t="shared" si="312"/>
        <v>#VALUE!</v>
      </c>
      <c r="BB595" s="45" t="e">
        <f t="shared" si="313"/>
        <v>#NUM!</v>
      </c>
      <c r="BC595" s="45">
        <f t="shared" si="314"/>
        <v>1</v>
      </c>
      <c r="BD595" s="45" t="e">
        <f t="shared" si="315"/>
        <v>#VALUE!</v>
      </c>
      <c r="BE595" s="45" t="e">
        <f t="shared" si="316"/>
        <v>#VALUE!</v>
      </c>
      <c r="BF595" s="45" t="e">
        <f t="shared" si="317"/>
        <v>#VALUE!</v>
      </c>
      <c r="BG595" s="45" t="e">
        <f t="shared" si="318"/>
        <v>#VALUE!</v>
      </c>
      <c r="BH595" s="45" t="e">
        <f t="shared" si="319"/>
        <v>#NUM!</v>
      </c>
      <c r="BI595" s="43" t="e">
        <f t="shared" si="320"/>
        <v>#VALUE!</v>
      </c>
      <c r="BL595" s="20"/>
      <c r="BM595" s="50"/>
      <c r="BN595" s="50"/>
      <c r="BO595" s="50"/>
      <c r="BP595" s="50"/>
      <c r="BQ595" s="50"/>
      <c r="BR595" s="50"/>
      <c r="BU595" s="50"/>
      <c r="BV595" s="50"/>
      <c r="BW595" s="50"/>
      <c r="BX595" s="50"/>
      <c r="BY595" s="50"/>
      <c r="BZ595" s="50"/>
      <c r="CA595" s="50" t="s">
        <v>22</v>
      </c>
      <c r="CE595" s="50"/>
      <c r="CF595" s="50"/>
      <c r="CG595" s="50"/>
      <c r="CH595" s="50"/>
      <c r="CI595" s="50">
        <f t="shared" ref="CI595" si="322">IF(ISNUMBER(CG595),CG595,U595)</f>
        <v>10</v>
      </c>
      <c r="CJ595" s="50">
        <f t="shared" ref="CJ595" si="323">LOG10(CI595)</f>
        <v>1</v>
      </c>
      <c r="CL595" s="9" t="s">
        <v>1269</v>
      </c>
      <c r="CM595" s="9" t="s">
        <v>1285</v>
      </c>
      <c r="CN595" s="55" t="s">
        <v>1284</v>
      </c>
      <c r="CO595" s="9" t="s">
        <v>1284</v>
      </c>
    </row>
    <row r="596" spans="1:93" x14ac:dyDescent="0.25">
      <c r="A596" t="s">
        <v>266</v>
      </c>
      <c r="B596" s="41">
        <v>0.59</v>
      </c>
      <c r="C596" s="41" t="s">
        <v>22</v>
      </c>
      <c r="D596" s="41" t="s">
        <v>22</v>
      </c>
      <c r="E596" s="41" t="s">
        <v>22</v>
      </c>
      <c r="F596">
        <v>4</v>
      </c>
      <c r="G596" t="s">
        <v>52</v>
      </c>
      <c r="H596" t="s">
        <v>22</v>
      </c>
      <c r="I596" t="s">
        <v>22</v>
      </c>
      <c r="J596" s="41" t="s">
        <v>22</v>
      </c>
      <c r="K596">
        <v>514.5</v>
      </c>
      <c r="M596" t="s">
        <v>45</v>
      </c>
      <c r="N596" s="41" t="s">
        <v>22</v>
      </c>
      <c r="O596" s="41" t="s">
        <v>22</v>
      </c>
      <c r="P596" s="41" t="s">
        <v>22</v>
      </c>
      <c r="R596" s="41" t="s">
        <v>22</v>
      </c>
      <c r="S596" s="41" t="s">
        <v>22</v>
      </c>
      <c r="T596" s="41" t="s">
        <v>244</v>
      </c>
      <c r="U596" s="41">
        <v>1.5</v>
      </c>
      <c r="V596">
        <v>20200519</v>
      </c>
      <c r="W596" s="9" t="s">
        <v>830</v>
      </c>
      <c r="X596" s="18">
        <v>2012</v>
      </c>
      <c r="Y596" t="s">
        <v>76</v>
      </c>
      <c r="Z596" t="s">
        <v>831</v>
      </c>
      <c r="AC596" t="s">
        <v>514</v>
      </c>
      <c r="AD596" s="41">
        <v>5.6</v>
      </c>
      <c r="AE596" s="41">
        <v>1586.6</v>
      </c>
      <c r="AF596" s="41" t="s">
        <v>22</v>
      </c>
      <c r="AG596" s="41" t="s">
        <v>22</v>
      </c>
      <c r="AH596" s="41" t="s">
        <v>22</v>
      </c>
      <c r="AI596" s="41" t="s">
        <v>22</v>
      </c>
      <c r="AJ596" s="41" t="s">
        <v>22</v>
      </c>
      <c r="AK596" s="41" t="s">
        <v>22</v>
      </c>
      <c r="AL596" s="41" t="s">
        <v>22</v>
      </c>
      <c r="AM596" s="43" t="e">
        <f t="shared" si="303"/>
        <v>#VALUE!</v>
      </c>
      <c r="AN596" s="43" t="e">
        <f t="shared" si="304"/>
        <v>#VALUE!</v>
      </c>
      <c r="AO596" s="10" t="s">
        <v>832</v>
      </c>
      <c r="AT596" s="2">
        <f t="shared" si="305"/>
        <v>6</v>
      </c>
      <c r="AU596" s="45">
        <f t="shared" si="306"/>
        <v>-0.22914798835785583</v>
      </c>
      <c r="AV596" s="45" t="e">
        <f t="shared" si="307"/>
        <v>#VALUE!</v>
      </c>
      <c r="AW596" s="45" t="e">
        <f t="shared" si="308"/>
        <v>#VALUE!</v>
      </c>
      <c r="AX596" s="45" t="e">
        <f t="shared" si="309"/>
        <v>#VALUE!</v>
      </c>
      <c r="AY596" s="45" t="e">
        <f t="shared" si="310"/>
        <v>#VALUE!</v>
      </c>
      <c r="AZ596" s="45" t="e">
        <f t="shared" si="311"/>
        <v>#VALUE!</v>
      </c>
      <c r="BA596" s="45" t="e">
        <f t="shared" si="312"/>
        <v>#VALUE!</v>
      </c>
      <c r="BB596" s="45" t="e">
        <f t="shared" si="313"/>
        <v>#NUM!</v>
      </c>
      <c r="BC596" s="45">
        <f t="shared" si="314"/>
        <v>0.17609125905568124</v>
      </c>
      <c r="BD596" s="45">
        <f t="shared" si="315"/>
        <v>0.74818802700620035</v>
      </c>
      <c r="BE596" s="45" t="e">
        <f t="shared" si="316"/>
        <v>#VALUE!</v>
      </c>
      <c r="BF596" s="45" t="e">
        <f t="shared" si="317"/>
        <v>#VALUE!</v>
      </c>
      <c r="BG596" s="45" t="e">
        <f t="shared" si="318"/>
        <v>#VALUE!</v>
      </c>
      <c r="BH596" s="45" t="e">
        <f t="shared" si="319"/>
        <v>#NUM!</v>
      </c>
      <c r="BI596" s="43" t="e">
        <f t="shared" si="320"/>
        <v>#VALUE!</v>
      </c>
      <c r="BJ596" s="2" t="s">
        <v>520</v>
      </c>
      <c r="BK596" s="2" t="s">
        <v>521</v>
      </c>
      <c r="BL596" s="2" t="s">
        <v>871</v>
      </c>
      <c r="BM596" s="41">
        <v>25.6</v>
      </c>
      <c r="BN596" s="41">
        <v>1039379220.1919698</v>
      </c>
      <c r="BO596" s="43" t="e">
        <f t="shared" ref="BO596:BO601" si="324">BN596/(C596*1000000)</f>
        <v>#VALUE!</v>
      </c>
      <c r="BP596" s="41" t="s">
        <v>22</v>
      </c>
      <c r="BQ596" s="41" t="s">
        <v>22</v>
      </c>
      <c r="BR596" s="41" t="s">
        <v>22</v>
      </c>
      <c r="BS596" t="s">
        <v>22</v>
      </c>
      <c r="BT596" t="s">
        <v>22</v>
      </c>
      <c r="BU596" s="41" t="s">
        <v>22</v>
      </c>
      <c r="BV596" s="41" t="s">
        <v>22</v>
      </c>
      <c r="BW596" s="41" t="s">
        <v>22</v>
      </c>
      <c r="BX596" s="41" t="s">
        <v>22</v>
      </c>
      <c r="BY596" s="41" t="s">
        <v>22</v>
      </c>
      <c r="BZ596" s="41">
        <v>500</v>
      </c>
      <c r="CA596" s="41">
        <v>500</v>
      </c>
      <c r="CB596" t="s">
        <v>977</v>
      </c>
      <c r="CC596" t="s">
        <v>1009</v>
      </c>
      <c r="CE596" s="41">
        <f t="shared" ref="CE596:CE601" si="325">LOG10(BN596)</f>
        <v>9.016774029933277</v>
      </c>
      <c r="CF596" s="41" t="e">
        <f t="shared" ref="CF596:CF601" si="326">LOG10(BV596)</f>
        <v>#VALUE!</v>
      </c>
      <c r="CG596" s="41">
        <f t="shared" ref="CG596:CG601" si="327">AD596*1000</f>
        <v>5600</v>
      </c>
      <c r="CH596" s="41">
        <f t="shared" ref="CH596:CH601" si="328">LOG10(CG596)</f>
        <v>3.7481880270062002</v>
      </c>
      <c r="CI596" s="41">
        <f t="shared" ref="CI596:CI605" si="329">IF(ISNUMBER(CG596),CG596,U596)</f>
        <v>5600</v>
      </c>
      <c r="CJ596" s="41">
        <f t="shared" ref="CJ596:CJ605" si="330">LOG10(CI596)</f>
        <v>3.7481880270062002</v>
      </c>
      <c r="CL596" s="9" t="s">
        <v>1269</v>
      </c>
      <c r="CM596" s="18" t="s">
        <v>1283</v>
      </c>
      <c r="CN596" s="54">
        <v>2.6989700043360099</v>
      </c>
      <c r="CO596" s="18" t="s">
        <v>1286</v>
      </c>
    </row>
    <row r="597" spans="1:93" x14ac:dyDescent="0.25">
      <c r="A597" t="s">
        <v>266</v>
      </c>
      <c r="B597" s="41">
        <v>0.38</v>
      </c>
      <c r="C597" s="41" t="s">
        <v>22</v>
      </c>
      <c r="D597" s="41" t="s">
        <v>22</v>
      </c>
      <c r="E597" s="41" t="s">
        <v>22</v>
      </c>
      <c r="F597">
        <v>4</v>
      </c>
      <c r="G597" t="s">
        <v>52</v>
      </c>
      <c r="H597" t="s">
        <v>22</v>
      </c>
      <c r="I597" t="s">
        <v>22</v>
      </c>
      <c r="J597" s="41" t="s">
        <v>22</v>
      </c>
      <c r="K597">
        <v>514.5</v>
      </c>
      <c r="M597" t="s">
        <v>45</v>
      </c>
      <c r="N597" s="41" t="s">
        <v>22</v>
      </c>
      <c r="O597" s="41" t="s">
        <v>22</v>
      </c>
      <c r="P597" s="41" t="s">
        <v>22</v>
      </c>
      <c r="R597" s="41" t="s">
        <v>22</v>
      </c>
      <c r="S597" s="41" t="s">
        <v>22</v>
      </c>
      <c r="T597" s="41" t="s">
        <v>244</v>
      </c>
      <c r="U597" s="41">
        <v>1.5</v>
      </c>
      <c r="V597">
        <v>20200519</v>
      </c>
      <c r="W597" s="9" t="s">
        <v>830</v>
      </c>
      <c r="X597" s="18">
        <v>2012</v>
      </c>
      <c r="Y597" t="s">
        <v>76</v>
      </c>
      <c r="Z597" t="s">
        <v>831</v>
      </c>
      <c r="AC597" t="s">
        <v>514</v>
      </c>
      <c r="AD597" s="41">
        <v>8.8000000000000007</v>
      </c>
      <c r="AE597" s="41">
        <v>1586.6</v>
      </c>
      <c r="AF597" s="41" t="s">
        <v>22</v>
      </c>
      <c r="AG597" s="41" t="s">
        <v>22</v>
      </c>
      <c r="AH597" s="41" t="s">
        <v>22</v>
      </c>
      <c r="AI597" s="41" t="s">
        <v>22</v>
      </c>
      <c r="AJ597" s="41" t="s">
        <v>22</v>
      </c>
      <c r="AK597" s="41" t="s">
        <v>22</v>
      </c>
      <c r="AL597" s="41" t="s">
        <v>22</v>
      </c>
      <c r="AM597" s="43" t="e">
        <f t="shared" si="303"/>
        <v>#VALUE!</v>
      </c>
      <c r="AN597" s="43" t="e">
        <f t="shared" si="304"/>
        <v>#VALUE!</v>
      </c>
      <c r="AO597" s="10" t="s">
        <v>832</v>
      </c>
      <c r="AT597" s="2">
        <f t="shared" si="305"/>
        <v>6</v>
      </c>
      <c r="AU597" s="45">
        <f t="shared" si="306"/>
        <v>-0.42021640338318983</v>
      </c>
      <c r="AV597" s="45" t="e">
        <f t="shared" si="307"/>
        <v>#VALUE!</v>
      </c>
      <c r="AW597" s="45" t="e">
        <f t="shared" si="308"/>
        <v>#VALUE!</v>
      </c>
      <c r="AX597" s="45" t="e">
        <f t="shared" si="309"/>
        <v>#VALUE!</v>
      </c>
      <c r="AY597" s="45" t="e">
        <f t="shared" si="310"/>
        <v>#VALUE!</v>
      </c>
      <c r="AZ597" s="45" t="e">
        <f t="shared" si="311"/>
        <v>#VALUE!</v>
      </c>
      <c r="BA597" s="45" t="e">
        <f t="shared" si="312"/>
        <v>#VALUE!</v>
      </c>
      <c r="BB597" s="45" t="e">
        <f t="shared" si="313"/>
        <v>#NUM!</v>
      </c>
      <c r="BC597" s="45">
        <f t="shared" si="314"/>
        <v>0.17609125905568124</v>
      </c>
      <c r="BD597" s="45">
        <f t="shared" si="315"/>
        <v>0.94448267215016868</v>
      </c>
      <c r="BE597" s="45" t="e">
        <f t="shared" si="316"/>
        <v>#VALUE!</v>
      </c>
      <c r="BF597" s="45" t="e">
        <f t="shared" si="317"/>
        <v>#VALUE!</v>
      </c>
      <c r="BG597" s="45" t="e">
        <f t="shared" si="318"/>
        <v>#VALUE!</v>
      </c>
      <c r="BH597" s="45" t="e">
        <f t="shared" si="319"/>
        <v>#NUM!</v>
      </c>
      <c r="BI597" s="43" t="e">
        <f t="shared" si="320"/>
        <v>#VALUE!</v>
      </c>
      <c r="BJ597" s="2" t="s">
        <v>520</v>
      </c>
      <c r="BK597" s="2" t="s">
        <v>521</v>
      </c>
      <c r="BL597" s="2" t="s">
        <v>871</v>
      </c>
      <c r="BM597" s="41">
        <v>35.4</v>
      </c>
      <c r="BN597" s="41">
        <v>582033572.87738585</v>
      </c>
      <c r="BO597" s="43" t="e">
        <f t="shared" si="324"/>
        <v>#VALUE!</v>
      </c>
      <c r="BP597" s="41" t="s">
        <v>22</v>
      </c>
      <c r="BQ597" s="41" t="s">
        <v>22</v>
      </c>
      <c r="BR597" s="41" t="s">
        <v>22</v>
      </c>
      <c r="BS597" t="s">
        <v>22</v>
      </c>
      <c r="BT597" t="s">
        <v>22</v>
      </c>
      <c r="BU597" s="41" t="s">
        <v>22</v>
      </c>
      <c r="BV597" s="41" t="s">
        <v>22</v>
      </c>
      <c r="BW597" s="41" t="s">
        <v>22</v>
      </c>
      <c r="BX597" s="41" t="s">
        <v>22</v>
      </c>
      <c r="BY597" s="41" t="s">
        <v>22</v>
      </c>
      <c r="BZ597" s="41">
        <v>500</v>
      </c>
      <c r="CA597" s="41">
        <v>500</v>
      </c>
      <c r="CB597" t="s">
        <v>977</v>
      </c>
      <c r="CC597" t="s">
        <v>1009</v>
      </c>
      <c r="CE597" s="41">
        <f t="shared" si="325"/>
        <v>8.7649480363592787</v>
      </c>
      <c r="CF597" s="41" t="e">
        <f t="shared" si="326"/>
        <v>#VALUE!</v>
      </c>
      <c r="CG597" s="41">
        <f t="shared" si="327"/>
        <v>8800</v>
      </c>
      <c r="CH597" s="41">
        <f t="shared" si="328"/>
        <v>3.9444826721501687</v>
      </c>
      <c r="CI597" s="41">
        <f t="shared" si="329"/>
        <v>8800</v>
      </c>
      <c r="CJ597" s="41">
        <f t="shared" si="330"/>
        <v>3.9444826721501687</v>
      </c>
      <c r="CL597" s="9" t="s">
        <v>1269</v>
      </c>
      <c r="CM597" s="18" t="s">
        <v>1283</v>
      </c>
      <c r="CN597" s="54">
        <v>2.6989700043360099</v>
      </c>
      <c r="CO597" s="18" t="s">
        <v>1286</v>
      </c>
    </row>
    <row r="598" spans="1:93" x14ac:dyDescent="0.25">
      <c r="A598" t="s">
        <v>266</v>
      </c>
      <c r="B598" s="41">
        <v>0.31</v>
      </c>
      <c r="C598" s="41" t="s">
        <v>22</v>
      </c>
      <c r="D598" s="41" t="s">
        <v>22</v>
      </c>
      <c r="E598" s="41" t="s">
        <v>22</v>
      </c>
      <c r="F598">
        <v>4</v>
      </c>
      <c r="G598" t="s">
        <v>52</v>
      </c>
      <c r="H598" t="s">
        <v>22</v>
      </c>
      <c r="I598" t="s">
        <v>22</v>
      </c>
      <c r="J598" s="41" t="s">
        <v>22</v>
      </c>
      <c r="K598">
        <v>514.5</v>
      </c>
      <c r="M598" t="s">
        <v>45</v>
      </c>
      <c r="N598" s="41" t="s">
        <v>22</v>
      </c>
      <c r="O598" s="41" t="s">
        <v>22</v>
      </c>
      <c r="P598" s="41" t="s">
        <v>22</v>
      </c>
      <c r="R598" s="41" t="s">
        <v>22</v>
      </c>
      <c r="S598" s="41" t="s">
        <v>22</v>
      </c>
      <c r="T598" s="41" t="s">
        <v>244</v>
      </c>
      <c r="U598" s="41">
        <v>1.5</v>
      </c>
      <c r="V598">
        <v>20200519</v>
      </c>
      <c r="W598" s="9" t="s">
        <v>830</v>
      </c>
      <c r="X598" s="18">
        <v>2012</v>
      </c>
      <c r="Y598" t="s">
        <v>76</v>
      </c>
      <c r="Z598" t="s">
        <v>831</v>
      </c>
      <c r="AC598" t="s">
        <v>514</v>
      </c>
      <c r="AD598" s="41">
        <v>9.1</v>
      </c>
      <c r="AE598" s="41">
        <v>1586.6</v>
      </c>
      <c r="AF598" s="41" t="s">
        <v>22</v>
      </c>
      <c r="AG598" s="41" t="s">
        <v>22</v>
      </c>
      <c r="AH598" s="41" t="s">
        <v>22</v>
      </c>
      <c r="AI598" s="41" t="s">
        <v>22</v>
      </c>
      <c r="AJ598" s="41" t="s">
        <v>22</v>
      </c>
      <c r="AK598" s="41" t="s">
        <v>22</v>
      </c>
      <c r="AL598" s="41" t="s">
        <v>22</v>
      </c>
      <c r="AM598" s="43" t="e">
        <f t="shared" si="303"/>
        <v>#VALUE!</v>
      </c>
      <c r="AN598" s="43" t="e">
        <f t="shared" si="304"/>
        <v>#VALUE!</v>
      </c>
      <c r="AO598" s="10" t="s">
        <v>832</v>
      </c>
      <c r="AT598" s="2">
        <f t="shared" si="305"/>
        <v>6</v>
      </c>
      <c r="AU598" s="45">
        <f t="shared" si="306"/>
        <v>-0.50863830616572736</v>
      </c>
      <c r="AV598" s="45" t="e">
        <f t="shared" si="307"/>
        <v>#VALUE!</v>
      </c>
      <c r="AW598" s="45" t="e">
        <f t="shared" si="308"/>
        <v>#VALUE!</v>
      </c>
      <c r="AX598" s="45" t="e">
        <f t="shared" si="309"/>
        <v>#VALUE!</v>
      </c>
      <c r="AY598" s="45" t="e">
        <f t="shared" si="310"/>
        <v>#VALUE!</v>
      </c>
      <c r="AZ598" s="45" t="e">
        <f t="shared" si="311"/>
        <v>#VALUE!</v>
      </c>
      <c r="BA598" s="45" t="e">
        <f t="shared" si="312"/>
        <v>#VALUE!</v>
      </c>
      <c r="BB598" s="45" t="e">
        <f t="shared" si="313"/>
        <v>#NUM!</v>
      </c>
      <c r="BC598" s="45">
        <f t="shared" si="314"/>
        <v>0.17609125905568124</v>
      </c>
      <c r="BD598" s="45">
        <f t="shared" si="315"/>
        <v>0.95904139232109353</v>
      </c>
      <c r="BE598" s="45" t="e">
        <f t="shared" si="316"/>
        <v>#VALUE!</v>
      </c>
      <c r="BF598" s="45" t="e">
        <f t="shared" si="317"/>
        <v>#VALUE!</v>
      </c>
      <c r="BG598" s="45" t="e">
        <f t="shared" si="318"/>
        <v>#VALUE!</v>
      </c>
      <c r="BH598" s="45" t="e">
        <f t="shared" si="319"/>
        <v>#NUM!</v>
      </c>
      <c r="BI598" s="43" t="e">
        <f t="shared" si="320"/>
        <v>#VALUE!</v>
      </c>
      <c r="BJ598" s="2" t="s">
        <v>520</v>
      </c>
      <c r="BK598" s="2" t="s">
        <v>521</v>
      </c>
      <c r="BL598" s="2" t="s">
        <v>871</v>
      </c>
      <c r="BM598" s="41">
        <v>43.2</v>
      </c>
      <c r="BN598" s="41">
        <v>664218673.25877357</v>
      </c>
      <c r="BO598" s="43" t="e">
        <f t="shared" si="324"/>
        <v>#VALUE!</v>
      </c>
      <c r="BP598" s="41" t="s">
        <v>22</v>
      </c>
      <c r="BQ598" s="41" t="s">
        <v>22</v>
      </c>
      <c r="BR598" s="41" t="s">
        <v>22</v>
      </c>
      <c r="BS598" t="s">
        <v>22</v>
      </c>
      <c r="BT598" t="s">
        <v>22</v>
      </c>
      <c r="BU598" s="41" t="s">
        <v>22</v>
      </c>
      <c r="BV598" s="41" t="s">
        <v>22</v>
      </c>
      <c r="BW598" s="41" t="s">
        <v>22</v>
      </c>
      <c r="BX598" s="41" t="s">
        <v>22</v>
      </c>
      <c r="BY598" s="41" t="s">
        <v>22</v>
      </c>
      <c r="BZ598" s="41">
        <v>500</v>
      </c>
      <c r="CA598" s="41">
        <v>500</v>
      </c>
      <c r="CB598" t="s">
        <v>977</v>
      </c>
      <c r="CC598" t="s">
        <v>1009</v>
      </c>
      <c r="CE598" s="41">
        <f t="shared" si="325"/>
        <v>8.8223110808065535</v>
      </c>
      <c r="CF598" s="41" t="e">
        <f t="shared" si="326"/>
        <v>#VALUE!</v>
      </c>
      <c r="CG598" s="41">
        <f t="shared" si="327"/>
        <v>9100</v>
      </c>
      <c r="CH598" s="41">
        <f t="shared" si="328"/>
        <v>3.9590413923210934</v>
      </c>
      <c r="CI598" s="41">
        <f t="shared" si="329"/>
        <v>9100</v>
      </c>
      <c r="CJ598" s="41">
        <f t="shared" si="330"/>
        <v>3.9590413923210934</v>
      </c>
      <c r="CL598" s="9" t="s">
        <v>1269</v>
      </c>
      <c r="CM598" s="18" t="s">
        <v>1283</v>
      </c>
      <c r="CN598" s="54">
        <v>2.6989700043360099</v>
      </c>
      <c r="CO598" s="18" t="s">
        <v>1286</v>
      </c>
    </row>
    <row r="599" spans="1:93" x14ac:dyDescent="0.25">
      <c r="A599" t="s">
        <v>266</v>
      </c>
      <c r="B599" s="41">
        <v>0.13</v>
      </c>
      <c r="C599" s="41" t="s">
        <v>22</v>
      </c>
      <c r="D599" s="41" t="s">
        <v>22</v>
      </c>
      <c r="E599" s="41" t="s">
        <v>22</v>
      </c>
      <c r="F599">
        <v>4</v>
      </c>
      <c r="G599" t="s">
        <v>52</v>
      </c>
      <c r="H599" t="s">
        <v>22</v>
      </c>
      <c r="I599" t="s">
        <v>22</v>
      </c>
      <c r="J599" s="41" t="s">
        <v>22</v>
      </c>
      <c r="K599">
        <v>514.5</v>
      </c>
      <c r="M599" t="s">
        <v>45</v>
      </c>
      <c r="N599" s="41" t="s">
        <v>22</v>
      </c>
      <c r="O599" s="41" t="s">
        <v>22</v>
      </c>
      <c r="P599" s="41" t="s">
        <v>22</v>
      </c>
      <c r="R599" s="41" t="s">
        <v>22</v>
      </c>
      <c r="S599" s="41" t="s">
        <v>22</v>
      </c>
      <c r="T599" s="41" t="s">
        <v>244</v>
      </c>
      <c r="U599" s="41">
        <v>1.5</v>
      </c>
      <c r="V599">
        <v>20200519</v>
      </c>
      <c r="W599" s="9" t="s">
        <v>830</v>
      </c>
      <c r="X599" s="18">
        <v>2012</v>
      </c>
      <c r="Y599" t="s">
        <v>76</v>
      </c>
      <c r="Z599" t="s">
        <v>831</v>
      </c>
      <c r="AC599" t="s">
        <v>514</v>
      </c>
      <c r="AD599" s="41">
        <v>13.3</v>
      </c>
      <c r="AE599" s="41">
        <v>1586.6</v>
      </c>
      <c r="AF599" s="41" t="s">
        <v>22</v>
      </c>
      <c r="AG599" s="41" t="s">
        <v>22</v>
      </c>
      <c r="AH599" s="41" t="s">
        <v>22</v>
      </c>
      <c r="AI599" s="41" t="s">
        <v>22</v>
      </c>
      <c r="AJ599" s="41" t="s">
        <v>22</v>
      </c>
      <c r="AK599" s="41" t="s">
        <v>22</v>
      </c>
      <c r="AL599" s="41" t="s">
        <v>22</v>
      </c>
      <c r="AM599" s="43" t="e">
        <f t="shared" si="303"/>
        <v>#VALUE!</v>
      </c>
      <c r="AN599" s="43" t="e">
        <f t="shared" si="304"/>
        <v>#VALUE!</v>
      </c>
      <c r="AO599" s="10" t="s">
        <v>832</v>
      </c>
      <c r="AT599" s="2">
        <f t="shared" si="305"/>
        <v>6</v>
      </c>
      <c r="AU599" s="45">
        <f t="shared" si="306"/>
        <v>-0.88605664769316317</v>
      </c>
      <c r="AV599" s="45" t="e">
        <f t="shared" si="307"/>
        <v>#VALUE!</v>
      </c>
      <c r="AW599" s="45" t="e">
        <f t="shared" si="308"/>
        <v>#VALUE!</v>
      </c>
      <c r="AX599" s="45" t="e">
        <f t="shared" si="309"/>
        <v>#VALUE!</v>
      </c>
      <c r="AY599" s="45" t="e">
        <f t="shared" si="310"/>
        <v>#VALUE!</v>
      </c>
      <c r="AZ599" s="45" t="e">
        <f t="shared" si="311"/>
        <v>#VALUE!</v>
      </c>
      <c r="BA599" s="45" t="e">
        <f t="shared" si="312"/>
        <v>#VALUE!</v>
      </c>
      <c r="BB599" s="45" t="e">
        <f t="shared" si="313"/>
        <v>#NUM!</v>
      </c>
      <c r="BC599" s="45">
        <f t="shared" si="314"/>
        <v>0.17609125905568124</v>
      </c>
      <c r="BD599" s="45">
        <f t="shared" si="315"/>
        <v>1.1238516409670858</v>
      </c>
      <c r="BE599" s="45" t="e">
        <f t="shared" si="316"/>
        <v>#VALUE!</v>
      </c>
      <c r="BF599" s="45" t="e">
        <f t="shared" si="317"/>
        <v>#VALUE!</v>
      </c>
      <c r="BG599" s="45" t="e">
        <f t="shared" si="318"/>
        <v>#VALUE!</v>
      </c>
      <c r="BH599" s="45" t="e">
        <f t="shared" si="319"/>
        <v>#NUM!</v>
      </c>
      <c r="BI599" s="43" t="e">
        <f t="shared" si="320"/>
        <v>#VALUE!</v>
      </c>
      <c r="BJ599" s="2" t="s">
        <v>520</v>
      </c>
      <c r="BK599" s="2" t="s">
        <v>521</v>
      </c>
      <c r="BL599" s="2" t="s">
        <v>871</v>
      </c>
      <c r="BM599" s="41">
        <v>58.5</v>
      </c>
      <c r="BN599" s="41">
        <v>421078146.68441987</v>
      </c>
      <c r="BO599" s="43" t="e">
        <f t="shared" si="324"/>
        <v>#VALUE!</v>
      </c>
      <c r="BP599" s="41" t="s">
        <v>22</v>
      </c>
      <c r="BQ599" s="41" t="s">
        <v>22</v>
      </c>
      <c r="BR599" s="41" t="s">
        <v>22</v>
      </c>
      <c r="BS599" t="s">
        <v>22</v>
      </c>
      <c r="BT599" t="s">
        <v>22</v>
      </c>
      <c r="BU599" s="41" t="s">
        <v>22</v>
      </c>
      <c r="BV599" s="41" t="s">
        <v>22</v>
      </c>
      <c r="BW599" s="41" t="s">
        <v>22</v>
      </c>
      <c r="BX599" s="41" t="s">
        <v>22</v>
      </c>
      <c r="BY599" s="41" t="s">
        <v>22</v>
      </c>
      <c r="BZ599" s="41">
        <v>500</v>
      </c>
      <c r="CA599" s="41">
        <v>500</v>
      </c>
      <c r="CB599" t="s">
        <v>977</v>
      </c>
      <c r="CC599" t="s">
        <v>1009</v>
      </c>
      <c r="CE599" s="41">
        <f t="shared" si="325"/>
        <v>8.6243627027818377</v>
      </c>
      <c r="CF599" s="41" t="e">
        <f t="shared" si="326"/>
        <v>#VALUE!</v>
      </c>
      <c r="CG599" s="41">
        <f t="shared" si="327"/>
        <v>13300</v>
      </c>
      <c r="CH599" s="41">
        <f t="shared" si="328"/>
        <v>4.1238516409670858</v>
      </c>
      <c r="CI599" s="41">
        <f t="shared" si="329"/>
        <v>13300</v>
      </c>
      <c r="CJ599" s="41">
        <f t="shared" si="330"/>
        <v>4.1238516409670858</v>
      </c>
      <c r="CL599" s="9" t="s">
        <v>1269</v>
      </c>
      <c r="CM599" s="18" t="s">
        <v>1283</v>
      </c>
      <c r="CN599" s="54">
        <v>2.6989700043360099</v>
      </c>
      <c r="CO599" s="18" t="s">
        <v>1286</v>
      </c>
    </row>
    <row r="600" spans="1:93" x14ac:dyDescent="0.25">
      <c r="A600" t="s">
        <v>266</v>
      </c>
      <c r="B600" s="41">
        <v>9.4E-2</v>
      </c>
      <c r="C600" s="41" t="s">
        <v>22</v>
      </c>
      <c r="D600" s="41" t="s">
        <v>22</v>
      </c>
      <c r="E600" s="41" t="s">
        <v>22</v>
      </c>
      <c r="F600">
        <v>4</v>
      </c>
      <c r="G600" t="s">
        <v>52</v>
      </c>
      <c r="H600" t="s">
        <v>22</v>
      </c>
      <c r="I600" t="s">
        <v>22</v>
      </c>
      <c r="J600" s="41" t="s">
        <v>22</v>
      </c>
      <c r="K600">
        <v>514.5</v>
      </c>
      <c r="M600" t="s">
        <v>45</v>
      </c>
      <c r="N600" s="41" t="s">
        <v>22</v>
      </c>
      <c r="O600" s="41" t="s">
        <v>22</v>
      </c>
      <c r="P600" s="41" t="s">
        <v>22</v>
      </c>
      <c r="R600" s="41" t="s">
        <v>22</v>
      </c>
      <c r="S600" s="41" t="s">
        <v>22</v>
      </c>
      <c r="T600" s="41" t="s">
        <v>244</v>
      </c>
      <c r="U600" s="41">
        <v>1.5</v>
      </c>
      <c r="V600">
        <v>20200519</v>
      </c>
      <c r="W600" s="9" t="s">
        <v>830</v>
      </c>
      <c r="X600" s="18">
        <v>2012</v>
      </c>
      <c r="Y600" t="s">
        <v>76</v>
      </c>
      <c r="Z600" t="s">
        <v>831</v>
      </c>
      <c r="AC600" t="s">
        <v>514</v>
      </c>
      <c r="AD600" s="41">
        <v>17.600000000000001</v>
      </c>
      <c r="AE600" s="41">
        <v>1586.6</v>
      </c>
      <c r="AF600" s="41" t="s">
        <v>22</v>
      </c>
      <c r="AG600" s="41" t="s">
        <v>22</v>
      </c>
      <c r="AH600" s="41" t="s">
        <v>22</v>
      </c>
      <c r="AI600" s="41" t="s">
        <v>22</v>
      </c>
      <c r="AJ600" s="41" t="s">
        <v>22</v>
      </c>
      <c r="AK600" s="41" t="s">
        <v>22</v>
      </c>
      <c r="AL600" s="41" t="s">
        <v>22</v>
      </c>
      <c r="AM600" s="43" t="e">
        <f t="shared" si="303"/>
        <v>#VALUE!</v>
      </c>
      <c r="AN600" s="43" t="e">
        <f t="shared" si="304"/>
        <v>#VALUE!</v>
      </c>
      <c r="AO600" s="10" t="s">
        <v>832</v>
      </c>
      <c r="AT600" s="2">
        <f t="shared" si="305"/>
        <v>6</v>
      </c>
      <c r="AU600" s="45">
        <f t="shared" si="306"/>
        <v>-1.0268721464003014</v>
      </c>
      <c r="AV600" s="45" t="e">
        <f t="shared" si="307"/>
        <v>#VALUE!</v>
      </c>
      <c r="AW600" s="45" t="e">
        <f t="shared" si="308"/>
        <v>#VALUE!</v>
      </c>
      <c r="AX600" s="45" t="e">
        <f t="shared" si="309"/>
        <v>#VALUE!</v>
      </c>
      <c r="AY600" s="45" t="e">
        <f t="shared" si="310"/>
        <v>#VALUE!</v>
      </c>
      <c r="AZ600" s="45" t="e">
        <f t="shared" si="311"/>
        <v>#VALUE!</v>
      </c>
      <c r="BA600" s="45" t="e">
        <f t="shared" si="312"/>
        <v>#VALUE!</v>
      </c>
      <c r="BB600" s="45" t="e">
        <f t="shared" si="313"/>
        <v>#NUM!</v>
      </c>
      <c r="BC600" s="45">
        <f t="shared" si="314"/>
        <v>0.17609125905568124</v>
      </c>
      <c r="BD600" s="45">
        <f t="shared" si="315"/>
        <v>1.2455126678141499</v>
      </c>
      <c r="BE600" s="45" t="e">
        <f t="shared" si="316"/>
        <v>#VALUE!</v>
      </c>
      <c r="BF600" s="45" t="e">
        <f t="shared" si="317"/>
        <v>#VALUE!</v>
      </c>
      <c r="BG600" s="45" t="e">
        <f t="shared" si="318"/>
        <v>#VALUE!</v>
      </c>
      <c r="BH600" s="45" t="e">
        <f t="shared" si="319"/>
        <v>#NUM!</v>
      </c>
      <c r="BI600" s="43" t="e">
        <f t="shared" si="320"/>
        <v>#VALUE!</v>
      </c>
      <c r="BJ600" s="2" t="s">
        <v>520</v>
      </c>
      <c r="BK600" s="2" t="s">
        <v>521</v>
      </c>
      <c r="BL600" s="2" t="s">
        <v>871</v>
      </c>
      <c r="BM600" s="41">
        <v>72.099999999999994</v>
      </c>
      <c r="BN600" s="41">
        <v>296360315.00324517</v>
      </c>
      <c r="BO600" s="43" t="e">
        <f t="shared" si="324"/>
        <v>#VALUE!</v>
      </c>
      <c r="BP600" s="41" t="s">
        <v>22</v>
      </c>
      <c r="BQ600" s="41" t="s">
        <v>22</v>
      </c>
      <c r="BR600" s="41" t="s">
        <v>22</v>
      </c>
      <c r="BS600" t="s">
        <v>22</v>
      </c>
      <c r="BT600" t="s">
        <v>22</v>
      </c>
      <c r="BU600" s="41" t="s">
        <v>22</v>
      </c>
      <c r="BV600" s="41" t="s">
        <v>22</v>
      </c>
      <c r="BW600" s="41" t="s">
        <v>22</v>
      </c>
      <c r="BX600" s="41" t="s">
        <v>22</v>
      </c>
      <c r="BY600" s="41" t="s">
        <v>22</v>
      </c>
      <c r="BZ600" s="41">
        <v>500</v>
      </c>
      <c r="CA600" s="41">
        <v>500</v>
      </c>
      <c r="CB600" t="s">
        <v>977</v>
      </c>
      <c r="CC600" t="s">
        <v>1009</v>
      </c>
      <c r="CE600" s="41">
        <f t="shared" si="325"/>
        <v>8.4718200477249574</v>
      </c>
      <c r="CF600" s="41" t="e">
        <f t="shared" si="326"/>
        <v>#VALUE!</v>
      </c>
      <c r="CG600" s="41">
        <f t="shared" si="327"/>
        <v>17600</v>
      </c>
      <c r="CH600" s="41">
        <f t="shared" si="328"/>
        <v>4.2455126678141495</v>
      </c>
      <c r="CI600" s="41">
        <f t="shared" si="329"/>
        <v>17600</v>
      </c>
      <c r="CJ600" s="41">
        <f t="shared" si="330"/>
        <v>4.2455126678141495</v>
      </c>
      <c r="CL600" s="9" t="s">
        <v>1269</v>
      </c>
      <c r="CM600" s="18" t="s">
        <v>1283</v>
      </c>
      <c r="CN600" s="54">
        <v>2.6989700043360099</v>
      </c>
      <c r="CO600" s="18" t="s">
        <v>1286</v>
      </c>
    </row>
    <row r="601" spans="1:93" x14ac:dyDescent="0.25">
      <c r="A601" t="s">
        <v>375</v>
      </c>
      <c r="B601" s="41">
        <v>2.1999999999999999E-2</v>
      </c>
      <c r="C601" s="41" t="s">
        <v>22</v>
      </c>
      <c r="D601" s="41" t="s">
        <v>22</v>
      </c>
      <c r="E601" s="41" t="s">
        <v>22</v>
      </c>
      <c r="F601" t="s">
        <v>22</v>
      </c>
      <c r="G601" t="s">
        <v>22</v>
      </c>
      <c r="H601" t="s">
        <v>22</v>
      </c>
      <c r="I601" t="s">
        <v>22</v>
      </c>
      <c r="J601" s="41" t="s">
        <v>22</v>
      </c>
      <c r="K601">
        <v>514.5</v>
      </c>
      <c r="M601" t="s">
        <v>23</v>
      </c>
      <c r="N601" s="41" t="s">
        <v>22</v>
      </c>
      <c r="O601" s="41" t="s">
        <v>22</v>
      </c>
      <c r="P601" s="41" t="s">
        <v>22</v>
      </c>
      <c r="R601" s="41" t="s">
        <v>22</v>
      </c>
      <c r="S601" s="41" t="s">
        <v>22</v>
      </c>
      <c r="T601" s="41" t="s">
        <v>22</v>
      </c>
      <c r="U601" s="41" t="s">
        <v>22</v>
      </c>
      <c r="V601">
        <v>20200519</v>
      </c>
      <c r="W601" s="9" t="s">
        <v>375</v>
      </c>
      <c r="X601" s="18">
        <v>2012</v>
      </c>
      <c r="Y601" t="s">
        <v>375</v>
      </c>
      <c r="Z601" t="s">
        <v>32</v>
      </c>
      <c r="AA601" t="s">
        <v>22</v>
      </c>
      <c r="AB601" s="41" t="s">
        <v>22</v>
      </c>
      <c r="AC601" t="s">
        <v>22</v>
      </c>
      <c r="AD601" s="41">
        <v>6.1</v>
      </c>
      <c r="AE601" s="41" t="s">
        <v>22</v>
      </c>
      <c r="AF601" s="41">
        <v>70</v>
      </c>
      <c r="AG601" s="41" t="s">
        <v>22</v>
      </c>
      <c r="AH601" s="41" t="s">
        <v>22</v>
      </c>
      <c r="AI601" s="41" t="s">
        <v>22</v>
      </c>
      <c r="AJ601" s="41" t="s">
        <v>22</v>
      </c>
      <c r="AK601" s="41" t="s">
        <v>22</v>
      </c>
      <c r="AL601" s="41" t="s">
        <v>22</v>
      </c>
      <c r="AM601" s="43" t="e">
        <f t="shared" si="303"/>
        <v>#VALUE!</v>
      </c>
      <c r="AN601" s="43" t="e">
        <f t="shared" si="304"/>
        <v>#VALUE!</v>
      </c>
      <c r="AO601" s="10" t="s">
        <v>832</v>
      </c>
      <c r="AT601" s="2">
        <f t="shared" si="305"/>
        <v>6</v>
      </c>
      <c r="AU601" s="45">
        <f t="shared" si="306"/>
        <v>-1.6575773191777938</v>
      </c>
      <c r="AV601" s="45" t="e">
        <f t="shared" si="307"/>
        <v>#VALUE!</v>
      </c>
      <c r="AW601" s="45" t="e">
        <f t="shared" si="308"/>
        <v>#VALUE!</v>
      </c>
      <c r="AX601" s="45" t="e">
        <f t="shared" si="309"/>
        <v>#VALUE!</v>
      </c>
      <c r="AY601" s="45" t="e">
        <f t="shared" si="310"/>
        <v>#VALUE!</v>
      </c>
      <c r="AZ601" s="45" t="e">
        <f t="shared" si="311"/>
        <v>#VALUE!</v>
      </c>
      <c r="BA601" s="45" t="e">
        <f t="shared" si="312"/>
        <v>#VALUE!</v>
      </c>
      <c r="BB601" s="45" t="e">
        <f t="shared" si="313"/>
        <v>#NUM!</v>
      </c>
      <c r="BC601" s="45" t="e">
        <f t="shared" si="314"/>
        <v>#VALUE!</v>
      </c>
      <c r="BD601" s="45">
        <f t="shared" si="315"/>
        <v>0.78532983501076703</v>
      </c>
      <c r="BE601" s="45">
        <f t="shared" si="316"/>
        <v>1.8450980400142569</v>
      </c>
      <c r="BF601" s="45" t="e">
        <f t="shared" si="317"/>
        <v>#VALUE!</v>
      </c>
      <c r="BG601" s="45" t="e">
        <f t="shared" si="318"/>
        <v>#VALUE!</v>
      </c>
      <c r="BH601" s="45" t="e">
        <f t="shared" si="319"/>
        <v>#VALUE!</v>
      </c>
      <c r="BI601" s="43">
        <f t="shared" si="320"/>
        <v>1.8450980400142569</v>
      </c>
      <c r="BJ601" s="2" t="s">
        <v>520</v>
      </c>
      <c r="BK601" s="2" t="s">
        <v>521</v>
      </c>
      <c r="BL601" s="2" t="s">
        <v>871</v>
      </c>
      <c r="BM601" s="41">
        <v>24</v>
      </c>
      <c r="BN601" s="41">
        <v>821224108.40214741</v>
      </c>
      <c r="BO601" s="43" t="e">
        <f t="shared" si="324"/>
        <v>#VALUE!</v>
      </c>
      <c r="BP601" s="41" t="s">
        <v>22</v>
      </c>
      <c r="BQ601" s="41" t="s">
        <v>22</v>
      </c>
      <c r="BR601" s="41" t="s">
        <v>22</v>
      </c>
      <c r="BS601" t="s">
        <v>22</v>
      </c>
      <c r="BT601" t="s">
        <v>22</v>
      </c>
      <c r="BU601" s="41" t="s">
        <v>22</v>
      </c>
      <c r="BV601" s="41" t="s">
        <v>22</v>
      </c>
      <c r="BW601" s="41" t="s">
        <v>22</v>
      </c>
      <c r="BX601" s="41" t="s">
        <v>22</v>
      </c>
      <c r="BY601" s="41" t="s">
        <v>22</v>
      </c>
      <c r="BZ601" s="41">
        <v>500</v>
      </c>
      <c r="CA601" s="41">
        <v>500</v>
      </c>
      <c r="CB601" t="s">
        <v>977</v>
      </c>
      <c r="CC601" t="s">
        <v>1009</v>
      </c>
      <c r="CE601" s="41">
        <f t="shared" si="325"/>
        <v>8.9144616903239005</v>
      </c>
      <c r="CF601" s="41" t="e">
        <f t="shared" si="326"/>
        <v>#VALUE!</v>
      </c>
      <c r="CG601" s="41">
        <f t="shared" si="327"/>
        <v>6100</v>
      </c>
      <c r="CH601" s="41">
        <f t="shared" si="328"/>
        <v>3.7853298350107671</v>
      </c>
      <c r="CI601" s="41">
        <f t="shared" si="329"/>
        <v>6100</v>
      </c>
      <c r="CJ601" s="41">
        <f t="shared" si="330"/>
        <v>3.7853298350107671</v>
      </c>
      <c r="CL601" s="9" t="s">
        <v>1268</v>
      </c>
      <c r="CM601" s="18" t="s">
        <v>1283</v>
      </c>
      <c r="CN601" s="54">
        <v>2.6989700043360099</v>
      </c>
      <c r="CO601" s="18" t="s">
        <v>1286</v>
      </c>
    </row>
    <row r="602" spans="1:93" s="9" customFormat="1" x14ac:dyDescent="0.25">
      <c r="A602" s="9" t="s">
        <v>141</v>
      </c>
      <c r="B602" s="50" t="s">
        <v>22</v>
      </c>
      <c r="C602" s="50">
        <f>(10^-3)*N602/O602</f>
        <v>0.41852491097224948</v>
      </c>
      <c r="D602" s="50" t="s">
        <v>22</v>
      </c>
      <c r="E602" s="50" t="s">
        <v>22</v>
      </c>
      <c r="F602" s="9" t="s">
        <v>22</v>
      </c>
      <c r="G602" s="9" t="s">
        <v>22</v>
      </c>
      <c r="H602" s="9" t="s">
        <v>22</v>
      </c>
      <c r="I602" s="9" t="s">
        <v>22</v>
      </c>
      <c r="J602" s="50" t="s">
        <v>22</v>
      </c>
      <c r="K602" s="9" t="s">
        <v>22</v>
      </c>
      <c r="L602" s="50" t="e">
        <f t="shared" ref="L602:L620" si="331">IF((10^-12)*J602*K602^4=0,"",(10^-12)*J602*K602^4)</f>
        <v>#VALUE!</v>
      </c>
      <c r="M602" s="9" t="s">
        <v>23</v>
      </c>
      <c r="N602" s="50">
        <v>302.33739837398298</v>
      </c>
      <c r="O602" s="50">
        <v>0.722388059701492</v>
      </c>
      <c r="P602" s="50" t="s">
        <v>22</v>
      </c>
      <c r="Q602" s="50"/>
      <c r="R602" s="50" t="s">
        <v>22</v>
      </c>
      <c r="S602" s="50" t="s">
        <v>22</v>
      </c>
      <c r="T602" s="50" t="s">
        <v>22</v>
      </c>
      <c r="U602" s="50" t="s">
        <v>22</v>
      </c>
      <c r="V602" s="9">
        <v>20200716</v>
      </c>
      <c r="W602" s="21" t="s">
        <v>1072</v>
      </c>
      <c r="X602" s="21">
        <v>2012</v>
      </c>
      <c r="Y602" s="9" t="s">
        <v>76</v>
      </c>
      <c r="Z602" s="9" t="s">
        <v>32</v>
      </c>
      <c r="AB602" s="50"/>
      <c r="AC602" s="9" t="s">
        <v>514</v>
      </c>
      <c r="AD602" s="50">
        <v>44</v>
      </c>
      <c r="AE602" s="50" t="s">
        <v>22</v>
      </c>
      <c r="AF602" s="50" t="s">
        <v>22</v>
      </c>
      <c r="AG602" s="50" t="s">
        <v>22</v>
      </c>
      <c r="AH602" s="50" t="s">
        <v>22</v>
      </c>
      <c r="AI602" s="50" t="s">
        <v>22</v>
      </c>
      <c r="AJ602" s="50" t="s">
        <v>22</v>
      </c>
      <c r="AK602" s="50" t="s">
        <v>22</v>
      </c>
      <c r="AL602" s="50" t="s">
        <v>22</v>
      </c>
      <c r="AM602" s="43" t="e">
        <f t="shared" si="303"/>
        <v>#VALUE!</v>
      </c>
      <c r="AN602" s="43" t="e">
        <f t="shared" si="304"/>
        <v>#VALUE!</v>
      </c>
      <c r="AO602" s="21" t="s">
        <v>1071</v>
      </c>
      <c r="AT602" s="2">
        <f t="shared" si="305"/>
        <v>4</v>
      </c>
      <c r="AU602" s="45" t="e">
        <f t="shared" si="306"/>
        <v>#VALUE!</v>
      </c>
      <c r="AV602" s="45">
        <f t="shared" si="307"/>
        <v>-0.37827868731035996</v>
      </c>
      <c r="AW602" s="45" t="e">
        <f t="shared" si="308"/>
        <v>#VALUE!</v>
      </c>
      <c r="AX602" s="45">
        <f t="shared" si="309"/>
        <v>2.4804918716332258</v>
      </c>
      <c r="AY602" s="45">
        <f t="shared" si="310"/>
        <v>-0.14122944105641427</v>
      </c>
      <c r="AZ602" s="45" t="e">
        <f t="shared" si="311"/>
        <v>#VALUE!</v>
      </c>
      <c r="BA602" s="45" t="e">
        <f t="shared" si="312"/>
        <v>#VALUE!</v>
      </c>
      <c r="BB602" s="45" t="e">
        <f t="shared" si="313"/>
        <v>#VALUE!</v>
      </c>
      <c r="BC602" s="45" t="e">
        <f t="shared" si="314"/>
        <v>#VALUE!</v>
      </c>
      <c r="BD602" s="45">
        <f t="shared" si="315"/>
        <v>1.6434526764861874</v>
      </c>
      <c r="BE602" s="45" t="e">
        <f t="shared" si="316"/>
        <v>#VALUE!</v>
      </c>
      <c r="BF602" s="45" t="e">
        <f t="shared" si="317"/>
        <v>#VALUE!</v>
      </c>
      <c r="BG602" s="45" t="e">
        <f t="shared" si="318"/>
        <v>#VALUE!</v>
      </c>
      <c r="BH602" s="45" t="e">
        <f t="shared" si="319"/>
        <v>#NUM!</v>
      </c>
      <c r="BI602" s="43" t="e">
        <f t="shared" si="320"/>
        <v>#VALUE!</v>
      </c>
      <c r="BL602" s="20"/>
      <c r="BM602" s="50"/>
      <c r="BN602" s="50"/>
      <c r="BO602" s="50"/>
      <c r="BP602" s="50"/>
      <c r="BQ602" s="50"/>
      <c r="BR602" s="50"/>
      <c r="BU602" s="50"/>
      <c r="BV602" s="50"/>
      <c r="BW602" s="50"/>
      <c r="BX602" s="50"/>
      <c r="BY602" s="50"/>
      <c r="BZ602" s="50"/>
      <c r="CA602" s="50" t="s">
        <v>22</v>
      </c>
      <c r="CE602" s="50"/>
      <c r="CF602" s="50"/>
      <c r="CG602" s="50"/>
      <c r="CH602" s="50"/>
      <c r="CI602" s="50" t="str">
        <f t="shared" si="329"/>
        <v>Not Reported/ Can not calculate</v>
      </c>
      <c r="CJ602" s="50" t="e">
        <f t="shared" si="330"/>
        <v>#VALUE!</v>
      </c>
      <c r="CL602" s="9" t="s">
        <v>1269</v>
      </c>
      <c r="CM602" s="9" t="s">
        <v>1284</v>
      </c>
      <c r="CN602" s="55" t="s">
        <v>1284</v>
      </c>
      <c r="CO602" s="9" t="s">
        <v>1284</v>
      </c>
    </row>
    <row r="603" spans="1:93" s="9" customFormat="1" x14ac:dyDescent="0.25">
      <c r="A603" s="9" t="s">
        <v>141</v>
      </c>
      <c r="B603" s="50" t="s">
        <v>22</v>
      </c>
      <c r="C603" s="50">
        <f>(10^-3)*N603/O603</f>
        <v>0.49578686113494153</v>
      </c>
      <c r="D603" s="50" t="s">
        <v>22</v>
      </c>
      <c r="E603" s="50" t="s">
        <v>22</v>
      </c>
      <c r="F603" s="9" t="s">
        <v>22</v>
      </c>
      <c r="G603" s="9" t="s">
        <v>22</v>
      </c>
      <c r="H603" s="9" t="s">
        <v>22</v>
      </c>
      <c r="I603" s="9" t="s">
        <v>22</v>
      </c>
      <c r="J603" s="50" t="s">
        <v>22</v>
      </c>
      <c r="K603" s="9" t="s">
        <v>22</v>
      </c>
      <c r="L603" s="50" t="e">
        <f t="shared" si="331"/>
        <v>#VALUE!</v>
      </c>
      <c r="M603" s="9" t="s">
        <v>23</v>
      </c>
      <c r="N603" s="50">
        <v>147.25609756097501</v>
      </c>
      <c r="O603" s="50">
        <v>0.29701492537313401</v>
      </c>
      <c r="P603" s="50" t="s">
        <v>22</v>
      </c>
      <c r="Q603" s="50"/>
      <c r="R603" s="50" t="s">
        <v>22</v>
      </c>
      <c r="S603" s="50" t="s">
        <v>22</v>
      </c>
      <c r="T603" s="50" t="s">
        <v>22</v>
      </c>
      <c r="U603" s="50" t="s">
        <v>22</v>
      </c>
      <c r="V603" s="9">
        <v>20200716</v>
      </c>
      <c r="W603" s="21" t="s">
        <v>1072</v>
      </c>
      <c r="X603" s="21">
        <v>2012</v>
      </c>
      <c r="Y603" s="9" t="s">
        <v>76</v>
      </c>
      <c r="Z603" s="9" t="s">
        <v>40</v>
      </c>
      <c r="AB603" s="50"/>
      <c r="AC603" s="9" t="s">
        <v>514</v>
      </c>
      <c r="AD603" s="50">
        <v>397</v>
      </c>
      <c r="AE603" s="50" t="s">
        <v>22</v>
      </c>
      <c r="AF603" s="50" t="s">
        <v>22</v>
      </c>
      <c r="AG603" s="50" t="s">
        <v>22</v>
      </c>
      <c r="AH603" s="50" t="s">
        <v>22</v>
      </c>
      <c r="AI603" s="50" t="s">
        <v>22</v>
      </c>
      <c r="AJ603" s="50" t="s">
        <v>22</v>
      </c>
      <c r="AK603" s="50" t="s">
        <v>22</v>
      </c>
      <c r="AL603" s="50" t="s">
        <v>22</v>
      </c>
      <c r="AM603" s="43" t="e">
        <f t="shared" si="303"/>
        <v>#VALUE!</v>
      </c>
      <c r="AN603" s="43" t="e">
        <f t="shared" si="304"/>
        <v>#VALUE!</v>
      </c>
      <c r="AO603" s="21" t="s">
        <v>1071</v>
      </c>
      <c r="AT603" s="2">
        <f t="shared" si="305"/>
        <v>4</v>
      </c>
      <c r="AU603" s="45" t="e">
        <f t="shared" si="306"/>
        <v>#VALUE!</v>
      </c>
      <c r="AV603" s="45">
        <f t="shared" si="307"/>
        <v>-0.30470498666904844</v>
      </c>
      <c r="AW603" s="45" t="e">
        <f t="shared" si="308"/>
        <v>#VALUE!</v>
      </c>
      <c r="AX603" s="45">
        <f t="shared" si="309"/>
        <v>2.1680732870398312</v>
      </c>
      <c r="AY603" s="45">
        <f t="shared" si="310"/>
        <v>-0.5272217262911203</v>
      </c>
      <c r="AZ603" s="45" t="e">
        <f t="shared" si="311"/>
        <v>#VALUE!</v>
      </c>
      <c r="BA603" s="45" t="e">
        <f t="shared" si="312"/>
        <v>#VALUE!</v>
      </c>
      <c r="BB603" s="45" t="e">
        <f t="shared" si="313"/>
        <v>#VALUE!</v>
      </c>
      <c r="BC603" s="45" t="e">
        <f t="shared" si="314"/>
        <v>#VALUE!</v>
      </c>
      <c r="BD603" s="45">
        <f t="shared" si="315"/>
        <v>2.5987905067631152</v>
      </c>
      <c r="BE603" s="45" t="e">
        <f t="shared" si="316"/>
        <v>#VALUE!</v>
      </c>
      <c r="BF603" s="45" t="e">
        <f t="shared" si="317"/>
        <v>#VALUE!</v>
      </c>
      <c r="BG603" s="45" t="e">
        <f t="shared" si="318"/>
        <v>#VALUE!</v>
      </c>
      <c r="BH603" s="45" t="e">
        <f t="shared" si="319"/>
        <v>#NUM!</v>
      </c>
      <c r="BI603" s="43" t="e">
        <f t="shared" si="320"/>
        <v>#VALUE!</v>
      </c>
      <c r="BL603" s="20"/>
      <c r="BM603" s="50"/>
      <c r="BN603" s="50"/>
      <c r="BO603" s="50"/>
      <c r="BP603" s="50"/>
      <c r="BQ603" s="50"/>
      <c r="BR603" s="50"/>
      <c r="BU603" s="50"/>
      <c r="BV603" s="50"/>
      <c r="BW603" s="50"/>
      <c r="BX603" s="50"/>
      <c r="BY603" s="50"/>
      <c r="BZ603" s="50"/>
      <c r="CA603" s="50" t="s">
        <v>22</v>
      </c>
      <c r="CE603" s="50"/>
      <c r="CF603" s="50"/>
      <c r="CG603" s="50"/>
      <c r="CH603" s="50"/>
      <c r="CI603" s="50" t="str">
        <f t="shared" si="329"/>
        <v>Not Reported/ Can not calculate</v>
      </c>
      <c r="CJ603" s="50" t="e">
        <f t="shared" si="330"/>
        <v>#VALUE!</v>
      </c>
      <c r="CL603" s="9" t="s">
        <v>1269</v>
      </c>
      <c r="CM603" s="9" t="s">
        <v>1284</v>
      </c>
      <c r="CN603" s="55" t="s">
        <v>1284</v>
      </c>
      <c r="CO603" s="9" t="s">
        <v>1284</v>
      </c>
    </row>
    <row r="604" spans="1:93" s="9" customFormat="1" x14ac:dyDescent="0.25">
      <c r="A604" s="9" t="s">
        <v>141</v>
      </c>
      <c r="B604" s="50" t="s">
        <v>22</v>
      </c>
      <c r="C604" s="50">
        <f>(10^-3)*N604/O604</f>
        <v>0.55951749734888501</v>
      </c>
      <c r="D604" s="50" t="s">
        <v>22</v>
      </c>
      <c r="E604" s="50" t="s">
        <v>22</v>
      </c>
      <c r="F604" s="9" t="s">
        <v>22</v>
      </c>
      <c r="G604" s="9" t="s">
        <v>22</v>
      </c>
      <c r="H604" s="9" t="s">
        <v>22</v>
      </c>
      <c r="I604" s="9" t="s">
        <v>22</v>
      </c>
      <c r="J604" s="50" t="s">
        <v>22</v>
      </c>
      <c r="K604" s="9" t="s">
        <v>22</v>
      </c>
      <c r="L604" s="50" t="e">
        <f t="shared" si="331"/>
        <v>#VALUE!</v>
      </c>
      <c r="M604" s="9" t="s">
        <v>23</v>
      </c>
      <c r="N604" s="50">
        <v>153.658536585365</v>
      </c>
      <c r="O604" s="50">
        <v>0.27462686567164102</v>
      </c>
      <c r="P604" s="50" t="s">
        <v>22</v>
      </c>
      <c r="Q604" s="50"/>
      <c r="R604" s="50" t="s">
        <v>22</v>
      </c>
      <c r="S604" s="50" t="s">
        <v>22</v>
      </c>
      <c r="T604" s="50" t="s">
        <v>22</v>
      </c>
      <c r="U604" s="50" t="s">
        <v>22</v>
      </c>
      <c r="V604" s="9">
        <v>20200716</v>
      </c>
      <c r="W604" s="21" t="s">
        <v>1072</v>
      </c>
      <c r="X604" s="21">
        <v>2012</v>
      </c>
      <c r="Y604" s="9" t="s">
        <v>76</v>
      </c>
      <c r="Z604" s="9" t="s">
        <v>40</v>
      </c>
      <c r="AB604" s="50"/>
      <c r="AC604" s="9" t="s">
        <v>514</v>
      </c>
      <c r="AD604" s="50">
        <v>427</v>
      </c>
      <c r="AE604" s="50" t="s">
        <v>22</v>
      </c>
      <c r="AF604" s="50" t="s">
        <v>22</v>
      </c>
      <c r="AG604" s="50" t="s">
        <v>22</v>
      </c>
      <c r="AH604" s="50" t="s">
        <v>22</v>
      </c>
      <c r="AI604" s="50" t="s">
        <v>22</v>
      </c>
      <c r="AJ604" s="50" t="s">
        <v>22</v>
      </c>
      <c r="AK604" s="50" t="s">
        <v>22</v>
      </c>
      <c r="AL604" s="50" t="s">
        <v>22</v>
      </c>
      <c r="AM604" s="43" t="e">
        <f t="shared" si="303"/>
        <v>#VALUE!</v>
      </c>
      <c r="AN604" s="43" t="e">
        <f t="shared" si="304"/>
        <v>#VALUE!</v>
      </c>
      <c r="AO604" s="21" t="s">
        <v>1071</v>
      </c>
      <c r="AT604" s="2">
        <f t="shared" si="305"/>
        <v>4</v>
      </c>
      <c r="AU604" s="45" t="e">
        <f t="shared" si="306"/>
        <v>#VALUE!</v>
      </c>
      <c r="AV604" s="45">
        <f t="shared" si="307"/>
        <v>-0.25218632757486498</v>
      </c>
      <c r="AW604" s="45" t="e">
        <f t="shared" si="308"/>
        <v>#VALUE!</v>
      </c>
      <c r="AX604" s="45">
        <f t="shared" si="309"/>
        <v>2.186556692733844</v>
      </c>
      <c r="AY604" s="45">
        <f t="shared" si="310"/>
        <v>-0.56125697969129118</v>
      </c>
      <c r="AZ604" s="45" t="e">
        <f t="shared" si="311"/>
        <v>#VALUE!</v>
      </c>
      <c r="BA604" s="45" t="e">
        <f t="shared" si="312"/>
        <v>#VALUE!</v>
      </c>
      <c r="BB604" s="45" t="e">
        <f t="shared" si="313"/>
        <v>#VALUE!</v>
      </c>
      <c r="BC604" s="45" t="e">
        <f t="shared" si="314"/>
        <v>#VALUE!</v>
      </c>
      <c r="BD604" s="45">
        <f t="shared" si="315"/>
        <v>2.6304278750250241</v>
      </c>
      <c r="BE604" s="45" t="e">
        <f t="shared" si="316"/>
        <v>#VALUE!</v>
      </c>
      <c r="BF604" s="45" t="e">
        <f t="shared" si="317"/>
        <v>#VALUE!</v>
      </c>
      <c r="BG604" s="45" t="e">
        <f t="shared" si="318"/>
        <v>#VALUE!</v>
      </c>
      <c r="BH604" s="45" t="e">
        <f t="shared" si="319"/>
        <v>#NUM!</v>
      </c>
      <c r="BI604" s="43" t="e">
        <f t="shared" si="320"/>
        <v>#VALUE!</v>
      </c>
      <c r="BL604" s="20"/>
      <c r="BM604" s="50"/>
      <c r="BN604" s="50"/>
      <c r="BO604" s="50"/>
      <c r="BP604" s="50"/>
      <c r="BQ604" s="50"/>
      <c r="BR604" s="50"/>
      <c r="BU604" s="50"/>
      <c r="BV604" s="50"/>
      <c r="BW604" s="50"/>
      <c r="BX604" s="50"/>
      <c r="BY604" s="50"/>
      <c r="BZ604" s="50"/>
      <c r="CA604" s="50" t="s">
        <v>22</v>
      </c>
      <c r="CE604" s="50"/>
      <c r="CF604" s="50"/>
      <c r="CG604" s="50"/>
      <c r="CH604" s="50"/>
      <c r="CI604" s="50" t="str">
        <f t="shared" si="329"/>
        <v>Not Reported/ Can not calculate</v>
      </c>
      <c r="CJ604" s="50" t="e">
        <f t="shared" si="330"/>
        <v>#VALUE!</v>
      </c>
      <c r="CL604" s="9" t="s">
        <v>1269</v>
      </c>
      <c r="CM604" s="9" t="s">
        <v>1284</v>
      </c>
      <c r="CN604" s="55" t="s">
        <v>1284</v>
      </c>
      <c r="CO604" s="9" t="s">
        <v>1284</v>
      </c>
    </row>
    <row r="605" spans="1:93" s="9" customFormat="1" x14ac:dyDescent="0.25">
      <c r="A605" s="9" t="s">
        <v>141</v>
      </c>
      <c r="B605" s="50" t="s">
        <v>22</v>
      </c>
      <c r="C605" s="50">
        <f>(10^-3)*N605/O605</f>
        <v>0.57772850455777325</v>
      </c>
      <c r="D605" s="50" t="s">
        <v>22</v>
      </c>
      <c r="E605" s="50" t="s">
        <v>22</v>
      </c>
      <c r="F605" s="9" t="s">
        <v>22</v>
      </c>
      <c r="G605" s="9" t="s">
        <v>22</v>
      </c>
      <c r="H605" s="9" t="s">
        <v>22</v>
      </c>
      <c r="I605" s="9" t="s">
        <v>22</v>
      </c>
      <c r="J605" s="50" t="s">
        <v>22</v>
      </c>
      <c r="K605" s="9" t="s">
        <v>22</v>
      </c>
      <c r="L605" s="50" t="e">
        <f t="shared" si="331"/>
        <v>#VALUE!</v>
      </c>
      <c r="M605" s="9" t="s">
        <v>23</v>
      </c>
      <c r="N605" s="50">
        <v>170.73170731707299</v>
      </c>
      <c r="O605" s="50">
        <v>0.29552238805970099</v>
      </c>
      <c r="P605" s="50" t="s">
        <v>22</v>
      </c>
      <c r="Q605" s="50"/>
      <c r="R605" s="50" t="s">
        <v>22</v>
      </c>
      <c r="S605" s="50" t="s">
        <v>22</v>
      </c>
      <c r="T605" s="50" t="s">
        <v>22</v>
      </c>
      <c r="U605" s="50" t="s">
        <v>22</v>
      </c>
      <c r="V605" s="9">
        <v>20200716</v>
      </c>
      <c r="W605" s="21" t="s">
        <v>1072</v>
      </c>
      <c r="X605" s="9">
        <v>2012</v>
      </c>
      <c r="Y605" s="9" t="s">
        <v>76</v>
      </c>
      <c r="Z605" s="9" t="s">
        <v>40</v>
      </c>
      <c r="AB605" s="50"/>
      <c r="AC605" s="9" t="s">
        <v>514</v>
      </c>
      <c r="AD605" s="50">
        <v>601</v>
      </c>
      <c r="AE605" s="50" t="s">
        <v>22</v>
      </c>
      <c r="AF605" s="50" t="s">
        <v>22</v>
      </c>
      <c r="AG605" s="50" t="s">
        <v>22</v>
      </c>
      <c r="AH605" s="50" t="s">
        <v>22</v>
      </c>
      <c r="AI605" s="50" t="s">
        <v>22</v>
      </c>
      <c r="AJ605" s="50" t="s">
        <v>22</v>
      </c>
      <c r="AK605" s="50" t="s">
        <v>22</v>
      </c>
      <c r="AL605" s="50" t="s">
        <v>22</v>
      </c>
      <c r="AM605" s="43" t="e">
        <f t="shared" si="303"/>
        <v>#VALUE!</v>
      </c>
      <c r="AN605" s="43" t="e">
        <f t="shared" si="304"/>
        <v>#VALUE!</v>
      </c>
      <c r="AO605" s="21" t="s">
        <v>1071</v>
      </c>
      <c r="AT605" s="2">
        <f t="shared" si="305"/>
        <v>4</v>
      </c>
      <c r="AU605" s="45" t="e">
        <f t="shared" si="306"/>
        <v>#VALUE!</v>
      </c>
      <c r="AV605" s="45">
        <f t="shared" si="307"/>
        <v>-0.23827620426618304</v>
      </c>
      <c r="AW605" s="45" t="e">
        <f t="shared" si="308"/>
        <v>#VALUE!</v>
      </c>
      <c r="AX605" s="45">
        <f t="shared" si="309"/>
        <v>2.232314183294521</v>
      </c>
      <c r="AY605" s="45">
        <f t="shared" si="310"/>
        <v>-0.52940961243929607</v>
      </c>
      <c r="AZ605" s="45" t="e">
        <f t="shared" si="311"/>
        <v>#VALUE!</v>
      </c>
      <c r="BA605" s="45" t="e">
        <f t="shared" si="312"/>
        <v>#VALUE!</v>
      </c>
      <c r="BB605" s="45" t="e">
        <f t="shared" si="313"/>
        <v>#VALUE!</v>
      </c>
      <c r="BC605" s="45" t="e">
        <f t="shared" si="314"/>
        <v>#VALUE!</v>
      </c>
      <c r="BD605" s="45">
        <f t="shared" si="315"/>
        <v>2.7788744720027396</v>
      </c>
      <c r="BE605" s="45" t="e">
        <f t="shared" si="316"/>
        <v>#VALUE!</v>
      </c>
      <c r="BF605" s="45" t="e">
        <f t="shared" si="317"/>
        <v>#VALUE!</v>
      </c>
      <c r="BG605" s="45" t="e">
        <f t="shared" si="318"/>
        <v>#VALUE!</v>
      </c>
      <c r="BH605" s="45" t="e">
        <f t="shared" si="319"/>
        <v>#NUM!</v>
      </c>
      <c r="BI605" s="43" t="e">
        <f t="shared" si="320"/>
        <v>#VALUE!</v>
      </c>
      <c r="BL605" s="20"/>
      <c r="BM605" s="50"/>
      <c r="BN605" s="50"/>
      <c r="BO605" s="50"/>
      <c r="BP605" s="50"/>
      <c r="BQ605" s="50"/>
      <c r="BR605" s="50"/>
      <c r="BU605" s="50"/>
      <c r="BV605" s="50"/>
      <c r="BW605" s="50"/>
      <c r="BX605" s="50"/>
      <c r="BY605" s="50"/>
      <c r="BZ605" s="50"/>
      <c r="CA605" s="50" t="s">
        <v>22</v>
      </c>
      <c r="CE605" s="50"/>
      <c r="CF605" s="50"/>
      <c r="CG605" s="50"/>
      <c r="CH605" s="50"/>
      <c r="CI605" s="50" t="str">
        <f t="shared" si="329"/>
        <v>Not Reported/ Can not calculate</v>
      </c>
      <c r="CJ605" s="50" t="e">
        <f t="shared" si="330"/>
        <v>#VALUE!</v>
      </c>
      <c r="CL605" s="9" t="s">
        <v>1269</v>
      </c>
      <c r="CM605" s="9" t="s">
        <v>1284</v>
      </c>
      <c r="CN605" s="55" t="s">
        <v>1284</v>
      </c>
      <c r="CO605" s="9" t="s">
        <v>1284</v>
      </c>
    </row>
    <row r="606" spans="1:93" x14ac:dyDescent="0.25">
      <c r="A606" t="s">
        <v>315</v>
      </c>
      <c r="B606" s="41">
        <v>2.10277623510686E-3</v>
      </c>
      <c r="C606" s="41">
        <v>0.25164575949983098</v>
      </c>
      <c r="D606" s="41">
        <f t="shared" ref="D606:D619" si="332">0.001*(B606*10^6)/(C606*0.001*100^3)</f>
        <v>8.3560964400366637E-3</v>
      </c>
      <c r="E606" s="41" t="s">
        <v>22</v>
      </c>
      <c r="F606" t="s">
        <v>22</v>
      </c>
      <c r="G606" t="s">
        <v>22</v>
      </c>
      <c r="H606" t="s">
        <v>22</v>
      </c>
      <c r="I606" t="s">
        <v>22</v>
      </c>
      <c r="J606" s="41">
        <f t="shared" ref="J606:J613" si="333">0.19^-1</f>
        <v>5.2631578947368425</v>
      </c>
      <c r="K606">
        <v>532</v>
      </c>
      <c r="L606" s="41">
        <f t="shared" si="331"/>
        <v>0.42159255040000004</v>
      </c>
      <c r="M606" t="s">
        <v>23</v>
      </c>
      <c r="N606" s="41">
        <v>10.2078278433414</v>
      </c>
      <c r="O606" s="41">
        <f t="shared" ref="O606:O617" si="334">0.001*N606/C606</f>
        <v>4.0564275208254633E-2</v>
      </c>
      <c r="P606" s="41" t="s">
        <v>22</v>
      </c>
      <c r="R606" s="41">
        <f t="shared" ref="R606:R618" si="335">N606*B606</f>
        <v>2.1464777801040408E-2</v>
      </c>
      <c r="S606" s="41">
        <f t="shared" ref="S606:S618" si="336">O606*D606</f>
        <v>3.3895899566036404E-4</v>
      </c>
      <c r="T606" s="41" t="s">
        <v>22</v>
      </c>
      <c r="U606" s="41" t="s">
        <v>22</v>
      </c>
      <c r="V606">
        <v>20200511</v>
      </c>
      <c r="W606" s="16" t="s">
        <v>289</v>
      </c>
      <c r="X606" s="18">
        <v>2013</v>
      </c>
      <c r="Y606" t="s">
        <v>328</v>
      </c>
      <c r="Z606" t="s">
        <v>290</v>
      </c>
      <c r="AC606" t="s">
        <v>269</v>
      </c>
      <c r="AD606" s="41" t="s">
        <v>22</v>
      </c>
      <c r="AE606" s="41" t="s">
        <v>22</v>
      </c>
      <c r="AF606" s="41" t="s">
        <v>22</v>
      </c>
      <c r="AG606" s="41" t="s">
        <v>22</v>
      </c>
      <c r="AH606" s="41" t="s">
        <v>22</v>
      </c>
      <c r="AI606" s="41" t="s">
        <v>22</v>
      </c>
      <c r="AJ606" s="41" t="s">
        <v>22</v>
      </c>
      <c r="AK606" s="41" t="s">
        <v>22</v>
      </c>
      <c r="AL606" s="41" t="s">
        <v>22</v>
      </c>
      <c r="AM606" s="43" t="e">
        <f t="shared" si="303"/>
        <v>#VALUE!</v>
      </c>
      <c r="AN606" s="43" t="e">
        <f t="shared" si="304"/>
        <v>#VALUE!</v>
      </c>
      <c r="AO606" s="3" t="s">
        <v>291</v>
      </c>
      <c r="AT606" s="2">
        <f t="shared" si="305"/>
        <v>12</v>
      </c>
      <c r="AU606" s="45">
        <f t="shared" si="306"/>
        <v>-2.6772069398808691</v>
      </c>
      <c r="AV606" s="45">
        <f t="shared" si="307"/>
        <v>-0.59921038353165601</v>
      </c>
      <c r="AW606" s="45">
        <f t="shared" si="308"/>
        <v>-2.0779965563492131</v>
      </c>
      <c r="AX606" s="45">
        <f t="shared" si="309"/>
        <v>1.0089333369925528</v>
      </c>
      <c r="AY606" s="45">
        <f t="shared" si="310"/>
        <v>-1.3918562794757909</v>
      </c>
      <c r="AZ606" s="45" t="e">
        <f t="shared" si="311"/>
        <v>#VALUE!</v>
      </c>
      <c r="BA606" s="45">
        <f t="shared" si="312"/>
        <v>0.72124639904717103</v>
      </c>
      <c r="BB606" s="45">
        <f t="shared" si="313"/>
        <v>-0.37510707177263619</v>
      </c>
      <c r="BC606" s="45" t="e">
        <f t="shared" si="314"/>
        <v>#VALUE!</v>
      </c>
      <c r="BD606" s="45" t="e">
        <f t="shared" si="315"/>
        <v>#VALUE!</v>
      </c>
      <c r="BE606" s="45" t="e">
        <f t="shared" si="316"/>
        <v>#VALUE!</v>
      </c>
      <c r="BF606" s="45" t="e">
        <f t="shared" si="317"/>
        <v>#VALUE!</v>
      </c>
      <c r="BG606" s="45" t="e">
        <f t="shared" si="318"/>
        <v>#VALUE!</v>
      </c>
      <c r="BH606" s="45" t="e">
        <f t="shared" si="319"/>
        <v>#NUM!</v>
      </c>
      <c r="BI606" s="43" t="e">
        <f t="shared" si="320"/>
        <v>#VALUE!</v>
      </c>
      <c r="CA606" s="41" t="s">
        <v>22</v>
      </c>
      <c r="CC606" t="s">
        <v>22</v>
      </c>
      <c r="CE606" s="41" t="s">
        <v>22</v>
      </c>
      <c r="CF606" s="41" t="s">
        <v>22</v>
      </c>
      <c r="CG606" s="41" t="e">
        <f t="shared" ref="CG606:CG620" si="337">AD606*1000</f>
        <v>#VALUE!</v>
      </c>
      <c r="CH606" s="41" t="e">
        <f t="shared" ref="CH606:CH620" si="338">LOG10(CG606)</f>
        <v>#VALUE!</v>
      </c>
      <c r="CI606" s="41" t="str">
        <f t="shared" ref="CI606:CI620" si="339">IF(ISNUMBER(CG606),CG606,U606)</f>
        <v>Not Reported/ Can not calculate</v>
      </c>
      <c r="CJ606" s="41" t="e">
        <f t="shared" ref="CJ606:CJ620" si="340">LOG10(CI606)</f>
        <v>#VALUE!</v>
      </c>
      <c r="CL606" s="9" t="s">
        <v>1269</v>
      </c>
      <c r="CM606" s="18" t="s">
        <v>1284</v>
      </c>
      <c r="CN606" s="54" t="s">
        <v>1284</v>
      </c>
      <c r="CO606" s="18" t="s">
        <v>1284</v>
      </c>
    </row>
    <row r="607" spans="1:93" x14ac:dyDescent="0.25">
      <c r="A607" t="s">
        <v>315</v>
      </c>
      <c r="B607" s="41">
        <v>2.7205443688058501E-3</v>
      </c>
      <c r="C607" s="41">
        <v>0.32087701318554201</v>
      </c>
      <c r="D607" s="41">
        <f t="shared" si="332"/>
        <v>8.4784645113632328E-3</v>
      </c>
      <c r="E607" s="41" t="s">
        <v>22</v>
      </c>
      <c r="F607" t="s">
        <v>22</v>
      </c>
      <c r="G607" t="s">
        <v>22</v>
      </c>
      <c r="H607" t="s">
        <v>22</v>
      </c>
      <c r="I607" t="s">
        <v>22</v>
      </c>
      <c r="J607" s="41">
        <f t="shared" si="333"/>
        <v>5.2631578947368425</v>
      </c>
      <c r="K607">
        <v>532</v>
      </c>
      <c r="L607" s="41">
        <f t="shared" si="331"/>
        <v>0.42159255040000004</v>
      </c>
      <c r="M607" t="s">
        <v>23</v>
      </c>
      <c r="N607" s="41">
        <v>16.186816397566002</v>
      </c>
      <c r="O607" s="41">
        <f t="shared" si="334"/>
        <v>5.0445546836993996E-2</v>
      </c>
      <c r="P607" s="41" t="s">
        <v>22</v>
      </c>
      <c r="R607" s="41">
        <f t="shared" si="335"/>
        <v>4.4036952199292385E-2</v>
      </c>
      <c r="S607" s="41">
        <f t="shared" si="336"/>
        <v>4.2770077861376536E-4</v>
      </c>
      <c r="T607" s="41" t="s">
        <v>22</v>
      </c>
      <c r="U607" s="41" t="s">
        <v>22</v>
      </c>
      <c r="V607">
        <v>20200511</v>
      </c>
      <c r="W607" s="16" t="s">
        <v>289</v>
      </c>
      <c r="X607" s="18">
        <v>2013</v>
      </c>
      <c r="Y607" t="s">
        <v>328</v>
      </c>
      <c r="Z607" t="s">
        <v>290</v>
      </c>
      <c r="AC607" t="s">
        <v>269</v>
      </c>
      <c r="AD607" s="41" t="s">
        <v>22</v>
      </c>
      <c r="AE607" s="41" t="s">
        <v>22</v>
      </c>
      <c r="AF607" s="41" t="s">
        <v>22</v>
      </c>
      <c r="AG607" s="41" t="s">
        <v>22</v>
      </c>
      <c r="AH607" s="41" t="s">
        <v>22</v>
      </c>
      <c r="AI607" s="41" t="s">
        <v>22</v>
      </c>
      <c r="AJ607" s="41" t="s">
        <v>22</v>
      </c>
      <c r="AK607" s="41" t="s">
        <v>22</v>
      </c>
      <c r="AL607" s="41" t="s">
        <v>22</v>
      </c>
      <c r="AM607" s="43" t="e">
        <f t="shared" si="303"/>
        <v>#VALUE!</v>
      </c>
      <c r="AN607" s="43" t="e">
        <f t="shared" si="304"/>
        <v>#VALUE!</v>
      </c>
      <c r="AO607" s="3" t="s">
        <v>291</v>
      </c>
      <c r="AT607" s="2">
        <f t="shared" si="305"/>
        <v>12</v>
      </c>
      <c r="AU607" s="45">
        <f t="shared" si="306"/>
        <v>-2.5653441868797748</v>
      </c>
      <c r="AV607" s="45">
        <f t="shared" si="307"/>
        <v>-0.49366139354409444</v>
      </c>
      <c r="AW607" s="45">
        <f t="shared" si="308"/>
        <v>-2.0716827933356803</v>
      </c>
      <c r="AX607" s="45">
        <f t="shared" si="309"/>
        <v>1.2091614406664799</v>
      </c>
      <c r="AY607" s="45">
        <f t="shared" si="310"/>
        <v>-1.2971771657894258</v>
      </c>
      <c r="AZ607" s="45" t="e">
        <f t="shared" si="311"/>
        <v>#VALUE!</v>
      </c>
      <c r="BA607" s="45">
        <f t="shared" si="312"/>
        <v>0.72124639904717103</v>
      </c>
      <c r="BB607" s="45">
        <f t="shared" si="313"/>
        <v>-0.37510707177263619</v>
      </c>
      <c r="BC607" s="45" t="e">
        <f t="shared" si="314"/>
        <v>#VALUE!</v>
      </c>
      <c r="BD607" s="45" t="e">
        <f t="shared" si="315"/>
        <v>#VALUE!</v>
      </c>
      <c r="BE607" s="45" t="e">
        <f t="shared" si="316"/>
        <v>#VALUE!</v>
      </c>
      <c r="BF607" s="45" t="e">
        <f t="shared" si="317"/>
        <v>#VALUE!</v>
      </c>
      <c r="BG607" s="45" t="e">
        <f t="shared" si="318"/>
        <v>#VALUE!</v>
      </c>
      <c r="BH607" s="45" t="e">
        <f t="shared" si="319"/>
        <v>#NUM!</v>
      </c>
      <c r="BI607" s="43" t="e">
        <f t="shared" si="320"/>
        <v>#VALUE!</v>
      </c>
      <c r="CA607" s="41" t="s">
        <v>22</v>
      </c>
      <c r="CC607" t="s">
        <v>22</v>
      </c>
      <c r="CE607" s="41" t="s">
        <v>22</v>
      </c>
      <c r="CF607" s="41" t="s">
        <v>22</v>
      </c>
      <c r="CG607" s="41" t="e">
        <f t="shared" si="337"/>
        <v>#VALUE!</v>
      </c>
      <c r="CH607" s="41" t="e">
        <f t="shared" si="338"/>
        <v>#VALUE!</v>
      </c>
      <c r="CI607" s="41" t="str">
        <f t="shared" si="339"/>
        <v>Not Reported/ Can not calculate</v>
      </c>
      <c r="CJ607" s="41" t="e">
        <f t="shared" si="340"/>
        <v>#VALUE!</v>
      </c>
      <c r="CL607" s="9" t="s">
        <v>1269</v>
      </c>
      <c r="CM607" s="18" t="s">
        <v>1284</v>
      </c>
      <c r="CN607" s="54" t="s">
        <v>1284</v>
      </c>
      <c r="CO607" s="18" t="s">
        <v>1284</v>
      </c>
    </row>
    <row r="608" spans="1:93" x14ac:dyDescent="0.25">
      <c r="A608" t="s">
        <v>315</v>
      </c>
      <c r="B608" s="41">
        <v>4.5069992728771699E-3</v>
      </c>
      <c r="C608" s="41">
        <v>0.50172791865384903</v>
      </c>
      <c r="D608" s="41">
        <f t="shared" si="332"/>
        <v>8.9829549150256226E-3</v>
      </c>
      <c r="E608" s="41" t="s">
        <v>22</v>
      </c>
      <c r="F608" t="s">
        <v>22</v>
      </c>
      <c r="G608" t="s">
        <v>22</v>
      </c>
      <c r="H608" t="s">
        <v>22</v>
      </c>
      <c r="I608" t="s">
        <v>22</v>
      </c>
      <c r="J608" s="41">
        <f t="shared" si="333"/>
        <v>5.2631578947368425</v>
      </c>
      <c r="K608">
        <v>532</v>
      </c>
      <c r="L608" s="41">
        <f t="shared" si="331"/>
        <v>0.42159255040000004</v>
      </c>
      <c r="M608" t="s">
        <v>23</v>
      </c>
      <c r="N608" s="41">
        <v>31.1898016997166</v>
      </c>
      <c r="O608" s="41">
        <f t="shared" si="334"/>
        <v>6.2164772060920526E-2</v>
      </c>
      <c r="P608" s="41" t="s">
        <v>22</v>
      </c>
      <c r="R608" s="41">
        <f t="shared" si="335"/>
        <v>0.14057241358180583</v>
      </c>
      <c r="S608" s="41">
        <f t="shared" si="336"/>
        <v>5.5842334472609354E-4</v>
      </c>
      <c r="T608" s="41" t="s">
        <v>22</v>
      </c>
      <c r="U608" s="41" t="s">
        <v>22</v>
      </c>
      <c r="V608">
        <v>20200511</v>
      </c>
      <c r="W608" s="16" t="s">
        <v>289</v>
      </c>
      <c r="X608" s="18">
        <v>2013</v>
      </c>
      <c r="Y608" t="s">
        <v>328</v>
      </c>
      <c r="Z608" t="s">
        <v>292</v>
      </c>
      <c r="AC608" t="s">
        <v>269</v>
      </c>
      <c r="AD608" s="41" t="s">
        <v>22</v>
      </c>
      <c r="AE608" s="41" t="s">
        <v>22</v>
      </c>
      <c r="AF608" s="41" t="s">
        <v>22</v>
      </c>
      <c r="AG608" s="41" t="s">
        <v>22</v>
      </c>
      <c r="AH608" s="41" t="s">
        <v>22</v>
      </c>
      <c r="AI608" s="41" t="s">
        <v>22</v>
      </c>
      <c r="AJ608" s="41" t="s">
        <v>22</v>
      </c>
      <c r="AK608" s="41" t="s">
        <v>22</v>
      </c>
      <c r="AL608" s="41" t="s">
        <v>22</v>
      </c>
      <c r="AM608" s="43" t="e">
        <f t="shared" si="303"/>
        <v>#VALUE!</v>
      </c>
      <c r="AN608" s="43" t="e">
        <f t="shared" si="304"/>
        <v>#VALUE!</v>
      </c>
      <c r="AO608" s="3" t="s">
        <v>291</v>
      </c>
      <c r="AT608" s="2">
        <f t="shared" si="305"/>
        <v>12</v>
      </c>
      <c r="AU608" s="45">
        <f t="shared" si="306"/>
        <v>-2.346112511994578</v>
      </c>
      <c r="AV608" s="45">
        <f t="shared" si="307"/>
        <v>-0.2995317319801078</v>
      </c>
      <c r="AW608" s="45">
        <f t="shared" si="308"/>
        <v>-2.04658078001447</v>
      </c>
      <c r="AX608" s="45">
        <f t="shared" si="309"/>
        <v>1.4940126135839276</v>
      </c>
      <c r="AY608" s="45">
        <f t="shared" si="310"/>
        <v>-1.2064556544359646</v>
      </c>
      <c r="AZ608" s="45" t="e">
        <f t="shared" si="311"/>
        <v>#VALUE!</v>
      </c>
      <c r="BA608" s="45">
        <f t="shared" si="312"/>
        <v>0.72124639904717103</v>
      </c>
      <c r="BB608" s="45">
        <f t="shared" si="313"/>
        <v>-0.37510707177263619</v>
      </c>
      <c r="BC608" s="45" t="e">
        <f t="shared" si="314"/>
        <v>#VALUE!</v>
      </c>
      <c r="BD608" s="45" t="e">
        <f t="shared" si="315"/>
        <v>#VALUE!</v>
      </c>
      <c r="BE608" s="45" t="e">
        <f t="shared" si="316"/>
        <v>#VALUE!</v>
      </c>
      <c r="BF608" s="45" t="e">
        <f t="shared" si="317"/>
        <v>#VALUE!</v>
      </c>
      <c r="BG608" s="45" t="e">
        <f t="shared" si="318"/>
        <v>#VALUE!</v>
      </c>
      <c r="BH608" s="45" t="e">
        <f t="shared" si="319"/>
        <v>#NUM!</v>
      </c>
      <c r="BI608" s="43" t="e">
        <f t="shared" si="320"/>
        <v>#VALUE!</v>
      </c>
      <c r="CA608" s="41" t="s">
        <v>22</v>
      </c>
      <c r="CC608" t="s">
        <v>22</v>
      </c>
      <c r="CE608" s="41" t="s">
        <v>22</v>
      </c>
      <c r="CF608" s="41" t="s">
        <v>22</v>
      </c>
      <c r="CG608" s="41" t="e">
        <f t="shared" si="337"/>
        <v>#VALUE!</v>
      </c>
      <c r="CH608" s="41" t="e">
        <f t="shared" si="338"/>
        <v>#VALUE!</v>
      </c>
      <c r="CI608" s="41" t="str">
        <f t="shared" si="339"/>
        <v>Not Reported/ Can not calculate</v>
      </c>
      <c r="CJ608" s="41" t="e">
        <f t="shared" si="340"/>
        <v>#VALUE!</v>
      </c>
      <c r="CL608" s="9" t="s">
        <v>1269</v>
      </c>
      <c r="CM608" s="18" t="s">
        <v>1284</v>
      </c>
      <c r="CN608" s="54" t="s">
        <v>1284</v>
      </c>
      <c r="CO608" s="18" t="s">
        <v>1284</v>
      </c>
    </row>
    <row r="609" spans="1:93" x14ac:dyDescent="0.25">
      <c r="A609" t="s">
        <v>315</v>
      </c>
      <c r="B609" s="41">
        <v>5.3929211443882697E-3</v>
      </c>
      <c r="C609" s="41">
        <v>0.65150148000984698</v>
      </c>
      <c r="D609" s="41">
        <f t="shared" si="332"/>
        <v>8.2776805730460663E-3</v>
      </c>
      <c r="E609" s="41" t="s">
        <v>22</v>
      </c>
      <c r="F609" t="s">
        <v>22</v>
      </c>
      <c r="G609" t="s">
        <v>22</v>
      </c>
      <c r="H609" t="s">
        <v>22</v>
      </c>
      <c r="I609" t="s">
        <v>22</v>
      </c>
      <c r="J609" s="41">
        <f t="shared" si="333"/>
        <v>5.2631578947368425</v>
      </c>
      <c r="K609">
        <v>532</v>
      </c>
      <c r="L609" s="41">
        <f t="shared" si="331"/>
        <v>0.42159255040000004</v>
      </c>
      <c r="M609" t="s">
        <v>23</v>
      </c>
      <c r="N609" s="41">
        <v>52.096317280453199</v>
      </c>
      <c r="O609" s="41">
        <f t="shared" si="334"/>
        <v>7.996346728124977E-2</v>
      </c>
      <c r="P609" s="41" t="s">
        <v>22</v>
      </c>
      <c r="R609" s="41">
        <f t="shared" si="335"/>
        <v>0.28095133100651604</v>
      </c>
      <c r="S609" s="41">
        <f t="shared" si="336"/>
        <v>6.6191203966740593E-4</v>
      </c>
      <c r="T609" s="41" t="s">
        <v>22</v>
      </c>
      <c r="U609" s="41" t="s">
        <v>22</v>
      </c>
      <c r="V609">
        <v>20200511</v>
      </c>
      <c r="W609" s="16" t="s">
        <v>289</v>
      </c>
      <c r="X609">
        <v>2013</v>
      </c>
      <c r="Y609" t="s">
        <v>328</v>
      </c>
      <c r="Z609" t="s">
        <v>292</v>
      </c>
      <c r="AC609" t="s">
        <v>269</v>
      </c>
      <c r="AD609" s="41" t="s">
        <v>22</v>
      </c>
      <c r="AE609" s="41">
        <v>1576.9</v>
      </c>
      <c r="AF609" s="41" t="s">
        <v>22</v>
      </c>
      <c r="AG609" s="41" t="s">
        <v>22</v>
      </c>
      <c r="AH609" s="41" t="s">
        <v>22</v>
      </c>
      <c r="AI609" s="41" t="s">
        <v>22</v>
      </c>
      <c r="AJ609" s="41" t="s">
        <v>22</v>
      </c>
      <c r="AK609" s="41" t="s">
        <v>22</v>
      </c>
      <c r="AL609" s="41" t="s">
        <v>22</v>
      </c>
      <c r="AM609" s="43" t="e">
        <f t="shared" si="303"/>
        <v>#VALUE!</v>
      </c>
      <c r="AN609" s="43" t="e">
        <f t="shared" si="304"/>
        <v>#VALUE!</v>
      </c>
      <c r="AO609" s="3" t="s">
        <v>291</v>
      </c>
      <c r="AT609" s="2">
        <f t="shared" si="305"/>
        <v>12</v>
      </c>
      <c r="AU609" s="45">
        <f t="shared" si="306"/>
        <v>-2.2681759299449951</v>
      </c>
      <c r="AV609" s="45">
        <f t="shared" si="307"/>
        <v>-0.18608459336754443</v>
      </c>
      <c r="AW609" s="45">
        <f t="shared" si="308"/>
        <v>-2.0820913365774505</v>
      </c>
      <c r="AX609" s="45">
        <f t="shared" si="309"/>
        <v>1.7168070238502544</v>
      </c>
      <c r="AY609" s="45">
        <f t="shared" si="310"/>
        <v>-1.0971083827822012</v>
      </c>
      <c r="AZ609" s="45" t="e">
        <f t="shared" si="311"/>
        <v>#VALUE!</v>
      </c>
      <c r="BA609" s="45">
        <f t="shared" si="312"/>
        <v>0.72124639904717103</v>
      </c>
      <c r="BB609" s="45">
        <f t="shared" si="313"/>
        <v>-0.37510707177263619</v>
      </c>
      <c r="BC609" s="45" t="e">
        <f t="shared" si="314"/>
        <v>#VALUE!</v>
      </c>
      <c r="BD609" s="45" t="e">
        <f t="shared" si="315"/>
        <v>#VALUE!</v>
      </c>
      <c r="BE609" s="45" t="e">
        <f t="shared" si="316"/>
        <v>#VALUE!</v>
      </c>
      <c r="BF609" s="45" t="e">
        <f t="shared" si="317"/>
        <v>#VALUE!</v>
      </c>
      <c r="BG609" s="45" t="e">
        <f t="shared" si="318"/>
        <v>#VALUE!</v>
      </c>
      <c r="BH609" s="45" t="e">
        <f t="shared" si="319"/>
        <v>#NUM!</v>
      </c>
      <c r="BI609" s="43" t="e">
        <f t="shared" si="320"/>
        <v>#VALUE!</v>
      </c>
      <c r="CA609" s="41" t="s">
        <v>22</v>
      </c>
      <c r="CC609" t="s">
        <v>22</v>
      </c>
      <c r="CE609" s="41" t="s">
        <v>22</v>
      </c>
      <c r="CF609" s="41" t="s">
        <v>22</v>
      </c>
      <c r="CG609" s="41" t="e">
        <f t="shared" si="337"/>
        <v>#VALUE!</v>
      </c>
      <c r="CH609" s="41" t="e">
        <f t="shared" si="338"/>
        <v>#VALUE!</v>
      </c>
      <c r="CI609" s="41" t="str">
        <f t="shared" si="339"/>
        <v>Not Reported/ Can not calculate</v>
      </c>
      <c r="CJ609" s="41" t="e">
        <f t="shared" si="340"/>
        <v>#VALUE!</v>
      </c>
      <c r="CL609" s="9" t="s">
        <v>1269</v>
      </c>
      <c r="CM609" s="18" t="s">
        <v>1284</v>
      </c>
      <c r="CN609" s="54" t="s">
        <v>1284</v>
      </c>
      <c r="CO609" s="18" t="s">
        <v>1284</v>
      </c>
    </row>
    <row r="610" spans="1:93" x14ac:dyDescent="0.25">
      <c r="A610" t="s">
        <v>315</v>
      </c>
      <c r="B610" s="41">
        <v>2.5061862694018698E-3</v>
      </c>
      <c r="C610" s="41">
        <v>0.33058954202712598</v>
      </c>
      <c r="D610" s="41">
        <f t="shared" si="332"/>
        <v>7.5809605289819766E-3</v>
      </c>
      <c r="E610" s="41" t="s">
        <v>22</v>
      </c>
      <c r="F610" t="s">
        <v>22</v>
      </c>
      <c r="G610" t="s">
        <v>22</v>
      </c>
      <c r="H610" t="s">
        <v>22</v>
      </c>
      <c r="I610" t="s">
        <v>22</v>
      </c>
      <c r="J610" s="41">
        <f t="shared" si="333"/>
        <v>5.2631578947368425</v>
      </c>
      <c r="K610">
        <v>532</v>
      </c>
      <c r="L610" s="41">
        <f t="shared" si="331"/>
        <v>0.42159255040000004</v>
      </c>
      <c r="M610" t="s">
        <v>23</v>
      </c>
      <c r="N610" s="41">
        <v>17.996290603285001</v>
      </c>
      <c r="O610" s="41">
        <f t="shared" si="334"/>
        <v>5.4436962805702864E-2</v>
      </c>
      <c r="P610" s="41" t="s">
        <v>22</v>
      </c>
      <c r="R610" s="41">
        <f t="shared" si="335"/>
        <v>4.510205641011876E-2</v>
      </c>
      <c r="S610" s="41">
        <f t="shared" si="336"/>
        <v>4.1268446634769339E-4</v>
      </c>
      <c r="T610" s="41" t="s">
        <v>22</v>
      </c>
      <c r="U610" s="41" t="s">
        <v>22</v>
      </c>
      <c r="V610">
        <v>20200511</v>
      </c>
      <c r="W610" s="16" t="s">
        <v>293</v>
      </c>
      <c r="X610">
        <v>2013</v>
      </c>
      <c r="Y610" t="s">
        <v>328</v>
      </c>
      <c r="Z610" t="s">
        <v>290</v>
      </c>
      <c r="AC610" t="s">
        <v>269</v>
      </c>
      <c r="AD610" s="41" t="s">
        <v>22</v>
      </c>
      <c r="AE610" s="41" t="s">
        <v>22</v>
      </c>
      <c r="AF610" s="41" t="s">
        <v>22</v>
      </c>
      <c r="AG610" s="41" t="s">
        <v>22</v>
      </c>
      <c r="AH610" s="41" t="s">
        <v>22</v>
      </c>
      <c r="AI610" s="41" t="s">
        <v>22</v>
      </c>
      <c r="AJ610" s="41" t="s">
        <v>22</v>
      </c>
      <c r="AK610" s="41" t="s">
        <v>22</v>
      </c>
      <c r="AL610" s="41" t="s">
        <v>22</v>
      </c>
      <c r="AM610" s="43" t="e">
        <f t="shared" si="303"/>
        <v>#VALUE!</v>
      </c>
      <c r="AN610" s="43" t="e">
        <f t="shared" si="304"/>
        <v>#VALUE!</v>
      </c>
      <c r="AO610" s="3" t="s">
        <v>291</v>
      </c>
      <c r="AT610" s="2">
        <f t="shared" si="305"/>
        <v>12</v>
      </c>
      <c r="AU610" s="45">
        <f t="shared" si="306"/>
        <v>-2.6009866537061694</v>
      </c>
      <c r="AV610" s="45">
        <f t="shared" si="307"/>
        <v>-0.48071088915461763</v>
      </c>
      <c r="AW610" s="45">
        <f t="shared" si="308"/>
        <v>-2.1202757645515518</v>
      </c>
      <c r="AX610" s="45">
        <f t="shared" si="309"/>
        <v>1.2551829975177622</v>
      </c>
      <c r="AY610" s="45">
        <f t="shared" si="310"/>
        <v>-1.2641061133276201</v>
      </c>
      <c r="AZ610" s="45" t="e">
        <f t="shared" si="311"/>
        <v>#VALUE!</v>
      </c>
      <c r="BA610" s="45">
        <f t="shared" si="312"/>
        <v>0.72124639904717103</v>
      </c>
      <c r="BB610" s="45">
        <f t="shared" si="313"/>
        <v>-0.37510707177263619</v>
      </c>
      <c r="BC610" s="45" t="e">
        <f t="shared" si="314"/>
        <v>#VALUE!</v>
      </c>
      <c r="BD610" s="45" t="e">
        <f t="shared" si="315"/>
        <v>#VALUE!</v>
      </c>
      <c r="BE610" s="45" t="e">
        <f t="shared" si="316"/>
        <v>#VALUE!</v>
      </c>
      <c r="BF610" s="45" t="e">
        <f t="shared" si="317"/>
        <v>#VALUE!</v>
      </c>
      <c r="BG610" s="45" t="e">
        <f t="shared" si="318"/>
        <v>#VALUE!</v>
      </c>
      <c r="BH610" s="45" t="e">
        <f t="shared" si="319"/>
        <v>#NUM!</v>
      </c>
      <c r="BI610" s="43" t="e">
        <f t="shared" si="320"/>
        <v>#VALUE!</v>
      </c>
      <c r="CA610" s="41" t="s">
        <v>22</v>
      </c>
      <c r="CC610" t="s">
        <v>22</v>
      </c>
      <c r="CE610" s="41" t="s">
        <v>22</v>
      </c>
      <c r="CF610" s="41" t="s">
        <v>22</v>
      </c>
      <c r="CG610" s="41" t="e">
        <f t="shared" si="337"/>
        <v>#VALUE!</v>
      </c>
      <c r="CH610" s="41" t="e">
        <f t="shared" si="338"/>
        <v>#VALUE!</v>
      </c>
      <c r="CI610" s="41" t="str">
        <f t="shared" si="339"/>
        <v>Not Reported/ Can not calculate</v>
      </c>
      <c r="CJ610" s="41" t="e">
        <f t="shared" si="340"/>
        <v>#VALUE!</v>
      </c>
      <c r="CL610" s="9" t="s">
        <v>1269</v>
      </c>
      <c r="CM610" s="18" t="s">
        <v>1284</v>
      </c>
      <c r="CN610" s="54" t="s">
        <v>1284</v>
      </c>
      <c r="CO610" s="18" t="s">
        <v>1284</v>
      </c>
    </row>
    <row r="611" spans="1:93" x14ac:dyDescent="0.25">
      <c r="A611" t="s">
        <v>315</v>
      </c>
      <c r="B611" s="41">
        <v>3.2129267552573194E-3</v>
      </c>
      <c r="C611" s="41">
        <v>0.441302294158398</v>
      </c>
      <c r="D611" s="41">
        <f t="shared" si="332"/>
        <v>7.2805575628938236E-3</v>
      </c>
      <c r="E611" s="41" t="s">
        <v>22</v>
      </c>
      <c r="F611" t="s">
        <v>22</v>
      </c>
      <c r="G611" t="s">
        <v>22</v>
      </c>
      <c r="H611" t="s">
        <v>22</v>
      </c>
      <c r="I611" t="s">
        <v>22</v>
      </c>
      <c r="J611" s="41">
        <f t="shared" si="333"/>
        <v>5.2631578947368425</v>
      </c>
      <c r="K611">
        <v>532</v>
      </c>
      <c r="L611" s="41">
        <f t="shared" si="331"/>
        <v>0.42159255040000004</v>
      </c>
      <c r="M611" t="s">
        <v>23</v>
      </c>
      <c r="N611" s="41">
        <v>25.2067480532018</v>
      </c>
      <c r="O611" s="41">
        <f t="shared" si="334"/>
        <v>5.7119005241686477E-2</v>
      </c>
      <c r="P611" s="41" t="s">
        <v>22</v>
      </c>
      <c r="R611" s="41">
        <f t="shared" si="335"/>
        <v>8.0987435233162416E-2</v>
      </c>
      <c r="S611" s="41">
        <f t="shared" si="336"/>
        <v>4.1585820559733241E-4</v>
      </c>
      <c r="T611" s="41" t="s">
        <v>22</v>
      </c>
      <c r="U611" s="41" t="s">
        <v>22</v>
      </c>
      <c r="V611">
        <v>20200511</v>
      </c>
      <c r="W611" s="16" t="s">
        <v>293</v>
      </c>
      <c r="X611">
        <v>2013</v>
      </c>
      <c r="Y611" t="s">
        <v>328</v>
      </c>
      <c r="Z611" t="s">
        <v>290</v>
      </c>
      <c r="AC611" t="s">
        <v>269</v>
      </c>
      <c r="AD611" s="41" t="s">
        <v>22</v>
      </c>
      <c r="AE611" s="41" t="s">
        <v>22</v>
      </c>
      <c r="AF611" s="41" t="s">
        <v>22</v>
      </c>
      <c r="AG611" s="41" t="s">
        <v>22</v>
      </c>
      <c r="AH611" s="41" t="s">
        <v>22</v>
      </c>
      <c r="AI611" s="41" t="s">
        <v>22</v>
      </c>
      <c r="AJ611" s="41" t="s">
        <v>22</v>
      </c>
      <c r="AK611" s="41" t="s">
        <v>22</v>
      </c>
      <c r="AL611" s="41" t="s">
        <v>22</v>
      </c>
      <c r="AM611" s="43" t="e">
        <f t="shared" si="303"/>
        <v>#VALUE!</v>
      </c>
      <c r="AN611" s="43" t="e">
        <f t="shared" si="304"/>
        <v>#VALUE!</v>
      </c>
      <c r="AO611" s="3" t="s">
        <v>291</v>
      </c>
      <c r="AT611" s="2">
        <f t="shared" si="305"/>
        <v>12</v>
      </c>
      <c r="AU611" s="45">
        <f t="shared" si="306"/>
        <v>-2.4930991748998217</v>
      </c>
      <c r="AV611" s="45">
        <f t="shared" si="307"/>
        <v>-0.35526381481942187</v>
      </c>
      <c r="AW611" s="45">
        <f t="shared" si="308"/>
        <v>-2.1378353600803996</v>
      </c>
      <c r="AX611" s="45">
        <f t="shared" si="309"/>
        <v>1.4015168205416884</v>
      </c>
      <c r="AY611" s="45">
        <f t="shared" si="310"/>
        <v>-1.2432193646388898</v>
      </c>
      <c r="AZ611" s="45" t="e">
        <f t="shared" si="311"/>
        <v>#VALUE!</v>
      </c>
      <c r="BA611" s="45">
        <f t="shared" si="312"/>
        <v>0.72124639904717103</v>
      </c>
      <c r="BB611" s="45">
        <f t="shared" si="313"/>
        <v>-0.37510707177263619</v>
      </c>
      <c r="BC611" s="45" t="e">
        <f t="shared" si="314"/>
        <v>#VALUE!</v>
      </c>
      <c r="BD611" s="45" t="e">
        <f t="shared" si="315"/>
        <v>#VALUE!</v>
      </c>
      <c r="BE611" s="45" t="e">
        <f t="shared" si="316"/>
        <v>#VALUE!</v>
      </c>
      <c r="BF611" s="45" t="e">
        <f t="shared" si="317"/>
        <v>#VALUE!</v>
      </c>
      <c r="BG611" s="45" t="e">
        <f t="shared" si="318"/>
        <v>#VALUE!</v>
      </c>
      <c r="BH611" s="45" t="e">
        <f t="shared" si="319"/>
        <v>#NUM!</v>
      </c>
      <c r="BI611" s="43" t="e">
        <f t="shared" si="320"/>
        <v>#VALUE!</v>
      </c>
      <c r="CA611" s="41" t="s">
        <v>22</v>
      </c>
      <c r="CC611" t="s">
        <v>22</v>
      </c>
      <c r="CE611" s="41" t="s">
        <v>22</v>
      </c>
      <c r="CF611" s="41" t="s">
        <v>22</v>
      </c>
      <c r="CG611" s="41" t="e">
        <f t="shared" si="337"/>
        <v>#VALUE!</v>
      </c>
      <c r="CH611" s="41" t="e">
        <f t="shared" si="338"/>
        <v>#VALUE!</v>
      </c>
      <c r="CI611" s="41" t="str">
        <f t="shared" si="339"/>
        <v>Not Reported/ Can not calculate</v>
      </c>
      <c r="CJ611" s="41" t="e">
        <f t="shared" si="340"/>
        <v>#VALUE!</v>
      </c>
      <c r="CL611" s="9" t="s">
        <v>1269</v>
      </c>
      <c r="CM611" s="18" t="s">
        <v>1284</v>
      </c>
      <c r="CN611" s="54" t="s">
        <v>1284</v>
      </c>
      <c r="CO611" s="18" t="s">
        <v>1284</v>
      </c>
    </row>
    <row r="612" spans="1:93" x14ac:dyDescent="0.25">
      <c r="A612" t="s">
        <v>315</v>
      </c>
      <c r="B612" s="41">
        <v>3.7864720802010701E-3</v>
      </c>
      <c r="C612" s="41">
        <v>0.48044325865533799</v>
      </c>
      <c r="D612" s="41">
        <f t="shared" si="332"/>
        <v>7.8812055575483101E-3</v>
      </c>
      <c r="E612" s="41" t="s">
        <v>22</v>
      </c>
      <c r="F612" t="s">
        <v>22</v>
      </c>
      <c r="G612" t="s">
        <v>22</v>
      </c>
      <c r="H612" t="s">
        <v>22</v>
      </c>
      <c r="I612" t="s">
        <v>22</v>
      </c>
      <c r="J612" s="41">
        <f t="shared" si="333"/>
        <v>5.2631578947368425</v>
      </c>
      <c r="K612">
        <v>532</v>
      </c>
      <c r="L612" s="41">
        <f t="shared" si="331"/>
        <v>0.42159255040000004</v>
      </c>
      <c r="M612" t="s">
        <v>23</v>
      </c>
      <c r="N612" s="41">
        <v>27.231418082038601</v>
      </c>
      <c r="O612" s="41">
        <f t="shared" si="334"/>
        <v>5.6679779748088771E-2</v>
      </c>
      <c r="P612" s="41" t="s">
        <v>22</v>
      </c>
      <c r="R612" s="41">
        <f t="shared" si="335"/>
        <v>0.10311100427192174</v>
      </c>
      <c r="S612" s="41">
        <f t="shared" si="336"/>
        <v>4.4670499515125136E-4</v>
      </c>
      <c r="T612" s="41" t="s">
        <v>22</v>
      </c>
      <c r="U612" s="41" t="s">
        <v>22</v>
      </c>
      <c r="V612">
        <v>20200511</v>
      </c>
      <c r="W612" s="21" t="s">
        <v>293</v>
      </c>
      <c r="X612" s="18">
        <v>2013</v>
      </c>
      <c r="Y612" t="s">
        <v>328</v>
      </c>
      <c r="Z612" t="s">
        <v>292</v>
      </c>
      <c r="AC612" t="s">
        <v>269</v>
      </c>
      <c r="AD612" s="41" t="s">
        <v>22</v>
      </c>
      <c r="AE612" s="41" t="s">
        <v>22</v>
      </c>
      <c r="AF612" s="41" t="s">
        <v>22</v>
      </c>
      <c r="AG612" s="41" t="s">
        <v>22</v>
      </c>
      <c r="AH612" s="41" t="s">
        <v>22</v>
      </c>
      <c r="AI612" s="41" t="s">
        <v>22</v>
      </c>
      <c r="AJ612" s="41" t="s">
        <v>22</v>
      </c>
      <c r="AK612" s="41" t="s">
        <v>22</v>
      </c>
      <c r="AL612" s="41" t="s">
        <v>22</v>
      </c>
      <c r="AM612" s="43" t="e">
        <f t="shared" si="303"/>
        <v>#VALUE!</v>
      </c>
      <c r="AN612" s="43" t="e">
        <f t="shared" si="304"/>
        <v>#VALUE!</v>
      </c>
      <c r="AO612" s="3" t="s">
        <v>291</v>
      </c>
      <c r="AT612" s="2">
        <f t="shared" si="305"/>
        <v>12</v>
      </c>
      <c r="AU612" s="45">
        <f t="shared" si="306"/>
        <v>-2.42176524112626</v>
      </c>
      <c r="AV612" s="45">
        <f t="shared" si="307"/>
        <v>-0.31835789604535797</v>
      </c>
      <c r="AW612" s="45">
        <f t="shared" si="308"/>
        <v>-2.1034073450809019</v>
      </c>
      <c r="AX612" s="45">
        <f t="shared" si="309"/>
        <v>1.4350702579087606</v>
      </c>
      <c r="AY612" s="45">
        <f t="shared" si="310"/>
        <v>-1.2465718460458814</v>
      </c>
      <c r="AZ612" s="45" t="e">
        <f t="shared" si="311"/>
        <v>#VALUE!</v>
      </c>
      <c r="BA612" s="45">
        <f t="shared" si="312"/>
        <v>0.72124639904717103</v>
      </c>
      <c r="BB612" s="45">
        <f t="shared" si="313"/>
        <v>-0.37510707177263619</v>
      </c>
      <c r="BC612" s="45" t="e">
        <f t="shared" si="314"/>
        <v>#VALUE!</v>
      </c>
      <c r="BD612" s="45" t="e">
        <f t="shared" si="315"/>
        <v>#VALUE!</v>
      </c>
      <c r="BE612" s="45" t="e">
        <f t="shared" si="316"/>
        <v>#VALUE!</v>
      </c>
      <c r="BF612" s="45" t="e">
        <f t="shared" si="317"/>
        <v>#VALUE!</v>
      </c>
      <c r="BG612" s="45" t="e">
        <f t="shared" si="318"/>
        <v>#VALUE!</v>
      </c>
      <c r="BH612" s="45" t="e">
        <f t="shared" si="319"/>
        <v>#NUM!</v>
      </c>
      <c r="BI612" s="43" t="e">
        <f t="shared" si="320"/>
        <v>#VALUE!</v>
      </c>
      <c r="CA612" s="41" t="s">
        <v>22</v>
      </c>
      <c r="CC612" t="s">
        <v>22</v>
      </c>
      <c r="CE612" s="41" t="s">
        <v>22</v>
      </c>
      <c r="CF612" s="41" t="s">
        <v>22</v>
      </c>
      <c r="CG612" s="41" t="e">
        <f t="shared" si="337"/>
        <v>#VALUE!</v>
      </c>
      <c r="CH612" s="41" t="e">
        <f t="shared" si="338"/>
        <v>#VALUE!</v>
      </c>
      <c r="CI612" s="41" t="str">
        <f t="shared" si="339"/>
        <v>Not Reported/ Can not calculate</v>
      </c>
      <c r="CJ612" s="41" t="e">
        <f t="shared" si="340"/>
        <v>#VALUE!</v>
      </c>
      <c r="CL612" s="9" t="s">
        <v>1269</v>
      </c>
      <c r="CM612" s="18" t="s">
        <v>1284</v>
      </c>
      <c r="CN612" s="54" t="s">
        <v>1284</v>
      </c>
      <c r="CO612" s="18" t="s">
        <v>1284</v>
      </c>
    </row>
    <row r="613" spans="1:93" x14ac:dyDescent="0.25">
      <c r="A613" t="s">
        <v>315</v>
      </c>
      <c r="B613" s="41">
        <v>4.00788384355981E-3</v>
      </c>
      <c r="C613" s="41">
        <v>0.62032565942024798</v>
      </c>
      <c r="D613" s="41">
        <f t="shared" si="332"/>
        <v>6.4609351276965557E-3</v>
      </c>
      <c r="E613" s="41" t="s">
        <v>22</v>
      </c>
      <c r="F613" t="s">
        <v>22</v>
      </c>
      <c r="G613" t="s">
        <v>22</v>
      </c>
      <c r="H613" t="s">
        <v>22</v>
      </c>
      <c r="I613" t="s">
        <v>22</v>
      </c>
      <c r="J613" s="41">
        <f t="shared" si="333"/>
        <v>5.2631578947368425</v>
      </c>
      <c r="K613">
        <v>532</v>
      </c>
      <c r="L613" s="41">
        <f t="shared" si="331"/>
        <v>0.42159255040000004</v>
      </c>
      <c r="M613" t="s">
        <v>23</v>
      </c>
      <c r="N613" s="41">
        <v>36.130413242038102</v>
      </c>
      <c r="O613" s="41">
        <f t="shared" si="334"/>
        <v>5.8244266851391148E-2</v>
      </c>
      <c r="P613" s="41" t="s">
        <v>22</v>
      </c>
      <c r="R613" s="41">
        <f t="shared" si="335"/>
        <v>0.14480649949390392</v>
      </c>
      <c r="S613" s="41">
        <f t="shared" si="336"/>
        <v>3.7631242968708513E-4</v>
      </c>
      <c r="T613" s="41" t="s">
        <v>22</v>
      </c>
      <c r="U613" s="41" t="s">
        <v>22</v>
      </c>
      <c r="V613">
        <v>20200511</v>
      </c>
      <c r="W613" s="21" t="s">
        <v>293</v>
      </c>
      <c r="X613" s="18">
        <v>2013</v>
      </c>
      <c r="Y613" t="s">
        <v>328</v>
      </c>
      <c r="Z613" t="s">
        <v>292</v>
      </c>
      <c r="AC613" t="s">
        <v>269</v>
      </c>
      <c r="AD613" s="41" t="s">
        <v>22</v>
      </c>
      <c r="AE613" s="41">
        <v>1576.9</v>
      </c>
      <c r="AF613" s="41" t="s">
        <v>22</v>
      </c>
      <c r="AG613" s="41" t="s">
        <v>22</v>
      </c>
      <c r="AH613" s="41" t="s">
        <v>22</v>
      </c>
      <c r="AI613" s="41" t="s">
        <v>22</v>
      </c>
      <c r="AJ613" s="41" t="s">
        <v>22</v>
      </c>
      <c r="AK613" s="41" t="s">
        <v>22</v>
      </c>
      <c r="AL613" s="41" t="s">
        <v>22</v>
      </c>
      <c r="AM613" s="43" t="e">
        <f t="shared" si="303"/>
        <v>#VALUE!</v>
      </c>
      <c r="AN613" s="43" t="e">
        <f t="shared" si="304"/>
        <v>#VALUE!</v>
      </c>
      <c r="AO613" s="3" t="s">
        <v>291</v>
      </c>
      <c r="AT613" s="2">
        <f t="shared" si="305"/>
        <v>12</v>
      </c>
      <c r="AU613" s="45">
        <f t="shared" si="306"/>
        <v>-2.3970848736757455</v>
      </c>
      <c r="AV613" s="45">
        <f t="shared" si="307"/>
        <v>-0.20738025411773225</v>
      </c>
      <c r="AW613" s="45">
        <f t="shared" si="308"/>
        <v>-2.1897046195580132</v>
      </c>
      <c r="AX613" s="45">
        <f t="shared" si="309"/>
        <v>1.5578729288448143</v>
      </c>
      <c r="AY613" s="45">
        <f t="shared" si="310"/>
        <v>-1.2347468170374534</v>
      </c>
      <c r="AZ613" s="45" t="e">
        <f t="shared" si="311"/>
        <v>#VALUE!</v>
      </c>
      <c r="BA613" s="45">
        <f t="shared" si="312"/>
        <v>0.72124639904717103</v>
      </c>
      <c r="BB613" s="45">
        <f t="shared" si="313"/>
        <v>-0.37510707177263619</v>
      </c>
      <c r="BC613" s="45" t="e">
        <f t="shared" si="314"/>
        <v>#VALUE!</v>
      </c>
      <c r="BD613" s="45" t="e">
        <f t="shared" si="315"/>
        <v>#VALUE!</v>
      </c>
      <c r="BE613" s="45" t="e">
        <f t="shared" si="316"/>
        <v>#VALUE!</v>
      </c>
      <c r="BF613" s="45" t="e">
        <f t="shared" si="317"/>
        <v>#VALUE!</v>
      </c>
      <c r="BG613" s="45" t="e">
        <f t="shared" si="318"/>
        <v>#VALUE!</v>
      </c>
      <c r="BH613" s="45" t="e">
        <f t="shared" si="319"/>
        <v>#NUM!</v>
      </c>
      <c r="BI613" s="43" t="e">
        <f t="shared" si="320"/>
        <v>#VALUE!</v>
      </c>
      <c r="CA613" s="41" t="s">
        <v>22</v>
      </c>
      <c r="CC613" t="s">
        <v>22</v>
      </c>
      <c r="CE613" s="41" t="s">
        <v>22</v>
      </c>
      <c r="CF613" s="41" t="s">
        <v>22</v>
      </c>
      <c r="CG613" s="41" t="e">
        <f t="shared" si="337"/>
        <v>#VALUE!</v>
      </c>
      <c r="CH613" s="41" t="e">
        <f t="shared" si="338"/>
        <v>#VALUE!</v>
      </c>
      <c r="CI613" s="41" t="str">
        <f t="shared" si="339"/>
        <v>Not Reported/ Can not calculate</v>
      </c>
      <c r="CJ613" s="41" t="e">
        <f t="shared" si="340"/>
        <v>#VALUE!</v>
      </c>
      <c r="CL613" s="9" t="s">
        <v>1269</v>
      </c>
      <c r="CM613" s="18" t="s">
        <v>1284</v>
      </c>
      <c r="CN613" s="54" t="s">
        <v>1284</v>
      </c>
      <c r="CO613" s="18" t="s">
        <v>1284</v>
      </c>
    </row>
    <row r="614" spans="1:93" x14ac:dyDescent="0.25">
      <c r="A614" s="18" t="s">
        <v>315</v>
      </c>
      <c r="B614" s="41">
        <v>1.5923932646669801E-3</v>
      </c>
      <c r="C614" s="41">
        <v>0.37024121011559502</v>
      </c>
      <c r="D614" s="41">
        <f t="shared" si="332"/>
        <v>4.3009617005352009E-3</v>
      </c>
      <c r="E614" s="41" t="s">
        <v>22</v>
      </c>
      <c r="F614" t="s">
        <v>22</v>
      </c>
      <c r="G614" t="s">
        <v>22</v>
      </c>
      <c r="H614" t="s">
        <v>22</v>
      </c>
      <c r="I614" t="s">
        <v>22</v>
      </c>
      <c r="J614" s="41">
        <f>0.17^-1</f>
        <v>5.8823529411764701</v>
      </c>
      <c r="K614">
        <v>532</v>
      </c>
      <c r="L614" s="41">
        <f t="shared" si="331"/>
        <v>0.47119167397647049</v>
      </c>
      <c r="M614" t="s">
        <v>23</v>
      </c>
      <c r="N614" s="41">
        <v>14.1286093573343</v>
      </c>
      <c r="O614" s="41">
        <f t="shared" si="334"/>
        <v>3.8160553097055648E-2</v>
      </c>
      <c r="P614" s="41" t="s">
        <v>22</v>
      </c>
      <c r="R614" s="41">
        <f t="shared" si="335"/>
        <v>2.2498302379730009E-2</v>
      </c>
      <c r="S614" s="41">
        <f t="shared" si="336"/>
        <v>1.641270773416763E-4</v>
      </c>
      <c r="T614" s="41" t="s">
        <v>22</v>
      </c>
      <c r="U614" s="41" t="s">
        <v>22</v>
      </c>
      <c r="V614">
        <v>20200511</v>
      </c>
      <c r="W614" s="21" t="s">
        <v>294</v>
      </c>
      <c r="X614" s="18">
        <v>2013</v>
      </c>
      <c r="Y614" t="s">
        <v>328</v>
      </c>
      <c r="Z614" t="s">
        <v>290</v>
      </c>
      <c r="AC614" t="s">
        <v>269</v>
      </c>
      <c r="AD614" s="41" t="s">
        <v>22</v>
      </c>
      <c r="AE614" s="41" t="s">
        <v>22</v>
      </c>
      <c r="AF614" s="41" t="s">
        <v>22</v>
      </c>
      <c r="AG614" s="41" t="s">
        <v>22</v>
      </c>
      <c r="AH614" s="41" t="s">
        <v>22</v>
      </c>
      <c r="AI614" s="41" t="s">
        <v>22</v>
      </c>
      <c r="AJ614" s="41" t="s">
        <v>22</v>
      </c>
      <c r="AK614" s="41" t="s">
        <v>22</v>
      </c>
      <c r="AL614" s="41" t="s">
        <v>22</v>
      </c>
      <c r="AM614" s="43" t="e">
        <f t="shared" si="303"/>
        <v>#VALUE!</v>
      </c>
      <c r="AN614" s="43" t="e">
        <f t="shared" si="304"/>
        <v>#VALUE!</v>
      </c>
      <c r="AO614" s="3" t="s">
        <v>291</v>
      </c>
      <c r="AT614" s="2">
        <f t="shared" si="305"/>
        <v>12</v>
      </c>
      <c r="AU614" s="45">
        <f t="shared" si="306"/>
        <v>-2.7979496680159417</v>
      </c>
      <c r="AV614" s="45">
        <f t="shared" si="307"/>
        <v>-0.43151524325539037</v>
      </c>
      <c r="AW614" s="45">
        <f t="shared" si="308"/>
        <v>-2.3664344247605511</v>
      </c>
      <c r="AX614" s="45">
        <f t="shared" si="309"/>
        <v>1.1500994174637331</v>
      </c>
      <c r="AY614" s="45">
        <f t="shared" si="310"/>
        <v>-1.4183853392808763</v>
      </c>
      <c r="AZ614" s="45" t="e">
        <f t="shared" si="311"/>
        <v>#VALUE!</v>
      </c>
      <c r="BA614" s="45">
        <f t="shared" si="312"/>
        <v>0.769551078621726</v>
      </c>
      <c r="BB614" s="45">
        <f t="shared" si="313"/>
        <v>-0.32680239219808127</v>
      </c>
      <c r="BC614" s="45" t="e">
        <f t="shared" si="314"/>
        <v>#VALUE!</v>
      </c>
      <c r="BD614" s="45" t="e">
        <f t="shared" si="315"/>
        <v>#VALUE!</v>
      </c>
      <c r="BE614" s="45" t="e">
        <f t="shared" si="316"/>
        <v>#VALUE!</v>
      </c>
      <c r="BF614" s="45" t="e">
        <f t="shared" si="317"/>
        <v>#VALUE!</v>
      </c>
      <c r="BG614" s="45" t="e">
        <f t="shared" si="318"/>
        <v>#VALUE!</v>
      </c>
      <c r="BH614" s="45" t="e">
        <f t="shared" si="319"/>
        <v>#NUM!</v>
      </c>
      <c r="BI614" s="43" t="e">
        <f t="shared" si="320"/>
        <v>#VALUE!</v>
      </c>
      <c r="CA614" s="41" t="s">
        <v>22</v>
      </c>
      <c r="CC614" t="s">
        <v>22</v>
      </c>
      <c r="CE614" s="41" t="s">
        <v>22</v>
      </c>
      <c r="CF614" s="41" t="s">
        <v>22</v>
      </c>
      <c r="CG614" s="41" t="e">
        <f t="shared" si="337"/>
        <v>#VALUE!</v>
      </c>
      <c r="CH614" s="41" t="e">
        <f t="shared" si="338"/>
        <v>#VALUE!</v>
      </c>
      <c r="CI614" s="41" t="str">
        <f t="shared" si="339"/>
        <v>Not Reported/ Can not calculate</v>
      </c>
      <c r="CJ614" s="41" t="e">
        <f t="shared" si="340"/>
        <v>#VALUE!</v>
      </c>
      <c r="CL614" s="9" t="s">
        <v>1269</v>
      </c>
      <c r="CM614" s="18" t="s">
        <v>1284</v>
      </c>
      <c r="CN614" s="54" t="s">
        <v>1284</v>
      </c>
      <c r="CO614" s="18" t="s">
        <v>1284</v>
      </c>
    </row>
    <row r="615" spans="1:93" x14ac:dyDescent="0.25">
      <c r="A615" s="18" t="s">
        <v>315</v>
      </c>
      <c r="B615" s="41">
        <v>1.7042213201573298E-3</v>
      </c>
      <c r="C615" s="41">
        <v>0.40034524020817402</v>
      </c>
      <c r="D615" s="41">
        <f t="shared" si="332"/>
        <v>4.2568791857526727E-3</v>
      </c>
      <c r="E615" s="41" t="s">
        <v>22</v>
      </c>
      <c r="F615" t="s">
        <v>22</v>
      </c>
      <c r="G615" t="s">
        <v>22</v>
      </c>
      <c r="H615" t="s">
        <v>22</v>
      </c>
      <c r="I615" t="s">
        <v>22</v>
      </c>
      <c r="J615" s="41">
        <f>0.17^-1</f>
        <v>5.8823529411764701</v>
      </c>
      <c r="K615">
        <v>532</v>
      </c>
      <c r="L615" s="41">
        <f t="shared" si="331"/>
        <v>0.47119167397647049</v>
      </c>
      <c r="M615" t="s">
        <v>23</v>
      </c>
      <c r="N615" s="41">
        <v>15.250066692920299</v>
      </c>
      <c r="O615" s="41">
        <f t="shared" si="334"/>
        <v>3.8092289257617935E-2</v>
      </c>
      <c r="P615" s="41" t="s">
        <v>22</v>
      </c>
      <c r="R615" s="41">
        <f t="shared" si="335"/>
        <v>2.5989488791895957E-2</v>
      </c>
      <c r="S615" s="41">
        <f t="shared" si="336"/>
        <v>1.6215427327842392E-4</v>
      </c>
      <c r="T615" s="41" t="s">
        <v>22</v>
      </c>
      <c r="U615" s="41" t="s">
        <v>22</v>
      </c>
      <c r="V615">
        <v>20200511</v>
      </c>
      <c r="W615" s="21" t="s">
        <v>294</v>
      </c>
      <c r="X615" s="18">
        <v>2013</v>
      </c>
      <c r="Y615" t="s">
        <v>328</v>
      </c>
      <c r="Z615" t="s">
        <v>290</v>
      </c>
      <c r="AC615" t="s">
        <v>269</v>
      </c>
      <c r="AD615" s="41" t="s">
        <v>22</v>
      </c>
      <c r="AE615" s="41" t="s">
        <v>22</v>
      </c>
      <c r="AF615" s="41" t="s">
        <v>22</v>
      </c>
      <c r="AG615" s="41" t="s">
        <v>22</v>
      </c>
      <c r="AH615" s="41" t="s">
        <v>22</v>
      </c>
      <c r="AI615" s="41" t="s">
        <v>22</v>
      </c>
      <c r="AJ615" s="41" t="s">
        <v>22</v>
      </c>
      <c r="AK615" s="41" t="s">
        <v>22</v>
      </c>
      <c r="AL615" s="41" t="s">
        <v>22</v>
      </c>
      <c r="AM615" s="43" t="e">
        <f t="shared" si="303"/>
        <v>#VALUE!</v>
      </c>
      <c r="AN615" s="43" t="e">
        <f t="shared" si="304"/>
        <v>#VALUE!</v>
      </c>
      <c r="AO615" s="3" t="s">
        <v>291</v>
      </c>
      <c r="AT615" s="2">
        <f t="shared" si="305"/>
        <v>12</v>
      </c>
      <c r="AU615" s="45">
        <f t="shared" si="306"/>
        <v>-2.7684740058829567</v>
      </c>
      <c r="AV615" s="45">
        <f t="shared" si="307"/>
        <v>-0.3975653305478774</v>
      </c>
      <c r="AW615" s="45">
        <f t="shared" si="308"/>
        <v>-2.370908675335079</v>
      </c>
      <c r="AX615" s="45">
        <f t="shared" si="309"/>
        <v>1.1832717429814232</v>
      </c>
      <c r="AY615" s="45">
        <f t="shared" si="310"/>
        <v>-1.4191629264706993</v>
      </c>
      <c r="AZ615" s="45" t="e">
        <f t="shared" si="311"/>
        <v>#VALUE!</v>
      </c>
      <c r="BA615" s="45">
        <f t="shared" si="312"/>
        <v>0.769551078621726</v>
      </c>
      <c r="BB615" s="45">
        <f t="shared" si="313"/>
        <v>-0.32680239219808127</v>
      </c>
      <c r="BC615" s="45" t="e">
        <f t="shared" si="314"/>
        <v>#VALUE!</v>
      </c>
      <c r="BD615" s="45" t="e">
        <f t="shared" si="315"/>
        <v>#VALUE!</v>
      </c>
      <c r="BE615" s="45" t="e">
        <f t="shared" si="316"/>
        <v>#VALUE!</v>
      </c>
      <c r="BF615" s="45" t="e">
        <f t="shared" si="317"/>
        <v>#VALUE!</v>
      </c>
      <c r="BG615" s="45" t="e">
        <f t="shared" si="318"/>
        <v>#VALUE!</v>
      </c>
      <c r="BH615" s="45" t="e">
        <f t="shared" si="319"/>
        <v>#NUM!</v>
      </c>
      <c r="BI615" s="43" t="e">
        <f t="shared" si="320"/>
        <v>#VALUE!</v>
      </c>
      <c r="CA615" s="41" t="s">
        <v>22</v>
      </c>
      <c r="CC615" t="s">
        <v>22</v>
      </c>
      <c r="CE615" s="41" t="s">
        <v>22</v>
      </c>
      <c r="CF615" s="41" t="s">
        <v>22</v>
      </c>
      <c r="CG615" s="41" t="e">
        <f t="shared" si="337"/>
        <v>#VALUE!</v>
      </c>
      <c r="CH615" s="41" t="e">
        <f t="shared" si="338"/>
        <v>#VALUE!</v>
      </c>
      <c r="CI615" s="41" t="str">
        <f t="shared" si="339"/>
        <v>Not Reported/ Can not calculate</v>
      </c>
      <c r="CJ615" s="41" t="e">
        <f t="shared" si="340"/>
        <v>#VALUE!</v>
      </c>
      <c r="CL615" s="9" t="s">
        <v>1269</v>
      </c>
      <c r="CM615" s="18" t="s">
        <v>1284</v>
      </c>
      <c r="CN615" s="54" t="s">
        <v>1284</v>
      </c>
      <c r="CO615" s="18" t="s">
        <v>1284</v>
      </c>
    </row>
    <row r="616" spans="1:93" x14ac:dyDescent="0.25">
      <c r="A616" t="s">
        <v>315</v>
      </c>
      <c r="B616" s="41">
        <v>1.9042201750820102E-3</v>
      </c>
      <c r="C616" s="41">
        <v>0.50038589038193904</v>
      </c>
      <c r="D616" s="41">
        <f t="shared" si="332"/>
        <v>3.8055033358925044E-3</v>
      </c>
      <c r="E616" s="41" t="s">
        <v>22</v>
      </c>
      <c r="F616" t="s">
        <v>22</v>
      </c>
      <c r="G616" t="s">
        <v>22</v>
      </c>
      <c r="H616" t="s">
        <v>22</v>
      </c>
      <c r="I616" t="s">
        <v>22</v>
      </c>
      <c r="J616" s="41">
        <f>0.17^-1</f>
        <v>5.8823529411764701</v>
      </c>
      <c r="K616">
        <v>532</v>
      </c>
      <c r="L616" s="41">
        <f t="shared" si="331"/>
        <v>0.47119167397647049</v>
      </c>
      <c r="M616" t="s">
        <v>23</v>
      </c>
      <c r="N616" s="41">
        <v>20.3118687991463</v>
      </c>
      <c r="O616" s="41">
        <f t="shared" si="334"/>
        <v>4.0592409157745188E-2</v>
      </c>
      <c r="P616" s="41" t="s">
        <v>22</v>
      </c>
      <c r="R616" s="41">
        <f t="shared" si="335"/>
        <v>3.8678270360953185E-2</v>
      </c>
      <c r="S616" s="41">
        <f t="shared" si="336"/>
        <v>1.5447454846171274E-4</v>
      </c>
      <c r="T616" s="41" t="s">
        <v>22</v>
      </c>
      <c r="U616" s="41" t="s">
        <v>22</v>
      </c>
      <c r="V616">
        <v>20200511</v>
      </c>
      <c r="W616" s="21" t="s">
        <v>294</v>
      </c>
      <c r="X616" s="18">
        <v>2013</v>
      </c>
      <c r="Y616" t="s">
        <v>328</v>
      </c>
      <c r="Z616" t="s">
        <v>292</v>
      </c>
      <c r="AC616" t="s">
        <v>269</v>
      </c>
      <c r="AD616" s="41" t="s">
        <v>22</v>
      </c>
      <c r="AE616" s="41" t="s">
        <v>22</v>
      </c>
      <c r="AF616" s="41" t="s">
        <v>22</v>
      </c>
      <c r="AG616" s="41" t="s">
        <v>22</v>
      </c>
      <c r="AH616" s="41" t="s">
        <v>22</v>
      </c>
      <c r="AI616" s="41" t="s">
        <v>22</v>
      </c>
      <c r="AJ616" s="41" t="s">
        <v>22</v>
      </c>
      <c r="AK616" s="41" t="s">
        <v>22</v>
      </c>
      <c r="AL616" s="41" t="s">
        <v>22</v>
      </c>
      <c r="AM616" s="43" t="e">
        <f t="shared" si="303"/>
        <v>#VALUE!</v>
      </c>
      <c r="AN616" s="43" t="e">
        <f t="shared" si="304"/>
        <v>#VALUE!</v>
      </c>
      <c r="AO616" s="3" t="s">
        <v>291</v>
      </c>
      <c r="AT616" s="2">
        <f t="shared" si="305"/>
        <v>12</v>
      </c>
      <c r="AU616" s="45">
        <f t="shared" si="306"/>
        <v>-2.7202828378344819</v>
      </c>
      <c r="AV616" s="45">
        <f t="shared" si="307"/>
        <v>-0.30069494481326609</v>
      </c>
      <c r="AW616" s="45">
        <f t="shared" si="308"/>
        <v>-2.419587893021216</v>
      </c>
      <c r="AX616" s="45">
        <f t="shared" si="309"/>
        <v>1.3077498826278355</v>
      </c>
      <c r="AY616" s="45">
        <f t="shared" si="310"/>
        <v>-1.3915551725588984</v>
      </c>
      <c r="AZ616" s="45" t="e">
        <f t="shared" si="311"/>
        <v>#VALUE!</v>
      </c>
      <c r="BA616" s="45">
        <f t="shared" si="312"/>
        <v>0.769551078621726</v>
      </c>
      <c r="BB616" s="45">
        <f t="shared" si="313"/>
        <v>-0.32680239219808127</v>
      </c>
      <c r="BC616" s="45" t="e">
        <f t="shared" si="314"/>
        <v>#VALUE!</v>
      </c>
      <c r="BD616" s="45" t="e">
        <f t="shared" si="315"/>
        <v>#VALUE!</v>
      </c>
      <c r="BE616" s="45" t="e">
        <f t="shared" si="316"/>
        <v>#VALUE!</v>
      </c>
      <c r="BF616" s="45" t="e">
        <f t="shared" si="317"/>
        <v>#VALUE!</v>
      </c>
      <c r="BG616" s="45" t="e">
        <f t="shared" si="318"/>
        <v>#VALUE!</v>
      </c>
      <c r="BH616" s="45" t="e">
        <f t="shared" si="319"/>
        <v>#NUM!</v>
      </c>
      <c r="BI616" s="43" t="e">
        <f t="shared" si="320"/>
        <v>#VALUE!</v>
      </c>
      <c r="CA616" s="41" t="s">
        <v>22</v>
      </c>
      <c r="CC616" t="s">
        <v>22</v>
      </c>
      <c r="CE616" s="41" t="s">
        <v>22</v>
      </c>
      <c r="CF616" s="41" t="s">
        <v>22</v>
      </c>
      <c r="CG616" s="41" t="e">
        <f t="shared" si="337"/>
        <v>#VALUE!</v>
      </c>
      <c r="CH616" s="41" t="e">
        <f t="shared" si="338"/>
        <v>#VALUE!</v>
      </c>
      <c r="CI616" s="41" t="str">
        <f t="shared" si="339"/>
        <v>Not Reported/ Can not calculate</v>
      </c>
      <c r="CJ616" s="41" t="e">
        <f t="shared" si="340"/>
        <v>#VALUE!</v>
      </c>
      <c r="CL616" s="9" t="s">
        <v>1269</v>
      </c>
      <c r="CM616" s="18" t="s">
        <v>1284</v>
      </c>
      <c r="CN616" s="54" t="s">
        <v>1284</v>
      </c>
      <c r="CO616" s="18" t="s">
        <v>1284</v>
      </c>
    </row>
    <row r="617" spans="1:93" x14ac:dyDescent="0.25">
      <c r="A617" t="s">
        <v>315</v>
      </c>
      <c r="B617" s="41">
        <v>3.5011193111226802E-3</v>
      </c>
      <c r="C617" s="41">
        <v>0.61046656093804497</v>
      </c>
      <c r="D617" s="41">
        <f t="shared" si="332"/>
        <v>5.7351532993762154E-3</v>
      </c>
      <c r="E617" s="41" t="s">
        <v>22</v>
      </c>
      <c r="F617" t="s">
        <v>22</v>
      </c>
      <c r="G617" t="s">
        <v>22</v>
      </c>
      <c r="H617" t="s">
        <v>22</v>
      </c>
      <c r="I617" t="s">
        <v>22</v>
      </c>
      <c r="J617" s="41">
        <f>0.17^-1</f>
        <v>5.8823529411764701</v>
      </c>
      <c r="K617">
        <v>532</v>
      </c>
      <c r="L617" s="41">
        <f t="shared" si="331"/>
        <v>0.47119167397647049</v>
      </c>
      <c r="M617" t="s">
        <v>23</v>
      </c>
      <c r="N617" s="41">
        <v>27.182128838018699</v>
      </c>
      <c r="O617" s="41">
        <f t="shared" si="334"/>
        <v>4.4526810438643108E-2</v>
      </c>
      <c r="P617" s="41" t="s">
        <v>22</v>
      </c>
      <c r="R617" s="41">
        <f t="shared" si="335"/>
        <v>9.5167876192211967E-2</v>
      </c>
      <c r="S617" s="41">
        <f t="shared" si="336"/>
        <v>2.5536808379788336E-4</v>
      </c>
      <c r="T617" s="41" t="s">
        <v>22</v>
      </c>
      <c r="U617" s="41" t="s">
        <v>22</v>
      </c>
      <c r="V617">
        <v>20200511</v>
      </c>
      <c r="W617" s="21" t="s">
        <v>294</v>
      </c>
      <c r="X617" s="18">
        <v>2013</v>
      </c>
      <c r="Y617" t="s">
        <v>328</v>
      </c>
      <c r="Z617" t="s">
        <v>292</v>
      </c>
      <c r="AC617" t="s">
        <v>269</v>
      </c>
      <c r="AD617" s="41" t="s">
        <v>22</v>
      </c>
      <c r="AE617" s="41">
        <v>1578.1</v>
      </c>
      <c r="AF617" s="41" t="s">
        <v>22</v>
      </c>
      <c r="AG617" s="41" t="s">
        <v>22</v>
      </c>
      <c r="AH617" s="41" t="s">
        <v>22</v>
      </c>
      <c r="AI617" s="41" t="s">
        <v>22</v>
      </c>
      <c r="AJ617" s="41" t="s">
        <v>22</v>
      </c>
      <c r="AK617" s="41" t="s">
        <v>22</v>
      </c>
      <c r="AL617" s="41" t="s">
        <v>22</v>
      </c>
      <c r="AM617" s="43" t="e">
        <f t="shared" si="303"/>
        <v>#VALUE!</v>
      </c>
      <c r="AN617" s="43" t="e">
        <f t="shared" si="304"/>
        <v>#VALUE!</v>
      </c>
      <c r="AO617" s="3" t="s">
        <v>291</v>
      </c>
      <c r="AT617" s="2">
        <f t="shared" si="305"/>
        <v>12</v>
      </c>
      <c r="AU617" s="45">
        <f t="shared" si="306"/>
        <v>-2.4557930890980626</v>
      </c>
      <c r="AV617" s="45">
        <f t="shared" si="307"/>
        <v>-0.21433812008571798</v>
      </c>
      <c r="AW617" s="45">
        <f t="shared" si="308"/>
        <v>-2.2414549690123446</v>
      </c>
      <c r="AX617" s="45">
        <f t="shared" si="309"/>
        <v>1.4342834666127919</v>
      </c>
      <c r="AY617" s="45">
        <f t="shared" si="310"/>
        <v>-1.3513784133014901</v>
      </c>
      <c r="AZ617" s="45" t="e">
        <f t="shared" si="311"/>
        <v>#VALUE!</v>
      </c>
      <c r="BA617" s="45">
        <f t="shared" si="312"/>
        <v>0.769551078621726</v>
      </c>
      <c r="BB617" s="45">
        <f t="shared" si="313"/>
        <v>-0.32680239219808127</v>
      </c>
      <c r="BC617" s="45" t="e">
        <f t="shared" si="314"/>
        <v>#VALUE!</v>
      </c>
      <c r="BD617" s="45" t="e">
        <f t="shared" si="315"/>
        <v>#VALUE!</v>
      </c>
      <c r="BE617" s="45" t="e">
        <f t="shared" si="316"/>
        <v>#VALUE!</v>
      </c>
      <c r="BF617" s="45" t="e">
        <f t="shared" si="317"/>
        <v>#VALUE!</v>
      </c>
      <c r="BG617" s="45" t="e">
        <f t="shared" si="318"/>
        <v>#VALUE!</v>
      </c>
      <c r="BH617" s="45" t="e">
        <f t="shared" si="319"/>
        <v>#NUM!</v>
      </c>
      <c r="BI617" s="43" t="e">
        <f t="shared" si="320"/>
        <v>#VALUE!</v>
      </c>
      <c r="CA617" s="41" t="s">
        <v>22</v>
      </c>
      <c r="CC617" t="s">
        <v>22</v>
      </c>
      <c r="CE617" s="41" t="s">
        <v>22</v>
      </c>
      <c r="CF617" s="41" t="s">
        <v>22</v>
      </c>
      <c r="CG617" s="41" t="e">
        <f t="shared" si="337"/>
        <v>#VALUE!</v>
      </c>
      <c r="CH617" s="41" t="e">
        <f t="shared" si="338"/>
        <v>#VALUE!</v>
      </c>
      <c r="CI617" s="41" t="str">
        <f t="shared" si="339"/>
        <v>Not Reported/ Can not calculate</v>
      </c>
      <c r="CJ617" s="41" t="e">
        <f t="shared" si="340"/>
        <v>#VALUE!</v>
      </c>
      <c r="CL617" s="9" t="s">
        <v>1269</v>
      </c>
      <c r="CM617" s="18" t="s">
        <v>1284</v>
      </c>
      <c r="CN617" s="54" t="s">
        <v>1284</v>
      </c>
      <c r="CO617" s="18" t="s">
        <v>1284</v>
      </c>
    </row>
    <row r="618" spans="1:93" x14ac:dyDescent="0.25">
      <c r="A618" t="s">
        <v>266</v>
      </c>
      <c r="B618" s="41">
        <v>2.9</v>
      </c>
      <c r="C618" s="41">
        <v>1.3</v>
      </c>
      <c r="D618" s="43">
        <f t="shared" si="332"/>
        <v>2.2307692307692304</v>
      </c>
      <c r="E618" s="41" t="s">
        <v>22</v>
      </c>
      <c r="F618">
        <v>0.98599999999999999</v>
      </c>
      <c r="G618" t="s">
        <v>78</v>
      </c>
      <c r="H618">
        <v>9.4</v>
      </c>
      <c r="I618" t="s">
        <v>82</v>
      </c>
      <c r="J618" s="41">
        <v>50</v>
      </c>
      <c r="K618">
        <v>633</v>
      </c>
      <c r="L618" s="41">
        <f t="shared" si="331"/>
        <v>8.0275837360499995</v>
      </c>
      <c r="M618" t="s">
        <v>45</v>
      </c>
      <c r="N618" s="41">
        <v>1300</v>
      </c>
      <c r="O618" s="41">
        <v>1</v>
      </c>
      <c r="P618" s="41">
        <v>200</v>
      </c>
      <c r="R618" s="41">
        <f t="shared" si="335"/>
        <v>3770</v>
      </c>
      <c r="S618" s="41">
        <f t="shared" si="336"/>
        <v>2.2307692307692304</v>
      </c>
      <c r="T618" s="41">
        <v>3.2</v>
      </c>
      <c r="U618" s="41">
        <v>3.2</v>
      </c>
      <c r="V618">
        <v>20200508</v>
      </c>
      <c r="W618" s="21" t="s">
        <v>179</v>
      </c>
      <c r="X618" s="18">
        <v>2013</v>
      </c>
      <c r="Y618" t="s">
        <v>143</v>
      </c>
      <c r="AC618" t="s">
        <v>514</v>
      </c>
      <c r="AD618" s="41">
        <v>9</v>
      </c>
      <c r="AE618" s="41" t="s">
        <v>22</v>
      </c>
      <c r="AF618" s="41">
        <v>360.7</v>
      </c>
      <c r="AG618" s="41">
        <v>69</v>
      </c>
      <c r="AH618" s="41">
        <v>0.30808080808080829</v>
      </c>
      <c r="AI618" s="41">
        <v>0.30808080808080829</v>
      </c>
      <c r="AJ618" s="41">
        <v>0.27917620137299803</v>
      </c>
      <c r="AK618" s="41">
        <v>0.24400000000000027</v>
      </c>
      <c r="AL618" s="41">
        <v>0.33701657458563633</v>
      </c>
      <c r="AM618" s="43">
        <f t="shared" si="303"/>
        <v>1.093922651933704</v>
      </c>
      <c r="AN618" s="43">
        <f t="shared" si="304"/>
        <v>1.2071823204419911</v>
      </c>
      <c r="AO618" s="3" t="s">
        <v>180</v>
      </c>
      <c r="AT618" s="2">
        <f t="shared" si="305"/>
        <v>3</v>
      </c>
      <c r="AU618" s="45">
        <f t="shared" si="306"/>
        <v>0.46239799789895608</v>
      </c>
      <c r="AV618" s="45">
        <f t="shared" si="307"/>
        <v>0.11394335230683679</v>
      </c>
      <c r="AW618" s="45">
        <f t="shared" si="308"/>
        <v>0.34845464559211925</v>
      </c>
      <c r="AX618" s="45">
        <f t="shared" si="309"/>
        <v>3.1139433523068369</v>
      </c>
      <c r="AY618" s="45">
        <f t="shared" si="310"/>
        <v>0</v>
      </c>
      <c r="AZ618" s="45">
        <f t="shared" si="311"/>
        <v>2.3010299956639813</v>
      </c>
      <c r="BA618" s="45">
        <f t="shared" si="312"/>
        <v>1.6989700043360187</v>
      </c>
      <c r="BB618" s="45">
        <f t="shared" si="313"/>
        <v>0.90458484440543918</v>
      </c>
      <c r="BC618" s="45">
        <f t="shared" si="314"/>
        <v>0.50514997831990605</v>
      </c>
      <c r="BD618" s="45">
        <f t="shared" si="315"/>
        <v>0.95424250943932487</v>
      </c>
      <c r="BE618" s="45">
        <f t="shared" si="316"/>
        <v>2.5571461423183632</v>
      </c>
      <c r="BF618" s="45">
        <f t="shared" si="317"/>
        <v>3.8986615392347518E-2</v>
      </c>
      <c r="BG618" s="45">
        <f t="shared" si="318"/>
        <v>8.1772866437256925E-2</v>
      </c>
      <c r="BH618" s="45" t="e">
        <f t="shared" si="319"/>
        <v>#NUM!</v>
      </c>
      <c r="BI618" s="43">
        <f t="shared" si="320"/>
        <v>2.5571461423183632</v>
      </c>
      <c r="CA618" s="41" t="s">
        <v>22</v>
      </c>
      <c r="CC618" t="s">
        <v>22</v>
      </c>
      <c r="CE618" s="41" t="s">
        <v>22</v>
      </c>
      <c r="CF618" s="41" t="s">
        <v>22</v>
      </c>
      <c r="CG618" s="41">
        <f t="shared" si="337"/>
        <v>9000</v>
      </c>
      <c r="CH618" s="41">
        <f t="shared" si="338"/>
        <v>3.9542425094393248</v>
      </c>
      <c r="CI618" s="41">
        <f t="shared" si="339"/>
        <v>9000</v>
      </c>
      <c r="CJ618" s="41">
        <f t="shared" si="340"/>
        <v>3.9542425094393248</v>
      </c>
      <c r="CL618" s="9" t="s">
        <v>1269</v>
      </c>
      <c r="CM618" s="18" t="s">
        <v>1283</v>
      </c>
      <c r="CN618" s="54" t="s">
        <v>1284</v>
      </c>
      <c r="CO618" s="18" t="s">
        <v>1284</v>
      </c>
    </row>
    <row r="619" spans="1:93" x14ac:dyDescent="0.25">
      <c r="A619" t="s">
        <v>266</v>
      </c>
      <c r="B619" s="41">
        <v>5</v>
      </c>
      <c r="C619" s="41">
        <v>1.4</v>
      </c>
      <c r="D619" s="41">
        <f t="shared" si="332"/>
        <v>3.5714285714285716</v>
      </c>
      <c r="E619" s="41" t="s">
        <v>22</v>
      </c>
      <c r="F619" t="s">
        <v>22</v>
      </c>
      <c r="G619" t="s">
        <v>22</v>
      </c>
      <c r="H619" t="s">
        <v>22</v>
      </c>
      <c r="I619" t="s">
        <v>22</v>
      </c>
      <c r="J619" s="41" t="s">
        <v>22</v>
      </c>
      <c r="K619" t="s">
        <v>22</v>
      </c>
      <c r="L619" s="41" t="e">
        <f t="shared" si="331"/>
        <v>#VALUE!</v>
      </c>
      <c r="M619" t="s">
        <v>45</v>
      </c>
      <c r="N619" s="41" t="s">
        <v>22</v>
      </c>
      <c r="O619" s="41" t="s">
        <v>22</v>
      </c>
      <c r="P619" s="41" t="s">
        <v>22</v>
      </c>
      <c r="R619" s="41" t="s">
        <v>22</v>
      </c>
      <c r="S619" s="41" t="s">
        <v>22</v>
      </c>
      <c r="T619" s="41">
        <v>3.2</v>
      </c>
      <c r="U619" s="41">
        <v>3.2</v>
      </c>
      <c r="V619">
        <v>20200508</v>
      </c>
      <c r="W619" s="21" t="s">
        <v>181</v>
      </c>
      <c r="X619" s="18">
        <v>2013</v>
      </c>
      <c r="Y619" t="s">
        <v>143</v>
      </c>
      <c r="Z619" t="s">
        <v>182</v>
      </c>
      <c r="AA619" t="s">
        <v>894</v>
      </c>
      <c r="AB619" s="41">
        <v>2.9</v>
      </c>
      <c r="AC619" t="s">
        <v>514</v>
      </c>
      <c r="AD619" s="41" t="s">
        <v>22</v>
      </c>
      <c r="AE619" s="41" t="s">
        <v>22</v>
      </c>
      <c r="AF619" s="41">
        <v>647</v>
      </c>
      <c r="AG619" s="41">
        <v>50.8</v>
      </c>
      <c r="AH619" s="41">
        <v>0.13974799541809857</v>
      </c>
      <c r="AI619" s="41">
        <v>0.13974799541809857</v>
      </c>
      <c r="AJ619" s="41">
        <v>0.13347921225382939</v>
      </c>
      <c r="AK619" s="41">
        <v>0.12801678908709349</v>
      </c>
      <c r="AL619" s="41">
        <v>0.18263473053892229</v>
      </c>
      <c r="AM619" s="43">
        <f t="shared" si="303"/>
        <v>1.3068862275449107</v>
      </c>
      <c r="AN619" s="43">
        <f t="shared" si="304"/>
        <v>1.3682634730538925</v>
      </c>
      <c r="AO619" s="3" t="s">
        <v>180</v>
      </c>
      <c r="AT619" s="2">
        <f t="shared" si="305"/>
        <v>3</v>
      </c>
      <c r="AU619" s="45">
        <f t="shared" si="306"/>
        <v>0.69897000433601886</v>
      </c>
      <c r="AV619" s="45">
        <f t="shared" si="307"/>
        <v>0.14612803567823801</v>
      </c>
      <c r="AW619" s="45">
        <f t="shared" si="308"/>
        <v>0.55284196865778079</v>
      </c>
      <c r="AX619" s="45" t="e">
        <f t="shared" si="309"/>
        <v>#VALUE!</v>
      </c>
      <c r="AY619" s="45" t="e">
        <f t="shared" si="310"/>
        <v>#VALUE!</v>
      </c>
      <c r="AZ619" s="45" t="e">
        <f t="shared" si="311"/>
        <v>#VALUE!</v>
      </c>
      <c r="BA619" s="45" t="e">
        <f t="shared" si="312"/>
        <v>#VALUE!</v>
      </c>
      <c r="BB619" s="45" t="e">
        <f t="shared" si="313"/>
        <v>#VALUE!</v>
      </c>
      <c r="BC619" s="45">
        <f t="shared" si="314"/>
        <v>0.50514997831990605</v>
      </c>
      <c r="BD619" s="45" t="e">
        <f t="shared" si="315"/>
        <v>#VALUE!</v>
      </c>
      <c r="BE619" s="45">
        <f t="shared" si="316"/>
        <v>2.8109042806687006</v>
      </c>
      <c r="BF619" s="45">
        <f t="shared" si="317"/>
        <v>0.11623778123002422</v>
      </c>
      <c r="BG619" s="45">
        <f t="shared" si="318"/>
        <v>0.13616973325828585</v>
      </c>
      <c r="BH619" s="45">
        <f t="shared" si="319"/>
        <v>0.46239799789895608</v>
      </c>
      <c r="BI619" s="43">
        <f t="shared" si="320"/>
        <v>2.8109042806687006</v>
      </c>
      <c r="CA619" s="41" t="s">
        <v>22</v>
      </c>
      <c r="CC619" t="s">
        <v>22</v>
      </c>
      <c r="CE619" s="41" t="s">
        <v>22</v>
      </c>
      <c r="CF619" s="41" t="s">
        <v>22</v>
      </c>
      <c r="CG619" s="41" t="e">
        <f t="shared" si="337"/>
        <v>#VALUE!</v>
      </c>
      <c r="CH619" s="41" t="e">
        <f t="shared" si="338"/>
        <v>#VALUE!</v>
      </c>
      <c r="CI619" s="41">
        <f t="shared" si="339"/>
        <v>3.2</v>
      </c>
      <c r="CJ619" s="41">
        <f t="shared" si="340"/>
        <v>0.50514997831990605</v>
      </c>
      <c r="CL619" s="9" t="s">
        <v>1269</v>
      </c>
      <c r="CM619" s="18" t="s">
        <v>1285</v>
      </c>
      <c r="CN619" s="54" t="s">
        <v>1284</v>
      </c>
      <c r="CO619" s="18" t="s">
        <v>1284</v>
      </c>
    </row>
    <row r="620" spans="1:93" x14ac:dyDescent="0.25">
      <c r="A620" t="s">
        <v>266</v>
      </c>
      <c r="B620" s="41">
        <v>0.4</v>
      </c>
      <c r="C620" s="41" t="s">
        <v>22</v>
      </c>
      <c r="D620" s="41" t="s">
        <v>22</v>
      </c>
      <c r="E620" s="41" t="s">
        <v>22</v>
      </c>
      <c r="F620" t="s">
        <v>22</v>
      </c>
      <c r="G620" t="s">
        <v>22</v>
      </c>
      <c r="H620" t="s">
        <v>22</v>
      </c>
      <c r="I620" t="s">
        <v>22</v>
      </c>
      <c r="J620" s="41" t="s">
        <v>22</v>
      </c>
      <c r="K620" t="s">
        <v>22</v>
      </c>
      <c r="L620" s="41" t="e">
        <f t="shared" si="331"/>
        <v>#VALUE!</v>
      </c>
      <c r="M620" t="s">
        <v>23</v>
      </c>
      <c r="N620" s="41" t="s">
        <v>22</v>
      </c>
      <c r="O620" s="41" t="s">
        <v>22</v>
      </c>
      <c r="P620" s="41" t="s">
        <v>22</v>
      </c>
      <c r="R620" s="41" t="s">
        <v>22</v>
      </c>
      <c r="S620" s="41" t="s">
        <v>22</v>
      </c>
      <c r="T620" s="41">
        <v>3.2</v>
      </c>
      <c r="U620" s="41">
        <v>3.2</v>
      </c>
      <c r="V620">
        <v>20200508</v>
      </c>
      <c r="W620" s="21" t="s">
        <v>183</v>
      </c>
      <c r="X620" s="18">
        <v>2013</v>
      </c>
      <c r="Y620" t="s">
        <v>143</v>
      </c>
      <c r="Z620" t="s">
        <v>34</v>
      </c>
      <c r="AC620" t="s">
        <v>514</v>
      </c>
      <c r="AD620" s="41" t="s">
        <v>22</v>
      </c>
      <c r="AE620" s="41" t="s">
        <v>22</v>
      </c>
      <c r="AF620" s="41">
        <v>580</v>
      </c>
      <c r="AG620" s="41">
        <v>196</v>
      </c>
      <c r="AH620" s="41">
        <v>4.7965738758029941</v>
      </c>
      <c r="AI620" s="41">
        <v>4.7965738758029941</v>
      </c>
      <c r="AJ620" s="41">
        <v>3.5275590551181084</v>
      </c>
      <c r="AK620" s="41">
        <v>2.2649140546006072</v>
      </c>
      <c r="AL620" s="41">
        <v>2.0993439550140569</v>
      </c>
      <c r="AM620" s="43">
        <f t="shared" si="303"/>
        <v>0.43767572633552027</v>
      </c>
      <c r="AN620" s="43">
        <f t="shared" si="304"/>
        <v>0.59512652296157442</v>
      </c>
      <c r="AO620" s="3" t="s">
        <v>180</v>
      </c>
      <c r="AT620" s="2">
        <f t="shared" si="305"/>
        <v>3</v>
      </c>
      <c r="AU620" s="45">
        <f t="shared" si="306"/>
        <v>-0.3979400086720376</v>
      </c>
      <c r="AV620" s="45" t="e">
        <f t="shared" si="307"/>
        <v>#VALUE!</v>
      </c>
      <c r="AW620" s="45" t="e">
        <f t="shared" si="308"/>
        <v>#VALUE!</v>
      </c>
      <c r="AX620" s="45" t="e">
        <f t="shared" si="309"/>
        <v>#VALUE!</v>
      </c>
      <c r="AY620" s="45" t="e">
        <f t="shared" si="310"/>
        <v>#VALUE!</v>
      </c>
      <c r="AZ620" s="45" t="e">
        <f t="shared" si="311"/>
        <v>#VALUE!</v>
      </c>
      <c r="BA620" s="45" t="e">
        <f t="shared" si="312"/>
        <v>#VALUE!</v>
      </c>
      <c r="BB620" s="45" t="e">
        <f t="shared" si="313"/>
        <v>#VALUE!</v>
      </c>
      <c r="BC620" s="45">
        <f t="shared" si="314"/>
        <v>0.50514997831990605</v>
      </c>
      <c r="BD620" s="45" t="e">
        <f t="shared" si="315"/>
        <v>#VALUE!</v>
      </c>
      <c r="BE620" s="45">
        <f t="shared" si="316"/>
        <v>2.7634279935629373</v>
      </c>
      <c r="BF620" s="45">
        <f t="shared" si="317"/>
        <v>-0.35884753885835763</v>
      </c>
      <c r="BG620" s="45">
        <f t="shared" si="318"/>
        <v>-0.2253906941324943</v>
      </c>
      <c r="BH620" s="45" t="e">
        <f t="shared" si="319"/>
        <v>#NUM!</v>
      </c>
      <c r="BI620" s="43">
        <f t="shared" si="320"/>
        <v>2.7634279935629373</v>
      </c>
      <c r="CA620" s="41" t="s">
        <v>22</v>
      </c>
      <c r="CC620" t="s">
        <v>22</v>
      </c>
      <c r="CE620" s="41" t="s">
        <v>22</v>
      </c>
      <c r="CF620" s="41" t="s">
        <v>22</v>
      </c>
      <c r="CG620" s="41" t="e">
        <f t="shared" si="337"/>
        <v>#VALUE!</v>
      </c>
      <c r="CH620" s="41" t="e">
        <f t="shared" si="338"/>
        <v>#VALUE!</v>
      </c>
      <c r="CI620" s="41">
        <f t="shared" si="339"/>
        <v>3.2</v>
      </c>
      <c r="CJ620" s="41">
        <f t="shared" si="340"/>
        <v>0.50514997831990605</v>
      </c>
      <c r="CL620" s="9" t="s">
        <v>1269</v>
      </c>
      <c r="CM620" s="18" t="s">
        <v>1285</v>
      </c>
      <c r="CN620" s="54" t="s">
        <v>1284</v>
      </c>
      <c r="CO620" s="18" t="s">
        <v>1284</v>
      </c>
    </row>
    <row r="621" spans="1:93" s="9" customFormat="1" x14ac:dyDescent="0.25">
      <c r="A621" s="9" t="s">
        <v>141</v>
      </c>
      <c r="B621" s="50">
        <f>270*100*10^-6</f>
        <v>2.7E-2</v>
      </c>
      <c r="C621" s="50" t="s">
        <v>22</v>
      </c>
      <c r="D621" s="50" t="s">
        <v>22</v>
      </c>
      <c r="E621" s="50" t="s">
        <v>22</v>
      </c>
      <c r="F621" s="9" t="s">
        <v>22</v>
      </c>
      <c r="G621" s="9" t="s">
        <v>22</v>
      </c>
      <c r="H621" s="9" t="s">
        <v>22</v>
      </c>
      <c r="I621" s="9" t="s">
        <v>22</v>
      </c>
      <c r="J621" s="50" t="s">
        <v>22</v>
      </c>
      <c r="K621" s="9" t="s">
        <v>22</v>
      </c>
      <c r="L621" s="50"/>
      <c r="M621" s="9" t="s">
        <v>23</v>
      </c>
      <c r="N621" s="50">
        <v>570</v>
      </c>
      <c r="O621" s="50" t="s">
        <v>22</v>
      </c>
      <c r="P621" s="50">
        <v>57.1</v>
      </c>
      <c r="Q621" s="50"/>
      <c r="R621" s="50">
        <f>N621*B621</f>
        <v>15.39</v>
      </c>
      <c r="S621" s="50" t="s">
        <v>22</v>
      </c>
      <c r="T621" s="50">
        <v>20</v>
      </c>
      <c r="U621" s="50">
        <v>20</v>
      </c>
      <c r="V621" s="9">
        <v>20201129</v>
      </c>
      <c r="W621" s="21"/>
      <c r="X621" s="21">
        <v>2013</v>
      </c>
      <c r="Y621" s="21" t="s">
        <v>26</v>
      </c>
      <c r="Z621" s="9" t="s">
        <v>32</v>
      </c>
      <c r="AB621" s="50"/>
      <c r="AC621" s="9" t="s">
        <v>514</v>
      </c>
      <c r="AD621" s="50" t="s">
        <v>22</v>
      </c>
      <c r="AE621" s="50" t="s">
        <v>22</v>
      </c>
      <c r="AF621" s="50">
        <v>165</v>
      </c>
      <c r="AG621" s="50" t="s">
        <v>22</v>
      </c>
      <c r="AH621" s="50" t="s">
        <v>22</v>
      </c>
      <c r="AI621" s="50" t="s">
        <v>22</v>
      </c>
      <c r="AJ621" s="50"/>
      <c r="AK621" s="50" t="s">
        <v>22</v>
      </c>
      <c r="AL621" s="50" t="s">
        <v>22</v>
      </c>
      <c r="AM621" s="43" t="e">
        <f t="shared" si="303"/>
        <v>#VALUE!</v>
      </c>
      <c r="AN621" s="43" t="e">
        <f t="shared" si="304"/>
        <v>#VALUE!</v>
      </c>
      <c r="AO621" s="21" t="s">
        <v>1181</v>
      </c>
      <c r="AT621" s="2">
        <f t="shared" si="305"/>
        <v>1</v>
      </c>
      <c r="AU621" s="45">
        <f t="shared" si="306"/>
        <v>-1.5686362358410126</v>
      </c>
      <c r="AV621" s="45" t="e">
        <f t="shared" si="307"/>
        <v>#VALUE!</v>
      </c>
      <c r="AW621" s="45" t="e">
        <f t="shared" si="308"/>
        <v>#VALUE!</v>
      </c>
      <c r="AX621" s="45">
        <f t="shared" si="309"/>
        <v>2.7558748556724915</v>
      </c>
      <c r="AY621" s="45" t="e">
        <f t="shared" si="310"/>
        <v>#VALUE!</v>
      </c>
      <c r="AZ621" s="45">
        <f t="shared" si="311"/>
        <v>1.7566361082458481</v>
      </c>
      <c r="BA621" s="45" t="e">
        <f t="shared" si="312"/>
        <v>#VALUE!</v>
      </c>
      <c r="BB621" s="45" t="e">
        <f t="shared" si="313"/>
        <v>#NUM!</v>
      </c>
      <c r="BC621" s="45">
        <f t="shared" si="314"/>
        <v>1.3010299956639813</v>
      </c>
      <c r="BD621" s="45" t="e">
        <f t="shared" si="315"/>
        <v>#VALUE!</v>
      </c>
      <c r="BE621" s="45">
        <f t="shared" si="316"/>
        <v>2.2174839442139063</v>
      </c>
      <c r="BF621" s="45" t="e">
        <f t="shared" si="317"/>
        <v>#VALUE!</v>
      </c>
      <c r="BG621" s="45" t="e">
        <f t="shared" si="318"/>
        <v>#VALUE!</v>
      </c>
      <c r="BH621" s="45" t="e">
        <f t="shared" si="319"/>
        <v>#NUM!</v>
      </c>
      <c r="BI621" s="43">
        <f t="shared" si="320"/>
        <v>2.2174839442139063</v>
      </c>
      <c r="BL621" s="20"/>
      <c r="BM621" s="50"/>
      <c r="BN621" s="50"/>
      <c r="BO621" s="50"/>
      <c r="BP621" s="50"/>
      <c r="BQ621" s="50"/>
      <c r="BR621" s="50"/>
      <c r="BU621" s="50"/>
      <c r="BV621" s="50"/>
      <c r="BW621" s="50"/>
      <c r="BX621" s="50"/>
      <c r="BY621" s="50"/>
      <c r="BZ621" s="50"/>
      <c r="CA621" s="50" t="s">
        <v>22</v>
      </c>
      <c r="CE621" s="50"/>
      <c r="CF621" s="50"/>
      <c r="CG621" s="50"/>
      <c r="CH621" s="50"/>
      <c r="CI621" s="50">
        <f t="shared" ref="CI621" si="341">IF(ISNUMBER(CG621),CG621,U621)</f>
        <v>20</v>
      </c>
      <c r="CJ621" s="50">
        <f t="shared" ref="CJ621" si="342">LOG10(CI621)</f>
        <v>1.3010299956639813</v>
      </c>
      <c r="CL621" s="9" t="s">
        <v>1269</v>
      </c>
      <c r="CM621" s="9" t="s">
        <v>1285</v>
      </c>
      <c r="CN621" s="55" t="s">
        <v>1284</v>
      </c>
      <c r="CO621" s="9" t="s">
        <v>1284</v>
      </c>
    </row>
    <row r="622" spans="1:93" x14ac:dyDescent="0.25">
      <c r="A622" s="2" t="s">
        <v>352</v>
      </c>
      <c r="B622" s="43" t="s">
        <v>22</v>
      </c>
      <c r="C622" s="43">
        <v>2.1</v>
      </c>
      <c r="D622" s="43" t="s">
        <v>22</v>
      </c>
      <c r="E622" s="43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43" t="s">
        <v>22</v>
      </c>
      <c r="K622" s="2" t="s">
        <v>22</v>
      </c>
      <c r="L622" s="43"/>
      <c r="M622" s="2" t="s">
        <v>23</v>
      </c>
      <c r="N622" s="43" t="s">
        <v>22</v>
      </c>
      <c r="O622" s="43" t="s">
        <v>22</v>
      </c>
      <c r="P622" s="43" t="s">
        <v>22</v>
      </c>
      <c r="Q622" s="43"/>
      <c r="R622" s="43" t="s">
        <v>22</v>
      </c>
      <c r="S622" s="43" t="s">
        <v>22</v>
      </c>
      <c r="T622" s="43">
        <v>60</v>
      </c>
      <c r="U622" s="43">
        <v>60</v>
      </c>
      <c r="V622" s="2">
        <v>20200519</v>
      </c>
      <c r="W622" s="2" t="s">
        <v>955</v>
      </c>
      <c r="X622" s="2">
        <v>2013</v>
      </c>
      <c r="Y622" s="2" t="s">
        <v>1133</v>
      </c>
      <c r="Z622" s="2" t="s">
        <v>32</v>
      </c>
      <c r="AA622" s="2" t="s">
        <v>22</v>
      </c>
      <c r="AB622" s="43" t="s">
        <v>22</v>
      </c>
      <c r="AC622" s="2" t="s">
        <v>22</v>
      </c>
      <c r="AD622" s="43" t="s">
        <v>22</v>
      </c>
      <c r="AE622" s="43" t="s">
        <v>22</v>
      </c>
      <c r="AF622" s="43" t="s">
        <v>22</v>
      </c>
      <c r="AG622" s="43" t="s">
        <v>22</v>
      </c>
      <c r="AH622" s="43" t="s">
        <v>22</v>
      </c>
      <c r="AI622" s="43" t="s">
        <v>22</v>
      </c>
      <c r="AJ622" s="43" t="s">
        <v>22</v>
      </c>
      <c r="AK622" s="43" t="s">
        <v>22</v>
      </c>
      <c r="AL622" s="43" t="s">
        <v>22</v>
      </c>
      <c r="AM622" s="43" t="e">
        <f t="shared" si="303"/>
        <v>#VALUE!</v>
      </c>
      <c r="AN622" s="43" t="e">
        <f t="shared" si="304"/>
        <v>#VALUE!</v>
      </c>
      <c r="AO622" s="2" t="s">
        <v>839</v>
      </c>
      <c r="AP622" s="2"/>
      <c r="AQ622" s="2"/>
      <c r="AR622" s="2"/>
      <c r="AS622" s="2"/>
      <c r="AT622" s="2">
        <f t="shared" si="305"/>
        <v>2</v>
      </c>
      <c r="AU622" s="45" t="e">
        <f t="shared" si="306"/>
        <v>#VALUE!</v>
      </c>
      <c r="AV622" s="45">
        <f t="shared" si="307"/>
        <v>0.3222192947339193</v>
      </c>
      <c r="AW622" s="45" t="e">
        <f t="shared" si="308"/>
        <v>#VALUE!</v>
      </c>
      <c r="AX622" s="45" t="e">
        <f t="shared" si="309"/>
        <v>#VALUE!</v>
      </c>
      <c r="AY622" s="45" t="e">
        <f t="shared" si="310"/>
        <v>#VALUE!</v>
      </c>
      <c r="AZ622" s="45" t="e">
        <f t="shared" si="311"/>
        <v>#VALUE!</v>
      </c>
      <c r="BA622" s="45" t="e">
        <f t="shared" si="312"/>
        <v>#VALUE!</v>
      </c>
      <c r="BB622" s="45" t="e">
        <f t="shared" si="313"/>
        <v>#NUM!</v>
      </c>
      <c r="BC622" s="45">
        <f t="shared" si="314"/>
        <v>1.7781512503836436</v>
      </c>
      <c r="BD622" s="45" t="e">
        <f t="shared" si="315"/>
        <v>#VALUE!</v>
      </c>
      <c r="BE622" s="45" t="e">
        <f t="shared" si="316"/>
        <v>#VALUE!</v>
      </c>
      <c r="BF622" s="45" t="e">
        <f t="shared" si="317"/>
        <v>#VALUE!</v>
      </c>
      <c r="BG622" s="45" t="e">
        <f t="shared" si="318"/>
        <v>#VALUE!</v>
      </c>
      <c r="BH622" s="45" t="e">
        <f t="shared" si="319"/>
        <v>#VALUE!</v>
      </c>
      <c r="BI622" s="43" t="e">
        <f t="shared" si="320"/>
        <v>#VALUE!</v>
      </c>
      <c r="BJ622" s="2" t="s">
        <v>520</v>
      </c>
      <c r="BK622" s="2" t="s">
        <v>22</v>
      </c>
      <c r="BL622" s="2" t="s">
        <v>22</v>
      </c>
      <c r="BM622" s="43" t="s">
        <v>22</v>
      </c>
      <c r="BN622" s="43" t="s">
        <v>22</v>
      </c>
      <c r="BO622" s="43" t="e">
        <f>BN622/(C622*1000000)</f>
        <v>#VALUE!</v>
      </c>
      <c r="BP622" s="43" t="s">
        <v>22</v>
      </c>
      <c r="BQ622" s="43" t="s">
        <v>22</v>
      </c>
      <c r="BR622" s="43" t="s">
        <v>22</v>
      </c>
      <c r="BS622" s="2" t="s">
        <v>522</v>
      </c>
      <c r="BT622" s="2" t="s">
        <v>871</v>
      </c>
      <c r="BU622" s="43" t="s">
        <v>22</v>
      </c>
      <c r="BV622" s="43">
        <v>40000000000</v>
      </c>
      <c r="BW622" s="43" t="s">
        <v>22</v>
      </c>
      <c r="BX622" s="43" t="s">
        <v>22</v>
      </c>
      <c r="BY622" s="43" t="s">
        <v>22</v>
      </c>
      <c r="BZ622" s="43">
        <v>2</v>
      </c>
      <c r="CA622" s="43">
        <v>2</v>
      </c>
      <c r="CB622" s="2"/>
      <c r="CC622" t="s">
        <v>1009</v>
      </c>
      <c r="CE622" s="41" t="e">
        <f>LOG10(BN622)</f>
        <v>#VALUE!</v>
      </c>
      <c r="CF622" s="41">
        <f>LOG10(BV622)</f>
        <v>10.602059991327963</v>
      </c>
      <c r="CG622" s="41" t="e">
        <f>AD622*1000</f>
        <v>#VALUE!</v>
      </c>
      <c r="CH622" s="41" t="e">
        <f>LOG10(CG622)</f>
        <v>#VALUE!</v>
      </c>
      <c r="CI622" s="41">
        <f>IF(ISNUMBER(CG622),CG622,U622)</f>
        <v>60</v>
      </c>
      <c r="CJ622" s="41">
        <f>LOG10(CI622)</f>
        <v>1.7781512503836436</v>
      </c>
      <c r="CL622" s="9" t="s">
        <v>1269</v>
      </c>
      <c r="CM622" s="18" t="s">
        <v>1285</v>
      </c>
      <c r="CN622" s="54">
        <v>0.3010299956639812</v>
      </c>
      <c r="CO622" s="18" t="s">
        <v>1286</v>
      </c>
    </row>
    <row r="623" spans="1:93" x14ac:dyDescent="0.25">
      <c r="A623" s="2" t="s">
        <v>1267</v>
      </c>
      <c r="B623" s="43" t="s">
        <v>22</v>
      </c>
      <c r="C623" s="43" t="s">
        <v>22</v>
      </c>
      <c r="D623" s="43" t="s">
        <v>22</v>
      </c>
      <c r="E623" s="43" t="s">
        <v>22</v>
      </c>
      <c r="F623" s="2" t="s">
        <v>22</v>
      </c>
      <c r="G623" s="2" t="s">
        <v>22</v>
      </c>
      <c r="H623" s="2" t="s">
        <v>22</v>
      </c>
      <c r="I623" s="2" t="s">
        <v>22</v>
      </c>
      <c r="J623" s="43" t="s">
        <v>22</v>
      </c>
      <c r="K623" s="2" t="s">
        <v>22</v>
      </c>
      <c r="L623" s="43"/>
      <c r="M623" s="2" t="s">
        <v>23</v>
      </c>
      <c r="N623" s="43" t="s">
        <v>22</v>
      </c>
      <c r="O623" s="43" t="s">
        <v>22</v>
      </c>
      <c r="P623" s="43" t="s">
        <v>22</v>
      </c>
      <c r="Q623" s="43"/>
      <c r="R623" s="43" t="s">
        <v>22</v>
      </c>
      <c r="S623" s="43" t="s">
        <v>22</v>
      </c>
      <c r="T623" s="43">
        <v>67</v>
      </c>
      <c r="U623" s="43">
        <v>67</v>
      </c>
      <c r="V623" s="2">
        <v>20200519</v>
      </c>
      <c r="W623" s="2" t="s">
        <v>840</v>
      </c>
      <c r="X623" s="2">
        <v>2013</v>
      </c>
      <c r="Y623" s="2" t="s">
        <v>1133</v>
      </c>
      <c r="Z623" s="2" t="s">
        <v>32</v>
      </c>
      <c r="AA623" s="2" t="s">
        <v>22</v>
      </c>
      <c r="AB623" s="43" t="s">
        <v>22</v>
      </c>
      <c r="AC623" s="2" t="s">
        <v>22</v>
      </c>
      <c r="AD623" s="43" t="s">
        <v>22</v>
      </c>
      <c r="AE623" s="43" t="s">
        <v>22</v>
      </c>
      <c r="AF623" s="43" t="s">
        <v>22</v>
      </c>
      <c r="AG623" s="43" t="s">
        <v>22</v>
      </c>
      <c r="AH623" s="43" t="s">
        <v>22</v>
      </c>
      <c r="AI623" s="43" t="s">
        <v>22</v>
      </c>
      <c r="AJ623" s="43" t="s">
        <v>22</v>
      </c>
      <c r="AK623" s="43" t="s">
        <v>22</v>
      </c>
      <c r="AL623" s="43" t="s">
        <v>22</v>
      </c>
      <c r="AM623" s="43" t="e">
        <f t="shared" si="303"/>
        <v>#VALUE!</v>
      </c>
      <c r="AN623" s="43" t="e">
        <f t="shared" si="304"/>
        <v>#VALUE!</v>
      </c>
      <c r="AO623" s="2" t="s">
        <v>839</v>
      </c>
      <c r="AP623" s="2"/>
      <c r="AQ623" s="2"/>
      <c r="AR623" s="2"/>
      <c r="AS623" s="2"/>
      <c r="AT623" s="2">
        <f t="shared" si="305"/>
        <v>2</v>
      </c>
      <c r="AU623" s="45" t="e">
        <f t="shared" si="306"/>
        <v>#VALUE!</v>
      </c>
      <c r="AV623" s="45" t="e">
        <f t="shared" si="307"/>
        <v>#VALUE!</v>
      </c>
      <c r="AW623" s="45" t="e">
        <f t="shared" si="308"/>
        <v>#VALUE!</v>
      </c>
      <c r="AX623" s="45" t="e">
        <f t="shared" si="309"/>
        <v>#VALUE!</v>
      </c>
      <c r="AY623" s="45" t="e">
        <f t="shared" si="310"/>
        <v>#VALUE!</v>
      </c>
      <c r="AZ623" s="45" t="e">
        <f t="shared" si="311"/>
        <v>#VALUE!</v>
      </c>
      <c r="BA623" s="45" t="e">
        <f t="shared" si="312"/>
        <v>#VALUE!</v>
      </c>
      <c r="BB623" s="45" t="e">
        <f t="shared" si="313"/>
        <v>#NUM!</v>
      </c>
      <c r="BC623" s="45">
        <f t="shared" si="314"/>
        <v>1.8260748027008264</v>
      </c>
      <c r="BD623" s="45" t="e">
        <f t="shared" si="315"/>
        <v>#VALUE!</v>
      </c>
      <c r="BE623" s="45" t="e">
        <f t="shared" si="316"/>
        <v>#VALUE!</v>
      </c>
      <c r="BF623" s="45" t="e">
        <f t="shared" si="317"/>
        <v>#VALUE!</v>
      </c>
      <c r="BG623" s="45" t="e">
        <f t="shared" si="318"/>
        <v>#VALUE!</v>
      </c>
      <c r="BH623" s="45" t="e">
        <f t="shared" si="319"/>
        <v>#VALUE!</v>
      </c>
      <c r="BI623" s="43" t="e">
        <f t="shared" si="320"/>
        <v>#VALUE!</v>
      </c>
      <c r="BJ623" s="2" t="s">
        <v>520</v>
      </c>
      <c r="BK623" s="2" t="s">
        <v>22</v>
      </c>
      <c r="BL623" s="2" t="s">
        <v>22</v>
      </c>
      <c r="BM623" s="43" t="s">
        <v>22</v>
      </c>
      <c r="BN623" s="43" t="s">
        <v>22</v>
      </c>
      <c r="BO623" s="43" t="e">
        <f>BN623/(C623*1000000)</f>
        <v>#VALUE!</v>
      </c>
      <c r="BP623" s="43" t="s">
        <v>22</v>
      </c>
      <c r="BQ623" s="43" t="s">
        <v>22</v>
      </c>
      <c r="BR623" s="43" t="s">
        <v>22</v>
      </c>
      <c r="BS623" s="2" t="s">
        <v>522</v>
      </c>
      <c r="BT623" s="2" t="s">
        <v>871</v>
      </c>
      <c r="BU623" s="43">
        <v>0.45700000000000002</v>
      </c>
      <c r="BV623" s="43">
        <v>130000000000</v>
      </c>
      <c r="BW623" s="43" t="s">
        <v>22</v>
      </c>
      <c r="BX623" s="43" t="s">
        <v>22</v>
      </c>
      <c r="BY623" s="43" t="s">
        <v>22</v>
      </c>
      <c r="BZ623" s="43">
        <v>2</v>
      </c>
      <c r="CA623" s="43">
        <v>2</v>
      </c>
      <c r="CB623" s="2"/>
      <c r="CC623" t="s">
        <v>1009</v>
      </c>
      <c r="CE623" s="41" t="e">
        <f>LOG10(BN623)</f>
        <v>#VALUE!</v>
      </c>
      <c r="CF623" s="41">
        <f>LOG10(BV623)</f>
        <v>11.113943352306837</v>
      </c>
      <c r="CG623" s="41" t="e">
        <f>AD623*1000</f>
        <v>#VALUE!</v>
      </c>
      <c r="CH623" s="41" t="e">
        <f>LOG10(CG623)</f>
        <v>#VALUE!</v>
      </c>
      <c r="CI623" s="41">
        <f>IF(ISNUMBER(CG623),CG623,U623)</f>
        <v>67</v>
      </c>
      <c r="CJ623" s="41">
        <f>LOG10(CI623)</f>
        <v>1.8260748027008264</v>
      </c>
      <c r="CL623" s="9" t="s">
        <v>407</v>
      </c>
      <c r="CM623" s="18" t="s">
        <v>1285</v>
      </c>
      <c r="CN623" s="54">
        <v>0.3010299956639812</v>
      </c>
      <c r="CO623" s="18" t="s">
        <v>1286</v>
      </c>
    </row>
    <row r="624" spans="1:93" s="9" customFormat="1" x14ac:dyDescent="0.25">
      <c r="A624" s="9" t="s">
        <v>141</v>
      </c>
      <c r="B624" s="50" t="s">
        <v>22</v>
      </c>
      <c r="C624" s="50">
        <f>(10^-3)*N624/O624</f>
        <v>0.17777777777777778</v>
      </c>
      <c r="D624" s="50" t="s">
        <v>22</v>
      </c>
      <c r="E624" s="50" t="s">
        <v>22</v>
      </c>
      <c r="F624" s="9" t="s">
        <v>22</v>
      </c>
      <c r="G624" s="9" t="s">
        <v>22</v>
      </c>
      <c r="H624" s="9" t="s">
        <v>22</v>
      </c>
      <c r="I624" s="9" t="s">
        <v>22</v>
      </c>
      <c r="J624" s="50"/>
      <c r="K624" s="9" t="s">
        <v>22</v>
      </c>
      <c r="L624" s="50" t="e">
        <f>IF((10^-12)*J624*K624^4=0,"",(10^-12)*J624*K624^4)</f>
        <v>#VALUE!</v>
      </c>
      <c r="M624" s="9" t="s">
        <v>23</v>
      </c>
      <c r="N624" s="50">
        <v>320</v>
      </c>
      <c r="O624" s="50">
        <v>1.8</v>
      </c>
      <c r="P624" s="50">
        <v>25</v>
      </c>
      <c r="Q624" s="50"/>
      <c r="R624" s="50" t="s">
        <v>22</v>
      </c>
      <c r="S624" s="50" t="s">
        <v>22</v>
      </c>
      <c r="T624" s="50">
        <v>10</v>
      </c>
      <c r="U624" s="50">
        <v>10</v>
      </c>
      <c r="V624" s="9">
        <v>20200716</v>
      </c>
      <c r="W624" s="21" t="s">
        <v>1074</v>
      </c>
      <c r="X624" s="21">
        <v>2013</v>
      </c>
      <c r="Y624" s="9" t="s">
        <v>26</v>
      </c>
      <c r="Z624" s="9" t="s">
        <v>53</v>
      </c>
      <c r="AB624" s="50"/>
      <c r="AC624" s="9" t="s">
        <v>514</v>
      </c>
      <c r="AD624" s="50" t="s">
        <v>22</v>
      </c>
      <c r="AE624" s="50" t="s">
        <v>22</v>
      </c>
      <c r="AF624" s="50" t="s">
        <v>22</v>
      </c>
      <c r="AG624" s="50" t="s">
        <v>22</v>
      </c>
      <c r="AH624" s="50" t="s">
        <v>22</v>
      </c>
      <c r="AI624" s="50" t="s">
        <v>22</v>
      </c>
      <c r="AJ624" s="50" t="s">
        <v>22</v>
      </c>
      <c r="AK624" s="50" t="s">
        <v>22</v>
      </c>
      <c r="AL624" s="50" t="s">
        <v>22</v>
      </c>
      <c r="AM624" s="43" t="e">
        <f t="shared" si="303"/>
        <v>#VALUE!</v>
      </c>
      <c r="AN624" s="43" t="e">
        <f t="shared" si="304"/>
        <v>#VALUE!</v>
      </c>
      <c r="AO624" s="21" t="s">
        <v>1073</v>
      </c>
      <c r="AT624" s="2">
        <f t="shared" si="305"/>
        <v>3</v>
      </c>
      <c r="AU624" s="45" t="e">
        <f t="shared" si="306"/>
        <v>#VALUE!</v>
      </c>
      <c r="AV624" s="45">
        <f t="shared" si="307"/>
        <v>-0.75012252678340008</v>
      </c>
      <c r="AW624" s="45" t="e">
        <f t="shared" si="308"/>
        <v>#VALUE!</v>
      </c>
      <c r="AX624" s="45">
        <f t="shared" si="309"/>
        <v>2.5051499783199058</v>
      </c>
      <c r="AY624" s="45">
        <f t="shared" si="310"/>
        <v>0.25527250510330607</v>
      </c>
      <c r="AZ624" s="45">
        <f t="shared" si="311"/>
        <v>1.3979400086720377</v>
      </c>
      <c r="BA624" s="45" t="e">
        <f t="shared" si="312"/>
        <v>#NUM!</v>
      </c>
      <c r="BB624" s="45" t="e">
        <f t="shared" si="313"/>
        <v>#VALUE!</v>
      </c>
      <c r="BC624" s="45">
        <f t="shared" si="314"/>
        <v>1</v>
      </c>
      <c r="BD624" s="45" t="e">
        <f t="shared" si="315"/>
        <v>#VALUE!</v>
      </c>
      <c r="BE624" s="45" t="e">
        <f t="shared" si="316"/>
        <v>#VALUE!</v>
      </c>
      <c r="BF624" s="45" t="e">
        <f t="shared" si="317"/>
        <v>#VALUE!</v>
      </c>
      <c r="BG624" s="45" t="e">
        <f t="shared" si="318"/>
        <v>#VALUE!</v>
      </c>
      <c r="BH624" s="45" t="e">
        <f t="shared" si="319"/>
        <v>#NUM!</v>
      </c>
      <c r="BI624" s="43" t="e">
        <f t="shared" si="320"/>
        <v>#VALUE!</v>
      </c>
      <c r="BL624" s="20"/>
      <c r="BM624" s="50"/>
      <c r="BN624" s="50"/>
      <c r="BO624" s="50"/>
      <c r="BP624" s="50"/>
      <c r="BQ624" s="50"/>
      <c r="BR624" s="50"/>
      <c r="BU624" s="50"/>
      <c r="BV624" s="50"/>
      <c r="BW624" s="50"/>
      <c r="BX624" s="50"/>
      <c r="BY624" s="50"/>
      <c r="BZ624" s="50"/>
      <c r="CA624" s="50" t="s">
        <v>22</v>
      </c>
      <c r="CE624" s="50"/>
      <c r="CF624" s="50"/>
      <c r="CG624" s="50"/>
      <c r="CH624" s="50"/>
      <c r="CI624" s="50">
        <f t="shared" ref="CI624" si="343">IF(ISNUMBER(CG624),CG624,U624)</f>
        <v>10</v>
      </c>
      <c r="CJ624" s="50">
        <f t="shared" ref="CJ624" si="344">LOG10(CI624)</f>
        <v>1</v>
      </c>
      <c r="CL624" s="9" t="s">
        <v>1269</v>
      </c>
      <c r="CM624" s="9" t="s">
        <v>1285</v>
      </c>
      <c r="CN624" s="55" t="s">
        <v>1284</v>
      </c>
      <c r="CO624" s="9" t="s">
        <v>1284</v>
      </c>
    </row>
    <row r="625" spans="1:93" s="9" customFormat="1" x14ac:dyDescent="0.25">
      <c r="A625" s="9" t="s">
        <v>375</v>
      </c>
      <c r="B625" s="50" t="s">
        <v>22</v>
      </c>
      <c r="C625" s="50">
        <f>(10^-3)*N625/O625</f>
        <v>2.2142857142857144</v>
      </c>
      <c r="D625" s="50" t="s">
        <v>22</v>
      </c>
      <c r="E625" s="50" t="s">
        <v>22</v>
      </c>
      <c r="F625" s="9" t="s">
        <v>22</v>
      </c>
      <c r="G625" s="9" t="s">
        <v>22</v>
      </c>
      <c r="H625" s="9" t="s">
        <v>22</v>
      </c>
      <c r="I625" s="9" t="s">
        <v>22</v>
      </c>
      <c r="J625" s="50" t="s">
        <v>22</v>
      </c>
      <c r="K625" s="9" t="s">
        <v>22</v>
      </c>
      <c r="L625" s="50" t="e">
        <f>IF((10^-12)*J625*K625^4=0,"",(10^-12)*J625*K625^4)</f>
        <v>#VALUE!</v>
      </c>
      <c r="M625" s="9" t="s">
        <v>23</v>
      </c>
      <c r="N625" s="50">
        <v>3100</v>
      </c>
      <c r="O625" s="50">
        <v>1.4</v>
      </c>
      <c r="P625" s="50">
        <v>966</v>
      </c>
      <c r="Q625" s="50"/>
      <c r="R625" s="50" t="s">
        <v>22</v>
      </c>
      <c r="S625" s="50" t="s">
        <v>22</v>
      </c>
      <c r="T625" s="50" t="s">
        <v>22</v>
      </c>
      <c r="U625" s="50" t="s">
        <v>22</v>
      </c>
      <c r="V625" s="9">
        <v>20200716</v>
      </c>
      <c r="W625" s="21"/>
      <c r="X625" s="21">
        <v>2005</v>
      </c>
      <c r="Y625" s="9" t="s">
        <v>375</v>
      </c>
      <c r="Z625" s="9" t="s">
        <v>32</v>
      </c>
      <c r="AB625" s="50"/>
      <c r="AC625" s="9" t="s">
        <v>22</v>
      </c>
      <c r="AD625" s="50" t="s">
        <v>22</v>
      </c>
      <c r="AE625" s="50" t="s">
        <v>22</v>
      </c>
      <c r="AF625" s="50" t="s">
        <v>22</v>
      </c>
      <c r="AG625" s="50" t="s">
        <v>22</v>
      </c>
      <c r="AH625" s="50" t="s">
        <v>22</v>
      </c>
      <c r="AI625" s="50" t="s">
        <v>22</v>
      </c>
      <c r="AJ625" s="50" t="s">
        <v>22</v>
      </c>
      <c r="AK625" s="50" t="s">
        <v>22</v>
      </c>
      <c r="AL625" s="50" t="s">
        <v>22</v>
      </c>
      <c r="AM625" s="43" t="e">
        <f t="shared" si="303"/>
        <v>#VALUE!</v>
      </c>
      <c r="AN625" s="43" t="e">
        <f t="shared" si="304"/>
        <v>#VALUE!</v>
      </c>
      <c r="AO625" s="21" t="s">
        <v>1073</v>
      </c>
      <c r="AT625" s="2">
        <f t="shared" si="305"/>
        <v>3</v>
      </c>
      <c r="AU625" s="45" t="e">
        <f t="shared" si="306"/>
        <v>#VALUE!</v>
      </c>
      <c r="AV625" s="45">
        <f t="shared" si="307"/>
        <v>0.34523365815603468</v>
      </c>
      <c r="AW625" s="45" t="e">
        <f t="shared" si="308"/>
        <v>#VALUE!</v>
      </c>
      <c r="AX625" s="45">
        <f t="shared" si="309"/>
        <v>3.4913616938342726</v>
      </c>
      <c r="AY625" s="45">
        <f t="shared" si="310"/>
        <v>0.14612803567823801</v>
      </c>
      <c r="AZ625" s="45">
        <f t="shared" si="311"/>
        <v>2.9849771264154934</v>
      </c>
      <c r="BA625" s="45" t="e">
        <f t="shared" si="312"/>
        <v>#VALUE!</v>
      </c>
      <c r="BB625" s="45" t="e">
        <f t="shared" si="313"/>
        <v>#VALUE!</v>
      </c>
      <c r="BC625" s="45" t="e">
        <f t="shared" si="314"/>
        <v>#VALUE!</v>
      </c>
      <c r="BD625" s="45" t="e">
        <f t="shared" si="315"/>
        <v>#VALUE!</v>
      </c>
      <c r="BE625" s="45" t="e">
        <f t="shared" si="316"/>
        <v>#VALUE!</v>
      </c>
      <c r="BF625" s="45" t="e">
        <f t="shared" si="317"/>
        <v>#VALUE!</v>
      </c>
      <c r="BG625" s="45" t="e">
        <f t="shared" si="318"/>
        <v>#VALUE!</v>
      </c>
      <c r="BH625" s="45" t="e">
        <f t="shared" si="319"/>
        <v>#NUM!</v>
      </c>
      <c r="BI625" s="43" t="e">
        <f t="shared" si="320"/>
        <v>#VALUE!</v>
      </c>
      <c r="BL625" s="20"/>
      <c r="BM625" s="50"/>
      <c r="BN625" s="50"/>
      <c r="BO625" s="50"/>
      <c r="BP625" s="50"/>
      <c r="BQ625" s="50"/>
      <c r="BR625" s="50"/>
      <c r="BU625" s="50"/>
      <c r="BV625" s="50"/>
      <c r="BW625" s="50"/>
      <c r="BX625" s="50"/>
      <c r="BY625" s="50"/>
      <c r="BZ625" s="50"/>
      <c r="CA625" s="50" t="s">
        <v>22</v>
      </c>
      <c r="CE625" s="50"/>
      <c r="CF625" s="50"/>
      <c r="CG625" s="50"/>
      <c r="CH625" s="50"/>
      <c r="CI625" s="50" t="str">
        <f t="shared" ref="CI625:CI626" si="345">IF(ISNUMBER(CG625),CG625,U625)</f>
        <v>Not Reported/ Can not calculate</v>
      </c>
      <c r="CJ625" s="50" t="e">
        <f t="shared" ref="CJ625:CJ626" si="346">LOG10(CI625)</f>
        <v>#VALUE!</v>
      </c>
      <c r="CL625" s="9" t="s">
        <v>1268</v>
      </c>
      <c r="CM625" s="9" t="s">
        <v>1284</v>
      </c>
      <c r="CN625" s="55" t="s">
        <v>1284</v>
      </c>
      <c r="CO625" s="9" t="s">
        <v>1284</v>
      </c>
    </row>
    <row r="626" spans="1:93" s="9" customFormat="1" x14ac:dyDescent="0.25">
      <c r="A626" s="9" t="s">
        <v>375</v>
      </c>
      <c r="B626" s="50" t="s">
        <v>22</v>
      </c>
      <c r="C626" s="50">
        <f>(10^-3)*N626/O626</f>
        <v>1.8205128205128207</v>
      </c>
      <c r="D626" s="50" t="s">
        <v>22</v>
      </c>
      <c r="E626" s="50" t="s">
        <v>22</v>
      </c>
      <c r="F626" s="9" t="s">
        <v>22</v>
      </c>
      <c r="G626" s="9" t="s">
        <v>22</v>
      </c>
      <c r="H626" s="9" t="s">
        <v>22</v>
      </c>
      <c r="I626" s="9" t="s">
        <v>22</v>
      </c>
      <c r="J626" s="50" t="s">
        <v>22</v>
      </c>
      <c r="K626" s="9" t="s">
        <v>22</v>
      </c>
      <c r="L626" s="50" t="e">
        <f>IF((10^-12)*J626*K626^4=0,"",(10^-12)*J626*K626^4)</f>
        <v>#VALUE!</v>
      </c>
      <c r="M626" s="9" t="s">
        <v>23</v>
      </c>
      <c r="N626" s="50">
        <v>7100</v>
      </c>
      <c r="O626" s="50">
        <v>3.9</v>
      </c>
      <c r="P626" s="50">
        <v>294</v>
      </c>
      <c r="Q626" s="50"/>
      <c r="R626" s="50" t="s">
        <v>22</v>
      </c>
      <c r="S626" s="50" t="s">
        <v>22</v>
      </c>
      <c r="T626" s="50" t="s">
        <v>22</v>
      </c>
      <c r="U626" s="50" t="s">
        <v>22</v>
      </c>
      <c r="V626" s="9">
        <v>20200716</v>
      </c>
      <c r="W626" s="21"/>
      <c r="X626" s="21">
        <v>2005</v>
      </c>
      <c r="Y626" s="9" t="s">
        <v>375</v>
      </c>
      <c r="Z626" s="9" t="s">
        <v>32</v>
      </c>
      <c r="AB626" s="50"/>
      <c r="AC626" s="9" t="s">
        <v>22</v>
      </c>
      <c r="AD626" s="50" t="s">
        <v>22</v>
      </c>
      <c r="AE626" s="50" t="s">
        <v>22</v>
      </c>
      <c r="AF626" s="50" t="s">
        <v>22</v>
      </c>
      <c r="AG626" s="50" t="s">
        <v>22</v>
      </c>
      <c r="AH626" s="50" t="s">
        <v>22</v>
      </c>
      <c r="AI626" s="50" t="s">
        <v>22</v>
      </c>
      <c r="AJ626" s="50" t="s">
        <v>22</v>
      </c>
      <c r="AK626" s="50" t="s">
        <v>22</v>
      </c>
      <c r="AL626" s="50" t="s">
        <v>22</v>
      </c>
      <c r="AM626" s="43" t="e">
        <f t="shared" si="303"/>
        <v>#VALUE!</v>
      </c>
      <c r="AN626" s="43" t="e">
        <f t="shared" si="304"/>
        <v>#VALUE!</v>
      </c>
      <c r="AO626" s="21" t="s">
        <v>1073</v>
      </c>
      <c r="AT626" s="2">
        <f t="shared" si="305"/>
        <v>3</v>
      </c>
      <c r="AU626" s="45" t="e">
        <f t="shared" si="306"/>
        <v>#VALUE!</v>
      </c>
      <c r="AV626" s="45">
        <f t="shared" si="307"/>
        <v>0.26019374169257614</v>
      </c>
      <c r="AW626" s="45" t="e">
        <f t="shared" si="308"/>
        <v>#VALUE!</v>
      </c>
      <c r="AX626" s="45">
        <f t="shared" si="309"/>
        <v>3.8512583487190755</v>
      </c>
      <c r="AY626" s="45">
        <f t="shared" si="310"/>
        <v>0.59106460702649921</v>
      </c>
      <c r="AZ626" s="45">
        <f t="shared" si="311"/>
        <v>2.4683473304121573</v>
      </c>
      <c r="BA626" s="45" t="e">
        <f t="shared" si="312"/>
        <v>#VALUE!</v>
      </c>
      <c r="BB626" s="45" t="e">
        <f t="shared" si="313"/>
        <v>#VALUE!</v>
      </c>
      <c r="BC626" s="45" t="e">
        <f t="shared" si="314"/>
        <v>#VALUE!</v>
      </c>
      <c r="BD626" s="45" t="e">
        <f t="shared" si="315"/>
        <v>#VALUE!</v>
      </c>
      <c r="BE626" s="45" t="e">
        <f t="shared" si="316"/>
        <v>#VALUE!</v>
      </c>
      <c r="BF626" s="45" t="e">
        <f t="shared" si="317"/>
        <v>#VALUE!</v>
      </c>
      <c r="BG626" s="45" t="e">
        <f t="shared" si="318"/>
        <v>#VALUE!</v>
      </c>
      <c r="BH626" s="45" t="e">
        <f t="shared" si="319"/>
        <v>#NUM!</v>
      </c>
      <c r="BI626" s="43" t="e">
        <f t="shared" si="320"/>
        <v>#VALUE!</v>
      </c>
      <c r="BL626" s="20"/>
      <c r="BM626" s="50"/>
      <c r="BN626" s="50"/>
      <c r="BO626" s="50"/>
      <c r="BP626" s="50"/>
      <c r="BQ626" s="50"/>
      <c r="BR626" s="50"/>
      <c r="BU626" s="50"/>
      <c r="BV626" s="50"/>
      <c r="BW626" s="50"/>
      <c r="BX626" s="50"/>
      <c r="BY626" s="50"/>
      <c r="BZ626" s="50"/>
      <c r="CA626" s="50" t="s">
        <v>22</v>
      </c>
      <c r="CE626" s="50"/>
      <c r="CF626" s="50"/>
      <c r="CG626" s="50"/>
      <c r="CH626" s="50"/>
      <c r="CI626" s="50" t="str">
        <f t="shared" si="345"/>
        <v>Not Reported/ Can not calculate</v>
      </c>
      <c r="CJ626" s="50" t="e">
        <f t="shared" si="346"/>
        <v>#VALUE!</v>
      </c>
      <c r="CL626" s="9" t="s">
        <v>1268</v>
      </c>
      <c r="CM626" s="9" t="s">
        <v>1284</v>
      </c>
      <c r="CN626" s="55" t="s">
        <v>1284</v>
      </c>
      <c r="CO626" s="9" t="s">
        <v>1284</v>
      </c>
    </row>
    <row r="627" spans="1:93" x14ac:dyDescent="0.25">
      <c r="A627" t="s">
        <v>407</v>
      </c>
      <c r="B627" s="41">
        <v>58</v>
      </c>
      <c r="C627" s="41">
        <v>8.9</v>
      </c>
      <c r="D627" s="41">
        <f>0.001*(B627*10^6)/(C627*0.001*100^3)</f>
        <v>6.5168539325842696</v>
      </c>
      <c r="E627" s="41" t="s">
        <v>22</v>
      </c>
      <c r="F627" t="s">
        <v>22</v>
      </c>
      <c r="G627" t="s">
        <v>22</v>
      </c>
      <c r="H627" t="s">
        <v>22</v>
      </c>
      <c r="I627" t="s">
        <v>22</v>
      </c>
      <c r="J627" s="41" t="s">
        <v>22</v>
      </c>
      <c r="K627" t="s">
        <v>22</v>
      </c>
      <c r="M627" t="s">
        <v>23</v>
      </c>
      <c r="N627" s="41" t="s">
        <v>22</v>
      </c>
      <c r="O627" s="41" t="s">
        <v>22</v>
      </c>
      <c r="P627" s="41" t="s">
        <v>22</v>
      </c>
      <c r="R627" s="41" t="s">
        <v>22</v>
      </c>
      <c r="S627" s="41" t="s">
        <v>22</v>
      </c>
      <c r="T627" s="41" t="s">
        <v>22</v>
      </c>
      <c r="U627" s="41" t="s">
        <v>22</v>
      </c>
      <c r="V627">
        <v>20200519</v>
      </c>
      <c r="W627" s="9" t="s">
        <v>833</v>
      </c>
      <c r="X627" s="18">
        <v>2013</v>
      </c>
      <c r="Y627" t="s">
        <v>958</v>
      </c>
      <c r="Z627" t="s">
        <v>32</v>
      </c>
      <c r="AA627" t="s">
        <v>22</v>
      </c>
      <c r="AB627" s="41" t="s">
        <v>22</v>
      </c>
      <c r="AD627" s="50" t="s">
        <v>22</v>
      </c>
      <c r="AE627" s="41" t="s">
        <v>22</v>
      </c>
      <c r="AM627" s="43" t="e">
        <f t="shared" si="303"/>
        <v>#DIV/0!</v>
      </c>
      <c r="AN627" s="43" t="e">
        <f t="shared" si="304"/>
        <v>#DIV/0!</v>
      </c>
      <c r="AO627" s="18" t="s">
        <v>834</v>
      </c>
      <c r="AT627" s="2">
        <f t="shared" si="305"/>
        <v>3</v>
      </c>
      <c r="AU627" s="45">
        <f t="shared" si="306"/>
        <v>1.7634279935629373</v>
      </c>
      <c r="AV627" s="45">
        <f t="shared" si="307"/>
        <v>0.9493900066449128</v>
      </c>
      <c r="AW627" s="45">
        <f t="shared" si="308"/>
        <v>0.81403798691802454</v>
      </c>
      <c r="AX627" s="45" t="e">
        <f t="shared" si="309"/>
        <v>#VALUE!</v>
      </c>
      <c r="AY627" s="45" t="e">
        <f t="shared" si="310"/>
        <v>#VALUE!</v>
      </c>
      <c r="AZ627" s="45" t="e">
        <f t="shared" si="311"/>
        <v>#VALUE!</v>
      </c>
      <c r="BA627" s="45" t="e">
        <f t="shared" si="312"/>
        <v>#VALUE!</v>
      </c>
      <c r="BB627" s="45" t="e">
        <f t="shared" si="313"/>
        <v>#NUM!</v>
      </c>
      <c r="BC627" s="45" t="e">
        <f t="shared" si="314"/>
        <v>#VALUE!</v>
      </c>
      <c r="BD627" s="45" t="e">
        <f t="shared" si="315"/>
        <v>#VALUE!</v>
      </c>
      <c r="BE627" s="45" t="e">
        <f t="shared" si="316"/>
        <v>#NUM!</v>
      </c>
      <c r="BF627" s="45" t="e">
        <f t="shared" si="317"/>
        <v>#DIV/0!</v>
      </c>
      <c r="BG627" s="45" t="e">
        <f t="shared" si="318"/>
        <v>#DIV/0!</v>
      </c>
      <c r="BH627" s="45" t="e">
        <f t="shared" si="319"/>
        <v>#VALUE!</v>
      </c>
      <c r="BI627" s="43" t="e">
        <f t="shared" si="320"/>
        <v>#NUM!</v>
      </c>
      <c r="BJ627" s="2" t="s">
        <v>520</v>
      </c>
      <c r="BK627" s="2" t="s">
        <v>22</v>
      </c>
      <c r="BL627" s="2" t="s">
        <v>22</v>
      </c>
      <c r="BM627" s="41" t="s">
        <v>22</v>
      </c>
      <c r="BN627" s="41" t="s">
        <v>22</v>
      </c>
      <c r="BO627" s="43" t="e">
        <f>BN627/(C627*1000000)</f>
        <v>#VALUE!</v>
      </c>
      <c r="BP627" s="41" t="s">
        <v>22</v>
      </c>
      <c r="BQ627" s="41" t="s">
        <v>22</v>
      </c>
      <c r="BR627" s="41" t="s">
        <v>22</v>
      </c>
      <c r="BS627" t="s">
        <v>522</v>
      </c>
      <c r="BT627" t="s">
        <v>22</v>
      </c>
      <c r="BV627" s="41">
        <v>61000000000</v>
      </c>
      <c r="BX627" s="41" t="s">
        <v>22</v>
      </c>
      <c r="BY627" s="41" t="s">
        <v>22</v>
      </c>
      <c r="BZ627" s="41" t="s">
        <v>22</v>
      </c>
      <c r="CA627" s="41">
        <v>50</v>
      </c>
      <c r="CB627" s="41" t="s">
        <v>1287</v>
      </c>
      <c r="CC627" t="s">
        <v>1009</v>
      </c>
      <c r="CE627" s="41" t="e">
        <f>LOG10(BN627)</f>
        <v>#VALUE!</v>
      </c>
      <c r="CF627" s="41">
        <f>LOG10(BV627)</f>
        <v>10.785329835010767</v>
      </c>
      <c r="CG627" s="43" t="e">
        <f t="shared" ref="CG627:CG647" si="347">AD627*1000</f>
        <v>#VALUE!</v>
      </c>
      <c r="CH627" s="43" t="e">
        <f t="shared" ref="CH627:CH673" si="348">LOG10(CG627)</f>
        <v>#VALUE!</v>
      </c>
      <c r="CI627" s="42">
        <v>900</v>
      </c>
      <c r="CJ627" s="42">
        <f>LOG10(CI627)</f>
        <v>2.9542425094393248</v>
      </c>
      <c r="CK627" t="s">
        <v>1271</v>
      </c>
      <c r="CL627" s="9" t="s">
        <v>407</v>
      </c>
      <c r="CM627" s="18" t="s">
        <v>1285</v>
      </c>
      <c r="CN627" s="54">
        <f>LOG10(CA627)</f>
        <v>1.6989700043360187</v>
      </c>
      <c r="CO627" s="18" t="s">
        <v>1286</v>
      </c>
    </row>
    <row r="628" spans="1:93" x14ac:dyDescent="0.25">
      <c r="A628" t="s">
        <v>407</v>
      </c>
      <c r="B628" s="41" t="s">
        <v>22</v>
      </c>
      <c r="C628" s="41">
        <v>19.3</v>
      </c>
      <c r="D628" s="41" t="e">
        <f>0.001*(B628*10^6)/(C628*0.001*100^3)</f>
        <v>#VALUE!</v>
      </c>
      <c r="E628" s="41" t="s">
        <v>22</v>
      </c>
      <c r="F628" t="s">
        <v>22</v>
      </c>
      <c r="G628" t="s">
        <v>22</v>
      </c>
      <c r="H628" t="s">
        <v>22</v>
      </c>
      <c r="I628" t="s">
        <v>22</v>
      </c>
      <c r="J628" s="41" t="s">
        <v>22</v>
      </c>
      <c r="K628" t="s">
        <v>22</v>
      </c>
      <c r="M628" t="s">
        <v>23</v>
      </c>
      <c r="N628" s="41" t="s">
        <v>22</v>
      </c>
      <c r="O628" s="41" t="s">
        <v>22</v>
      </c>
      <c r="P628" s="41" t="s">
        <v>22</v>
      </c>
      <c r="R628" s="41" t="s">
        <v>22</v>
      </c>
      <c r="S628" s="41" t="s">
        <v>22</v>
      </c>
      <c r="T628" s="41" t="s">
        <v>22</v>
      </c>
      <c r="U628" s="41" t="s">
        <v>22</v>
      </c>
      <c r="V628">
        <v>20200519</v>
      </c>
      <c r="W628" s="9" t="s">
        <v>835</v>
      </c>
      <c r="X628" s="18">
        <v>2013</v>
      </c>
      <c r="Y628" t="s">
        <v>958</v>
      </c>
      <c r="Z628" t="s">
        <v>32</v>
      </c>
      <c r="AA628" t="s">
        <v>22</v>
      </c>
      <c r="AB628" s="41" t="s">
        <v>22</v>
      </c>
      <c r="AD628" s="50" t="s">
        <v>22</v>
      </c>
      <c r="AE628" s="41" t="s">
        <v>22</v>
      </c>
      <c r="AM628" s="43" t="e">
        <f t="shared" si="303"/>
        <v>#DIV/0!</v>
      </c>
      <c r="AN628" s="43" t="e">
        <f t="shared" si="304"/>
        <v>#DIV/0!</v>
      </c>
      <c r="AO628" s="18" t="s">
        <v>834</v>
      </c>
      <c r="AT628" s="2">
        <f t="shared" si="305"/>
        <v>3</v>
      </c>
      <c r="AU628" s="45" t="e">
        <f t="shared" si="306"/>
        <v>#VALUE!</v>
      </c>
      <c r="AV628" s="45">
        <f t="shared" si="307"/>
        <v>1.2855573090077739</v>
      </c>
      <c r="AW628" s="45" t="e">
        <f t="shared" si="308"/>
        <v>#VALUE!</v>
      </c>
      <c r="AX628" s="45" t="e">
        <f t="shared" si="309"/>
        <v>#VALUE!</v>
      </c>
      <c r="AY628" s="45" t="e">
        <f t="shared" si="310"/>
        <v>#VALUE!</v>
      </c>
      <c r="AZ628" s="45" t="e">
        <f t="shared" si="311"/>
        <v>#VALUE!</v>
      </c>
      <c r="BA628" s="45" t="e">
        <f t="shared" si="312"/>
        <v>#VALUE!</v>
      </c>
      <c r="BB628" s="45" t="e">
        <f t="shared" si="313"/>
        <v>#NUM!</v>
      </c>
      <c r="BC628" s="45" t="e">
        <f t="shared" si="314"/>
        <v>#VALUE!</v>
      </c>
      <c r="BD628" s="45" t="e">
        <f t="shared" si="315"/>
        <v>#VALUE!</v>
      </c>
      <c r="BE628" s="45" t="e">
        <f t="shared" si="316"/>
        <v>#NUM!</v>
      </c>
      <c r="BF628" s="45" t="e">
        <f t="shared" si="317"/>
        <v>#DIV/0!</v>
      </c>
      <c r="BG628" s="45" t="e">
        <f t="shared" si="318"/>
        <v>#DIV/0!</v>
      </c>
      <c r="BH628" s="45" t="e">
        <f t="shared" si="319"/>
        <v>#VALUE!</v>
      </c>
      <c r="BI628" s="43" t="e">
        <f t="shared" si="320"/>
        <v>#NUM!</v>
      </c>
      <c r="BJ628" s="2" t="s">
        <v>520</v>
      </c>
      <c r="BK628" s="2" t="s">
        <v>22</v>
      </c>
      <c r="BL628" s="2" t="s">
        <v>22</v>
      </c>
      <c r="BM628" s="41" t="s">
        <v>22</v>
      </c>
      <c r="BN628" s="41" t="s">
        <v>22</v>
      </c>
      <c r="BO628" s="43" t="e">
        <f>BN628/(C628*1000000)</f>
        <v>#VALUE!</v>
      </c>
      <c r="BP628" s="41" t="s">
        <v>22</v>
      </c>
      <c r="BQ628" s="41" t="s">
        <v>22</v>
      </c>
      <c r="BR628" s="41" t="s">
        <v>22</v>
      </c>
      <c r="BS628" t="s">
        <v>522</v>
      </c>
      <c r="BT628" t="s">
        <v>22</v>
      </c>
      <c r="BV628" s="41">
        <v>63000000000</v>
      </c>
      <c r="BX628" s="41" t="s">
        <v>22</v>
      </c>
      <c r="BY628" s="41" t="s">
        <v>22</v>
      </c>
      <c r="BZ628" s="41" t="s">
        <v>22</v>
      </c>
      <c r="CA628" s="41">
        <v>50</v>
      </c>
      <c r="CB628" s="41" t="s">
        <v>1287</v>
      </c>
      <c r="CC628" t="s">
        <v>1009</v>
      </c>
      <c r="CE628" s="41" t="e">
        <f>LOG10(BN628)</f>
        <v>#VALUE!</v>
      </c>
      <c r="CF628" s="41">
        <f>LOG10(BV628)</f>
        <v>10.799340549453582</v>
      </c>
      <c r="CG628" s="43" t="e">
        <f t="shared" si="347"/>
        <v>#VALUE!</v>
      </c>
      <c r="CH628" s="43" t="e">
        <f t="shared" si="348"/>
        <v>#VALUE!</v>
      </c>
      <c r="CI628" s="42">
        <v>900</v>
      </c>
      <c r="CJ628" s="42">
        <f t="shared" ref="CJ628:CJ629" si="349">LOG10(CI628)</f>
        <v>2.9542425094393248</v>
      </c>
      <c r="CK628" s="18" t="s">
        <v>1271</v>
      </c>
      <c r="CL628" s="9" t="s">
        <v>407</v>
      </c>
      <c r="CM628" s="18" t="s">
        <v>1285</v>
      </c>
      <c r="CN628" s="54">
        <f t="shared" ref="CN628:CN629" si="350">LOG10(CA628)</f>
        <v>1.6989700043360187</v>
      </c>
      <c r="CO628" s="18" t="s">
        <v>1286</v>
      </c>
    </row>
    <row r="629" spans="1:93" x14ac:dyDescent="0.25">
      <c r="A629" t="s">
        <v>1267</v>
      </c>
      <c r="B629" s="41">
        <v>21</v>
      </c>
      <c r="C629" s="41">
        <v>5.2</v>
      </c>
      <c r="D629" s="41">
        <f>0.001*(B629*10^6)/(C629*0.001*100^3)</f>
        <v>4.0384615384615374</v>
      </c>
      <c r="E629" s="41" t="s">
        <v>22</v>
      </c>
      <c r="F629" t="s">
        <v>22</v>
      </c>
      <c r="G629" t="s">
        <v>22</v>
      </c>
      <c r="H629" t="s">
        <v>22</v>
      </c>
      <c r="I629" t="s">
        <v>22</v>
      </c>
      <c r="J629" s="41" t="s">
        <v>22</v>
      </c>
      <c r="K629" t="s">
        <v>22</v>
      </c>
      <c r="M629" t="s">
        <v>23</v>
      </c>
      <c r="N629" s="41" t="s">
        <v>22</v>
      </c>
      <c r="O629" s="41" t="s">
        <v>22</v>
      </c>
      <c r="P629" s="41" t="s">
        <v>22</v>
      </c>
      <c r="R629" s="41" t="s">
        <v>22</v>
      </c>
      <c r="S629" s="41" t="s">
        <v>22</v>
      </c>
      <c r="T629" s="41" t="s">
        <v>22</v>
      </c>
      <c r="U629" s="41" t="s">
        <v>22</v>
      </c>
      <c r="V629">
        <v>20200519</v>
      </c>
      <c r="W629" s="9" t="s">
        <v>836</v>
      </c>
      <c r="X629" s="18">
        <v>2013</v>
      </c>
      <c r="Y629" t="s">
        <v>959</v>
      </c>
      <c r="Z629" t="s">
        <v>976</v>
      </c>
      <c r="AA629" t="s">
        <v>22</v>
      </c>
      <c r="AB629" s="41" t="s">
        <v>22</v>
      </c>
      <c r="AC629" t="s">
        <v>514</v>
      </c>
      <c r="AD629" s="41" t="s">
        <v>22</v>
      </c>
      <c r="AE629" s="41" t="s">
        <v>22</v>
      </c>
      <c r="AM629" s="43" t="e">
        <f t="shared" si="303"/>
        <v>#DIV/0!</v>
      </c>
      <c r="AN629" s="43" t="e">
        <f t="shared" si="304"/>
        <v>#DIV/0!</v>
      </c>
      <c r="AO629" s="18" t="s">
        <v>834</v>
      </c>
      <c r="AT629" s="2">
        <f t="shared" si="305"/>
        <v>3</v>
      </c>
      <c r="AU629" s="45">
        <f t="shared" si="306"/>
        <v>1.3222192947339193</v>
      </c>
      <c r="AV629" s="45">
        <f t="shared" si="307"/>
        <v>0.71600334363479923</v>
      </c>
      <c r="AW629" s="45">
        <f t="shared" si="308"/>
        <v>0.60621595109911997</v>
      </c>
      <c r="AX629" s="45" t="e">
        <f t="shared" si="309"/>
        <v>#VALUE!</v>
      </c>
      <c r="AY629" s="45" t="e">
        <f t="shared" si="310"/>
        <v>#VALUE!</v>
      </c>
      <c r="AZ629" s="45" t="e">
        <f t="shared" si="311"/>
        <v>#VALUE!</v>
      </c>
      <c r="BA629" s="45" t="e">
        <f t="shared" si="312"/>
        <v>#VALUE!</v>
      </c>
      <c r="BB629" s="45" t="e">
        <f t="shared" si="313"/>
        <v>#NUM!</v>
      </c>
      <c r="BC629" s="45" t="e">
        <f t="shared" si="314"/>
        <v>#VALUE!</v>
      </c>
      <c r="BD629" s="45" t="e">
        <f t="shared" si="315"/>
        <v>#VALUE!</v>
      </c>
      <c r="BE629" s="45" t="e">
        <f t="shared" si="316"/>
        <v>#NUM!</v>
      </c>
      <c r="BF629" s="45" t="e">
        <f t="shared" si="317"/>
        <v>#DIV/0!</v>
      </c>
      <c r="BG629" s="45" t="e">
        <f t="shared" si="318"/>
        <v>#DIV/0!</v>
      </c>
      <c r="BH629" s="45" t="e">
        <f t="shared" si="319"/>
        <v>#VALUE!</v>
      </c>
      <c r="BI629" s="43" t="e">
        <f t="shared" si="320"/>
        <v>#NUM!</v>
      </c>
      <c r="BJ629" s="2" t="s">
        <v>520</v>
      </c>
      <c r="BK629" s="2" t="s">
        <v>22</v>
      </c>
      <c r="BL629" s="2" t="s">
        <v>22</v>
      </c>
      <c r="BM629" s="41" t="s">
        <v>22</v>
      </c>
      <c r="BN629" s="41" t="s">
        <v>22</v>
      </c>
      <c r="BO629" s="43" t="e">
        <f>BN629/(C629*1000000)</f>
        <v>#VALUE!</v>
      </c>
      <c r="BP629" s="41" t="s">
        <v>22</v>
      </c>
      <c r="BQ629" s="41" t="s">
        <v>22</v>
      </c>
      <c r="BR629" s="41" t="s">
        <v>22</v>
      </c>
      <c r="BS629" t="s">
        <v>522</v>
      </c>
      <c r="BT629" t="s">
        <v>22</v>
      </c>
      <c r="BV629" s="41">
        <v>6900000000000</v>
      </c>
      <c r="BX629" s="41" t="s">
        <v>22</v>
      </c>
      <c r="BY629" s="41" t="s">
        <v>22</v>
      </c>
      <c r="BZ629" s="41" t="s">
        <v>22</v>
      </c>
      <c r="CA629" s="41">
        <v>50</v>
      </c>
      <c r="CB629" s="41" t="s">
        <v>1287</v>
      </c>
      <c r="CC629" t="s">
        <v>1009</v>
      </c>
      <c r="CD629" t="s">
        <v>1010</v>
      </c>
      <c r="CE629" s="41" t="e">
        <f>LOG10(BN629)</f>
        <v>#VALUE!</v>
      </c>
      <c r="CF629" s="41">
        <f>LOG10(BV629)</f>
        <v>12.838849090737256</v>
      </c>
      <c r="CG629" s="41" t="e">
        <f t="shared" si="347"/>
        <v>#VALUE!</v>
      </c>
      <c r="CH629" s="41" t="e">
        <f t="shared" si="348"/>
        <v>#VALUE!</v>
      </c>
      <c r="CI629" s="42">
        <v>900</v>
      </c>
      <c r="CJ629" s="42">
        <f t="shared" si="349"/>
        <v>2.9542425094393248</v>
      </c>
      <c r="CK629" s="18" t="s">
        <v>1271</v>
      </c>
      <c r="CL629" s="9" t="s">
        <v>407</v>
      </c>
      <c r="CM629" s="18" t="s">
        <v>1285</v>
      </c>
      <c r="CN629" s="54">
        <f t="shared" si="350"/>
        <v>1.6989700043360187</v>
      </c>
      <c r="CO629" s="18" t="s">
        <v>1286</v>
      </c>
    </row>
    <row r="630" spans="1:93" x14ac:dyDescent="0.25">
      <c r="A630" t="s">
        <v>141</v>
      </c>
      <c r="B630" s="41">
        <v>3.00313479623824E-3</v>
      </c>
      <c r="C630" s="41" t="s">
        <v>22</v>
      </c>
      <c r="D630" s="41" t="s">
        <v>22</v>
      </c>
      <c r="E630" s="41">
        <v>1.006075768406</v>
      </c>
      <c r="F630" t="s">
        <v>22</v>
      </c>
      <c r="G630" t="s">
        <v>22</v>
      </c>
      <c r="H630" t="s">
        <v>22</v>
      </c>
      <c r="I630" t="s">
        <v>22</v>
      </c>
      <c r="J630" s="41" t="s">
        <v>22</v>
      </c>
      <c r="K630" t="s">
        <v>22</v>
      </c>
      <c r="L630" s="41" t="e">
        <f t="shared" ref="L630:L641" si="351">IF((10^-12)*J630*K630^4=0,"",(10^-12)*J630*K630^4)</f>
        <v>#VALUE!</v>
      </c>
      <c r="M630" t="s">
        <v>23</v>
      </c>
      <c r="N630" s="41">
        <v>3.7944862155388401</v>
      </c>
      <c r="O630" s="41" t="s">
        <v>22</v>
      </c>
      <c r="P630" s="41">
        <v>0.38371501272264602</v>
      </c>
      <c r="R630" s="41">
        <f>N630*B630</f>
        <v>1.1395353587731045E-2</v>
      </c>
      <c r="S630" s="41" t="s">
        <v>22</v>
      </c>
      <c r="T630" s="41">
        <v>10</v>
      </c>
      <c r="U630" s="41">
        <v>10</v>
      </c>
      <c r="V630">
        <v>20200507</v>
      </c>
      <c r="W630" s="21" t="s">
        <v>58</v>
      </c>
      <c r="X630">
        <v>2014</v>
      </c>
      <c r="Y630" t="s">
        <v>59</v>
      </c>
      <c r="Z630" t="s">
        <v>32</v>
      </c>
      <c r="AC630" t="s">
        <v>514</v>
      </c>
      <c r="AD630" s="41" t="s">
        <v>22</v>
      </c>
      <c r="AE630" s="41" t="s">
        <v>22</v>
      </c>
      <c r="AF630" s="41" t="s">
        <v>22</v>
      </c>
      <c r="AG630" s="41" t="s">
        <v>22</v>
      </c>
      <c r="AH630" s="41" t="s">
        <v>22</v>
      </c>
      <c r="AI630" s="41" t="s">
        <v>22</v>
      </c>
      <c r="AJ630" s="41" t="s">
        <v>22</v>
      </c>
      <c r="AK630" s="41" t="s">
        <v>22</v>
      </c>
      <c r="AL630" s="41" t="s">
        <v>22</v>
      </c>
      <c r="AM630" s="43" t="e">
        <f t="shared" si="303"/>
        <v>#VALUE!</v>
      </c>
      <c r="AN630" s="43" t="e">
        <f t="shared" si="304"/>
        <v>#VALUE!</v>
      </c>
      <c r="AO630" s="19" t="s">
        <v>986</v>
      </c>
      <c r="AT630" s="2">
        <f t="shared" si="305"/>
        <v>7</v>
      </c>
      <c r="AU630" s="45">
        <f t="shared" si="306"/>
        <v>-2.5224251739786374</v>
      </c>
      <c r="AV630" s="45" t="e">
        <f t="shared" si="307"/>
        <v>#VALUE!</v>
      </c>
      <c r="AW630" s="45" t="e">
        <f t="shared" si="308"/>
        <v>#VALUE!</v>
      </c>
      <c r="AX630" s="45">
        <f t="shared" si="309"/>
        <v>0.57915297947730493</v>
      </c>
      <c r="AY630" s="45" t="e">
        <f t="shared" si="310"/>
        <v>#VALUE!</v>
      </c>
      <c r="AZ630" s="45">
        <f t="shared" si="311"/>
        <v>-0.41599120884167179</v>
      </c>
      <c r="BA630" s="45" t="e">
        <f t="shared" si="312"/>
        <v>#VALUE!</v>
      </c>
      <c r="BB630" s="45" t="e">
        <f t="shared" si="313"/>
        <v>#VALUE!</v>
      </c>
      <c r="BC630" s="45">
        <f t="shared" si="314"/>
        <v>1</v>
      </c>
      <c r="BD630" s="45" t="e">
        <f t="shared" si="315"/>
        <v>#VALUE!</v>
      </c>
      <c r="BE630" s="45" t="e">
        <f t="shared" si="316"/>
        <v>#VALUE!</v>
      </c>
      <c r="BF630" s="45" t="e">
        <f t="shared" si="317"/>
        <v>#VALUE!</v>
      </c>
      <c r="BG630" s="45" t="e">
        <f t="shared" si="318"/>
        <v>#VALUE!</v>
      </c>
      <c r="BH630" s="45" t="e">
        <f t="shared" si="319"/>
        <v>#NUM!</v>
      </c>
      <c r="BI630" s="43" t="e">
        <f t="shared" si="320"/>
        <v>#VALUE!</v>
      </c>
      <c r="BL630" s="20"/>
      <c r="CA630" s="41" t="s">
        <v>22</v>
      </c>
      <c r="CC630" t="s">
        <v>22</v>
      </c>
      <c r="CE630" s="41" t="s">
        <v>22</v>
      </c>
      <c r="CF630" s="41" t="s">
        <v>22</v>
      </c>
      <c r="CG630" s="41" t="e">
        <f t="shared" si="347"/>
        <v>#VALUE!</v>
      </c>
      <c r="CH630" s="41" t="e">
        <f t="shared" si="348"/>
        <v>#VALUE!</v>
      </c>
      <c r="CI630" s="41">
        <f t="shared" ref="CI630:CI639" si="352">IF(ISNUMBER(CG630),CG630,U630)</f>
        <v>10</v>
      </c>
      <c r="CJ630" s="41">
        <f t="shared" ref="CJ630:CJ673" si="353">LOG10(CI630)</f>
        <v>1</v>
      </c>
      <c r="CL630" s="9" t="s">
        <v>1269</v>
      </c>
      <c r="CM630" s="18" t="s">
        <v>1285</v>
      </c>
      <c r="CN630" s="54" t="s">
        <v>1284</v>
      </c>
      <c r="CO630" s="18" t="s">
        <v>1284</v>
      </c>
    </row>
    <row r="631" spans="1:93" x14ac:dyDescent="0.25">
      <c r="A631" t="s">
        <v>141</v>
      </c>
      <c r="B631" s="41">
        <v>3.1347962382445096E-3</v>
      </c>
      <c r="C631" s="41" t="s">
        <v>22</v>
      </c>
      <c r="D631" s="41" t="s">
        <v>22</v>
      </c>
      <c r="E631" s="41">
        <v>1.02091812924225</v>
      </c>
      <c r="F631" t="s">
        <v>22</v>
      </c>
      <c r="G631" t="s">
        <v>22</v>
      </c>
      <c r="H631" t="s">
        <v>22</v>
      </c>
      <c r="I631" t="s">
        <v>22</v>
      </c>
      <c r="J631" s="41" t="s">
        <v>22</v>
      </c>
      <c r="K631" t="s">
        <v>22</v>
      </c>
      <c r="L631" s="41" t="e">
        <f t="shared" si="351"/>
        <v>#VALUE!</v>
      </c>
      <c r="M631" t="s">
        <v>23</v>
      </c>
      <c r="N631" s="41" t="s">
        <v>22</v>
      </c>
      <c r="O631" s="41" t="s">
        <v>22</v>
      </c>
      <c r="P631" s="41" t="s">
        <v>22</v>
      </c>
      <c r="R631" s="41" t="s">
        <v>22</v>
      </c>
      <c r="S631" s="41" t="s">
        <v>22</v>
      </c>
      <c r="T631" s="41">
        <v>10</v>
      </c>
      <c r="U631" s="41">
        <v>10</v>
      </c>
      <c r="V631">
        <v>20200507</v>
      </c>
      <c r="W631" s="21" t="s">
        <v>60</v>
      </c>
      <c r="X631">
        <v>2014</v>
      </c>
      <c r="Y631" t="s">
        <v>59</v>
      </c>
      <c r="Z631" t="s">
        <v>32</v>
      </c>
      <c r="AC631" t="s">
        <v>514</v>
      </c>
      <c r="AD631" s="41" t="s">
        <v>22</v>
      </c>
      <c r="AE631" s="41" t="s">
        <v>22</v>
      </c>
      <c r="AF631" s="41" t="s">
        <v>22</v>
      </c>
      <c r="AG631" s="41" t="s">
        <v>22</v>
      </c>
      <c r="AH631" s="41" t="s">
        <v>22</v>
      </c>
      <c r="AI631" s="41" t="s">
        <v>22</v>
      </c>
      <c r="AJ631" s="41" t="s">
        <v>22</v>
      </c>
      <c r="AK631" s="41" t="s">
        <v>22</v>
      </c>
      <c r="AL631" s="41" t="s">
        <v>22</v>
      </c>
      <c r="AM631" s="43" t="e">
        <f t="shared" si="303"/>
        <v>#VALUE!</v>
      </c>
      <c r="AN631" s="43" t="e">
        <f t="shared" si="304"/>
        <v>#VALUE!</v>
      </c>
      <c r="AO631" s="19" t="s">
        <v>986</v>
      </c>
      <c r="AT631" s="2">
        <f t="shared" si="305"/>
        <v>7</v>
      </c>
      <c r="AU631" s="45">
        <f t="shared" si="306"/>
        <v>-2.5037906830571819</v>
      </c>
      <c r="AV631" s="45" t="e">
        <f t="shared" si="307"/>
        <v>#VALUE!</v>
      </c>
      <c r="AW631" s="45" t="e">
        <f t="shared" si="308"/>
        <v>#VALUE!</v>
      </c>
      <c r="AX631" s="45" t="e">
        <f t="shared" si="309"/>
        <v>#VALUE!</v>
      </c>
      <c r="AY631" s="45" t="e">
        <f t="shared" si="310"/>
        <v>#VALUE!</v>
      </c>
      <c r="AZ631" s="45" t="e">
        <f t="shared" si="311"/>
        <v>#VALUE!</v>
      </c>
      <c r="BA631" s="45" t="e">
        <f t="shared" si="312"/>
        <v>#VALUE!</v>
      </c>
      <c r="BB631" s="45" t="e">
        <f t="shared" si="313"/>
        <v>#VALUE!</v>
      </c>
      <c r="BC631" s="45">
        <f t="shared" si="314"/>
        <v>1</v>
      </c>
      <c r="BD631" s="45" t="e">
        <f t="shared" si="315"/>
        <v>#VALUE!</v>
      </c>
      <c r="BE631" s="45" t="e">
        <f t="shared" si="316"/>
        <v>#VALUE!</v>
      </c>
      <c r="BF631" s="45" t="e">
        <f t="shared" si="317"/>
        <v>#VALUE!</v>
      </c>
      <c r="BG631" s="45" t="e">
        <f t="shared" si="318"/>
        <v>#VALUE!</v>
      </c>
      <c r="BH631" s="45" t="e">
        <f t="shared" si="319"/>
        <v>#NUM!</v>
      </c>
      <c r="BI631" s="43" t="e">
        <f t="shared" si="320"/>
        <v>#VALUE!</v>
      </c>
      <c r="BL631" s="20"/>
      <c r="CA631" s="41" t="s">
        <v>22</v>
      </c>
      <c r="CC631" t="s">
        <v>22</v>
      </c>
      <c r="CE631" s="41" t="s">
        <v>22</v>
      </c>
      <c r="CF631" s="41" t="s">
        <v>22</v>
      </c>
      <c r="CG631" s="41" t="e">
        <f t="shared" si="347"/>
        <v>#VALUE!</v>
      </c>
      <c r="CH631" s="41" t="e">
        <f t="shared" si="348"/>
        <v>#VALUE!</v>
      </c>
      <c r="CI631" s="41">
        <f t="shared" si="352"/>
        <v>10</v>
      </c>
      <c r="CJ631" s="41">
        <f t="shared" si="353"/>
        <v>1</v>
      </c>
      <c r="CL631" s="9" t="s">
        <v>1269</v>
      </c>
      <c r="CM631" s="18" t="s">
        <v>1285</v>
      </c>
      <c r="CN631" s="54" t="s">
        <v>1284</v>
      </c>
      <c r="CO631" s="18" t="s">
        <v>1284</v>
      </c>
    </row>
    <row r="632" spans="1:93" x14ac:dyDescent="0.25">
      <c r="A632" s="18" t="s">
        <v>141</v>
      </c>
      <c r="B632" s="41">
        <v>3.3981191222570498E-3</v>
      </c>
      <c r="C632" s="41" t="s">
        <v>22</v>
      </c>
      <c r="D632" s="41" t="s">
        <v>22</v>
      </c>
      <c r="E632" s="41">
        <v>1.1435913491927501</v>
      </c>
      <c r="F632" s="18" t="s">
        <v>22</v>
      </c>
      <c r="G632" s="18" t="s">
        <v>22</v>
      </c>
      <c r="H632" s="18" t="s">
        <v>22</v>
      </c>
      <c r="I632" s="18" t="s">
        <v>22</v>
      </c>
      <c r="J632" s="41" t="s">
        <v>22</v>
      </c>
      <c r="K632" s="18" t="s">
        <v>22</v>
      </c>
      <c r="L632" s="41" t="e">
        <f t="shared" si="351"/>
        <v>#VALUE!</v>
      </c>
      <c r="M632" s="18" t="s">
        <v>23</v>
      </c>
      <c r="N632" s="41" t="s">
        <v>22</v>
      </c>
      <c r="O632" s="41" t="s">
        <v>22</v>
      </c>
      <c r="P632" s="41" t="s">
        <v>22</v>
      </c>
      <c r="R632" s="41" t="s">
        <v>22</v>
      </c>
      <c r="S632" s="41" t="s">
        <v>22</v>
      </c>
      <c r="T632" s="41">
        <v>10</v>
      </c>
      <c r="U632" s="41">
        <v>10</v>
      </c>
      <c r="V632" s="18">
        <v>20200507</v>
      </c>
      <c r="W632" s="21" t="s">
        <v>61</v>
      </c>
      <c r="X632" s="18">
        <v>2014</v>
      </c>
      <c r="Y632" s="18" t="s">
        <v>59</v>
      </c>
      <c r="Z632" s="18" t="s">
        <v>32</v>
      </c>
      <c r="AA632" s="18"/>
      <c r="AC632" s="18" t="s">
        <v>514</v>
      </c>
      <c r="AD632" s="41" t="s">
        <v>22</v>
      </c>
      <c r="AE632" s="41" t="s">
        <v>22</v>
      </c>
      <c r="AF632" s="41" t="s">
        <v>22</v>
      </c>
      <c r="AG632" s="41" t="s">
        <v>22</v>
      </c>
      <c r="AH632" s="41" t="s">
        <v>22</v>
      </c>
      <c r="AI632" s="41" t="s">
        <v>22</v>
      </c>
      <c r="AJ632" s="41" t="s">
        <v>22</v>
      </c>
      <c r="AK632" s="41" t="s">
        <v>22</v>
      </c>
      <c r="AL632" s="41" t="s">
        <v>22</v>
      </c>
      <c r="AM632" s="43" t="e">
        <f t="shared" si="303"/>
        <v>#VALUE!</v>
      </c>
      <c r="AN632" s="43" t="e">
        <f t="shared" si="304"/>
        <v>#VALUE!</v>
      </c>
      <c r="AO632" s="19" t="s">
        <v>986</v>
      </c>
      <c r="AP632" s="18"/>
      <c r="AQ632" s="18"/>
      <c r="AR632" s="18"/>
      <c r="AS632" s="18"/>
      <c r="AT632" s="2">
        <f t="shared" si="305"/>
        <v>7</v>
      </c>
      <c r="AU632" s="45">
        <f t="shared" si="306"/>
        <v>-2.4687614008548135</v>
      </c>
      <c r="AV632" s="45" t="e">
        <f t="shared" si="307"/>
        <v>#VALUE!</v>
      </c>
      <c r="AW632" s="45" t="e">
        <f t="shared" si="308"/>
        <v>#VALUE!</v>
      </c>
      <c r="AX632" s="45" t="e">
        <f t="shared" si="309"/>
        <v>#VALUE!</v>
      </c>
      <c r="AY632" s="45" t="e">
        <f t="shared" si="310"/>
        <v>#VALUE!</v>
      </c>
      <c r="AZ632" s="45" t="e">
        <f t="shared" si="311"/>
        <v>#VALUE!</v>
      </c>
      <c r="BA632" s="45" t="e">
        <f t="shared" si="312"/>
        <v>#VALUE!</v>
      </c>
      <c r="BB632" s="45" t="e">
        <f t="shared" si="313"/>
        <v>#VALUE!</v>
      </c>
      <c r="BC632" s="45">
        <f t="shared" si="314"/>
        <v>1</v>
      </c>
      <c r="BD632" s="45" t="e">
        <f t="shared" si="315"/>
        <v>#VALUE!</v>
      </c>
      <c r="BE632" s="45" t="e">
        <f t="shared" si="316"/>
        <v>#VALUE!</v>
      </c>
      <c r="BF632" s="45" t="e">
        <f t="shared" si="317"/>
        <v>#VALUE!</v>
      </c>
      <c r="BG632" s="45" t="e">
        <f t="shared" si="318"/>
        <v>#VALUE!</v>
      </c>
      <c r="BH632" s="45" t="e">
        <f t="shared" si="319"/>
        <v>#NUM!</v>
      </c>
      <c r="BI632" s="43" t="e">
        <f t="shared" si="320"/>
        <v>#VALUE!</v>
      </c>
      <c r="BJ632" s="18"/>
      <c r="BK632" s="18"/>
      <c r="BL632" s="20"/>
      <c r="BS632" s="18"/>
      <c r="BT632" s="18"/>
      <c r="CA632" s="41" t="s">
        <v>22</v>
      </c>
      <c r="CB632" s="18"/>
      <c r="CC632" s="18" t="s">
        <v>22</v>
      </c>
      <c r="CD632" s="18"/>
      <c r="CE632" s="41" t="s">
        <v>22</v>
      </c>
      <c r="CF632" s="41" t="s">
        <v>22</v>
      </c>
      <c r="CG632" s="41" t="e">
        <f t="shared" si="347"/>
        <v>#VALUE!</v>
      </c>
      <c r="CH632" s="41" t="e">
        <f t="shared" si="348"/>
        <v>#VALUE!</v>
      </c>
      <c r="CI632" s="41">
        <f t="shared" si="352"/>
        <v>10</v>
      </c>
      <c r="CJ632" s="41">
        <f t="shared" si="353"/>
        <v>1</v>
      </c>
      <c r="CK632" s="18"/>
      <c r="CL632" s="9" t="s">
        <v>1269</v>
      </c>
      <c r="CM632" s="18" t="s">
        <v>1285</v>
      </c>
      <c r="CN632" s="54" t="s">
        <v>1284</v>
      </c>
      <c r="CO632" s="18" t="s">
        <v>1284</v>
      </c>
    </row>
    <row r="633" spans="1:93" x14ac:dyDescent="0.25">
      <c r="A633" t="s">
        <v>141</v>
      </c>
      <c r="B633" s="41">
        <v>3.8401253918495296E-3</v>
      </c>
      <c r="C633" s="41" t="s">
        <v>22</v>
      </c>
      <c r="D633" s="41" t="s">
        <v>22</v>
      </c>
      <c r="E633" s="41">
        <v>1.4584266211402399</v>
      </c>
      <c r="F633" t="s">
        <v>22</v>
      </c>
      <c r="G633" t="s">
        <v>22</v>
      </c>
      <c r="H633" t="s">
        <v>22</v>
      </c>
      <c r="I633" t="s">
        <v>22</v>
      </c>
      <c r="J633" s="41" t="s">
        <v>22</v>
      </c>
      <c r="K633" t="s">
        <v>22</v>
      </c>
      <c r="L633" s="41" t="e">
        <f t="shared" si="351"/>
        <v>#VALUE!</v>
      </c>
      <c r="M633" t="s">
        <v>23</v>
      </c>
      <c r="N633" s="41" t="s">
        <v>22</v>
      </c>
      <c r="O633" s="41" t="s">
        <v>22</v>
      </c>
      <c r="P633" s="41" t="s">
        <v>22</v>
      </c>
      <c r="R633" s="41" t="s">
        <v>22</v>
      </c>
      <c r="S633" s="41" t="s">
        <v>22</v>
      </c>
      <c r="T633" s="41">
        <v>10</v>
      </c>
      <c r="U633" s="41">
        <v>10</v>
      </c>
      <c r="V633">
        <v>20200507</v>
      </c>
      <c r="W633" s="16" t="s">
        <v>62</v>
      </c>
      <c r="X633" s="18">
        <v>2014</v>
      </c>
      <c r="Y633" t="s">
        <v>59</v>
      </c>
      <c r="Z633" t="s">
        <v>32</v>
      </c>
      <c r="AC633" t="s">
        <v>514</v>
      </c>
      <c r="AD633" s="41" t="s">
        <v>22</v>
      </c>
      <c r="AE633" s="41" t="s">
        <v>22</v>
      </c>
      <c r="AF633" s="41" t="s">
        <v>22</v>
      </c>
      <c r="AG633" s="41" t="s">
        <v>22</v>
      </c>
      <c r="AH633" s="41" t="s">
        <v>22</v>
      </c>
      <c r="AI633" s="41" t="s">
        <v>22</v>
      </c>
      <c r="AJ633" s="41" t="s">
        <v>22</v>
      </c>
      <c r="AK633" s="41" t="s">
        <v>22</v>
      </c>
      <c r="AL633" s="41" t="s">
        <v>22</v>
      </c>
      <c r="AM633" s="43" t="e">
        <f t="shared" si="303"/>
        <v>#VALUE!</v>
      </c>
      <c r="AN633" s="43" t="e">
        <f t="shared" si="304"/>
        <v>#VALUE!</v>
      </c>
      <c r="AO633" s="3" t="s">
        <v>986</v>
      </c>
      <c r="AT633" s="2">
        <f t="shared" si="305"/>
        <v>7</v>
      </c>
      <c r="AU633" s="45">
        <f t="shared" si="306"/>
        <v>-2.4156545943566297</v>
      </c>
      <c r="AV633" s="45" t="e">
        <f t="shared" si="307"/>
        <v>#VALUE!</v>
      </c>
      <c r="AW633" s="45" t="e">
        <f t="shared" si="308"/>
        <v>#VALUE!</v>
      </c>
      <c r="AX633" s="45" t="e">
        <f t="shared" si="309"/>
        <v>#VALUE!</v>
      </c>
      <c r="AY633" s="45" t="e">
        <f t="shared" si="310"/>
        <v>#VALUE!</v>
      </c>
      <c r="AZ633" s="45" t="e">
        <f t="shared" si="311"/>
        <v>#VALUE!</v>
      </c>
      <c r="BA633" s="45" t="e">
        <f t="shared" si="312"/>
        <v>#VALUE!</v>
      </c>
      <c r="BB633" s="45" t="e">
        <f t="shared" si="313"/>
        <v>#VALUE!</v>
      </c>
      <c r="BC633" s="45">
        <f t="shared" si="314"/>
        <v>1</v>
      </c>
      <c r="BD633" s="45" t="e">
        <f t="shared" si="315"/>
        <v>#VALUE!</v>
      </c>
      <c r="BE633" s="45" t="e">
        <f t="shared" si="316"/>
        <v>#VALUE!</v>
      </c>
      <c r="BF633" s="45" t="e">
        <f t="shared" si="317"/>
        <v>#VALUE!</v>
      </c>
      <c r="BG633" s="45" t="e">
        <f t="shared" si="318"/>
        <v>#VALUE!</v>
      </c>
      <c r="BH633" s="45" t="e">
        <f t="shared" si="319"/>
        <v>#NUM!</v>
      </c>
      <c r="BI633" s="43" t="e">
        <f t="shared" si="320"/>
        <v>#VALUE!</v>
      </c>
      <c r="CA633" s="41" t="s">
        <v>22</v>
      </c>
      <c r="CC633" t="s">
        <v>22</v>
      </c>
      <c r="CE633" s="41" t="s">
        <v>22</v>
      </c>
      <c r="CF633" s="41" t="s">
        <v>22</v>
      </c>
      <c r="CG633" s="41" t="e">
        <f t="shared" si="347"/>
        <v>#VALUE!</v>
      </c>
      <c r="CH633" s="41" t="e">
        <f t="shared" si="348"/>
        <v>#VALUE!</v>
      </c>
      <c r="CI633" s="41">
        <f t="shared" si="352"/>
        <v>10</v>
      </c>
      <c r="CJ633" s="41">
        <f t="shared" si="353"/>
        <v>1</v>
      </c>
      <c r="CL633" s="9" t="s">
        <v>1269</v>
      </c>
      <c r="CM633" s="18" t="s">
        <v>1285</v>
      </c>
      <c r="CN633" s="54" t="s">
        <v>1284</v>
      </c>
      <c r="CO633" s="18" t="s">
        <v>1284</v>
      </c>
    </row>
    <row r="634" spans="1:93" x14ac:dyDescent="0.25">
      <c r="A634" t="s">
        <v>141</v>
      </c>
      <c r="B634" s="41">
        <v>4.1034482758620693E-3</v>
      </c>
      <c r="C634" s="41" t="s">
        <v>22</v>
      </c>
      <c r="D634" s="41" t="s">
        <v>22</v>
      </c>
      <c r="E634" s="41">
        <v>2.0545224156569901</v>
      </c>
      <c r="F634" t="s">
        <v>22</v>
      </c>
      <c r="G634" t="s">
        <v>22</v>
      </c>
      <c r="H634" t="s">
        <v>22</v>
      </c>
      <c r="I634" t="s">
        <v>22</v>
      </c>
      <c r="J634" s="41" t="s">
        <v>22</v>
      </c>
      <c r="K634" t="s">
        <v>22</v>
      </c>
      <c r="L634" s="41" t="e">
        <f t="shared" si="351"/>
        <v>#VALUE!</v>
      </c>
      <c r="M634" t="s">
        <v>23</v>
      </c>
      <c r="N634" s="41" t="s">
        <v>22</v>
      </c>
      <c r="O634" s="41" t="s">
        <v>22</v>
      </c>
      <c r="P634" s="41" t="s">
        <v>22</v>
      </c>
      <c r="R634" s="41" t="s">
        <v>22</v>
      </c>
      <c r="S634" s="41" t="s">
        <v>22</v>
      </c>
      <c r="T634" s="41">
        <v>10</v>
      </c>
      <c r="U634" s="41">
        <v>10</v>
      </c>
      <c r="V634">
        <v>20200507</v>
      </c>
      <c r="W634" s="21" t="s">
        <v>63</v>
      </c>
      <c r="X634" s="18">
        <v>2014</v>
      </c>
      <c r="Y634" t="s">
        <v>59</v>
      </c>
      <c r="Z634" t="s">
        <v>32</v>
      </c>
      <c r="AC634" t="s">
        <v>514</v>
      </c>
      <c r="AD634" s="41" t="s">
        <v>22</v>
      </c>
      <c r="AE634" s="41" t="s">
        <v>22</v>
      </c>
      <c r="AF634" s="41" t="s">
        <v>22</v>
      </c>
      <c r="AG634" s="41" t="s">
        <v>22</v>
      </c>
      <c r="AH634" s="41" t="s">
        <v>22</v>
      </c>
      <c r="AI634" s="41" t="s">
        <v>22</v>
      </c>
      <c r="AJ634" s="41" t="s">
        <v>22</v>
      </c>
      <c r="AK634" s="41" t="s">
        <v>22</v>
      </c>
      <c r="AL634" s="41" t="s">
        <v>22</v>
      </c>
      <c r="AM634" s="43" t="e">
        <f t="shared" si="303"/>
        <v>#VALUE!</v>
      </c>
      <c r="AN634" s="43" t="e">
        <f t="shared" si="304"/>
        <v>#VALUE!</v>
      </c>
      <c r="AO634" s="19" t="s">
        <v>986</v>
      </c>
      <c r="AT634" s="2">
        <f t="shared" si="305"/>
        <v>7</v>
      </c>
      <c r="AU634" s="45">
        <f t="shared" si="306"/>
        <v>-2.3868510365064255</v>
      </c>
      <c r="AV634" s="45" t="e">
        <f t="shared" si="307"/>
        <v>#VALUE!</v>
      </c>
      <c r="AW634" s="45" t="e">
        <f t="shared" si="308"/>
        <v>#VALUE!</v>
      </c>
      <c r="AX634" s="45" t="e">
        <f t="shared" si="309"/>
        <v>#VALUE!</v>
      </c>
      <c r="AY634" s="45" t="e">
        <f t="shared" si="310"/>
        <v>#VALUE!</v>
      </c>
      <c r="AZ634" s="45" t="e">
        <f t="shared" si="311"/>
        <v>#VALUE!</v>
      </c>
      <c r="BA634" s="45" t="e">
        <f t="shared" si="312"/>
        <v>#VALUE!</v>
      </c>
      <c r="BB634" s="45" t="e">
        <f t="shared" si="313"/>
        <v>#VALUE!</v>
      </c>
      <c r="BC634" s="45">
        <f t="shared" si="314"/>
        <v>1</v>
      </c>
      <c r="BD634" s="45" t="e">
        <f t="shared" si="315"/>
        <v>#VALUE!</v>
      </c>
      <c r="BE634" s="45" t="e">
        <f t="shared" si="316"/>
        <v>#VALUE!</v>
      </c>
      <c r="BF634" s="45" t="e">
        <f t="shared" si="317"/>
        <v>#VALUE!</v>
      </c>
      <c r="BG634" s="45" t="e">
        <f t="shared" si="318"/>
        <v>#VALUE!</v>
      </c>
      <c r="BH634" s="45" t="e">
        <f t="shared" si="319"/>
        <v>#NUM!</v>
      </c>
      <c r="BI634" s="43" t="e">
        <f t="shared" si="320"/>
        <v>#VALUE!</v>
      </c>
      <c r="BL634" s="20"/>
      <c r="CA634" s="41" t="s">
        <v>22</v>
      </c>
      <c r="CC634" t="s">
        <v>22</v>
      </c>
      <c r="CE634" s="41" t="s">
        <v>22</v>
      </c>
      <c r="CF634" s="41" t="s">
        <v>22</v>
      </c>
      <c r="CG634" s="41" t="e">
        <f t="shared" si="347"/>
        <v>#VALUE!</v>
      </c>
      <c r="CH634" s="41" t="e">
        <f t="shared" si="348"/>
        <v>#VALUE!</v>
      </c>
      <c r="CI634" s="41">
        <f t="shared" si="352"/>
        <v>10</v>
      </c>
      <c r="CJ634" s="41">
        <f t="shared" si="353"/>
        <v>1</v>
      </c>
      <c r="CL634" s="9" t="s">
        <v>1269</v>
      </c>
      <c r="CM634" s="18" t="s">
        <v>1285</v>
      </c>
      <c r="CN634" s="54" t="s">
        <v>1284</v>
      </c>
      <c r="CO634" s="18" t="s">
        <v>1284</v>
      </c>
    </row>
    <row r="635" spans="1:93" x14ac:dyDescent="0.25">
      <c r="A635" t="s">
        <v>141</v>
      </c>
      <c r="B635" s="41">
        <v>4.0752351097178598E-3</v>
      </c>
      <c r="C635" s="41" t="s">
        <v>22</v>
      </c>
      <c r="D635" s="41" t="s">
        <v>22</v>
      </c>
      <c r="E635" s="41">
        <v>2.0412484714583599</v>
      </c>
      <c r="F635" t="s">
        <v>22</v>
      </c>
      <c r="G635" t="s">
        <v>22</v>
      </c>
      <c r="H635" t="s">
        <v>22</v>
      </c>
      <c r="I635" t="s">
        <v>22</v>
      </c>
      <c r="J635" s="41" t="s">
        <v>22</v>
      </c>
      <c r="K635" t="s">
        <v>22</v>
      </c>
      <c r="L635" s="41" t="e">
        <f t="shared" si="351"/>
        <v>#VALUE!</v>
      </c>
      <c r="M635" t="s">
        <v>23</v>
      </c>
      <c r="N635" s="41">
        <v>5.3107769423558802</v>
      </c>
      <c r="O635" s="41" t="s">
        <v>22</v>
      </c>
      <c r="P635" s="41">
        <v>0.61781170483460501</v>
      </c>
      <c r="R635" s="41">
        <f>N635*B635</f>
        <v>2.1642664655368744E-2</v>
      </c>
      <c r="S635" s="41" t="s">
        <v>22</v>
      </c>
      <c r="T635" s="41">
        <v>10</v>
      </c>
      <c r="U635" s="41">
        <v>10</v>
      </c>
      <c r="V635">
        <v>20200507</v>
      </c>
      <c r="W635" s="21" t="s">
        <v>64</v>
      </c>
      <c r="X635" s="18">
        <v>2014</v>
      </c>
      <c r="Y635" t="s">
        <v>59</v>
      </c>
      <c r="Z635" t="s">
        <v>32</v>
      </c>
      <c r="AC635" t="s">
        <v>514</v>
      </c>
      <c r="AD635" s="41" t="s">
        <v>22</v>
      </c>
      <c r="AE635" s="41" t="s">
        <v>22</v>
      </c>
      <c r="AF635" s="41" t="s">
        <v>22</v>
      </c>
      <c r="AG635" s="41" t="s">
        <v>22</v>
      </c>
      <c r="AH635" s="41" t="s">
        <v>22</v>
      </c>
      <c r="AI635" s="41" t="s">
        <v>22</v>
      </c>
      <c r="AJ635" s="41" t="s">
        <v>22</v>
      </c>
      <c r="AK635" s="41" t="s">
        <v>22</v>
      </c>
      <c r="AL635" s="41" t="s">
        <v>22</v>
      </c>
      <c r="AM635" s="43" t="e">
        <f t="shared" si="303"/>
        <v>#VALUE!</v>
      </c>
      <c r="AN635" s="43" t="e">
        <f t="shared" si="304"/>
        <v>#VALUE!</v>
      </c>
      <c r="AO635" s="19" t="s">
        <v>986</v>
      </c>
      <c r="AT635" s="2">
        <f t="shared" si="305"/>
        <v>7</v>
      </c>
      <c r="AU635" s="45">
        <f t="shared" si="306"/>
        <v>-2.3898473307503454</v>
      </c>
      <c r="AV635" s="45" t="e">
        <f t="shared" si="307"/>
        <v>#VALUE!</v>
      </c>
      <c r="AW635" s="45" t="e">
        <f t="shared" si="308"/>
        <v>#VALUE!</v>
      </c>
      <c r="AX635" s="45">
        <f t="shared" si="309"/>
        <v>0.72515806102404556</v>
      </c>
      <c r="AY635" s="45" t="e">
        <f t="shared" si="310"/>
        <v>#VALUE!</v>
      </c>
      <c r="AZ635" s="45">
        <f t="shared" si="311"/>
        <v>-0.20914386797220713</v>
      </c>
      <c r="BA635" s="45" t="e">
        <f t="shared" si="312"/>
        <v>#VALUE!</v>
      </c>
      <c r="BB635" s="45" t="e">
        <f t="shared" si="313"/>
        <v>#VALUE!</v>
      </c>
      <c r="BC635" s="45">
        <f t="shared" si="314"/>
        <v>1</v>
      </c>
      <c r="BD635" s="45" t="e">
        <f t="shared" si="315"/>
        <v>#VALUE!</v>
      </c>
      <c r="BE635" s="45" t="e">
        <f t="shared" si="316"/>
        <v>#VALUE!</v>
      </c>
      <c r="BF635" s="45" t="e">
        <f t="shared" si="317"/>
        <v>#VALUE!</v>
      </c>
      <c r="BG635" s="45" t="e">
        <f t="shared" si="318"/>
        <v>#VALUE!</v>
      </c>
      <c r="BH635" s="45" t="e">
        <f t="shared" si="319"/>
        <v>#NUM!</v>
      </c>
      <c r="BI635" s="43" t="e">
        <f t="shared" si="320"/>
        <v>#VALUE!</v>
      </c>
      <c r="BL635" s="20"/>
      <c r="CA635" s="41" t="s">
        <v>22</v>
      </c>
      <c r="CC635" t="s">
        <v>22</v>
      </c>
      <c r="CE635" s="41" t="s">
        <v>22</v>
      </c>
      <c r="CF635" s="41" t="s">
        <v>22</v>
      </c>
      <c r="CG635" s="41" t="e">
        <f t="shared" si="347"/>
        <v>#VALUE!</v>
      </c>
      <c r="CH635" s="41" t="e">
        <f t="shared" si="348"/>
        <v>#VALUE!</v>
      </c>
      <c r="CI635" s="41">
        <f t="shared" si="352"/>
        <v>10</v>
      </c>
      <c r="CJ635" s="41">
        <f t="shared" si="353"/>
        <v>1</v>
      </c>
      <c r="CL635" s="9" t="s">
        <v>1269</v>
      </c>
      <c r="CM635" s="18" t="s">
        <v>1285</v>
      </c>
      <c r="CN635" s="54" t="s">
        <v>1284</v>
      </c>
      <c r="CO635" s="18" t="s">
        <v>1284</v>
      </c>
    </row>
    <row r="636" spans="1:93" x14ac:dyDescent="0.25">
      <c r="A636" t="s">
        <v>141</v>
      </c>
      <c r="B636" s="41">
        <v>4.0282131661442001E-3</v>
      </c>
      <c r="C636" s="41" t="s">
        <v>22</v>
      </c>
      <c r="D636" s="41" t="s">
        <v>22</v>
      </c>
      <c r="E636" s="41">
        <v>1.9670189450552</v>
      </c>
      <c r="F636" t="s">
        <v>22</v>
      </c>
      <c r="G636" t="s">
        <v>22</v>
      </c>
      <c r="H636" t="s">
        <v>22</v>
      </c>
      <c r="I636" t="s">
        <v>22</v>
      </c>
      <c r="J636" s="41" t="s">
        <v>22</v>
      </c>
      <c r="K636" t="s">
        <v>22</v>
      </c>
      <c r="L636" s="41" t="e">
        <f t="shared" si="351"/>
        <v>#VALUE!</v>
      </c>
      <c r="M636" t="s">
        <v>23</v>
      </c>
      <c r="N636" s="41" t="s">
        <v>22</v>
      </c>
      <c r="O636" s="41" t="s">
        <v>22</v>
      </c>
      <c r="P636" s="41" t="s">
        <v>22</v>
      </c>
      <c r="R636" s="41" t="s">
        <v>22</v>
      </c>
      <c r="S636" s="41" t="s">
        <v>22</v>
      </c>
      <c r="T636" s="41">
        <v>10</v>
      </c>
      <c r="U636" s="41">
        <v>10</v>
      </c>
      <c r="V636">
        <v>20200507</v>
      </c>
      <c r="W636" s="21" t="s">
        <v>65</v>
      </c>
      <c r="X636" s="18">
        <v>2014</v>
      </c>
      <c r="Y636" t="s">
        <v>59</v>
      </c>
      <c r="Z636" t="s">
        <v>32</v>
      </c>
      <c r="AC636" t="s">
        <v>514</v>
      </c>
      <c r="AD636" s="41" t="s">
        <v>22</v>
      </c>
      <c r="AE636" s="41" t="s">
        <v>22</v>
      </c>
      <c r="AF636" s="41" t="s">
        <v>22</v>
      </c>
      <c r="AG636" s="41" t="s">
        <v>22</v>
      </c>
      <c r="AH636" s="41" t="s">
        <v>22</v>
      </c>
      <c r="AI636" s="41" t="s">
        <v>22</v>
      </c>
      <c r="AJ636" s="41" t="s">
        <v>22</v>
      </c>
      <c r="AK636" s="41" t="s">
        <v>22</v>
      </c>
      <c r="AL636" s="41" t="s">
        <v>22</v>
      </c>
      <c r="AM636" s="43" t="e">
        <f t="shared" si="303"/>
        <v>#VALUE!</v>
      </c>
      <c r="AN636" s="43" t="e">
        <f t="shared" si="304"/>
        <v>#VALUE!</v>
      </c>
      <c r="AO636" s="19" t="s">
        <v>986</v>
      </c>
      <c r="AT636" s="2">
        <f t="shared" si="305"/>
        <v>7</v>
      </c>
      <c r="AU636" s="45">
        <f t="shared" si="306"/>
        <v>-2.3948875553898676</v>
      </c>
      <c r="AV636" s="45" t="e">
        <f t="shared" si="307"/>
        <v>#VALUE!</v>
      </c>
      <c r="AW636" s="45" t="e">
        <f t="shared" si="308"/>
        <v>#VALUE!</v>
      </c>
      <c r="AX636" s="45" t="e">
        <f t="shared" si="309"/>
        <v>#VALUE!</v>
      </c>
      <c r="AY636" s="45" t="e">
        <f t="shared" si="310"/>
        <v>#VALUE!</v>
      </c>
      <c r="AZ636" s="45" t="e">
        <f t="shared" si="311"/>
        <v>#VALUE!</v>
      </c>
      <c r="BA636" s="45" t="e">
        <f t="shared" si="312"/>
        <v>#VALUE!</v>
      </c>
      <c r="BB636" s="45" t="e">
        <f t="shared" si="313"/>
        <v>#VALUE!</v>
      </c>
      <c r="BC636" s="45">
        <f t="shared" si="314"/>
        <v>1</v>
      </c>
      <c r="BD636" s="45" t="e">
        <f t="shared" si="315"/>
        <v>#VALUE!</v>
      </c>
      <c r="BE636" s="45" t="e">
        <f t="shared" si="316"/>
        <v>#VALUE!</v>
      </c>
      <c r="BF636" s="45" t="e">
        <f t="shared" si="317"/>
        <v>#VALUE!</v>
      </c>
      <c r="BG636" s="45" t="e">
        <f t="shared" si="318"/>
        <v>#VALUE!</v>
      </c>
      <c r="BH636" s="45" t="e">
        <f t="shared" si="319"/>
        <v>#NUM!</v>
      </c>
      <c r="BI636" s="43" t="e">
        <f t="shared" si="320"/>
        <v>#VALUE!</v>
      </c>
      <c r="BL636" s="20"/>
      <c r="CA636" s="41" t="s">
        <v>22</v>
      </c>
      <c r="CC636" t="s">
        <v>22</v>
      </c>
      <c r="CE636" s="41" t="s">
        <v>22</v>
      </c>
      <c r="CF636" s="41" t="s">
        <v>22</v>
      </c>
      <c r="CG636" s="41" t="e">
        <f t="shared" si="347"/>
        <v>#VALUE!</v>
      </c>
      <c r="CH636" s="41" t="e">
        <f t="shared" si="348"/>
        <v>#VALUE!</v>
      </c>
      <c r="CI636" s="41">
        <f t="shared" si="352"/>
        <v>10</v>
      </c>
      <c r="CJ636" s="41">
        <f t="shared" si="353"/>
        <v>1</v>
      </c>
      <c r="CL636" s="9" t="s">
        <v>1269</v>
      </c>
      <c r="CM636" s="18" t="s">
        <v>1285</v>
      </c>
      <c r="CN636" s="54" t="s">
        <v>1284</v>
      </c>
      <c r="CO636" s="18" t="s">
        <v>1284</v>
      </c>
    </row>
    <row r="637" spans="1:93" x14ac:dyDescent="0.25">
      <c r="A637" s="18" t="s">
        <v>266</v>
      </c>
      <c r="B637" s="41">
        <v>3.9</v>
      </c>
      <c r="C637" s="41">
        <v>1.5</v>
      </c>
      <c r="D637" s="43">
        <f>0.001*(B637*10^6)/(C637*0.001*100^3)</f>
        <v>2.6</v>
      </c>
      <c r="E637" s="41" t="s">
        <v>22</v>
      </c>
      <c r="F637" s="18" t="s">
        <v>22</v>
      </c>
      <c r="G637" s="18" t="s">
        <v>22</v>
      </c>
      <c r="H637" s="18" t="s">
        <v>22</v>
      </c>
      <c r="I637" s="18" t="s">
        <v>155</v>
      </c>
      <c r="J637" s="41">
        <v>25</v>
      </c>
      <c r="K637" s="18">
        <v>785</v>
      </c>
      <c r="L637" s="41">
        <f t="shared" si="351"/>
        <v>9.4933312656250006</v>
      </c>
      <c r="M637" s="18" t="s">
        <v>45</v>
      </c>
      <c r="N637" s="41" t="s">
        <v>22</v>
      </c>
      <c r="O637" s="41" t="s">
        <v>22</v>
      </c>
      <c r="P637" s="41" t="s">
        <v>22</v>
      </c>
      <c r="R637" s="41" t="s">
        <v>22</v>
      </c>
      <c r="S637" s="41" t="s">
        <v>22</v>
      </c>
      <c r="T637" s="41" t="s">
        <v>22</v>
      </c>
      <c r="V637" s="18">
        <v>20200508</v>
      </c>
      <c r="W637" s="21" t="s">
        <v>156</v>
      </c>
      <c r="X637" s="18">
        <v>2014</v>
      </c>
      <c r="Y637" s="18" t="s">
        <v>143</v>
      </c>
      <c r="Z637" s="18" t="s">
        <v>157</v>
      </c>
      <c r="AA637" s="18"/>
      <c r="AC637" s="18" t="s">
        <v>514</v>
      </c>
      <c r="AD637" s="41">
        <v>13.6</v>
      </c>
      <c r="AE637" s="41" t="s">
        <v>22</v>
      </c>
      <c r="AF637" s="41">
        <v>420</v>
      </c>
      <c r="AG637" s="41" t="s">
        <v>22</v>
      </c>
      <c r="AH637" s="41" t="s">
        <v>22</v>
      </c>
      <c r="AI637" s="41" t="s">
        <v>22</v>
      </c>
      <c r="AJ637" s="41" t="s">
        <v>22</v>
      </c>
      <c r="AK637" s="41" t="s">
        <v>22</v>
      </c>
      <c r="AL637" s="41" t="s">
        <v>22</v>
      </c>
      <c r="AM637" s="43" t="e">
        <f t="shared" si="303"/>
        <v>#VALUE!</v>
      </c>
      <c r="AN637" s="43" t="e">
        <f t="shared" si="304"/>
        <v>#VALUE!</v>
      </c>
      <c r="AO637" s="19" t="s">
        <v>158</v>
      </c>
      <c r="AP637" s="18"/>
      <c r="AQ637" s="18"/>
      <c r="AR637" s="18"/>
      <c r="AS637" s="18"/>
      <c r="AT637" s="2">
        <f t="shared" si="305"/>
        <v>5</v>
      </c>
      <c r="AU637" s="45">
        <f t="shared" si="306"/>
        <v>0.59106460702649921</v>
      </c>
      <c r="AV637" s="45">
        <f t="shared" si="307"/>
        <v>0.17609125905568124</v>
      </c>
      <c r="AW637" s="45">
        <f t="shared" si="308"/>
        <v>0.41497334797081797</v>
      </c>
      <c r="AX637" s="45" t="e">
        <f t="shared" si="309"/>
        <v>#VALUE!</v>
      </c>
      <c r="AY637" s="45" t="e">
        <f t="shared" si="310"/>
        <v>#VALUE!</v>
      </c>
      <c r="AZ637" s="45" t="e">
        <f t="shared" si="311"/>
        <v>#VALUE!</v>
      </c>
      <c r="BA637" s="45">
        <f t="shared" si="312"/>
        <v>1.3979400086720377</v>
      </c>
      <c r="BB637" s="45">
        <f t="shared" si="313"/>
        <v>0.97741863565304776</v>
      </c>
      <c r="BC637" s="45" t="e">
        <f t="shared" si="314"/>
        <v>#NUM!</v>
      </c>
      <c r="BD637" s="45">
        <f t="shared" si="315"/>
        <v>1.1335389083702174</v>
      </c>
      <c r="BE637" s="45">
        <f t="shared" si="316"/>
        <v>2.6232492903979003</v>
      </c>
      <c r="BF637" s="45" t="e">
        <f t="shared" si="317"/>
        <v>#VALUE!</v>
      </c>
      <c r="BG637" s="45" t="e">
        <f t="shared" si="318"/>
        <v>#VALUE!</v>
      </c>
      <c r="BH637" s="45" t="e">
        <f t="shared" si="319"/>
        <v>#NUM!</v>
      </c>
      <c r="BI637" s="43">
        <f t="shared" si="320"/>
        <v>2.6232492903979003</v>
      </c>
      <c r="BJ637" s="18"/>
      <c r="BK637" s="18"/>
      <c r="BL637" s="2"/>
      <c r="BS637" s="18"/>
      <c r="BT637" s="18"/>
      <c r="BZ637" s="41" t="s">
        <v>869</v>
      </c>
      <c r="CA637" s="41" t="s">
        <v>22</v>
      </c>
      <c r="CB637" s="18"/>
      <c r="CC637" s="18" t="s">
        <v>1008</v>
      </c>
      <c r="CD637" s="18"/>
      <c r="CE637" s="41" t="s">
        <v>22</v>
      </c>
      <c r="CF637" s="41" t="s">
        <v>22</v>
      </c>
      <c r="CG637" s="41">
        <f t="shared" si="347"/>
        <v>13600</v>
      </c>
      <c r="CH637" s="41">
        <f t="shared" si="348"/>
        <v>4.1335389083702179</v>
      </c>
      <c r="CI637" s="41">
        <f t="shared" si="352"/>
        <v>13600</v>
      </c>
      <c r="CJ637" s="41">
        <f t="shared" si="353"/>
        <v>4.1335389083702179</v>
      </c>
      <c r="CK637" s="18"/>
      <c r="CL637" s="9" t="s">
        <v>1269</v>
      </c>
      <c r="CM637" s="18" t="s">
        <v>1283</v>
      </c>
      <c r="CN637" s="54" t="s">
        <v>1284</v>
      </c>
      <c r="CO637" s="18" t="s">
        <v>1284</v>
      </c>
    </row>
    <row r="638" spans="1:93" x14ac:dyDescent="0.25">
      <c r="A638" t="s">
        <v>266</v>
      </c>
      <c r="B638" s="41">
        <f>((4.12*10^-7)^-1)*10^-6</f>
        <v>2.4271844660194177</v>
      </c>
      <c r="C638" s="41">
        <v>1.2</v>
      </c>
      <c r="D638" s="43">
        <f>0.001*(B638*10^6)/(C638*0.001*100^3)</f>
        <v>2.0226537216828482</v>
      </c>
      <c r="E638" s="41" t="s">
        <v>22</v>
      </c>
      <c r="F638" t="s">
        <v>22</v>
      </c>
      <c r="G638" t="s">
        <v>22</v>
      </c>
      <c r="H638" t="s">
        <v>22</v>
      </c>
      <c r="I638" t="s">
        <v>22</v>
      </c>
      <c r="J638" s="41">
        <v>25</v>
      </c>
      <c r="K638">
        <v>785</v>
      </c>
      <c r="L638" s="41">
        <f t="shared" si="351"/>
        <v>9.4933312656250006</v>
      </c>
      <c r="M638" t="s">
        <v>45</v>
      </c>
      <c r="N638" s="41" t="s">
        <v>22</v>
      </c>
      <c r="O638" s="41" t="s">
        <v>22</v>
      </c>
      <c r="P638" s="41" t="s">
        <v>22</v>
      </c>
      <c r="R638" s="41" t="s">
        <v>22</v>
      </c>
      <c r="S638" s="41" t="s">
        <v>22</v>
      </c>
      <c r="T638" s="41" t="s">
        <v>22</v>
      </c>
      <c r="V638">
        <v>20200508</v>
      </c>
      <c r="W638" s="16" t="s">
        <v>156</v>
      </c>
      <c r="X638" s="18">
        <v>2014</v>
      </c>
      <c r="Y638" t="s">
        <v>143</v>
      </c>
      <c r="Z638" t="s">
        <v>157</v>
      </c>
      <c r="AC638" t="s">
        <v>514</v>
      </c>
      <c r="AD638" s="41">
        <v>10.5</v>
      </c>
      <c r="AE638" s="41" t="s">
        <v>22</v>
      </c>
      <c r="AF638" s="41">
        <v>331</v>
      </c>
      <c r="AG638" s="41" t="s">
        <v>22</v>
      </c>
      <c r="AH638" s="41" t="s">
        <v>22</v>
      </c>
      <c r="AI638" s="41" t="s">
        <v>22</v>
      </c>
      <c r="AJ638" s="41" t="s">
        <v>22</v>
      </c>
      <c r="AK638" s="41" t="s">
        <v>22</v>
      </c>
      <c r="AL638" s="41" t="s">
        <v>22</v>
      </c>
      <c r="AM638" s="43" t="e">
        <f t="shared" si="303"/>
        <v>#VALUE!</v>
      </c>
      <c r="AN638" s="43" t="e">
        <f t="shared" si="304"/>
        <v>#VALUE!</v>
      </c>
      <c r="AO638" s="3" t="s">
        <v>158</v>
      </c>
      <c r="AT638" s="2">
        <f t="shared" si="305"/>
        <v>5</v>
      </c>
      <c r="AU638" s="45">
        <f t="shared" si="306"/>
        <v>0.38510278396686543</v>
      </c>
      <c r="AV638" s="45">
        <f t="shared" si="307"/>
        <v>7.9181246047624818E-2</v>
      </c>
      <c r="AW638" s="45">
        <f t="shared" si="308"/>
        <v>0.30592153791924065</v>
      </c>
      <c r="AX638" s="45" t="e">
        <f t="shared" si="309"/>
        <v>#VALUE!</v>
      </c>
      <c r="AY638" s="45" t="e">
        <f t="shared" si="310"/>
        <v>#VALUE!</v>
      </c>
      <c r="AZ638" s="45" t="e">
        <f t="shared" si="311"/>
        <v>#VALUE!</v>
      </c>
      <c r="BA638" s="45">
        <f t="shared" si="312"/>
        <v>1.3979400086720377</v>
      </c>
      <c r="BB638" s="45">
        <f t="shared" si="313"/>
        <v>0.97741863565304776</v>
      </c>
      <c r="BC638" s="45" t="e">
        <f t="shared" si="314"/>
        <v>#NUM!</v>
      </c>
      <c r="BD638" s="45">
        <f t="shared" si="315"/>
        <v>1.0211892990699381</v>
      </c>
      <c r="BE638" s="45">
        <f t="shared" si="316"/>
        <v>2.5198279937757189</v>
      </c>
      <c r="BF638" s="45" t="e">
        <f t="shared" si="317"/>
        <v>#VALUE!</v>
      </c>
      <c r="BG638" s="45" t="e">
        <f t="shared" si="318"/>
        <v>#VALUE!</v>
      </c>
      <c r="BH638" s="45" t="e">
        <f t="shared" si="319"/>
        <v>#NUM!</v>
      </c>
      <c r="BI638" s="43">
        <f t="shared" si="320"/>
        <v>2.5198279937757189</v>
      </c>
      <c r="BJ638" t="s">
        <v>528</v>
      </c>
      <c r="BK638" t="s">
        <v>521</v>
      </c>
      <c r="BL638" s="2" t="s">
        <v>974</v>
      </c>
      <c r="BM638" s="41">
        <v>125</v>
      </c>
      <c r="BN638" s="41">
        <v>1440000000</v>
      </c>
      <c r="BO638" s="41">
        <v>1200</v>
      </c>
      <c r="BP638" s="41" t="s">
        <v>22</v>
      </c>
      <c r="BQ638" s="41" t="s">
        <v>22</v>
      </c>
      <c r="BR638" s="41" t="s">
        <v>22</v>
      </c>
      <c r="BS638" t="s">
        <v>22</v>
      </c>
      <c r="BT638" t="s">
        <v>22</v>
      </c>
      <c r="BU638" s="41" t="s">
        <v>22</v>
      </c>
      <c r="BV638" s="41" t="s">
        <v>22</v>
      </c>
      <c r="BW638" s="41" t="s">
        <v>22</v>
      </c>
      <c r="BX638" s="41" t="s">
        <v>22</v>
      </c>
      <c r="BY638" s="41" t="s">
        <v>22</v>
      </c>
      <c r="BZ638" s="41" t="s">
        <v>22</v>
      </c>
      <c r="CA638" s="41" t="s">
        <v>22</v>
      </c>
      <c r="CC638" t="s">
        <v>1008</v>
      </c>
      <c r="CE638" s="41">
        <f>LOG10(BN638)</f>
        <v>9.1583624920952502</v>
      </c>
      <c r="CF638" s="41" t="e">
        <f>LOG10(BV638)</f>
        <v>#VALUE!</v>
      </c>
      <c r="CG638" s="41">
        <f t="shared" si="347"/>
        <v>10500</v>
      </c>
      <c r="CH638" s="41">
        <f t="shared" si="348"/>
        <v>4.0211892990699383</v>
      </c>
      <c r="CI638" s="41">
        <f t="shared" si="352"/>
        <v>10500</v>
      </c>
      <c r="CJ638" s="41">
        <f t="shared" si="353"/>
        <v>4.0211892990699383</v>
      </c>
      <c r="CL638" s="9" t="s">
        <v>1269</v>
      </c>
      <c r="CM638" s="18" t="s">
        <v>1283</v>
      </c>
      <c r="CN638" s="54" t="s">
        <v>1284</v>
      </c>
      <c r="CO638" s="18" t="s">
        <v>1284</v>
      </c>
    </row>
    <row r="639" spans="1:93" x14ac:dyDescent="0.25">
      <c r="A639" t="s">
        <v>266</v>
      </c>
      <c r="B639" s="41">
        <f>((3.98*10^-7)^-1)*10^-6</f>
        <v>2.512562814070352</v>
      </c>
      <c r="C639" s="41">
        <v>1.2</v>
      </c>
      <c r="D639" s="43">
        <f>0.001*(B639*10^6)/(C639*0.001*100^3)</f>
        <v>2.0938023450586267</v>
      </c>
      <c r="E639" s="41" t="s">
        <v>22</v>
      </c>
      <c r="F639" t="s">
        <v>22</v>
      </c>
      <c r="G639" t="s">
        <v>22</v>
      </c>
      <c r="H639" t="s">
        <v>22</v>
      </c>
      <c r="I639" t="s">
        <v>22</v>
      </c>
      <c r="J639" s="41">
        <v>25</v>
      </c>
      <c r="K639">
        <v>785</v>
      </c>
      <c r="L639" s="41">
        <f t="shared" si="351"/>
        <v>9.4933312656250006</v>
      </c>
      <c r="M639" t="s">
        <v>45</v>
      </c>
      <c r="N639" s="41" t="s">
        <v>22</v>
      </c>
      <c r="O639" s="41" t="s">
        <v>22</v>
      </c>
      <c r="P639" s="41" t="s">
        <v>22</v>
      </c>
      <c r="R639" s="41" t="s">
        <v>22</v>
      </c>
      <c r="S639" s="41" t="s">
        <v>22</v>
      </c>
      <c r="T639" s="41" t="s">
        <v>22</v>
      </c>
      <c r="V639">
        <v>20200508</v>
      </c>
      <c r="W639" s="16" t="s">
        <v>156</v>
      </c>
      <c r="X639" s="18">
        <v>2014</v>
      </c>
      <c r="Y639" t="s">
        <v>143</v>
      </c>
      <c r="Z639" t="s">
        <v>157</v>
      </c>
      <c r="AC639" t="s">
        <v>514</v>
      </c>
      <c r="AD639" s="41">
        <v>20.5</v>
      </c>
      <c r="AE639" s="41" t="s">
        <v>22</v>
      </c>
      <c r="AF639" s="41">
        <v>314</v>
      </c>
      <c r="AG639" s="41" t="s">
        <v>22</v>
      </c>
      <c r="AH639" s="41" t="s">
        <v>22</v>
      </c>
      <c r="AI639" s="41" t="s">
        <v>22</v>
      </c>
      <c r="AJ639" s="41" t="s">
        <v>22</v>
      </c>
      <c r="AK639" s="41" t="s">
        <v>22</v>
      </c>
      <c r="AL639" s="41" t="s">
        <v>22</v>
      </c>
      <c r="AM639" s="43" t="e">
        <f t="shared" si="303"/>
        <v>#VALUE!</v>
      </c>
      <c r="AN639" s="43" t="e">
        <f t="shared" si="304"/>
        <v>#VALUE!</v>
      </c>
      <c r="AO639" s="3" t="s">
        <v>158</v>
      </c>
      <c r="AT639" s="2">
        <f t="shared" si="305"/>
        <v>5</v>
      </c>
      <c r="AU639" s="45">
        <f t="shared" si="306"/>
        <v>0.4001169279263122</v>
      </c>
      <c r="AV639" s="45">
        <f t="shared" si="307"/>
        <v>7.9181246047624818E-2</v>
      </c>
      <c r="AW639" s="45">
        <f t="shared" si="308"/>
        <v>0.32093568187868737</v>
      </c>
      <c r="AX639" s="45" t="e">
        <f t="shared" si="309"/>
        <v>#VALUE!</v>
      </c>
      <c r="AY639" s="45" t="e">
        <f t="shared" si="310"/>
        <v>#VALUE!</v>
      </c>
      <c r="AZ639" s="45" t="e">
        <f t="shared" si="311"/>
        <v>#VALUE!</v>
      </c>
      <c r="BA639" s="45">
        <f t="shared" si="312"/>
        <v>1.3979400086720377</v>
      </c>
      <c r="BB639" s="45">
        <f t="shared" si="313"/>
        <v>0.97741863565304776</v>
      </c>
      <c r="BC639" s="45" t="e">
        <f t="shared" si="314"/>
        <v>#NUM!</v>
      </c>
      <c r="BD639" s="45">
        <f t="shared" si="315"/>
        <v>1.3117538610557542</v>
      </c>
      <c r="BE639" s="45">
        <f t="shared" si="316"/>
        <v>2.4969296480732148</v>
      </c>
      <c r="BF639" s="45" t="e">
        <f t="shared" si="317"/>
        <v>#VALUE!</v>
      </c>
      <c r="BG639" s="45" t="e">
        <f t="shared" si="318"/>
        <v>#VALUE!</v>
      </c>
      <c r="BH639" s="45" t="e">
        <f t="shared" si="319"/>
        <v>#NUM!</v>
      </c>
      <c r="BI639" s="43">
        <f t="shared" si="320"/>
        <v>2.4969296480732148</v>
      </c>
      <c r="BJ639" t="s">
        <v>528</v>
      </c>
      <c r="BK639" t="s">
        <v>521</v>
      </c>
      <c r="BL639" s="2" t="s">
        <v>974</v>
      </c>
      <c r="BM639" s="41" t="s">
        <v>22</v>
      </c>
      <c r="BN639" s="41">
        <v>211000000</v>
      </c>
      <c r="BO639" s="41">
        <v>150</v>
      </c>
      <c r="BP639" s="41">
        <v>182000000</v>
      </c>
      <c r="BQ639" s="41" t="s">
        <v>22</v>
      </c>
      <c r="BR639" s="41" t="s">
        <v>22</v>
      </c>
      <c r="BS639" t="s">
        <v>522</v>
      </c>
      <c r="BT639" t="s">
        <v>974</v>
      </c>
      <c r="BU639" s="41" t="s">
        <v>22</v>
      </c>
      <c r="BV639" s="41">
        <v>136000000</v>
      </c>
      <c r="BW639" s="41">
        <v>85</v>
      </c>
      <c r="BX639" s="41">
        <v>103000000</v>
      </c>
      <c r="BY639" s="41" t="s">
        <v>22</v>
      </c>
      <c r="BZ639" s="41">
        <v>32500</v>
      </c>
      <c r="CA639" s="41">
        <v>32500</v>
      </c>
      <c r="CB639" t="s">
        <v>868</v>
      </c>
      <c r="CC639" t="s">
        <v>1008</v>
      </c>
      <c r="CE639" s="41">
        <f>LOG10(BN639)</f>
        <v>8.3242824552976931</v>
      </c>
      <c r="CF639" s="41">
        <f>LOG10(BV639)</f>
        <v>8.1335389083702179</v>
      </c>
      <c r="CG639" s="41">
        <f t="shared" si="347"/>
        <v>20500</v>
      </c>
      <c r="CH639" s="41">
        <f t="shared" si="348"/>
        <v>4.3117538610557542</v>
      </c>
      <c r="CI639" s="41">
        <f t="shared" si="352"/>
        <v>20500</v>
      </c>
      <c r="CJ639" s="41">
        <f t="shared" si="353"/>
        <v>4.3117538610557542</v>
      </c>
      <c r="CL639" s="9" t="s">
        <v>1269</v>
      </c>
      <c r="CM639" s="18" t="s">
        <v>1283</v>
      </c>
      <c r="CN639" s="54">
        <v>4.5118833609788744</v>
      </c>
      <c r="CO639" s="18" t="s">
        <v>1283</v>
      </c>
    </row>
    <row r="640" spans="1:93" x14ac:dyDescent="0.25">
      <c r="A640" t="s">
        <v>266</v>
      </c>
      <c r="B640" s="41">
        <f>((1.7*10^-7)^-1)*10^-6</f>
        <v>5.882352941176471</v>
      </c>
      <c r="C640" s="41" t="s">
        <v>22</v>
      </c>
      <c r="D640" s="41" t="s">
        <v>22</v>
      </c>
      <c r="E640" s="41" t="s">
        <v>22</v>
      </c>
      <c r="F640" t="s">
        <v>22</v>
      </c>
      <c r="G640" t="s">
        <v>22</v>
      </c>
      <c r="H640" t="s">
        <v>22</v>
      </c>
      <c r="I640" t="s">
        <v>22</v>
      </c>
      <c r="J640" s="41">
        <v>25</v>
      </c>
      <c r="K640">
        <v>785</v>
      </c>
      <c r="L640" s="41">
        <f t="shared" si="351"/>
        <v>9.4933312656250006</v>
      </c>
      <c r="M640" t="s">
        <v>45</v>
      </c>
      <c r="N640" s="41" t="s">
        <v>22</v>
      </c>
      <c r="O640" s="41" t="s">
        <v>22</v>
      </c>
      <c r="P640" s="41" t="s">
        <v>22</v>
      </c>
      <c r="R640" s="41" t="s">
        <v>22</v>
      </c>
      <c r="S640" s="41" t="s">
        <v>22</v>
      </c>
      <c r="T640" s="41" t="s">
        <v>22</v>
      </c>
      <c r="V640">
        <v>20200508</v>
      </c>
      <c r="W640" s="16" t="s">
        <v>156</v>
      </c>
      <c r="X640" s="18">
        <v>2014</v>
      </c>
      <c r="Y640" t="s">
        <v>143</v>
      </c>
      <c r="Z640" t="s">
        <v>157</v>
      </c>
      <c r="AC640" t="s">
        <v>514</v>
      </c>
      <c r="AD640" s="41" t="s">
        <v>22</v>
      </c>
      <c r="AE640" s="41" t="s">
        <v>22</v>
      </c>
      <c r="AF640" s="41" t="s">
        <v>22</v>
      </c>
      <c r="AG640" s="41" t="s">
        <v>22</v>
      </c>
      <c r="AH640" s="41" t="s">
        <v>22</v>
      </c>
      <c r="AI640" s="41" t="s">
        <v>22</v>
      </c>
      <c r="AJ640" s="41" t="s">
        <v>22</v>
      </c>
      <c r="AK640" s="41" t="s">
        <v>22</v>
      </c>
      <c r="AL640" s="41" t="s">
        <v>22</v>
      </c>
      <c r="AM640" s="43" t="e">
        <f t="shared" si="303"/>
        <v>#VALUE!</v>
      </c>
      <c r="AN640" s="43" t="e">
        <f t="shared" si="304"/>
        <v>#VALUE!</v>
      </c>
      <c r="AO640" s="3" t="s">
        <v>158</v>
      </c>
      <c r="AT640" s="2">
        <f t="shared" si="305"/>
        <v>5</v>
      </c>
      <c r="AU640" s="45">
        <f t="shared" si="306"/>
        <v>0.76955107862172611</v>
      </c>
      <c r="AV640" s="45" t="e">
        <f t="shared" si="307"/>
        <v>#VALUE!</v>
      </c>
      <c r="AW640" s="45" t="e">
        <f t="shared" si="308"/>
        <v>#VALUE!</v>
      </c>
      <c r="AX640" s="45" t="e">
        <f t="shared" si="309"/>
        <v>#VALUE!</v>
      </c>
      <c r="AY640" s="45" t="e">
        <f t="shared" si="310"/>
        <v>#VALUE!</v>
      </c>
      <c r="AZ640" s="45" t="e">
        <f t="shared" si="311"/>
        <v>#VALUE!</v>
      </c>
      <c r="BA640" s="45">
        <f t="shared" si="312"/>
        <v>1.3979400086720377</v>
      </c>
      <c r="BB640" s="45">
        <f t="shared" si="313"/>
        <v>0.97741863565304776</v>
      </c>
      <c r="BC640" s="45" t="e">
        <f t="shared" si="314"/>
        <v>#NUM!</v>
      </c>
      <c r="BD640" s="45" t="e">
        <f t="shared" si="315"/>
        <v>#VALUE!</v>
      </c>
      <c r="BE640" s="45" t="e">
        <f t="shared" si="316"/>
        <v>#VALUE!</v>
      </c>
      <c r="BF640" s="45" t="e">
        <f t="shared" si="317"/>
        <v>#VALUE!</v>
      </c>
      <c r="BG640" s="45" t="e">
        <f t="shared" si="318"/>
        <v>#VALUE!</v>
      </c>
      <c r="BH640" s="45" t="e">
        <f t="shared" si="319"/>
        <v>#NUM!</v>
      </c>
      <c r="BI640" s="43" t="e">
        <f t="shared" si="320"/>
        <v>#VALUE!</v>
      </c>
      <c r="BL640" s="2"/>
      <c r="BZ640" s="41" t="s">
        <v>869</v>
      </c>
      <c r="CA640" s="41" t="s">
        <v>22</v>
      </c>
      <c r="CC640" t="s">
        <v>1008</v>
      </c>
      <c r="CE640" s="41" t="s">
        <v>22</v>
      </c>
      <c r="CF640" s="41" t="s">
        <v>22</v>
      </c>
      <c r="CG640" s="41" t="e">
        <f t="shared" si="347"/>
        <v>#VALUE!</v>
      </c>
      <c r="CH640" s="41" t="e">
        <f t="shared" si="348"/>
        <v>#VALUE!</v>
      </c>
      <c r="CI640" s="41" t="s">
        <v>22</v>
      </c>
      <c r="CJ640" s="41" t="e">
        <f t="shared" si="353"/>
        <v>#VALUE!</v>
      </c>
      <c r="CL640" s="9" t="s">
        <v>1269</v>
      </c>
      <c r="CM640" s="18" t="s">
        <v>1284</v>
      </c>
      <c r="CN640" s="54" t="s">
        <v>1284</v>
      </c>
      <c r="CO640" s="18" t="s">
        <v>1284</v>
      </c>
    </row>
    <row r="641" spans="1:93" x14ac:dyDescent="0.25">
      <c r="A641" t="s">
        <v>266</v>
      </c>
      <c r="B641" s="41">
        <f>((2.5*10^-7)^-1)*10^-6</f>
        <v>4</v>
      </c>
      <c r="C641" s="41" t="s">
        <v>22</v>
      </c>
      <c r="D641" s="41" t="s">
        <v>22</v>
      </c>
      <c r="E641" s="41" t="s">
        <v>22</v>
      </c>
      <c r="F641" t="s">
        <v>22</v>
      </c>
      <c r="G641" t="s">
        <v>22</v>
      </c>
      <c r="H641" t="s">
        <v>22</v>
      </c>
      <c r="I641" t="s">
        <v>22</v>
      </c>
      <c r="J641" s="41">
        <v>25</v>
      </c>
      <c r="K641">
        <v>785</v>
      </c>
      <c r="L641" s="41">
        <f t="shared" si="351"/>
        <v>9.4933312656250006</v>
      </c>
      <c r="M641" t="s">
        <v>23</v>
      </c>
      <c r="N641" s="41" t="s">
        <v>22</v>
      </c>
      <c r="O641" s="41" t="s">
        <v>22</v>
      </c>
      <c r="P641" s="41" t="s">
        <v>22</v>
      </c>
      <c r="R641" s="41" t="s">
        <v>22</v>
      </c>
      <c r="S641" s="41" t="s">
        <v>22</v>
      </c>
      <c r="T641" s="41" t="s">
        <v>22</v>
      </c>
      <c r="V641">
        <v>20200508</v>
      </c>
      <c r="W641" s="16" t="s">
        <v>156</v>
      </c>
      <c r="X641" s="18">
        <v>2014</v>
      </c>
      <c r="Y641" t="s">
        <v>143</v>
      </c>
      <c r="Z641" t="s">
        <v>159</v>
      </c>
      <c r="AC641" t="s">
        <v>514</v>
      </c>
      <c r="AD641" s="41">
        <v>20</v>
      </c>
      <c r="AE641" s="41" t="s">
        <v>22</v>
      </c>
      <c r="AF641" s="41" t="s">
        <v>22</v>
      </c>
      <c r="AG641" s="41" t="s">
        <v>22</v>
      </c>
      <c r="AH641" s="41" t="s">
        <v>22</v>
      </c>
      <c r="AI641" s="41" t="s">
        <v>22</v>
      </c>
      <c r="AJ641" s="41" t="s">
        <v>22</v>
      </c>
      <c r="AK641" s="41" t="s">
        <v>22</v>
      </c>
      <c r="AL641" s="41" t="s">
        <v>22</v>
      </c>
      <c r="AM641" s="43" t="e">
        <f t="shared" si="303"/>
        <v>#VALUE!</v>
      </c>
      <c r="AN641" s="43" t="e">
        <f t="shared" si="304"/>
        <v>#VALUE!</v>
      </c>
      <c r="AO641" s="3" t="s">
        <v>158</v>
      </c>
      <c r="AT641" s="2">
        <f t="shared" si="305"/>
        <v>5</v>
      </c>
      <c r="AU641" s="45">
        <f t="shared" si="306"/>
        <v>0.6020599913279624</v>
      </c>
      <c r="AV641" s="45" t="e">
        <f t="shared" si="307"/>
        <v>#VALUE!</v>
      </c>
      <c r="AW641" s="45" t="e">
        <f t="shared" si="308"/>
        <v>#VALUE!</v>
      </c>
      <c r="AX641" s="45" t="e">
        <f t="shared" si="309"/>
        <v>#VALUE!</v>
      </c>
      <c r="AY641" s="45" t="e">
        <f t="shared" si="310"/>
        <v>#VALUE!</v>
      </c>
      <c r="AZ641" s="45" t="e">
        <f t="shared" si="311"/>
        <v>#VALUE!</v>
      </c>
      <c r="BA641" s="45">
        <f t="shared" si="312"/>
        <v>1.3979400086720377</v>
      </c>
      <c r="BB641" s="45">
        <f t="shared" si="313"/>
        <v>0.97741863565304776</v>
      </c>
      <c r="BC641" s="45" t="e">
        <f t="shared" si="314"/>
        <v>#NUM!</v>
      </c>
      <c r="BD641" s="45">
        <f t="shared" si="315"/>
        <v>1.3010299956639813</v>
      </c>
      <c r="BE641" s="45" t="e">
        <f t="shared" si="316"/>
        <v>#VALUE!</v>
      </c>
      <c r="BF641" s="45" t="e">
        <f t="shared" si="317"/>
        <v>#VALUE!</v>
      </c>
      <c r="BG641" s="45" t="e">
        <f t="shared" si="318"/>
        <v>#VALUE!</v>
      </c>
      <c r="BH641" s="45" t="e">
        <f t="shared" si="319"/>
        <v>#NUM!</v>
      </c>
      <c r="BI641" s="43" t="e">
        <f t="shared" si="320"/>
        <v>#VALUE!</v>
      </c>
      <c r="BZ641" s="41" t="s">
        <v>869</v>
      </c>
      <c r="CA641" s="41" t="s">
        <v>22</v>
      </c>
      <c r="CC641" t="s">
        <v>1008</v>
      </c>
      <c r="CE641" s="41" t="s">
        <v>22</v>
      </c>
      <c r="CF641" s="41" t="s">
        <v>22</v>
      </c>
      <c r="CG641" s="41">
        <f t="shared" si="347"/>
        <v>20000</v>
      </c>
      <c r="CH641" s="41">
        <f t="shared" si="348"/>
        <v>4.3010299956639813</v>
      </c>
      <c r="CI641" s="41">
        <f t="shared" ref="CI641:CI647" si="354">IF(ISNUMBER(CG641),CG641,U641)</f>
        <v>20000</v>
      </c>
      <c r="CJ641" s="41">
        <f t="shared" si="353"/>
        <v>4.3010299956639813</v>
      </c>
      <c r="CL641" s="9" t="s">
        <v>1269</v>
      </c>
      <c r="CM641" s="18" t="s">
        <v>1283</v>
      </c>
      <c r="CN641" s="54" t="s">
        <v>1284</v>
      </c>
      <c r="CO641" s="18" t="s">
        <v>1284</v>
      </c>
    </row>
    <row r="642" spans="1:93" x14ac:dyDescent="0.25">
      <c r="A642" t="s">
        <v>141</v>
      </c>
      <c r="B642" s="41" t="s">
        <v>22</v>
      </c>
      <c r="C642" s="41">
        <v>0.47</v>
      </c>
      <c r="D642" s="41" t="s">
        <v>22</v>
      </c>
      <c r="E642" s="41" t="s">
        <v>22</v>
      </c>
      <c r="F642">
        <v>1.1000000000000001</v>
      </c>
      <c r="G642" t="s">
        <v>52</v>
      </c>
      <c r="H642" t="s">
        <v>22</v>
      </c>
      <c r="I642" t="s">
        <v>22</v>
      </c>
      <c r="K642">
        <v>514</v>
      </c>
      <c r="M642" t="s">
        <v>23</v>
      </c>
      <c r="N642" s="41">
        <v>186</v>
      </c>
      <c r="O642" s="41">
        <f>0.001*(N642*10^6)/(C642*100^3)</f>
        <v>0.39574468085106385</v>
      </c>
      <c r="P642" s="41">
        <v>3.2</v>
      </c>
      <c r="R642" s="41" t="s">
        <v>22</v>
      </c>
      <c r="S642" s="41" t="s">
        <v>22</v>
      </c>
      <c r="T642" s="41">
        <v>7.8</v>
      </c>
      <c r="U642" s="41">
        <v>7.8</v>
      </c>
      <c r="V642">
        <v>20200512</v>
      </c>
      <c r="W642" s="16" t="s">
        <v>32</v>
      </c>
      <c r="X642" s="6">
        <v>2014</v>
      </c>
      <c r="Y642" t="s">
        <v>76</v>
      </c>
      <c r="Z642" t="s">
        <v>32</v>
      </c>
      <c r="AC642" t="s">
        <v>514</v>
      </c>
      <c r="AD642" s="41" t="s">
        <v>22</v>
      </c>
      <c r="AE642" s="41" t="s">
        <v>22</v>
      </c>
      <c r="AF642" s="41" t="s">
        <v>22</v>
      </c>
      <c r="AG642" s="41" t="s">
        <v>22</v>
      </c>
      <c r="AH642" s="41" t="s">
        <v>22</v>
      </c>
      <c r="AI642" s="41" t="s">
        <v>22</v>
      </c>
      <c r="AJ642" s="41" t="s">
        <v>22</v>
      </c>
      <c r="AK642" s="41" t="s">
        <v>22</v>
      </c>
      <c r="AL642" s="41" t="s">
        <v>22</v>
      </c>
      <c r="AM642" s="43" t="e">
        <f t="shared" ref="AM642:AM705" si="355">AL642/AI642</f>
        <v>#VALUE!</v>
      </c>
      <c r="AN642" s="43" t="e">
        <f t="shared" ref="AN642:AN705" si="356">AL642/AJ642</f>
        <v>#VALUE!</v>
      </c>
      <c r="AO642" s="3" t="s">
        <v>599</v>
      </c>
      <c r="AT642" s="2">
        <f t="shared" ref="AT642:AT705" si="357">COUNTIF($AO$2:$AO$1400,AO642)</f>
        <v>4</v>
      </c>
      <c r="AU642" s="45" t="e">
        <f t="shared" ref="AU642:AU705" si="358">LOG10(B642)</f>
        <v>#VALUE!</v>
      </c>
      <c r="AV642" s="45">
        <f t="shared" ref="AV642:AV705" si="359">LOG10(C642)</f>
        <v>-0.32790214206428259</v>
      </c>
      <c r="AW642" s="45" t="e">
        <f t="shared" ref="AW642:AW705" si="360">LOG10(D642)</f>
        <v>#VALUE!</v>
      </c>
      <c r="AX642" s="45">
        <f t="shared" ref="AX642:AX705" si="361">LOG10(N642)</f>
        <v>2.2695129442179165</v>
      </c>
      <c r="AY642" s="45">
        <f t="shared" ref="AY642:AY705" si="362">LOG10(O642)</f>
        <v>-0.40258491371780114</v>
      </c>
      <c r="AZ642" s="45">
        <f t="shared" ref="AZ642:AZ705" si="363">LOG10(P642)</f>
        <v>0.50514997831990605</v>
      </c>
      <c r="BA642" s="45" t="e">
        <f t="shared" ref="BA642:BA705" si="364">LOG10(J642)</f>
        <v>#NUM!</v>
      </c>
      <c r="BB642" s="45" t="e">
        <f t="shared" ref="BB642:BB705" si="365">LOG10(L642)</f>
        <v>#NUM!</v>
      </c>
      <c r="BC642" s="45">
        <f t="shared" ref="BC642:BC705" si="366">LOG10(U642)</f>
        <v>0.89209460269048035</v>
      </c>
      <c r="BD642" s="45" t="e">
        <f t="shared" ref="BD642:BD705" si="367">LOG10(AD642)</f>
        <v>#VALUE!</v>
      </c>
      <c r="BE642" s="45" t="e">
        <f t="shared" ref="BE642:BE705" si="368">LOG10(AF642)</f>
        <v>#VALUE!</v>
      </c>
      <c r="BF642" s="45" t="e">
        <f t="shared" ref="BF642:BF705" si="369">LOG10(AM642)</f>
        <v>#VALUE!</v>
      </c>
      <c r="BG642" s="45" t="e">
        <f t="shared" ref="BG642:BG705" si="370">LOG10(AN642)</f>
        <v>#VALUE!</v>
      </c>
      <c r="BH642" s="45" t="e">
        <f t="shared" ref="BH642:BH705" si="371">LOG10(AB642)</f>
        <v>#NUM!</v>
      </c>
      <c r="BI642" s="43" t="e">
        <f t="shared" ref="BI642:BI705" si="372">LOG10(AF642)</f>
        <v>#VALUE!</v>
      </c>
      <c r="CA642" s="41" t="s">
        <v>22</v>
      </c>
      <c r="CC642" t="s">
        <v>22</v>
      </c>
      <c r="CE642" s="41" t="s">
        <v>22</v>
      </c>
      <c r="CF642" s="41" t="s">
        <v>22</v>
      </c>
      <c r="CG642" s="41" t="e">
        <f t="shared" si="347"/>
        <v>#VALUE!</v>
      </c>
      <c r="CH642" s="41" t="e">
        <f t="shared" si="348"/>
        <v>#VALUE!</v>
      </c>
      <c r="CI642" s="41">
        <f t="shared" si="354"/>
        <v>7.8</v>
      </c>
      <c r="CJ642" s="41">
        <f t="shared" si="353"/>
        <v>0.89209460269048035</v>
      </c>
      <c r="CL642" s="9" t="s">
        <v>1269</v>
      </c>
      <c r="CM642" s="18" t="s">
        <v>1285</v>
      </c>
      <c r="CN642" s="54" t="s">
        <v>1284</v>
      </c>
      <c r="CO642" s="18" t="s">
        <v>1284</v>
      </c>
    </row>
    <row r="643" spans="1:93" x14ac:dyDescent="0.25">
      <c r="A643" t="s">
        <v>141</v>
      </c>
      <c r="B643" s="41" t="s">
        <v>22</v>
      </c>
      <c r="C643" s="41">
        <v>0.53</v>
      </c>
      <c r="D643" s="41" t="s">
        <v>22</v>
      </c>
      <c r="E643" s="41" t="s">
        <v>22</v>
      </c>
      <c r="F643">
        <v>4.0999999999999996</v>
      </c>
      <c r="G643" t="s">
        <v>52</v>
      </c>
      <c r="H643" t="s">
        <v>22</v>
      </c>
      <c r="I643" t="s">
        <v>22</v>
      </c>
      <c r="K643">
        <v>514</v>
      </c>
      <c r="M643" t="s">
        <v>23</v>
      </c>
      <c r="N643" s="41">
        <v>307</v>
      </c>
      <c r="O643" s="41">
        <f>0.001*(N643*10^6)/(C643*100^3)</f>
        <v>0.57924528301886791</v>
      </c>
      <c r="P643" s="41">
        <v>11.9</v>
      </c>
      <c r="R643" s="41" t="s">
        <v>22</v>
      </c>
      <c r="S643" s="41" t="s">
        <v>22</v>
      </c>
      <c r="T643" s="41">
        <v>7.8</v>
      </c>
      <c r="U643" s="41">
        <v>7.8</v>
      </c>
      <c r="V643">
        <v>20200512</v>
      </c>
      <c r="W643" s="16" t="s">
        <v>595</v>
      </c>
      <c r="X643" s="6">
        <v>2014</v>
      </c>
      <c r="Y643" t="s">
        <v>76</v>
      </c>
      <c r="Z643" t="s">
        <v>598</v>
      </c>
      <c r="AC643" t="s">
        <v>514</v>
      </c>
      <c r="AD643" s="41" t="s">
        <v>22</v>
      </c>
      <c r="AE643" s="41">
        <v>1587</v>
      </c>
      <c r="AF643" s="41" t="s">
        <v>22</v>
      </c>
      <c r="AG643" s="41" t="s">
        <v>22</v>
      </c>
      <c r="AH643" s="41" t="s">
        <v>22</v>
      </c>
      <c r="AI643" s="41" t="s">
        <v>22</v>
      </c>
      <c r="AJ643" s="41" t="s">
        <v>22</v>
      </c>
      <c r="AK643" s="41" t="s">
        <v>22</v>
      </c>
      <c r="AL643" s="41" t="s">
        <v>22</v>
      </c>
      <c r="AM643" s="43" t="e">
        <f t="shared" si="355"/>
        <v>#VALUE!</v>
      </c>
      <c r="AN643" s="43" t="e">
        <f t="shared" si="356"/>
        <v>#VALUE!</v>
      </c>
      <c r="AO643" s="3" t="s">
        <v>599</v>
      </c>
      <c r="AT643" s="2">
        <f t="shared" si="357"/>
        <v>4</v>
      </c>
      <c r="AU643" s="45" t="e">
        <f t="shared" si="358"/>
        <v>#VALUE!</v>
      </c>
      <c r="AV643" s="45">
        <f t="shared" si="359"/>
        <v>-0.27572413039921095</v>
      </c>
      <c r="AW643" s="45" t="e">
        <f t="shared" si="360"/>
        <v>#VALUE!</v>
      </c>
      <c r="AX643" s="45">
        <f t="shared" si="361"/>
        <v>2.4871383754771865</v>
      </c>
      <c r="AY643" s="45">
        <f t="shared" si="362"/>
        <v>-0.23713749412360258</v>
      </c>
      <c r="AZ643" s="45">
        <f t="shared" si="363"/>
        <v>1.0755469613925308</v>
      </c>
      <c r="BA643" s="45" t="e">
        <f t="shared" si="364"/>
        <v>#NUM!</v>
      </c>
      <c r="BB643" s="45" t="e">
        <f t="shared" si="365"/>
        <v>#NUM!</v>
      </c>
      <c r="BC643" s="45">
        <f t="shared" si="366"/>
        <v>0.89209460269048035</v>
      </c>
      <c r="BD643" s="45" t="e">
        <f t="shared" si="367"/>
        <v>#VALUE!</v>
      </c>
      <c r="BE643" s="45" t="e">
        <f t="shared" si="368"/>
        <v>#VALUE!</v>
      </c>
      <c r="BF643" s="45" t="e">
        <f t="shared" si="369"/>
        <v>#VALUE!</v>
      </c>
      <c r="BG643" s="45" t="e">
        <f t="shared" si="370"/>
        <v>#VALUE!</v>
      </c>
      <c r="BH643" s="45" t="e">
        <f t="shared" si="371"/>
        <v>#NUM!</v>
      </c>
      <c r="BI643" s="43" t="e">
        <f t="shared" si="372"/>
        <v>#VALUE!</v>
      </c>
      <c r="CA643" s="41" t="s">
        <v>22</v>
      </c>
      <c r="CC643" t="s">
        <v>22</v>
      </c>
      <c r="CE643" s="41" t="s">
        <v>22</v>
      </c>
      <c r="CF643" s="41" t="s">
        <v>22</v>
      </c>
      <c r="CG643" s="41" t="e">
        <f t="shared" si="347"/>
        <v>#VALUE!</v>
      </c>
      <c r="CH643" s="41" t="e">
        <f t="shared" si="348"/>
        <v>#VALUE!</v>
      </c>
      <c r="CI643" s="41">
        <f t="shared" si="354"/>
        <v>7.8</v>
      </c>
      <c r="CJ643" s="41">
        <f t="shared" si="353"/>
        <v>0.89209460269048035</v>
      </c>
      <c r="CL643" s="9" t="s">
        <v>1269</v>
      </c>
      <c r="CM643" s="18" t="s">
        <v>1285</v>
      </c>
      <c r="CN643" s="54" t="s">
        <v>1284</v>
      </c>
      <c r="CO643" s="18" t="s">
        <v>1284</v>
      </c>
    </row>
    <row r="644" spans="1:93" x14ac:dyDescent="0.25">
      <c r="A644" t="s">
        <v>141</v>
      </c>
      <c r="B644" s="41" t="s">
        <v>22</v>
      </c>
      <c r="C644" s="41">
        <v>0.68</v>
      </c>
      <c r="D644" s="41" t="s">
        <v>22</v>
      </c>
      <c r="E644" s="41" t="s">
        <v>22</v>
      </c>
      <c r="F644">
        <v>5.9</v>
      </c>
      <c r="G644" t="s">
        <v>52</v>
      </c>
      <c r="H644" t="s">
        <v>22</v>
      </c>
      <c r="I644" t="s">
        <v>22</v>
      </c>
      <c r="K644">
        <v>514</v>
      </c>
      <c r="M644" t="s">
        <v>23</v>
      </c>
      <c r="N644" s="41">
        <v>416</v>
      </c>
      <c r="O644" s="41">
        <f>0.001*(N644*10^6)/(C644*100^3)</f>
        <v>0.61176470588235299</v>
      </c>
      <c r="P644" s="41">
        <v>13.4</v>
      </c>
      <c r="R644" s="41" t="s">
        <v>22</v>
      </c>
      <c r="S644" s="41" t="s">
        <v>22</v>
      </c>
      <c r="T644" s="41">
        <v>7.8</v>
      </c>
      <c r="U644" s="41">
        <v>7.8</v>
      </c>
      <c r="V644">
        <v>20200512</v>
      </c>
      <c r="W644" s="16" t="s">
        <v>596</v>
      </c>
      <c r="X644" s="6">
        <v>2014</v>
      </c>
      <c r="Y644" t="s">
        <v>76</v>
      </c>
      <c r="Z644" t="s">
        <v>598</v>
      </c>
      <c r="AC644" t="s">
        <v>514</v>
      </c>
      <c r="AD644" s="41" t="s">
        <v>22</v>
      </c>
      <c r="AE644" s="41">
        <v>1579.6</v>
      </c>
      <c r="AF644" s="41" t="s">
        <v>22</v>
      </c>
      <c r="AG644" s="41" t="s">
        <v>22</v>
      </c>
      <c r="AH644" s="41" t="s">
        <v>22</v>
      </c>
      <c r="AI644" s="41" t="s">
        <v>22</v>
      </c>
      <c r="AJ644" s="41" t="s">
        <v>22</v>
      </c>
      <c r="AK644" s="41" t="s">
        <v>22</v>
      </c>
      <c r="AL644" s="41" t="s">
        <v>22</v>
      </c>
      <c r="AM644" s="43" t="e">
        <f t="shared" si="355"/>
        <v>#VALUE!</v>
      </c>
      <c r="AN644" s="43" t="e">
        <f t="shared" si="356"/>
        <v>#VALUE!</v>
      </c>
      <c r="AO644" s="3" t="s">
        <v>599</v>
      </c>
      <c r="AT644" s="2">
        <f t="shared" si="357"/>
        <v>4</v>
      </c>
      <c r="AU644" s="45" t="e">
        <f t="shared" si="358"/>
        <v>#VALUE!</v>
      </c>
      <c r="AV644" s="45">
        <f t="shared" si="359"/>
        <v>-0.16749108729376366</v>
      </c>
      <c r="AW644" s="45" t="e">
        <f t="shared" si="360"/>
        <v>#VALUE!</v>
      </c>
      <c r="AX644" s="45">
        <f t="shared" si="361"/>
        <v>2.6190933306267428</v>
      </c>
      <c r="AY644" s="45">
        <f t="shared" si="362"/>
        <v>-0.21341558207949354</v>
      </c>
      <c r="AZ644" s="45">
        <f t="shared" si="363"/>
        <v>1.1271047983648077</v>
      </c>
      <c r="BA644" s="45" t="e">
        <f t="shared" si="364"/>
        <v>#NUM!</v>
      </c>
      <c r="BB644" s="45" t="e">
        <f t="shared" si="365"/>
        <v>#NUM!</v>
      </c>
      <c r="BC644" s="45">
        <f t="shared" si="366"/>
        <v>0.89209460269048035</v>
      </c>
      <c r="BD644" s="45" t="e">
        <f t="shared" si="367"/>
        <v>#VALUE!</v>
      </c>
      <c r="BE644" s="45" t="e">
        <f t="shared" si="368"/>
        <v>#VALUE!</v>
      </c>
      <c r="BF644" s="45" t="e">
        <f t="shared" si="369"/>
        <v>#VALUE!</v>
      </c>
      <c r="BG644" s="45" t="e">
        <f t="shared" si="370"/>
        <v>#VALUE!</v>
      </c>
      <c r="BH644" s="45" t="e">
        <f t="shared" si="371"/>
        <v>#NUM!</v>
      </c>
      <c r="BI644" s="43" t="e">
        <f t="shared" si="372"/>
        <v>#VALUE!</v>
      </c>
      <c r="CA644" s="41" t="s">
        <v>22</v>
      </c>
      <c r="CC644" t="s">
        <v>22</v>
      </c>
      <c r="CE644" s="41" t="s">
        <v>22</v>
      </c>
      <c r="CF644" s="41" t="s">
        <v>22</v>
      </c>
      <c r="CG644" s="41" t="e">
        <f t="shared" si="347"/>
        <v>#VALUE!</v>
      </c>
      <c r="CH644" s="41" t="e">
        <f t="shared" si="348"/>
        <v>#VALUE!</v>
      </c>
      <c r="CI644" s="41">
        <f t="shared" si="354"/>
        <v>7.8</v>
      </c>
      <c r="CJ644" s="41">
        <f t="shared" si="353"/>
        <v>0.89209460269048035</v>
      </c>
      <c r="CL644" s="9" t="s">
        <v>1269</v>
      </c>
      <c r="CM644" s="18" t="s">
        <v>1285</v>
      </c>
      <c r="CN644" s="54" t="s">
        <v>1284</v>
      </c>
      <c r="CO644" s="18" t="s">
        <v>1284</v>
      </c>
    </row>
    <row r="645" spans="1:93" x14ac:dyDescent="0.25">
      <c r="A645" t="s">
        <v>141</v>
      </c>
      <c r="B645" s="41" t="s">
        <v>22</v>
      </c>
      <c r="C645" s="41">
        <v>0.98</v>
      </c>
      <c r="D645" s="41" t="s">
        <v>22</v>
      </c>
      <c r="E645" s="41" t="s">
        <v>22</v>
      </c>
      <c r="F645">
        <v>8.8000000000000007</v>
      </c>
      <c r="G645" t="s">
        <v>52</v>
      </c>
      <c r="H645" t="s">
        <v>22</v>
      </c>
      <c r="I645" t="s">
        <v>22</v>
      </c>
      <c r="K645">
        <v>514</v>
      </c>
      <c r="M645" t="s">
        <v>23</v>
      </c>
      <c r="N645" s="41">
        <v>598</v>
      </c>
      <c r="O645" s="41">
        <f>0.001*(N645*10^6)/(C645*100^3)</f>
        <v>0.61020408163265305</v>
      </c>
      <c r="P645" s="41">
        <v>15.4</v>
      </c>
      <c r="R645" s="41" t="s">
        <v>22</v>
      </c>
      <c r="S645" s="41" t="s">
        <v>22</v>
      </c>
      <c r="T645" s="41">
        <v>7.8</v>
      </c>
      <c r="U645" s="41">
        <v>7.8</v>
      </c>
      <c r="V645">
        <v>20200512</v>
      </c>
      <c r="W645" s="16" t="s">
        <v>597</v>
      </c>
      <c r="X645" s="6">
        <v>2014</v>
      </c>
      <c r="Y645" t="s">
        <v>76</v>
      </c>
      <c r="Z645" t="s">
        <v>598</v>
      </c>
      <c r="AC645" t="s">
        <v>514</v>
      </c>
      <c r="AD645" s="41" t="s">
        <v>22</v>
      </c>
      <c r="AE645" s="41">
        <v>1581.9</v>
      </c>
      <c r="AF645" s="41" t="s">
        <v>22</v>
      </c>
      <c r="AG645" s="41" t="s">
        <v>22</v>
      </c>
      <c r="AH645" s="41" t="s">
        <v>22</v>
      </c>
      <c r="AI645" s="41" t="s">
        <v>22</v>
      </c>
      <c r="AJ645" s="41" t="s">
        <v>22</v>
      </c>
      <c r="AK645" s="41" t="s">
        <v>22</v>
      </c>
      <c r="AL645" s="41" t="s">
        <v>22</v>
      </c>
      <c r="AM645" s="43" t="e">
        <f t="shared" si="355"/>
        <v>#VALUE!</v>
      </c>
      <c r="AN645" s="43" t="e">
        <f t="shared" si="356"/>
        <v>#VALUE!</v>
      </c>
      <c r="AO645" s="3" t="s">
        <v>599</v>
      </c>
      <c r="AT645" s="2">
        <f t="shared" si="357"/>
        <v>4</v>
      </c>
      <c r="AU645" s="45" t="e">
        <f t="shared" si="358"/>
        <v>#VALUE!</v>
      </c>
      <c r="AV645" s="45">
        <f t="shared" si="359"/>
        <v>-8.7739243075051505E-3</v>
      </c>
      <c r="AW645" s="45" t="e">
        <f t="shared" si="360"/>
        <v>#VALUE!</v>
      </c>
      <c r="AX645" s="45">
        <f t="shared" si="361"/>
        <v>2.7767011839884108</v>
      </c>
      <c r="AY645" s="45">
        <f t="shared" si="362"/>
        <v>-0.21452489170408401</v>
      </c>
      <c r="AZ645" s="45">
        <f t="shared" si="363"/>
        <v>1.1875207208364631</v>
      </c>
      <c r="BA645" s="45" t="e">
        <f t="shared" si="364"/>
        <v>#NUM!</v>
      </c>
      <c r="BB645" s="45" t="e">
        <f t="shared" si="365"/>
        <v>#NUM!</v>
      </c>
      <c r="BC645" s="45">
        <f t="shared" si="366"/>
        <v>0.89209460269048035</v>
      </c>
      <c r="BD645" s="45" t="e">
        <f t="shared" si="367"/>
        <v>#VALUE!</v>
      </c>
      <c r="BE645" s="45" t="e">
        <f t="shared" si="368"/>
        <v>#VALUE!</v>
      </c>
      <c r="BF645" s="45" t="e">
        <f t="shared" si="369"/>
        <v>#VALUE!</v>
      </c>
      <c r="BG645" s="45" t="e">
        <f t="shared" si="370"/>
        <v>#VALUE!</v>
      </c>
      <c r="BH645" s="45" t="e">
        <f t="shared" si="371"/>
        <v>#NUM!</v>
      </c>
      <c r="BI645" s="43" t="e">
        <f t="shared" si="372"/>
        <v>#VALUE!</v>
      </c>
      <c r="CA645" s="41" t="s">
        <v>22</v>
      </c>
      <c r="CC645" t="s">
        <v>22</v>
      </c>
      <c r="CE645" s="41" t="s">
        <v>22</v>
      </c>
      <c r="CF645" s="41" t="s">
        <v>22</v>
      </c>
      <c r="CG645" s="41" t="e">
        <f t="shared" si="347"/>
        <v>#VALUE!</v>
      </c>
      <c r="CH645" s="41" t="e">
        <f t="shared" si="348"/>
        <v>#VALUE!</v>
      </c>
      <c r="CI645" s="41">
        <f t="shared" si="354"/>
        <v>7.8</v>
      </c>
      <c r="CJ645" s="41">
        <f t="shared" si="353"/>
        <v>0.89209460269048035</v>
      </c>
      <c r="CL645" s="9" t="s">
        <v>1269</v>
      </c>
      <c r="CM645" s="18" t="s">
        <v>1285</v>
      </c>
      <c r="CN645" s="54" t="s">
        <v>1284</v>
      </c>
      <c r="CO645" s="18" t="s">
        <v>1284</v>
      </c>
    </row>
    <row r="646" spans="1:93" x14ac:dyDescent="0.25">
      <c r="A646" t="s">
        <v>266</v>
      </c>
      <c r="B646" s="41">
        <v>2.27</v>
      </c>
      <c r="C646" s="41">
        <v>1.3</v>
      </c>
      <c r="D646" s="43">
        <f>0.001*(B646*10^6)/(C646*0.001*100^3)</f>
        <v>1.7461538461538459</v>
      </c>
      <c r="E646" s="41" t="s">
        <v>22</v>
      </c>
      <c r="F646">
        <v>0.82</v>
      </c>
      <c r="G646" t="s">
        <v>160</v>
      </c>
      <c r="H646">
        <v>23</v>
      </c>
      <c r="I646" t="s">
        <v>82</v>
      </c>
      <c r="J646" s="41">
        <v>3.74</v>
      </c>
      <c r="K646">
        <v>514</v>
      </c>
      <c r="L646" s="41">
        <f>IF((10^-12)*J646*K646^4=0,"",(10^-12)*J646*K646^4)</f>
        <v>0.26105022879584</v>
      </c>
      <c r="M646" t="s">
        <v>23</v>
      </c>
      <c r="N646" s="41">
        <v>4340</v>
      </c>
      <c r="O646" s="41">
        <v>3.3</v>
      </c>
      <c r="P646" s="41">
        <v>91</v>
      </c>
      <c r="R646" s="41">
        <f>N646*B646</f>
        <v>9851.7999999999993</v>
      </c>
      <c r="S646" s="41">
        <f>O646*D646</f>
        <v>5.762307692307691</v>
      </c>
      <c r="T646" s="41" t="s">
        <v>161</v>
      </c>
      <c r="U646" s="41">
        <v>4.5</v>
      </c>
      <c r="V646">
        <v>20200508</v>
      </c>
      <c r="W646" s="16" t="s">
        <v>162</v>
      </c>
      <c r="X646" s="18">
        <v>2014</v>
      </c>
      <c r="Y646" t="s">
        <v>76</v>
      </c>
      <c r="Z646" t="s">
        <v>80</v>
      </c>
      <c r="AC646" t="s">
        <v>514</v>
      </c>
      <c r="AD646" s="41" t="s">
        <v>22</v>
      </c>
      <c r="AE646" s="41">
        <v>1585</v>
      </c>
      <c r="AF646" s="41" t="s">
        <v>22</v>
      </c>
      <c r="AG646" s="41" t="s">
        <v>22</v>
      </c>
      <c r="AH646" s="41" t="s">
        <v>22</v>
      </c>
      <c r="AI646" s="41" t="s">
        <v>22</v>
      </c>
      <c r="AJ646" s="41" t="s">
        <v>22</v>
      </c>
      <c r="AK646" s="41" t="s">
        <v>22</v>
      </c>
      <c r="AL646" s="41" t="s">
        <v>22</v>
      </c>
      <c r="AM646" s="43" t="e">
        <f t="shared" si="355"/>
        <v>#VALUE!</v>
      </c>
      <c r="AN646" s="43" t="e">
        <f t="shared" si="356"/>
        <v>#VALUE!</v>
      </c>
      <c r="AO646" s="3" t="s">
        <v>163</v>
      </c>
      <c r="AT646" s="2">
        <f t="shared" si="357"/>
        <v>8</v>
      </c>
      <c r="AU646" s="45">
        <f t="shared" si="358"/>
        <v>0.35602585719312274</v>
      </c>
      <c r="AV646" s="45">
        <f t="shared" si="359"/>
        <v>0.11394335230683679</v>
      </c>
      <c r="AW646" s="45">
        <f t="shared" si="360"/>
        <v>0.24208250488628591</v>
      </c>
      <c r="AX646" s="45">
        <f t="shared" si="361"/>
        <v>3.6374897295125108</v>
      </c>
      <c r="AY646" s="45">
        <f t="shared" si="362"/>
        <v>0.51851393987788741</v>
      </c>
      <c r="AZ646" s="45">
        <f t="shared" si="363"/>
        <v>1.9590413923210936</v>
      </c>
      <c r="BA646" s="45">
        <f t="shared" si="364"/>
        <v>0.57287160220048017</v>
      </c>
      <c r="BB646" s="45">
        <f t="shared" si="365"/>
        <v>-0.58327592181841692</v>
      </c>
      <c r="BC646" s="45">
        <f t="shared" si="366"/>
        <v>0.65321251377534373</v>
      </c>
      <c r="BD646" s="45" t="e">
        <f t="shared" si="367"/>
        <v>#VALUE!</v>
      </c>
      <c r="BE646" s="45" t="e">
        <f t="shared" si="368"/>
        <v>#VALUE!</v>
      </c>
      <c r="BF646" s="45" t="e">
        <f t="shared" si="369"/>
        <v>#VALUE!</v>
      </c>
      <c r="BG646" s="45" t="e">
        <f t="shared" si="370"/>
        <v>#VALUE!</v>
      </c>
      <c r="BH646" s="45" t="e">
        <f t="shared" si="371"/>
        <v>#NUM!</v>
      </c>
      <c r="BI646" s="43" t="e">
        <f t="shared" si="372"/>
        <v>#VALUE!</v>
      </c>
      <c r="CA646" s="41" t="s">
        <v>22</v>
      </c>
      <c r="CC646" t="s">
        <v>22</v>
      </c>
      <c r="CE646" s="41" t="s">
        <v>22</v>
      </c>
      <c r="CF646" s="41" t="s">
        <v>22</v>
      </c>
      <c r="CG646" s="41" t="e">
        <f t="shared" si="347"/>
        <v>#VALUE!</v>
      </c>
      <c r="CH646" s="41" t="e">
        <f t="shared" si="348"/>
        <v>#VALUE!</v>
      </c>
      <c r="CI646" s="41">
        <f t="shared" si="354"/>
        <v>4.5</v>
      </c>
      <c r="CJ646" s="41">
        <f t="shared" si="353"/>
        <v>0.65321251377534373</v>
      </c>
      <c r="CL646" s="9" t="s">
        <v>1269</v>
      </c>
      <c r="CM646" s="18" t="s">
        <v>1285</v>
      </c>
      <c r="CN646" s="54" t="s">
        <v>1284</v>
      </c>
      <c r="CO646" s="18" t="s">
        <v>1284</v>
      </c>
    </row>
    <row r="647" spans="1:93" x14ac:dyDescent="0.25">
      <c r="A647" t="s">
        <v>266</v>
      </c>
      <c r="B647" s="41">
        <f>(1.27*10^5)*10^-6</f>
        <v>0.127</v>
      </c>
      <c r="C647" s="41" t="s">
        <v>22</v>
      </c>
      <c r="D647" s="41" t="s">
        <v>22</v>
      </c>
      <c r="E647" s="41" t="s">
        <v>22</v>
      </c>
      <c r="F647">
        <v>0.80600000000000005</v>
      </c>
      <c r="G647" t="s">
        <v>160</v>
      </c>
      <c r="H647">
        <v>22.89</v>
      </c>
      <c r="I647" t="s">
        <v>82</v>
      </c>
      <c r="J647" s="41">
        <v>3.74</v>
      </c>
      <c r="K647">
        <v>514</v>
      </c>
      <c r="L647" s="41">
        <f>IF((10^-12)*J647*K647^4=0,"",(10^-12)*J647*K647^4)</f>
        <v>0.26105022879584</v>
      </c>
      <c r="M647" t="s">
        <v>23</v>
      </c>
      <c r="N647" s="41">
        <v>362</v>
      </c>
      <c r="O647" s="41" t="s">
        <v>22</v>
      </c>
      <c r="P647" s="41">
        <v>1.81</v>
      </c>
      <c r="R647" s="41">
        <f>N647*B647</f>
        <v>45.974000000000004</v>
      </c>
      <c r="S647" s="41" t="s">
        <v>22</v>
      </c>
      <c r="T647" s="41" t="s">
        <v>161</v>
      </c>
      <c r="U647" s="41">
        <v>4.5</v>
      </c>
      <c r="V647">
        <v>20200508</v>
      </c>
      <c r="W647" s="16" t="s">
        <v>164</v>
      </c>
      <c r="X647" s="18">
        <v>2014</v>
      </c>
      <c r="Y647" t="s">
        <v>76</v>
      </c>
      <c r="Z647" t="s">
        <v>32</v>
      </c>
      <c r="AC647" t="s">
        <v>514</v>
      </c>
      <c r="AD647" s="41" t="s">
        <v>22</v>
      </c>
      <c r="AE647" s="41">
        <v>1585</v>
      </c>
      <c r="AF647" s="41" t="s">
        <v>22</v>
      </c>
      <c r="AG647" s="41" t="s">
        <v>22</v>
      </c>
      <c r="AH647" s="41" t="s">
        <v>22</v>
      </c>
      <c r="AI647" s="41" t="s">
        <v>22</v>
      </c>
      <c r="AJ647" s="41" t="s">
        <v>22</v>
      </c>
      <c r="AK647" s="41" t="s">
        <v>22</v>
      </c>
      <c r="AL647" s="41" t="s">
        <v>22</v>
      </c>
      <c r="AM647" s="43" t="e">
        <f t="shared" si="355"/>
        <v>#VALUE!</v>
      </c>
      <c r="AN647" s="43" t="e">
        <f t="shared" si="356"/>
        <v>#VALUE!</v>
      </c>
      <c r="AO647" s="3" t="s">
        <v>163</v>
      </c>
      <c r="AT647" s="2">
        <f t="shared" si="357"/>
        <v>8</v>
      </c>
      <c r="AU647" s="45">
        <f t="shared" si="358"/>
        <v>-0.89619627904404309</v>
      </c>
      <c r="AV647" s="45" t="e">
        <f t="shared" si="359"/>
        <v>#VALUE!</v>
      </c>
      <c r="AW647" s="45" t="e">
        <f t="shared" si="360"/>
        <v>#VALUE!</v>
      </c>
      <c r="AX647" s="45">
        <f t="shared" si="361"/>
        <v>2.5587085705331658</v>
      </c>
      <c r="AY647" s="45" t="e">
        <f t="shared" si="362"/>
        <v>#VALUE!</v>
      </c>
      <c r="AZ647" s="45">
        <f t="shared" si="363"/>
        <v>0.2576785748691845</v>
      </c>
      <c r="BA647" s="45">
        <f t="shared" si="364"/>
        <v>0.57287160220048017</v>
      </c>
      <c r="BB647" s="45">
        <f t="shared" si="365"/>
        <v>-0.58327592181841692</v>
      </c>
      <c r="BC647" s="45">
        <f t="shared" si="366"/>
        <v>0.65321251377534373</v>
      </c>
      <c r="BD647" s="45" t="e">
        <f t="shared" si="367"/>
        <v>#VALUE!</v>
      </c>
      <c r="BE647" s="45" t="e">
        <f t="shared" si="368"/>
        <v>#VALUE!</v>
      </c>
      <c r="BF647" s="45" t="e">
        <f t="shared" si="369"/>
        <v>#VALUE!</v>
      </c>
      <c r="BG647" s="45" t="e">
        <f t="shared" si="370"/>
        <v>#VALUE!</v>
      </c>
      <c r="BH647" s="45" t="e">
        <f t="shared" si="371"/>
        <v>#NUM!</v>
      </c>
      <c r="BI647" s="43" t="e">
        <f t="shared" si="372"/>
        <v>#VALUE!</v>
      </c>
      <c r="CA647" s="41" t="s">
        <v>22</v>
      </c>
      <c r="CC647" t="s">
        <v>22</v>
      </c>
      <c r="CE647" s="41" t="s">
        <v>22</v>
      </c>
      <c r="CF647" s="41" t="s">
        <v>22</v>
      </c>
      <c r="CG647" s="41" t="e">
        <f t="shared" si="347"/>
        <v>#VALUE!</v>
      </c>
      <c r="CH647" s="41" t="e">
        <f t="shared" si="348"/>
        <v>#VALUE!</v>
      </c>
      <c r="CI647" s="41">
        <f t="shared" si="354"/>
        <v>4.5</v>
      </c>
      <c r="CJ647" s="41">
        <f t="shared" si="353"/>
        <v>0.65321251377534373</v>
      </c>
      <c r="CL647" s="9" t="s">
        <v>1269</v>
      </c>
      <c r="CM647" s="18" t="s">
        <v>1285</v>
      </c>
      <c r="CN647" s="54" t="s">
        <v>1284</v>
      </c>
      <c r="CO647" s="18" t="s">
        <v>1284</v>
      </c>
    </row>
    <row r="648" spans="1:93" x14ac:dyDescent="0.25">
      <c r="A648" t="s">
        <v>375</v>
      </c>
      <c r="B648" s="41">
        <f>65000*10^-6</f>
        <v>6.5000000000000002E-2</v>
      </c>
      <c r="C648" s="41" t="s">
        <v>22</v>
      </c>
      <c r="D648" s="41" t="s">
        <v>22</v>
      </c>
      <c r="E648" s="41" t="s">
        <v>22</v>
      </c>
      <c r="F648" s="18" t="s">
        <v>22</v>
      </c>
      <c r="G648" s="18" t="s">
        <v>22</v>
      </c>
      <c r="H648" s="18" t="s">
        <v>22</v>
      </c>
      <c r="I648" s="18" t="s">
        <v>22</v>
      </c>
      <c r="J648" s="41" t="s">
        <v>22</v>
      </c>
      <c r="K648" s="18" t="s">
        <v>22</v>
      </c>
      <c r="M648" t="s">
        <v>23</v>
      </c>
      <c r="N648" s="41">
        <v>4270</v>
      </c>
      <c r="O648" s="41" t="s">
        <v>22</v>
      </c>
      <c r="P648" s="41">
        <v>228</v>
      </c>
      <c r="R648" s="41">
        <f>N648*B648</f>
        <v>277.55</v>
      </c>
      <c r="S648" s="41" t="s">
        <v>22</v>
      </c>
      <c r="T648" s="41" t="s">
        <v>22</v>
      </c>
      <c r="U648" s="41" t="s">
        <v>22</v>
      </c>
      <c r="V648">
        <v>20191229</v>
      </c>
      <c r="W648" s="16" t="s">
        <v>376</v>
      </c>
      <c r="X648">
        <v>2014</v>
      </c>
      <c r="AC648" s="18" t="s">
        <v>22</v>
      </c>
      <c r="AD648" s="41" t="s">
        <v>22</v>
      </c>
      <c r="AE648" s="41" t="s">
        <v>22</v>
      </c>
      <c r="AF648" s="41" t="s">
        <v>22</v>
      </c>
      <c r="AG648" s="41" t="s">
        <v>22</v>
      </c>
      <c r="AH648" s="41" t="s">
        <v>22</v>
      </c>
      <c r="AI648" s="41" t="s">
        <v>22</v>
      </c>
      <c r="AJ648" s="41" t="s">
        <v>22</v>
      </c>
      <c r="AK648" s="41" t="s">
        <v>22</v>
      </c>
      <c r="AL648" s="41" t="s">
        <v>22</v>
      </c>
      <c r="AM648" s="43" t="e">
        <f t="shared" si="355"/>
        <v>#VALUE!</v>
      </c>
      <c r="AN648" s="43" t="e">
        <f t="shared" si="356"/>
        <v>#VALUE!</v>
      </c>
      <c r="AO648" s="3" t="s">
        <v>163</v>
      </c>
      <c r="AT648" s="2">
        <f t="shared" si="357"/>
        <v>8</v>
      </c>
      <c r="AU648" s="45">
        <f t="shared" si="358"/>
        <v>-1.1870866433571443</v>
      </c>
      <c r="AV648" s="45" t="e">
        <f t="shared" si="359"/>
        <v>#VALUE!</v>
      </c>
      <c r="AW648" s="45" t="e">
        <f t="shared" si="360"/>
        <v>#VALUE!</v>
      </c>
      <c r="AX648" s="45">
        <f t="shared" si="361"/>
        <v>3.6304278750250241</v>
      </c>
      <c r="AY648" s="45" t="e">
        <f t="shared" si="362"/>
        <v>#VALUE!</v>
      </c>
      <c r="AZ648" s="45">
        <f t="shared" si="363"/>
        <v>2.357934847000454</v>
      </c>
      <c r="BA648" s="45" t="e">
        <f t="shared" si="364"/>
        <v>#VALUE!</v>
      </c>
      <c r="BB648" s="45" t="e">
        <f t="shared" si="365"/>
        <v>#NUM!</v>
      </c>
      <c r="BC648" s="45" t="e">
        <f t="shared" si="366"/>
        <v>#VALUE!</v>
      </c>
      <c r="BD648" s="45" t="e">
        <f t="shared" si="367"/>
        <v>#VALUE!</v>
      </c>
      <c r="BE648" s="45" t="e">
        <f t="shared" si="368"/>
        <v>#VALUE!</v>
      </c>
      <c r="BF648" s="45" t="e">
        <f t="shared" si="369"/>
        <v>#VALUE!</v>
      </c>
      <c r="BG648" s="45" t="e">
        <f t="shared" si="370"/>
        <v>#VALUE!</v>
      </c>
      <c r="BH648" s="45" t="e">
        <f t="shared" si="371"/>
        <v>#NUM!</v>
      </c>
      <c r="BI648" s="43" t="e">
        <f t="shared" si="372"/>
        <v>#VALUE!</v>
      </c>
      <c r="CA648" s="41" t="s">
        <v>22</v>
      </c>
      <c r="CC648" t="s">
        <v>22</v>
      </c>
      <c r="CE648" s="41" t="s">
        <v>22</v>
      </c>
      <c r="CF648" s="41" t="s">
        <v>22</v>
      </c>
      <c r="CG648" s="41" t="s">
        <v>22</v>
      </c>
      <c r="CH648" s="41" t="e">
        <f t="shared" si="348"/>
        <v>#VALUE!</v>
      </c>
      <c r="CI648" s="41" t="s">
        <v>22</v>
      </c>
      <c r="CJ648" s="41" t="e">
        <f t="shared" si="353"/>
        <v>#VALUE!</v>
      </c>
      <c r="CL648" s="9" t="s">
        <v>1268</v>
      </c>
      <c r="CM648" s="18" t="s">
        <v>1284</v>
      </c>
      <c r="CN648" s="54" t="s">
        <v>1284</v>
      </c>
      <c r="CO648" s="18" t="s">
        <v>1284</v>
      </c>
    </row>
    <row r="649" spans="1:93" x14ac:dyDescent="0.25">
      <c r="A649" t="s">
        <v>375</v>
      </c>
      <c r="B649" s="41" t="s">
        <v>22</v>
      </c>
      <c r="C649" s="41" t="s">
        <v>22</v>
      </c>
      <c r="D649" s="41" t="s">
        <v>22</v>
      </c>
      <c r="E649" s="41" t="s">
        <v>22</v>
      </c>
      <c r="F649" s="18" t="s">
        <v>22</v>
      </c>
      <c r="G649" s="18" t="s">
        <v>22</v>
      </c>
      <c r="H649" s="18" t="s">
        <v>22</v>
      </c>
      <c r="I649" s="18" t="s">
        <v>22</v>
      </c>
      <c r="J649" s="41" t="s">
        <v>22</v>
      </c>
      <c r="K649" s="18" t="s">
        <v>22</v>
      </c>
      <c r="M649" t="s">
        <v>23</v>
      </c>
      <c r="N649" s="41">
        <v>5580</v>
      </c>
      <c r="O649" s="41" t="s">
        <v>22</v>
      </c>
      <c r="P649" s="41">
        <v>304</v>
      </c>
      <c r="R649" s="41" t="s">
        <v>22</v>
      </c>
      <c r="S649" s="41" t="s">
        <v>22</v>
      </c>
      <c r="T649" s="41" t="s">
        <v>22</v>
      </c>
      <c r="U649" s="41" t="s">
        <v>22</v>
      </c>
      <c r="V649">
        <v>20191229</v>
      </c>
      <c r="W649" s="16" t="s">
        <v>377</v>
      </c>
      <c r="X649" s="18">
        <v>2014</v>
      </c>
      <c r="AC649" s="18" t="s">
        <v>22</v>
      </c>
      <c r="AD649" s="41" t="s">
        <v>22</v>
      </c>
      <c r="AE649" s="41" t="s">
        <v>22</v>
      </c>
      <c r="AF649" s="41" t="s">
        <v>22</v>
      </c>
      <c r="AG649" s="41" t="s">
        <v>22</v>
      </c>
      <c r="AH649" s="41" t="s">
        <v>22</v>
      </c>
      <c r="AI649" s="41" t="s">
        <v>22</v>
      </c>
      <c r="AJ649" s="41" t="s">
        <v>22</v>
      </c>
      <c r="AK649" s="41" t="s">
        <v>22</v>
      </c>
      <c r="AL649" s="41" t="s">
        <v>22</v>
      </c>
      <c r="AM649" s="43" t="e">
        <f t="shared" si="355"/>
        <v>#VALUE!</v>
      </c>
      <c r="AN649" s="43" t="e">
        <f t="shared" si="356"/>
        <v>#VALUE!</v>
      </c>
      <c r="AO649" s="3" t="s">
        <v>163</v>
      </c>
      <c r="AT649" s="2">
        <f t="shared" si="357"/>
        <v>8</v>
      </c>
      <c r="AU649" s="45" t="e">
        <f t="shared" si="358"/>
        <v>#VALUE!</v>
      </c>
      <c r="AV649" s="45" t="e">
        <f t="shared" si="359"/>
        <v>#VALUE!</v>
      </c>
      <c r="AW649" s="45" t="e">
        <f t="shared" si="360"/>
        <v>#VALUE!</v>
      </c>
      <c r="AX649" s="45">
        <f t="shared" si="361"/>
        <v>3.7466341989375787</v>
      </c>
      <c r="AY649" s="45" t="e">
        <f t="shared" si="362"/>
        <v>#VALUE!</v>
      </c>
      <c r="AZ649" s="45">
        <f t="shared" si="363"/>
        <v>2.4828735836087539</v>
      </c>
      <c r="BA649" s="45" t="e">
        <f t="shared" si="364"/>
        <v>#VALUE!</v>
      </c>
      <c r="BB649" s="45" t="e">
        <f t="shared" si="365"/>
        <v>#NUM!</v>
      </c>
      <c r="BC649" s="45" t="e">
        <f t="shared" si="366"/>
        <v>#VALUE!</v>
      </c>
      <c r="BD649" s="45" t="e">
        <f t="shared" si="367"/>
        <v>#VALUE!</v>
      </c>
      <c r="BE649" s="45" t="e">
        <f t="shared" si="368"/>
        <v>#VALUE!</v>
      </c>
      <c r="BF649" s="45" t="e">
        <f t="shared" si="369"/>
        <v>#VALUE!</v>
      </c>
      <c r="BG649" s="45" t="e">
        <f t="shared" si="370"/>
        <v>#VALUE!</v>
      </c>
      <c r="BH649" s="45" t="e">
        <f t="shared" si="371"/>
        <v>#NUM!</v>
      </c>
      <c r="BI649" s="43" t="e">
        <f t="shared" si="372"/>
        <v>#VALUE!</v>
      </c>
      <c r="CA649" s="41" t="s">
        <v>22</v>
      </c>
      <c r="CC649" t="s">
        <v>22</v>
      </c>
      <c r="CE649" s="41" t="s">
        <v>22</v>
      </c>
      <c r="CF649" s="41" t="s">
        <v>22</v>
      </c>
      <c r="CG649" s="41" t="s">
        <v>22</v>
      </c>
      <c r="CH649" s="41" t="e">
        <f t="shared" si="348"/>
        <v>#VALUE!</v>
      </c>
      <c r="CI649" s="41" t="s">
        <v>22</v>
      </c>
      <c r="CJ649" s="41" t="e">
        <f t="shared" si="353"/>
        <v>#VALUE!</v>
      </c>
      <c r="CL649" s="9" t="s">
        <v>1268</v>
      </c>
      <c r="CM649" s="18" t="s">
        <v>1284</v>
      </c>
      <c r="CN649" s="54" t="s">
        <v>1284</v>
      </c>
      <c r="CO649" s="18" t="s">
        <v>1284</v>
      </c>
    </row>
    <row r="650" spans="1:93" x14ac:dyDescent="0.25">
      <c r="A650" s="18" t="s">
        <v>375</v>
      </c>
      <c r="B650" s="41">
        <f>66700*10^-6</f>
        <v>6.6699999999999995E-2</v>
      </c>
      <c r="C650" s="41" t="s">
        <v>22</v>
      </c>
      <c r="D650" s="41" t="s">
        <v>22</v>
      </c>
      <c r="E650" s="41" t="s">
        <v>22</v>
      </c>
      <c r="F650" s="18" t="s">
        <v>22</v>
      </c>
      <c r="G650" s="18" t="s">
        <v>22</v>
      </c>
      <c r="H650" s="18" t="s">
        <v>22</v>
      </c>
      <c r="I650" s="18" t="s">
        <v>22</v>
      </c>
      <c r="J650" s="41" t="s">
        <v>22</v>
      </c>
      <c r="K650" s="18" t="s">
        <v>22</v>
      </c>
      <c r="M650" t="s">
        <v>23</v>
      </c>
      <c r="N650" s="41">
        <v>4280</v>
      </c>
      <c r="O650" s="41" t="s">
        <v>22</v>
      </c>
      <c r="P650" s="41">
        <v>255</v>
      </c>
      <c r="R650" s="41">
        <f>N650*B650</f>
        <v>285.476</v>
      </c>
      <c r="S650" s="41" t="s">
        <v>22</v>
      </c>
      <c r="T650" s="41" t="s">
        <v>22</v>
      </c>
      <c r="U650" s="41" t="s">
        <v>22</v>
      </c>
      <c r="V650">
        <v>20191229</v>
      </c>
      <c r="W650" s="16" t="s">
        <v>378</v>
      </c>
      <c r="X650" s="18">
        <v>2014</v>
      </c>
      <c r="AC650" s="18" t="s">
        <v>22</v>
      </c>
      <c r="AD650" s="41" t="s">
        <v>22</v>
      </c>
      <c r="AE650" s="41" t="s">
        <v>22</v>
      </c>
      <c r="AF650" s="41" t="s">
        <v>22</v>
      </c>
      <c r="AG650" s="41" t="s">
        <v>22</v>
      </c>
      <c r="AH650" s="41" t="s">
        <v>22</v>
      </c>
      <c r="AI650" s="41" t="s">
        <v>22</v>
      </c>
      <c r="AJ650" s="41" t="s">
        <v>22</v>
      </c>
      <c r="AK650" s="41" t="s">
        <v>22</v>
      </c>
      <c r="AL650" s="41" t="s">
        <v>22</v>
      </c>
      <c r="AM650" s="43" t="e">
        <f t="shared" si="355"/>
        <v>#VALUE!</v>
      </c>
      <c r="AN650" s="43" t="e">
        <f t="shared" si="356"/>
        <v>#VALUE!</v>
      </c>
      <c r="AO650" s="3" t="s">
        <v>163</v>
      </c>
      <c r="AT650" s="2">
        <f t="shared" si="357"/>
        <v>8</v>
      </c>
      <c r="AU650" s="45">
        <f t="shared" si="358"/>
        <v>-1.1758741660834511</v>
      </c>
      <c r="AV650" s="45" t="e">
        <f t="shared" si="359"/>
        <v>#VALUE!</v>
      </c>
      <c r="AW650" s="45" t="e">
        <f t="shared" si="360"/>
        <v>#VALUE!</v>
      </c>
      <c r="AX650" s="45">
        <f t="shared" si="361"/>
        <v>3.6314437690131722</v>
      </c>
      <c r="AY650" s="45" t="e">
        <f t="shared" si="362"/>
        <v>#VALUE!</v>
      </c>
      <c r="AZ650" s="45">
        <f t="shared" si="363"/>
        <v>2.406540180433955</v>
      </c>
      <c r="BA650" s="45" t="e">
        <f t="shared" si="364"/>
        <v>#VALUE!</v>
      </c>
      <c r="BB650" s="45" t="e">
        <f t="shared" si="365"/>
        <v>#NUM!</v>
      </c>
      <c r="BC650" s="45" t="e">
        <f t="shared" si="366"/>
        <v>#VALUE!</v>
      </c>
      <c r="BD650" s="45" t="e">
        <f t="shared" si="367"/>
        <v>#VALUE!</v>
      </c>
      <c r="BE650" s="45" t="e">
        <f t="shared" si="368"/>
        <v>#VALUE!</v>
      </c>
      <c r="BF650" s="45" t="e">
        <f t="shared" si="369"/>
        <v>#VALUE!</v>
      </c>
      <c r="BG650" s="45" t="e">
        <f t="shared" si="370"/>
        <v>#VALUE!</v>
      </c>
      <c r="BH650" s="45" t="e">
        <f t="shared" si="371"/>
        <v>#NUM!</v>
      </c>
      <c r="BI650" s="43" t="e">
        <f t="shared" si="372"/>
        <v>#VALUE!</v>
      </c>
      <c r="CA650" s="41" t="s">
        <v>22</v>
      </c>
      <c r="CC650" t="s">
        <v>22</v>
      </c>
      <c r="CE650" s="41" t="s">
        <v>22</v>
      </c>
      <c r="CF650" s="41" t="s">
        <v>22</v>
      </c>
      <c r="CG650" s="41" t="s">
        <v>22</v>
      </c>
      <c r="CH650" s="41" t="e">
        <f t="shared" si="348"/>
        <v>#VALUE!</v>
      </c>
      <c r="CI650" s="41" t="s">
        <v>22</v>
      </c>
      <c r="CJ650" s="41" t="e">
        <f t="shared" si="353"/>
        <v>#VALUE!</v>
      </c>
      <c r="CL650" s="9" t="s">
        <v>1268</v>
      </c>
      <c r="CM650" s="18" t="s">
        <v>1284</v>
      </c>
      <c r="CN650" s="54" t="s">
        <v>1284</v>
      </c>
      <c r="CO650" s="18" t="s">
        <v>1284</v>
      </c>
    </row>
    <row r="651" spans="1:93" x14ac:dyDescent="0.25">
      <c r="A651" t="s">
        <v>375</v>
      </c>
      <c r="B651" s="41" t="s">
        <v>22</v>
      </c>
      <c r="C651" s="41" t="s">
        <v>22</v>
      </c>
      <c r="D651" s="41" t="s">
        <v>22</v>
      </c>
      <c r="E651" s="41" t="s">
        <v>22</v>
      </c>
      <c r="F651" s="18" t="s">
        <v>22</v>
      </c>
      <c r="G651" s="18" t="s">
        <v>22</v>
      </c>
      <c r="H651" s="18" t="s">
        <v>22</v>
      </c>
      <c r="I651" s="18" t="s">
        <v>22</v>
      </c>
      <c r="J651" s="41" t="s">
        <v>22</v>
      </c>
      <c r="K651" s="18" t="s">
        <v>22</v>
      </c>
      <c r="M651" t="s">
        <v>23</v>
      </c>
      <c r="N651" s="41">
        <v>5490</v>
      </c>
      <c r="O651" s="41" t="s">
        <v>22</v>
      </c>
      <c r="P651" s="41">
        <v>294</v>
      </c>
      <c r="R651" s="41" t="s">
        <v>22</v>
      </c>
      <c r="S651" s="41" t="s">
        <v>22</v>
      </c>
      <c r="T651" s="41" t="s">
        <v>22</v>
      </c>
      <c r="U651" s="41" t="s">
        <v>22</v>
      </c>
      <c r="V651">
        <v>20191229</v>
      </c>
      <c r="W651" s="16" t="s">
        <v>379</v>
      </c>
      <c r="X651" s="18">
        <v>2014</v>
      </c>
      <c r="AC651" s="18" t="s">
        <v>22</v>
      </c>
      <c r="AD651" s="41" t="s">
        <v>22</v>
      </c>
      <c r="AE651" s="41" t="s">
        <v>22</v>
      </c>
      <c r="AF651" s="41" t="s">
        <v>22</v>
      </c>
      <c r="AG651" s="41" t="s">
        <v>22</v>
      </c>
      <c r="AH651" s="41" t="s">
        <v>22</v>
      </c>
      <c r="AI651" s="41" t="s">
        <v>22</v>
      </c>
      <c r="AJ651" s="41" t="s">
        <v>22</v>
      </c>
      <c r="AK651" s="41" t="s">
        <v>22</v>
      </c>
      <c r="AL651" s="41" t="s">
        <v>22</v>
      </c>
      <c r="AM651" s="43" t="e">
        <f t="shared" si="355"/>
        <v>#VALUE!</v>
      </c>
      <c r="AN651" s="43" t="e">
        <f t="shared" si="356"/>
        <v>#VALUE!</v>
      </c>
      <c r="AO651" s="3" t="s">
        <v>163</v>
      </c>
      <c r="AT651" s="2">
        <f t="shared" si="357"/>
        <v>8</v>
      </c>
      <c r="AU651" s="45" t="e">
        <f t="shared" si="358"/>
        <v>#VALUE!</v>
      </c>
      <c r="AV651" s="45" t="e">
        <f t="shared" si="359"/>
        <v>#VALUE!</v>
      </c>
      <c r="AW651" s="45" t="e">
        <f t="shared" si="360"/>
        <v>#VALUE!</v>
      </c>
      <c r="AX651" s="45">
        <f t="shared" si="361"/>
        <v>3.7395723444500919</v>
      </c>
      <c r="AY651" s="45" t="e">
        <f t="shared" si="362"/>
        <v>#VALUE!</v>
      </c>
      <c r="AZ651" s="45">
        <f t="shared" si="363"/>
        <v>2.4683473304121573</v>
      </c>
      <c r="BA651" s="45" t="e">
        <f t="shared" si="364"/>
        <v>#VALUE!</v>
      </c>
      <c r="BB651" s="45" t="e">
        <f t="shared" si="365"/>
        <v>#NUM!</v>
      </c>
      <c r="BC651" s="45" t="e">
        <f t="shared" si="366"/>
        <v>#VALUE!</v>
      </c>
      <c r="BD651" s="45" t="e">
        <f t="shared" si="367"/>
        <v>#VALUE!</v>
      </c>
      <c r="BE651" s="45" t="e">
        <f t="shared" si="368"/>
        <v>#VALUE!</v>
      </c>
      <c r="BF651" s="45" t="e">
        <f t="shared" si="369"/>
        <v>#VALUE!</v>
      </c>
      <c r="BG651" s="45" t="e">
        <f t="shared" si="370"/>
        <v>#VALUE!</v>
      </c>
      <c r="BH651" s="45" t="e">
        <f t="shared" si="371"/>
        <v>#NUM!</v>
      </c>
      <c r="BI651" s="43" t="e">
        <f t="shared" si="372"/>
        <v>#VALUE!</v>
      </c>
      <c r="BL651" s="20"/>
      <c r="CA651" s="41" t="s">
        <v>22</v>
      </c>
      <c r="CC651" t="s">
        <v>22</v>
      </c>
      <c r="CE651" s="41" t="s">
        <v>22</v>
      </c>
      <c r="CF651" s="41" t="s">
        <v>22</v>
      </c>
      <c r="CG651" s="41" t="s">
        <v>22</v>
      </c>
      <c r="CH651" s="41" t="e">
        <f t="shared" si="348"/>
        <v>#VALUE!</v>
      </c>
      <c r="CI651" s="41" t="s">
        <v>22</v>
      </c>
      <c r="CJ651" s="41" t="e">
        <f t="shared" si="353"/>
        <v>#VALUE!</v>
      </c>
      <c r="CL651" s="9" t="s">
        <v>1268</v>
      </c>
      <c r="CM651" s="18" t="s">
        <v>1284</v>
      </c>
      <c r="CN651" s="54" t="s">
        <v>1284</v>
      </c>
      <c r="CO651" s="18" t="s">
        <v>1284</v>
      </c>
    </row>
    <row r="652" spans="1:93" x14ac:dyDescent="0.25">
      <c r="A652" t="s">
        <v>375</v>
      </c>
      <c r="B652" s="41">
        <f>750000*10^-6</f>
        <v>0.75</v>
      </c>
      <c r="C652" s="41" t="s">
        <v>22</v>
      </c>
      <c r="D652" s="41" t="s">
        <v>22</v>
      </c>
      <c r="E652" s="41" t="s">
        <v>22</v>
      </c>
      <c r="F652" s="18" t="s">
        <v>22</v>
      </c>
      <c r="G652" s="18" t="s">
        <v>22</v>
      </c>
      <c r="H652" s="18" t="s">
        <v>22</v>
      </c>
      <c r="I652" s="18" t="s">
        <v>22</v>
      </c>
      <c r="J652" s="41" t="s">
        <v>22</v>
      </c>
      <c r="K652" s="18" t="s">
        <v>22</v>
      </c>
      <c r="M652" t="s">
        <v>23</v>
      </c>
      <c r="N652" s="41">
        <v>2340</v>
      </c>
      <c r="O652" s="41" t="s">
        <v>22</v>
      </c>
      <c r="P652" s="41">
        <v>896</v>
      </c>
      <c r="R652" s="41">
        <f>N652*B652</f>
        <v>1755</v>
      </c>
      <c r="S652" s="41" t="s">
        <v>22</v>
      </c>
      <c r="T652" s="41" t="s">
        <v>22</v>
      </c>
      <c r="U652" s="41" t="s">
        <v>22</v>
      </c>
      <c r="V652">
        <v>20191229</v>
      </c>
      <c r="W652" s="16" t="s">
        <v>380</v>
      </c>
      <c r="X652" s="18">
        <v>2014</v>
      </c>
      <c r="AC652" s="18" t="s">
        <v>22</v>
      </c>
      <c r="AD652" s="41" t="s">
        <v>22</v>
      </c>
      <c r="AE652" s="41" t="s">
        <v>22</v>
      </c>
      <c r="AF652" s="41" t="s">
        <v>22</v>
      </c>
      <c r="AG652" s="41" t="s">
        <v>22</v>
      </c>
      <c r="AH652" s="41" t="s">
        <v>22</v>
      </c>
      <c r="AI652" s="41" t="s">
        <v>22</v>
      </c>
      <c r="AJ652" s="41" t="s">
        <v>22</v>
      </c>
      <c r="AK652" s="41" t="s">
        <v>22</v>
      </c>
      <c r="AL652" s="41" t="s">
        <v>22</v>
      </c>
      <c r="AM652" s="43" t="e">
        <f t="shared" si="355"/>
        <v>#VALUE!</v>
      </c>
      <c r="AN652" s="43" t="e">
        <f t="shared" si="356"/>
        <v>#VALUE!</v>
      </c>
      <c r="AO652" s="3" t="s">
        <v>163</v>
      </c>
      <c r="AT652" s="2">
        <f t="shared" si="357"/>
        <v>8</v>
      </c>
      <c r="AU652" s="45">
        <f t="shared" si="358"/>
        <v>-0.12493873660829995</v>
      </c>
      <c r="AV652" s="45" t="e">
        <f t="shared" si="359"/>
        <v>#VALUE!</v>
      </c>
      <c r="AW652" s="45" t="e">
        <f t="shared" si="360"/>
        <v>#VALUE!</v>
      </c>
      <c r="AX652" s="45">
        <f t="shared" si="361"/>
        <v>3.369215857410143</v>
      </c>
      <c r="AY652" s="45" t="e">
        <f t="shared" si="362"/>
        <v>#VALUE!</v>
      </c>
      <c r="AZ652" s="45">
        <f t="shared" si="363"/>
        <v>2.9523080096621253</v>
      </c>
      <c r="BA652" s="45" t="e">
        <f t="shared" si="364"/>
        <v>#VALUE!</v>
      </c>
      <c r="BB652" s="45" t="e">
        <f t="shared" si="365"/>
        <v>#NUM!</v>
      </c>
      <c r="BC652" s="45" t="e">
        <f t="shared" si="366"/>
        <v>#VALUE!</v>
      </c>
      <c r="BD652" s="45" t="e">
        <f t="shared" si="367"/>
        <v>#VALUE!</v>
      </c>
      <c r="BE652" s="45" t="e">
        <f t="shared" si="368"/>
        <v>#VALUE!</v>
      </c>
      <c r="BF652" s="45" t="e">
        <f t="shared" si="369"/>
        <v>#VALUE!</v>
      </c>
      <c r="BG652" s="45" t="e">
        <f t="shared" si="370"/>
        <v>#VALUE!</v>
      </c>
      <c r="BH652" s="45" t="e">
        <f t="shared" si="371"/>
        <v>#NUM!</v>
      </c>
      <c r="BI652" s="43" t="e">
        <f t="shared" si="372"/>
        <v>#VALUE!</v>
      </c>
      <c r="CA652" s="41" t="s">
        <v>22</v>
      </c>
      <c r="CC652" t="s">
        <v>22</v>
      </c>
      <c r="CE652" s="41" t="s">
        <v>22</v>
      </c>
      <c r="CF652" s="41" t="s">
        <v>22</v>
      </c>
      <c r="CG652" s="41" t="s">
        <v>22</v>
      </c>
      <c r="CH652" s="41" t="e">
        <f t="shared" si="348"/>
        <v>#VALUE!</v>
      </c>
      <c r="CI652" s="41" t="s">
        <v>22</v>
      </c>
      <c r="CJ652" s="41" t="e">
        <f t="shared" si="353"/>
        <v>#VALUE!</v>
      </c>
      <c r="CL652" s="9" t="s">
        <v>1268</v>
      </c>
      <c r="CM652" s="18" t="s">
        <v>1284</v>
      </c>
      <c r="CN652" s="54" t="s">
        <v>1284</v>
      </c>
      <c r="CO652" s="18" t="s">
        <v>1284</v>
      </c>
    </row>
    <row r="653" spans="1:93" x14ac:dyDescent="0.25">
      <c r="A653" t="s">
        <v>375</v>
      </c>
      <c r="B653" s="41">
        <f>839000*10^-6</f>
        <v>0.83899999999999997</v>
      </c>
      <c r="C653" s="41" t="s">
        <v>22</v>
      </c>
      <c r="D653" s="41" t="s">
        <v>22</v>
      </c>
      <c r="E653" s="41" t="s">
        <v>22</v>
      </c>
      <c r="F653" s="18" t="s">
        <v>22</v>
      </c>
      <c r="G653" s="18" t="s">
        <v>22</v>
      </c>
      <c r="H653" s="18" t="s">
        <v>22</v>
      </c>
      <c r="I653" s="18" t="s">
        <v>22</v>
      </c>
      <c r="J653" s="41" t="s">
        <v>22</v>
      </c>
      <c r="K653" s="18" t="s">
        <v>22</v>
      </c>
      <c r="M653" t="s">
        <v>23</v>
      </c>
      <c r="N653" s="41">
        <v>3100</v>
      </c>
      <c r="O653" s="41" t="s">
        <v>22</v>
      </c>
      <c r="P653" s="41">
        <v>965</v>
      </c>
      <c r="R653" s="41">
        <f>N653*B653</f>
        <v>2600.9</v>
      </c>
      <c r="S653" s="41" t="s">
        <v>22</v>
      </c>
      <c r="T653" s="41" t="s">
        <v>22</v>
      </c>
      <c r="U653" s="41" t="s">
        <v>22</v>
      </c>
      <c r="V653">
        <v>20191229</v>
      </c>
      <c r="W653" s="16" t="s">
        <v>381</v>
      </c>
      <c r="X653">
        <v>2014</v>
      </c>
      <c r="AC653" s="18" t="s">
        <v>22</v>
      </c>
      <c r="AD653" s="41" t="s">
        <v>22</v>
      </c>
      <c r="AE653" s="41" t="s">
        <v>22</v>
      </c>
      <c r="AF653" s="41" t="s">
        <v>22</v>
      </c>
      <c r="AG653" s="41" t="s">
        <v>22</v>
      </c>
      <c r="AH653" s="41" t="s">
        <v>22</v>
      </c>
      <c r="AI653" s="41" t="s">
        <v>22</v>
      </c>
      <c r="AJ653" s="41" t="s">
        <v>22</v>
      </c>
      <c r="AK653" s="41" t="s">
        <v>22</v>
      </c>
      <c r="AL653" s="41" t="s">
        <v>22</v>
      </c>
      <c r="AM653" s="43" t="e">
        <f t="shared" si="355"/>
        <v>#VALUE!</v>
      </c>
      <c r="AN653" s="43" t="e">
        <f t="shared" si="356"/>
        <v>#VALUE!</v>
      </c>
      <c r="AO653" s="3" t="s">
        <v>163</v>
      </c>
      <c r="AT653" s="2">
        <f t="shared" si="357"/>
        <v>8</v>
      </c>
      <c r="AU653" s="45">
        <f t="shared" si="358"/>
        <v>-7.6238039171299746E-2</v>
      </c>
      <c r="AV653" s="45" t="e">
        <f t="shared" si="359"/>
        <v>#VALUE!</v>
      </c>
      <c r="AW653" s="45" t="e">
        <f t="shared" si="360"/>
        <v>#VALUE!</v>
      </c>
      <c r="AX653" s="45">
        <f t="shared" si="361"/>
        <v>3.4913616938342726</v>
      </c>
      <c r="AY653" s="45" t="e">
        <f t="shared" si="362"/>
        <v>#VALUE!</v>
      </c>
      <c r="AZ653" s="45">
        <f t="shared" si="363"/>
        <v>2.9845273133437926</v>
      </c>
      <c r="BA653" s="45" t="e">
        <f t="shared" si="364"/>
        <v>#VALUE!</v>
      </c>
      <c r="BB653" s="45" t="e">
        <f t="shared" si="365"/>
        <v>#NUM!</v>
      </c>
      <c r="BC653" s="45" t="e">
        <f t="shared" si="366"/>
        <v>#VALUE!</v>
      </c>
      <c r="BD653" s="45" t="e">
        <f t="shared" si="367"/>
        <v>#VALUE!</v>
      </c>
      <c r="BE653" s="45" t="e">
        <f t="shared" si="368"/>
        <v>#VALUE!</v>
      </c>
      <c r="BF653" s="45" t="e">
        <f t="shared" si="369"/>
        <v>#VALUE!</v>
      </c>
      <c r="BG653" s="45" t="e">
        <f t="shared" si="370"/>
        <v>#VALUE!</v>
      </c>
      <c r="BH653" s="45" t="e">
        <f t="shared" si="371"/>
        <v>#NUM!</v>
      </c>
      <c r="BI653" s="43" t="e">
        <f t="shared" si="372"/>
        <v>#VALUE!</v>
      </c>
      <c r="CA653" s="41" t="s">
        <v>22</v>
      </c>
      <c r="CC653" t="s">
        <v>22</v>
      </c>
      <c r="CE653" s="41" t="s">
        <v>22</v>
      </c>
      <c r="CF653" s="41" t="s">
        <v>22</v>
      </c>
      <c r="CG653" s="41" t="s">
        <v>22</v>
      </c>
      <c r="CH653" s="41" t="e">
        <f t="shared" si="348"/>
        <v>#VALUE!</v>
      </c>
      <c r="CI653" s="41" t="s">
        <v>22</v>
      </c>
      <c r="CJ653" s="41" t="e">
        <f t="shared" si="353"/>
        <v>#VALUE!</v>
      </c>
      <c r="CL653" s="9" t="s">
        <v>1268</v>
      </c>
      <c r="CM653" s="18" t="s">
        <v>1284</v>
      </c>
      <c r="CN653" s="54" t="s">
        <v>1284</v>
      </c>
      <c r="CO653" s="18" t="s">
        <v>1284</v>
      </c>
    </row>
    <row r="654" spans="1:93" x14ac:dyDescent="0.25">
      <c r="A654" t="s">
        <v>315</v>
      </c>
      <c r="B654" s="41">
        <v>9.2387238723872309E-3</v>
      </c>
      <c r="C654" s="41" t="s">
        <v>22</v>
      </c>
      <c r="D654" s="41" t="s">
        <v>22</v>
      </c>
      <c r="E654" s="41" t="s">
        <v>22</v>
      </c>
      <c r="F654" t="s">
        <v>22</v>
      </c>
      <c r="G654" t="s">
        <v>22</v>
      </c>
      <c r="H654" t="s">
        <v>22</v>
      </c>
      <c r="I654" t="s">
        <v>22</v>
      </c>
      <c r="J654" s="41" t="s">
        <v>22</v>
      </c>
      <c r="K654" t="s">
        <v>22</v>
      </c>
      <c r="M654" t="s">
        <v>23</v>
      </c>
      <c r="N654" s="41" t="s">
        <v>22</v>
      </c>
      <c r="O654" s="41" t="s">
        <v>22</v>
      </c>
      <c r="P654" s="41" t="s">
        <v>22</v>
      </c>
      <c r="R654" s="41" t="s">
        <v>22</v>
      </c>
      <c r="S654" s="41" t="s">
        <v>22</v>
      </c>
      <c r="T654" s="41">
        <v>3.9</v>
      </c>
      <c r="U654" s="41">
        <v>3.9</v>
      </c>
      <c r="V654">
        <v>20200513</v>
      </c>
      <c r="W654" s="9" t="s">
        <v>676</v>
      </c>
      <c r="X654" s="6">
        <v>2014</v>
      </c>
      <c r="Y654" t="s">
        <v>26</v>
      </c>
      <c r="Z654" t="s">
        <v>34</v>
      </c>
      <c r="AC654" t="s">
        <v>514</v>
      </c>
      <c r="AD654" s="41" t="s">
        <v>22</v>
      </c>
      <c r="AE654" s="41" t="s">
        <v>22</v>
      </c>
      <c r="AF654" s="41" t="s">
        <v>22</v>
      </c>
      <c r="AG654" s="41" t="s">
        <v>22</v>
      </c>
      <c r="AH654" s="41" t="s">
        <v>22</v>
      </c>
      <c r="AI654" s="41" t="s">
        <v>22</v>
      </c>
      <c r="AJ654" s="41" t="s">
        <v>22</v>
      </c>
      <c r="AK654" s="41" t="s">
        <v>22</v>
      </c>
      <c r="AL654" s="41" t="s">
        <v>22</v>
      </c>
      <c r="AM654" s="43" t="e">
        <f t="shared" si="355"/>
        <v>#VALUE!</v>
      </c>
      <c r="AN654" s="43" t="e">
        <f t="shared" si="356"/>
        <v>#VALUE!</v>
      </c>
      <c r="AO654" s="3" t="s">
        <v>689</v>
      </c>
      <c r="AT654" s="2">
        <f t="shared" si="357"/>
        <v>13</v>
      </c>
      <c r="AU654" s="45">
        <f t="shared" si="358"/>
        <v>-2.0343880129200471</v>
      </c>
      <c r="AV654" s="45" t="e">
        <f t="shared" si="359"/>
        <v>#VALUE!</v>
      </c>
      <c r="AW654" s="45" t="e">
        <f t="shared" si="360"/>
        <v>#VALUE!</v>
      </c>
      <c r="AX654" s="45" t="e">
        <f t="shared" si="361"/>
        <v>#VALUE!</v>
      </c>
      <c r="AY654" s="45" t="e">
        <f t="shared" si="362"/>
        <v>#VALUE!</v>
      </c>
      <c r="AZ654" s="45" t="e">
        <f t="shared" si="363"/>
        <v>#VALUE!</v>
      </c>
      <c r="BA654" s="45" t="e">
        <f t="shared" si="364"/>
        <v>#VALUE!</v>
      </c>
      <c r="BB654" s="45" t="e">
        <f t="shared" si="365"/>
        <v>#NUM!</v>
      </c>
      <c r="BC654" s="45">
        <f t="shared" si="366"/>
        <v>0.59106460702649921</v>
      </c>
      <c r="BD654" s="45" t="e">
        <f t="shared" si="367"/>
        <v>#VALUE!</v>
      </c>
      <c r="BE654" s="45" t="e">
        <f t="shared" si="368"/>
        <v>#VALUE!</v>
      </c>
      <c r="BF654" s="45" t="e">
        <f t="shared" si="369"/>
        <v>#VALUE!</v>
      </c>
      <c r="BG654" s="45" t="e">
        <f t="shared" si="370"/>
        <v>#VALUE!</v>
      </c>
      <c r="BH654" s="45" t="e">
        <f t="shared" si="371"/>
        <v>#NUM!</v>
      </c>
      <c r="BI654" s="43" t="e">
        <f t="shared" si="372"/>
        <v>#VALUE!</v>
      </c>
      <c r="CA654" s="41" t="s">
        <v>22</v>
      </c>
      <c r="CC654" t="s">
        <v>22</v>
      </c>
      <c r="CE654" s="41" t="s">
        <v>22</v>
      </c>
      <c r="CF654" s="41" t="s">
        <v>22</v>
      </c>
      <c r="CG654" s="41" t="e">
        <f t="shared" ref="CG654:CG673" si="373">AD654*1000</f>
        <v>#VALUE!</v>
      </c>
      <c r="CH654" s="41" t="e">
        <f t="shared" si="348"/>
        <v>#VALUE!</v>
      </c>
      <c r="CI654" s="41">
        <f>IF(ISNUMBER(CG654),CG654,U654)</f>
        <v>3.9</v>
      </c>
      <c r="CJ654" s="41">
        <f t="shared" si="353"/>
        <v>0.59106460702649921</v>
      </c>
      <c r="CL654" s="9" t="s">
        <v>1269</v>
      </c>
      <c r="CM654" s="18" t="s">
        <v>1285</v>
      </c>
      <c r="CN654" s="54" t="s">
        <v>1284</v>
      </c>
      <c r="CO654" s="18" t="s">
        <v>1284</v>
      </c>
    </row>
    <row r="655" spans="1:93" x14ac:dyDescent="0.25">
      <c r="A655" s="18" t="s">
        <v>315</v>
      </c>
      <c r="B655" s="41">
        <v>1.4798679867986801E-2</v>
      </c>
      <c r="C655" s="41" t="s">
        <v>22</v>
      </c>
      <c r="D655" s="41" t="s">
        <v>22</v>
      </c>
      <c r="E655" s="41" t="s">
        <v>22</v>
      </c>
      <c r="F655" t="s">
        <v>22</v>
      </c>
      <c r="G655" t="s">
        <v>22</v>
      </c>
      <c r="H655" t="s">
        <v>22</v>
      </c>
      <c r="I655" t="s">
        <v>22</v>
      </c>
      <c r="J655" s="41" t="s">
        <v>22</v>
      </c>
      <c r="K655" t="s">
        <v>22</v>
      </c>
      <c r="M655" t="s">
        <v>23</v>
      </c>
      <c r="N655" s="41" t="s">
        <v>22</v>
      </c>
      <c r="O655" s="41" t="s">
        <v>22</v>
      </c>
      <c r="P655" s="41" t="s">
        <v>22</v>
      </c>
      <c r="R655" s="41" t="s">
        <v>22</v>
      </c>
      <c r="S655" s="41" t="s">
        <v>22</v>
      </c>
      <c r="T655" s="41" t="s">
        <v>22</v>
      </c>
      <c r="V655">
        <v>20200513</v>
      </c>
      <c r="W655" s="9" t="s">
        <v>677</v>
      </c>
      <c r="X655" s="6">
        <v>2014</v>
      </c>
      <c r="Y655" t="s">
        <v>26</v>
      </c>
      <c r="Z655" t="s">
        <v>34</v>
      </c>
      <c r="AC655" t="s">
        <v>514</v>
      </c>
      <c r="AD655" s="41" t="s">
        <v>22</v>
      </c>
      <c r="AE655" s="41" t="s">
        <v>22</v>
      </c>
      <c r="AF655" s="41" t="s">
        <v>22</v>
      </c>
      <c r="AG655" s="41" t="s">
        <v>22</v>
      </c>
      <c r="AH655" s="41" t="s">
        <v>22</v>
      </c>
      <c r="AI655" s="41" t="s">
        <v>22</v>
      </c>
      <c r="AJ655" s="41" t="s">
        <v>22</v>
      </c>
      <c r="AK655" s="41" t="s">
        <v>22</v>
      </c>
      <c r="AL655" s="41" t="s">
        <v>22</v>
      </c>
      <c r="AM655" s="43" t="e">
        <f t="shared" si="355"/>
        <v>#VALUE!</v>
      </c>
      <c r="AN655" s="43" t="e">
        <f t="shared" si="356"/>
        <v>#VALUE!</v>
      </c>
      <c r="AO655" s="3" t="s">
        <v>689</v>
      </c>
      <c r="AT655" s="2">
        <f t="shared" si="357"/>
        <v>13</v>
      </c>
      <c r="AU655" s="45">
        <f t="shared" si="358"/>
        <v>-1.8297770245793694</v>
      </c>
      <c r="AV655" s="45" t="e">
        <f t="shared" si="359"/>
        <v>#VALUE!</v>
      </c>
      <c r="AW655" s="45" t="e">
        <f t="shared" si="360"/>
        <v>#VALUE!</v>
      </c>
      <c r="AX655" s="45" t="e">
        <f t="shared" si="361"/>
        <v>#VALUE!</v>
      </c>
      <c r="AY655" s="45" t="e">
        <f t="shared" si="362"/>
        <v>#VALUE!</v>
      </c>
      <c r="AZ655" s="45" t="e">
        <f t="shared" si="363"/>
        <v>#VALUE!</v>
      </c>
      <c r="BA655" s="45" t="e">
        <f t="shared" si="364"/>
        <v>#VALUE!</v>
      </c>
      <c r="BB655" s="45" t="e">
        <f t="shared" si="365"/>
        <v>#NUM!</v>
      </c>
      <c r="BC655" s="45" t="e">
        <f t="shared" si="366"/>
        <v>#NUM!</v>
      </c>
      <c r="BD655" s="45" t="e">
        <f t="shared" si="367"/>
        <v>#VALUE!</v>
      </c>
      <c r="BE655" s="45" t="e">
        <f t="shared" si="368"/>
        <v>#VALUE!</v>
      </c>
      <c r="BF655" s="45" t="e">
        <f t="shared" si="369"/>
        <v>#VALUE!</v>
      </c>
      <c r="BG655" s="45" t="e">
        <f t="shared" si="370"/>
        <v>#VALUE!</v>
      </c>
      <c r="BH655" s="45" t="e">
        <f t="shared" si="371"/>
        <v>#NUM!</v>
      </c>
      <c r="BI655" s="43" t="e">
        <f t="shared" si="372"/>
        <v>#VALUE!</v>
      </c>
      <c r="CA655" s="41" t="s">
        <v>22</v>
      </c>
      <c r="CC655" t="s">
        <v>22</v>
      </c>
      <c r="CE655" s="41" t="s">
        <v>22</v>
      </c>
      <c r="CF655" s="41" t="s">
        <v>22</v>
      </c>
      <c r="CG655" s="41" t="e">
        <f t="shared" si="373"/>
        <v>#VALUE!</v>
      </c>
      <c r="CH655" s="41" t="e">
        <f t="shared" si="348"/>
        <v>#VALUE!</v>
      </c>
      <c r="CI655" s="41" t="s">
        <v>22</v>
      </c>
      <c r="CJ655" s="41" t="e">
        <f t="shared" si="353"/>
        <v>#VALUE!</v>
      </c>
      <c r="CL655" s="9" t="s">
        <v>1269</v>
      </c>
      <c r="CM655" s="18" t="s">
        <v>1284</v>
      </c>
      <c r="CN655" s="54" t="s">
        <v>1284</v>
      </c>
      <c r="CO655" s="18" t="s">
        <v>1284</v>
      </c>
    </row>
    <row r="656" spans="1:93" x14ac:dyDescent="0.25">
      <c r="A656" t="s">
        <v>315</v>
      </c>
      <c r="B656" s="41">
        <v>1.6831683168316802E-2</v>
      </c>
      <c r="C656" s="41" t="s">
        <v>22</v>
      </c>
      <c r="D656" s="41" t="s">
        <v>22</v>
      </c>
      <c r="E656" s="41" t="s">
        <v>22</v>
      </c>
      <c r="F656" t="s">
        <v>22</v>
      </c>
      <c r="G656" t="s">
        <v>22</v>
      </c>
      <c r="H656" t="s">
        <v>22</v>
      </c>
      <c r="I656" t="s">
        <v>22</v>
      </c>
      <c r="J656" s="41" t="s">
        <v>22</v>
      </c>
      <c r="K656" t="s">
        <v>22</v>
      </c>
      <c r="M656" t="s">
        <v>23</v>
      </c>
      <c r="N656" s="41" t="s">
        <v>22</v>
      </c>
      <c r="O656" s="41" t="s">
        <v>22</v>
      </c>
      <c r="P656" s="41" t="s">
        <v>22</v>
      </c>
      <c r="R656" s="41" t="s">
        <v>22</v>
      </c>
      <c r="S656" s="41" t="s">
        <v>22</v>
      </c>
      <c r="T656" s="41">
        <v>5.4</v>
      </c>
      <c r="U656" s="41">
        <v>5.4</v>
      </c>
      <c r="V656">
        <v>20200513</v>
      </c>
      <c r="W656" s="9" t="s">
        <v>678</v>
      </c>
      <c r="X656" s="6">
        <v>2014</v>
      </c>
      <c r="Y656" t="s">
        <v>26</v>
      </c>
      <c r="Z656" t="s">
        <v>34</v>
      </c>
      <c r="AC656" t="s">
        <v>514</v>
      </c>
      <c r="AD656" s="41" t="s">
        <v>22</v>
      </c>
      <c r="AE656" s="41" t="s">
        <v>22</v>
      </c>
      <c r="AF656" s="41" t="s">
        <v>22</v>
      </c>
      <c r="AG656" s="41" t="s">
        <v>22</v>
      </c>
      <c r="AH656" s="41" t="s">
        <v>22</v>
      </c>
      <c r="AI656" s="41" t="s">
        <v>22</v>
      </c>
      <c r="AJ656" s="41" t="s">
        <v>22</v>
      </c>
      <c r="AK656" s="41" t="s">
        <v>22</v>
      </c>
      <c r="AL656" s="41" t="s">
        <v>22</v>
      </c>
      <c r="AM656" s="43" t="e">
        <f t="shared" si="355"/>
        <v>#VALUE!</v>
      </c>
      <c r="AN656" s="43" t="e">
        <f t="shared" si="356"/>
        <v>#VALUE!</v>
      </c>
      <c r="AO656" s="3" t="s">
        <v>689</v>
      </c>
      <c r="AT656" s="2">
        <f t="shared" si="357"/>
        <v>13</v>
      </c>
      <c r="AU656" s="45">
        <f t="shared" si="358"/>
        <v>-1.7738724524043694</v>
      </c>
      <c r="AV656" s="45" t="e">
        <f t="shared" si="359"/>
        <v>#VALUE!</v>
      </c>
      <c r="AW656" s="45" t="e">
        <f t="shared" si="360"/>
        <v>#VALUE!</v>
      </c>
      <c r="AX656" s="45" t="e">
        <f t="shared" si="361"/>
        <v>#VALUE!</v>
      </c>
      <c r="AY656" s="45" t="e">
        <f t="shared" si="362"/>
        <v>#VALUE!</v>
      </c>
      <c r="AZ656" s="45" t="e">
        <f t="shared" si="363"/>
        <v>#VALUE!</v>
      </c>
      <c r="BA656" s="45" t="e">
        <f t="shared" si="364"/>
        <v>#VALUE!</v>
      </c>
      <c r="BB656" s="45" t="e">
        <f t="shared" si="365"/>
        <v>#NUM!</v>
      </c>
      <c r="BC656" s="45">
        <f t="shared" si="366"/>
        <v>0.7323937598229685</v>
      </c>
      <c r="BD656" s="45" t="e">
        <f t="shared" si="367"/>
        <v>#VALUE!</v>
      </c>
      <c r="BE656" s="45" t="e">
        <f t="shared" si="368"/>
        <v>#VALUE!</v>
      </c>
      <c r="BF656" s="45" t="e">
        <f t="shared" si="369"/>
        <v>#VALUE!</v>
      </c>
      <c r="BG656" s="45" t="e">
        <f t="shared" si="370"/>
        <v>#VALUE!</v>
      </c>
      <c r="BH656" s="45" t="e">
        <f t="shared" si="371"/>
        <v>#NUM!</v>
      </c>
      <c r="BI656" s="43" t="e">
        <f t="shared" si="372"/>
        <v>#VALUE!</v>
      </c>
      <c r="BL656" s="20"/>
      <c r="CA656" s="41" t="s">
        <v>22</v>
      </c>
      <c r="CC656" t="s">
        <v>22</v>
      </c>
      <c r="CE656" s="41" t="s">
        <v>22</v>
      </c>
      <c r="CF656" s="41" t="s">
        <v>22</v>
      </c>
      <c r="CG656" s="41" t="e">
        <f t="shared" si="373"/>
        <v>#VALUE!</v>
      </c>
      <c r="CH656" s="41" t="e">
        <f t="shared" si="348"/>
        <v>#VALUE!</v>
      </c>
      <c r="CI656" s="41">
        <f>IF(ISNUMBER(CG656),CG656,U656)</f>
        <v>5.4</v>
      </c>
      <c r="CJ656" s="41">
        <f t="shared" si="353"/>
        <v>0.7323937598229685</v>
      </c>
      <c r="CL656" s="9" t="s">
        <v>1269</v>
      </c>
      <c r="CM656" s="18" t="s">
        <v>1285</v>
      </c>
      <c r="CN656" s="54" t="s">
        <v>1284</v>
      </c>
      <c r="CO656" s="18" t="s">
        <v>1284</v>
      </c>
    </row>
    <row r="657" spans="1:93" x14ac:dyDescent="0.25">
      <c r="A657" t="s">
        <v>315</v>
      </c>
      <c r="B657" s="41">
        <v>1.4860286028602799E-2</v>
      </c>
      <c r="C657" s="41" t="s">
        <v>22</v>
      </c>
      <c r="D657" s="41" t="s">
        <v>22</v>
      </c>
      <c r="E657" s="41" t="s">
        <v>22</v>
      </c>
      <c r="F657" t="s">
        <v>22</v>
      </c>
      <c r="G657" t="s">
        <v>22</v>
      </c>
      <c r="H657" t="s">
        <v>22</v>
      </c>
      <c r="I657" t="s">
        <v>22</v>
      </c>
      <c r="J657" s="41" t="s">
        <v>22</v>
      </c>
      <c r="K657" t="s">
        <v>22</v>
      </c>
      <c r="M657" t="s">
        <v>23</v>
      </c>
      <c r="N657" s="41" t="s">
        <v>22</v>
      </c>
      <c r="O657" s="41" t="s">
        <v>22</v>
      </c>
      <c r="P657" s="41" t="s">
        <v>22</v>
      </c>
      <c r="R657" s="41" t="s">
        <v>22</v>
      </c>
      <c r="S657" s="41" t="s">
        <v>22</v>
      </c>
      <c r="T657" s="41" t="s">
        <v>22</v>
      </c>
      <c r="V657">
        <v>20200513</v>
      </c>
      <c r="W657" s="9" t="s">
        <v>679</v>
      </c>
      <c r="X657" s="6">
        <v>2014</v>
      </c>
      <c r="Y657" t="s">
        <v>26</v>
      </c>
      <c r="Z657" t="s">
        <v>34</v>
      </c>
      <c r="AC657" t="s">
        <v>514</v>
      </c>
      <c r="AD657" s="41" t="s">
        <v>22</v>
      </c>
      <c r="AE657" s="41" t="s">
        <v>22</v>
      </c>
      <c r="AF657" s="41" t="s">
        <v>22</v>
      </c>
      <c r="AG657" s="41" t="s">
        <v>22</v>
      </c>
      <c r="AH657" s="41" t="s">
        <v>22</v>
      </c>
      <c r="AI657" s="41" t="s">
        <v>22</v>
      </c>
      <c r="AJ657" s="41" t="s">
        <v>22</v>
      </c>
      <c r="AK657" s="41" t="s">
        <v>22</v>
      </c>
      <c r="AL657" s="41" t="s">
        <v>22</v>
      </c>
      <c r="AM657" s="43" t="e">
        <f t="shared" si="355"/>
        <v>#VALUE!</v>
      </c>
      <c r="AN657" s="43" t="e">
        <f t="shared" si="356"/>
        <v>#VALUE!</v>
      </c>
      <c r="AO657" s="3" t="s">
        <v>689</v>
      </c>
      <c r="AT657" s="2">
        <f t="shared" si="357"/>
        <v>13</v>
      </c>
      <c r="AU657" s="45">
        <f t="shared" si="358"/>
        <v>-1.8279728312585952</v>
      </c>
      <c r="AV657" s="45" t="e">
        <f t="shared" si="359"/>
        <v>#VALUE!</v>
      </c>
      <c r="AW657" s="45" t="e">
        <f t="shared" si="360"/>
        <v>#VALUE!</v>
      </c>
      <c r="AX657" s="45" t="e">
        <f t="shared" si="361"/>
        <v>#VALUE!</v>
      </c>
      <c r="AY657" s="45" t="e">
        <f t="shared" si="362"/>
        <v>#VALUE!</v>
      </c>
      <c r="AZ657" s="45" t="e">
        <f t="shared" si="363"/>
        <v>#VALUE!</v>
      </c>
      <c r="BA657" s="45" t="e">
        <f t="shared" si="364"/>
        <v>#VALUE!</v>
      </c>
      <c r="BB657" s="45" t="e">
        <f t="shared" si="365"/>
        <v>#NUM!</v>
      </c>
      <c r="BC657" s="45" t="e">
        <f t="shared" si="366"/>
        <v>#NUM!</v>
      </c>
      <c r="BD657" s="45" t="e">
        <f t="shared" si="367"/>
        <v>#VALUE!</v>
      </c>
      <c r="BE657" s="45" t="e">
        <f t="shared" si="368"/>
        <v>#VALUE!</v>
      </c>
      <c r="BF657" s="45" t="e">
        <f t="shared" si="369"/>
        <v>#VALUE!</v>
      </c>
      <c r="BG657" s="45" t="e">
        <f t="shared" si="370"/>
        <v>#VALUE!</v>
      </c>
      <c r="BH657" s="45" t="e">
        <f t="shared" si="371"/>
        <v>#NUM!</v>
      </c>
      <c r="BI657" s="43" t="e">
        <f t="shared" si="372"/>
        <v>#VALUE!</v>
      </c>
      <c r="CA657" s="41" t="s">
        <v>22</v>
      </c>
      <c r="CC657" t="s">
        <v>22</v>
      </c>
      <c r="CE657" s="41" t="s">
        <v>22</v>
      </c>
      <c r="CF657" s="41" t="s">
        <v>22</v>
      </c>
      <c r="CG657" s="41" t="e">
        <f t="shared" si="373"/>
        <v>#VALUE!</v>
      </c>
      <c r="CH657" s="41" t="e">
        <f t="shared" si="348"/>
        <v>#VALUE!</v>
      </c>
      <c r="CI657" s="41" t="s">
        <v>22</v>
      </c>
      <c r="CJ657" s="41" t="e">
        <f t="shared" si="353"/>
        <v>#VALUE!</v>
      </c>
      <c r="CL657" s="9" t="s">
        <v>1269</v>
      </c>
      <c r="CM657" s="18" t="s">
        <v>1284</v>
      </c>
      <c r="CN657" s="54" t="s">
        <v>1284</v>
      </c>
      <c r="CO657" s="18" t="s">
        <v>1284</v>
      </c>
    </row>
    <row r="658" spans="1:93" x14ac:dyDescent="0.25">
      <c r="A658" t="s">
        <v>342</v>
      </c>
      <c r="B658" s="41">
        <v>1.2704070407040599E-2</v>
      </c>
      <c r="C658" s="41" t="s">
        <v>22</v>
      </c>
      <c r="D658" s="41" t="s">
        <v>22</v>
      </c>
      <c r="E658" s="41" t="s">
        <v>22</v>
      </c>
      <c r="F658" t="s">
        <v>22</v>
      </c>
      <c r="G658" t="s">
        <v>22</v>
      </c>
      <c r="H658" t="s">
        <v>22</v>
      </c>
      <c r="I658" t="s">
        <v>22</v>
      </c>
      <c r="J658" s="41" t="s">
        <v>22</v>
      </c>
      <c r="K658" t="s">
        <v>22</v>
      </c>
      <c r="M658" t="s">
        <v>23</v>
      </c>
      <c r="N658" s="41" t="s">
        <v>22</v>
      </c>
      <c r="O658" s="41" t="s">
        <v>22</v>
      </c>
      <c r="P658" s="41" t="s">
        <v>22</v>
      </c>
      <c r="R658" s="41" t="s">
        <v>22</v>
      </c>
      <c r="S658" s="41" t="s">
        <v>22</v>
      </c>
      <c r="T658" s="41">
        <v>7.9</v>
      </c>
      <c r="U658" s="41">
        <v>7.9</v>
      </c>
      <c r="V658">
        <v>20200513</v>
      </c>
      <c r="W658" s="9" t="s">
        <v>680</v>
      </c>
      <c r="X658" s="6">
        <v>2014</v>
      </c>
      <c r="Y658" t="s">
        <v>26</v>
      </c>
      <c r="Z658" t="s">
        <v>34</v>
      </c>
      <c r="AA658" s="18"/>
      <c r="AC658" t="s">
        <v>514</v>
      </c>
      <c r="AD658" s="41" t="s">
        <v>22</v>
      </c>
      <c r="AE658" s="41" t="s">
        <v>22</v>
      </c>
      <c r="AF658" s="41" t="s">
        <v>22</v>
      </c>
      <c r="AG658" s="41" t="s">
        <v>22</v>
      </c>
      <c r="AH658" s="41" t="s">
        <v>22</v>
      </c>
      <c r="AI658" s="41" t="s">
        <v>22</v>
      </c>
      <c r="AJ658" s="41" t="s">
        <v>22</v>
      </c>
      <c r="AK658" s="41" t="s">
        <v>22</v>
      </c>
      <c r="AL658" s="41" t="s">
        <v>22</v>
      </c>
      <c r="AM658" s="43" t="e">
        <f t="shared" si="355"/>
        <v>#VALUE!</v>
      </c>
      <c r="AN658" s="43" t="e">
        <f t="shared" si="356"/>
        <v>#VALUE!</v>
      </c>
      <c r="AO658" s="3" t="s">
        <v>689</v>
      </c>
      <c r="AT658" s="2">
        <f t="shared" si="357"/>
        <v>13</v>
      </c>
      <c r="AU658" s="45">
        <f t="shared" si="358"/>
        <v>-1.8960571080132882</v>
      </c>
      <c r="AV658" s="45" t="e">
        <f t="shared" si="359"/>
        <v>#VALUE!</v>
      </c>
      <c r="AW658" s="45" t="e">
        <f t="shared" si="360"/>
        <v>#VALUE!</v>
      </c>
      <c r="AX658" s="45" t="e">
        <f t="shared" si="361"/>
        <v>#VALUE!</v>
      </c>
      <c r="AY658" s="45" t="e">
        <f t="shared" si="362"/>
        <v>#VALUE!</v>
      </c>
      <c r="AZ658" s="45" t="e">
        <f t="shared" si="363"/>
        <v>#VALUE!</v>
      </c>
      <c r="BA658" s="45" t="e">
        <f t="shared" si="364"/>
        <v>#VALUE!</v>
      </c>
      <c r="BB658" s="45" t="e">
        <f t="shared" si="365"/>
        <v>#NUM!</v>
      </c>
      <c r="BC658" s="45">
        <f t="shared" si="366"/>
        <v>0.89762709129044149</v>
      </c>
      <c r="BD658" s="45" t="e">
        <f t="shared" si="367"/>
        <v>#VALUE!</v>
      </c>
      <c r="BE658" s="45" t="e">
        <f t="shared" si="368"/>
        <v>#VALUE!</v>
      </c>
      <c r="BF658" s="45" t="e">
        <f t="shared" si="369"/>
        <v>#VALUE!</v>
      </c>
      <c r="BG658" s="45" t="e">
        <f t="shared" si="370"/>
        <v>#VALUE!</v>
      </c>
      <c r="BH658" s="45" t="e">
        <f t="shared" si="371"/>
        <v>#NUM!</v>
      </c>
      <c r="BI658" s="43" t="e">
        <f t="shared" si="372"/>
        <v>#VALUE!</v>
      </c>
      <c r="CA658" s="41" t="s">
        <v>22</v>
      </c>
      <c r="CC658" t="s">
        <v>22</v>
      </c>
      <c r="CE658" s="41" t="s">
        <v>22</v>
      </c>
      <c r="CF658" s="41" t="s">
        <v>22</v>
      </c>
      <c r="CG658" s="41" t="e">
        <f t="shared" si="373"/>
        <v>#VALUE!</v>
      </c>
      <c r="CH658" s="41" t="e">
        <f t="shared" si="348"/>
        <v>#VALUE!</v>
      </c>
      <c r="CI658" s="41">
        <f t="shared" ref="CI658:CI673" si="374">IF(ISNUMBER(CG658),CG658,U658)</f>
        <v>7.9</v>
      </c>
      <c r="CJ658" s="41">
        <f t="shared" si="353"/>
        <v>0.89762709129044149</v>
      </c>
      <c r="CL658" s="9" t="s">
        <v>1269</v>
      </c>
      <c r="CM658" s="18" t="s">
        <v>1285</v>
      </c>
      <c r="CN658" s="54" t="s">
        <v>1284</v>
      </c>
      <c r="CO658" s="18" t="s">
        <v>1284</v>
      </c>
    </row>
    <row r="659" spans="1:93" x14ac:dyDescent="0.25">
      <c r="A659" t="s">
        <v>342</v>
      </c>
      <c r="B659" s="41">
        <v>1.2211221122112198E-2</v>
      </c>
      <c r="C659" s="41" t="s">
        <v>22</v>
      </c>
      <c r="D659" s="41" t="s">
        <v>22</v>
      </c>
      <c r="E659" s="41" t="s">
        <v>22</v>
      </c>
      <c r="F659" t="s">
        <v>22</v>
      </c>
      <c r="G659" t="s">
        <v>22</v>
      </c>
      <c r="H659" t="s">
        <v>22</v>
      </c>
      <c r="I659" t="s">
        <v>22</v>
      </c>
      <c r="J659" s="41" t="s">
        <v>22</v>
      </c>
      <c r="K659" t="s">
        <v>22</v>
      </c>
      <c r="M659" t="s">
        <v>23</v>
      </c>
      <c r="N659" s="41" t="s">
        <v>22</v>
      </c>
      <c r="O659" s="41" t="s">
        <v>22</v>
      </c>
      <c r="P659" s="41" t="s">
        <v>22</v>
      </c>
      <c r="R659" s="41" t="s">
        <v>22</v>
      </c>
      <c r="S659" s="41" t="s">
        <v>22</v>
      </c>
      <c r="T659" s="41">
        <v>8.6999999999999993</v>
      </c>
      <c r="U659" s="41">
        <v>8.6999999999999993</v>
      </c>
      <c r="V659">
        <v>20200513</v>
      </c>
      <c r="W659" s="9" t="s">
        <v>681</v>
      </c>
      <c r="X659" s="6">
        <v>2014</v>
      </c>
      <c r="Y659" t="s">
        <v>26</v>
      </c>
      <c r="Z659" t="s">
        <v>34</v>
      </c>
      <c r="AC659" t="s">
        <v>514</v>
      </c>
      <c r="AD659" s="41" t="s">
        <v>22</v>
      </c>
      <c r="AE659" s="41" t="s">
        <v>22</v>
      </c>
      <c r="AF659" s="41" t="s">
        <v>22</v>
      </c>
      <c r="AG659" s="41" t="s">
        <v>22</v>
      </c>
      <c r="AH659" s="41" t="s">
        <v>22</v>
      </c>
      <c r="AI659" s="41" t="s">
        <v>22</v>
      </c>
      <c r="AJ659" s="41" t="s">
        <v>22</v>
      </c>
      <c r="AK659" s="41" t="s">
        <v>22</v>
      </c>
      <c r="AL659" s="41" t="s">
        <v>22</v>
      </c>
      <c r="AM659" s="43" t="e">
        <f t="shared" si="355"/>
        <v>#VALUE!</v>
      </c>
      <c r="AN659" s="43" t="e">
        <f t="shared" si="356"/>
        <v>#VALUE!</v>
      </c>
      <c r="AO659" s="3" t="s">
        <v>689</v>
      </c>
      <c r="AT659" s="2">
        <f t="shared" si="357"/>
        <v>13</v>
      </c>
      <c r="AU659" s="45">
        <f t="shared" si="358"/>
        <v>-1.9132409044353105</v>
      </c>
      <c r="AV659" s="45" t="e">
        <f t="shared" si="359"/>
        <v>#VALUE!</v>
      </c>
      <c r="AW659" s="45" t="e">
        <f t="shared" si="360"/>
        <v>#VALUE!</v>
      </c>
      <c r="AX659" s="45" t="e">
        <f t="shared" si="361"/>
        <v>#VALUE!</v>
      </c>
      <c r="AY659" s="45" t="e">
        <f t="shared" si="362"/>
        <v>#VALUE!</v>
      </c>
      <c r="AZ659" s="45" t="e">
        <f t="shared" si="363"/>
        <v>#VALUE!</v>
      </c>
      <c r="BA659" s="45" t="e">
        <f t="shared" si="364"/>
        <v>#VALUE!</v>
      </c>
      <c r="BB659" s="45" t="e">
        <f t="shared" si="365"/>
        <v>#NUM!</v>
      </c>
      <c r="BC659" s="45">
        <f t="shared" si="366"/>
        <v>0.93951925261861846</v>
      </c>
      <c r="BD659" s="45" t="e">
        <f t="shared" si="367"/>
        <v>#VALUE!</v>
      </c>
      <c r="BE659" s="45" t="e">
        <f t="shared" si="368"/>
        <v>#VALUE!</v>
      </c>
      <c r="BF659" s="45" t="e">
        <f t="shared" si="369"/>
        <v>#VALUE!</v>
      </c>
      <c r="BG659" s="45" t="e">
        <f t="shared" si="370"/>
        <v>#VALUE!</v>
      </c>
      <c r="BH659" s="45" t="e">
        <f t="shared" si="371"/>
        <v>#NUM!</v>
      </c>
      <c r="BI659" s="43" t="e">
        <f t="shared" si="372"/>
        <v>#VALUE!</v>
      </c>
      <c r="CA659" s="41" t="s">
        <v>22</v>
      </c>
      <c r="CC659" t="s">
        <v>22</v>
      </c>
      <c r="CE659" s="41" t="s">
        <v>22</v>
      </c>
      <c r="CF659" s="41" t="s">
        <v>22</v>
      </c>
      <c r="CG659" s="41" t="e">
        <f t="shared" si="373"/>
        <v>#VALUE!</v>
      </c>
      <c r="CH659" s="41" t="e">
        <f t="shared" si="348"/>
        <v>#VALUE!</v>
      </c>
      <c r="CI659" s="41">
        <f t="shared" si="374"/>
        <v>8.6999999999999993</v>
      </c>
      <c r="CJ659" s="41">
        <f t="shared" si="353"/>
        <v>0.93951925261861846</v>
      </c>
      <c r="CL659" s="9" t="s">
        <v>1269</v>
      </c>
      <c r="CM659" s="18" t="s">
        <v>1285</v>
      </c>
      <c r="CN659" s="54" t="s">
        <v>1284</v>
      </c>
      <c r="CO659" s="18" t="s">
        <v>1284</v>
      </c>
    </row>
    <row r="660" spans="1:93" x14ac:dyDescent="0.25">
      <c r="A660" t="s">
        <v>266</v>
      </c>
      <c r="B660" s="41">
        <v>5.6589587546530002E-3</v>
      </c>
      <c r="C660" s="41" t="s">
        <v>22</v>
      </c>
      <c r="D660" s="41" t="s">
        <v>22</v>
      </c>
      <c r="E660" s="41">
        <v>1.0923947441022612</v>
      </c>
      <c r="F660" t="s">
        <v>22</v>
      </c>
      <c r="G660" t="s">
        <v>22</v>
      </c>
      <c r="H660" t="s">
        <v>22</v>
      </c>
      <c r="I660" t="s">
        <v>22</v>
      </c>
      <c r="J660" s="41" t="s">
        <v>22</v>
      </c>
      <c r="K660" t="s">
        <v>22</v>
      </c>
      <c r="M660" t="s">
        <v>23</v>
      </c>
      <c r="N660" s="41" t="s">
        <v>22</v>
      </c>
      <c r="O660" s="41" t="s">
        <v>22</v>
      </c>
      <c r="P660" s="41" t="s">
        <v>22</v>
      </c>
      <c r="R660" s="41" t="s">
        <v>22</v>
      </c>
      <c r="S660" s="41" t="s">
        <v>22</v>
      </c>
      <c r="T660" s="41" t="s">
        <v>22</v>
      </c>
      <c r="U660" s="41" t="s">
        <v>22</v>
      </c>
      <c r="V660">
        <v>20200513</v>
      </c>
      <c r="W660" s="9" t="s">
        <v>682</v>
      </c>
      <c r="X660" s="6">
        <v>2014</v>
      </c>
      <c r="Y660" t="s">
        <v>26</v>
      </c>
      <c r="Z660" t="s">
        <v>34</v>
      </c>
      <c r="AC660" t="s">
        <v>514</v>
      </c>
      <c r="AD660" s="41" t="s">
        <v>22</v>
      </c>
      <c r="AE660" s="41" t="s">
        <v>22</v>
      </c>
      <c r="AF660" s="41" t="s">
        <v>22</v>
      </c>
      <c r="AG660" s="41" t="s">
        <v>22</v>
      </c>
      <c r="AH660" s="41" t="s">
        <v>22</v>
      </c>
      <c r="AI660" s="41" t="s">
        <v>22</v>
      </c>
      <c r="AJ660" s="41" t="s">
        <v>22</v>
      </c>
      <c r="AK660" s="41" t="s">
        <v>22</v>
      </c>
      <c r="AL660" s="41" t="s">
        <v>22</v>
      </c>
      <c r="AM660" s="43" t="e">
        <f t="shared" si="355"/>
        <v>#VALUE!</v>
      </c>
      <c r="AN660" s="43" t="e">
        <f t="shared" si="356"/>
        <v>#VALUE!</v>
      </c>
      <c r="AO660" s="19" t="s">
        <v>689</v>
      </c>
      <c r="AT660" s="2">
        <f t="shared" si="357"/>
        <v>13</v>
      </c>
      <c r="AU660" s="45">
        <f t="shared" si="358"/>
        <v>-2.2472634714104722</v>
      </c>
      <c r="AV660" s="45" t="e">
        <f t="shared" si="359"/>
        <v>#VALUE!</v>
      </c>
      <c r="AW660" s="45" t="e">
        <f t="shared" si="360"/>
        <v>#VALUE!</v>
      </c>
      <c r="AX660" s="45" t="e">
        <f t="shared" si="361"/>
        <v>#VALUE!</v>
      </c>
      <c r="AY660" s="45" t="e">
        <f t="shared" si="362"/>
        <v>#VALUE!</v>
      </c>
      <c r="AZ660" s="45" t="e">
        <f t="shared" si="363"/>
        <v>#VALUE!</v>
      </c>
      <c r="BA660" s="45" t="e">
        <f t="shared" si="364"/>
        <v>#VALUE!</v>
      </c>
      <c r="BB660" s="45" t="e">
        <f t="shared" si="365"/>
        <v>#NUM!</v>
      </c>
      <c r="BC660" s="45" t="e">
        <f t="shared" si="366"/>
        <v>#VALUE!</v>
      </c>
      <c r="BD660" s="45" t="e">
        <f t="shared" si="367"/>
        <v>#VALUE!</v>
      </c>
      <c r="BE660" s="45" t="e">
        <f t="shared" si="368"/>
        <v>#VALUE!</v>
      </c>
      <c r="BF660" s="45" t="e">
        <f t="shared" si="369"/>
        <v>#VALUE!</v>
      </c>
      <c r="BG660" s="45" t="e">
        <f t="shared" si="370"/>
        <v>#VALUE!</v>
      </c>
      <c r="BH660" s="45" t="e">
        <f t="shared" si="371"/>
        <v>#NUM!</v>
      </c>
      <c r="BI660" s="43" t="e">
        <f t="shared" si="372"/>
        <v>#VALUE!</v>
      </c>
      <c r="BL660" s="20"/>
      <c r="CA660" s="41" t="s">
        <v>22</v>
      </c>
      <c r="CC660" t="s">
        <v>22</v>
      </c>
      <c r="CE660" s="41" t="s">
        <v>22</v>
      </c>
      <c r="CF660" s="41" t="s">
        <v>22</v>
      </c>
      <c r="CG660" s="41" t="e">
        <f t="shared" si="373"/>
        <v>#VALUE!</v>
      </c>
      <c r="CH660" s="41" t="e">
        <f t="shared" si="348"/>
        <v>#VALUE!</v>
      </c>
      <c r="CI660" s="41" t="str">
        <f t="shared" si="374"/>
        <v>Not Reported/ Can not calculate</v>
      </c>
      <c r="CJ660" s="41" t="e">
        <f t="shared" si="353"/>
        <v>#VALUE!</v>
      </c>
      <c r="CL660" s="9" t="s">
        <v>1269</v>
      </c>
      <c r="CM660" s="18" t="s">
        <v>1284</v>
      </c>
      <c r="CN660" s="54" t="s">
        <v>1284</v>
      </c>
      <c r="CO660" s="18" t="s">
        <v>1284</v>
      </c>
    </row>
    <row r="661" spans="1:93" x14ac:dyDescent="0.25">
      <c r="A661" t="s">
        <v>266</v>
      </c>
      <c r="B661" s="41">
        <v>6.5854588083639597E-3</v>
      </c>
      <c r="C661" s="41">
        <v>0.78740157480314898</v>
      </c>
      <c r="D661" s="41">
        <f t="shared" ref="D661:D666" si="375">0.001*(B661*10^6)/(C661*0.001*100^3)</f>
        <v>8.3635326866222347E-3</v>
      </c>
      <c r="E661" s="41">
        <v>1.1881338793670047</v>
      </c>
      <c r="F661" t="s">
        <v>22</v>
      </c>
      <c r="G661" t="s">
        <v>22</v>
      </c>
      <c r="H661" t="s">
        <v>22</v>
      </c>
      <c r="I661" t="s">
        <v>22</v>
      </c>
      <c r="J661" s="41" t="s">
        <v>22</v>
      </c>
      <c r="K661" t="s">
        <v>22</v>
      </c>
      <c r="M661" t="s">
        <v>23</v>
      </c>
      <c r="N661" s="41" t="s">
        <v>22</v>
      </c>
      <c r="O661" s="41" t="s">
        <v>22</v>
      </c>
      <c r="P661" s="41" t="s">
        <v>22</v>
      </c>
      <c r="R661" s="41" t="s">
        <v>22</v>
      </c>
      <c r="S661" s="41" t="s">
        <v>22</v>
      </c>
      <c r="T661" s="41">
        <v>3.9</v>
      </c>
      <c r="U661" s="41">
        <v>3.9</v>
      </c>
      <c r="V661">
        <v>20200513</v>
      </c>
      <c r="W661" s="9" t="s">
        <v>683</v>
      </c>
      <c r="X661" s="6">
        <v>2014</v>
      </c>
      <c r="Y661" t="s">
        <v>26</v>
      </c>
      <c r="Z661" t="s">
        <v>34</v>
      </c>
      <c r="AC661" t="s">
        <v>514</v>
      </c>
      <c r="AD661" s="41" t="s">
        <v>22</v>
      </c>
      <c r="AE661" s="41" t="s">
        <v>22</v>
      </c>
      <c r="AF661" s="41" t="s">
        <v>22</v>
      </c>
      <c r="AG661" s="41" t="s">
        <v>22</v>
      </c>
      <c r="AH661" s="41" t="s">
        <v>22</v>
      </c>
      <c r="AI661" s="41" t="s">
        <v>22</v>
      </c>
      <c r="AJ661" s="41" t="s">
        <v>22</v>
      </c>
      <c r="AK661" s="41" t="s">
        <v>22</v>
      </c>
      <c r="AL661" s="41" t="s">
        <v>22</v>
      </c>
      <c r="AM661" s="43" t="e">
        <f t="shared" si="355"/>
        <v>#VALUE!</v>
      </c>
      <c r="AN661" s="43" t="e">
        <f t="shared" si="356"/>
        <v>#VALUE!</v>
      </c>
      <c r="AO661" s="19" t="s">
        <v>689</v>
      </c>
      <c r="AT661" s="2">
        <f t="shared" si="357"/>
        <v>13</v>
      </c>
      <c r="AU661" s="45">
        <f t="shared" si="358"/>
        <v>-2.1814139623879352</v>
      </c>
      <c r="AV661" s="45">
        <f t="shared" si="359"/>
        <v>-0.1038037209559572</v>
      </c>
      <c r="AW661" s="45">
        <f t="shared" si="360"/>
        <v>-2.0776102414319784</v>
      </c>
      <c r="AX661" s="45" t="e">
        <f t="shared" si="361"/>
        <v>#VALUE!</v>
      </c>
      <c r="AY661" s="45" t="e">
        <f t="shared" si="362"/>
        <v>#VALUE!</v>
      </c>
      <c r="AZ661" s="45" t="e">
        <f t="shared" si="363"/>
        <v>#VALUE!</v>
      </c>
      <c r="BA661" s="45" t="e">
        <f t="shared" si="364"/>
        <v>#VALUE!</v>
      </c>
      <c r="BB661" s="45" t="e">
        <f t="shared" si="365"/>
        <v>#NUM!</v>
      </c>
      <c r="BC661" s="45">
        <f t="shared" si="366"/>
        <v>0.59106460702649921</v>
      </c>
      <c r="BD661" s="45" t="e">
        <f t="shared" si="367"/>
        <v>#VALUE!</v>
      </c>
      <c r="BE661" s="45" t="e">
        <f t="shared" si="368"/>
        <v>#VALUE!</v>
      </c>
      <c r="BF661" s="45" t="e">
        <f t="shared" si="369"/>
        <v>#VALUE!</v>
      </c>
      <c r="BG661" s="45" t="e">
        <f t="shared" si="370"/>
        <v>#VALUE!</v>
      </c>
      <c r="BH661" s="45" t="e">
        <f t="shared" si="371"/>
        <v>#NUM!</v>
      </c>
      <c r="BI661" s="43" t="e">
        <f t="shared" si="372"/>
        <v>#VALUE!</v>
      </c>
      <c r="BL661" s="20"/>
      <c r="CA661" s="41" t="s">
        <v>22</v>
      </c>
      <c r="CC661" t="s">
        <v>22</v>
      </c>
      <c r="CE661" s="41" t="s">
        <v>22</v>
      </c>
      <c r="CF661" s="41" t="s">
        <v>22</v>
      </c>
      <c r="CG661" s="41" t="e">
        <f t="shared" si="373"/>
        <v>#VALUE!</v>
      </c>
      <c r="CH661" s="41" t="e">
        <f t="shared" si="348"/>
        <v>#VALUE!</v>
      </c>
      <c r="CI661" s="41">
        <f t="shared" si="374"/>
        <v>3.9</v>
      </c>
      <c r="CJ661" s="41">
        <f t="shared" si="353"/>
        <v>0.59106460702649921</v>
      </c>
      <c r="CL661" s="9" t="s">
        <v>1269</v>
      </c>
      <c r="CM661" s="18" t="s">
        <v>1285</v>
      </c>
      <c r="CN661" s="54" t="s">
        <v>1284</v>
      </c>
      <c r="CO661" s="18" t="s">
        <v>1284</v>
      </c>
    </row>
    <row r="662" spans="1:93" x14ac:dyDescent="0.25">
      <c r="A662" t="s">
        <v>266</v>
      </c>
      <c r="B662" s="41">
        <v>1.6882074083760999E-2</v>
      </c>
      <c r="C662" s="41">
        <v>0.72283464566929101</v>
      </c>
      <c r="D662" s="41">
        <f t="shared" si="375"/>
        <v>2.3355374821760873E-2</v>
      </c>
      <c r="E662" s="41">
        <v>1.1189671312669003</v>
      </c>
      <c r="F662" t="s">
        <v>22</v>
      </c>
      <c r="G662" t="s">
        <v>22</v>
      </c>
      <c r="H662" t="s">
        <v>22</v>
      </c>
      <c r="I662" t="s">
        <v>22</v>
      </c>
      <c r="J662" s="41" t="s">
        <v>22</v>
      </c>
      <c r="K662" t="s">
        <v>22</v>
      </c>
      <c r="M662" t="s">
        <v>23</v>
      </c>
      <c r="N662" s="41" t="s">
        <v>22</v>
      </c>
      <c r="O662" s="41" t="s">
        <v>22</v>
      </c>
      <c r="P662" s="41" t="s">
        <v>22</v>
      </c>
      <c r="R662" s="41" t="s">
        <v>22</v>
      </c>
      <c r="S662" s="41" t="s">
        <v>22</v>
      </c>
      <c r="T662" s="41" t="s">
        <v>22</v>
      </c>
      <c r="U662" s="41" t="s">
        <v>22</v>
      </c>
      <c r="V662">
        <v>20200513</v>
      </c>
      <c r="W662" s="9" t="s">
        <v>684</v>
      </c>
      <c r="X662" s="6">
        <v>2014</v>
      </c>
      <c r="Y662" t="s">
        <v>26</v>
      </c>
      <c r="Z662" t="s">
        <v>34</v>
      </c>
      <c r="AC662" t="s">
        <v>514</v>
      </c>
      <c r="AD662" s="41" t="s">
        <v>22</v>
      </c>
      <c r="AE662" s="41" t="s">
        <v>22</v>
      </c>
      <c r="AF662" s="41" t="s">
        <v>22</v>
      </c>
      <c r="AG662" s="41" t="s">
        <v>22</v>
      </c>
      <c r="AH662" s="41" t="s">
        <v>22</v>
      </c>
      <c r="AI662" s="41" t="s">
        <v>22</v>
      </c>
      <c r="AJ662" s="41" t="s">
        <v>22</v>
      </c>
      <c r="AK662" s="41" t="s">
        <v>22</v>
      </c>
      <c r="AL662" s="41" t="s">
        <v>22</v>
      </c>
      <c r="AM662" s="43" t="e">
        <f t="shared" si="355"/>
        <v>#VALUE!</v>
      </c>
      <c r="AN662" s="43" t="e">
        <f t="shared" si="356"/>
        <v>#VALUE!</v>
      </c>
      <c r="AO662" s="19" t="s">
        <v>689</v>
      </c>
      <c r="AT662" s="2">
        <f t="shared" si="357"/>
        <v>13</v>
      </c>
      <c r="AU662" s="45">
        <f t="shared" si="358"/>
        <v>-1.7725741982436849</v>
      </c>
      <c r="AV662" s="45">
        <f t="shared" si="359"/>
        <v>-0.14096103975471463</v>
      </c>
      <c r="AW662" s="45">
        <f t="shared" si="360"/>
        <v>-1.6316131584889702</v>
      </c>
      <c r="AX662" s="45" t="e">
        <f t="shared" si="361"/>
        <v>#VALUE!</v>
      </c>
      <c r="AY662" s="45" t="e">
        <f t="shared" si="362"/>
        <v>#VALUE!</v>
      </c>
      <c r="AZ662" s="45" t="e">
        <f t="shared" si="363"/>
        <v>#VALUE!</v>
      </c>
      <c r="BA662" s="45" t="e">
        <f t="shared" si="364"/>
        <v>#VALUE!</v>
      </c>
      <c r="BB662" s="45" t="e">
        <f t="shared" si="365"/>
        <v>#NUM!</v>
      </c>
      <c r="BC662" s="45" t="e">
        <f t="shared" si="366"/>
        <v>#VALUE!</v>
      </c>
      <c r="BD662" s="45" t="e">
        <f t="shared" si="367"/>
        <v>#VALUE!</v>
      </c>
      <c r="BE662" s="45" t="e">
        <f t="shared" si="368"/>
        <v>#VALUE!</v>
      </c>
      <c r="BF662" s="45" t="e">
        <f t="shared" si="369"/>
        <v>#VALUE!</v>
      </c>
      <c r="BG662" s="45" t="e">
        <f t="shared" si="370"/>
        <v>#VALUE!</v>
      </c>
      <c r="BH662" s="45" t="e">
        <f t="shared" si="371"/>
        <v>#NUM!</v>
      </c>
      <c r="BI662" s="43" t="e">
        <f t="shared" si="372"/>
        <v>#VALUE!</v>
      </c>
      <c r="BL662" s="20"/>
      <c r="CA662" s="41" t="s">
        <v>22</v>
      </c>
      <c r="CC662" t="s">
        <v>22</v>
      </c>
      <c r="CE662" s="41" t="s">
        <v>22</v>
      </c>
      <c r="CF662" s="41" t="s">
        <v>22</v>
      </c>
      <c r="CG662" s="41" t="e">
        <f t="shared" si="373"/>
        <v>#VALUE!</v>
      </c>
      <c r="CH662" s="41" t="e">
        <f t="shared" si="348"/>
        <v>#VALUE!</v>
      </c>
      <c r="CI662" s="41" t="str">
        <f t="shared" si="374"/>
        <v>Not Reported/ Can not calculate</v>
      </c>
      <c r="CJ662" s="41" t="e">
        <f t="shared" si="353"/>
        <v>#VALUE!</v>
      </c>
      <c r="CL662" s="9" t="s">
        <v>1269</v>
      </c>
      <c r="CM662" s="18" t="s">
        <v>1284</v>
      </c>
      <c r="CN662" s="54" t="s">
        <v>1284</v>
      </c>
      <c r="CO662" s="18" t="s">
        <v>1284</v>
      </c>
    </row>
    <row r="663" spans="1:93" x14ac:dyDescent="0.25">
      <c r="A663" t="s">
        <v>266</v>
      </c>
      <c r="B663" s="41">
        <v>1.7844499764138801E-2</v>
      </c>
      <c r="C663" s="41">
        <v>0.70866141732283405</v>
      </c>
      <c r="D663" s="41">
        <f t="shared" si="375"/>
        <v>2.5180571889395882E-2</v>
      </c>
      <c r="E663" s="41">
        <v>1.1435010514180219</v>
      </c>
      <c r="F663" t="s">
        <v>22</v>
      </c>
      <c r="G663" t="s">
        <v>22</v>
      </c>
      <c r="H663" t="s">
        <v>22</v>
      </c>
      <c r="I663" t="s">
        <v>22</v>
      </c>
      <c r="J663" s="41" t="s">
        <v>22</v>
      </c>
      <c r="K663" t="s">
        <v>22</v>
      </c>
      <c r="M663" t="s">
        <v>23</v>
      </c>
      <c r="N663" s="41" t="s">
        <v>22</v>
      </c>
      <c r="O663" s="41" t="s">
        <v>22</v>
      </c>
      <c r="P663" s="41" t="s">
        <v>22</v>
      </c>
      <c r="R663" s="41" t="s">
        <v>22</v>
      </c>
      <c r="S663" s="41" t="s">
        <v>22</v>
      </c>
      <c r="T663" s="41">
        <v>5.4</v>
      </c>
      <c r="U663" s="41">
        <v>5.4</v>
      </c>
      <c r="V663">
        <v>20200513</v>
      </c>
      <c r="W663" s="9" t="s">
        <v>685</v>
      </c>
      <c r="X663" s="6">
        <v>2014</v>
      </c>
      <c r="Y663" t="s">
        <v>26</v>
      </c>
      <c r="Z663" t="s">
        <v>34</v>
      </c>
      <c r="AC663" t="s">
        <v>514</v>
      </c>
      <c r="AD663" s="41" t="s">
        <v>22</v>
      </c>
      <c r="AE663" s="41" t="s">
        <v>22</v>
      </c>
      <c r="AF663" s="41" t="s">
        <v>22</v>
      </c>
      <c r="AG663" s="41" t="s">
        <v>22</v>
      </c>
      <c r="AH663" s="41" t="s">
        <v>22</v>
      </c>
      <c r="AI663" s="41" t="s">
        <v>22</v>
      </c>
      <c r="AJ663" s="41" t="s">
        <v>22</v>
      </c>
      <c r="AK663" s="41" t="s">
        <v>22</v>
      </c>
      <c r="AL663" s="41" t="s">
        <v>22</v>
      </c>
      <c r="AM663" s="43" t="e">
        <f t="shared" si="355"/>
        <v>#VALUE!</v>
      </c>
      <c r="AN663" s="43" t="e">
        <f t="shared" si="356"/>
        <v>#VALUE!</v>
      </c>
      <c r="AO663" s="19" t="s">
        <v>689</v>
      </c>
      <c r="AT663" s="2">
        <f t="shared" si="357"/>
        <v>13</v>
      </c>
      <c r="AU663" s="45">
        <f t="shared" si="358"/>
        <v>-1.7484956221392105</v>
      </c>
      <c r="AV663" s="45">
        <f t="shared" si="359"/>
        <v>-0.14956121151663235</v>
      </c>
      <c r="AW663" s="45">
        <f t="shared" si="360"/>
        <v>-1.5989344106225782</v>
      </c>
      <c r="AX663" s="45" t="e">
        <f t="shared" si="361"/>
        <v>#VALUE!</v>
      </c>
      <c r="AY663" s="45" t="e">
        <f t="shared" si="362"/>
        <v>#VALUE!</v>
      </c>
      <c r="AZ663" s="45" t="e">
        <f t="shared" si="363"/>
        <v>#VALUE!</v>
      </c>
      <c r="BA663" s="45" t="e">
        <f t="shared" si="364"/>
        <v>#VALUE!</v>
      </c>
      <c r="BB663" s="45" t="e">
        <f t="shared" si="365"/>
        <v>#NUM!</v>
      </c>
      <c r="BC663" s="45">
        <f t="shared" si="366"/>
        <v>0.7323937598229685</v>
      </c>
      <c r="BD663" s="45" t="e">
        <f t="shared" si="367"/>
        <v>#VALUE!</v>
      </c>
      <c r="BE663" s="45" t="e">
        <f t="shared" si="368"/>
        <v>#VALUE!</v>
      </c>
      <c r="BF663" s="45" t="e">
        <f t="shared" si="369"/>
        <v>#VALUE!</v>
      </c>
      <c r="BG663" s="45" t="e">
        <f t="shared" si="370"/>
        <v>#VALUE!</v>
      </c>
      <c r="BH663" s="45" t="e">
        <f t="shared" si="371"/>
        <v>#NUM!</v>
      </c>
      <c r="BI663" s="43" t="e">
        <f t="shared" si="372"/>
        <v>#VALUE!</v>
      </c>
      <c r="BL663" s="20"/>
      <c r="CA663" s="41" t="s">
        <v>22</v>
      </c>
      <c r="CC663" t="s">
        <v>22</v>
      </c>
      <c r="CE663" s="41" t="s">
        <v>22</v>
      </c>
      <c r="CF663" s="41" t="s">
        <v>22</v>
      </c>
      <c r="CG663" s="41" t="e">
        <f t="shared" si="373"/>
        <v>#VALUE!</v>
      </c>
      <c r="CH663" s="41" t="e">
        <f t="shared" si="348"/>
        <v>#VALUE!</v>
      </c>
      <c r="CI663" s="41">
        <f t="shared" si="374"/>
        <v>5.4</v>
      </c>
      <c r="CJ663" s="41">
        <f t="shared" si="353"/>
        <v>0.7323937598229685</v>
      </c>
      <c r="CL663" s="9" t="s">
        <v>1269</v>
      </c>
      <c r="CM663" s="18" t="s">
        <v>1285</v>
      </c>
      <c r="CN663" s="54" t="s">
        <v>1284</v>
      </c>
      <c r="CO663" s="18" t="s">
        <v>1284</v>
      </c>
    </row>
    <row r="664" spans="1:93" x14ac:dyDescent="0.25">
      <c r="A664" t="s">
        <v>266</v>
      </c>
      <c r="B664" s="41">
        <v>1.76940717111377E-2</v>
      </c>
      <c r="C664" s="41">
        <v>0.73070866141732205</v>
      </c>
      <c r="D664" s="41">
        <f t="shared" si="375"/>
        <v>2.4214947277095798E-2</v>
      </c>
      <c r="E664" s="41">
        <v>1.1538292856751253</v>
      </c>
      <c r="F664" t="s">
        <v>22</v>
      </c>
      <c r="G664" t="s">
        <v>22</v>
      </c>
      <c r="H664" t="s">
        <v>22</v>
      </c>
      <c r="I664" t="s">
        <v>22</v>
      </c>
      <c r="J664" s="41" t="s">
        <v>22</v>
      </c>
      <c r="K664" t="s">
        <v>22</v>
      </c>
      <c r="M664" t="s">
        <v>23</v>
      </c>
      <c r="N664" s="41" t="s">
        <v>22</v>
      </c>
      <c r="O664" s="41" t="s">
        <v>22</v>
      </c>
      <c r="P664" s="41" t="s">
        <v>22</v>
      </c>
      <c r="R664" s="41" t="s">
        <v>22</v>
      </c>
      <c r="S664" s="41" t="s">
        <v>22</v>
      </c>
      <c r="T664" s="41" t="s">
        <v>22</v>
      </c>
      <c r="U664" s="41" t="s">
        <v>22</v>
      </c>
      <c r="V664">
        <v>20200513</v>
      </c>
      <c r="W664" s="9" t="s">
        <v>686</v>
      </c>
      <c r="X664" s="6">
        <v>2014</v>
      </c>
      <c r="Y664" t="s">
        <v>26</v>
      </c>
      <c r="Z664" t="s">
        <v>34</v>
      </c>
      <c r="AC664" t="s">
        <v>514</v>
      </c>
      <c r="AD664" s="41" t="s">
        <v>22</v>
      </c>
      <c r="AE664" s="41" t="s">
        <v>22</v>
      </c>
      <c r="AF664" s="41" t="s">
        <v>22</v>
      </c>
      <c r="AG664" s="41" t="s">
        <v>22</v>
      </c>
      <c r="AH664" s="41" t="s">
        <v>22</v>
      </c>
      <c r="AI664" s="41" t="s">
        <v>22</v>
      </c>
      <c r="AJ664" s="41" t="s">
        <v>22</v>
      </c>
      <c r="AK664" s="41" t="s">
        <v>22</v>
      </c>
      <c r="AL664" s="41" t="s">
        <v>22</v>
      </c>
      <c r="AM664" s="43" t="e">
        <f t="shared" si="355"/>
        <v>#VALUE!</v>
      </c>
      <c r="AN664" s="43" t="e">
        <f t="shared" si="356"/>
        <v>#VALUE!</v>
      </c>
      <c r="AO664" s="3" t="s">
        <v>689</v>
      </c>
      <c r="AT664" s="2">
        <f t="shared" si="357"/>
        <v>13</v>
      </c>
      <c r="AU664" s="45">
        <f t="shared" si="358"/>
        <v>-1.7521722169374936</v>
      </c>
      <c r="AV664" s="45">
        <f t="shared" si="359"/>
        <v>-0.13625574473709526</v>
      </c>
      <c r="AW664" s="45">
        <f t="shared" si="360"/>
        <v>-1.6159164722003982</v>
      </c>
      <c r="AX664" s="45" t="e">
        <f t="shared" si="361"/>
        <v>#VALUE!</v>
      </c>
      <c r="AY664" s="45" t="e">
        <f t="shared" si="362"/>
        <v>#VALUE!</v>
      </c>
      <c r="AZ664" s="45" t="e">
        <f t="shared" si="363"/>
        <v>#VALUE!</v>
      </c>
      <c r="BA664" s="45" t="e">
        <f t="shared" si="364"/>
        <v>#VALUE!</v>
      </c>
      <c r="BB664" s="45" t="e">
        <f t="shared" si="365"/>
        <v>#NUM!</v>
      </c>
      <c r="BC664" s="45" t="e">
        <f t="shared" si="366"/>
        <v>#VALUE!</v>
      </c>
      <c r="BD664" s="45" t="e">
        <f t="shared" si="367"/>
        <v>#VALUE!</v>
      </c>
      <c r="BE664" s="45" t="e">
        <f t="shared" si="368"/>
        <v>#VALUE!</v>
      </c>
      <c r="BF664" s="45" t="e">
        <f t="shared" si="369"/>
        <v>#VALUE!</v>
      </c>
      <c r="BG664" s="45" t="e">
        <f t="shared" si="370"/>
        <v>#VALUE!</v>
      </c>
      <c r="BH664" s="45" t="e">
        <f t="shared" si="371"/>
        <v>#NUM!</v>
      </c>
      <c r="BI664" s="43" t="e">
        <f t="shared" si="372"/>
        <v>#VALUE!</v>
      </c>
      <c r="CA664" s="41" t="s">
        <v>22</v>
      </c>
      <c r="CC664" t="s">
        <v>22</v>
      </c>
      <c r="CE664" s="41" t="s">
        <v>22</v>
      </c>
      <c r="CF664" s="41" t="s">
        <v>22</v>
      </c>
      <c r="CG664" s="41" t="e">
        <f t="shared" si="373"/>
        <v>#VALUE!</v>
      </c>
      <c r="CH664" s="41" t="e">
        <f t="shared" si="348"/>
        <v>#VALUE!</v>
      </c>
      <c r="CI664" s="41" t="str">
        <f t="shared" si="374"/>
        <v>Not Reported/ Can not calculate</v>
      </c>
      <c r="CJ664" s="41" t="e">
        <f t="shared" si="353"/>
        <v>#VALUE!</v>
      </c>
      <c r="CL664" s="9" t="s">
        <v>1269</v>
      </c>
      <c r="CM664" s="18" t="s">
        <v>1284</v>
      </c>
      <c r="CN664" s="54" t="s">
        <v>1284</v>
      </c>
      <c r="CO664" s="18" t="s">
        <v>1284</v>
      </c>
    </row>
    <row r="665" spans="1:93" x14ac:dyDescent="0.25">
      <c r="A665" t="s">
        <v>141</v>
      </c>
      <c r="B665" s="41">
        <v>1.3365005674679699E-2</v>
      </c>
      <c r="C665" s="41">
        <v>0.66141732283464505</v>
      </c>
      <c r="D665" s="41">
        <f t="shared" si="375"/>
        <v>2.0206615722432424E-2</v>
      </c>
      <c r="E665" s="41">
        <v>1.0468658426566746</v>
      </c>
      <c r="F665" t="s">
        <v>22</v>
      </c>
      <c r="G665" t="s">
        <v>22</v>
      </c>
      <c r="H665" t="s">
        <v>22</v>
      </c>
      <c r="I665" t="s">
        <v>22</v>
      </c>
      <c r="J665" s="41" t="s">
        <v>22</v>
      </c>
      <c r="K665" t="s">
        <v>22</v>
      </c>
      <c r="M665" t="s">
        <v>23</v>
      </c>
      <c r="N665" s="41" t="s">
        <v>22</v>
      </c>
      <c r="O665" s="41" t="s">
        <v>22</v>
      </c>
      <c r="P665" s="41" t="s">
        <v>22</v>
      </c>
      <c r="R665" s="41" t="s">
        <v>22</v>
      </c>
      <c r="S665" s="41" t="s">
        <v>22</v>
      </c>
      <c r="T665" s="41">
        <v>7.9</v>
      </c>
      <c r="U665" s="41">
        <v>7.9</v>
      </c>
      <c r="V665">
        <v>20200513</v>
      </c>
      <c r="W665" s="9" t="s">
        <v>687</v>
      </c>
      <c r="X665" s="6">
        <v>2014</v>
      </c>
      <c r="Y665" t="s">
        <v>26</v>
      </c>
      <c r="Z665" t="s">
        <v>34</v>
      </c>
      <c r="AC665" t="s">
        <v>514</v>
      </c>
      <c r="AD665" s="41" t="s">
        <v>22</v>
      </c>
      <c r="AE665" s="41" t="s">
        <v>22</v>
      </c>
      <c r="AF665" s="41" t="s">
        <v>22</v>
      </c>
      <c r="AG665" s="41" t="s">
        <v>22</v>
      </c>
      <c r="AH665" s="41" t="s">
        <v>22</v>
      </c>
      <c r="AI665" s="41" t="s">
        <v>22</v>
      </c>
      <c r="AJ665" s="41" t="s">
        <v>22</v>
      </c>
      <c r="AK665" s="41" t="s">
        <v>22</v>
      </c>
      <c r="AL665" s="41" t="s">
        <v>22</v>
      </c>
      <c r="AM665" s="43" t="e">
        <f t="shared" si="355"/>
        <v>#VALUE!</v>
      </c>
      <c r="AN665" s="43" t="e">
        <f t="shared" si="356"/>
        <v>#VALUE!</v>
      </c>
      <c r="AO665" s="3" t="s">
        <v>689</v>
      </c>
      <c r="AT665" s="2">
        <f t="shared" si="357"/>
        <v>13</v>
      </c>
      <c r="AU665" s="45">
        <f t="shared" si="358"/>
        <v>-1.8740308525092728</v>
      </c>
      <c r="AV665" s="45">
        <f t="shared" si="359"/>
        <v>-0.1795244348940756</v>
      </c>
      <c r="AW665" s="45">
        <f t="shared" si="360"/>
        <v>-1.6945064176151972</v>
      </c>
      <c r="AX665" s="45" t="e">
        <f t="shared" si="361"/>
        <v>#VALUE!</v>
      </c>
      <c r="AY665" s="45" t="e">
        <f t="shared" si="362"/>
        <v>#VALUE!</v>
      </c>
      <c r="AZ665" s="45" t="e">
        <f t="shared" si="363"/>
        <v>#VALUE!</v>
      </c>
      <c r="BA665" s="45" t="e">
        <f t="shared" si="364"/>
        <v>#VALUE!</v>
      </c>
      <c r="BB665" s="45" t="e">
        <f t="shared" si="365"/>
        <v>#NUM!</v>
      </c>
      <c r="BC665" s="45">
        <f t="shared" si="366"/>
        <v>0.89762709129044149</v>
      </c>
      <c r="BD665" s="45" t="e">
        <f t="shared" si="367"/>
        <v>#VALUE!</v>
      </c>
      <c r="BE665" s="45" t="e">
        <f t="shared" si="368"/>
        <v>#VALUE!</v>
      </c>
      <c r="BF665" s="45" t="e">
        <f t="shared" si="369"/>
        <v>#VALUE!</v>
      </c>
      <c r="BG665" s="45" t="e">
        <f t="shared" si="370"/>
        <v>#VALUE!</v>
      </c>
      <c r="BH665" s="45" t="e">
        <f t="shared" si="371"/>
        <v>#NUM!</v>
      </c>
      <c r="BI665" s="43" t="e">
        <f t="shared" si="372"/>
        <v>#VALUE!</v>
      </c>
      <c r="CA665" s="41" t="s">
        <v>22</v>
      </c>
      <c r="CC665" t="s">
        <v>22</v>
      </c>
      <c r="CE665" s="41" t="s">
        <v>22</v>
      </c>
      <c r="CF665" s="41" t="s">
        <v>22</v>
      </c>
      <c r="CG665" s="41" t="e">
        <f t="shared" si="373"/>
        <v>#VALUE!</v>
      </c>
      <c r="CH665" s="41" t="e">
        <f t="shared" si="348"/>
        <v>#VALUE!</v>
      </c>
      <c r="CI665" s="41">
        <f t="shared" si="374"/>
        <v>7.9</v>
      </c>
      <c r="CJ665" s="41">
        <f t="shared" si="353"/>
        <v>0.89762709129044149</v>
      </c>
      <c r="CL665" s="9" t="s">
        <v>1269</v>
      </c>
      <c r="CM665" s="18" t="s">
        <v>1285</v>
      </c>
      <c r="CN665" s="54" t="s">
        <v>1284</v>
      </c>
      <c r="CO665" s="18" t="s">
        <v>1284</v>
      </c>
    </row>
    <row r="666" spans="1:93" x14ac:dyDescent="0.25">
      <c r="A666" t="s">
        <v>141</v>
      </c>
      <c r="B666" s="41">
        <v>1.1475239247299198E-2</v>
      </c>
      <c r="C666" s="41">
        <v>0.71811023622047199</v>
      </c>
      <c r="D666" s="41">
        <f t="shared" si="375"/>
        <v>1.597977395183113E-2</v>
      </c>
      <c r="E666" s="41">
        <v>1.096364123159304</v>
      </c>
      <c r="F666" t="s">
        <v>22</v>
      </c>
      <c r="G666" t="s">
        <v>22</v>
      </c>
      <c r="H666" t="s">
        <v>22</v>
      </c>
      <c r="I666" t="s">
        <v>22</v>
      </c>
      <c r="J666" s="41" t="s">
        <v>22</v>
      </c>
      <c r="K666" t="s">
        <v>22</v>
      </c>
      <c r="M666" t="s">
        <v>23</v>
      </c>
      <c r="N666" s="41" t="s">
        <v>22</v>
      </c>
      <c r="O666" s="41" t="s">
        <v>22</v>
      </c>
      <c r="P666" s="41" t="s">
        <v>22</v>
      </c>
      <c r="R666" s="41" t="s">
        <v>22</v>
      </c>
      <c r="S666" s="41" t="s">
        <v>22</v>
      </c>
      <c r="T666" s="41">
        <v>8.6999999999999993</v>
      </c>
      <c r="U666" s="41">
        <v>8.6999999999999993</v>
      </c>
      <c r="V666">
        <v>20200513</v>
      </c>
      <c r="W666" s="9" t="s">
        <v>688</v>
      </c>
      <c r="X666" s="6">
        <v>2014</v>
      </c>
      <c r="Y666" t="s">
        <v>26</v>
      </c>
      <c r="Z666" t="s">
        <v>34</v>
      </c>
      <c r="AC666" t="s">
        <v>514</v>
      </c>
      <c r="AD666" s="41" t="s">
        <v>22</v>
      </c>
      <c r="AE666" s="41" t="s">
        <v>22</v>
      </c>
      <c r="AF666" s="41" t="s">
        <v>22</v>
      </c>
      <c r="AG666" s="41" t="s">
        <v>22</v>
      </c>
      <c r="AH666" s="41" t="s">
        <v>22</v>
      </c>
      <c r="AI666" s="41" t="s">
        <v>22</v>
      </c>
      <c r="AJ666" s="41" t="s">
        <v>22</v>
      </c>
      <c r="AK666" s="41" t="s">
        <v>22</v>
      </c>
      <c r="AL666" s="41" t="s">
        <v>22</v>
      </c>
      <c r="AM666" s="43" t="e">
        <f t="shared" si="355"/>
        <v>#VALUE!</v>
      </c>
      <c r="AN666" s="43" t="e">
        <f t="shared" si="356"/>
        <v>#VALUE!</v>
      </c>
      <c r="AO666" s="3" t="s">
        <v>689</v>
      </c>
      <c r="AT666" s="2">
        <f t="shared" si="357"/>
        <v>13</v>
      </c>
      <c r="AU666" s="45">
        <f t="shared" si="358"/>
        <v>-1.9402382510892895</v>
      </c>
      <c r="AV666" s="45">
        <f t="shared" si="359"/>
        <v>-0.14380888262754096</v>
      </c>
      <c r="AW666" s="45">
        <f t="shared" si="360"/>
        <v>-1.7964293684617485</v>
      </c>
      <c r="AX666" s="45" t="e">
        <f t="shared" si="361"/>
        <v>#VALUE!</v>
      </c>
      <c r="AY666" s="45" t="e">
        <f t="shared" si="362"/>
        <v>#VALUE!</v>
      </c>
      <c r="AZ666" s="45" t="e">
        <f t="shared" si="363"/>
        <v>#VALUE!</v>
      </c>
      <c r="BA666" s="45" t="e">
        <f t="shared" si="364"/>
        <v>#VALUE!</v>
      </c>
      <c r="BB666" s="45" t="e">
        <f t="shared" si="365"/>
        <v>#NUM!</v>
      </c>
      <c r="BC666" s="45">
        <f t="shared" si="366"/>
        <v>0.93951925261861846</v>
      </c>
      <c r="BD666" s="45" t="e">
        <f t="shared" si="367"/>
        <v>#VALUE!</v>
      </c>
      <c r="BE666" s="45" t="e">
        <f t="shared" si="368"/>
        <v>#VALUE!</v>
      </c>
      <c r="BF666" s="45" t="e">
        <f t="shared" si="369"/>
        <v>#VALUE!</v>
      </c>
      <c r="BG666" s="45" t="e">
        <f t="shared" si="370"/>
        <v>#VALUE!</v>
      </c>
      <c r="BH666" s="45" t="e">
        <f t="shared" si="371"/>
        <v>#NUM!</v>
      </c>
      <c r="BI666" s="43" t="e">
        <f t="shared" si="372"/>
        <v>#VALUE!</v>
      </c>
      <c r="CA666" s="41" t="s">
        <v>22</v>
      </c>
      <c r="CC666" t="s">
        <v>22</v>
      </c>
      <c r="CE666" s="41" t="s">
        <v>22</v>
      </c>
      <c r="CF666" s="41" t="s">
        <v>22</v>
      </c>
      <c r="CG666" s="41" t="e">
        <f t="shared" si="373"/>
        <v>#VALUE!</v>
      </c>
      <c r="CH666" s="41" t="e">
        <f t="shared" si="348"/>
        <v>#VALUE!</v>
      </c>
      <c r="CI666" s="41">
        <f t="shared" si="374"/>
        <v>8.6999999999999993</v>
      </c>
      <c r="CJ666" s="41">
        <f t="shared" si="353"/>
        <v>0.93951925261861846</v>
      </c>
      <c r="CL666" s="9" t="s">
        <v>1269</v>
      </c>
      <c r="CM666" s="18" t="s">
        <v>1285</v>
      </c>
      <c r="CN666" s="54" t="s">
        <v>1284</v>
      </c>
      <c r="CO666" s="18" t="s">
        <v>1284</v>
      </c>
    </row>
    <row r="667" spans="1:93" x14ac:dyDescent="0.25">
      <c r="A667" t="s">
        <v>266</v>
      </c>
      <c r="B667" s="41" t="s">
        <v>22</v>
      </c>
      <c r="C667" s="41" t="s">
        <v>22</v>
      </c>
      <c r="D667" s="41">
        <v>0.75</v>
      </c>
      <c r="E667" s="41" t="s">
        <v>22</v>
      </c>
      <c r="F667" t="s">
        <v>22</v>
      </c>
      <c r="G667" t="s">
        <v>22</v>
      </c>
      <c r="H667" t="s">
        <v>22</v>
      </c>
      <c r="I667" t="s">
        <v>22</v>
      </c>
      <c r="J667" s="41">
        <v>14.28</v>
      </c>
      <c r="K667">
        <v>780</v>
      </c>
      <c r="L667" s="41">
        <f t="shared" ref="L667:L674" si="376">IF((10^-12)*J667*K667^4=0,"",(10^-12)*J667*K667^4)</f>
        <v>5.2857499967999999</v>
      </c>
      <c r="M667" t="s">
        <v>23</v>
      </c>
      <c r="N667" s="41" t="s">
        <v>22</v>
      </c>
      <c r="O667" s="41" t="s">
        <v>22</v>
      </c>
      <c r="P667" s="41" t="s">
        <v>22</v>
      </c>
      <c r="R667" s="41" t="s">
        <v>22</v>
      </c>
      <c r="S667" s="41" t="s">
        <v>22</v>
      </c>
      <c r="T667" s="41">
        <v>7.2</v>
      </c>
      <c r="U667" s="41">
        <v>7.2</v>
      </c>
      <c r="V667">
        <v>20200510</v>
      </c>
      <c r="W667" s="16" t="s">
        <v>463</v>
      </c>
      <c r="X667">
        <v>2014</v>
      </c>
      <c r="Y667" t="s">
        <v>76</v>
      </c>
      <c r="Z667" t="s">
        <v>32</v>
      </c>
      <c r="AC667" t="s">
        <v>514</v>
      </c>
      <c r="AD667" s="41" t="s">
        <v>22</v>
      </c>
      <c r="AE667" s="41">
        <v>1582.1</v>
      </c>
      <c r="AF667" s="41" t="s">
        <v>22</v>
      </c>
      <c r="AG667" s="41" t="s">
        <v>22</v>
      </c>
      <c r="AH667" s="41" t="s">
        <v>22</v>
      </c>
      <c r="AI667" s="41" t="s">
        <v>22</v>
      </c>
      <c r="AJ667" s="41" t="s">
        <v>22</v>
      </c>
      <c r="AK667" s="41" t="s">
        <v>22</v>
      </c>
      <c r="AL667" s="41" t="s">
        <v>22</v>
      </c>
      <c r="AM667" s="43" t="e">
        <f t="shared" si="355"/>
        <v>#VALUE!</v>
      </c>
      <c r="AN667" s="43" t="e">
        <f t="shared" si="356"/>
        <v>#VALUE!</v>
      </c>
      <c r="AO667" s="3" t="s">
        <v>249</v>
      </c>
      <c r="AT667" s="2">
        <f t="shared" si="357"/>
        <v>4</v>
      </c>
      <c r="AU667" s="45" t="e">
        <f t="shared" si="358"/>
        <v>#VALUE!</v>
      </c>
      <c r="AV667" s="45" t="e">
        <f t="shared" si="359"/>
        <v>#VALUE!</v>
      </c>
      <c r="AW667" s="45">
        <f t="shared" si="360"/>
        <v>-0.12493873660829995</v>
      </c>
      <c r="AX667" s="45" t="e">
        <f t="shared" si="361"/>
        <v>#VALUE!</v>
      </c>
      <c r="AY667" s="45" t="e">
        <f t="shared" si="362"/>
        <v>#VALUE!</v>
      </c>
      <c r="AZ667" s="45" t="e">
        <f t="shared" si="363"/>
        <v>#VALUE!</v>
      </c>
      <c r="BA667" s="45">
        <f t="shared" si="364"/>
        <v>1.1547282074401555</v>
      </c>
      <c r="BB667" s="45">
        <f t="shared" si="365"/>
        <v>0.72310661820207722</v>
      </c>
      <c r="BC667" s="45">
        <f t="shared" si="366"/>
        <v>0.85733249643126852</v>
      </c>
      <c r="BD667" s="45" t="e">
        <f t="shared" si="367"/>
        <v>#VALUE!</v>
      </c>
      <c r="BE667" s="45" t="e">
        <f t="shared" si="368"/>
        <v>#VALUE!</v>
      </c>
      <c r="BF667" s="45" t="e">
        <f t="shared" si="369"/>
        <v>#VALUE!</v>
      </c>
      <c r="BG667" s="45" t="e">
        <f t="shared" si="370"/>
        <v>#VALUE!</v>
      </c>
      <c r="BH667" s="45" t="e">
        <f t="shared" si="371"/>
        <v>#NUM!</v>
      </c>
      <c r="BI667" s="43" t="e">
        <f t="shared" si="372"/>
        <v>#VALUE!</v>
      </c>
      <c r="CA667" s="41" t="s">
        <v>22</v>
      </c>
      <c r="CC667" t="s">
        <v>22</v>
      </c>
      <c r="CE667" s="41" t="s">
        <v>22</v>
      </c>
      <c r="CF667" s="41" t="s">
        <v>22</v>
      </c>
      <c r="CG667" s="41" t="e">
        <f t="shared" si="373"/>
        <v>#VALUE!</v>
      </c>
      <c r="CH667" s="41" t="e">
        <f t="shared" si="348"/>
        <v>#VALUE!</v>
      </c>
      <c r="CI667" s="41">
        <f t="shared" si="374"/>
        <v>7.2</v>
      </c>
      <c r="CJ667" s="41">
        <f t="shared" si="353"/>
        <v>0.85733249643126852</v>
      </c>
      <c r="CL667" s="9" t="s">
        <v>1269</v>
      </c>
      <c r="CM667" s="18" t="s">
        <v>1285</v>
      </c>
      <c r="CN667" s="54" t="s">
        <v>1284</v>
      </c>
      <c r="CO667" s="18" t="s">
        <v>1284</v>
      </c>
    </row>
    <row r="668" spans="1:93" x14ac:dyDescent="0.25">
      <c r="A668" t="s">
        <v>266</v>
      </c>
      <c r="B668" s="41" t="s">
        <v>22</v>
      </c>
      <c r="C668" s="41" t="s">
        <v>22</v>
      </c>
      <c r="D668" s="41">
        <v>0.17</v>
      </c>
      <c r="E668" s="41" t="s">
        <v>22</v>
      </c>
      <c r="F668" t="s">
        <v>22</v>
      </c>
      <c r="G668" t="s">
        <v>22</v>
      </c>
      <c r="H668" t="s">
        <v>22</v>
      </c>
      <c r="I668" t="s">
        <v>22</v>
      </c>
      <c r="J668" s="41">
        <v>1.25</v>
      </c>
      <c r="K668">
        <v>780</v>
      </c>
      <c r="L668" s="41">
        <f t="shared" si="376"/>
        <v>0.46268819999999999</v>
      </c>
      <c r="M668" t="s">
        <v>23</v>
      </c>
      <c r="N668" s="41" t="s">
        <v>22</v>
      </c>
      <c r="O668" s="41" t="s">
        <v>22</v>
      </c>
      <c r="P668" s="41" t="s">
        <v>22</v>
      </c>
      <c r="R668" s="41" t="s">
        <v>22</v>
      </c>
      <c r="S668" s="41" t="s">
        <v>22</v>
      </c>
      <c r="T668" s="41">
        <v>2</v>
      </c>
      <c r="U668" s="41">
        <v>2</v>
      </c>
      <c r="V668">
        <v>20200510</v>
      </c>
      <c r="W668" s="16" t="s">
        <v>464</v>
      </c>
      <c r="X668">
        <v>2014</v>
      </c>
      <c r="Y668" t="s">
        <v>76</v>
      </c>
      <c r="Z668" t="s">
        <v>32</v>
      </c>
      <c r="AC668" t="s">
        <v>514</v>
      </c>
      <c r="AD668" s="41" t="s">
        <v>22</v>
      </c>
      <c r="AE668" s="41">
        <v>1592.6</v>
      </c>
      <c r="AF668" s="41" t="s">
        <v>22</v>
      </c>
      <c r="AG668" s="41" t="s">
        <v>22</v>
      </c>
      <c r="AH668" s="41" t="s">
        <v>22</v>
      </c>
      <c r="AI668" s="41" t="s">
        <v>22</v>
      </c>
      <c r="AJ668" s="41" t="s">
        <v>22</v>
      </c>
      <c r="AK668" s="41" t="s">
        <v>22</v>
      </c>
      <c r="AL668" s="41" t="s">
        <v>22</v>
      </c>
      <c r="AM668" s="43" t="e">
        <f t="shared" si="355"/>
        <v>#VALUE!</v>
      </c>
      <c r="AN668" s="43" t="e">
        <f t="shared" si="356"/>
        <v>#VALUE!</v>
      </c>
      <c r="AO668" s="3" t="s">
        <v>249</v>
      </c>
      <c r="AT668" s="2">
        <f t="shared" si="357"/>
        <v>4</v>
      </c>
      <c r="AU668" s="45" t="e">
        <f t="shared" si="358"/>
        <v>#VALUE!</v>
      </c>
      <c r="AV668" s="45" t="e">
        <f t="shared" si="359"/>
        <v>#VALUE!</v>
      </c>
      <c r="AW668" s="45">
        <f t="shared" si="360"/>
        <v>-0.769551078621726</v>
      </c>
      <c r="AX668" s="45" t="e">
        <f t="shared" si="361"/>
        <v>#VALUE!</v>
      </c>
      <c r="AY668" s="45" t="e">
        <f t="shared" si="362"/>
        <v>#VALUE!</v>
      </c>
      <c r="AZ668" s="45" t="e">
        <f t="shared" si="363"/>
        <v>#VALUE!</v>
      </c>
      <c r="BA668" s="45">
        <f t="shared" si="364"/>
        <v>9.691001300805642E-2</v>
      </c>
      <c r="BB668" s="45">
        <f t="shared" si="365"/>
        <v>-0.33471157623002201</v>
      </c>
      <c r="BC668" s="45">
        <f t="shared" si="366"/>
        <v>0.3010299956639812</v>
      </c>
      <c r="BD668" s="45" t="e">
        <f t="shared" si="367"/>
        <v>#VALUE!</v>
      </c>
      <c r="BE668" s="45" t="e">
        <f t="shared" si="368"/>
        <v>#VALUE!</v>
      </c>
      <c r="BF668" s="45" t="e">
        <f t="shared" si="369"/>
        <v>#VALUE!</v>
      </c>
      <c r="BG668" s="45" t="e">
        <f t="shared" si="370"/>
        <v>#VALUE!</v>
      </c>
      <c r="BH668" s="45" t="e">
        <f t="shared" si="371"/>
        <v>#NUM!</v>
      </c>
      <c r="BI668" s="43" t="e">
        <f t="shared" si="372"/>
        <v>#VALUE!</v>
      </c>
      <c r="CA668" s="41" t="s">
        <v>22</v>
      </c>
      <c r="CC668" t="s">
        <v>22</v>
      </c>
      <c r="CE668" s="41" t="s">
        <v>22</v>
      </c>
      <c r="CF668" s="41" t="s">
        <v>22</v>
      </c>
      <c r="CG668" s="41" t="e">
        <f t="shared" si="373"/>
        <v>#VALUE!</v>
      </c>
      <c r="CH668" s="41" t="e">
        <f t="shared" si="348"/>
        <v>#VALUE!</v>
      </c>
      <c r="CI668" s="41">
        <f t="shared" si="374"/>
        <v>2</v>
      </c>
      <c r="CJ668" s="41">
        <f t="shared" si="353"/>
        <v>0.3010299956639812</v>
      </c>
      <c r="CL668" s="9" t="s">
        <v>1269</v>
      </c>
      <c r="CM668" s="18" t="s">
        <v>1285</v>
      </c>
      <c r="CN668" s="54" t="s">
        <v>1284</v>
      </c>
      <c r="CO668" s="18" t="s">
        <v>1284</v>
      </c>
    </row>
    <row r="669" spans="1:93" x14ac:dyDescent="0.25">
      <c r="A669" t="s">
        <v>266</v>
      </c>
      <c r="B669" s="41" t="s">
        <v>22</v>
      </c>
      <c r="C669" s="41" t="s">
        <v>22</v>
      </c>
      <c r="D669" s="41">
        <v>1.24</v>
      </c>
      <c r="E669" s="41" t="s">
        <v>22</v>
      </c>
      <c r="F669" t="s">
        <v>22</v>
      </c>
      <c r="G669" t="s">
        <v>22</v>
      </c>
      <c r="H669" t="s">
        <v>22</v>
      </c>
      <c r="I669" t="s">
        <v>22</v>
      </c>
      <c r="J669" s="41">
        <f>0.32^-1</f>
        <v>3.125</v>
      </c>
      <c r="K669">
        <v>780</v>
      </c>
      <c r="L669" s="41">
        <f t="shared" si="376"/>
        <v>1.1567205</v>
      </c>
      <c r="M669" t="s">
        <v>45</v>
      </c>
      <c r="N669" s="41" t="s">
        <v>22</v>
      </c>
      <c r="O669" s="41" t="s">
        <v>22</v>
      </c>
      <c r="P669" s="41" t="s">
        <v>22</v>
      </c>
      <c r="R669" s="41" t="s">
        <v>22</v>
      </c>
      <c r="S669" s="41" t="s">
        <v>22</v>
      </c>
      <c r="T669" s="41">
        <v>7.2</v>
      </c>
      <c r="U669" s="41">
        <v>7.2</v>
      </c>
      <c r="V669">
        <v>20200510</v>
      </c>
      <c r="W669" s="16" t="s">
        <v>465</v>
      </c>
      <c r="X669">
        <v>2014</v>
      </c>
      <c r="Y669" t="s">
        <v>76</v>
      </c>
      <c r="Z669" t="s">
        <v>124</v>
      </c>
      <c r="AA669" t="s">
        <v>747</v>
      </c>
      <c r="AC669" t="s">
        <v>514</v>
      </c>
      <c r="AD669" s="41" t="s">
        <v>22</v>
      </c>
      <c r="AE669" s="41">
        <v>1587.1</v>
      </c>
      <c r="AF669" s="41" t="s">
        <v>22</v>
      </c>
      <c r="AG669" s="41" t="s">
        <v>22</v>
      </c>
      <c r="AH669" s="41" t="s">
        <v>22</v>
      </c>
      <c r="AI669" s="41" t="s">
        <v>22</v>
      </c>
      <c r="AJ669" s="41" t="s">
        <v>22</v>
      </c>
      <c r="AK669" s="41" t="s">
        <v>22</v>
      </c>
      <c r="AL669" s="41" t="s">
        <v>22</v>
      </c>
      <c r="AM669" s="43" t="e">
        <f t="shared" si="355"/>
        <v>#VALUE!</v>
      </c>
      <c r="AN669" s="43" t="e">
        <f t="shared" si="356"/>
        <v>#VALUE!</v>
      </c>
      <c r="AO669" s="3" t="s">
        <v>249</v>
      </c>
      <c r="AT669" s="2">
        <f t="shared" si="357"/>
        <v>4</v>
      </c>
      <c r="AU669" s="45" t="e">
        <f t="shared" si="358"/>
        <v>#VALUE!</v>
      </c>
      <c r="AV669" s="45" t="e">
        <f t="shared" si="359"/>
        <v>#VALUE!</v>
      </c>
      <c r="AW669" s="45">
        <f t="shared" si="360"/>
        <v>9.3421685162235063E-2</v>
      </c>
      <c r="AX669" s="45" t="e">
        <f t="shared" si="361"/>
        <v>#VALUE!</v>
      </c>
      <c r="AY669" s="45" t="e">
        <f t="shared" si="362"/>
        <v>#VALUE!</v>
      </c>
      <c r="AZ669" s="45" t="e">
        <f t="shared" si="363"/>
        <v>#VALUE!</v>
      </c>
      <c r="BA669" s="45">
        <f t="shared" si="364"/>
        <v>0.49485002168009401</v>
      </c>
      <c r="BB669" s="45">
        <f t="shared" si="365"/>
        <v>6.3228432442015647E-2</v>
      </c>
      <c r="BC669" s="45">
        <f t="shared" si="366"/>
        <v>0.85733249643126852</v>
      </c>
      <c r="BD669" s="45" t="e">
        <f t="shared" si="367"/>
        <v>#VALUE!</v>
      </c>
      <c r="BE669" s="45" t="e">
        <f t="shared" si="368"/>
        <v>#VALUE!</v>
      </c>
      <c r="BF669" s="45" t="e">
        <f t="shared" si="369"/>
        <v>#VALUE!</v>
      </c>
      <c r="BG669" s="45" t="e">
        <f t="shared" si="370"/>
        <v>#VALUE!</v>
      </c>
      <c r="BH669" s="45" t="e">
        <f t="shared" si="371"/>
        <v>#NUM!</v>
      </c>
      <c r="BI669" s="43" t="e">
        <f t="shared" si="372"/>
        <v>#VALUE!</v>
      </c>
      <c r="CA669" s="41" t="s">
        <v>22</v>
      </c>
      <c r="CC669" t="s">
        <v>22</v>
      </c>
      <c r="CE669" s="41" t="s">
        <v>22</v>
      </c>
      <c r="CF669" s="41" t="s">
        <v>22</v>
      </c>
      <c r="CG669" s="41" t="e">
        <f t="shared" si="373"/>
        <v>#VALUE!</v>
      </c>
      <c r="CH669" s="41" t="e">
        <f t="shared" si="348"/>
        <v>#VALUE!</v>
      </c>
      <c r="CI669" s="41">
        <f t="shared" si="374"/>
        <v>7.2</v>
      </c>
      <c r="CJ669" s="41">
        <f t="shared" si="353"/>
        <v>0.85733249643126852</v>
      </c>
      <c r="CL669" s="9" t="s">
        <v>1269</v>
      </c>
      <c r="CM669" s="18" t="s">
        <v>1285</v>
      </c>
      <c r="CN669" s="54" t="s">
        <v>1284</v>
      </c>
      <c r="CO669" s="18" t="s">
        <v>1284</v>
      </c>
    </row>
    <row r="670" spans="1:93" x14ac:dyDescent="0.25">
      <c r="A670" t="s">
        <v>266</v>
      </c>
      <c r="B670" s="41" t="s">
        <v>22</v>
      </c>
      <c r="C670" s="41" t="s">
        <v>22</v>
      </c>
      <c r="D670" s="41">
        <v>0.30499999999999999</v>
      </c>
      <c r="E670" s="41" t="s">
        <v>22</v>
      </c>
      <c r="F670" t="s">
        <v>22</v>
      </c>
      <c r="G670" t="s">
        <v>22</v>
      </c>
      <c r="H670" t="s">
        <v>22</v>
      </c>
      <c r="I670" t="s">
        <v>22</v>
      </c>
      <c r="J670" s="41">
        <f>0.34^-1</f>
        <v>2.9411764705882351</v>
      </c>
      <c r="K670">
        <v>780</v>
      </c>
      <c r="L670" s="41">
        <f t="shared" si="376"/>
        <v>1.0886781176470586</v>
      </c>
      <c r="M670" t="s">
        <v>45</v>
      </c>
      <c r="N670" s="41" t="s">
        <v>22</v>
      </c>
      <c r="O670" s="41" t="s">
        <v>22</v>
      </c>
      <c r="P670" s="41" t="s">
        <v>22</v>
      </c>
      <c r="R670" s="41" t="s">
        <v>22</v>
      </c>
      <c r="S670" s="41" t="s">
        <v>22</v>
      </c>
      <c r="T670" s="41">
        <v>2</v>
      </c>
      <c r="U670" s="41">
        <v>2</v>
      </c>
      <c r="V670">
        <v>20200510</v>
      </c>
      <c r="W670" s="16" t="s">
        <v>466</v>
      </c>
      <c r="X670">
        <v>2014</v>
      </c>
      <c r="Y670" t="s">
        <v>76</v>
      </c>
      <c r="Z670" t="s">
        <v>124</v>
      </c>
      <c r="AA670" t="s">
        <v>747</v>
      </c>
      <c r="AC670" t="s">
        <v>514</v>
      </c>
      <c r="AD670" s="41" t="s">
        <v>22</v>
      </c>
      <c r="AE670" s="41">
        <v>1592.6</v>
      </c>
      <c r="AF670" s="41" t="s">
        <v>22</v>
      </c>
      <c r="AG670" s="41" t="s">
        <v>22</v>
      </c>
      <c r="AH670" s="41" t="s">
        <v>22</v>
      </c>
      <c r="AI670" s="41" t="s">
        <v>22</v>
      </c>
      <c r="AJ670" s="41" t="s">
        <v>22</v>
      </c>
      <c r="AK670" s="41" t="s">
        <v>22</v>
      </c>
      <c r="AL670" s="41" t="s">
        <v>22</v>
      </c>
      <c r="AM670" s="43" t="e">
        <f t="shared" si="355"/>
        <v>#VALUE!</v>
      </c>
      <c r="AN670" s="43" t="e">
        <f t="shared" si="356"/>
        <v>#VALUE!</v>
      </c>
      <c r="AO670" s="3" t="s">
        <v>249</v>
      </c>
      <c r="AT670" s="2">
        <f t="shared" si="357"/>
        <v>4</v>
      </c>
      <c r="AU670" s="45" t="e">
        <f t="shared" si="358"/>
        <v>#VALUE!</v>
      </c>
      <c r="AV670" s="45" t="e">
        <f t="shared" si="359"/>
        <v>#VALUE!</v>
      </c>
      <c r="AW670" s="45">
        <f t="shared" si="360"/>
        <v>-0.51570016065321422</v>
      </c>
      <c r="AX670" s="45" t="e">
        <f t="shared" si="361"/>
        <v>#VALUE!</v>
      </c>
      <c r="AY670" s="45" t="e">
        <f t="shared" si="362"/>
        <v>#VALUE!</v>
      </c>
      <c r="AZ670" s="45" t="e">
        <f t="shared" si="363"/>
        <v>#VALUE!</v>
      </c>
      <c r="BA670" s="45">
        <f t="shared" si="364"/>
        <v>0.46852108295774486</v>
      </c>
      <c r="BB670" s="45">
        <f t="shared" si="365"/>
        <v>3.6899493719666381E-2</v>
      </c>
      <c r="BC670" s="45">
        <f t="shared" si="366"/>
        <v>0.3010299956639812</v>
      </c>
      <c r="BD670" s="45" t="e">
        <f t="shared" si="367"/>
        <v>#VALUE!</v>
      </c>
      <c r="BE670" s="45" t="e">
        <f t="shared" si="368"/>
        <v>#VALUE!</v>
      </c>
      <c r="BF670" s="45" t="e">
        <f t="shared" si="369"/>
        <v>#VALUE!</v>
      </c>
      <c r="BG670" s="45" t="e">
        <f t="shared" si="370"/>
        <v>#VALUE!</v>
      </c>
      <c r="BH670" s="45" t="e">
        <f t="shared" si="371"/>
        <v>#NUM!</v>
      </c>
      <c r="BI670" s="43" t="e">
        <f t="shared" si="372"/>
        <v>#VALUE!</v>
      </c>
      <c r="CA670" s="41" t="s">
        <v>22</v>
      </c>
      <c r="CC670" t="s">
        <v>22</v>
      </c>
      <c r="CE670" s="41" t="s">
        <v>22</v>
      </c>
      <c r="CF670" s="41" t="s">
        <v>22</v>
      </c>
      <c r="CG670" s="41" t="e">
        <f t="shared" si="373"/>
        <v>#VALUE!</v>
      </c>
      <c r="CH670" s="41" t="e">
        <f t="shared" si="348"/>
        <v>#VALUE!</v>
      </c>
      <c r="CI670" s="41">
        <f t="shared" si="374"/>
        <v>2</v>
      </c>
      <c r="CJ670" s="41">
        <f t="shared" si="353"/>
        <v>0.3010299956639812</v>
      </c>
      <c r="CL670" s="9" t="s">
        <v>1269</v>
      </c>
      <c r="CM670" s="18" t="s">
        <v>1285</v>
      </c>
      <c r="CN670" s="54" t="s">
        <v>1284</v>
      </c>
      <c r="CO670" s="18" t="s">
        <v>1284</v>
      </c>
    </row>
    <row r="671" spans="1:93" s="18" customFormat="1" x14ac:dyDescent="0.25">
      <c r="A671" s="18" t="s">
        <v>407</v>
      </c>
      <c r="B671" s="41" t="s">
        <v>22</v>
      </c>
      <c r="C671" s="41" t="s">
        <v>22</v>
      </c>
      <c r="D671" s="41" t="s">
        <v>22</v>
      </c>
      <c r="E671" s="41" t="s">
        <v>22</v>
      </c>
      <c r="F671" s="18" t="s">
        <v>22</v>
      </c>
      <c r="G671" s="18" t="s">
        <v>22</v>
      </c>
      <c r="H671" s="18" t="s">
        <v>22</v>
      </c>
      <c r="I671" s="18" t="s">
        <v>22</v>
      </c>
      <c r="J671" s="41" t="s">
        <v>22</v>
      </c>
      <c r="K671" s="18" t="s">
        <v>22</v>
      </c>
      <c r="L671" s="41" t="e">
        <f t="shared" si="376"/>
        <v>#VALUE!</v>
      </c>
      <c r="M671" s="18" t="s">
        <v>23</v>
      </c>
      <c r="N671" s="41" t="s">
        <v>22</v>
      </c>
      <c r="O671" s="41" t="s">
        <v>22</v>
      </c>
      <c r="P671" s="41" t="s">
        <v>22</v>
      </c>
      <c r="Q671" s="41"/>
      <c r="R671" s="41" t="e">
        <f>N671*B671</f>
        <v>#VALUE!</v>
      </c>
      <c r="S671" s="41" t="e">
        <f>O671*D671</f>
        <v>#VALUE!</v>
      </c>
      <c r="T671" s="41" t="s">
        <v>22</v>
      </c>
      <c r="U671" s="41" t="s">
        <v>22</v>
      </c>
      <c r="V671" s="18">
        <v>20200701</v>
      </c>
      <c r="W671" s="18" t="s">
        <v>1024</v>
      </c>
      <c r="X671" s="18">
        <v>2014</v>
      </c>
      <c r="Y671" s="18" t="s">
        <v>22</v>
      </c>
      <c r="Z671" s="18" t="s">
        <v>22</v>
      </c>
      <c r="AA671" s="18" t="s">
        <v>22</v>
      </c>
      <c r="AB671" s="41" t="s">
        <v>22</v>
      </c>
      <c r="AC671" s="18" t="s">
        <v>514</v>
      </c>
      <c r="AD671" s="41" t="s">
        <v>22</v>
      </c>
      <c r="AE671" s="41" t="s">
        <v>22</v>
      </c>
      <c r="AF671" s="41" t="s">
        <v>22</v>
      </c>
      <c r="AG671" s="41" t="s">
        <v>22</v>
      </c>
      <c r="AH671" s="41" t="s">
        <v>22</v>
      </c>
      <c r="AI671" s="41" t="s">
        <v>22</v>
      </c>
      <c r="AJ671" s="41" t="s">
        <v>22</v>
      </c>
      <c r="AK671" s="41" t="s">
        <v>22</v>
      </c>
      <c r="AL671" s="41" t="s">
        <v>22</v>
      </c>
      <c r="AM671" s="43" t="e">
        <f t="shared" si="355"/>
        <v>#VALUE!</v>
      </c>
      <c r="AN671" s="43" t="e">
        <f t="shared" si="356"/>
        <v>#VALUE!</v>
      </c>
      <c r="AO671" s="6" t="s">
        <v>1021</v>
      </c>
      <c r="AT671" s="2">
        <f t="shared" si="357"/>
        <v>3</v>
      </c>
      <c r="AU671" s="45" t="e">
        <f t="shared" si="358"/>
        <v>#VALUE!</v>
      </c>
      <c r="AV671" s="45" t="e">
        <f t="shared" si="359"/>
        <v>#VALUE!</v>
      </c>
      <c r="AW671" s="45" t="e">
        <f t="shared" si="360"/>
        <v>#VALUE!</v>
      </c>
      <c r="AX671" s="45" t="e">
        <f t="shared" si="361"/>
        <v>#VALUE!</v>
      </c>
      <c r="AY671" s="45" t="e">
        <f t="shared" si="362"/>
        <v>#VALUE!</v>
      </c>
      <c r="AZ671" s="45" t="e">
        <f t="shared" si="363"/>
        <v>#VALUE!</v>
      </c>
      <c r="BA671" s="45" t="e">
        <f t="shared" si="364"/>
        <v>#VALUE!</v>
      </c>
      <c r="BB671" s="45" t="e">
        <f t="shared" si="365"/>
        <v>#VALUE!</v>
      </c>
      <c r="BC671" s="45" t="e">
        <f t="shared" si="366"/>
        <v>#VALUE!</v>
      </c>
      <c r="BD671" s="45" t="e">
        <f t="shared" si="367"/>
        <v>#VALUE!</v>
      </c>
      <c r="BE671" s="45" t="e">
        <f t="shared" si="368"/>
        <v>#VALUE!</v>
      </c>
      <c r="BF671" s="45" t="e">
        <f t="shared" si="369"/>
        <v>#VALUE!</v>
      </c>
      <c r="BG671" s="45" t="e">
        <f t="shared" si="370"/>
        <v>#VALUE!</v>
      </c>
      <c r="BH671" s="45" t="e">
        <f t="shared" si="371"/>
        <v>#VALUE!</v>
      </c>
      <c r="BI671" s="43" t="e">
        <f t="shared" si="372"/>
        <v>#VALUE!</v>
      </c>
      <c r="BJ671" s="18" t="s">
        <v>22</v>
      </c>
      <c r="BK671" s="18" t="s">
        <v>521</v>
      </c>
      <c r="BL671" s="18" t="s">
        <v>22</v>
      </c>
      <c r="BM671" s="41" t="s">
        <v>22</v>
      </c>
      <c r="BN671" s="41">
        <v>105000000</v>
      </c>
      <c r="BO671" s="41" t="s">
        <v>22</v>
      </c>
      <c r="BP671" s="41" t="s">
        <v>22</v>
      </c>
      <c r="BQ671" s="41" t="s">
        <v>22</v>
      </c>
      <c r="BR671" s="41" t="s">
        <v>22</v>
      </c>
      <c r="BS671" s="18" t="s">
        <v>22</v>
      </c>
      <c r="BT671" s="18" t="s">
        <v>22</v>
      </c>
      <c r="BU671" s="41" t="s">
        <v>22</v>
      </c>
      <c r="BV671" s="41" t="s">
        <v>22</v>
      </c>
      <c r="BW671" s="41" t="s">
        <v>22</v>
      </c>
      <c r="BX671" s="41" t="s">
        <v>22</v>
      </c>
      <c r="BY671" s="41" t="s">
        <v>22</v>
      </c>
      <c r="BZ671" s="41" t="s">
        <v>22</v>
      </c>
      <c r="CA671" s="41" t="s">
        <v>22</v>
      </c>
      <c r="CC671" s="18" t="s">
        <v>1008</v>
      </c>
      <c r="CD671" s="18" t="s">
        <v>1039</v>
      </c>
      <c r="CE671" s="41">
        <f>LOG10(BN671)</f>
        <v>8.0211892990699383</v>
      </c>
      <c r="CF671" s="41" t="e">
        <f>LOG10(BV671)</f>
        <v>#VALUE!</v>
      </c>
      <c r="CG671" s="41" t="e">
        <f t="shared" si="373"/>
        <v>#VALUE!</v>
      </c>
      <c r="CH671" s="41" t="e">
        <f t="shared" si="348"/>
        <v>#VALUE!</v>
      </c>
      <c r="CI671" s="41" t="str">
        <f t="shared" si="374"/>
        <v>Not Reported/ Can not calculate</v>
      </c>
      <c r="CJ671" s="41" t="e">
        <f t="shared" si="353"/>
        <v>#VALUE!</v>
      </c>
      <c r="CL671" s="9" t="s">
        <v>407</v>
      </c>
      <c r="CM671" s="18" t="s">
        <v>1284</v>
      </c>
      <c r="CN671" s="54" t="s">
        <v>1284</v>
      </c>
      <c r="CO671" s="18" t="s">
        <v>1284</v>
      </c>
    </row>
    <row r="672" spans="1:93" s="1" customFormat="1" x14ac:dyDescent="0.25">
      <c r="A672" s="18" t="s">
        <v>407</v>
      </c>
      <c r="B672" s="41" t="s">
        <v>22</v>
      </c>
      <c r="C672" s="41" t="s">
        <v>22</v>
      </c>
      <c r="D672" s="41" t="s">
        <v>22</v>
      </c>
      <c r="E672" s="41" t="s">
        <v>22</v>
      </c>
      <c r="F672" s="18" t="s">
        <v>22</v>
      </c>
      <c r="G672" s="18" t="s">
        <v>22</v>
      </c>
      <c r="H672" s="18" t="s">
        <v>22</v>
      </c>
      <c r="I672" s="18" t="s">
        <v>22</v>
      </c>
      <c r="J672" s="41" t="s">
        <v>22</v>
      </c>
      <c r="K672" s="18" t="s">
        <v>22</v>
      </c>
      <c r="L672" s="41" t="e">
        <f t="shared" si="376"/>
        <v>#VALUE!</v>
      </c>
      <c r="M672" s="18" t="s">
        <v>23</v>
      </c>
      <c r="N672" s="41" t="s">
        <v>22</v>
      </c>
      <c r="O672" s="41" t="s">
        <v>22</v>
      </c>
      <c r="P672" s="41" t="s">
        <v>22</v>
      </c>
      <c r="Q672" s="41"/>
      <c r="R672" s="41" t="e">
        <f>N672*B672</f>
        <v>#VALUE!</v>
      </c>
      <c r="S672" s="41" t="e">
        <f>O672*D672</f>
        <v>#VALUE!</v>
      </c>
      <c r="T672" s="41" t="s">
        <v>22</v>
      </c>
      <c r="U672" s="41" t="s">
        <v>22</v>
      </c>
      <c r="V672" s="18">
        <v>20200701</v>
      </c>
      <c r="W672" s="18" t="s">
        <v>1022</v>
      </c>
      <c r="X672" s="18">
        <v>2014</v>
      </c>
      <c r="Y672" s="18" t="s">
        <v>22</v>
      </c>
      <c r="Z672" s="18" t="s">
        <v>22</v>
      </c>
      <c r="AA672" s="18" t="s">
        <v>22</v>
      </c>
      <c r="AB672" s="41" t="s">
        <v>22</v>
      </c>
      <c r="AC672" s="18" t="s">
        <v>514</v>
      </c>
      <c r="AD672" s="41" t="s">
        <v>22</v>
      </c>
      <c r="AE672" s="41" t="s">
        <v>22</v>
      </c>
      <c r="AF672" s="41" t="s">
        <v>22</v>
      </c>
      <c r="AG672" s="41" t="s">
        <v>22</v>
      </c>
      <c r="AH672" s="41" t="s">
        <v>22</v>
      </c>
      <c r="AI672" s="41" t="s">
        <v>22</v>
      </c>
      <c r="AJ672" s="41" t="s">
        <v>22</v>
      </c>
      <c r="AK672" s="41" t="s">
        <v>22</v>
      </c>
      <c r="AL672" s="41" t="s">
        <v>22</v>
      </c>
      <c r="AM672" s="43" t="e">
        <f t="shared" si="355"/>
        <v>#VALUE!</v>
      </c>
      <c r="AN672" s="43" t="e">
        <f t="shared" si="356"/>
        <v>#VALUE!</v>
      </c>
      <c r="AO672" s="6" t="s">
        <v>1021</v>
      </c>
      <c r="AP672" s="18"/>
      <c r="AQ672" s="18"/>
      <c r="AR672" s="18"/>
      <c r="AS672" s="18"/>
      <c r="AT672" s="2">
        <f t="shared" si="357"/>
        <v>3</v>
      </c>
      <c r="AU672" s="45" t="e">
        <f t="shared" si="358"/>
        <v>#VALUE!</v>
      </c>
      <c r="AV672" s="45" t="e">
        <f t="shared" si="359"/>
        <v>#VALUE!</v>
      </c>
      <c r="AW672" s="45" t="e">
        <f t="shared" si="360"/>
        <v>#VALUE!</v>
      </c>
      <c r="AX672" s="45" t="e">
        <f t="shared" si="361"/>
        <v>#VALUE!</v>
      </c>
      <c r="AY672" s="45" t="e">
        <f t="shared" si="362"/>
        <v>#VALUE!</v>
      </c>
      <c r="AZ672" s="45" t="e">
        <f t="shared" si="363"/>
        <v>#VALUE!</v>
      </c>
      <c r="BA672" s="45" t="e">
        <f t="shared" si="364"/>
        <v>#VALUE!</v>
      </c>
      <c r="BB672" s="45" t="e">
        <f t="shared" si="365"/>
        <v>#VALUE!</v>
      </c>
      <c r="BC672" s="45" t="e">
        <f t="shared" si="366"/>
        <v>#VALUE!</v>
      </c>
      <c r="BD672" s="45" t="e">
        <f t="shared" si="367"/>
        <v>#VALUE!</v>
      </c>
      <c r="BE672" s="45" t="e">
        <f t="shared" si="368"/>
        <v>#VALUE!</v>
      </c>
      <c r="BF672" s="45" t="e">
        <f t="shared" si="369"/>
        <v>#VALUE!</v>
      </c>
      <c r="BG672" s="45" t="e">
        <f t="shared" si="370"/>
        <v>#VALUE!</v>
      </c>
      <c r="BH672" s="45" t="e">
        <f t="shared" si="371"/>
        <v>#VALUE!</v>
      </c>
      <c r="BI672" s="43" t="e">
        <f t="shared" si="372"/>
        <v>#VALUE!</v>
      </c>
      <c r="BJ672" s="18" t="s">
        <v>22</v>
      </c>
      <c r="BK672" s="18" t="s">
        <v>521</v>
      </c>
      <c r="BL672" s="18" t="s">
        <v>22</v>
      </c>
      <c r="BM672" s="41" t="s">
        <v>22</v>
      </c>
      <c r="BN672" s="41">
        <v>58000000</v>
      </c>
      <c r="BO672" s="41" t="s">
        <v>22</v>
      </c>
      <c r="BP672" s="41" t="s">
        <v>22</v>
      </c>
      <c r="BQ672" s="41" t="s">
        <v>22</v>
      </c>
      <c r="BR672" s="41" t="s">
        <v>22</v>
      </c>
      <c r="BS672" s="18" t="s">
        <v>22</v>
      </c>
      <c r="BT672" s="18" t="s">
        <v>22</v>
      </c>
      <c r="BU672" s="41" t="s">
        <v>22</v>
      </c>
      <c r="BV672" s="41" t="s">
        <v>22</v>
      </c>
      <c r="BW672" s="41" t="s">
        <v>22</v>
      </c>
      <c r="BX672" s="41" t="s">
        <v>22</v>
      </c>
      <c r="BY672" s="41" t="s">
        <v>22</v>
      </c>
      <c r="BZ672" s="41" t="s">
        <v>22</v>
      </c>
      <c r="CA672" s="41" t="s">
        <v>22</v>
      </c>
      <c r="CB672" s="18"/>
      <c r="CC672" s="18" t="s">
        <v>1008</v>
      </c>
      <c r="CD672" s="18" t="s">
        <v>1039</v>
      </c>
      <c r="CE672" s="41">
        <f>LOG10(BN672)</f>
        <v>7.7634279935629369</v>
      </c>
      <c r="CF672" s="41" t="e">
        <f>LOG10(BV672)</f>
        <v>#VALUE!</v>
      </c>
      <c r="CG672" s="41" t="e">
        <f t="shared" si="373"/>
        <v>#VALUE!</v>
      </c>
      <c r="CH672" s="41" t="e">
        <f t="shared" si="348"/>
        <v>#VALUE!</v>
      </c>
      <c r="CI672" s="41" t="str">
        <f t="shared" si="374"/>
        <v>Not Reported/ Can not calculate</v>
      </c>
      <c r="CJ672" s="41" t="e">
        <f t="shared" si="353"/>
        <v>#VALUE!</v>
      </c>
      <c r="CK672" s="18"/>
      <c r="CL672" s="9" t="s">
        <v>407</v>
      </c>
      <c r="CM672" s="18" t="s">
        <v>1284</v>
      </c>
      <c r="CN672" s="54" t="s">
        <v>1284</v>
      </c>
      <c r="CO672" s="18" t="s">
        <v>1284</v>
      </c>
    </row>
    <row r="673" spans="1:93" s="1" customFormat="1" x14ac:dyDescent="0.25">
      <c r="A673" s="18" t="s">
        <v>1020</v>
      </c>
      <c r="B673" s="41" t="s">
        <v>22</v>
      </c>
      <c r="C673" s="41" t="s">
        <v>22</v>
      </c>
      <c r="D673" s="41" t="s">
        <v>22</v>
      </c>
      <c r="E673" s="41" t="s">
        <v>22</v>
      </c>
      <c r="F673" s="18" t="s">
        <v>22</v>
      </c>
      <c r="G673" s="18" t="s">
        <v>22</v>
      </c>
      <c r="H673" s="18" t="s">
        <v>22</v>
      </c>
      <c r="I673" s="18" t="s">
        <v>22</v>
      </c>
      <c r="J673" s="41" t="s">
        <v>22</v>
      </c>
      <c r="K673" s="18" t="s">
        <v>22</v>
      </c>
      <c r="L673" s="41" t="e">
        <f t="shared" si="376"/>
        <v>#VALUE!</v>
      </c>
      <c r="M673" s="18" t="s">
        <v>23</v>
      </c>
      <c r="N673" s="41" t="s">
        <v>22</v>
      </c>
      <c r="O673" s="41" t="s">
        <v>22</v>
      </c>
      <c r="P673" s="41" t="s">
        <v>22</v>
      </c>
      <c r="Q673" s="41"/>
      <c r="R673" s="41" t="e">
        <f>N673*B673</f>
        <v>#VALUE!</v>
      </c>
      <c r="S673" s="41" t="e">
        <f>O673*D673</f>
        <v>#VALUE!</v>
      </c>
      <c r="T673" s="41" t="s">
        <v>22</v>
      </c>
      <c r="U673" s="41" t="s">
        <v>22</v>
      </c>
      <c r="V673" s="18">
        <v>20200701</v>
      </c>
      <c r="W673" s="18" t="s">
        <v>1023</v>
      </c>
      <c r="X673" s="18">
        <v>2014</v>
      </c>
      <c r="Y673" s="18" t="s">
        <v>22</v>
      </c>
      <c r="Z673" s="18" t="s">
        <v>22</v>
      </c>
      <c r="AA673" s="18" t="s">
        <v>22</v>
      </c>
      <c r="AB673" s="41" t="s">
        <v>22</v>
      </c>
      <c r="AC673" s="18" t="s">
        <v>514</v>
      </c>
      <c r="AD673" s="41" t="s">
        <v>22</v>
      </c>
      <c r="AE673" s="41" t="s">
        <v>22</v>
      </c>
      <c r="AF673" s="41" t="s">
        <v>22</v>
      </c>
      <c r="AG673" s="41" t="s">
        <v>22</v>
      </c>
      <c r="AH673" s="41" t="s">
        <v>22</v>
      </c>
      <c r="AI673" s="41" t="s">
        <v>22</v>
      </c>
      <c r="AJ673" s="41" t="s">
        <v>22</v>
      </c>
      <c r="AK673" s="41" t="s">
        <v>22</v>
      </c>
      <c r="AL673" s="41" t="s">
        <v>22</v>
      </c>
      <c r="AM673" s="43" t="e">
        <f t="shared" si="355"/>
        <v>#VALUE!</v>
      </c>
      <c r="AN673" s="43" t="e">
        <f t="shared" si="356"/>
        <v>#VALUE!</v>
      </c>
      <c r="AO673" s="6" t="s">
        <v>1021</v>
      </c>
      <c r="AP673" s="18"/>
      <c r="AQ673" s="18"/>
      <c r="AR673" s="18"/>
      <c r="AS673" s="18"/>
      <c r="AT673" s="2">
        <f t="shared" si="357"/>
        <v>3</v>
      </c>
      <c r="AU673" s="45" t="e">
        <f t="shared" si="358"/>
        <v>#VALUE!</v>
      </c>
      <c r="AV673" s="45" t="e">
        <f t="shared" si="359"/>
        <v>#VALUE!</v>
      </c>
      <c r="AW673" s="45" t="e">
        <f t="shared" si="360"/>
        <v>#VALUE!</v>
      </c>
      <c r="AX673" s="45" t="e">
        <f t="shared" si="361"/>
        <v>#VALUE!</v>
      </c>
      <c r="AY673" s="45" t="e">
        <f t="shared" si="362"/>
        <v>#VALUE!</v>
      </c>
      <c r="AZ673" s="45" t="e">
        <f t="shared" si="363"/>
        <v>#VALUE!</v>
      </c>
      <c r="BA673" s="45" t="e">
        <f t="shared" si="364"/>
        <v>#VALUE!</v>
      </c>
      <c r="BB673" s="45" t="e">
        <f t="shared" si="365"/>
        <v>#VALUE!</v>
      </c>
      <c r="BC673" s="45" t="e">
        <f t="shared" si="366"/>
        <v>#VALUE!</v>
      </c>
      <c r="BD673" s="45" t="e">
        <f t="shared" si="367"/>
        <v>#VALUE!</v>
      </c>
      <c r="BE673" s="45" t="e">
        <f t="shared" si="368"/>
        <v>#VALUE!</v>
      </c>
      <c r="BF673" s="45" t="e">
        <f t="shared" si="369"/>
        <v>#VALUE!</v>
      </c>
      <c r="BG673" s="45" t="e">
        <f t="shared" si="370"/>
        <v>#VALUE!</v>
      </c>
      <c r="BH673" s="45" t="e">
        <f t="shared" si="371"/>
        <v>#VALUE!</v>
      </c>
      <c r="BI673" s="43" t="e">
        <f t="shared" si="372"/>
        <v>#VALUE!</v>
      </c>
      <c r="BJ673" s="18" t="s">
        <v>22</v>
      </c>
      <c r="BK673" s="18" t="s">
        <v>521</v>
      </c>
      <c r="BL673" s="18" t="s">
        <v>22</v>
      </c>
      <c r="BM673" s="41" t="s">
        <v>22</v>
      </c>
      <c r="BN673" s="41">
        <v>102000000</v>
      </c>
      <c r="BO673" s="41" t="s">
        <v>22</v>
      </c>
      <c r="BP673" s="41" t="s">
        <v>22</v>
      </c>
      <c r="BQ673" s="41" t="s">
        <v>22</v>
      </c>
      <c r="BR673" s="41" t="s">
        <v>22</v>
      </c>
      <c r="BS673" s="18" t="s">
        <v>22</v>
      </c>
      <c r="BT673" s="18" t="s">
        <v>22</v>
      </c>
      <c r="BU673" s="41" t="s">
        <v>22</v>
      </c>
      <c r="BV673" s="41" t="s">
        <v>22</v>
      </c>
      <c r="BW673" s="41" t="s">
        <v>22</v>
      </c>
      <c r="BX673" s="41" t="s">
        <v>22</v>
      </c>
      <c r="BY673" s="41" t="s">
        <v>22</v>
      </c>
      <c r="BZ673" s="41" t="s">
        <v>22</v>
      </c>
      <c r="CA673" s="41" t="s">
        <v>22</v>
      </c>
      <c r="CB673" s="18"/>
      <c r="CC673" s="18" t="s">
        <v>1008</v>
      </c>
      <c r="CD673" s="18" t="s">
        <v>1039</v>
      </c>
      <c r="CE673" s="41">
        <f>LOG10(BN673)</f>
        <v>8.008600171761918</v>
      </c>
      <c r="CF673" s="41" t="e">
        <f>LOG10(BV673)</f>
        <v>#VALUE!</v>
      </c>
      <c r="CG673" s="41" t="e">
        <f t="shared" si="373"/>
        <v>#VALUE!</v>
      </c>
      <c r="CH673" s="41" t="e">
        <f t="shared" si="348"/>
        <v>#VALUE!</v>
      </c>
      <c r="CI673" s="41" t="str">
        <f t="shared" si="374"/>
        <v>Not Reported/ Can not calculate</v>
      </c>
      <c r="CJ673" s="41" t="e">
        <f t="shared" si="353"/>
        <v>#VALUE!</v>
      </c>
      <c r="CK673" s="18"/>
      <c r="CL673" s="9" t="e">
        <v>#N/A</v>
      </c>
      <c r="CM673" s="18" t="s">
        <v>1284</v>
      </c>
      <c r="CN673" s="54" t="s">
        <v>1284</v>
      </c>
      <c r="CO673" s="18" t="s">
        <v>1284</v>
      </c>
    </row>
    <row r="674" spans="1:93" s="9" customFormat="1" x14ac:dyDescent="0.25">
      <c r="A674" s="9" t="s">
        <v>141</v>
      </c>
      <c r="B674" s="50" t="s">
        <v>22</v>
      </c>
      <c r="C674" s="50" t="s">
        <v>22</v>
      </c>
      <c r="D674" s="50" t="s">
        <v>22</v>
      </c>
      <c r="E674" s="50" t="s">
        <v>22</v>
      </c>
      <c r="F674" s="9" t="s">
        <v>22</v>
      </c>
      <c r="G674" s="9" t="s">
        <v>22</v>
      </c>
      <c r="H674" s="9" t="s">
        <v>22</v>
      </c>
      <c r="I674" s="9" t="s">
        <v>22</v>
      </c>
      <c r="J674" s="50">
        <v>0.99</v>
      </c>
      <c r="K674" s="9">
        <v>785</v>
      </c>
      <c r="L674" s="50">
        <f t="shared" si="376"/>
        <v>0.37593591811874999</v>
      </c>
      <c r="M674" s="9" t="s">
        <v>23</v>
      </c>
      <c r="N674" s="50" t="s">
        <v>22</v>
      </c>
      <c r="O674" s="50" t="s">
        <v>22</v>
      </c>
      <c r="P674" s="50" t="s">
        <v>22</v>
      </c>
      <c r="Q674" s="50"/>
      <c r="R674" s="50" t="s">
        <v>22</v>
      </c>
      <c r="S674" s="50" t="s">
        <v>22</v>
      </c>
      <c r="T674" s="50" t="s">
        <v>133</v>
      </c>
      <c r="U674" s="50">
        <v>9</v>
      </c>
      <c r="V674" s="9">
        <v>20200715</v>
      </c>
      <c r="W674" s="21"/>
      <c r="X674" s="21">
        <v>2014</v>
      </c>
      <c r="Y674" s="9" t="s">
        <v>26</v>
      </c>
      <c r="Z674" s="9" t="s">
        <v>32</v>
      </c>
      <c r="AB674" s="50"/>
      <c r="AC674" s="9" t="s">
        <v>514</v>
      </c>
      <c r="AD674" s="50">
        <v>13</v>
      </c>
      <c r="AE674" s="50">
        <v>1596</v>
      </c>
      <c r="AF674" s="50">
        <v>448</v>
      </c>
      <c r="AG674" s="50" t="s">
        <v>22</v>
      </c>
      <c r="AH674" s="50" t="s">
        <v>22</v>
      </c>
      <c r="AI674" s="50" t="s">
        <v>22</v>
      </c>
      <c r="AJ674" s="50" t="s">
        <v>22</v>
      </c>
      <c r="AK674" s="50" t="s">
        <v>22</v>
      </c>
      <c r="AL674" s="50" t="s">
        <v>22</v>
      </c>
      <c r="AM674" s="43" t="e">
        <f t="shared" si="355"/>
        <v>#VALUE!</v>
      </c>
      <c r="AN674" s="43" t="e">
        <f t="shared" si="356"/>
        <v>#VALUE!</v>
      </c>
      <c r="AO674" s="21" t="s">
        <v>1068</v>
      </c>
      <c r="AT674" s="2">
        <f t="shared" si="357"/>
        <v>1</v>
      </c>
      <c r="AU674" s="45" t="e">
        <f t="shared" si="358"/>
        <v>#VALUE!</v>
      </c>
      <c r="AV674" s="45" t="e">
        <f t="shared" si="359"/>
        <v>#VALUE!</v>
      </c>
      <c r="AW674" s="45" t="e">
        <f t="shared" si="360"/>
        <v>#VALUE!</v>
      </c>
      <c r="AX674" s="45" t="e">
        <f t="shared" si="361"/>
        <v>#VALUE!</v>
      </c>
      <c r="AY674" s="45" t="e">
        <f t="shared" si="362"/>
        <v>#VALUE!</v>
      </c>
      <c r="AZ674" s="45" t="e">
        <f t="shared" si="363"/>
        <v>#VALUE!</v>
      </c>
      <c r="BA674" s="45">
        <f t="shared" si="364"/>
        <v>-4.3648054024500883E-3</v>
      </c>
      <c r="BB674" s="45">
        <f t="shared" si="365"/>
        <v>-0.42488617842143994</v>
      </c>
      <c r="BC674" s="45">
        <f t="shared" si="366"/>
        <v>0.95424250943932487</v>
      </c>
      <c r="BD674" s="45">
        <f t="shared" si="367"/>
        <v>1.1139433523068367</v>
      </c>
      <c r="BE674" s="45">
        <f t="shared" si="368"/>
        <v>2.651278013998144</v>
      </c>
      <c r="BF674" s="45" t="e">
        <f t="shared" si="369"/>
        <v>#VALUE!</v>
      </c>
      <c r="BG674" s="45" t="e">
        <f t="shared" si="370"/>
        <v>#VALUE!</v>
      </c>
      <c r="BH674" s="45" t="e">
        <f t="shared" si="371"/>
        <v>#NUM!</v>
      </c>
      <c r="BI674" s="43">
        <f t="shared" si="372"/>
        <v>2.651278013998144</v>
      </c>
      <c r="BL674" s="20"/>
      <c r="BM674" s="50"/>
      <c r="BN674" s="50"/>
      <c r="BO674" s="50"/>
      <c r="BP674" s="50"/>
      <c r="BQ674" s="50"/>
      <c r="BR674" s="50"/>
      <c r="BU674" s="50"/>
      <c r="BV674" s="50"/>
      <c r="BW674" s="50"/>
      <c r="BX674" s="50"/>
      <c r="BY674" s="50"/>
      <c r="BZ674" s="50"/>
      <c r="CA674" s="50" t="s">
        <v>22</v>
      </c>
      <c r="CE674" s="50"/>
      <c r="CF674" s="50"/>
      <c r="CG674" s="50"/>
      <c r="CH674" s="50"/>
      <c r="CI674" s="50">
        <f t="shared" ref="CI674" si="377">IF(ISNUMBER(CG674),CG674,U674)</f>
        <v>9</v>
      </c>
      <c r="CJ674" s="50">
        <f t="shared" ref="CJ674" si="378">LOG10(CI674)</f>
        <v>0.95424250943932487</v>
      </c>
      <c r="CL674" s="9" t="s">
        <v>1269</v>
      </c>
      <c r="CM674" s="9" t="s">
        <v>1285</v>
      </c>
      <c r="CN674" s="55" t="s">
        <v>1284</v>
      </c>
      <c r="CO674" s="9" t="s">
        <v>1284</v>
      </c>
    </row>
    <row r="675" spans="1:93" s="1" customFormat="1" x14ac:dyDescent="0.25">
      <c r="A675" s="18" t="s">
        <v>141</v>
      </c>
      <c r="B675" s="41" t="s">
        <v>22</v>
      </c>
      <c r="C675" s="41" t="s">
        <v>22</v>
      </c>
      <c r="D675" s="41" t="s">
        <v>22</v>
      </c>
      <c r="E675" s="41" t="s">
        <v>22</v>
      </c>
      <c r="F675" s="18" t="s">
        <v>22</v>
      </c>
      <c r="G675" s="18" t="s">
        <v>22</v>
      </c>
      <c r="H675" s="18" t="s">
        <v>22</v>
      </c>
      <c r="I675" s="18" t="s">
        <v>22</v>
      </c>
      <c r="J675" s="41" t="s">
        <v>22</v>
      </c>
      <c r="K675" s="18">
        <v>532</v>
      </c>
      <c r="L675" s="41"/>
      <c r="M675" s="18" t="s">
        <v>23</v>
      </c>
      <c r="N675" s="41">
        <v>173.6</v>
      </c>
      <c r="O675" s="41" t="s">
        <v>22</v>
      </c>
      <c r="P675" s="41">
        <v>10.8</v>
      </c>
      <c r="Q675" s="41"/>
      <c r="R675" s="41" t="s">
        <v>22</v>
      </c>
      <c r="S675" s="41" t="s">
        <v>22</v>
      </c>
      <c r="T675" s="41">
        <v>22</v>
      </c>
      <c r="U675" s="41">
        <v>22</v>
      </c>
      <c r="V675" s="18">
        <v>20200512</v>
      </c>
      <c r="W675" s="21"/>
      <c r="X675" s="6">
        <v>2015</v>
      </c>
      <c r="Y675" s="18" t="s">
        <v>26</v>
      </c>
      <c r="Z675" s="18" t="s">
        <v>32</v>
      </c>
      <c r="AA675" s="18"/>
      <c r="AB675" s="41"/>
      <c r="AC675" s="18" t="s">
        <v>514</v>
      </c>
      <c r="AD675" s="41" t="s">
        <v>22</v>
      </c>
      <c r="AE675" s="41" t="s">
        <v>22</v>
      </c>
      <c r="AF675" s="41" t="s">
        <v>22</v>
      </c>
      <c r="AG675" s="41" t="s">
        <v>22</v>
      </c>
      <c r="AH675" s="41" t="s">
        <v>22</v>
      </c>
      <c r="AI675" s="41" t="s">
        <v>22</v>
      </c>
      <c r="AJ675" s="41" t="s">
        <v>22</v>
      </c>
      <c r="AK675" s="41" t="s">
        <v>22</v>
      </c>
      <c r="AL675" s="41" t="s">
        <v>22</v>
      </c>
      <c r="AM675" s="43" t="e">
        <f t="shared" si="355"/>
        <v>#VALUE!</v>
      </c>
      <c r="AN675" s="43" t="e">
        <f t="shared" si="356"/>
        <v>#VALUE!</v>
      </c>
      <c r="AO675" s="19" t="s">
        <v>601</v>
      </c>
      <c r="AP675" s="18"/>
      <c r="AQ675" s="18"/>
      <c r="AR675" s="18"/>
      <c r="AS675" s="18"/>
      <c r="AT675" s="2">
        <f t="shared" si="357"/>
        <v>6</v>
      </c>
      <c r="AU675" s="45" t="e">
        <f t="shared" si="358"/>
        <v>#VALUE!</v>
      </c>
      <c r="AV675" s="45" t="e">
        <f t="shared" si="359"/>
        <v>#VALUE!</v>
      </c>
      <c r="AW675" s="45" t="e">
        <f t="shared" si="360"/>
        <v>#VALUE!</v>
      </c>
      <c r="AX675" s="45">
        <f t="shared" si="361"/>
        <v>2.2395497208404729</v>
      </c>
      <c r="AY675" s="45" t="e">
        <f t="shared" si="362"/>
        <v>#VALUE!</v>
      </c>
      <c r="AZ675" s="45">
        <f t="shared" si="363"/>
        <v>1.0334237554869496</v>
      </c>
      <c r="BA675" s="45" t="e">
        <f t="shared" si="364"/>
        <v>#VALUE!</v>
      </c>
      <c r="BB675" s="45" t="e">
        <f t="shared" si="365"/>
        <v>#NUM!</v>
      </c>
      <c r="BC675" s="45">
        <f t="shared" si="366"/>
        <v>1.3424226808222062</v>
      </c>
      <c r="BD675" s="45" t="e">
        <f t="shared" si="367"/>
        <v>#VALUE!</v>
      </c>
      <c r="BE675" s="45" t="e">
        <f t="shared" si="368"/>
        <v>#VALUE!</v>
      </c>
      <c r="BF675" s="45" t="e">
        <f t="shared" si="369"/>
        <v>#VALUE!</v>
      </c>
      <c r="BG675" s="45" t="e">
        <f t="shared" si="370"/>
        <v>#VALUE!</v>
      </c>
      <c r="BH675" s="45" t="e">
        <f t="shared" si="371"/>
        <v>#NUM!</v>
      </c>
      <c r="BI675" s="43" t="e">
        <f t="shared" si="372"/>
        <v>#VALUE!</v>
      </c>
      <c r="BJ675" s="18"/>
      <c r="BK675" s="18"/>
      <c r="BL675" s="20"/>
      <c r="BM675" s="41"/>
      <c r="BN675" s="41"/>
      <c r="BO675" s="41"/>
      <c r="BP675" s="41"/>
      <c r="BQ675" s="41"/>
      <c r="BR675" s="41"/>
      <c r="BS675" s="18"/>
      <c r="BT675" s="18"/>
      <c r="BU675" s="41"/>
      <c r="BV675" s="41"/>
      <c r="BW675" s="41"/>
      <c r="BX675" s="41"/>
      <c r="BY675" s="41"/>
      <c r="BZ675" s="41"/>
      <c r="CA675" s="41" t="s">
        <v>22</v>
      </c>
      <c r="CB675" s="18"/>
      <c r="CC675" s="18" t="s">
        <v>22</v>
      </c>
      <c r="CD675" s="18"/>
      <c r="CE675" s="41" t="s">
        <v>22</v>
      </c>
      <c r="CF675" s="41" t="s">
        <v>22</v>
      </c>
      <c r="CG675" s="41" t="e">
        <f t="shared" ref="CG675:CG712" si="379">AD675*1000</f>
        <v>#VALUE!</v>
      </c>
      <c r="CH675" s="41" t="e">
        <f t="shared" ref="CH675:CH712" si="380">LOG10(CG675)</f>
        <v>#VALUE!</v>
      </c>
      <c r="CI675" s="41">
        <f t="shared" ref="CI675:CI712" si="381">IF(ISNUMBER(CG675),CG675,U675)</f>
        <v>22</v>
      </c>
      <c r="CJ675" s="41">
        <f t="shared" ref="CJ675:CJ712" si="382">LOG10(CI675)</f>
        <v>1.3424226808222062</v>
      </c>
      <c r="CK675" s="18"/>
      <c r="CL675" s="9" t="s">
        <v>1269</v>
      </c>
      <c r="CM675" s="18" t="s">
        <v>1285</v>
      </c>
      <c r="CN675" s="54" t="s">
        <v>1284</v>
      </c>
      <c r="CO675" s="18" t="s">
        <v>1284</v>
      </c>
    </row>
    <row r="676" spans="1:93" s="1" customFormat="1" x14ac:dyDescent="0.25">
      <c r="A676" s="18" t="s">
        <v>141</v>
      </c>
      <c r="B676" s="41" t="s">
        <v>22</v>
      </c>
      <c r="C676" s="41" t="s">
        <v>22</v>
      </c>
      <c r="D676" s="41" t="s">
        <v>22</v>
      </c>
      <c r="E676" s="41" t="s">
        <v>22</v>
      </c>
      <c r="F676" s="18" t="s">
        <v>22</v>
      </c>
      <c r="G676" s="18" t="s">
        <v>22</v>
      </c>
      <c r="H676" s="18" t="s">
        <v>22</v>
      </c>
      <c r="I676" s="18" t="s">
        <v>22</v>
      </c>
      <c r="J676" s="41" t="s">
        <v>22</v>
      </c>
      <c r="K676" s="18">
        <v>532</v>
      </c>
      <c r="L676" s="41"/>
      <c r="M676" s="18" t="s">
        <v>23</v>
      </c>
      <c r="N676" s="41">
        <v>349.7</v>
      </c>
      <c r="O676" s="41" t="s">
        <v>22</v>
      </c>
      <c r="P676" s="41">
        <v>48.7</v>
      </c>
      <c r="Q676" s="41"/>
      <c r="R676" s="41" t="s">
        <v>22</v>
      </c>
      <c r="S676" s="41" t="s">
        <v>22</v>
      </c>
      <c r="T676" s="41">
        <v>22</v>
      </c>
      <c r="U676" s="41">
        <v>22</v>
      </c>
      <c r="V676" s="18">
        <v>20200512</v>
      </c>
      <c r="W676" s="21"/>
      <c r="X676" s="6">
        <v>2015</v>
      </c>
      <c r="Y676" s="18" t="s">
        <v>26</v>
      </c>
      <c r="Z676" s="18" t="s">
        <v>600</v>
      </c>
      <c r="AA676" s="18"/>
      <c r="AB676" s="41"/>
      <c r="AC676" s="18" t="s">
        <v>514</v>
      </c>
      <c r="AD676" s="41" t="s">
        <v>22</v>
      </c>
      <c r="AE676" s="41" t="s">
        <v>22</v>
      </c>
      <c r="AF676" s="41" t="s">
        <v>22</v>
      </c>
      <c r="AG676" s="41" t="s">
        <v>22</v>
      </c>
      <c r="AH676" s="41" t="s">
        <v>22</v>
      </c>
      <c r="AI676" s="41" t="s">
        <v>22</v>
      </c>
      <c r="AJ676" s="41" t="s">
        <v>22</v>
      </c>
      <c r="AK676" s="41" t="s">
        <v>22</v>
      </c>
      <c r="AL676" s="41" t="s">
        <v>22</v>
      </c>
      <c r="AM676" s="43" t="e">
        <f t="shared" si="355"/>
        <v>#VALUE!</v>
      </c>
      <c r="AN676" s="43" t="e">
        <f t="shared" si="356"/>
        <v>#VALUE!</v>
      </c>
      <c r="AO676" s="19" t="s">
        <v>601</v>
      </c>
      <c r="AP676" s="18"/>
      <c r="AQ676" s="18"/>
      <c r="AR676" s="18"/>
      <c r="AS676" s="18"/>
      <c r="AT676" s="2">
        <f t="shared" si="357"/>
        <v>6</v>
      </c>
      <c r="AU676" s="45" t="e">
        <f t="shared" si="358"/>
        <v>#VALUE!</v>
      </c>
      <c r="AV676" s="45" t="e">
        <f t="shared" si="359"/>
        <v>#VALUE!</v>
      </c>
      <c r="AW676" s="45" t="e">
        <f t="shared" si="360"/>
        <v>#VALUE!</v>
      </c>
      <c r="AX676" s="45">
        <f t="shared" si="361"/>
        <v>2.5436956323092446</v>
      </c>
      <c r="AY676" s="45" t="e">
        <f t="shared" si="362"/>
        <v>#VALUE!</v>
      </c>
      <c r="AZ676" s="45">
        <f t="shared" si="363"/>
        <v>1.6875289612146342</v>
      </c>
      <c r="BA676" s="45" t="e">
        <f t="shared" si="364"/>
        <v>#VALUE!</v>
      </c>
      <c r="BB676" s="45" t="e">
        <f t="shared" si="365"/>
        <v>#NUM!</v>
      </c>
      <c r="BC676" s="45">
        <f t="shared" si="366"/>
        <v>1.3424226808222062</v>
      </c>
      <c r="BD676" s="45" t="e">
        <f t="shared" si="367"/>
        <v>#VALUE!</v>
      </c>
      <c r="BE676" s="45" t="e">
        <f t="shared" si="368"/>
        <v>#VALUE!</v>
      </c>
      <c r="BF676" s="45" t="e">
        <f t="shared" si="369"/>
        <v>#VALUE!</v>
      </c>
      <c r="BG676" s="45" t="e">
        <f t="shared" si="370"/>
        <v>#VALUE!</v>
      </c>
      <c r="BH676" s="45" t="e">
        <f t="shared" si="371"/>
        <v>#NUM!</v>
      </c>
      <c r="BI676" s="43" t="e">
        <f t="shared" si="372"/>
        <v>#VALUE!</v>
      </c>
      <c r="BJ676" s="18"/>
      <c r="BK676" s="18"/>
      <c r="BL676" s="20"/>
      <c r="BM676" s="41"/>
      <c r="BN676" s="41"/>
      <c r="BO676" s="41"/>
      <c r="BP676" s="41"/>
      <c r="BQ676" s="41"/>
      <c r="BR676" s="41"/>
      <c r="BS676" s="18"/>
      <c r="BT676" s="18"/>
      <c r="BU676" s="41"/>
      <c r="BV676" s="41"/>
      <c r="BW676" s="41"/>
      <c r="BX676" s="41"/>
      <c r="BY676" s="41"/>
      <c r="BZ676" s="41"/>
      <c r="CA676" s="41" t="s">
        <v>22</v>
      </c>
      <c r="CB676" s="18"/>
      <c r="CC676" s="18" t="s">
        <v>22</v>
      </c>
      <c r="CD676" s="18"/>
      <c r="CE676" s="41" t="s">
        <v>22</v>
      </c>
      <c r="CF676" s="41" t="s">
        <v>22</v>
      </c>
      <c r="CG676" s="41" t="e">
        <f t="shared" si="379"/>
        <v>#VALUE!</v>
      </c>
      <c r="CH676" s="41" t="e">
        <f t="shared" si="380"/>
        <v>#VALUE!</v>
      </c>
      <c r="CI676" s="41">
        <f t="shared" si="381"/>
        <v>22</v>
      </c>
      <c r="CJ676" s="41">
        <f t="shared" si="382"/>
        <v>1.3424226808222062</v>
      </c>
      <c r="CK676" s="18"/>
      <c r="CL676" s="9" t="s">
        <v>1269</v>
      </c>
      <c r="CM676" s="18" t="s">
        <v>1285</v>
      </c>
      <c r="CN676" s="54" t="s">
        <v>1284</v>
      </c>
      <c r="CO676" s="18" t="s">
        <v>1284</v>
      </c>
    </row>
    <row r="677" spans="1:93" s="1" customFormat="1" x14ac:dyDescent="0.25">
      <c r="A677" s="18" t="s">
        <v>141</v>
      </c>
      <c r="B677" s="41" t="s">
        <v>22</v>
      </c>
      <c r="C677" s="41" t="s">
        <v>22</v>
      </c>
      <c r="D677" s="41" t="s">
        <v>22</v>
      </c>
      <c r="E677" s="41" t="s">
        <v>22</v>
      </c>
      <c r="F677" s="18" t="s">
        <v>22</v>
      </c>
      <c r="G677" s="18" t="s">
        <v>22</v>
      </c>
      <c r="H677" s="18" t="s">
        <v>22</v>
      </c>
      <c r="I677" s="18" t="s">
        <v>22</v>
      </c>
      <c r="J677" s="41" t="s">
        <v>22</v>
      </c>
      <c r="K677" s="18">
        <v>532</v>
      </c>
      <c r="L677" s="41"/>
      <c r="M677" s="18" t="s">
        <v>23</v>
      </c>
      <c r="N677" s="41">
        <v>163.30000000000001</v>
      </c>
      <c r="O677" s="41" t="s">
        <v>22</v>
      </c>
      <c r="P677" s="41">
        <v>9.3000000000000007</v>
      </c>
      <c r="Q677" s="41"/>
      <c r="R677" s="41" t="s">
        <v>22</v>
      </c>
      <c r="S677" s="41" t="s">
        <v>22</v>
      </c>
      <c r="T677" s="41">
        <v>30</v>
      </c>
      <c r="U677" s="41">
        <v>30</v>
      </c>
      <c r="V677" s="18">
        <v>20200512</v>
      </c>
      <c r="W677" s="21"/>
      <c r="X677" s="6">
        <v>2015</v>
      </c>
      <c r="Y677" s="18" t="s">
        <v>26</v>
      </c>
      <c r="Z677" s="18" t="s">
        <v>32</v>
      </c>
      <c r="AA677" s="18"/>
      <c r="AB677" s="41"/>
      <c r="AC677" s="18" t="s">
        <v>514</v>
      </c>
      <c r="AD677" s="41" t="s">
        <v>22</v>
      </c>
      <c r="AE677" s="41" t="s">
        <v>22</v>
      </c>
      <c r="AF677" s="41" t="s">
        <v>22</v>
      </c>
      <c r="AG677" s="41" t="s">
        <v>22</v>
      </c>
      <c r="AH677" s="41" t="s">
        <v>22</v>
      </c>
      <c r="AI677" s="41" t="s">
        <v>22</v>
      </c>
      <c r="AJ677" s="41" t="s">
        <v>22</v>
      </c>
      <c r="AK677" s="41" t="s">
        <v>22</v>
      </c>
      <c r="AL677" s="41" t="s">
        <v>22</v>
      </c>
      <c r="AM677" s="43" t="e">
        <f t="shared" si="355"/>
        <v>#VALUE!</v>
      </c>
      <c r="AN677" s="43" t="e">
        <f t="shared" si="356"/>
        <v>#VALUE!</v>
      </c>
      <c r="AO677" s="19" t="s">
        <v>601</v>
      </c>
      <c r="AP677" s="18"/>
      <c r="AQ677" s="18"/>
      <c r="AR677" s="18"/>
      <c r="AS677" s="18"/>
      <c r="AT677" s="2">
        <f t="shared" si="357"/>
        <v>6</v>
      </c>
      <c r="AU677" s="45" t="e">
        <f t="shared" si="358"/>
        <v>#VALUE!</v>
      </c>
      <c r="AV677" s="45" t="e">
        <f t="shared" si="359"/>
        <v>#VALUE!</v>
      </c>
      <c r="AW677" s="45" t="e">
        <f t="shared" si="360"/>
        <v>#VALUE!</v>
      </c>
      <c r="AX677" s="45">
        <f t="shared" si="361"/>
        <v>2.2129861847366681</v>
      </c>
      <c r="AY677" s="45" t="e">
        <f t="shared" si="362"/>
        <v>#VALUE!</v>
      </c>
      <c r="AZ677" s="45">
        <f t="shared" si="363"/>
        <v>0.96848294855393513</v>
      </c>
      <c r="BA677" s="45" t="e">
        <f t="shared" si="364"/>
        <v>#VALUE!</v>
      </c>
      <c r="BB677" s="45" t="e">
        <f t="shared" si="365"/>
        <v>#NUM!</v>
      </c>
      <c r="BC677" s="45">
        <f t="shared" si="366"/>
        <v>1.4771212547196624</v>
      </c>
      <c r="BD677" s="45" t="e">
        <f t="shared" si="367"/>
        <v>#VALUE!</v>
      </c>
      <c r="BE677" s="45" t="e">
        <f t="shared" si="368"/>
        <v>#VALUE!</v>
      </c>
      <c r="BF677" s="45" t="e">
        <f t="shared" si="369"/>
        <v>#VALUE!</v>
      </c>
      <c r="BG677" s="45" t="e">
        <f t="shared" si="370"/>
        <v>#VALUE!</v>
      </c>
      <c r="BH677" s="45" t="e">
        <f t="shared" si="371"/>
        <v>#NUM!</v>
      </c>
      <c r="BI677" s="43" t="e">
        <f t="shared" si="372"/>
        <v>#VALUE!</v>
      </c>
      <c r="BJ677" s="18"/>
      <c r="BK677" s="18"/>
      <c r="BL677" s="20"/>
      <c r="BM677" s="41"/>
      <c r="BN677" s="41"/>
      <c r="BO677" s="41"/>
      <c r="BP677" s="41"/>
      <c r="BQ677" s="41"/>
      <c r="BR677" s="41"/>
      <c r="BS677" s="18"/>
      <c r="BT677" s="18"/>
      <c r="BU677" s="41"/>
      <c r="BV677" s="41"/>
      <c r="BW677" s="41"/>
      <c r="BX677" s="41"/>
      <c r="BY677" s="41"/>
      <c r="BZ677" s="41"/>
      <c r="CA677" s="41" t="s">
        <v>22</v>
      </c>
      <c r="CB677" s="18"/>
      <c r="CC677" s="18" t="s">
        <v>22</v>
      </c>
      <c r="CD677" s="18"/>
      <c r="CE677" s="41" t="s">
        <v>22</v>
      </c>
      <c r="CF677" s="41" t="s">
        <v>22</v>
      </c>
      <c r="CG677" s="41" t="e">
        <f t="shared" si="379"/>
        <v>#VALUE!</v>
      </c>
      <c r="CH677" s="41" t="e">
        <f t="shared" si="380"/>
        <v>#VALUE!</v>
      </c>
      <c r="CI677" s="41">
        <f t="shared" si="381"/>
        <v>30</v>
      </c>
      <c r="CJ677" s="41">
        <f t="shared" si="382"/>
        <v>1.4771212547196624</v>
      </c>
      <c r="CK677" s="18"/>
      <c r="CL677" s="9" t="s">
        <v>1269</v>
      </c>
      <c r="CM677" s="18" t="s">
        <v>1285</v>
      </c>
      <c r="CN677" s="54" t="s">
        <v>1284</v>
      </c>
      <c r="CO677" s="18" t="s">
        <v>1284</v>
      </c>
    </row>
    <row r="678" spans="1:93" s="18" customFormat="1" x14ac:dyDescent="0.25">
      <c r="A678" s="18" t="s">
        <v>141</v>
      </c>
      <c r="B678" s="41" t="s">
        <v>22</v>
      </c>
      <c r="C678" s="41" t="s">
        <v>22</v>
      </c>
      <c r="D678" s="41" t="s">
        <v>22</v>
      </c>
      <c r="E678" s="41" t="s">
        <v>22</v>
      </c>
      <c r="F678" s="18" t="s">
        <v>22</v>
      </c>
      <c r="G678" s="18" t="s">
        <v>22</v>
      </c>
      <c r="H678" s="18" t="s">
        <v>22</v>
      </c>
      <c r="I678" s="18" t="s">
        <v>22</v>
      </c>
      <c r="J678" s="41" t="s">
        <v>22</v>
      </c>
      <c r="K678" s="18">
        <v>532</v>
      </c>
      <c r="L678" s="41"/>
      <c r="M678" s="18" t="s">
        <v>23</v>
      </c>
      <c r="N678" s="41">
        <v>327.39999999999998</v>
      </c>
      <c r="O678" s="41" t="s">
        <v>22</v>
      </c>
      <c r="P678" s="41">
        <v>41.9</v>
      </c>
      <c r="Q678" s="41"/>
      <c r="R678" s="41" t="s">
        <v>22</v>
      </c>
      <c r="S678" s="41" t="s">
        <v>22</v>
      </c>
      <c r="T678" s="41">
        <v>30</v>
      </c>
      <c r="U678" s="41">
        <v>30</v>
      </c>
      <c r="V678" s="18">
        <v>20200512</v>
      </c>
      <c r="W678" s="21"/>
      <c r="X678" s="6">
        <v>2015</v>
      </c>
      <c r="Y678" s="18" t="s">
        <v>26</v>
      </c>
      <c r="Z678" s="18" t="s">
        <v>600</v>
      </c>
      <c r="AB678" s="41"/>
      <c r="AC678" s="18" t="s">
        <v>514</v>
      </c>
      <c r="AD678" s="41" t="s">
        <v>22</v>
      </c>
      <c r="AE678" s="41" t="s">
        <v>22</v>
      </c>
      <c r="AF678" s="41" t="s">
        <v>22</v>
      </c>
      <c r="AG678" s="41" t="s">
        <v>22</v>
      </c>
      <c r="AH678" s="41" t="s">
        <v>22</v>
      </c>
      <c r="AI678" s="41" t="s">
        <v>22</v>
      </c>
      <c r="AJ678" s="41" t="s">
        <v>22</v>
      </c>
      <c r="AK678" s="41" t="s">
        <v>22</v>
      </c>
      <c r="AL678" s="41" t="s">
        <v>22</v>
      </c>
      <c r="AM678" s="43" t="e">
        <f t="shared" si="355"/>
        <v>#VALUE!</v>
      </c>
      <c r="AN678" s="43" t="e">
        <f t="shared" si="356"/>
        <v>#VALUE!</v>
      </c>
      <c r="AO678" s="19" t="s">
        <v>601</v>
      </c>
      <c r="AT678" s="2">
        <f t="shared" si="357"/>
        <v>6</v>
      </c>
      <c r="AU678" s="45" t="e">
        <f t="shared" si="358"/>
        <v>#VALUE!</v>
      </c>
      <c r="AV678" s="45" t="e">
        <f t="shared" si="359"/>
        <v>#VALUE!</v>
      </c>
      <c r="AW678" s="45" t="e">
        <f t="shared" si="360"/>
        <v>#VALUE!</v>
      </c>
      <c r="AX678" s="45">
        <f t="shared" si="361"/>
        <v>2.5150786750759226</v>
      </c>
      <c r="AY678" s="45" t="e">
        <f t="shared" si="362"/>
        <v>#VALUE!</v>
      </c>
      <c r="AZ678" s="45">
        <f t="shared" si="363"/>
        <v>1.6222140229662954</v>
      </c>
      <c r="BA678" s="45" t="e">
        <f t="shared" si="364"/>
        <v>#VALUE!</v>
      </c>
      <c r="BB678" s="45" t="e">
        <f t="shared" si="365"/>
        <v>#NUM!</v>
      </c>
      <c r="BC678" s="45">
        <f t="shared" si="366"/>
        <v>1.4771212547196624</v>
      </c>
      <c r="BD678" s="45" t="e">
        <f t="shared" si="367"/>
        <v>#VALUE!</v>
      </c>
      <c r="BE678" s="45" t="e">
        <f t="shared" si="368"/>
        <v>#VALUE!</v>
      </c>
      <c r="BF678" s="45" t="e">
        <f t="shared" si="369"/>
        <v>#VALUE!</v>
      </c>
      <c r="BG678" s="45" t="e">
        <f t="shared" si="370"/>
        <v>#VALUE!</v>
      </c>
      <c r="BH678" s="45" t="e">
        <f t="shared" si="371"/>
        <v>#NUM!</v>
      </c>
      <c r="BI678" s="43" t="e">
        <f t="shared" si="372"/>
        <v>#VALUE!</v>
      </c>
      <c r="BL678" s="20"/>
      <c r="BM678" s="41"/>
      <c r="BN678" s="41"/>
      <c r="BO678" s="41"/>
      <c r="BP678" s="41"/>
      <c r="BQ678" s="41"/>
      <c r="BR678" s="41"/>
      <c r="BU678" s="41"/>
      <c r="BV678" s="41"/>
      <c r="BW678" s="41"/>
      <c r="BX678" s="41"/>
      <c r="BY678" s="41"/>
      <c r="BZ678" s="41"/>
      <c r="CA678" s="41" t="s">
        <v>22</v>
      </c>
      <c r="CC678" s="18" t="s">
        <v>22</v>
      </c>
      <c r="CE678" s="41" t="s">
        <v>22</v>
      </c>
      <c r="CF678" s="41" t="s">
        <v>22</v>
      </c>
      <c r="CG678" s="41" t="e">
        <f t="shared" si="379"/>
        <v>#VALUE!</v>
      </c>
      <c r="CH678" s="41" t="e">
        <f t="shared" si="380"/>
        <v>#VALUE!</v>
      </c>
      <c r="CI678" s="41">
        <f t="shared" si="381"/>
        <v>30</v>
      </c>
      <c r="CJ678" s="41">
        <f t="shared" si="382"/>
        <v>1.4771212547196624</v>
      </c>
      <c r="CL678" s="9" t="s">
        <v>1269</v>
      </c>
      <c r="CM678" s="18" t="s">
        <v>1285</v>
      </c>
      <c r="CN678" s="54" t="s">
        <v>1284</v>
      </c>
      <c r="CO678" s="18" t="s">
        <v>1284</v>
      </c>
    </row>
    <row r="679" spans="1:93" x14ac:dyDescent="0.25">
      <c r="A679" t="s">
        <v>141</v>
      </c>
      <c r="B679" s="41" t="s">
        <v>22</v>
      </c>
      <c r="C679" s="41" t="s">
        <v>22</v>
      </c>
      <c r="D679" s="41" t="s">
        <v>22</v>
      </c>
      <c r="E679" s="41" t="s">
        <v>22</v>
      </c>
      <c r="F679" t="s">
        <v>22</v>
      </c>
      <c r="G679" t="s">
        <v>22</v>
      </c>
      <c r="H679" t="s">
        <v>22</v>
      </c>
      <c r="I679" t="s">
        <v>22</v>
      </c>
      <c r="J679" s="41" t="s">
        <v>22</v>
      </c>
      <c r="K679">
        <v>532</v>
      </c>
      <c r="M679" t="s">
        <v>23</v>
      </c>
      <c r="N679" s="41">
        <v>88.6</v>
      </c>
      <c r="O679" s="41" t="s">
        <v>22</v>
      </c>
      <c r="P679" s="41">
        <v>6.1</v>
      </c>
      <c r="R679" s="41" t="s">
        <v>22</v>
      </c>
      <c r="S679" s="41" t="s">
        <v>22</v>
      </c>
      <c r="T679" s="41">
        <v>38</v>
      </c>
      <c r="U679" s="41">
        <v>38</v>
      </c>
      <c r="V679">
        <v>20200512</v>
      </c>
      <c r="X679" s="6">
        <v>2015</v>
      </c>
      <c r="Y679" t="s">
        <v>26</v>
      </c>
      <c r="Z679" t="s">
        <v>32</v>
      </c>
      <c r="AC679" t="s">
        <v>514</v>
      </c>
      <c r="AD679" s="41" t="s">
        <v>22</v>
      </c>
      <c r="AE679" s="41" t="s">
        <v>22</v>
      </c>
      <c r="AF679" s="41" t="s">
        <v>22</v>
      </c>
      <c r="AG679" s="41" t="s">
        <v>22</v>
      </c>
      <c r="AH679" s="41" t="s">
        <v>22</v>
      </c>
      <c r="AI679" s="41" t="s">
        <v>22</v>
      </c>
      <c r="AJ679" s="41" t="s">
        <v>22</v>
      </c>
      <c r="AK679" s="41" t="s">
        <v>22</v>
      </c>
      <c r="AL679" s="41" t="s">
        <v>22</v>
      </c>
      <c r="AM679" s="43" t="e">
        <f t="shared" si="355"/>
        <v>#VALUE!</v>
      </c>
      <c r="AN679" s="43" t="e">
        <f t="shared" si="356"/>
        <v>#VALUE!</v>
      </c>
      <c r="AO679" s="3" t="s">
        <v>601</v>
      </c>
      <c r="AT679" s="2">
        <f t="shared" si="357"/>
        <v>6</v>
      </c>
      <c r="AU679" s="45" t="e">
        <f t="shared" si="358"/>
        <v>#VALUE!</v>
      </c>
      <c r="AV679" s="45" t="e">
        <f t="shared" si="359"/>
        <v>#VALUE!</v>
      </c>
      <c r="AW679" s="45" t="e">
        <f t="shared" si="360"/>
        <v>#VALUE!</v>
      </c>
      <c r="AX679" s="45">
        <f t="shared" si="361"/>
        <v>1.9474337218870508</v>
      </c>
      <c r="AY679" s="45" t="e">
        <f t="shared" si="362"/>
        <v>#VALUE!</v>
      </c>
      <c r="AZ679" s="45">
        <f t="shared" si="363"/>
        <v>0.78532983501076703</v>
      </c>
      <c r="BA679" s="45" t="e">
        <f t="shared" si="364"/>
        <v>#VALUE!</v>
      </c>
      <c r="BB679" s="45" t="e">
        <f t="shared" si="365"/>
        <v>#NUM!</v>
      </c>
      <c r="BC679" s="45">
        <f t="shared" si="366"/>
        <v>1.5797835966168101</v>
      </c>
      <c r="BD679" s="45" t="e">
        <f t="shared" si="367"/>
        <v>#VALUE!</v>
      </c>
      <c r="BE679" s="45" t="e">
        <f t="shared" si="368"/>
        <v>#VALUE!</v>
      </c>
      <c r="BF679" s="45" t="e">
        <f t="shared" si="369"/>
        <v>#VALUE!</v>
      </c>
      <c r="BG679" s="45" t="e">
        <f t="shared" si="370"/>
        <v>#VALUE!</v>
      </c>
      <c r="BH679" s="45" t="e">
        <f t="shared" si="371"/>
        <v>#NUM!</v>
      </c>
      <c r="BI679" s="43" t="e">
        <f t="shared" si="372"/>
        <v>#VALUE!</v>
      </c>
      <c r="CA679" s="41" t="s">
        <v>22</v>
      </c>
      <c r="CC679" t="s">
        <v>22</v>
      </c>
      <c r="CE679" s="41" t="s">
        <v>22</v>
      </c>
      <c r="CF679" s="41" t="s">
        <v>22</v>
      </c>
      <c r="CG679" s="41" t="e">
        <f t="shared" si="379"/>
        <v>#VALUE!</v>
      </c>
      <c r="CH679" s="41" t="e">
        <f t="shared" si="380"/>
        <v>#VALUE!</v>
      </c>
      <c r="CI679" s="41">
        <f t="shared" si="381"/>
        <v>38</v>
      </c>
      <c r="CJ679" s="41">
        <f t="shared" si="382"/>
        <v>1.5797835966168101</v>
      </c>
      <c r="CL679" s="9" t="s">
        <v>1269</v>
      </c>
      <c r="CM679" s="18" t="s">
        <v>1285</v>
      </c>
      <c r="CN679" s="54" t="s">
        <v>1284</v>
      </c>
      <c r="CO679" s="18" t="s">
        <v>1284</v>
      </c>
    </row>
    <row r="680" spans="1:93" x14ac:dyDescent="0.25">
      <c r="A680" t="s">
        <v>141</v>
      </c>
      <c r="B680" s="41" t="s">
        <v>22</v>
      </c>
      <c r="C680" s="41" t="s">
        <v>22</v>
      </c>
      <c r="D680" s="41" t="s">
        <v>22</v>
      </c>
      <c r="E680" s="41" t="s">
        <v>22</v>
      </c>
      <c r="F680" t="s">
        <v>22</v>
      </c>
      <c r="G680" t="s">
        <v>22</v>
      </c>
      <c r="H680" t="s">
        <v>22</v>
      </c>
      <c r="I680" t="s">
        <v>22</v>
      </c>
      <c r="J680" s="41" t="s">
        <v>22</v>
      </c>
      <c r="K680">
        <v>532</v>
      </c>
      <c r="M680" t="s">
        <v>23</v>
      </c>
      <c r="N680" s="41">
        <v>211.8</v>
      </c>
      <c r="O680" s="41" t="s">
        <v>22</v>
      </c>
      <c r="P680" s="41">
        <v>35.700000000000003</v>
      </c>
      <c r="R680" s="41" t="s">
        <v>22</v>
      </c>
      <c r="S680" s="41" t="s">
        <v>22</v>
      </c>
      <c r="T680" s="41">
        <v>38</v>
      </c>
      <c r="U680" s="41">
        <v>38</v>
      </c>
      <c r="V680">
        <v>20200512</v>
      </c>
      <c r="X680" s="6">
        <v>2015</v>
      </c>
      <c r="Y680" t="s">
        <v>26</v>
      </c>
      <c r="Z680" t="s">
        <v>600</v>
      </c>
      <c r="AC680" t="s">
        <v>514</v>
      </c>
      <c r="AD680" s="41" t="s">
        <v>22</v>
      </c>
      <c r="AE680" s="41" t="s">
        <v>22</v>
      </c>
      <c r="AF680" s="41" t="s">
        <v>22</v>
      </c>
      <c r="AG680" s="41" t="s">
        <v>22</v>
      </c>
      <c r="AH680" s="41" t="s">
        <v>22</v>
      </c>
      <c r="AI680" s="41" t="s">
        <v>22</v>
      </c>
      <c r="AJ680" s="41" t="s">
        <v>22</v>
      </c>
      <c r="AK680" s="41" t="s">
        <v>22</v>
      </c>
      <c r="AL680" s="41" t="s">
        <v>22</v>
      </c>
      <c r="AM680" s="43" t="e">
        <f t="shared" si="355"/>
        <v>#VALUE!</v>
      </c>
      <c r="AN680" s="43" t="e">
        <f t="shared" si="356"/>
        <v>#VALUE!</v>
      </c>
      <c r="AO680" s="3" t="s">
        <v>601</v>
      </c>
      <c r="AT680" s="2">
        <f t="shared" si="357"/>
        <v>6</v>
      </c>
      <c r="AU680" s="45" t="e">
        <f t="shared" si="358"/>
        <v>#VALUE!</v>
      </c>
      <c r="AV680" s="45" t="e">
        <f t="shared" si="359"/>
        <v>#VALUE!</v>
      </c>
      <c r="AW680" s="45" t="e">
        <f t="shared" si="360"/>
        <v>#VALUE!</v>
      </c>
      <c r="AX680" s="45">
        <f t="shared" si="361"/>
        <v>2.3259259557714662</v>
      </c>
      <c r="AY680" s="45" t="e">
        <f t="shared" si="362"/>
        <v>#VALUE!</v>
      </c>
      <c r="AZ680" s="45">
        <f t="shared" si="363"/>
        <v>1.5526682161121932</v>
      </c>
      <c r="BA680" s="45" t="e">
        <f t="shared" si="364"/>
        <v>#VALUE!</v>
      </c>
      <c r="BB680" s="45" t="e">
        <f t="shared" si="365"/>
        <v>#NUM!</v>
      </c>
      <c r="BC680" s="45">
        <f t="shared" si="366"/>
        <v>1.5797835966168101</v>
      </c>
      <c r="BD680" s="45" t="e">
        <f t="shared" si="367"/>
        <v>#VALUE!</v>
      </c>
      <c r="BE680" s="45" t="e">
        <f t="shared" si="368"/>
        <v>#VALUE!</v>
      </c>
      <c r="BF680" s="45" t="e">
        <f t="shared" si="369"/>
        <v>#VALUE!</v>
      </c>
      <c r="BG680" s="45" t="e">
        <f t="shared" si="370"/>
        <v>#VALUE!</v>
      </c>
      <c r="BH680" s="45" t="e">
        <f t="shared" si="371"/>
        <v>#NUM!</v>
      </c>
      <c r="BI680" s="43" t="e">
        <f t="shared" si="372"/>
        <v>#VALUE!</v>
      </c>
      <c r="CA680" s="41" t="s">
        <v>22</v>
      </c>
      <c r="CC680" t="s">
        <v>22</v>
      </c>
      <c r="CE680" s="41" t="s">
        <v>22</v>
      </c>
      <c r="CF680" s="41" t="s">
        <v>22</v>
      </c>
      <c r="CG680" s="41" t="e">
        <f t="shared" si="379"/>
        <v>#VALUE!</v>
      </c>
      <c r="CH680" s="41" t="e">
        <f t="shared" si="380"/>
        <v>#VALUE!</v>
      </c>
      <c r="CI680" s="41">
        <f t="shared" si="381"/>
        <v>38</v>
      </c>
      <c r="CJ680" s="41">
        <f t="shared" si="382"/>
        <v>1.5797835966168101</v>
      </c>
      <c r="CL680" s="9" t="s">
        <v>1269</v>
      </c>
      <c r="CM680" s="18" t="s">
        <v>1285</v>
      </c>
      <c r="CN680" s="54" t="s">
        <v>1284</v>
      </c>
      <c r="CO680" s="18" t="s">
        <v>1284</v>
      </c>
    </row>
    <row r="681" spans="1:93" x14ac:dyDescent="0.25">
      <c r="A681" t="s">
        <v>266</v>
      </c>
      <c r="B681" s="41">
        <v>1.6</v>
      </c>
      <c r="C681" s="41">
        <v>0.9</v>
      </c>
      <c r="D681" s="41">
        <f>0.001*(B681*10^6)/(C681*0.001*100^3)</f>
        <v>1.7777777777777775</v>
      </c>
      <c r="E681" s="41" t="s">
        <v>22</v>
      </c>
      <c r="F681" t="s">
        <v>22</v>
      </c>
      <c r="G681" t="s">
        <v>22</v>
      </c>
      <c r="H681" t="s">
        <v>22</v>
      </c>
      <c r="I681" t="s">
        <v>22</v>
      </c>
      <c r="J681" s="41">
        <v>25</v>
      </c>
      <c r="K681">
        <v>633</v>
      </c>
      <c r="L681" s="41">
        <f>IF((10^-12)*J681*K681^4=0,"",(10^-12)*J681*K681^4)</f>
        <v>4.0137918680249998</v>
      </c>
      <c r="M681" t="s">
        <v>45</v>
      </c>
      <c r="N681" s="41" t="s">
        <v>22</v>
      </c>
      <c r="O681" s="41" t="s">
        <v>22</v>
      </c>
      <c r="P681" s="41" t="s">
        <v>22</v>
      </c>
      <c r="R681" s="41" t="s">
        <v>22</v>
      </c>
      <c r="S681" s="41" t="s">
        <v>22</v>
      </c>
      <c r="T681" s="41" t="s">
        <v>211</v>
      </c>
      <c r="U681" s="41">
        <f>0.8+(2-0.8)/2</f>
        <v>1.4</v>
      </c>
      <c r="V681">
        <v>20200510</v>
      </c>
      <c r="W681" s="16" t="s">
        <v>212</v>
      </c>
      <c r="X681">
        <v>2015</v>
      </c>
      <c r="Y681" t="s">
        <v>76</v>
      </c>
      <c r="Z681" t="s">
        <v>213</v>
      </c>
      <c r="AC681" t="s">
        <v>514</v>
      </c>
      <c r="AD681" s="41">
        <v>48.6</v>
      </c>
      <c r="AE681" s="41">
        <v>1587</v>
      </c>
      <c r="AF681" s="41" t="s">
        <v>22</v>
      </c>
      <c r="AG681" s="41" t="s">
        <v>22</v>
      </c>
      <c r="AH681" s="41" t="s">
        <v>22</v>
      </c>
      <c r="AI681" s="41" t="s">
        <v>22</v>
      </c>
      <c r="AJ681" s="41" t="s">
        <v>22</v>
      </c>
      <c r="AK681" s="41" t="s">
        <v>22</v>
      </c>
      <c r="AL681" s="41" t="s">
        <v>22</v>
      </c>
      <c r="AM681" s="43" t="e">
        <f t="shared" si="355"/>
        <v>#VALUE!</v>
      </c>
      <c r="AN681" s="43" t="e">
        <f t="shared" si="356"/>
        <v>#VALUE!</v>
      </c>
      <c r="AO681" s="3" t="s">
        <v>214</v>
      </c>
      <c r="AT681" s="2">
        <f t="shared" si="357"/>
        <v>1</v>
      </c>
      <c r="AU681" s="45">
        <f t="shared" si="358"/>
        <v>0.20411998265592479</v>
      </c>
      <c r="AV681" s="45">
        <f t="shared" si="359"/>
        <v>-4.5757490560675115E-2</v>
      </c>
      <c r="AW681" s="45">
        <f t="shared" si="360"/>
        <v>0.24987747321659984</v>
      </c>
      <c r="AX681" s="45" t="e">
        <f t="shared" si="361"/>
        <v>#VALUE!</v>
      </c>
      <c r="AY681" s="45" t="e">
        <f t="shared" si="362"/>
        <v>#VALUE!</v>
      </c>
      <c r="AZ681" s="45" t="e">
        <f t="shared" si="363"/>
        <v>#VALUE!</v>
      </c>
      <c r="BA681" s="45">
        <f t="shared" si="364"/>
        <v>1.3979400086720377</v>
      </c>
      <c r="BB681" s="45">
        <f t="shared" si="365"/>
        <v>0.60355484874145804</v>
      </c>
      <c r="BC681" s="45">
        <f t="shared" si="366"/>
        <v>0.14612803567823801</v>
      </c>
      <c r="BD681" s="45">
        <f t="shared" si="367"/>
        <v>1.6866362692622934</v>
      </c>
      <c r="BE681" s="45" t="e">
        <f t="shared" si="368"/>
        <v>#VALUE!</v>
      </c>
      <c r="BF681" s="45" t="e">
        <f t="shared" si="369"/>
        <v>#VALUE!</v>
      </c>
      <c r="BG681" s="45" t="e">
        <f t="shared" si="370"/>
        <v>#VALUE!</v>
      </c>
      <c r="BH681" s="45" t="e">
        <f t="shared" si="371"/>
        <v>#NUM!</v>
      </c>
      <c r="BI681" s="43" t="e">
        <f t="shared" si="372"/>
        <v>#VALUE!</v>
      </c>
      <c r="CA681" s="41" t="s">
        <v>22</v>
      </c>
      <c r="CC681" t="s">
        <v>22</v>
      </c>
      <c r="CE681" s="41" t="s">
        <v>22</v>
      </c>
      <c r="CF681" s="41" t="s">
        <v>22</v>
      </c>
      <c r="CG681" s="41">
        <f t="shared" si="379"/>
        <v>48600</v>
      </c>
      <c r="CH681" s="41">
        <f t="shared" si="380"/>
        <v>4.6866362692622934</v>
      </c>
      <c r="CI681" s="41">
        <f t="shared" si="381"/>
        <v>48600</v>
      </c>
      <c r="CJ681" s="41">
        <f t="shared" si="382"/>
        <v>4.6866362692622934</v>
      </c>
      <c r="CL681" s="9" t="s">
        <v>1269</v>
      </c>
      <c r="CM681" s="18" t="s">
        <v>1283</v>
      </c>
      <c r="CN681" s="54" t="s">
        <v>1284</v>
      </c>
      <c r="CO681" s="18" t="s">
        <v>1284</v>
      </c>
    </row>
    <row r="682" spans="1:93" x14ac:dyDescent="0.25">
      <c r="A682" t="s">
        <v>141</v>
      </c>
      <c r="B682" s="41">
        <v>1E-3</v>
      </c>
      <c r="C682" s="41" t="s">
        <v>22</v>
      </c>
      <c r="D682" s="41" t="s">
        <v>22</v>
      </c>
      <c r="E682" s="41">
        <v>1.19</v>
      </c>
      <c r="F682" t="s">
        <v>22</v>
      </c>
      <c r="G682" t="s">
        <v>22</v>
      </c>
      <c r="H682" t="s">
        <v>22</v>
      </c>
      <c r="I682" t="s">
        <v>22</v>
      </c>
      <c r="J682" s="41">
        <v>0.7</v>
      </c>
      <c r="K682">
        <v>532</v>
      </c>
      <c r="L682" s="41">
        <f>IF((10^-12)*J682*K682^4=0,"",(10^-12)*J682*K682^4)</f>
        <v>5.6071809203199999E-2</v>
      </c>
      <c r="M682" t="s">
        <v>23</v>
      </c>
      <c r="N682" s="41" t="s">
        <v>22</v>
      </c>
      <c r="O682" s="41" t="s">
        <v>22</v>
      </c>
      <c r="P682" s="41" t="s">
        <v>22</v>
      </c>
      <c r="R682" s="41" t="s">
        <v>22</v>
      </c>
      <c r="S682" s="41" t="s">
        <v>22</v>
      </c>
      <c r="T682" s="41">
        <v>7.8</v>
      </c>
      <c r="U682" s="41">
        <v>7.8</v>
      </c>
      <c r="V682">
        <v>20200507</v>
      </c>
      <c r="W682" s="16" t="s">
        <v>503</v>
      </c>
      <c r="X682">
        <v>2015</v>
      </c>
      <c r="Y682" t="s">
        <v>26</v>
      </c>
      <c r="Z682" t="s">
        <v>32</v>
      </c>
      <c r="AC682" t="s">
        <v>514</v>
      </c>
      <c r="AD682" s="41" t="s">
        <v>22</v>
      </c>
      <c r="AE682" s="41" t="s">
        <v>22</v>
      </c>
      <c r="AF682" s="41" t="s">
        <v>22</v>
      </c>
      <c r="AG682" s="41" t="s">
        <v>22</v>
      </c>
      <c r="AH682" s="41" t="s">
        <v>22</v>
      </c>
      <c r="AI682" s="41" t="s">
        <v>22</v>
      </c>
      <c r="AJ682" s="41" t="s">
        <v>22</v>
      </c>
      <c r="AK682" s="41" t="s">
        <v>22</v>
      </c>
      <c r="AL682" s="41" t="s">
        <v>22</v>
      </c>
      <c r="AM682" s="43" t="e">
        <f t="shared" si="355"/>
        <v>#VALUE!</v>
      </c>
      <c r="AN682" s="43" t="e">
        <f t="shared" si="356"/>
        <v>#VALUE!</v>
      </c>
      <c r="AO682" s="3" t="s">
        <v>73</v>
      </c>
      <c r="AT682" s="2">
        <f t="shared" si="357"/>
        <v>2</v>
      </c>
      <c r="AU682" s="45">
        <f t="shared" si="358"/>
        <v>-3</v>
      </c>
      <c r="AV682" s="45" t="e">
        <f t="shared" si="359"/>
        <v>#VALUE!</v>
      </c>
      <c r="AW682" s="45" t="e">
        <f t="shared" si="360"/>
        <v>#VALUE!</v>
      </c>
      <c r="AX682" s="45" t="e">
        <f t="shared" si="361"/>
        <v>#VALUE!</v>
      </c>
      <c r="AY682" s="45" t="e">
        <f t="shared" si="362"/>
        <v>#VALUE!</v>
      </c>
      <c r="AZ682" s="45" t="e">
        <f t="shared" si="363"/>
        <v>#VALUE!</v>
      </c>
      <c r="BA682" s="45">
        <f t="shared" si="364"/>
        <v>-0.15490195998574319</v>
      </c>
      <c r="BB682" s="45">
        <f t="shared" si="365"/>
        <v>-1.2512554308055504</v>
      </c>
      <c r="BC682" s="45">
        <f t="shared" si="366"/>
        <v>0.89209460269048035</v>
      </c>
      <c r="BD682" s="45" t="e">
        <f t="shared" si="367"/>
        <v>#VALUE!</v>
      </c>
      <c r="BE682" s="45" t="e">
        <f t="shared" si="368"/>
        <v>#VALUE!</v>
      </c>
      <c r="BF682" s="45" t="e">
        <f t="shared" si="369"/>
        <v>#VALUE!</v>
      </c>
      <c r="BG682" s="45" t="e">
        <f t="shared" si="370"/>
        <v>#VALUE!</v>
      </c>
      <c r="BH682" s="45" t="e">
        <f t="shared" si="371"/>
        <v>#NUM!</v>
      </c>
      <c r="BI682" s="43" t="e">
        <f t="shared" si="372"/>
        <v>#VALUE!</v>
      </c>
      <c r="CA682" s="41" t="s">
        <v>22</v>
      </c>
      <c r="CC682" t="s">
        <v>22</v>
      </c>
      <c r="CE682" s="41" t="s">
        <v>22</v>
      </c>
      <c r="CF682" s="41" t="s">
        <v>22</v>
      </c>
      <c r="CG682" s="41" t="e">
        <f t="shared" si="379"/>
        <v>#VALUE!</v>
      </c>
      <c r="CH682" s="41" t="e">
        <f t="shared" si="380"/>
        <v>#VALUE!</v>
      </c>
      <c r="CI682" s="41">
        <f t="shared" si="381"/>
        <v>7.8</v>
      </c>
      <c r="CJ682" s="41">
        <f t="shared" si="382"/>
        <v>0.89209460269048035</v>
      </c>
      <c r="CL682" s="9" t="s">
        <v>1269</v>
      </c>
      <c r="CM682" s="18" t="s">
        <v>1285</v>
      </c>
      <c r="CN682" s="54" t="s">
        <v>1284</v>
      </c>
      <c r="CO682" s="18" t="s">
        <v>1284</v>
      </c>
    </row>
    <row r="683" spans="1:93" x14ac:dyDescent="0.25">
      <c r="A683" t="s">
        <v>141</v>
      </c>
      <c r="B683" s="41">
        <v>0.01</v>
      </c>
      <c r="C683" s="41" t="s">
        <v>22</v>
      </c>
      <c r="D683" s="41" t="s">
        <v>22</v>
      </c>
      <c r="E683" s="41">
        <v>1.44</v>
      </c>
      <c r="F683" t="s">
        <v>22</v>
      </c>
      <c r="G683" t="s">
        <v>22</v>
      </c>
      <c r="H683" t="s">
        <v>22</v>
      </c>
      <c r="I683" t="s">
        <v>22</v>
      </c>
      <c r="J683" s="41">
        <v>0.7</v>
      </c>
      <c r="K683">
        <v>532</v>
      </c>
      <c r="L683" s="41">
        <f>IF((10^-12)*J683*K683^4=0,"",(10^-12)*J683*K683^4)</f>
        <v>5.6071809203199999E-2</v>
      </c>
      <c r="M683" t="s">
        <v>23</v>
      </c>
      <c r="N683" s="41" t="s">
        <v>22</v>
      </c>
      <c r="O683" s="41" t="s">
        <v>22</v>
      </c>
      <c r="P683" s="41" t="s">
        <v>22</v>
      </c>
      <c r="R683" s="41" t="s">
        <v>22</v>
      </c>
      <c r="S683" s="41" t="s">
        <v>22</v>
      </c>
      <c r="T683" s="41">
        <v>7.8</v>
      </c>
      <c r="U683" s="41">
        <v>7.8</v>
      </c>
      <c r="V683">
        <v>20200507</v>
      </c>
      <c r="W683" s="16" t="s">
        <v>74</v>
      </c>
      <c r="X683">
        <v>2015</v>
      </c>
      <c r="Y683" t="s">
        <v>26</v>
      </c>
      <c r="Z683" t="s">
        <v>32</v>
      </c>
      <c r="AC683" t="s">
        <v>514</v>
      </c>
      <c r="AD683" s="41" t="s">
        <v>22</v>
      </c>
      <c r="AE683" s="41">
        <v>1570</v>
      </c>
      <c r="AF683" s="41" t="s">
        <v>22</v>
      </c>
      <c r="AG683" s="41" t="s">
        <v>22</v>
      </c>
      <c r="AH683" s="41" t="s">
        <v>22</v>
      </c>
      <c r="AI683" s="41" t="s">
        <v>22</v>
      </c>
      <c r="AJ683" s="41" t="s">
        <v>22</v>
      </c>
      <c r="AK683" s="41" t="s">
        <v>22</v>
      </c>
      <c r="AL683" s="41" t="s">
        <v>22</v>
      </c>
      <c r="AM683" s="43" t="e">
        <f t="shared" si="355"/>
        <v>#VALUE!</v>
      </c>
      <c r="AN683" s="43" t="e">
        <f t="shared" si="356"/>
        <v>#VALUE!</v>
      </c>
      <c r="AO683" s="3" t="s">
        <v>73</v>
      </c>
      <c r="AT683" s="2">
        <f t="shared" si="357"/>
        <v>2</v>
      </c>
      <c r="AU683" s="45">
        <f t="shared" si="358"/>
        <v>-2</v>
      </c>
      <c r="AV683" s="45" t="e">
        <f t="shared" si="359"/>
        <v>#VALUE!</v>
      </c>
      <c r="AW683" s="45" t="e">
        <f t="shared" si="360"/>
        <v>#VALUE!</v>
      </c>
      <c r="AX683" s="45" t="e">
        <f t="shared" si="361"/>
        <v>#VALUE!</v>
      </c>
      <c r="AY683" s="45" t="e">
        <f t="shared" si="362"/>
        <v>#VALUE!</v>
      </c>
      <c r="AZ683" s="45" t="e">
        <f t="shared" si="363"/>
        <v>#VALUE!</v>
      </c>
      <c r="BA683" s="45">
        <f t="shared" si="364"/>
        <v>-0.15490195998574319</v>
      </c>
      <c r="BB683" s="45">
        <f t="shared" si="365"/>
        <v>-1.2512554308055504</v>
      </c>
      <c r="BC683" s="45">
        <f t="shared" si="366"/>
        <v>0.89209460269048035</v>
      </c>
      <c r="BD683" s="45" t="e">
        <f t="shared" si="367"/>
        <v>#VALUE!</v>
      </c>
      <c r="BE683" s="45" t="e">
        <f t="shared" si="368"/>
        <v>#VALUE!</v>
      </c>
      <c r="BF683" s="45" t="e">
        <f t="shared" si="369"/>
        <v>#VALUE!</v>
      </c>
      <c r="BG683" s="45" t="e">
        <f t="shared" si="370"/>
        <v>#VALUE!</v>
      </c>
      <c r="BH683" s="45" t="e">
        <f t="shared" si="371"/>
        <v>#NUM!</v>
      </c>
      <c r="BI683" s="43" t="e">
        <f t="shared" si="372"/>
        <v>#VALUE!</v>
      </c>
      <c r="CA683" s="41" t="s">
        <v>22</v>
      </c>
      <c r="CC683" t="s">
        <v>22</v>
      </c>
      <c r="CE683" s="41" t="s">
        <v>22</v>
      </c>
      <c r="CF683" s="41" t="s">
        <v>22</v>
      </c>
      <c r="CG683" s="41" t="e">
        <f t="shared" si="379"/>
        <v>#VALUE!</v>
      </c>
      <c r="CH683" s="41" t="e">
        <f t="shared" si="380"/>
        <v>#VALUE!</v>
      </c>
      <c r="CI683" s="41">
        <f t="shared" si="381"/>
        <v>7.8</v>
      </c>
      <c r="CJ683" s="41">
        <f t="shared" si="382"/>
        <v>0.89209460269048035</v>
      </c>
      <c r="CL683" s="9" t="s">
        <v>1269</v>
      </c>
      <c r="CM683" s="18" t="s">
        <v>1285</v>
      </c>
      <c r="CN683" s="54" t="s">
        <v>1284</v>
      </c>
      <c r="CO683" s="18" t="s">
        <v>1284</v>
      </c>
    </row>
    <row r="684" spans="1:93" x14ac:dyDescent="0.25">
      <c r="A684" t="s">
        <v>141</v>
      </c>
      <c r="B684" s="41">
        <v>0.1</v>
      </c>
      <c r="C684" s="41">
        <v>0.84</v>
      </c>
      <c r="D684" s="41">
        <f>0.001*(B684*10^6)/(C684*0.001*100^3)</f>
        <v>0.11904761904761904</v>
      </c>
      <c r="E684" s="41" t="s">
        <v>22</v>
      </c>
      <c r="F684" t="s">
        <v>22</v>
      </c>
      <c r="G684" t="s">
        <v>22</v>
      </c>
      <c r="H684" t="s">
        <v>22</v>
      </c>
      <c r="I684" t="s">
        <v>22</v>
      </c>
      <c r="J684" s="41" t="s">
        <v>22</v>
      </c>
      <c r="K684" t="s">
        <v>22</v>
      </c>
      <c r="L684" s="41" t="e">
        <f>IF((10^-12)*J684*K684^4=0,"",(10^-12)*J684*K684^4)</f>
        <v>#VALUE!</v>
      </c>
      <c r="M684" t="s">
        <v>23</v>
      </c>
      <c r="N684" s="41">
        <v>1560</v>
      </c>
      <c r="O684" s="41">
        <f>(N684/C684)*0.001</f>
        <v>1.8571428571428572</v>
      </c>
      <c r="P684" s="41">
        <v>151</v>
      </c>
      <c r="R684" s="41">
        <f>N684*B684</f>
        <v>156</v>
      </c>
      <c r="S684" s="41">
        <f>O684*D684</f>
        <v>0.22108843537414966</v>
      </c>
      <c r="T684" s="41" t="s">
        <v>103</v>
      </c>
      <c r="U684" s="41">
        <v>6</v>
      </c>
      <c r="V684">
        <v>20200507</v>
      </c>
      <c r="X684">
        <v>2015</v>
      </c>
      <c r="Y684" t="s">
        <v>26</v>
      </c>
      <c r="Z684" t="s">
        <v>32</v>
      </c>
      <c r="AC684" t="s">
        <v>514</v>
      </c>
      <c r="AD684" s="41" t="s">
        <v>22</v>
      </c>
      <c r="AE684" s="41">
        <v>2.2258965314520802</v>
      </c>
      <c r="AF684" s="41" t="s">
        <v>22</v>
      </c>
      <c r="AG684" s="41" t="s">
        <v>22</v>
      </c>
      <c r="AH684" s="41" t="s">
        <v>22</v>
      </c>
      <c r="AI684" s="41" t="s">
        <v>22</v>
      </c>
      <c r="AJ684" s="41" t="s">
        <v>22</v>
      </c>
      <c r="AK684" s="41" t="s">
        <v>22</v>
      </c>
      <c r="AL684" s="41" t="s">
        <v>22</v>
      </c>
      <c r="AM684" s="43" t="e">
        <f t="shared" si="355"/>
        <v>#VALUE!</v>
      </c>
      <c r="AN684" s="43" t="e">
        <f t="shared" si="356"/>
        <v>#VALUE!</v>
      </c>
      <c r="AO684" s="3" t="s">
        <v>104</v>
      </c>
      <c r="AT684" s="2">
        <f t="shared" si="357"/>
        <v>2</v>
      </c>
      <c r="AU684" s="45">
        <f t="shared" si="358"/>
        <v>-1</v>
      </c>
      <c r="AV684" s="45">
        <f t="shared" si="359"/>
        <v>-7.5720713938118356E-2</v>
      </c>
      <c r="AW684" s="45">
        <f t="shared" si="360"/>
        <v>-0.9242792860618817</v>
      </c>
      <c r="AX684" s="45">
        <f t="shared" si="361"/>
        <v>3.1931245983544616</v>
      </c>
      <c r="AY684" s="45">
        <f t="shared" si="362"/>
        <v>0.26884531229257996</v>
      </c>
      <c r="AZ684" s="45">
        <f t="shared" si="363"/>
        <v>2.1789769472931693</v>
      </c>
      <c r="BA684" s="45" t="e">
        <f t="shared" si="364"/>
        <v>#VALUE!</v>
      </c>
      <c r="BB684" s="45" t="e">
        <f t="shared" si="365"/>
        <v>#VALUE!</v>
      </c>
      <c r="BC684" s="45">
        <f t="shared" si="366"/>
        <v>0.77815125038364363</v>
      </c>
      <c r="BD684" s="45" t="e">
        <f t="shared" si="367"/>
        <v>#VALUE!</v>
      </c>
      <c r="BE684" s="45" t="e">
        <f t="shared" si="368"/>
        <v>#VALUE!</v>
      </c>
      <c r="BF684" s="45" t="e">
        <f t="shared" si="369"/>
        <v>#VALUE!</v>
      </c>
      <c r="BG684" s="45" t="e">
        <f t="shared" si="370"/>
        <v>#VALUE!</v>
      </c>
      <c r="BH684" s="45" t="e">
        <f t="shared" si="371"/>
        <v>#NUM!</v>
      </c>
      <c r="BI684" s="43" t="e">
        <f t="shared" si="372"/>
        <v>#VALUE!</v>
      </c>
      <c r="CA684" s="41" t="s">
        <v>22</v>
      </c>
      <c r="CC684" t="s">
        <v>22</v>
      </c>
      <c r="CE684" s="41" t="s">
        <v>22</v>
      </c>
      <c r="CF684" s="41" t="s">
        <v>22</v>
      </c>
      <c r="CG684" s="41" t="e">
        <f t="shared" si="379"/>
        <v>#VALUE!</v>
      </c>
      <c r="CH684" s="41" t="e">
        <f t="shared" si="380"/>
        <v>#VALUE!</v>
      </c>
      <c r="CI684" s="41">
        <f t="shared" si="381"/>
        <v>6</v>
      </c>
      <c r="CJ684" s="41">
        <f t="shared" si="382"/>
        <v>0.77815125038364363</v>
      </c>
      <c r="CL684" s="9" t="s">
        <v>1269</v>
      </c>
      <c r="CM684" s="18" t="s">
        <v>1285</v>
      </c>
      <c r="CN684" s="54" t="s">
        <v>1284</v>
      </c>
      <c r="CO684" s="18" t="s">
        <v>1284</v>
      </c>
    </row>
    <row r="685" spans="1:93" x14ac:dyDescent="0.25">
      <c r="A685" t="s">
        <v>141</v>
      </c>
      <c r="B685" s="41">
        <v>0.18</v>
      </c>
      <c r="C685" s="41">
        <v>1.04</v>
      </c>
      <c r="D685" s="41">
        <f>0.001*(B685*10^6)/(C685*0.001*100^3)</f>
        <v>0.17307692307692304</v>
      </c>
      <c r="E685" s="41" t="s">
        <v>22</v>
      </c>
      <c r="F685" t="s">
        <v>22</v>
      </c>
      <c r="G685" t="s">
        <v>22</v>
      </c>
      <c r="H685" t="s">
        <v>22</v>
      </c>
      <c r="I685" t="s">
        <v>22</v>
      </c>
      <c r="J685" s="41" t="s">
        <v>22</v>
      </c>
      <c r="K685" t="s">
        <v>22</v>
      </c>
      <c r="L685" s="41" t="e">
        <f>IF((10^-12)*J685*K685^4=0,"",(10^-12)*J685*K685^4)</f>
        <v>#VALUE!</v>
      </c>
      <c r="M685" t="s">
        <v>23</v>
      </c>
      <c r="N685" s="41">
        <v>3200</v>
      </c>
      <c r="O685" s="41">
        <f>(N685/C685)*0.001</f>
        <v>3.0769230769230766</v>
      </c>
      <c r="P685" s="41">
        <v>172</v>
      </c>
      <c r="R685" s="41">
        <f>N685*B685</f>
        <v>576</v>
      </c>
      <c r="S685" s="41">
        <f>O685*D685</f>
        <v>0.53254437869822469</v>
      </c>
      <c r="T685" s="41" t="s">
        <v>103</v>
      </c>
      <c r="U685" s="41">
        <v>6</v>
      </c>
      <c r="V685">
        <v>20200507</v>
      </c>
      <c r="W685" s="16" t="s">
        <v>105</v>
      </c>
      <c r="X685">
        <v>2015</v>
      </c>
      <c r="Y685" t="s">
        <v>26</v>
      </c>
      <c r="Z685" t="s">
        <v>106</v>
      </c>
      <c r="AC685" t="s">
        <v>514</v>
      </c>
      <c r="AD685" s="41" t="s">
        <v>22</v>
      </c>
      <c r="AE685" s="41" t="s">
        <v>22</v>
      </c>
      <c r="AF685" s="41" t="s">
        <v>22</v>
      </c>
      <c r="AG685" s="41" t="s">
        <v>22</v>
      </c>
      <c r="AH685" s="41" t="s">
        <v>22</v>
      </c>
      <c r="AI685" s="41" t="s">
        <v>22</v>
      </c>
      <c r="AJ685" s="41" t="s">
        <v>22</v>
      </c>
      <c r="AK685" s="41" t="s">
        <v>22</v>
      </c>
      <c r="AL685" s="41" t="s">
        <v>22</v>
      </c>
      <c r="AM685" s="43" t="e">
        <f t="shared" si="355"/>
        <v>#VALUE!</v>
      </c>
      <c r="AN685" s="43" t="e">
        <f t="shared" si="356"/>
        <v>#VALUE!</v>
      </c>
      <c r="AO685" s="3" t="s">
        <v>104</v>
      </c>
      <c r="AT685" s="2">
        <f t="shared" si="357"/>
        <v>2</v>
      </c>
      <c r="AU685" s="45">
        <f t="shared" si="358"/>
        <v>-0.74472749489669399</v>
      </c>
      <c r="AV685" s="45">
        <f t="shared" si="359"/>
        <v>1.703333929878037E-2</v>
      </c>
      <c r="AW685" s="45">
        <f t="shared" si="360"/>
        <v>-0.76176083419547436</v>
      </c>
      <c r="AX685" s="45">
        <f t="shared" si="361"/>
        <v>3.5051499783199058</v>
      </c>
      <c r="AY685" s="45">
        <f t="shared" si="362"/>
        <v>0.48811663902112556</v>
      </c>
      <c r="AZ685" s="45">
        <f t="shared" si="363"/>
        <v>2.2355284469075487</v>
      </c>
      <c r="BA685" s="45" t="e">
        <f t="shared" si="364"/>
        <v>#VALUE!</v>
      </c>
      <c r="BB685" s="45" t="e">
        <f t="shared" si="365"/>
        <v>#VALUE!</v>
      </c>
      <c r="BC685" s="45">
        <f t="shared" si="366"/>
        <v>0.77815125038364363</v>
      </c>
      <c r="BD685" s="45" t="e">
        <f t="shared" si="367"/>
        <v>#VALUE!</v>
      </c>
      <c r="BE685" s="45" t="e">
        <f t="shared" si="368"/>
        <v>#VALUE!</v>
      </c>
      <c r="BF685" s="45" t="e">
        <f t="shared" si="369"/>
        <v>#VALUE!</v>
      </c>
      <c r="BG685" s="45" t="e">
        <f t="shared" si="370"/>
        <v>#VALUE!</v>
      </c>
      <c r="BH685" s="45" t="e">
        <f t="shared" si="371"/>
        <v>#NUM!</v>
      </c>
      <c r="BI685" s="43" t="e">
        <f t="shared" si="372"/>
        <v>#VALUE!</v>
      </c>
      <c r="CA685" s="41" t="s">
        <v>22</v>
      </c>
      <c r="CC685" t="s">
        <v>22</v>
      </c>
      <c r="CE685" s="41" t="s">
        <v>22</v>
      </c>
      <c r="CF685" s="41" t="s">
        <v>22</v>
      </c>
      <c r="CG685" s="41" t="e">
        <f t="shared" si="379"/>
        <v>#VALUE!</v>
      </c>
      <c r="CH685" s="41" t="e">
        <f t="shared" si="380"/>
        <v>#VALUE!</v>
      </c>
      <c r="CI685" s="41">
        <f t="shared" si="381"/>
        <v>6</v>
      </c>
      <c r="CJ685" s="41">
        <f t="shared" si="382"/>
        <v>0.77815125038364363</v>
      </c>
      <c r="CL685" s="9" t="s">
        <v>1269</v>
      </c>
      <c r="CM685" s="18" t="s">
        <v>1285</v>
      </c>
      <c r="CN685" s="54" t="s">
        <v>1284</v>
      </c>
      <c r="CO685" s="18" t="s">
        <v>1284</v>
      </c>
    </row>
    <row r="686" spans="1:93" x14ac:dyDescent="0.25">
      <c r="A686" t="s">
        <v>141</v>
      </c>
      <c r="B686" s="41" t="s">
        <v>22</v>
      </c>
      <c r="C686" s="41" t="s">
        <v>22</v>
      </c>
      <c r="D686" s="41" t="s">
        <v>22</v>
      </c>
      <c r="E686" s="41" t="s">
        <v>22</v>
      </c>
      <c r="F686" t="s">
        <v>22</v>
      </c>
      <c r="G686" t="s">
        <v>22</v>
      </c>
      <c r="H686" t="s">
        <v>22</v>
      </c>
      <c r="I686" t="s">
        <v>22</v>
      </c>
      <c r="K686">
        <v>532</v>
      </c>
      <c r="L686" s="41" t="s">
        <v>22</v>
      </c>
      <c r="M686" t="s">
        <v>23</v>
      </c>
      <c r="N686" s="41" t="s">
        <v>22</v>
      </c>
      <c r="O686" s="41">
        <v>0.84</v>
      </c>
      <c r="P686" s="41" t="s">
        <v>22</v>
      </c>
      <c r="R686" s="41" t="s">
        <v>22</v>
      </c>
      <c r="S686" s="41" t="s">
        <v>22</v>
      </c>
      <c r="T686" s="41" t="s">
        <v>22</v>
      </c>
      <c r="U686" s="41" t="s">
        <v>22</v>
      </c>
      <c r="V686">
        <v>20200512</v>
      </c>
      <c r="X686" s="6">
        <v>2015</v>
      </c>
      <c r="Y686" t="s">
        <v>76</v>
      </c>
      <c r="Z686" t="s">
        <v>53</v>
      </c>
      <c r="AC686" t="s">
        <v>514</v>
      </c>
      <c r="AD686" s="41" t="s">
        <v>22</v>
      </c>
      <c r="AE686" s="41" t="s">
        <v>22</v>
      </c>
      <c r="AF686" s="41" t="s">
        <v>22</v>
      </c>
      <c r="AG686" s="41" t="s">
        <v>22</v>
      </c>
      <c r="AH686" s="41" t="s">
        <v>22</v>
      </c>
      <c r="AI686" s="41" t="s">
        <v>22</v>
      </c>
      <c r="AJ686" s="41" t="s">
        <v>22</v>
      </c>
      <c r="AK686" s="41" t="s">
        <v>22</v>
      </c>
      <c r="AL686" s="41" t="s">
        <v>22</v>
      </c>
      <c r="AM686" s="43" t="e">
        <f t="shared" si="355"/>
        <v>#VALUE!</v>
      </c>
      <c r="AN686" s="43" t="e">
        <f t="shared" si="356"/>
        <v>#VALUE!</v>
      </c>
      <c r="AO686" s="3" t="s">
        <v>590</v>
      </c>
      <c r="AT686" s="2">
        <f t="shared" si="357"/>
        <v>4</v>
      </c>
      <c r="AU686" s="45" t="e">
        <f t="shared" si="358"/>
        <v>#VALUE!</v>
      </c>
      <c r="AV686" s="45" t="e">
        <f t="shared" si="359"/>
        <v>#VALUE!</v>
      </c>
      <c r="AW686" s="45" t="e">
        <f t="shared" si="360"/>
        <v>#VALUE!</v>
      </c>
      <c r="AX686" s="45" t="e">
        <f t="shared" si="361"/>
        <v>#VALUE!</v>
      </c>
      <c r="AY686" s="45">
        <f t="shared" si="362"/>
        <v>-7.5720713938118356E-2</v>
      </c>
      <c r="AZ686" s="45" t="e">
        <f t="shared" si="363"/>
        <v>#VALUE!</v>
      </c>
      <c r="BA686" s="45" t="e">
        <f t="shared" si="364"/>
        <v>#NUM!</v>
      </c>
      <c r="BB686" s="45" t="e">
        <f t="shared" si="365"/>
        <v>#VALUE!</v>
      </c>
      <c r="BC686" s="45" t="e">
        <f t="shared" si="366"/>
        <v>#VALUE!</v>
      </c>
      <c r="BD686" s="45" t="e">
        <f t="shared" si="367"/>
        <v>#VALUE!</v>
      </c>
      <c r="BE686" s="45" t="e">
        <f t="shared" si="368"/>
        <v>#VALUE!</v>
      </c>
      <c r="BF686" s="45" t="e">
        <f t="shared" si="369"/>
        <v>#VALUE!</v>
      </c>
      <c r="BG686" s="45" t="e">
        <f t="shared" si="370"/>
        <v>#VALUE!</v>
      </c>
      <c r="BH686" s="45" t="e">
        <f t="shared" si="371"/>
        <v>#NUM!</v>
      </c>
      <c r="BI686" s="43" t="e">
        <f t="shared" si="372"/>
        <v>#VALUE!</v>
      </c>
      <c r="CA686" s="41" t="s">
        <v>22</v>
      </c>
      <c r="CC686" t="s">
        <v>22</v>
      </c>
      <c r="CE686" s="41" t="s">
        <v>22</v>
      </c>
      <c r="CF686" s="41" t="s">
        <v>22</v>
      </c>
      <c r="CG686" s="41" t="e">
        <f t="shared" si="379"/>
        <v>#VALUE!</v>
      </c>
      <c r="CH686" s="41" t="e">
        <f t="shared" si="380"/>
        <v>#VALUE!</v>
      </c>
      <c r="CI686" s="41" t="str">
        <f t="shared" si="381"/>
        <v>Not Reported/ Can not calculate</v>
      </c>
      <c r="CJ686" s="41" t="e">
        <f t="shared" si="382"/>
        <v>#VALUE!</v>
      </c>
      <c r="CL686" s="9" t="s">
        <v>1269</v>
      </c>
      <c r="CM686" s="18" t="s">
        <v>1284</v>
      </c>
      <c r="CN686" s="54" t="s">
        <v>1284</v>
      </c>
      <c r="CO686" s="18" t="s">
        <v>1284</v>
      </c>
    </row>
    <row r="687" spans="1:93" x14ac:dyDescent="0.25">
      <c r="A687" t="s">
        <v>141</v>
      </c>
      <c r="B687" s="41" t="s">
        <v>22</v>
      </c>
      <c r="C687" s="41" t="s">
        <v>22</v>
      </c>
      <c r="D687" s="41" t="s">
        <v>22</v>
      </c>
      <c r="E687" s="41" t="s">
        <v>22</v>
      </c>
      <c r="F687" t="s">
        <v>22</v>
      </c>
      <c r="G687" t="s">
        <v>22</v>
      </c>
      <c r="H687" t="s">
        <v>22</v>
      </c>
      <c r="I687" t="s">
        <v>22</v>
      </c>
      <c r="K687">
        <v>532</v>
      </c>
      <c r="L687" s="41" t="s">
        <v>22</v>
      </c>
      <c r="M687" t="s">
        <v>23</v>
      </c>
      <c r="N687" s="41" t="s">
        <v>22</v>
      </c>
      <c r="O687" s="41">
        <v>0.28999999999999998</v>
      </c>
      <c r="P687" s="41" t="s">
        <v>22</v>
      </c>
      <c r="R687" s="41" t="s">
        <v>22</v>
      </c>
      <c r="S687" s="41" t="s">
        <v>22</v>
      </c>
      <c r="T687" s="41" t="s">
        <v>22</v>
      </c>
      <c r="U687" s="41" t="s">
        <v>22</v>
      </c>
      <c r="V687">
        <v>20200512</v>
      </c>
      <c r="X687" s="6">
        <v>2015</v>
      </c>
      <c r="Y687" t="s">
        <v>76</v>
      </c>
      <c r="Z687" t="s">
        <v>53</v>
      </c>
      <c r="AC687" t="s">
        <v>514</v>
      </c>
      <c r="AD687" s="41" t="s">
        <v>22</v>
      </c>
      <c r="AE687" s="41" t="s">
        <v>22</v>
      </c>
      <c r="AF687" s="41" t="s">
        <v>22</v>
      </c>
      <c r="AG687" s="41" t="s">
        <v>22</v>
      </c>
      <c r="AH687" s="41" t="s">
        <v>22</v>
      </c>
      <c r="AI687" s="41" t="s">
        <v>22</v>
      </c>
      <c r="AJ687" s="41" t="s">
        <v>22</v>
      </c>
      <c r="AK687" s="41" t="s">
        <v>22</v>
      </c>
      <c r="AL687" s="41" t="s">
        <v>22</v>
      </c>
      <c r="AM687" s="43" t="e">
        <f t="shared" si="355"/>
        <v>#VALUE!</v>
      </c>
      <c r="AN687" s="43" t="e">
        <f t="shared" si="356"/>
        <v>#VALUE!</v>
      </c>
      <c r="AO687" s="3" t="s">
        <v>590</v>
      </c>
      <c r="AT687" s="2">
        <f t="shared" si="357"/>
        <v>4</v>
      </c>
      <c r="AU687" s="45" t="e">
        <f t="shared" si="358"/>
        <v>#VALUE!</v>
      </c>
      <c r="AV687" s="45" t="e">
        <f t="shared" si="359"/>
        <v>#VALUE!</v>
      </c>
      <c r="AW687" s="45" t="e">
        <f t="shared" si="360"/>
        <v>#VALUE!</v>
      </c>
      <c r="AX687" s="45" t="e">
        <f t="shared" si="361"/>
        <v>#VALUE!</v>
      </c>
      <c r="AY687" s="45">
        <f t="shared" si="362"/>
        <v>-0.53760200210104392</v>
      </c>
      <c r="AZ687" s="45" t="e">
        <f t="shared" si="363"/>
        <v>#VALUE!</v>
      </c>
      <c r="BA687" s="45" t="e">
        <f t="shared" si="364"/>
        <v>#NUM!</v>
      </c>
      <c r="BB687" s="45" t="e">
        <f t="shared" si="365"/>
        <v>#VALUE!</v>
      </c>
      <c r="BC687" s="45" t="e">
        <f t="shared" si="366"/>
        <v>#VALUE!</v>
      </c>
      <c r="BD687" s="45" t="e">
        <f t="shared" si="367"/>
        <v>#VALUE!</v>
      </c>
      <c r="BE687" s="45" t="e">
        <f t="shared" si="368"/>
        <v>#VALUE!</v>
      </c>
      <c r="BF687" s="45" t="e">
        <f t="shared" si="369"/>
        <v>#VALUE!</v>
      </c>
      <c r="BG687" s="45" t="e">
        <f t="shared" si="370"/>
        <v>#VALUE!</v>
      </c>
      <c r="BH687" s="45" t="e">
        <f t="shared" si="371"/>
        <v>#NUM!</v>
      </c>
      <c r="BI687" s="43" t="e">
        <f t="shared" si="372"/>
        <v>#VALUE!</v>
      </c>
      <c r="CA687" s="41" t="s">
        <v>22</v>
      </c>
      <c r="CC687" t="s">
        <v>22</v>
      </c>
      <c r="CE687" s="41" t="s">
        <v>22</v>
      </c>
      <c r="CF687" s="41" t="s">
        <v>22</v>
      </c>
      <c r="CG687" s="41" t="e">
        <f t="shared" si="379"/>
        <v>#VALUE!</v>
      </c>
      <c r="CH687" s="41" t="e">
        <f t="shared" si="380"/>
        <v>#VALUE!</v>
      </c>
      <c r="CI687" s="41" t="str">
        <f t="shared" si="381"/>
        <v>Not Reported/ Can not calculate</v>
      </c>
      <c r="CJ687" s="41" t="e">
        <f t="shared" si="382"/>
        <v>#VALUE!</v>
      </c>
      <c r="CL687" s="9" t="s">
        <v>1269</v>
      </c>
      <c r="CM687" s="18" t="s">
        <v>1284</v>
      </c>
      <c r="CN687" s="54" t="s">
        <v>1284</v>
      </c>
      <c r="CO687" s="18" t="s">
        <v>1284</v>
      </c>
    </row>
    <row r="688" spans="1:93" x14ac:dyDescent="0.25">
      <c r="A688" t="s">
        <v>266</v>
      </c>
      <c r="B688" s="41" t="s">
        <v>22</v>
      </c>
      <c r="C688" s="41" t="s">
        <v>22</v>
      </c>
      <c r="D688" s="41" t="s">
        <v>22</v>
      </c>
      <c r="E688" s="41" t="s">
        <v>22</v>
      </c>
      <c r="F688" t="s">
        <v>22</v>
      </c>
      <c r="G688" t="s">
        <v>22</v>
      </c>
      <c r="H688" t="s">
        <v>22</v>
      </c>
      <c r="I688" t="s">
        <v>22</v>
      </c>
      <c r="K688">
        <v>532</v>
      </c>
      <c r="L688" s="41" t="s">
        <v>22</v>
      </c>
      <c r="M688" t="s">
        <v>23</v>
      </c>
      <c r="N688" s="41" t="s">
        <v>22</v>
      </c>
      <c r="O688" s="41">
        <v>0.85</v>
      </c>
      <c r="P688" s="41" t="s">
        <v>22</v>
      </c>
      <c r="R688" s="41" t="s">
        <v>22</v>
      </c>
      <c r="S688" s="41" t="s">
        <v>22</v>
      </c>
      <c r="T688" s="41" t="s">
        <v>22</v>
      </c>
      <c r="U688" s="41" t="s">
        <v>22</v>
      </c>
      <c r="V688">
        <v>20200512</v>
      </c>
      <c r="X688" s="6">
        <v>2015</v>
      </c>
      <c r="Y688" t="s">
        <v>76</v>
      </c>
      <c r="Z688" t="s">
        <v>53</v>
      </c>
      <c r="AC688" t="s">
        <v>514</v>
      </c>
      <c r="AD688" s="41" t="s">
        <v>22</v>
      </c>
      <c r="AE688" s="41" t="s">
        <v>22</v>
      </c>
      <c r="AF688" s="41" t="s">
        <v>22</v>
      </c>
      <c r="AG688" s="41" t="s">
        <v>22</v>
      </c>
      <c r="AH688" s="41" t="s">
        <v>22</v>
      </c>
      <c r="AI688" s="41" t="s">
        <v>22</v>
      </c>
      <c r="AJ688" s="41" t="s">
        <v>22</v>
      </c>
      <c r="AK688" s="41" t="s">
        <v>22</v>
      </c>
      <c r="AL688" s="41" t="s">
        <v>22</v>
      </c>
      <c r="AM688" s="43" t="e">
        <f t="shared" si="355"/>
        <v>#VALUE!</v>
      </c>
      <c r="AN688" s="43" t="e">
        <f t="shared" si="356"/>
        <v>#VALUE!</v>
      </c>
      <c r="AO688" s="3" t="s">
        <v>590</v>
      </c>
      <c r="AT688" s="2">
        <f t="shared" si="357"/>
        <v>4</v>
      </c>
      <c r="AU688" s="45" t="e">
        <f t="shared" si="358"/>
        <v>#VALUE!</v>
      </c>
      <c r="AV688" s="45" t="e">
        <f t="shared" si="359"/>
        <v>#VALUE!</v>
      </c>
      <c r="AW688" s="45" t="e">
        <f t="shared" si="360"/>
        <v>#VALUE!</v>
      </c>
      <c r="AX688" s="45" t="e">
        <f t="shared" si="361"/>
        <v>#VALUE!</v>
      </c>
      <c r="AY688" s="45">
        <f t="shared" si="362"/>
        <v>-7.0581074285707285E-2</v>
      </c>
      <c r="AZ688" s="45" t="e">
        <f t="shared" si="363"/>
        <v>#VALUE!</v>
      </c>
      <c r="BA688" s="45" t="e">
        <f t="shared" si="364"/>
        <v>#NUM!</v>
      </c>
      <c r="BB688" s="45" t="e">
        <f t="shared" si="365"/>
        <v>#VALUE!</v>
      </c>
      <c r="BC688" s="45" t="e">
        <f t="shared" si="366"/>
        <v>#VALUE!</v>
      </c>
      <c r="BD688" s="45" t="e">
        <f t="shared" si="367"/>
        <v>#VALUE!</v>
      </c>
      <c r="BE688" s="45" t="e">
        <f t="shared" si="368"/>
        <v>#VALUE!</v>
      </c>
      <c r="BF688" s="45" t="e">
        <f t="shared" si="369"/>
        <v>#VALUE!</v>
      </c>
      <c r="BG688" s="45" t="e">
        <f t="shared" si="370"/>
        <v>#VALUE!</v>
      </c>
      <c r="BH688" s="45" t="e">
        <f t="shared" si="371"/>
        <v>#NUM!</v>
      </c>
      <c r="BI688" s="43" t="e">
        <f t="shared" si="372"/>
        <v>#VALUE!</v>
      </c>
      <c r="CA688" s="41" t="s">
        <v>22</v>
      </c>
      <c r="CC688" t="s">
        <v>22</v>
      </c>
      <c r="CE688" s="41" t="s">
        <v>22</v>
      </c>
      <c r="CF688" s="41" t="s">
        <v>22</v>
      </c>
      <c r="CG688" s="41" t="e">
        <f t="shared" si="379"/>
        <v>#VALUE!</v>
      </c>
      <c r="CH688" s="41" t="e">
        <f t="shared" si="380"/>
        <v>#VALUE!</v>
      </c>
      <c r="CI688" s="41" t="str">
        <f t="shared" si="381"/>
        <v>Not Reported/ Can not calculate</v>
      </c>
      <c r="CJ688" s="41" t="e">
        <f t="shared" si="382"/>
        <v>#VALUE!</v>
      </c>
      <c r="CL688" s="9" t="s">
        <v>1269</v>
      </c>
      <c r="CM688" s="18" t="s">
        <v>1284</v>
      </c>
      <c r="CN688" s="54" t="s">
        <v>1284</v>
      </c>
      <c r="CO688" s="18" t="s">
        <v>1284</v>
      </c>
    </row>
    <row r="689" spans="1:93" x14ac:dyDescent="0.25">
      <c r="A689" t="s">
        <v>266</v>
      </c>
      <c r="B689" s="41" t="s">
        <v>22</v>
      </c>
      <c r="C689" s="41" t="s">
        <v>22</v>
      </c>
      <c r="D689" s="41" t="s">
        <v>22</v>
      </c>
      <c r="E689" s="41" t="s">
        <v>22</v>
      </c>
      <c r="F689" t="s">
        <v>22</v>
      </c>
      <c r="G689" t="s">
        <v>22</v>
      </c>
      <c r="H689" t="s">
        <v>22</v>
      </c>
      <c r="I689" t="s">
        <v>22</v>
      </c>
      <c r="K689">
        <v>532</v>
      </c>
      <c r="L689" s="41" t="s">
        <v>22</v>
      </c>
      <c r="M689" t="s">
        <v>23</v>
      </c>
      <c r="N689" s="41" t="s">
        <v>22</v>
      </c>
      <c r="O689" s="41">
        <v>0.47</v>
      </c>
      <c r="P689" s="41" t="s">
        <v>22</v>
      </c>
      <c r="R689" s="41" t="s">
        <v>22</v>
      </c>
      <c r="S689" s="41" t="s">
        <v>22</v>
      </c>
      <c r="T689" s="41" t="s">
        <v>22</v>
      </c>
      <c r="U689" s="41" t="s">
        <v>22</v>
      </c>
      <c r="V689">
        <v>20200512</v>
      </c>
      <c r="X689" s="6">
        <v>2015</v>
      </c>
      <c r="Y689" t="s">
        <v>76</v>
      </c>
      <c r="Z689" t="s">
        <v>53</v>
      </c>
      <c r="AC689" t="s">
        <v>514</v>
      </c>
      <c r="AD689" s="41" t="s">
        <v>22</v>
      </c>
      <c r="AE689" s="41" t="s">
        <v>22</v>
      </c>
      <c r="AF689" s="41" t="s">
        <v>22</v>
      </c>
      <c r="AG689" s="41" t="s">
        <v>22</v>
      </c>
      <c r="AH689" s="41" t="s">
        <v>22</v>
      </c>
      <c r="AI689" s="41" t="s">
        <v>22</v>
      </c>
      <c r="AJ689" s="41" t="s">
        <v>22</v>
      </c>
      <c r="AK689" s="41" t="s">
        <v>22</v>
      </c>
      <c r="AL689" s="41" t="s">
        <v>22</v>
      </c>
      <c r="AM689" s="43" t="e">
        <f t="shared" si="355"/>
        <v>#VALUE!</v>
      </c>
      <c r="AN689" s="43" t="e">
        <f t="shared" si="356"/>
        <v>#VALUE!</v>
      </c>
      <c r="AO689" s="3" t="s">
        <v>590</v>
      </c>
      <c r="AT689" s="2">
        <f t="shared" si="357"/>
        <v>4</v>
      </c>
      <c r="AU689" s="45" t="e">
        <f t="shared" si="358"/>
        <v>#VALUE!</v>
      </c>
      <c r="AV689" s="45" t="e">
        <f t="shared" si="359"/>
        <v>#VALUE!</v>
      </c>
      <c r="AW689" s="45" t="e">
        <f t="shared" si="360"/>
        <v>#VALUE!</v>
      </c>
      <c r="AX689" s="45" t="e">
        <f t="shared" si="361"/>
        <v>#VALUE!</v>
      </c>
      <c r="AY689" s="45">
        <f t="shared" si="362"/>
        <v>-0.32790214206428259</v>
      </c>
      <c r="AZ689" s="45" t="e">
        <f t="shared" si="363"/>
        <v>#VALUE!</v>
      </c>
      <c r="BA689" s="45" t="e">
        <f t="shared" si="364"/>
        <v>#NUM!</v>
      </c>
      <c r="BB689" s="45" t="e">
        <f t="shared" si="365"/>
        <v>#VALUE!</v>
      </c>
      <c r="BC689" s="45" t="e">
        <f t="shared" si="366"/>
        <v>#VALUE!</v>
      </c>
      <c r="BD689" s="45" t="e">
        <f t="shared" si="367"/>
        <v>#VALUE!</v>
      </c>
      <c r="BE689" s="45" t="e">
        <f t="shared" si="368"/>
        <v>#VALUE!</v>
      </c>
      <c r="BF689" s="45" t="e">
        <f t="shared" si="369"/>
        <v>#VALUE!</v>
      </c>
      <c r="BG689" s="45" t="e">
        <f t="shared" si="370"/>
        <v>#VALUE!</v>
      </c>
      <c r="BH689" s="45" t="e">
        <f t="shared" si="371"/>
        <v>#NUM!</v>
      </c>
      <c r="BI689" s="43" t="e">
        <f t="shared" si="372"/>
        <v>#VALUE!</v>
      </c>
      <c r="CA689" s="41" t="s">
        <v>22</v>
      </c>
      <c r="CC689" t="s">
        <v>22</v>
      </c>
      <c r="CE689" s="41" t="s">
        <v>22</v>
      </c>
      <c r="CF689" s="41" t="s">
        <v>22</v>
      </c>
      <c r="CG689" s="41" t="e">
        <f t="shared" si="379"/>
        <v>#VALUE!</v>
      </c>
      <c r="CH689" s="41" t="e">
        <f t="shared" si="380"/>
        <v>#VALUE!</v>
      </c>
      <c r="CI689" s="41" t="str">
        <f t="shared" si="381"/>
        <v>Not Reported/ Can not calculate</v>
      </c>
      <c r="CJ689" s="41" t="e">
        <f t="shared" si="382"/>
        <v>#VALUE!</v>
      </c>
      <c r="CL689" s="9" t="s">
        <v>1269</v>
      </c>
      <c r="CM689" s="18" t="s">
        <v>1284</v>
      </c>
      <c r="CN689" s="54" t="s">
        <v>1284</v>
      </c>
      <c r="CO689" s="18" t="s">
        <v>1284</v>
      </c>
    </row>
    <row r="690" spans="1:93" x14ac:dyDescent="0.25">
      <c r="A690" t="s">
        <v>365</v>
      </c>
      <c r="B690" s="41" t="s">
        <v>22</v>
      </c>
      <c r="C690" s="41">
        <v>2.1</v>
      </c>
      <c r="D690" s="41" t="s">
        <v>427</v>
      </c>
      <c r="E690" s="41" t="s">
        <v>22</v>
      </c>
      <c r="F690" t="s">
        <v>22</v>
      </c>
      <c r="G690" t="s">
        <v>22</v>
      </c>
      <c r="H690" t="s">
        <v>22</v>
      </c>
      <c r="I690" t="s">
        <v>22</v>
      </c>
      <c r="J690" s="41" t="s">
        <v>22</v>
      </c>
      <c r="K690" t="s">
        <v>22</v>
      </c>
      <c r="L690" s="41" t="e">
        <f t="shared" ref="L690:L712" si="383">IF((10^-12)*J690*K690^4=0,"",(10^-12)*J690*K690^4)</f>
        <v>#VALUE!</v>
      </c>
      <c r="M690" t="s">
        <v>23</v>
      </c>
      <c r="N690" s="41" t="s">
        <v>22</v>
      </c>
      <c r="O690" s="41" t="s">
        <v>22</v>
      </c>
      <c r="P690" s="41" t="s">
        <v>22</v>
      </c>
      <c r="R690" s="41" t="s">
        <v>22</v>
      </c>
      <c r="S690" s="41" t="s">
        <v>22</v>
      </c>
      <c r="T690" s="41" t="s">
        <v>22</v>
      </c>
      <c r="U690" s="41" t="s">
        <v>22</v>
      </c>
      <c r="V690">
        <v>20200512</v>
      </c>
      <c r="X690" s="18">
        <v>2015</v>
      </c>
      <c r="Y690" t="s">
        <v>22</v>
      </c>
      <c r="Z690" t="s">
        <v>22</v>
      </c>
      <c r="AC690" t="s">
        <v>514</v>
      </c>
      <c r="AD690" s="41" t="s">
        <v>22</v>
      </c>
      <c r="AE690" s="41" t="s">
        <v>22</v>
      </c>
      <c r="AF690" s="41" t="s">
        <v>22</v>
      </c>
      <c r="AG690" s="41" t="s">
        <v>22</v>
      </c>
      <c r="AH690" s="41" t="s">
        <v>22</v>
      </c>
      <c r="AI690" s="41" t="s">
        <v>22</v>
      </c>
      <c r="AJ690" s="41" t="s">
        <v>22</v>
      </c>
      <c r="AK690" s="41" t="s">
        <v>22</v>
      </c>
      <c r="AL690" s="41" t="s">
        <v>22</v>
      </c>
      <c r="AM690" s="43" t="e">
        <f t="shared" si="355"/>
        <v>#VALUE!</v>
      </c>
      <c r="AN690" s="43" t="e">
        <f t="shared" si="356"/>
        <v>#VALUE!</v>
      </c>
      <c r="AO690" s="19" t="s">
        <v>367</v>
      </c>
      <c r="AT690" s="2">
        <f t="shared" si="357"/>
        <v>3</v>
      </c>
      <c r="AU690" s="45" t="e">
        <f t="shared" si="358"/>
        <v>#VALUE!</v>
      </c>
      <c r="AV690" s="45">
        <f t="shared" si="359"/>
        <v>0.3222192947339193</v>
      </c>
      <c r="AW690" s="45" t="e">
        <f t="shared" si="360"/>
        <v>#VALUE!</v>
      </c>
      <c r="AX690" s="45" t="e">
        <f t="shared" si="361"/>
        <v>#VALUE!</v>
      </c>
      <c r="AY690" s="45" t="e">
        <f t="shared" si="362"/>
        <v>#VALUE!</v>
      </c>
      <c r="AZ690" s="45" t="e">
        <f t="shared" si="363"/>
        <v>#VALUE!</v>
      </c>
      <c r="BA690" s="45" t="e">
        <f t="shared" si="364"/>
        <v>#VALUE!</v>
      </c>
      <c r="BB690" s="45" t="e">
        <f t="shared" si="365"/>
        <v>#VALUE!</v>
      </c>
      <c r="BC690" s="45" t="e">
        <f t="shared" si="366"/>
        <v>#VALUE!</v>
      </c>
      <c r="BD690" s="45" t="e">
        <f t="shared" si="367"/>
        <v>#VALUE!</v>
      </c>
      <c r="BE690" s="45" t="e">
        <f t="shared" si="368"/>
        <v>#VALUE!</v>
      </c>
      <c r="BF690" s="45" t="e">
        <f t="shared" si="369"/>
        <v>#VALUE!</v>
      </c>
      <c r="BG690" s="45" t="e">
        <f t="shared" si="370"/>
        <v>#VALUE!</v>
      </c>
      <c r="BH690" s="45" t="e">
        <f t="shared" si="371"/>
        <v>#NUM!</v>
      </c>
      <c r="BI690" s="43" t="e">
        <f t="shared" si="372"/>
        <v>#VALUE!</v>
      </c>
      <c r="CA690" s="41" t="s">
        <v>22</v>
      </c>
      <c r="CC690" t="s">
        <v>22</v>
      </c>
      <c r="CE690" s="41" t="s">
        <v>22</v>
      </c>
      <c r="CF690" s="41" t="s">
        <v>22</v>
      </c>
      <c r="CG690" s="41" t="e">
        <f t="shared" si="379"/>
        <v>#VALUE!</v>
      </c>
      <c r="CH690" s="41" t="e">
        <f t="shared" si="380"/>
        <v>#VALUE!</v>
      </c>
      <c r="CI690" s="41" t="str">
        <f t="shared" si="381"/>
        <v>Not Reported/ Can not calculate</v>
      </c>
      <c r="CJ690" s="41" t="e">
        <f t="shared" si="382"/>
        <v>#VALUE!</v>
      </c>
      <c r="CL690" s="9" t="s">
        <v>1269</v>
      </c>
      <c r="CM690" s="18" t="s">
        <v>1284</v>
      </c>
      <c r="CN690" s="54" t="s">
        <v>1284</v>
      </c>
      <c r="CO690" s="18" t="s">
        <v>1284</v>
      </c>
    </row>
    <row r="691" spans="1:93" x14ac:dyDescent="0.25">
      <c r="A691" t="s">
        <v>365</v>
      </c>
      <c r="B691" s="41" t="s">
        <v>22</v>
      </c>
      <c r="C691" s="41">
        <v>1.3</v>
      </c>
      <c r="D691" s="41" t="s">
        <v>428</v>
      </c>
      <c r="E691" s="41" t="s">
        <v>22</v>
      </c>
      <c r="F691" t="s">
        <v>22</v>
      </c>
      <c r="G691" t="s">
        <v>22</v>
      </c>
      <c r="H691" t="s">
        <v>22</v>
      </c>
      <c r="I691" t="s">
        <v>22</v>
      </c>
      <c r="J691" s="41" t="s">
        <v>22</v>
      </c>
      <c r="K691" t="s">
        <v>22</v>
      </c>
      <c r="L691" s="41" t="e">
        <f t="shared" si="383"/>
        <v>#VALUE!</v>
      </c>
      <c r="M691" t="s">
        <v>23</v>
      </c>
      <c r="N691" s="41" t="s">
        <v>22</v>
      </c>
      <c r="O691" s="41" t="s">
        <v>22</v>
      </c>
      <c r="P691" s="41" t="s">
        <v>22</v>
      </c>
      <c r="R691" s="41" t="s">
        <v>22</v>
      </c>
      <c r="S691" s="41" t="s">
        <v>22</v>
      </c>
      <c r="T691" s="41" t="s">
        <v>22</v>
      </c>
      <c r="U691" s="41" t="s">
        <v>22</v>
      </c>
      <c r="V691">
        <v>20200512</v>
      </c>
      <c r="X691" s="18">
        <v>2015</v>
      </c>
      <c r="Y691" t="s">
        <v>22</v>
      </c>
      <c r="Z691" t="s">
        <v>22</v>
      </c>
      <c r="AC691" t="s">
        <v>514</v>
      </c>
      <c r="AD691" s="41" t="s">
        <v>22</v>
      </c>
      <c r="AE691" s="41" t="s">
        <v>22</v>
      </c>
      <c r="AF691" s="41" t="s">
        <v>22</v>
      </c>
      <c r="AG691" s="41" t="s">
        <v>22</v>
      </c>
      <c r="AH691" s="41" t="s">
        <v>22</v>
      </c>
      <c r="AI691" s="41" t="s">
        <v>22</v>
      </c>
      <c r="AJ691" s="41" t="s">
        <v>22</v>
      </c>
      <c r="AK691" s="41" t="s">
        <v>22</v>
      </c>
      <c r="AL691" s="41" t="s">
        <v>22</v>
      </c>
      <c r="AM691" s="43" t="e">
        <f t="shared" si="355"/>
        <v>#VALUE!</v>
      </c>
      <c r="AN691" s="43" t="e">
        <f t="shared" si="356"/>
        <v>#VALUE!</v>
      </c>
      <c r="AO691" s="19" t="s">
        <v>367</v>
      </c>
      <c r="AT691" s="2">
        <f t="shared" si="357"/>
        <v>3</v>
      </c>
      <c r="AU691" s="45" t="e">
        <f t="shared" si="358"/>
        <v>#VALUE!</v>
      </c>
      <c r="AV691" s="45">
        <f t="shared" si="359"/>
        <v>0.11394335230683679</v>
      </c>
      <c r="AW691" s="45" t="e">
        <f t="shared" si="360"/>
        <v>#VALUE!</v>
      </c>
      <c r="AX691" s="45" t="e">
        <f t="shared" si="361"/>
        <v>#VALUE!</v>
      </c>
      <c r="AY691" s="45" t="e">
        <f t="shared" si="362"/>
        <v>#VALUE!</v>
      </c>
      <c r="AZ691" s="45" t="e">
        <f t="shared" si="363"/>
        <v>#VALUE!</v>
      </c>
      <c r="BA691" s="45" t="e">
        <f t="shared" si="364"/>
        <v>#VALUE!</v>
      </c>
      <c r="BB691" s="45" t="e">
        <f t="shared" si="365"/>
        <v>#VALUE!</v>
      </c>
      <c r="BC691" s="45" t="e">
        <f t="shared" si="366"/>
        <v>#VALUE!</v>
      </c>
      <c r="BD691" s="45" t="e">
        <f t="shared" si="367"/>
        <v>#VALUE!</v>
      </c>
      <c r="BE691" s="45" t="e">
        <f t="shared" si="368"/>
        <v>#VALUE!</v>
      </c>
      <c r="BF691" s="45" t="e">
        <f t="shared" si="369"/>
        <v>#VALUE!</v>
      </c>
      <c r="BG691" s="45" t="e">
        <f t="shared" si="370"/>
        <v>#VALUE!</v>
      </c>
      <c r="BH691" s="45" t="e">
        <f t="shared" si="371"/>
        <v>#NUM!</v>
      </c>
      <c r="BI691" s="43" t="e">
        <f t="shared" si="372"/>
        <v>#VALUE!</v>
      </c>
      <c r="CA691" s="41" t="s">
        <v>22</v>
      </c>
      <c r="CC691" t="s">
        <v>22</v>
      </c>
      <c r="CE691" s="41" t="s">
        <v>22</v>
      </c>
      <c r="CF691" s="41" t="s">
        <v>22</v>
      </c>
      <c r="CG691" s="41" t="e">
        <f t="shared" si="379"/>
        <v>#VALUE!</v>
      </c>
      <c r="CH691" s="41" t="e">
        <f t="shared" si="380"/>
        <v>#VALUE!</v>
      </c>
      <c r="CI691" s="41" t="str">
        <f t="shared" si="381"/>
        <v>Not Reported/ Can not calculate</v>
      </c>
      <c r="CJ691" s="41" t="e">
        <f t="shared" si="382"/>
        <v>#VALUE!</v>
      </c>
      <c r="CL691" s="9" t="s">
        <v>1269</v>
      </c>
      <c r="CM691" s="18" t="s">
        <v>1284</v>
      </c>
      <c r="CN691" s="54" t="s">
        <v>1284</v>
      </c>
      <c r="CO691" s="18" t="s">
        <v>1284</v>
      </c>
    </row>
    <row r="692" spans="1:93" x14ac:dyDescent="0.25">
      <c r="A692" s="6" t="s">
        <v>407</v>
      </c>
      <c r="B692" s="41">
        <f>D692*C692</f>
        <v>37.800000000000004</v>
      </c>
      <c r="C692" s="41">
        <v>2.7</v>
      </c>
      <c r="D692" s="41">
        <v>14</v>
      </c>
      <c r="E692" s="41" t="s">
        <v>22</v>
      </c>
      <c r="F692" s="18" t="s">
        <v>22</v>
      </c>
      <c r="G692" s="18" t="s">
        <v>22</v>
      </c>
      <c r="H692" s="18" t="s">
        <v>22</v>
      </c>
      <c r="I692" s="18" t="s">
        <v>22</v>
      </c>
      <c r="J692" s="41" t="s">
        <v>22</v>
      </c>
      <c r="K692" s="18" t="s">
        <v>22</v>
      </c>
      <c r="L692" s="41" t="e">
        <f t="shared" si="383"/>
        <v>#VALUE!</v>
      </c>
      <c r="M692" t="s">
        <v>23</v>
      </c>
      <c r="N692" s="41" t="s">
        <v>22</v>
      </c>
      <c r="O692" s="41" t="s">
        <v>22</v>
      </c>
      <c r="P692" s="41" t="s">
        <v>22</v>
      </c>
      <c r="R692" s="41" t="s">
        <v>22</v>
      </c>
      <c r="S692" s="41" t="s">
        <v>22</v>
      </c>
      <c r="T692" s="41" t="s">
        <v>22</v>
      </c>
      <c r="U692" s="41" t="s">
        <v>22</v>
      </c>
      <c r="V692">
        <v>20191230</v>
      </c>
      <c r="W692" s="16" t="s">
        <v>408</v>
      </c>
      <c r="X692" s="18">
        <v>2015</v>
      </c>
      <c r="AC692" s="18" t="s">
        <v>22</v>
      </c>
      <c r="AD692" s="41" t="s">
        <v>22</v>
      </c>
      <c r="AE692" s="41" t="s">
        <v>22</v>
      </c>
      <c r="AF692" s="41" t="s">
        <v>22</v>
      </c>
      <c r="AG692" s="41" t="s">
        <v>22</v>
      </c>
      <c r="AH692" s="41" t="s">
        <v>22</v>
      </c>
      <c r="AI692" s="41" t="s">
        <v>22</v>
      </c>
      <c r="AJ692" s="41" t="s">
        <v>22</v>
      </c>
      <c r="AK692" s="41" t="s">
        <v>22</v>
      </c>
      <c r="AL692" s="41" t="s">
        <v>22</v>
      </c>
      <c r="AM692" s="43" t="e">
        <f t="shared" si="355"/>
        <v>#VALUE!</v>
      </c>
      <c r="AN692" s="43" t="e">
        <f t="shared" si="356"/>
        <v>#VALUE!</v>
      </c>
      <c r="AO692" s="19" t="s">
        <v>367</v>
      </c>
      <c r="AT692" s="2">
        <f t="shared" si="357"/>
        <v>3</v>
      </c>
      <c r="AU692" s="45">
        <f t="shared" si="358"/>
        <v>1.5774917998372253</v>
      </c>
      <c r="AV692" s="45">
        <f t="shared" si="359"/>
        <v>0.43136376415898736</v>
      </c>
      <c r="AW692" s="45">
        <f t="shared" si="360"/>
        <v>1.146128035678238</v>
      </c>
      <c r="AX692" s="45" t="e">
        <f t="shared" si="361"/>
        <v>#VALUE!</v>
      </c>
      <c r="AY692" s="45" t="e">
        <f t="shared" si="362"/>
        <v>#VALUE!</v>
      </c>
      <c r="AZ692" s="45" t="e">
        <f t="shared" si="363"/>
        <v>#VALUE!</v>
      </c>
      <c r="BA692" s="45" t="e">
        <f t="shared" si="364"/>
        <v>#VALUE!</v>
      </c>
      <c r="BB692" s="45" t="e">
        <f t="shared" si="365"/>
        <v>#VALUE!</v>
      </c>
      <c r="BC692" s="45" t="e">
        <f t="shared" si="366"/>
        <v>#VALUE!</v>
      </c>
      <c r="BD692" s="45" t="e">
        <f t="shared" si="367"/>
        <v>#VALUE!</v>
      </c>
      <c r="BE692" s="45" t="e">
        <f t="shared" si="368"/>
        <v>#VALUE!</v>
      </c>
      <c r="BF692" s="45" t="e">
        <f t="shared" si="369"/>
        <v>#VALUE!</v>
      </c>
      <c r="BG692" s="45" t="e">
        <f t="shared" si="370"/>
        <v>#VALUE!</v>
      </c>
      <c r="BH692" s="45" t="e">
        <f t="shared" si="371"/>
        <v>#NUM!</v>
      </c>
      <c r="BI692" s="43" t="e">
        <f t="shared" si="372"/>
        <v>#VALUE!</v>
      </c>
      <c r="CA692" s="41" t="s">
        <v>22</v>
      </c>
      <c r="CC692" t="s">
        <v>22</v>
      </c>
      <c r="CE692" s="41" t="s">
        <v>22</v>
      </c>
      <c r="CF692" s="41" t="s">
        <v>22</v>
      </c>
      <c r="CG692" s="41" t="e">
        <f t="shared" si="379"/>
        <v>#VALUE!</v>
      </c>
      <c r="CH692" s="41" t="e">
        <f t="shared" si="380"/>
        <v>#VALUE!</v>
      </c>
      <c r="CI692" s="41" t="str">
        <f t="shared" si="381"/>
        <v>Not Reported/ Can not calculate</v>
      </c>
      <c r="CJ692" s="41" t="e">
        <f t="shared" si="382"/>
        <v>#VALUE!</v>
      </c>
      <c r="CL692" s="9" t="s">
        <v>407</v>
      </c>
      <c r="CM692" s="18" t="s">
        <v>1284</v>
      </c>
      <c r="CN692" s="54" t="s">
        <v>1284</v>
      </c>
      <c r="CO692" s="18" t="s">
        <v>1284</v>
      </c>
    </row>
    <row r="693" spans="1:93" x14ac:dyDescent="0.25">
      <c r="A693" t="s">
        <v>266</v>
      </c>
      <c r="B693" s="41">
        <v>5</v>
      </c>
      <c r="C693" s="41">
        <v>2.27</v>
      </c>
      <c r="D693" s="43">
        <v>2.2000000000000002</v>
      </c>
      <c r="E693" s="41" t="s">
        <v>22</v>
      </c>
      <c r="F693" t="s">
        <v>22</v>
      </c>
      <c r="G693" t="s">
        <v>22</v>
      </c>
      <c r="H693" t="s">
        <v>22</v>
      </c>
      <c r="I693" t="s">
        <v>22</v>
      </c>
      <c r="J693" s="41" t="s">
        <v>22</v>
      </c>
      <c r="K693" t="s">
        <v>22</v>
      </c>
      <c r="L693" s="41" t="e">
        <f t="shared" si="383"/>
        <v>#VALUE!</v>
      </c>
      <c r="M693" t="s">
        <v>45</v>
      </c>
      <c r="N693" s="41">
        <v>250</v>
      </c>
      <c r="O693" s="41">
        <v>0.11</v>
      </c>
      <c r="P693" s="41" t="s">
        <v>22</v>
      </c>
      <c r="R693" s="41">
        <f>N693*B693</f>
        <v>1250</v>
      </c>
      <c r="S693" s="41">
        <f>O693*D693</f>
        <v>0.24200000000000002</v>
      </c>
      <c r="T693" s="41" t="s">
        <v>22</v>
      </c>
      <c r="U693" s="41" t="s">
        <v>22</v>
      </c>
      <c r="V693">
        <v>20200715</v>
      </c>
      <c r="W693" s="16" t="s">
        <v>147</v>
      </c>
      <c r="X693" s="18">
        <v>2015</v>
      </c>
      <c r="Y693" t="s">
        <v>143</v>
      </c>
      <c r="Z693" t="s">
        <v>85</v>
      </c>
      <c r="AC693" t="s">
        <v>514</v>
      </c>
      <c r="AD693" s="41">
        <v>42</v>
      </c>
      <c r="AE693" s="41" t="s">
        <v>22</v>
      </c>
      <c r="AF693" s="41">
        <v>300</v>
      </c>
      <c r="AG693" s="41" t="s">
        <v>22</v>
      </c>
      <c r="AH693" s="41" t="s">
        <v>22</v>
      </c>
      <c r="AI693" s="41" t="s">
        <v>22</v>
      </c>
      <c r="AJ693" s="41" t="s">
        <v>22</v>
      </c>
      <c r="AK693" s="41" t="s">
        <v>22</v>
      </c>
      <c r="AL693" s="41" t="s">
        <v>22</v>
      </c>
      <c r="AM693" s="43" t="e">
        <f t="shared" si="355"/>
        <v>#VALUE!</v>
      </c>
      <c r="AN693" s="43" t="e">
        <f t="shared" si="356"/>
        <v>#VALUE!</v>
      </c>
      <c r="AO693" s="19" t="s">
        <v>742</v>
      </c>
      <c r="AT693" s="2">
        <f t="shared" si="357"/>
        <v>1</v>
      </c>
      <c r="AU693" s="45">
        <f t="shared" si="358"/>
        <v>0.69897000433601886</v>
      </c>
      <c r="AV693" s="45">
        <f t="shared" si="359"/>
        <v>0.35602585719312274</v>
      </c>
      <c r="AW693" s="45">
        <f t="shared" si="360"/>
        <v>0.34242268082220628</v>
      </c>
      <c r="AX693" s="45">
        <f t="shared" si="361"/>
        <v>2.3979400086720375</v>
      </c>
      <c r="AY693" s="45">
        <f t="shared" si="362"/>
        <v>-0.95860731484177497</v>
      </c>
      <c r="AZ693" s="45" t="e">
        <f t="shared" si="363"/>
        <v>#VALUE!</v>
      </c>
      <c r="BA693" s="45" t="e">
        <f t="shared" si="364"/>
        <v>#VALUE!</v>
      </c>
      <c r="BB693" s="45" t="e">
        <f t="shared" si="365"/>
        <v>#VALUE!</v>
      </c>
      <c r="BC693" s="45" t="e">
        <f t="shared" si="366"/>
        <v>#VALUE!</v>
      </c>
      <c r="BD693" s="45">
        <f t="shared" si="367"/>
        <v>1.6232492903979006</v>
      </c>
      <c r="BE693" s="45">
        <f t="shared" si="368"/>
        <v>2.4771212547196626</v>
      </c>
      <c r="BF693" s="45" t="e">
        <f t="shared" si="369"/>
        <v>#VALUE!</v>
      </c>
      <c r="BG693" s="45" t="e">
        <f t="shared" si="370"/>
        <v>#VALUE!</v>
      </c>
      <c r="BH693" s="45" t="e">
        <f t="shared" si="371"/>
        <v>#NUM!</v>
      </c>
      <c r="BI693" s="43">
        <f t="shared" si="372"/>
        <v>2.4771212547196626</v>
      </c>
      <c r="BJ693" t="s">
        <v>528</v>
      </c>
      <c r="BK693" t="s">
        <v>521</v>
      </c>
      <c r="BL693" s="2" t="s">
        <v>983</v>
      </c>
      <c r="BM693" s="41" t="s">
        <v>22</v>
      </c>
      <c r="BN693" s="41">
        <v>93000000</v>
      </c>
      <c r="BO693" s="41" t="s">
        <v>22</v>
      </c>
      <c r="BP693" s="41" t="s">
        <v>22</v>
      </c>
      <c r="BQ693" s="41" t="s">
        <v>22</v>
      </c>
      <c r="BR693" s="41" t="s">
        <v>22</v>
      </c>
      <c r="BS693" t="s">
        <v>22</v>
      </c>
      <c r="BT693" t="s">
        <v>22</v>
      </c>
      <c r="BU693" s="41" t="s">
        <v>22</v>
      </c>
      <c r="BV693" s="41" t="s">
        <v>22</v>
      </c>
      <c r="BW693" s="41" t="s">
        <v>22</v>
      </c>
      <c r="BX693" s="41" t="s">
        <v>22</v>
      </c>
      <c r="BY693" s="41" t="s">
        <v>22</v>
      </c>
      <c r="BZ693" s="41" t="s">
        <v>22</v>
      </c>
      <c r="CA693" s="41" t="s">
        <v>22</v>
      </c>
      <c r="CC693" t="s">
        <v>1009</v>
      </c>
      <c r="CE693" s="41">
        <f>LOG10(BN693)</f>
        <v>7.9684829485539348</v>
      </c>
      <c r="CF693" s="41" t="e">
        <f>LOG10(BV693)</f>
        <v>#VALUE!</v>
      </c>
      <c r="CG693" s="41">
        <f t="shared" si="379"/>
        <v>42000</v>
      </c>
      <c r="CH693" s="41">
        <f t="shared" si="380"/>
        <v>4.6232492903979008</v>
      </c>
      <c r="CI693" s="41">
        <f t="shared" si="381"/>
        <v>42000</v>
      </c>
      <c r="CJ693" s="41">
        <f t="shared" si="382"/>
        <v>4.6232492903979008</v>
      </c>
      <c r="CL693" s="9" t="s">
        <v>1269</v>
      </c>
      <c r="CM693" s="18" t="s">
        <v>1283</v>
      </c>
      <c r="CN693" s="54" t="s">
        <v>1284</v>
      </c>
      <c r="CO693" s="18" t="s">
        <v>1284</v>
      </c>
    </row>
    <row r="694" spans="1:93" x14ac:dyDescent="0.25">
      <c r="A694" t="s">
        <v>315</v>
      </c>
      <c r="B694" s="41">
        <v>7.2999999999999995E-2</v>
      </c>
      <c r="C694" s="41" t="s">
        <v>22</v>
      </c>
      <c r="D694" s="41" t="s">
        <v>22</v>
      </c>
      <c r="E694" s="41" t="s">
        <v>22</v>
      </c>
      <c r="F694" t="s">
        <v>22</v>
      </c>
      <c r="G694" t="s">
        <v>22</v>
      </c>
      <c r="H694" t="s">
        <v>22</v>
      </c>
      <c r="I694" t="s">
        <v>22</v>
      </c>
      <c r="J694" s="41" t="s">
        <v>22</v>
      </c>
      <c r="K694">
        <v>632.82000000000005</v>
      </c>
      <c r="L694" s="41" t="e">
        <f t="shared" si="383"/>
        <v>#VALUE!</v>
      </c>
      <c r="M694" t="s">
        <v>23</v>
      </c>
      <c r="N694" s="41" t="s">
        <v>22</v>
      </c>
      <c r="O694" s="41" t="s">
        <v>22</v>
      </c>
      <c r="P694" s="41" t="s">
        <v>22</v>
      </c>
      <c r="R694" s="41" t="s">
        <v>22</v>
      </c>
      <c r="S694" s="41" t="s">
        <v>22</v>
      </c>
      <c r="T694" s="41" t="s">
        <v>883</v>
      </c>
      <c r="U694" s="41">
        <v>1.45</v>
      </c>
      <c r="V694">
        <v>20200524</v>
      </c>
      <c r="X694" s="18">
        <v>2015</v>
      </c>
      <c r="Y694" t="s">
        <v>328</v>
      </c>
      <c r="Z694" t="s">
        <v>534</v>
      </c>
      <c r="AC694" t="s">
        <v>533</v>
      </c>
      <c r="AD694" s="41" t="s">
        <v>22</v>
      </c>
      <c r="AE694" s="41">
        <v>1590.7</v>
      </c>
      <c r="AF694" s="41" t="s">
        <v>22</v>
      </c>
      <c r="AG694" s="41" t="s">
        <v>22</v>
      </c>
      <c r="AH694" s="41" t="s">
        <v>22</v>
      </c>
      <c r="AI694" s="41" t="s">
        <v>22</v>
      </c>
      <c r="AJ694" s="41" t="s">
        <v>22</v>
      </c>
      <c r="AK694" s="41" t="s">
        <v>22</v>
      </c>
      <c r="AL694" s="41" t="s">
        <v>22</v>
      </c>
      <c r="AM694" s="43" t="e">
        <f t="shared" si="355"/>
        <v>#VALUE!</v>
      </c>
      <c r="AN694" s="43" t="e">
        <f t="shared" si="356"/>
        <v>#VALUE!</v>
      </c>
      <c r="AO694" s="19" t="s">
        <v>897</v>
      </c>
      <c r="AT694" s="2">
        <f t="shared" si="357"/>
        <v>10</v>
      </c>
      <c r="AU694" s="45">
        <f t="shared" si="358"/>
        <v>-1.1366771398795441</v>
      </c>
      <c r="AV694" s="45" t="e">
        <f t="shared" si="359"/>
        <v>#VALUE!</v>
      </c>
      <c r="AW694" s="45" t="e">
        <f t="shared" si="360"/>
        <v>#VALUE!</v>
      </c>
      <c r="AX694" s="45" t="e">
        <f t="shared" si="361"/>
        <v>#VALUE!</v>
      </c>
      <c r="AY694" s="45" t="e">
        <f t="shared" si="362"/>
        <v>#VALUE!</v>
      </c>
      <c r="AZ694" s="45" t="e">
        <f t="shared" si="363"/>
        <v>#VALUE!</v>
      </c>
      <c r="BA694" s="45" t="e">
        <f t="shared" si="364"/>
        <v>#VALUE!</v>
      </c>
      <c r="BB694" s="45" t="e">
        <f t="shared" si="365"/>
        <v>#VALUE!</v>
      </c>
      <c r="BC694" s="45">
        <f t="shared" si="366"/>
        <v>0.16136800223497488</v>
      </c>
      <c r="BD694" s="45" t="e">
        <f t="shared" si="367"/>
        <v>#VALUE!</v>
      </c>
      <c r="BE694" s="45" t="e">
        <f t="shared" si="368"/>
        <v>#VALUE!</v>
      </c>
      <c r="BF694" s="45" t="e">
        <f t="shared" si="369"/>
        <v>#VALUE!</v>
      </c>
      <c r="BG694" s="45" t="e">
        <f t="shared" si="370"/>
        <v>#VALUE!</v>
      </c>
      <c r="BH694" s="45" t="e">
        <f t="shared" si="371"/>
        <v>#NUM!</v>
      </c>
      <c r="BI694" s="43" t="e">
        <f t="shared" si="372"/>
        <v>#VALUE!</v>
      </c>
      <c r="CA694" s="41" t="s">
        <v>22</v>
      </c>
      <c r="CC694" t="s">
        <v>22</v>
      </c>
      <c r="CE694" s="41" t="s">
        <v>22</v>
      </c>
      <c r="CF694" s="41" t="s">
        <v>22</v>
      </c>
      <c r="CG694" s="41" t="e">
        <f t="shared" si="379"/>
        <v>#VALUE!</v>
      </c>
      <c r="CH694" s="41" t="e">
        <f t="shared" si="380"/>
        <v>#VALUE!</v>
      </c>
      <c r="CI694" s="41">
        <f t="shared" si="381"/>
        <v>1.45</v>
      </c>
      <c r="CJ694" s="41">
        <f t="shared" si="382"/>
        <v>0.16136800223497488</v>
      </c>
      <c r="CL694" s="9" t="s">
        <v>1269</v>
      </c>
      <c r="CM694" s="18" t="s">
        <v>1285</v>
      </c>
      <c r="CN694" s="54" t="s">
        <v>1284</v>
      </c>
      <c r="CO694" s="18" t="s">
        <v>1284</v>
      </c>
    </row>
    <row r="695" spans="1:93" x14ac:dyDescent="0.25">
      <c r="A695" t="s">
        <v>315</v>
      </c>
      <c r="B695" s="41">
        <v>0.19</v>
      </c>
      <c r="C695" s="41" t="s">
        <v>22</v>
      </c>
      <c r="D695" s="41" t="s">
        <v>22</v>
      </c>
      <c r="E695" s="41" t="s">
        <v>22</v>
      </c>
      <c r="F695" t="s">
        <v>22</v>
      </c>
      <c r="G695" t="s">
        <v>22</v>
      </c>
      <c r="H695" t="s">
        <v>22</v>
      </c>
      <c r="I695" t="s">
        <v>22</v>
      </c>
      <c r="J695" s="41" t="s">
        <v>22</v>
      </c>
      <c r="K695">
        <v>632.82000000000005</v>
      </c>
      <c r="L695" s="41" t="e">
        <f t="shared" si="383"/>
        <v>#VALUE!</v>
      </c>
      <c r="M695" t="s">
        <v>45</v>
      </c>
      <c r="N695" s="41" t="s">
        <v>22</v>
      </c>
      <c r="O695" s="41" t="s">
        <v>22</v>
      </c>
      <c r="P695" s="41" t="s">
        <v>22</v>
      </c>
      <c r="R695" s="41" t="s">
        <v>22</v>
      </c>
      <c r="S695" s="41" t="s">
        <v>22</v>
      </c>
      <c r="T695" s="41" t="s">
        <v>883</v>
      </c>
      <c r="U695" s="41">
        <v>1.45</v>
      </c>
      <c r="V695">
        <v>20200524</v>
      </c>
      <c r="X695" s="18">
        <v>2015</v>
      </c>
      <c r="Y695" t="s">
        <v>328</v>
      </c>
      <c r="Z695" t="s">
        <v>895</v>
      </c>
      <c r="AA695" t="s">
        <v>746</v>
      </c>
      <c r="AB695" s="41">
        <v>7.2999999999999995E-2</v>
      </c>
      <c r="AC695" t="s">
        <v>533</v>
      </c>
      <c r="AD695" s="41" t="s">
        <v>22</v>
      </c>
      <c r="AE695" s="41">
        <v>1590.7</v>
      </c>
      <c r="AF695" s="41" t="s">
        <v>22</v>
      </c>
      <c r="AG695" s="41" t="s">
        <v>22</v>
      </c>
      <c r="AH695" s="41" t="s">
        <v>22</v>
      </c>
      <c r="AI695" s="41" t="s">
        <v>22</v>
      </c>
      <c r="AJ695" s="41" t="s">
        <v>22</v>
      </c>
      <c r="AK695" s="41" t="s">
        <v>22</v>
      </c>
      <c r="AL695" s="41" t="s">
        <v>22</v>
      </c>
      <c r="AM695" s="43" t="e">
        <f t="shared" si="355"/>
        <v>#VALUE!</v>
      </c>
      <c r="AN695" s="43" t="e">
        <f t="shared" si="356"/>
        <v>#VALUE!</v>
      </c>
      <c r="AO695" s="19" t="s">
        <v>897</v>
      </c>
      <c r="AT695" s="2">
        <f t="shared" si="357"/>
        <v>10</v>
      </c>
      <c r="AU695" s="45">
        <f t="shared" si="358"/>
        <v>-0.72124639904717103</v>
      </c>
      <c r="AV695" s="45" t="e">
        <f t="shared" si="359"/>
        <v>#VALUE!</v>
      </c>
      <c r="AW695" s="45" t="e">
        <f t="shared" si="360"/>
        <v>#VALUE!</v>
      </c>
      <c r="AX695" s="45" t="e">
        <f t="shared" si="361"/>
        <v>#VALUE!</v>
      </c>
      <c r="AY695" s="45" t="e">
        <f t="shared" si="362"/>
        <v>#VALUE!</v>
      </c>
      <c r="AZ695" s="45" t="e">
        <f t="shared" si="363"/>
        <v>#VALUE!</v>
      </c>
      <c r="BA695" s="45" t="e">
        <f t="shared" si="364"/>
        <v>#VALUE!</v>
      </c>
      <c r="BB695" s="45" t="e">
        <f t="shared" si="365"/>
        <v>#VALUE!</v>
      </c>
      <c r="BC695" s="45">
        <f t="shared" si="366"/>
        <v>0.16136800223497488</v>
      </c>
      <c r="BD695" s="45" t="e">
        <f t="shared" si="367"/>
        <v>#VALUE!</v>
      </c>
      <c r="BE695" s="45" t="e">
        <f t="shared" si="368"/>
        <v>#VALUE!</v>
      </c>
      <c r="BF695" s="45" t="e">
        <f t="shared" si="369"/>
        <v>#VALUE!</v>
      </c>
      <c r="BG695" s="45" t="e">
        <f t="shared" si="370"/>
        <v>#VALUE!</v>
      </c>
      <c r="BH695" s="45">
        <f t="shared" si="371"/>
        <v>-1.1366771398795441</v>
      </c>
      <c r="BI695" s="43" t="e">
        <f t="shared" si="372"/>
        <v>#VALUE!</v>
      </c>
      <c r="CA695" s="41" t="s">
        <v>22</v>
      </c>
      <c r="CC695" t="s">
        <v>22</v>
      </c>
      <c r="CE695" s="41" t="s">
        <v>22</v>
      </c>
      <c r="CF695" s="41" t="s">
        <v>22</v>
      </c>
      <c r="CG695" s="41" t="e">
        <f t="shared" si="379"/>
        <v>#VALUE!</v>
      </c>
      <c r="CH695" s="41" t="e">
        <f t="shared" si="380"/>
        <v>#VALUE!</v>
      </c>
      <c r="CI695" s="41">
        <f t="shared" si="381"/>
        <v>1.45</v>
      </c>
      <c r="CJ695" s="41">
        <f t="shared" si="382"/>
        <v>0.16136800223497488</v>
      </c>
      <c r="CL695" s="9" t="s">
        <v>1269</v>
      </c>
      <c r="CM695" s="18" t="s">
        <v>1285</v>
      </c>
      <c r="CN695" s="54" t="s">
        <v>1284</v>
      </c>
      <c r="CO695" s="18" t="s">
        <v>1284</v>
      </c>
    </row>
    <row r="696" spans="1:93" x14ac:dyDescent="0.25">
      <c r="A696" t="s">
        <v>315</v>
      </c>
      <c r="B696" s="41">
        <v>0.22</v>
      </c>
      <c r="C696" s="41" t="s">
        <v>22</v>
      </c>
      <c r="D696" s="41" t="s">
        <v>22</v>
      </c>
      <c r="E696" s="41" t="s">
        <v>22</v>
      </c>
      <c r="F696" t="s">
        <v>22</v>
      </c>
      <c r="G696" t="s">
        <v>22</v>
      </c>
      <c r="H696" t="s">
        <v>22</v>
      </c>
      <c r="I696" t="s">
        <v>22</v>
      </c>
      <c r="J696" s="41" t="s">
        <v>22</v>
      </c>
      <c r="K696">
        <v>632.82000000000005</v>
      </c>
      <c r="L696" s="41" t="e">
        <f t="shared" si="383"/>
        <v>#VALUE!</v>
      </c>
      <c r="M696" t="s">
        <v>45</v>
      </c>
      <c r="N696" s="41" t="s">
        <v>22</v>
      </c>
      <c r="O696" s="41" t="s">
        <v>22</v>
      </c>
      <c r="P696" s="41" t="s">
        <v>22</v>
      </c>
      <c r="R696" s="41" t="s">
        <v>22</v>
      </c>
      <c r="S696" s="41" t="s">
        <v>22</v>
      </c>
      <c r="T696" s="41" t="s">
        <v>883</v>
      </c>
      <c r="U696" s="41">
        <v>1.45</v>
      </c>
      <c r="V696">
        <v>20200524</v>
      </c>
      <c r="X696" s="18">
        <v>2015</v>
      </c>
      <c r="Y696" t="s">
        <v>328</v>
      </c>
      <c r="Z696" t="s">
        <v>895</v>
      </c>
      <c r="AA696" t="s">
        <v>893</v>
      </c>
      <c r="AB696" s="41">
        <v>7.2999999999999995E-2</v>
      </c>
      <c r="AC696" t="s">
        <v>533</v>
      </c>
      <c r="AD696" s="41" t="s">
        <v>22</v>
      </c>
      <c r="AE696" s="41">
        <v>1590.7</v>
      </c>
      <c r="AF696" s="41" t="s">
        <v>22</v>
      </c>
      <c r="AG696" s="41" t="s">
        <v>22</v>
      </c>
      <c r="AH696" s="41" t="s">
        <v>22</v>
      </c>
      <c r="AI696" s="41" t="s">
        <v>22</v>
      </c>
      <c r="AJ696" s="41" t="s">
        <v>22</v>
      </c>
      <c r="AK696" s="41" t="s">
        <v>22</v>
      </c>
      <c r="AL696" s="41" t="s">
        <v>22</v>
      </c>
      <c r="AM696" s="43" t="e">
        <f t="shared" si="355"/>
        <v>#VALUE!</v>
      </c>
      <c r="AN696" s="43" t="e">
        <f t="shared" si="356"/>
        <v>#VALUE!</v>
      </c>
      <c r="AO696" s="19" t="s">
        <v>897</v>
      </c>
      <c r="AT696" s="2">
        <f t="shared" si="357"/>
        <v>10</v>
      </c>
      <c r="AU696" s="45">
        <f t="shared" si="358"/>
        <v>-0.65757731917779372</v>
      </c>
      <c r="AV696" s="45" t="e">
        <f t="shared" si="359"/>
        <v>#VALUE!</v>
      </c>
      <c r="AW696" s="45" t="e">
        <f t="shared" si="360"/>
        <v>#VALUE!</v>
      </c>
      <c r="AX696" s="45" t="e">
        <f t="shared" si="361"/>
        <v>#VALUE!</v>
      </c>
      <c r="AY696" s="45" t="e">
        <f t="shared" si="362"/>
        <v>#VALUE!</v>
      </c>
      <c r="AZ696" s="45" t="e">
        <f t="shared" si="363"/>
        <v>#VALUE!</v>
      </c>
      <c r="BA696" s="45" t="e">
        <f t="shared" si="364"/>
        <v>#VALUE!</v>
      </c>
      <c r="BB696" s="45" t="e">
        <f t="shared" si="365"/>
        <v>#VALUE!</v>
      </c>
      <c r="BC696" s="45">
        <f t="shared" si="366"/>
        <v>0.16136800223497488</v>
      </c>
      <c r="BD696" s="45" t="e">
        <f t="shared" si="367"/>
        <v>#VALUE!</v>
      </c>
      <c r="BE696" s="45" t="e">
        <f t="shared" si="368"/>
        <v>#VALUE!</v>
      </c>
      <c r="BF696" s="45" t="e">
        <f t="shared" si="369"/>
        <v>#VALUE!</v>
      </c>
      <c r="BG696" s="45" t="e">
        <f t="shared" si="370"/>
        <v>#VALUE!</v>
      </c>
      <c r="BH696" s="45">
        <f t="shared" si="371"/>
        <v>-1.1366771398795441</v>
      </c>
      <c r="BI696" s="43" t="e">
        <f t="shared" si="372"/>
        <v>#VALUE!</v>
      </c>
      <c r="CA696" s="41" t="s">
        <v>22</v>
      </c>
      <c r="CC696" t="s">
        <v>22</v>
      </c>
      <c r="CE696" s="41" t="s">
        <v>22</v>
      </c>
      <c r="CF696" s="41" t="s">
        <v>22</v>
      </c>
      <c r="CG696" s="41" t="e">
        <f t="shared" si="379"/>
        <v>#VALUE!</v>
      </c>
      <c r="CH696" s="41" t="e">
        <f t="shared" si="380"/>
        <v>#VALUE!</v>
      </c>
      <c r="CI696" s="41">
        <f t="shared" si="381"/>
        <v>1.45</v>
      </c>
      <c r="CJ696" s="41">
        <f t="shared" si="382"/>
        <v>0.16136800223497488</v>
      </c>
      <c r="CL696" s="9" t="s">
        <v>1269</v>
      </c>
      <c r="CM696" s="18" t="s">
        <v>1285</v>
      </c>
      <c r="CN696" s="54" t="s">
        <v>1284</v>
      </c>
      <c r="CO696" s="18" t="s">
        <v>1284</v>
      </c>
    </row>
    <row r="697" spans="1:93" x14ac:dyDescent="0.25">
      <c r="A697" t="s">
        <v>315</v>
      </c>
      <c r="B697" s="41">
        <v>0.24</v>
      </c>
      <c r="C697" s="41" t="s">
        <v>22</v>
      </c>
      <c r="D697" s="41" t="s">
        <v>22</v>
      </c>
      <c r="E697" s="41" t="s">
        <v>22</v>
      </c>
      <c r="F697" t="s">
        <v>22</v>
      </c>
      <c r="G697" t="s">
        <v>22</v>
      </c>
      <c r="H697" t="s">
        <v>22</v>
      </c>
      <c r="I697" t="s">
        <v>22</v>
      </c>
      <c r="J697" s="41" t="s">
        <v>22</v>
      </c>
      <c r="K697">
        <v>632.82000000000005</v>
      </c>
      <c r="L697" s="41" t="e">
        <f t="shared" si="383"/>
        <v>#VALUE!</v>
      </c>
      <c r="M697" t="s">
        <v>45</v>
      </c>
      <c r="N697" s="41" t="s">
        <v>22</v>
      </c>
      <c r="O697" s="41" t="s">
        <v>22</v>
      </c>
      <c r="P697" s="41" t="s">
        <v>22</v>
      </c>
      <c r="R697" s="41" t="s">
        <v>22</v>
      </c>
      <c r="S697" s="41" t="s">
        <v>22</v>
      </c>
      <c r="T697" s="41" t="s">
        <v>883</v>
      </c>
      <c r="U697" s="41">
        <v>1.45</v>
      </c>
      <c r="V697">
        <v>20200524</v>
      </c>
      <c r="X697" s="18">
        <v>2015</v>
      </c>
      <c r="Y697" t="s">
        <v>328</v>
      </c>
      <c r="Z697" t="s">
        <v>895</v>
      </c>
      <c r="AA697" t="s">
        <v>894</v>
      </c>
      <c r="AB697" s="41">
        <v>7.2999999999999995E-2</v>
      </c>
      <c r="AC697" t="s">
        <v>533</v>
      </c>
      <c r="AD697" s="41" t="s">
        <v>22</v>
      </c>
      <c r="AE697" s="41">
        <v>1590.7</v>
      </c>
      <c r="AF697" s="41" t="s">
        <v>22</v>
      </c>
      <c r="AG697" s="41" t="s">
        <v>22</v>
      </c>
      <c r="AH697" s="41" t="s">
        <v>22</v>
      </c>
      <c r="AI697" s="41" t="s">
        <v>22</v>
      </c>
      <c r="AJ697" s="41" t="s">
        <v>22</v>
      </c>
      <c r="AK697" s="41" t="s">
        <v>22</v>
      </c>
      <c r="AL697" s="41" t="s">
        <v>22</v>
      </c>
      <c r="AM697" s="43" t="e">
        <f t="shared" si="355"/>
        <v>#VALUE!</v>
      </c>
      <c r="AN697" s="43" t="e">
        <f t="shared" si="356"/>
        <v>#VALUE!</v>
      </c>
      <c r="AO697" s="19" t="s">
        <v>897</v>
      </c>
      <c r="AT697" s="2">
        <f t="shared" si="357"/>
        <v>10</v>
      </c>
      <c r="AU697" s="45">
        <f t="shared" si="358"/>
        <v>-0.61978875828839397</v>
      </c>
      <c r="AV697" s="45" t="e">
        <f t="shared" si="359"/>
        <v>#VALUE!</v>
      </c>
      <c r="AW697" s="45" t="e">
        <f t="shared" si="360"/>
        <v>#VALUE!</v>
      </c>
      <c r="AX697" s="45" t="e">
        <f t="shared" si="361"/>
        <v>#VALUE!</v>
      </c>
      <c r="AY697" s="45" t="e">
        <f t="shared" si="362"/>
        <v>#VALUE!</v>
      </c>
      <c r="AZ697" s="45" t="e">
        <f t="shared" si="363"/>
        <v>#VALUE!</v>
      </c>
      <c r="BA697" s="45" t="e">
        <f t="shared" si="364"/>
        <v>#VALUE!</v>
      </c>
      <c r="BB697" s="45" t="e">
        <f t="shared" si="365"/>
        <v>#VALUE!</v>
      </c>
      <c r="BC697" s="45">
        <f t="shared" si="366"/>
        <v>0.16136800223497488</v>
      </c>
      <c r="BD697" s="45" t="e">
        <f t="shared" si="367"/>
        <v>#VALUE!</v>
      </c>
      <c r="BE697" s="45" t="e">
        <f t="shared" si="368"/>
        <v>#VALUE!</v>
      </c>
      <c r="BF697" s="45" t="e">
        <f t="shared" si="369"/>
        <v>#VALUE!</v>
      </c>
      <c r="BG697" s="45" t="e">
        <f t="shared" si="370"/>
        <v>#VALUE!</v>
      </c>
      <c r="BH697" s="45">
        <f t="shared" si="371"/>
        <v>-1.1366771398795441</v>
      </c>
      <c r="BI697" s="43" t="e">
        <f t="shared" si="372"/>
        <v>#VALUE!</v>
      </c>
      <c r="CA697" s="41" t="s">
        <v>22</v>
      </c>
      <c r="CC697" t="s">
        <v>22</v>
      </c>
      <c r="CE697" s="41" t="s">
        <v>22</v>
      </c>
      <c r="CF697" s="41" t="s">
        <v>22</v>
      </c>
      <c r="CG697" s="41" t="e">
        <f t="shared" si="379"/>
        <v>#VALUE!</v>
      </c>
      <c r="CH697" s="41" t="e">
        <f t="shared" si="380"/>
        <v>#VALUE!</v>
      </c>
      <c r="CI697" s="41">
        <f t="shared" si="381"/>
        <v>1.45</v>
      </c>
      <c r="CJ697" s="41">
        <f t="shared" si="382"/>
        <v>0.16136800223497488</v>
      </c>
      <c r="CL697" s="9" t="s">
        <v>1269</v>
      </c>
      <c r="CM697" s="18" t="s">
        <v>1285</v>
      </c>
      <c r="CN697" s="54" t="s">
        <v>1284</v>
      </c>
      <c r="CO697" s="18" t="s">
        <v>1284</v>
      </c>
    </row>
    <row r="698" spans="1:93" x14ac:dyDescent="0.25">
      <c r="A698" t="s">
        <v>315</v>
      </c>
      <c r="B698" s="41">
        <v>0.43</v>
      </c>
      <c r="C698" s="41" t="s">
        <v>22</v>
      </c>
      <c r="D698" s="41" t="s">
        <v>22</v>
      </c>
      <c r="E698" s="41" t="s">
        <v>22</v>
      </c>
      <c r="F698" t="s">
        <v>22</v>
      </c>
      <c r="G698" t="s">
        <v>22</v>
      </c>
      <c r="H698" t="s">
        <v>22</v>
      </c>
      <c r="I698" t="s">
        <v>22</v>
      </c>
      <c r="J698" s="41" t="s">
        <v>22</v>
      </c>
      <c r="K698">
        <v>632.82000000000005</v>
      </c>
      <c r="L698" s="41" t="e">
        <f t="shared" si="383"/>
        <v>#VALUE!</v>
      </c>
      <c r="M698" t="s">
        <v>45</v>
      </c>
      <c r="N698" s="41" t="s">
        <v>22</v>
      </c>
      <c r="O698" s="41" t="s">
        <v>22</v>
      </c>
      <c r="P698" s="41" t="s">
        <v>22</v>
      </c>
      <c r="R698" s="41" t="s">
        <v>22</v>
      </c>
      <c r="S698" s="41" t="s">
        <v>22</v>
      </c>
      <c r="T698" s="41" t="s">
        <v>883</v>
      </c>
      <c r="U698" s="41">
        <v>1.45</v>
      </c>
      <c r="V698">
        <v>20200524</v>
      </c>
      <c r="X698" s="18">
        <v>2015</v>
      </c>
      <c r="Y698" t="s">
        <v>328</v>
      </c>
      <c r="Z698" t="s">
        <v>895</v>
      </c>
      <c r="AA698" t="s">
        <v>880</v>
      </c>
      <c r="AB698" s="41">
        <v>7.2999999999999995E-2</v>
      </c>
      <c r="AC698" t="s">
        <v>533</v>
      </c>
      <c r="AD698" s="41" t="s">
        <v>22</v>
      </c>
      <c r="AE698" s="41">
        <v>1590.7</v>
      </c>
      <c r="AF698" s="41" t="s">
        <v>22</v>
      </c>
      <c r="AG698" s="41" t="s">
        <v>22</v>
      </c>
      <c r="AH698" s="41" t="s">
        <v>22</v>
      </c>
      <c r="AI698" s="41" t="s">
        <v>22</v>
      </c>
      <c r="AJ698" s="41" t="s">
        <v>22</v>
      </c>
      <c r="AK698" s="41" t="s">
        <v>22</v>
      </c>
      <c r="AL698" s="41" t="s">
        <v>22</v>
      </c>
      <c r="AM698" s="43" t="e">
        <f t="shared" si="355"/>
        <v>#VALUE!</v>
      </c>
      <c r="AN698" s="43" t="e">
        <f t="shared" si="356"/>
        <v>#VALUE!</v>
      </c>
      <c r="AO698" s="19" t="s">
        <v>897</v>
      </c>
      <c r="AT698" s="2">
        <f t="shared" si="357"/>
        <v>10</v>
      </c>
      <c r="AU698" s="45">
        <f t="shared" si="358"/>
        <v>-0.36653154442041347</v>
      </c>
      <c r="AV698" s="45" t="e">
        <f t="shared" si="359"/>
        <v>#VALUE!</v>
      </c>
      <c r="AW698" s="45" t="e">
        <f t="shared" si="360"/>
        <v>#VALUE!</v>
      </c>
      <c r="AX698" s="45" t="e">
        <f t="shared" si="361"/>
        <v>#VALUE!</v>
      </c>
      <c r="AY698" s="45" t="e">
        <f t="shared" si="362"/>
        <v>#VALUE!</v>
      </c>
      <c r="AZ698" s="45" t="e">
        <f t="shared" si="363"/>
        <v>#VALUE!</v>
      </c>
      <c r="BA698" s="45" t="e">
        <f t="shared" si="364"/>
        <v>#VALUE!</v>
      </c>
      <c r="BB698" s="45" t="e">
        <f t="shared" si="365"/>
        <v>#VALUE!</v>
      </c>
      <c r="BC698" s="45">
        <f t="shared" si="366"/>
        <v>0.16136800223497488</v>
      </c>
      <c r="BD698" s="45" t="e">
        <f t="shared" si="367"/>
        <v>#VALUE!</v>
      </c>
      <c r="BE698" s="45" t="e">
        <f t="shared" si="368"/>
        <v>#VALUE!</v>
      </c>
      <c r="BF698" s="45" t="e">
        <f t="shared" si="369"/>
        <v>#VALUE!</v>
      </c>
      <c r="BG698" s="45" t="e">
        <f t="shared" si="370"/>
        <v>#VALUE!</v>
      </c>
      <c r="BH698" s="45">
        <f t="shared" si="371"/>
        <v>-1.1366771398795441</v>
      </c>
      <c r="BI698" s="43" t="e">
        <f t="shared" si="372"/>
        <v>#VALUE!</v>
      </c>
      <c r="CA698" s="41" t="s">
        <v>22</v>
      </c>
      <c r="CC698" t="s">
        <v>22</v>
      </c>
      <c r="CE698" s="41" t="s">
        <v>22</v>
      </c>
      <c r="CF698" s="41" t="s">
        <v>22</v>
      </c>
      <c r="CG698" s="41" t="e">
        <f t="shared" si="379"/>
        <v>#VALUE!</v>
      </c>
      <c r="CH698" s="41" t="e">
        <f t="shared" si="380"/>
        <v>#VALUE!</v>
      </c>
      <c r="CI698" s="41">
        <f t="shared" si="381"/>
        <v>1.45</v>
      </c>
      <c r="CJ698" s="41">
        <f t="shared" si="382"/>
        <v>0.16136800223497488</v>
      </c>
      <c r="CL698" s="9" t="s">
        <v>1269</v>
      </c>
      <c r="CM698" s="18" t="s">
        <v>1285</v>
      </c>
      <c r="CN698" s="54" t="s">
        <v>1284</v>
      </c>
      <c r="CO698" s="18" t="s">
        <v>1284</v>
      </c>
    </row>
    <row r="699" spans="1:93" x14ac:dyDescent="0.25">
      <c r="A699" t="s">
        <v>315</v>
      </c>
      <c r="B699" s="41">
        <v>0.09</v>
      </c>
      <c r="C699" s="41" t="s">
        <v>22</v>
      </c>
      <c r="D699" s="41" t="s">
        <v>22</v>
      </c>
      <c r="E699" s="41" t="s">
        <v>22</v>
      </c>
      <c r="F699" t="s">
        <v>22</v>
      </c>
      <c r="G699" t="s">
        <v>22</v>
      </c>
      <c r="H699" t="s">
        <v>22</v>
      </c>
      <c r="I699" t="s">
        <v>22</v>
      </c>
      <c r="J699" s="41" t="s">
        <v>22</v>
      </c>
      <c r="K699">
        <v>632.82000000000005</v>
      </c>
      <c r="L699" s="41" t="e">
        <f t="shared" si="383"/>
        <v>#VALUE!</v>
      </c>
      <c r="M699" t="s">
        <v>23</v>
      </c>
      <c r="N699" s="41" t="s">
        <v>22</v>
      </c>
      <c r="O699" s="41" t="s">
        <v>22</v>
      </c>
      <c r="P699" s="41" t="s">
        <v>22</v>
      </c>
      <c r="R699" s="41" t="s">
        <v>22</v>
      </c>
      <c r="S699" s="41" t="s">
        <v>22</v>
      </c>
      <c r="T699" s="41" t="s">
        <v>883</v>
      </c>
      <c r="U699" s="41">
        <v>1.45</v>
      </c>
      <c r="V699">
        <v>20200524</v>
      </c>
      <c r="X699" s="18">
        <v>2015</v>
      </c>
      <c r="Y699" t="s">
        <v>328</v>
      </c>
      <c r="Z699" t="s">
        <v>534</v>
      </c>
      <c r="AC699" t="s">
        <v>287</v>
      </c>
      <c r="AD699" s="41" t="s">
        <v>22</v>
      </c>
      <c r="AE699" s="41">
        <v>1581.4</v>
      </c>
      <c r="AF699" s="41" t="s">
        <v>22</v>
      </c>
      <c r="AG699" s="41" t="s">
        <v>22</v>
      </c>
      <c r="AH699" s="41" t="s">
        <v>22</v>
      </c>
      <c r="AI699" s="41" t="s">
        <v>22</v>
      </c>
      <c r="AJ699" s="41" t="s">
        <v>22</v>
      </c>
      <c r="AK699" s="41" t="s">
        <v>22</v>
      </c>
      <c r="AL699" s="41" t="s">
        <v>22</v>
      </c>
      <c r="AM699" s="43" t="e">
        <f t="shared" si="355"/>
        <v>#VALUE!</v>
      </c>
      <c r="AN699" s="43" t="e">
        <f t="shared" si="356"/>
        <v>#VALUE!</v>
      </c>
      <c r="AO699" s="19" t="s">
        <v>897</v>
      </c>
      <c r="AT699" s="2">
        <f t="shared" si="357"/>
        <v>10</v>
      </c>
      <c r="AU699" s="45">
        <f t="shared" si="358"/>
        <v>-1.0457574905606752</v>
      </c>
      <c r="AV699" s="45" t="e">
        <f t="shared" si="359"/>
        <v>#VALUE!</v>
      </c>
      <c r="AW699" s="45" t="e">
        <f t="shared" si="360"/>
        <v>#VALUE!</v>
      </c>
      <c r="AX699" s="45" t="e">
        <f t="shared" si="361"/>
        <v>#VALUE!</v>
      </c>
      <c r="AY699" s="45" t="e">
        <f t="shared" si="362"/>
        <v>#VALUE!</v>
      </c>
      <c r="AZ699" s="45" t="e">
        <f t="shared" si="363"/>
        <v>#VALUE!</v>
      </c>
      <c r="BA699" s="45" t="e">
        <f t="shared" si="364"/>
        <v>#VALUE!</v>
      </c>
      <c r="BB699" s="45" t="e">
        <f t="shared" si="365"/>
        <v>#VALUE!</v>
      </c>
      <c r="BC699" s="45">
        <f t="shared" si="366"/>
        <v>0.16136800223497488</v>
      </c>
      <c r="BD699" s="45" t="e">
        <f t="shared" si="367"/>
        <v>#VALUE!</v>
      </c>
      <c r="BE699" s="45" t="e">
        <f t="shared" si="368"/>
        <v>#VALUE!</v>
      </c>
      <c r="BF699" s="45" t="e">
        <f t="shared" si="369"/>
        <v>#VALUE!</v>
      </c>
      <c r="BG699" s="45" t="e">
        <f t="shared" si="370"/>
        <v>#VALUE!</v>
      </c>
      <c r="BH699" s="45" t="e">
        <f t="shared" si="371"/>
        <v>#NUM!</v>
      </c>
      <c r="BI699" s="43" t="e">
        <f t="shared" si="372"/>
        <v>#VALUE!</v>
      </c>
      <c r="CA699" s="41" t="s">
        <v>22</v>
      </c>
      <c r="CC699" t="s">
        <v>22</v>
      </c>
      <c r="CE699" s="41" t="s">
        <v>22</v>
      </c>
      <c r="CF699" s="41" t="s">
        <v>22</v>
      </c>
      <c r="CG699" s="41" t="e">
        <f t="shared" si="379"/>
        <v>#VALUE!</v>
      </c>
      <c r="CH699" s="41" t="e">
        <f t="shared" si="380"/>
        <v>#VALUE!</v>
      </c>
      <c r="CI699" s="41">
        <f t="shared" si="381"/>
        <v>1.45</v>
      </c>
      <c r="CJ699" s="41">
        <f t="shared" si="382"/>
        <v>0.16136800223497488</v>
      </c>
      <c r="CL699" s="9" t="s">
        <v>1269</v>
      </c>
      <c r="CM699" s="18" t="s">
        <v>1285</v>
      </c>
      <c r="CN699" s="54" t="s">
        <v>1284</v>
      </c>
      <c r="CO699" s="18" t="s">
        <v>1284</v>
      </c>
    </row>
    <row r="700" spans="1:93" x14ac:dyDescent="0.25">
      <c r="A700" t="s">
        <v>315</v>
      </c>
      <c r="B700" s="41">
        <v>0.1</v>
      </c>
      <c r="C700" s="41" t="s">
        <v>22</v>
      </c>
      <c r="D700" s="41" t="s">
        <v>22</v>
      </c>
      <c r="E700" s="41" t="s">
        <v>22</v>
      </c>
      <c r="F700" t="s">
        <v>22</v>
      </c>
      <c r="G700" t="s">
        <v>22</v>
      </c>
      <c r="H700" t="s">
        <v>22</v>
      </c>
      <c r="I700" t="s">
        <v>22</v>
      </c>
      <c r="J700" s="41" t="s">
        <v>22</v>
      </c>
      <c r="K700">
        <v>632.82000000000005</v>
      </c>
      <c r="L700" s="41" t="e">
        <f t="shared" si="383"/>
        <v>#VALUE!</v>
      </c>
      <c r="M700" t="s">
        <v>45</v>
      </c>
      <c r="N700" s="41" t="s">
        <v>22</v>
      </c>
      <c r="O700" s="41" t="s">
        <v>22</v>
      </c>
      <c r="P700" s="41" t="s">
        <v>22</v>
      </c>
      <c r="R700" s="41" t="s">
        <v>22</v>
      </c>
      <c r="S700" s="41" t="s">
        <v>22</v>
      </c>
      <c r="T700" s="41" t="s">
        <v>883</v>
      </c>
      <c r="U700" s="41">
        <v>1.45</v>
      </c>
      <c r="V700">
        <v>20200524</v>
      </c>
      <c r="X700" s="18">
        <v>2015</v>
      </c>
      <c r="Y700" t="s">
        <v>328</v>
      </c>
      <c r="Z700" t="s">
        <v>895</v>
      </c>
      <c r="AA700" t="s">
        <v>894</v>
      </c>
      <c r="AB700" s="41">
        <v>0.09</v>
      </c>
      <c r="AC700" t="s">
        <v>287</v>
      </c>
      <c r="AD700" s="41" t="s">
        <v>22</v>
      </c>
      <c r="AE700" s="41">
        <v>1584.2</v>
      </c>
      <c r="AF700" s="41" t="s">
        <v>22</v>
      </c>
      <c r="AG700" s="41" t="s">
        <v>22</v>
      </c>
      <c r="AH700" s="41" t="s">
        <v>22</v>
      </c>
      <c r="AI700" s="41" t="s">
        <v>22</v>
      </c>
      <c r="AJ700" s="41" t="s">
        <v>22</v>
      </c>
      <c r="AK700" s="41" t="s">
        <v>22</v>
      </c>
      <c r="AL700" s="41" t="s">
        <v>22</v>
      </c>
      <c r="AM700" s="43" t="e">
        <f t="shared" si="355"/>
        <v>#VALUE!</v>
      </c>
      <c r="AN700" s="43" t="e">
        <f t="shared" si="356"/>
        <v>#VALUE!</v>
      </c>
      <c r="AO700" s="19" t="s">
        <v>897</v>
      </c>
      <c r="AT700" s="2">
        <f t="shared" si="357"/>
        <v>10</v>
      </c>
      <c r="AU700" s="45">
        <f t="shared" si="358"/>
        <v>-1</v>
      </c>
      <c r="AV700" s="45" t="e">
        <f t="shared" si="359"/>
        <v>#VALUE!</v>
      </c>
      <c r="AW700" s="45" t="e">
        <f t="shared" si="360"/>
        <v>#VALUE!</v>
      </c>
      <c r="AX700" s="45" t="e">
        <f t="shared" si="361"/>
        <v>#VALUE!</v>
      </c>
      <c r="AY700" s="45" t="e">
        <f t="shared" si="362"/>
        <v>#VALUE!</v>
      </c>
      <c r="AZ700" s="45" t="e">
        <f t="shared" si="363"/>
        <v>#VALUE!</v>
      </c>
      <c r="BA700" s="45" t="e">
        <f t="shared" si="364"/>
        <v>#VALUE!</v>
      </c>
      <c r="BB700" s="45" t="e">
        <f t="shared" si="365"/>
        <v>#VALUE!</v>
      </c>
      <c r="BC700" s="45">
        <f t="shared" si="366"/>
        <v>0.16136800223497488</v>
      </c>
      <c r="BD700" s="45" t="e">
        <f t="shared" si="367"/>
        <v>#VALUE!</v>
      </c>
      <c r="BE700" s="45" t="e">
        <f t="shared" si="368"/>
        <v>#VALUE!</v>
      </c>
      <c r="BF700" s="45" t="e">
        <f t="shared" si="369"/>
        <v>#VALUE!</v>
      </c>
      <c r="BG700" s="45" t="e">
        <f t="shared" si="370"/>
        <v>#VALUE!</v>
      </c>
      <c r="BH700" s="45">
        <f t="shared" si="371"/>
        <v>-1.0457574905606752</v>
      </c>
      <c r="BI700" s="43" t="e">
        <f t="shared" si="372"/>
        <v>#VALUE!</v>
      </c>
      <c r="CA700" s="41" t="s">
        <v>22</v>
      </c>
      <c r="CC700" t="s">
        <v>22</v>
      </c>
      <c r="CE700" s="41" t="s">
        <v>22</v>
      </c>
      <c r="CF700" s="41" t="s">
        <v>22</v>
      </c>
      <c r="CG700" s="41" t="e">
        <f t="shared" si="379"/>
        <v>#VALUE!</v>
      </c>
      <c r="CH700" s="41" t="e">
        <f t="shared" si="380"/>
        <v>#VALUE!</v>
      </c>
      <c r="CI700" s="41">
        <f t="shared" si="381"/>
        <v>1.45</v>
      </c>
      <c r="CJ700" s="41">
        <f t="shared" si="382"/>
        <v>0.16136800223497488</v>
      </c>
      <c r="CL700" s="9" t="s">
        <v>1269</v>
      </c>
      <c r="CM700" s="18" t="s">
        <v>1285</v>
      </c>
      <c r="CN700" s="54" t="s">
        <v>1284</v>
      </c>
      <c r="CO700" s="18" t="s">
        <v>1284</v>
      </c>
    </row>
    <row r="701" spans="1:93" x14ac:dyDescent="0.25">
      <c r="A701" t="s">
        <v>315</v>
      </c>
      <c r="B701" s="41">
        <v>0.15</v>
      </c>
      <c r="C701" s="41" t="s">
        <v>22</v>
      </c>
      <c r="D701" s="41" t="s">
        <v>22</v>
      </c>
      <c r="E701" s="41" t="s">
        <v>22</v>
      </c>
      <c r="F701" t="s">
        <v>22</v>
      </c>
      <c r="G701" t="s">
        <v>22</v>
      </c>
      <c r="H701" t="s">
        <v>22</v>
      </c>
      <c r="I701" t="s">
        <v>22</v>
      </c>
      <c r="J701" s="41" t="s">
        <v>22</v>
      </c>
      <c r="K701">
        <v>632.82000000000005</v>
      </c>
      <c r="L701" s="41" t="e">
        <f t="shared" si="383"/>
        <v>#VALUE!</v>
      </c>
      <c r="M701" t="s">
        <v>45</v>
      </c>
      <c r="N701" s="41" t="s">
        <v>22</v>
      </c>
      <c r="O701" s="41" t="s">
        <v>22</v>
      </c>
      <c r="P701" s="41" t="s">
        <v>22</v>
      </c>
      <c r="R701" s="41" t="s">
        <v>22</v>
      </c>
      <c r="S701" s="41" t="s">
        <v>22</v>
      </c>
      <c r="T701" s="41" t="s">
        <v>883</v>
      </c>
      <c r="U701" s="41">
        <v>1.45</v>
      </c>
      <c r="V701">
        <v>20200524</v>
      </c>
      <c r="X701">
        <v>2015</v>
      </c>
      <c r="Y701" t="s">
        <v>328</v>
      </c>
      <c r="Z701" t="s">
        <v>895</v>
      </c>
      <c r="AA701" t="s">
        <v>896</v>
      </c>
      <c r="AB701" s="41">
        <v>0.09</v>
      </c>
      <c r="AC701" t="s">
        <v>287</v>
      </c>
      <c r="AD701" s="41" t="s">
        <v>22</v>
      </c>
      <c r="AE701" s="41">
        <v>1584.2</v>
      </c>
      <c r="AF701" s="41" t="s">
        <v>22</v>
      </c>
      <c r="AG701" s="41" t="s">
        <v>22</v>
      </c>
      <c r="AH701" s="41" t="s">
        <v>22</v>
      </c>
      <c r="AI701" s="41" t="s">
        <v>22</v>
      </c>
      <c r="AJ701" s="41" t="s">
        <v>22</v>
      </c>
      <c r="AK701" s="41" t="s">
        <v>22</v>
      </c>
      <c r="AL701" s="41" t="s">
        <v>22</v>
      </c>
      <c r="AM701" s="43" t="e">
        <f t="shared" si="355"/>
        <v>#VALUE!</v>
      </c>
      <c r="AN701" s="43" t="e">
        <f t="shared" si="356"/>
        <v>#VALUE!</v>
      </c>
      <c r="AO701" s="3" t="s">
        <v>897</v>
      </c>
      <c r="AT701" s="2">
        <f t="shared" si="357"/>
        <v>10</v>
      </c>
      <c r="AU701" s="45">
        <f t="shared" si="358"/>
        <v>-0.82390874094431876</v>
      </c>
      <c r="AV701" s="45" t="e">
        <f t="shared" si="359"/>
        <v>#VALUE!</v>
      </c>
      <c r="AW701" s="45" t="e">
        <f t="shared" si="360"/>
        <v>#VALUE!</v>
      </c>
      <c r="AX701" s="45" t="e">
        <f t="shared" si="361"/>
        <v>#VALUE!</v>
      </c>
      <c r="AY701" s="45" t="e">
        <f t="shared" si="362"/>
        <v>#VALUE!</v>
      </c>
      <c r="AZ701" s="45" t="e">
        <f t="shared" si="363"/>
        <v>#VALUE!</v>
      </c>
      <c r="BA701" s="45" t="e">
        <f t="shared" si="364"/>
        <v>#VALUE!</v>
      </c>
      <c r="BB701" s="45" t="e">
        <f t="shared" si="365"/>
        <v>#VALUE!</v>
      </c>
      <c r="BC701" s="45">
        <f t="shared" si="366"/>
        <v>0.16136800223497488</v>
      </c>
      <c r="BD701" s="45" t="e">
        <f t="shared" si="367"/>
        <v>#VALUE!</v>
      </c>
      <c r="BE701" s="45" t="e">
        <f t="shared" si="368"/>
        <v>#VALUE!</v>
      </c>
      <c r="BF701" s="45" t="e">
        <f t="shared" si="369"/>
        <v>#VALUE!</v>
      </c>
      <c r="BG701" s="45" t="e">
        <f t="shared" si="370"/>
        <v>#VALUE!</v>
      </c>
      <c r="BH701" s="45">
        <f t="shared" si="371"/>
        <v>-1.0457574905606752</v>
      </c>
      <c r="BI701" s="43" t="e">
        <f t="shared" si="372"/>
        <v>#VALUE!</v>
      </c>
      <c r="CA701" s="41" t="s">
        <v>22</v>
      </c>
      <c r="CC701" t="s">
        <v>22</v>
      </c>
      <c r="CE701" s="41" t="s">
        <v>22</v>
      </c>
      <c r="CF701" s="41" t="s">
        <v>22</v>
      </c>
      <c r="CG701" s="41" t="e">
        <f t="shared" si="379"/>
        <v>#VALUE!</v>
      </c>
      <c r="CH701" s="41" t="e">
        <f t="shared" si="380"/>
        <v>#VALUE!</v>
      </c>
      <c r="CI701" s="41">
        <f t="shared" si="381"/>
        <v>1.45</v>
      </c>
      <c r="CJ701" s="41">
        <f t="shared" si="382"/>
        <v>0.16136800223497488</v>
      </c>
      <c r="CL701" s="9" t="s">
        <v>1269</v>
      </c>
      <c r="CM701" s="18" t="s">
        <v>1285</v>
      </c>
      <c r="CN701" s="54" t="s">
        <v>1284</v>
      </c>
      <c r="CO701" s="18" t="s">
        <v>1284</v>
      </c>
    </row>
    <row r="702" spans="1:93" x14ac:dyDescent="0.25">
      <c r="A702" t="s">
        <v>315</v>
      </c>
      <c r="B702" s="41">
        <v>0.24</v>
      </c>
      <c r="C702" s="41" t="s">
        <v>22</v>
      </c>
      <c r="D702" s="41" t="s">
        <v>22</v>
      </c>
      <c r="E702" s="41" t="s">
        <v>22</v>
      </c>
      <c r="F702" t="s">
        <v>22</v>
      </c>
      <c r="G702" t="s">
        <v>22</v>
      </c>
      <c r="H702" t="s">
        <v>22</v>
      </c>
      <c r="I702" t="s">
        <v>22</v>
      </c>
      <c r="J702" s="41" t="s">
        <v>22</v>
      </c>
      <c r="K702">
        <v>632.82000000000005</v>
      </c>
      <c r="L702" s="41" t="e">
        <f t="shared" si="383"/>
        <v>#VALUE!</v>
      </c>
      <c r="M702" t="s">
        <v>45</v>
      </c>
      <c r="N702" s="41" t="s">
        <v>22</v>
      </c>
      <c r="O702" s="41" t="s">
        <v>22</v>
      </c>
      <c r="P702" s="41" t="s">
        <v>22</v>
      </c>
      <c r="R702" s="41" t="s">
        <v>22</v>
      </c>
      <c r="S702" s="41" t="s">
        <v>22</v>
      </c>
      <c r="T702" s="41" t="s">
        <v>883</v>
      </c>
      <c r="U702" s="41">
        <v>1.45</v>
      </c>
      <c r="V702">
        <v>20200524</v>
      </c>
      <c r="X702">
        <v>2015</v>
      </c>
      <c r="Y702" t="s">
        <v>328</v>
      </c>
      <c r="Z702" t="s">
        <v>895</v>
      </c>
      <c r="AA702" t="s">
        <v>880</v>
      </c>
      <c r="AB702" s="41">
        <v>0.09</v>
      </c>
      <c r="AC702" t="s">
        <v>287</v>
      </c>
      <c r="AD702" s="41" t="s">
        <v>22</v>
      </c>
      <c r="AE702" s="41">
        <v>1591</v>
      </c>
      <c r="AF702" s="41" t="s">
        <v>22</v>
      </c>
      <c r="AG702" s="41" t="s">
        <v>22</v>
      </c>
      <c r="AH702" s="41" t="s">
        <v>22</v>
      </c>
      <c r="AI702" s="41" t="s">
        <v>22</v>
      </c>
      <c r="AJ702" s="41" t="s">
        <v>22</v>
      </c>
      <c r="AK702" s="41" t="s">
        <v>22</v>
      </c>
      <c r="AL702" s="41" t="s">
        <v>22</v>
      </c>
      <c r="AM702" s="43" t="e">
        <f t="shared" si="355"/>
        <v>#VALUE!</v>
      </c>
      <c r="AN702" s="43" t="e">
        <f t="shared" si="356"/>
        <v>#VALUE!</v>
      </c>
      <c r="AO702" s="3" t="s">
        <v>897</v>
      </c>
      <c r="AT702" s="2">
        <f t="shared" si="357"/>
        <v>10</v>
      </c>
      <c r="AU702" s="45">
        <f t="shared" si="358"/>
        <v>-0.61978875828839397</v>
      </c>
      <c r="AV702" s="45" t="e">
        <f t="shared" si="359"/>
        <v>#VALUE!</v>
      </c>
      <c r="AW702" s="45" t="e">
        <f t="shared" si="360"/>
        <v>#VALUE!</v>
      </c>
      <c r="AX702" s="45" t="e">
        <f t="shared" si="361"/>
        <v>#VALUE!</v>
      </c>
      <c r="AY702" s="45" t="e">
        <f t="shared" si="362"/>
        <v>#VALUE!</v>
      </c>
      <c r="AZ702" s="45" t="e">
        <f t="shared" si="363"/>
        <v>#VALUE!</v>
      </c>
      <c r="BA702" s="45" t="e">
        <f t="shared" si="364"/>
        <v>#VALUE!</v>
      </c>
      <c r="BB702" s="45" t="e">
        <f t="shared" si="365"/>
        <v>#VALUE!</v>
      </c>
      <c r="BC702" s="45">
        <f t="shared" si="366"/>
        <v>0.16136800223497488</v>
      </c>
      <c r="BD702" s="45" t="e">
        <f t="shared" si="367"/>
        <v>#VALUE!</v>
      </c>
      <c r="BE702" s="45" t="e">
        <f t="shared" si="368"/>
        <v>#VALUE!</v>
      </c>
      <c r="BF702" s="45" t="e">
        <f t="shared" si="369"/>
        <v>#VALUE!</v>
      </c>
      <c r="BG702" s="45" t="e">
        <f t="shared" si="370"/>
        <v>#VALUE!</v>
      </c>
      <c r="BH702" s="45">
        <f t="shared" si="371"/>
        <v>-1.0457574905606752</v>
      </c>
      <c r="BI702" s="43" t="e">
        <f t="shared" si="372"/>
        <v>#VALUE!</v>
      </c>
      <c r="CA702" s="41" t="s">
        <v>22</v>
      </c>
      <c r="CC702" t="s">
        <v>22</v>
      </c>
      <c r="CE702" s="41" t="s">
        <v>22</v>
      </c>
      <c r="CF702" s="41" t="s">
        <v>22</v>
      </c>
      <c r="CG702" s="41" t="e">
        <f t="shared" si="379"/>
        <v>#VALUE!</v>
      </c>
      <c r="CH702" s="41" t="e">
        <f t="shared" si="380"/>
        <v>#VALUE!</v>
      </c>
      <c r="CI702" s="41">
        <f t="shared" si="381"/>
        <v>1.45</v>
      </c>
      <c r="CJ702" s="41">
        <f t="shared" si="382"/>
        <v>0.16136800223497488</v>
      </c>
      <c r="CL702" s="9" t="s">
        <v>1269</v>
      </c>
      <c r="CM702" s="18" t="s">
        <v>1285</v>
      </c>
      <c r="CN702" s="54" t="s">
        <v>1284</v>
      </c>
      <c r="CO702" s="18" t="s">
        <v>1284</v>
      </c>
    </row>
    <row r="703" spans="1:93" x14ac:dyDescent="0.25">
      <c r="A703" t="s">
        <v>315</v>
      </c>
      <c r="B703" s="41">
        <v>0.32</v>
      </c>
      <c r="C703" s="41" t="s">
        <v>22</v>
      </c>
      <c r="D703" s="41" t="s">
        <v>22</v>
      </c>
      <c r="E703" s="41" t="s">
        <v>22</v>
      </c>
      <c r="F703" t="s">
        <v>22</v>
      </c>
      <c r="G703" t="s">
        <v>22</v>
      </c>
      <c r="H703" t="s">
        <v>22</v>
      </c>
      <c r="I703" t="s">
        <v>22</v>
      </c>
      <c r="J703" s="41" t="s">
        <v>22</v>
      </c>
      <c r="K703">
        <v>632.82000000000005</v>
      </c>
      <c r="L703" s="41" t="e">
        <f t="shared" si="383"/>
        <v>#VALUE!</v>
      </c>
      <c r="M703" t="s">
        <v>45</v>
      </c>
      <c r="N703" s="41" t="s">
        <v>22</v>
      </c>
      <c r="O703" s="41" t="s">
        <v>22</v>
      </c>
      <c r="P703" s="41" t="s">
        <v>22</v>
      </c>
      <c r="R703" s="41" t="s">
        <v>22</v>
      </c>
      <c r="S703" s="41" t="s">
        <v>22</v>
      </c>
      <c r="T703" s="41" t="s">
        <v>883</v>
      </c>
      <c r="U703" s="41">
        <v>1.45</v>
      </c>
      <c r="V703">
        <v>20200524</v>
      </c>
      <c r="X703">
        <v>2015</v>
      </c>
      <c r="Y703" t="s">
        <v>328</v>
      </c>
      <c r="Z703" t="s">
        <v>895</v>
      </c>
      <c r="AA703" t="s">
        <v>746</v>
      </c>
      <c r="AB703" s="41">
        <v>0.09</v>
      </c>
      <c r="AC703" t="s">
        <v>287</v>
      </c>
      <c r="AD703" s="41" t="s">
        <v>22</v>
      </c>
      <c r="AE703" s="41">
        <v>1592.8</v>
      </c>
      <c r="AF703" s="41" t="s">
        <v>22</v>
      </c>
      <c r="AG703" s="41" t="s">
        <v>22</v>
      </c>
      <c r="AH703" s="41" t="s">
        <v>22</v>
      </c>
      <c r="AI703" s="41" t="s">
        <v>22</v>
      </c>
      <c r="AJ703" s="41" t="s">
        <v>22</v>
      </c>
      <c r="AK703" s="41" t="s">
        <v>22</v>
      </c>
      <c r="AL703" s="41" t="s">
        <v>22</v>
      </c>
      <c r="AM703" s="43" t="e">
        <f t="shared" si="355"/>
        <v>#VALUE!</v>
      </c>
      <c r="AN703" s="43" t="e">
        <f t="shared" si="356"/>
        <v>#VALUE!</v>
      </c>
      <c r="AO703" s="3" t="s">
        <v>897</v>
      </c>
      <c r="AT703" s="2">
        <f t="shared" si="357"/>
        <v>10</v>
      </c>
      <c r="AU703" s="45">
        <f t="shared" si="358"/>
        <v>-0.49485002168009401</v>
      </c>
      <c r="AV703" s="45" t="e">
        <f t="shared" si="359"/>
        <v>#VALUE!</v>
      </c>
      <c r="AW703" s="45" t="e">
        <f t="shared" si="360"/>
        <v>#VALUE!</v>
      </c>
      <c r="AX703" s="45" t="e">
        <f t="shared" si="361"/>
        <v>#VALUE!</v>
      </c>
      <c r="AY703" s="45" t="e">
        <f t="shared" si="362"/>
        <v>#VALUE!</v>
      </c>
      <c r="AZ703" s="45" t="e">
        <f t="shared" si="363"/>
        <v>#VALUE!</v>
      </c>
      <c r="BA703" s="45" t="e">
        <f t="shared" si="364"/>
        <v>#VALUE!</v>
      </c>
      <c r="BB703" s="45" t="e">
        <f t="shared" si="365"/>
        <v>#VALUE!</v>
      </c>
      <c r="BC703" s="45">
        <f t="shared" si="366"/>
        <v>0.16136800223497488</v>
      </c>
      <c r="BD703" s="45" t="e">
        <f t="shared" si="367"/>
        <v>#VALUE!</v>
      </c>
      <c r="BE703" s="45" t="e">
        <f t="shared" si="368"/>
        <v>#VALUE!</v>
      </c>
      <c r="BF703" s="45" t="e">
        <f t="shared" si="369"/>
        <v>#VALUE!</v>
      </c>
      <c r="BG703" s="45" t="e">
        <f t="shared" si="370"/>
        <v>#VALUE!</v>
      </c>
      <c r="BH703" s="45">
        <f t="shared" si="371"/>
        <v>-1.0457574905606752</v>
      </c>
      <c r="BI703" s="43" t="e">
        <f t="shared" si="372"/>
        <v>#VALUE!</v>
      </c>
      <c r="CA703" s="41" t="s">
        <v>22</v>
      </c>
      <c r="CC703" t="s">
        <v>22</v>
      </c>
      <c r="CE703" s="41" t="s">
        <v>22</v>
      </c>
      <c r="CF703" s="41" t="s">
        <v>22</v>
      </c>
      <c r="CG703" s="41" t="e">
        <f t="shared" si="379"/>
        <v>#VALUE!</v>
      </c>
      <c r="CH703" s="41" t="e">
        <f t="shared" si="380"/>
        <v>#VALUE!</v>
      </c>
      <c r="CI703" s="41">
        <f t="shared" si="381"/>
        <v>1.45</v>
      </c>
      <c r="CJ703" s="41">
        <f t="shared" si="382"/>
        <v>0.16136800223497488</v>
      </c>
      <c r="CL703" s="9" t="s">
        <v>1269</v>
      </c>
      <c r="CM703" s="18" t="s">
        <v>1285</v>
      </c>
      <c r="CN703" s="54" t="s">
        <v>1284</v>
      </c>
      <c r="CO703" s="18" t="s">
        <v>1284</v>
      </c>
    </row>
    <row r="704" spans="1:93" x14ac:dyDescent="0.25">
      <c r="A704" t="s">
        <v>141</v>
      </c>
      <c r="B704" s="41">
        <f>30*100*10^-6</f>
        <v>3.0000000000000001E-3</v>
      </c>
      <c r="C704" s="41" t="s">
        <v>22</v>
      </c>
      <c r="D704" s="41" t="s">
        <v>22</v>
      </c>
      <c r="E704" s="41" t="s">
        <v>22</v>
      </c>
      <c r="F704" t="s">
        <v>22</v>
      </c>
      <c r="G704" t="s">
        <v>22</v>
      </c>
      <c r="H704" t="s">
        <v>22</v>
      </c>
      <c r="I704" t="s">
        <v>22</v>
      </c>
      <c r="K704" t="s">
        <v>22</v>
      </c>
      <c r="L704" s="41" t="e">
        <f t="shared" si="383"/>
        <v>#VALUE!</v>
      </c>
      <c r="M704" t="s">
        <v>23</v>
      </c>
      <c r="N704" s="41">
        <v>52</v>
      </c>
      <c r="O704" s="41" t="s">
        <v>22</v>
      </c>
      <c r="P704" s="41">
        <v>1.9</v>
      </c>
      <c r="R704" s="41">
        <f>N704*B704</f>
        <v>0.156</v>
      </c>
      <c r="S704" s="41" t="s">
        <v>22</v>
      </c>
      <c r="T704" s="41" t="s">
        <v>22</v>
      </c>
      <c r="U704" s="41" t="s">
        <v>22</v>
      </c>
      <c r="V704">
        <v>20200507</v>
      </c>
      <c r="W704" s="16" t="s">
        <v>75</v>
      </c>
      <c r="X704">
        <v>2015</v>
      </c>
      <c r="Y704" t="s">
        <v>76</v>
      </c>
      <c r="Z704" t="s">
        <v>32</v>
      </c>
      <c r="AC704" t="s">
        <v>514</v>
      </c>
      <c r="AD704" s="41">
        <v>55.96</v>
      </c>
      <c r="AE704" s="41" t="s">
        <v>22</v>
      </c>
      <c r="AF704" s="41" t="s">
        <v>22</v>
      </c>
      <c r="AG704" s="41" t="s">
        <v>22</v>
      </c>
      <c r="AH704" s="41" t="s">
        <v>22</v>
      </c>
      <c r="AI704" s="41" t="s">
        <v>22</v>
      </c>
      <c r="AJ704" s="41" t="s">
        <v>22</v>
      </c>
      <c r="AK704" s="41" t="s">
        <v>22</v>
      </c>
      <c r="AL704" s="41" t="s">
        <v>22</v>
      </c>
      <c r="AM704" s="43" t="e">
        <f t="shared" si="355"/>
        <v>#VALUE!</v>
      </c>
      <c r="AN704" s="43" t="e">
        <f t="shared" si="356"/>
        <v>#VALUE!</v>
      </c>
      <c r="AO704" s="19" t="s">
        <v>1082</v>
      </c>
      <c r="AT704" s="2">
        <f t="shared" si="357"/>
        <v>9</v>
      </c>
      <c r="AU704" s="45">
        <f t="shared" si="358"/>
        <v>-2.5228787452803374</v>
      </c>
      <c r="AV704" s="45" t="e">
        <f t="shared" si="359"/>
        <v>#VALUE!</v>
      </c>
      <c r="AW704" s="45" t="e">
        <f t="shared" si="360"/>
        <v>#VALUE!</v>
      </c>
      <c r="AX704" s="45">
        <f t="shared" si="361"/>
        <v>1.7160033436347992</v>
      </c>
      <c r="AY704" s="45" t="e">
        <f t="shared" si="362"/>
        <v>#VALUE!</v>
      </c>
      <c r="AZ704" s="45">
        <f t="shared" si="363"/>
        <v>0.27875360095282892</v>
      </c>
      <c r="BA704" s="45" t="e">
        <f t="shared" si="364"/>
        <v>#NUM!</v>
      </c>
      <c r="BB704" s="45" t="e">
        <f t="shared" si="365"/>
        <v>#VALUE!</v>
      </c>
      <c r="BC704" s="45" t="e">
        <f t="shared" si="366"/>
        <v>#VALUE!</v>
      </c>
      <c r="BD704" s="45">
        <f t="shared" si="367"/>
        <v>1.7478777058197901</v>
      </c>
      <c r="BE704" s="45" t="e">
        <f t="shared" si="368"/>
        <v>#VALUE!</v>
      </c>
      <c r="BF704" s="45" t="e">
        <f t="shared" si="369"/>
        <v>#VALUE!</v>
      </c>
      <c r="BG704" s="45" t="e">
        <f t="shared" si="370"/>
        <v>#VALUE!</v>
      </c>
      <c r="BH704" s="45" t="e">
        <f t="shared" si="371"/>
        <v>#NUM!</v>
      </c>
      <c r="BI704" s="43" t="e">
        <f t="shared" si="372"/>
        <v>#VALUE!</v>
      </c>
      <c r="CA704" s="41" t="s">
        <v>22</v>
      </c>
      <c r="CC704" t="s">
        <v>22</v>
      </c>
      <c r="CE704" s="41" t="s">
        <v>22</v>
      </c>
      <c r="CF704" s="41" t="s">
        <v>22</v>
      </c>
      <c r="CG704" s="41">
        <f t="shared" si="379"/>
        <v>55960</v>
      </c>
      <c r="CH704" s="41">
        <f t="shared" si="380"/>
        <v>4.7478777058197901</v>
      </c>
      <c r="CI704" s="41">
        <f t="shared" si="381"/>
        <v>55960</v>
      </c>
      <c r="CJ704" s="41">
        <f t="shared" si="382"/>
        <v>4.7478777058197901</v>
      </c>
      <c r="CL704" s="9" t="s">
        <v>1269</v>
      </c>
      <c r="CM704" s="18" t="s">
        <v>1283</v>
      </c>
      <c r="CN704" s="54" t="s">
        <v>1284</v>
      </c>
      <c r="CO704" s="18" t="s">
        <v>1284</v>
      </c>
    </row>
    <row r="705" spans="1:93" x14ac:dyDescent="0.25">
      <c r="A705" t="s">
        <v>141</v>
      </c>
      <c r="B705" s="41" t="s">
        <v>22</v>
      </c>
      <c r="C705" s="41" t="s">
        <v>22</v>
      </c>
      <c r="D705" s="41" t="s">
        <v>22</v>
      </c>
      <c r="E705" s="41" t="s">
        <v>22</v>
      </c>
      <c r="F705" t="s">
        <v>22</v>
      </c>
      <c r="G705" t="s">
        <v>22</v>
      </c>
      <c r="H705" t="s">
        <v>22</v>
      </c>
      <c r="I705" t="s">
        <v>22</v>
      </c>
      <c r="K705" t="s">
        <v>22</v>
      </c>
      <c r="L705" s="41" t="e">
        <f t="shared" si="383"/>
        <v>#VALUE!</v>
      </c>
      <c r="M705" t="s">
        <v>23</v>
      </c>
      <c r="N705" s="41">
        <v>82</v>
      </c>
      <c r="O705" s="41" t="s">
        <v>22</v>
      </c>
      <c r="P705" s="41">
        <v>2.8</v>
      </c>
      <c r="R705" s="41" t="s">
        <v>22</v>
      </c>
      <c r="S705" s="41" t="s">
        <v>22</v>
      </c>
      <c r="T705" s="41" t="s">
        <v>22</v>
      </c>
      <c r="U705" s="41" t="s">
        <v>22</v>
      </c>
      <c r="V705">
        <v>20200507</v>
      </c>
      <c r="W705" s="16" t="s">
        <v>75</v>
      </c>
      <c r="X705">
        <v>2015</v>
      </c>
      <c r="Y705" t="s">
        <v>76</v>
      </c>
      <c r="Z705" t="s">
        <v>32</v>
      </c>
      <c r="AC705" t="s">
        <v>514</v>
      </c>
      <c r="AD705" s="41">
        <v>55.7</v>
      </c>
      <c r="AE705" s="41" t="s">
        <v>22</v>
      </c>
      <c r="AF705" s="41" t="s">
        <v>22</v>
      </c>
      <c r="AG705" s="41" t="s">
        <v>22</v>
      </c>
      <c r="AH705" s="41" t="s">
        <v>22</v>
      </c>
      <c r="AI705" s="41" t="s">
        <v>22</v>
      </c>
      <c r="AJ705" s="41" t="s">
        <v>22</v>
      </c>
      <c r="AK705" s="41" t="s">
        <v>22</v>
      </c>
      <c r="AL705" s="41" t="s">
        <v>22</v>
      </c>
      <c r="AM705" s="43" t="e">
        <f t="shared" si="355"/>
        <v>#VALUE!</v>
      </c>
      <c r="AN705" s="43" t="e">
        <f t="shared" si="356"/>
        <v>#VALUE!</v>
      </c>
      <c r="AO705" s="19" t="s">
        <v>1082</v>
      </c>
      <c r="AT705" s="2">
        <f t="shared" si="357"/>
        <v>9</v>
      </c>
      <c r="AU705" s="45" t="e">
        <f t="shared" si="358"/>
        <v>#VALUE!</v>
      </c>
      <c r="AV705" s="45" t="e">
        <f t="shared" si="359"/>
        <v>#VALUE!</v>
      </c>
      <c r="AW705" s="45" t="e">
        <f t="shared" si="360"/>
        <v>#VALUE!</v>
      </c>
      <c r="AX705" s="45">
        <f t="shared" si="361"/>
        <v>1.9138138523837167</v>
      </c>
      <c r="AY705" s="45" t="e">
        <f t="shared" si="362"/>
        <v>#VALUE!</v>
      </c>
      <c r="AZ705" s="45">
        <f t="shared" si="363"/>
        <v>0.44715803134221921</v>
      </c>
      <c r="BA705" s="45" t="e">
        <f t="shared" si="364"/>
        <v>#NUM!</v>
      </c>
      <c r="BB705" s="45" t="e">
        <f t="shared" si="365"/>
        <v>#VALUE!</v>
      </c>
      <c r="BC705" s="45" t="e">
        <f t="shared" si="366"/>
        <v>#VALUE!</v>
      </c>
      <c r="BD705" s="45">
        <f t="shared" si="367"/>
        <v>1.7458551951737289</v>
      </c>
      <c r="BE705" s="45" t="e">
        <f t="shared" si="368"/>
        <v>#VALUE!</v>
      </c>
      <c r="BF705" s="45" t="e">
        <f t="shared" si="369"/>
        <v>#VALUE!</v>
      </c>
      <c r="BG705" s="45" t="e">
        <f t="shared" si="370"/>
        <v>#VALUE!</v>
      </c>
      <c r="BH705" s="45" t="e">
        <f t="shared" si="371"/>
        <v>#NUM!</v>
      </c>
      <c r="BI705" s="43" t="e">
        <f t="shared" si="372"/>
        <v>#VALUE!</v>
      </c>
      <c r="CA705" s="41" t="s">
        <v>22</v>
      </c>
      <c r="CC705" t="s">
        <v>22</v>
      </c>
      <c r="CE705" s="41" t="s">
        <v>22</v>
      </c>
      <c r="CF705" s="41" t="s">
        <v>22</v>
      </c>
      <c r="CG705" s="41">
        <f t="shared" si="379"/>
        <v>55700</v>
      </c>
      <c r="CH705" s="41">
        <f t="shared" si="380"/>
        <v>4.7458551951737293</v>
      </c>
      <c r="CI705" s="41">
        <f t="shared" si="381"/>
        <v>55700</v>
      </c>
      <c r="CJ705" s="41">
        <f t="shared" si="382"/>
        <v>4.7458551951737293</v>
      </c>
      <c r="CL705" s="9" t="s">
        <v>1269</v>
      </c>
      <c r="CM705" s="18" t="s">
        <v>1283</v>
      </c>
      <c r="CN705" s="54" t="s">
        <v>1284</v>
      </c>
      <c r="CO705" s="18" t="s">
        <v>1284</v>
      </c>
    </row>
    <row r="706" spans="1:93" x14ac:dyDescent="0.25">
      <c r="A706" t="s">
        <v>141</v>
      </c>
      <c r="B706" s="41">
        <f>2130*100*10^-6</f>
        <v>0.21299999999999999</v>
      </c>
      <c r="C706" s="41" t="s">
        <v>22</v>
      </c>
      <c r="D706" s="41" t="s">
        <v>22</v>
      </c>
      <c r="E706" s="41" t="s">
        <v>22</v>
      </c>
      <c r="F706" t="s">
        <v>22</v>
      </c>
      <c r="G706" t="s">
        <v>22</v>
      </c>
      <c r="H706" t="s">
        <v>22</v>
      </c>
      <c r="I706" t="s">
        <v>22</v>
      </c>
      <c r="K706" t="s">
        <v>22</v>
      </c>
      <c r="L706" s="41" t="e">
        <f t="shared" si="383"/>
        <v>#VALUE!</v>
      </c>
      <c r="M706" t="s">
        <v>23</v>
      </c>
      <c r="N706" s="41">
        <v>347</v>
      </c>
      <c r="O706" s="41" t="s">
        <v>22</v>
      </c>
      <c r="P706" s="41">
        <v>12.9</v>
      </c>
      <c r="R706" s="41">
        <f>N706*B706</f>
        <v>73.911000000000001</v>
      </c>
      <c r="S706" s="41" t="s">
        <v>22</v>
      </c>
      <c r="T706" s="41" t="s">
        <v>22</v>
      </c>
      <c r="U706" s="41" t="s">
        <v>22</v>
      </c>
      <c r="V706">
        <v>20200507</v>
      </c>
      <c r="W706" s="16" t="s">
        <v>75</v>
      </c>
      <c r="X706">
        <v>2015</v>
      </c>
      <c r="Y706" t="s">
        <v>76</v>
      </c>
      <c r="Z706" t="s">
        <v>32</v>
      </c>
      <c r="AC706" t="s">
        <v>514</v>
      </c>
      <c r="AD706" s="41">
        <v>8.44</v>
      </c>
      <c r="AE706" s="41" t="s">
        <v>22</v>
      </c>
      <c r="AF706" s="41" t="s">
        <v>22</v>
      </c>
      <c r="AG706" s="41" t="s">
        <v>22</v>
      </c>
      <c r="AH706" s="41" t="s">
        <v>22</v>
      </c>
      <c r="AI706" s="41" t="s">
        <v>22</v>
      </c>
      <c r="AJ706" s="41" t="s">
        <v>22</v>
      </c>
      <c r="AK706" s="41" t="s">
        <v>22</v>
      </c>
      <c r="AL706" s="41" t="s">
        <v>22</v>
      </c>
      <c r="AM706" s="43" t="e">
        <f t="shared" ref="AM706:AM769" si="384">AL706/AI706</f>
        <v>#VALUE!</v>
      </c>
      <c r="AN706" s="43" t="e">
        <f t="shared" ref="AN706:AN769" si="385">AL706/AJ706</f>
        <v>#VALUE!</v>
      </c>
      <c r="AO706" s="19" t="s">
        <v>1082</v>
      </c>
      <c r="AT706" s="2">
        <f t="shared" ref="AT706:AT769" si="386">COUNTIF($AO$2:$AO$1400,AO706)</f>
        <v>9</v>
      </c>
      <c r="AU706" s="45">
        <f t="shared" ref="AU706:AU769" si="387">LOG10(B706)</f>
        <v>-0.67162039656126227</v>
      </c>
      <c r="AV706" s="45" t="e">
        <f t="shared" ref="AV706:AV769" si="388">LOG10(C706)</f>
        <v>#VALUE!</v>
      </c>
      <c r="AW706" s="45" t="e">
        <f t="shared" ref="AW706:AW769" si="389">LOG10(D706)</f>
        <v>#VALUE!</v>
      </c>
      <c r="AX706" s="45">
        <f t="shared" ref="AX706:AX769" si="390">LOG10(N706)</f>
        <v>2.5403294747908736</v>
      </c>
      <c r="AY706" s="45" t="e">
        <f t="shared" ref="AY706:AY769" si="391">LOG10(O706)</f>
        <v>#VALUE!</v>
      </c>
      <c r="AZ706" s="45">
        <f t="shared" ref="AZ706:AZ769" si="392">LOG10(P706)</f>
        <v>1.110589710299249</v>
      </c>
      <c r="BA706" s="45" t="e">
        <f t="shared" ref="BA706:BA769" si="393">LOG10(J706)</f>
        <v>#NUM!</v>
      </c>
      <c r="BB706" s="45" t="e">
        <f t="shared" ref="BB706:BB769" si="394">LOG10(L706)</f>
        <v>#VALUE!</v>
      </c>
      <c r="BC706" s="45" t="e">
        <f t="shared" ref="BC706:BC769" si="395">LOG10(U706)</f>
        <v>#VALUE!</v>
      </c>
      <c r="BD706" s="45">
        <f t="shared" ref="BD706:BD769" si="396">LOG10(AD706)</f>
        <v>0.92634244662565501</v>
      </c>
      <c r="BE706" s="45" t="e">
        <f t="shared" ref="BE706:BE769" si="397">LOG10(AF706)</f>
        <v>#VALUE!</v>
      </c>
      <c r="BF706" s="45" t="e">
        <f t="shared" ref="BF706:BF769" si="398">LOG10(AM706)</f>
        <v>#VALUE!</v>
      </c>
      <c r="BG706" s="45" t="e">
        <f t="shared" ref="BG706:BG769" si="399">LOG10(AN706)</f>
        <v>#VALUE!</v>
      </c>
      <c r="BH706" s="45" t="e">
        <f t="shared" ref="BH706:BH769" si="400">LOG10(AB706)</f>
        <v>#NUM!</v>
      </c>
      <c r="BI706" s="43" t="e">
        <f t="shared" ref="BI706:BI769" si="401">LOG10(AF706)</f>
        <v>#VALUE!</v>
      </c>
      <c r="CA706" s="41" t="s">
        <v>22</v>
      </c>
      <c r="CC706" t="s">
        <v>22</v>
      </c>
      <c r="CE706" s="41" t="s">
        <v>22</v>
      </c>
      <c r="CF706" s="41" t="s">
        <v>22</v>
      </c>
      <c r="CG706" s="41">
        <f t="shared" si="379"/>
        <v>8440</v>
      </c>
      <c r="CH706" s="41">
        <f t="shared" si="380"/>
        <v>3.9263424466256551</v>
      </c>
      <c r="CI706" s="41">
        <f t="shared" si="381"/>
        <v>8440</v>
      </c>
      <c r="CJ706" s="41">
        <f t="shared" si="382"/>
        <v>3.9263424466256551</v>
      </c>
      <c r="CL706" s="9" t="s">
        <v>1269</v>
      </c>
      <c r="CM706" s="18" t="s">
        <v>1283</v>
      </c>
      <c r="CN706" s="54" t="s">
        <v>1284</v>
      </c>
      <c r="CO706" s="18" t="s">
        <v>1284</v>
      </c>
    </row>
    <row r="707" spans="1:93" x14ac:dyDescent="0.25">
      <c r="A707" t="s">
        <v>141</v>
      </c>
      <c r="B707" s="41" t="s">
        <v>22</v>
      </c>
      <c r="C707" s="41" t="s">
        <v>22</v>
      </c>
      <c r="D707" s="41" t="s">
        <v>22</v>
      </c>
      <c r="E707" s="41" t="s">
        <v>22</v>
      </c>
      <c r="F707" t="s">
        <v>22</v>
      </c>
      <c r="G707" t="s">
        <v>22</v>
      </c>
      <c r="H707" t="s">
        <v>22</v>
      </c>
      <c r="I707" t="s">
        <v>22</v>
      </c>
      <c r="K707" t="s">
        <v>22</v>
      </c>
      <c r="L707" s="41" t="e">
        <f t="shared" si="383"/>
        <v>#VALUE!</v>
      </c>
      <c r="M707" t="s">
        <v>23</v>
      </c>
      <c r="N707" s="41">
        <v>354</v>
      </c>
      <c r="O707" s="41" t="s">
        <v>22</v>
      </c>
      <c r="P707" s="41">
        <v>17.100000000000001</v>
      </c>
      <c r="R707" s="41" t="s">
        <v>22</v>
      </c>
      <c r="S707" s="41" t="s">
        <v>22</v>
      </c>
      <c r="T707" s="41" t="s">
        <v>22</v>
      </c>
      <c r="U707" s="41" t="s">
        <v>22</v>
      </c>
      <c r="V707">
        <v>20200507</v>
      </c>
      <c r="W707" s="16" t="s">
        <v>75</v>
      </c>
      <c r="X707">
        <v>2015</v>
      </c>
      <c r="Y707" t="s">
        <v>76</v>
      </c>
      <c r="Z707" t="s">
        <v>32</v>
      </c>
      <c r="AC707" t="s">
        <v>514</v>
      </c>
      <c r="AD707" s="41">
        <v>8.2200000000000006</v>
      </c>
      <c r="AE707" s="41" t="s">
        <v>22</v>
      </c>
      <c r="AF707" s="41" t="s">
        <v>22</v>
      </c>
      <c r="AG707" s="41" t="s">
        <v>22</v>
      </c>
      <c r="AH707" s="41" t="s">
        <v>22</v>
      </c>
      <c r="AI707" s="41" t="s">
        <v>22</v>
      </c>
      <c r="AJ707" s="41" t="s">
        <v>22</v>
      </c>
      <c r="AK707" s="41" t="s">
        <v>22</v>
      </c>
      <c r="AL707" s="41" t="s">
        <v>22</v>
      </c>
      <c r="AM707" s="43" t="e">
        <f t="shared" si="384"/>
        <v>#VALUE!</v>
      </c>
      <c r="AN707" s="43" t="e">
        <f t="shared" si="385"/>
        <v>#VALUE!</v>
      </c>
      <c r="AO707" s="19" t="s">
        <v>1082</v>
      </c>
      <c r="AT707" s="2">
        <f t="shared" si="386"/>
        <v>9</v>
      </c>
      <c r="AU707" s="45" t="e">
        <f t="shared" si="387"/>
        <v>#VALUE!</v>
      </c>
      <c r="AV707" s="45" t="e">
        <f t="shared" si="388"/>
        <v>#VALUE!</v>
      </c>
      <c r="AW707" s="45" t="e">
        <f t="shared" si="389"/>
        <v>#VALUE!</v>
      </c>
      <c r="AX707" s="45">
        <f t="shared" si="390"/>
        <v>2.5490032620257876</v>
      </c>
      <c r="AY707" s="45" t="e">
        <f t="shared" si="391"/>
        <v>#VALUE!</v>
      </c>
      <c r="AZ707" s="45">
        <f t="shared" si="392"/>
        <v>1.2329961103921538</v>
      </c>
      <c r="BA707" s="45" t="e">
        <f t="shared" si="393"/>
        <v>#NUM!</v>
      </c>
      <c r="BB707" s="45" t="e">
        <f t="shared" si="394"/>
        <v>#VALUE!</v>
      </c>
      <c r="BC707" s="45" t="e">
        <f t="shared" si="395"/>
        <v>#VALUE!</v>
      </c>
      <c r="BD707" s="45">
        <f t="shared" si="396"/>
        <v>0.91487181754005042</v>
      </c>
      <c r="BE707" s="45" t="e">
        <f t="shared" si="397"/>
        <v>#VALUE!</v>
      </c>
      <c r="BF707" s="45" t="e">
        <f t="shared" si="398"/>
        <v>#VALUE!</v>
      </c>
      <c r="BG707" s="45" t="e">
        <f t="shared" si="399"/>
        <v>#VALUE!</v>
      </c>
      <c r="BH707" s="45" t="e">
        <f t="shared" si="400"/>
        <v>#NUM!</v>
      </c>
      <c r="BI707" s="43" t="e">
        <f t="shared" si="401"/>
        <v>#VALUE!</v>
      </c>
      <c r="CA707" s="41" t="s">
        <v>22</v>
      </c>
      <c r="CC707" t="s">
        <v>22</v>
      </c>
      <c r="CE707" s="41" t="s">
        <v>22</v>
      </c>
      <c r="CF707" s="41" t="s">
        <v>22</v>
      </c>
      <c r="CG707" s="41">
        <f t="shared" si="379"/>
        <v>8220</v>
      </c>
      <c r="CH707" s="41">
        <f t="shared" si="380"/>
        <v>3.9148718175400505</v>
      </c>
      <c r="CI707" s="41">
        <f t="shared" si="381"/>
        <v>8220</v>
      </c>
      <c r="CJ707" s="41">
        <f t="shared" si="382"/>
        <v>3.9148718175400505</v>
      </c>
      <c r="CL707" s="9" t="s">
        <v>1269</v>
      </c>
      <c r="CM707" s="18" t="s">
        <v>1283</v>
      </c>
      <c r="CN707" s="54" t="s">
        <v>1284</v>
      </c>
      <c r="CO707" s="18" t="s">
        <v>1284</v>
      </c>
    </row>
    <row r="708" spans="1:93" x14ac:dyDescent="0.25">
      <c r="A708" t="s">
        <v>141</v>
      </c>
      <c r="B708" s="41">
        <v>0.12938603796751399</v>
      </c>
      <c r="C708" s="41">
        <v>1.8</v>
      </c>
      <c r="D708" s="41">
        <f>0.001*(B708*10^6)/(C708*0.001*100^3)</f>
        <v>7.1881132204174442E-2</v>
      </c>
      <c r="E708" s="41" t="s">
        <v>22</v>
      </c>
      <c r="F708" t="s">
        <v>22</v>
      </c>
      <c r="G708" t="s">
        <v>22</v>
      </c>
      <c r="H708" t="s">
        <v>22</v>
      </c>
      <c r="I708" t="s">
        <v>22</v>
      </c>
      <c r="J708" s="41">
        <v>2.4</v>
      </c>
      <c r="K708">
        <v>514.4</v>
      </c>
      <c r="L708" s="41">
        <f t="shared" si="383"/>
        <v>0.16804093191880701</v>
      </c>
      <c r="M708" t="s">
        <v>23</v>
      </c>
      <c r="N708" s="41">
        <v>410</v>
      </c>
      <c r="O708" s="41">
        <f>(N708/C708)*0.001</f>
        <v>0.22777777777777777</v>
      </c>
      <c r="P708" s="41">
        <v>14.6</v>
      </c>
      <c r="R708" s="41">
        <f>N708*B708</f>
        <v>53.048275566680736</v>
      </c>
      <c r="S708" s="41">
        <f>O708*D708</f>
        <v>1.6372924557617512E-2</v>
      </c>
      <c r="T708" s="41">
        <v>15</v>
      </c>
      <c r="U708" s="41">
        <v>15</v>
      </c>
      <c r="V708">
        <v>20200507</v>
      </c>
      <c r="W708" s="16" t="s">
        <v>75</v>
      </c>
      <c r="X708">
        <v>2015</v>
      </c>
      <c r="Y708" t="s">
        <v>76</v>
      </c>
      <c r="Z708" t="s">
        <v>32</v>
      </c>
      <c r="AC708" t="s">
        <v>514</v>
      </c>
      <c r="AD708" s="41">
        <v>10</v>
      </c>
      <c r="AE708" s="41">
        <v>1580</v>
      </c>
      <c r="AF708" s="41" t="s">
        <v>22</v>
      </c>
      <c r="AG708" s="41" t="s">
        <v>22</v>
      </c>
      <c r="AH708" s="41" t="s">
        <v>22</v>
      </c>
      <c r="AI708" s="41" t="s">
        <v>22</v>
      </c>
      <c r="AJ708" s="41" t="s">
        <v>22</v>
      </c>
      <c r="AK708" s="41" t="s">
        <v>22</v>
      </c>
      <c r="AL708" s="41" t="s">
        <v>22</v>
      </c>
      <c r="AM708" s="43" t="e">
        <f t="shared" si="384"/>
        <v>#VALUE!</v>
      </c>
      <c r="AN708" s="43" t="e">
        <f t="shared" si="385"/>
        <v>#VALUE!</v>
      </c>
      <c r="AO708" s="3" t="s">
        <v>1082</v>
      </c>
      <c r="AT708" s="2">
        <f t="shared" si="386"/>
        <v>9</v>
      </c>
      <c r="AU708" s="45">
        <f t="shared" si="387"/>
        <v>-0.88811258580654617</v>
      </c>
      <c r="AV708" s="45">
        <f t="shared" si="388"/>
        <v>0.25527250510330607</v>
      </c>
      <c r="AW708" s="45">
        <f t="shared" si="389"/>
        <v>-1.1433850909098522</v>
      </c>
      <c r="AX708" s="45">
        <f t="shared" si="390"/>
        <v>2.6127838567197355</v>
      </c>
      <c r="AY708" s="45">
        <f t="shared" si="391"/>
        <v>-0.64248864838357056</v>
      </c>
      <c r="AZ708" s="45">
        <f t="shared" si="392"/>
        <v>1.1643528557844371</v>
      </c>
      <c r="BA708" s="45">
        <f t="shared" si="393"/>
        <v>0.38021124171160603</v>
      </c>
      <c r="BB708" s="45">
        <f t="shared" si="394"/>
        <v>-0.77458491862373147</v>
      </c>
      <c r="BC708" s="45">
        <f t="shared" si="395"/>
        <v>1.1760912590556813</v>
      </c>
      <c r="BD708" s="45">
        <f t="shared" si="396"/>
        <v>1</v>
      </c>
      <c r="BE708" s="45" t="e">
        <f t="shared" si="397"/>
        <v>#VALUE!</v>
      </c>
      <c r="BF708" s="45" t="e">
        <f t="shared" si="398"/>
        <v>#VALUE!</v>
      </c>
      <c r="BG708" s="45" t="e">
        <f t="shared" si="399"/>
        <v>#VALUE!</v>
      </c>
      <c r="BH708" s="45" t="e">
        <f t="shared" si="400"/>
        <v>#NUM!</v>
      </c>
      <c r="BI708" s="43" t="e">
        <f t="shared" si="401"/>
        <v>#VALUE!</v>
      </c>
      <c r="CA708" s="41" t="s">
        <v>22</v>
      </c>
      <c r="CC708" t="s">
        <v>22</v>
      </c>
      <c r="CE708" s="41" t="s">
        <v>22</v>
      </c>
      <c r="CF708" s="41" t="s">
        <v>22</v>
      </c>
      <c r="CG708" s="41">
        <f t="shared" si="379"/>
        <v>10000</v>
      </c>
      <c r="CH708" s="41">
        <f t="shared" si="380"/>
        <v>4</v>
      </c>
      <c r="CI708" s="41">
        <f t="shared" si="381"/>
        <v>10000</v>
      </c>
      <c r="CJ708" s="41">
        <f t="shared" si="382"/>
        <v>4</v>
      </c>
      <c r="CL708" s="9" t="s">
        <v>1269</v>
      </c>
      <c r="CM708" s="18" t="s">
        <v>1283</v>
      </c>
      <c r="CN708" s="54" t="s">
        <v>1284</v>
      </c>
      <c r="CO708" s="18" t="s">
        <v>1284</v>
      </c>
    </row>
    <row r="709" spans="1:93" x14ac:dyDescent="0.25">
      <c r="A709" t="s">
        <v>141</v>
      </c>
      <c r="B709" s="41">
        <v>0.35146173504594796</v>
      </c>
      <c r="C709" s="41">
        <v>1.53</v>
      </c>
      <c r="D709" s="41">
        <f>0.001*(B709*10^6)/(C709*0.001*100^3)</f>
        <v>0.22971355231761303</v>
      </c>
      <c r="E709" s="41" t="s">
        <v>22</v>
      </c>
      <c r="F709" t="s">
        <v>22</v>
      </c>
      <c r="G709" t="s">
        <v>22</v>
      </c>
      <c r="H709" t="s">
        <v>22</v>
      </c>
      <c r="I709" t="s">
        <v>22</v>
      </c>
      <c r="J709" s="41" t="s">
        <v>22</v>
      </c>
      <c r="K709" t="s">
        <v>22</v>
      </c>
      <c r="L709" s="41" t="e">
        <f t="shared" si="383"/>
        <v>#VALUE!</v>
      </c>
      <c r="M709" t="s">
        <v>45</v>
      </c>
      <c r="N709" s="41">
        <v>687.5</v>
      </c>
      <c r="O709" s="41">
        <f>(N709/C709)*0.001</f>
        <v>0.44934640522875818</v>
      </c>
      <c r="P709" s="41">
        <v>20.6642066420664</v>
      </c>
      <c r="R709" s="41">
        <f>N709*B709</f>
        <v>241.62994284408921</v>
      </c>
      <c r="S709" s="41">
        <f>O709*D709</f>
        <v>0.10322095896624769</v>
      </c>
      <c r="T709" s="41">
        <v>15</v>
      </c>
      <c r="U709" s="41">
        <v>15</v>
      </c>
      <c r="V709">
        <v>20200507</v>
      </c>
      <c r="W709" s="16" t="s">
        <v>75</v>
      </c>
      <c r="X709">
        <v>2015</v>
      </c>
      <c r="Y709" t="s">
        <v>76</v>
      </c>
      <c r="Z709" t="s">
        <v>77</v>
      </c>
      <c r="AA709" t="s">
        <v>737</v>
      </c>
      <c r="AB709" s="41">
        <v>0.12938603796751399</v>
      </c>
      <c r="AC709" t="s">
        <v>514</v>
      </c>
      <c r="AD709" s="41">
        <v>9</v>
      </c>
      <c r="AE709" s="41" t="s">
        <v>22</v>
      </c>
      <c r="AF709" s="41" t="s">
        <v>22</v>
      </c>
      <c r="AG709" s="41" t="s">
        <v>22</v>
      </c>
      <c r="AH709" s="41" t="s">
        <v>22</v>
      </c>
      <c r="AI709" s="41" t="s">
        <v>22</v>
      </c>
      <c r="AJ709" s="41" t="s">
        <v>22</v>
      </c>
      <c r="AK709" s="41" t="s">
        <v>22</v>
      </c>
      <c r="AL709" s="41" t="s">
        <v>22</v>
      </c>
      <c r="AM709" s="43" t="e">
        <f t="shared" si="384"/>
        <v>#VALUE!</v>
      </c>
      <c r="AN709" s="43" t="e">
        <f t="shared" si="385"/>
        <v>#VALUE!</v>
      </c>
      <c r="AO709" s="3" t="s">
        <v>1082</v>
      </c>
      <c r="AT709" s="2">
        <f t="shared" si="386"/>
        <v>9</v>
      </c>
      <c r="AU709" s="45">
        <f t="shared" si="387"/>
        <v>-0.45412195133550359</v>
      </c>
      <c r="AV709" s="45">
        <f t="shared" si="388"/>
        <v>0.18469143081759881</v>
      </c>
      <c r="AW709" s="45">
        <f t="shared" si="389"/>
        <v>-0.63881338215310235</v>
      </c>
      <c r="AX709" s="45">
        <f t="shared" si="390"/>
        <v>2.8372727025023003</v>
      </c>
      <c r="AY709" s="45">
        <f t="shared" si="391"/>
        <v>-0.34741872831529852</v>
      </c>
      <c r="AZ709" s="45">
        <f t="shared" si="392"/>
        <v>1.3152187361317942</v>
      </c>
      <c r="BA709" s="45" t="e">
        <f t="shared" si="393"/>
        <v>#VALUE!</v>
      </c>
      <c r="BB709" s="45" t="e">
        <f t="shared" si="394"/>
        <v>#VALUE!</v>
      </c>
      <c r="BC709" s="45">
        <f t="shared" si="395"/>
        <v>1.1760912590556813</v>
      </c>
      <c r="BD709" s="45">
        <f t="shared" si="396"/>
        <v>0.95424250943932487</v>
      </c>
      <c r="BE709" s="45" t="e">
        <f t="shared" si="397"/>
        <v>#VALUE!</v>
      </c>
      <c r="BF709" s="45" t="e">
        <f t="shared" si="398"/>
        <v>#VALUE!</v>
      </c>
      <c r="BG709" s="45" t="e">
        <f t="shared" si="399"/>
        <v>#VALUE!</v>
      </c>
      <c r="BH709" s="45">
        <f t="shared" si="400"/>
        <v>-0.88811258580654617</v>
      </c>
      <c r="BI709" s="43" t="e">
        <f t="shared" si="401"/>
        <v>#VALUE!</v>
      </c>
      <c r="CA709" s="41" t="s">
        <v>22</v>
      </c>
      <c r="CC709" t="s">
        <v>22</v>
      </c>
      <c r="CE709" s="41" t="s">
        <v>22</v>
      </c>
      <c r="CF709" s="41" t="s">
        <v>22</v>
      </c>
      <c r="CG709" s="41">
        <f t="shared" si="379"/>
        <v>9000</v>
      </c>
      <c r="CH709" s="41">
        <f t="shared" si="380"/>
        <v>3.9542425094393248</v>
      </c>
      <c r="CI709" s="41">
        <f t="shared" si="381"/>
        <v>9000</v>
      </c>
      <c r="CJ709" s="41">
        <f t="shared" si="382"/>
        <v>3.9542425094393248</v>
      </c>
      <c r="CL709" s="9" t="s">
        <v>1269</v>
      </c>
      <c r="CM709" s="18" t="s">
        <v>1283</v>
      </c>
      <c r="CN709" s="54" t="s">
        <v>1284</v>
      </c>
      <c r="CO709" s="18" t="s">
        <v>1284</v>
      </c>
    </row>
    <row r="710" spans="1:93" x14ac:dyDescent="0.25">
      <c r="A710" t="s">
        <v>141</v>
      </c>
      <c r="B710" s="41">
        <v>0.82272673192878509</v>
      </c>
      <c r="C710" s="41">
        <v>1.53</v>
      </c>
      <c r="D710" s="41">
        <f>0.001*(B710*10^6)/(C710*0.001*100^3)</f>
        <v>0.53772989014953276</v>
      </c>
      <c r="E710" s="41" t="s">
        <v>22</v>
      </c>
      <c r="F710" t="s">
        <v>22</v>
      </c>
      <c r="G710" t="s">
        <v>22</v>
      </c>
      <c r="H710" t="s">
        <v>22</v>
      </c>
      <c r="I710" t="s">
        <v>22</v>
      </c>
      <c r="J710" s="41" t="s">
        <v>22</v>
      </c>
      <c r="K710" t="s">
        <v>22</v>
      </c>
      <c r="L710" s="41" t="e">
        <f t="shared" si="383"/>
        <v>#VALUE!</v>
      </c>
      <c r="M710" t="s">
        <v>45</v>
      </c>
      <c r="N710" s="41">
        <v>612.5</v>
      </c>
      <c r="O710" s="41">
        <f>(N710/C710)*0.001</f>
        <v>0.40032679738562094</v>
      </c>
      <c r="P710" s="41">
        <v>16.4022140221402</v>
      </c>
      <c r="R710" s="41">
        <f>N710*B710</f>
        <v>503.92012330638084</v>
      </c>
      <c r="S710" s="41">
        <f>O710*D710</f>
        <v>0.21526768478208422</v>
      </c>
      <c r="T710" s="41">
        <v>15</v>
      </c>
      <c r="U710" s="41">
        <v>15</v>
      </c>
      <c r="V710">
        <v>20200507</v>
      </c>
      <c r="W710" s="16" t="s">
        <v>75</v>
      </c>
      <c r="X710">
        <v>2015</v>
      </c>
      <c r="Y710" t="s">
        <v>76</v>
      </c>
      <c r="Z710" t="s">
        <v>77</v>
      </c>
      <c r="AA710" t="s">
        <v>737</v>
      </c>
      <c r="AB710" s="41">
        <v>0.12938603796751399</v>
      </c>
      <c r="AC710" t="s">
        <v>514</v>
      </c>
      <c r="AD710" s="41">
        <v>9</v>
      </c>
      <c r="AE710" s="41" t="s">
        <v>22</v>
      </c>
      <c r="AF710" s="41" t="s">
        <v>22</v>
      </c>
      <c r="AG710" s="41" t="s">
        <v>22</v>
      </c>
      <c r="AH710" s="41" t="s">
        <v>22</v>
      </c>
      <c r="AI710" s="41" t="s">
        <v>22</v>
      </c>
      <c r="AJ710" s="41" t="s">
        <v>22</v>
      </c>
      <c r="AK710" s="41" t="s">
        <v>22</v>
      </c>
      <c r="AL710" s="41" t="s">
        <v>22</v>
      </c>
      <c r="AM710" s="43" t="e">
        <f t="shared" si="384"/>
        <v>#VALUE!</v>
      </c>
      <c r="AN710" s="43" t="e">
        <f t="shared" si="385"/>
        <v>#VALUE!</v>
      </c>
      <c r="AO710" s="3" t="s">
        <v>1082</v>
      </c>
      <c r="AT710" s="2">
        <f t="shared" si="386"/>
        <v>9</v>
      </c>
      <c r="AU710" s="45">
        <f t="shared" si="387"/>
        <v>-8.4744391425357432E-2</v>
      </c>
      <c r="AV710" s="45">
        <f t="shared" si="388"/>
        <v>0.18469143081759881</v>
      </c>
      <c r="AW710" s="45">
        <f t="shared" si="389"/>
        <v>-0.2694358222429562</v>
      </c>
      <c r="AX710" s="45">
        <f t="shared" si="390"/>
        <v>2.7871060930365701</v>
      </c>
      <c r="AY710" s="45">
        <f t="shared" si="391"/>
        <v>-0.39758533778102872</v>
      </c>
      <c r="AZ710" s="45">
        <f t="shared" si="392"/>
        <v>1.2149024744318262</v>
      </c>
      <c r="BA710" s="45" t="e">
        <f t="shared" si="393"/>
        <v>#VALUE!</v>
      </c>
      <c r="BB710" s="45" t="e">
        <f t="shared" si="394"/>
        <v>#VALUE!</v>
      </c>
      <c r="BC710" s="45">
        <f t="shared" si="395"/>
        <v>1.1760912590556813</v>
      </c>
      <c r="BD710" s="45">
        <f t="shared" si="396"/>
        <v>0.95424250943932487</v>
      </c>
      <c r="BE710" s="45" t="e">
        <f t="shared" si="397"/>
        <v>#VALUE!</v>
      </c>
      <c r="BF710" s="45" t="e">
        <f t="shared" si="398"/>
        <v>#VALUE!</v>
      </c>
      <c r="BG710" s="45" t="e">
        <f t="shared" si="399"/>
        <v>#VALUE!</v>
      </c>
      <c r="BH710" s="45">
        <f t="shared" si="400"/>
        <v>-0.88811258580654617</v>
      </c>
      <c r="BI710" s="43" t="e">
        <f t="shared" si="401"/>
        <v>#VALUE!</v>
      </c>
      <c r="CA710" s="41" t="s">
        <v>22</v>
      </c>
      <c r="CC710" t="s">
        <v>22</v>
      </c>
      <c r="CE710" s="41" t="s">
        <v>22</v>
      </c>
      <c r="CF710" s="41" t="s">
        <v>22</v>
      </c>
      <c r="CG710" s="41">
        <f t="shared" si="379"/>
        <v>9000</v>
      </c>
      <c r="CH710" s="41">
        <f t="shared" si="380"/>
        <v>3.9542425094393248</v>
      </c>
      <c r="CI710" s="41">
        <f t="shared" si="381"/>
        <v>9000</v>
      </c>
      <c r="CJ710" s="41">
        <f t="shared" si="382"/>
        <v>3.9542425094393248</v>
      </c>
      <c r="CL710" s="9" t="s">
        <v>1269</v>
      </c>
      <c r="CM710" s="18" t="s">
        <v>1283</v>
      </c>
      <c r="CN710" s="54" t="s">
        <v>1284</v>
      </c>
      <c r="CO710" s="18" t="s">
        <v>1284</v>
      </c>
    </row>
    <row r="711" spans="1:93" x14ac:dyDescent="0.25">
      <c r="A711" t="s">
        <v>141</v>
      </c>
      <c r="B711" s="41">
        <v>0.63203871944109891</v>
      </c>
      <c r="C711" s="41">
        <v>1.53</v>
      </c>
      <c r="D711" s="41">
        <f>0.001*(B711*10^6)/(C711*0.001*100^3)</f>
        <v>0.41309720224908425</v>
      </c>
      <c r="E711" s="41" t="s">
        <v>22</v>
      </c>
      <c r="F711" t="s">
        <v>22</v>
      </c>
      <c r="G711" t="s">
        <v>22</v>
      </c>
      <c r="H711" t="s">
        <v>22</v>
      </c>
      <c r="I711" t="s">
        <v>22</v>
      </c>
      <c r="J711" s="41" t="s">
        <v>22</v>
      </c>
      <c r="K711" t="s">
        <v>22</v>
      </c>
      <c r="L711" s="41" t="e">
        <f t="shared" si="383"/>
        <v>#VALUE!</v>
      </c>
      <c r="M711" t="s">
        <v>45</v>
      </c>
      <c r="N711" s="41">
        <v>605.88235294117601</v>
      </c>
      <c r="O711" s="41">
        <f>(N711/C711)*0.001</f>
        <v>0.39600153787004966</v>
      </c>
      <c r="P711" s="41">
        <v>15.7933579335793</v>
      </c>
      <c r="R711" s="41">
        <f>N711*B711</f>
        <v>382.94110648490079</v>
      </c>
      <c r="S711" s="41">
        <f>O711*D711</f>
        <v>0.16358712738045231</v>
      </c>
      <c r="T711" s="41">
        <v>15</v>
      </c>
      <c r="U711" s="41">
        <v>15</v>
      </c>
      <c r="V711">
        <v>20200507</v>
      </c>
      <c r="W711" s="16" t="s">
        <v>75</v>
      </c>
      <c r="X711">
        <v>2015</v>
      </c>
      <c r="Y711" t="s">
        <v>76</v>
      </c>
      <c r="Z711" t="s">
        <v>77</v>
      </c>
      <c r="AA711" t="s">
        <v>737</v>
      </c>
      <c r="AB711" s="41">
        <v>0.12938603796751399</v>
      </c>
      <c r="AC711" t="s">
        <v>514</v>
      </c>
      <c r="AD711" s="41">
        <v>9</v>
      </c>
      <c r="AE711" s="41" t="s">
        <v>22</v>
      </c>
      <c r="AF711" s="41" t="s">
        <v>22</v>
      </c>
      <c r="AG711" s="41" t="s">
        <v>22</v>
      </c>
      <c r="AH711" s="41" t="s">
        <v>22</v>
      </c>
      <c r="AI711" s="41" t="s">
        <v>22</v>
      </c>
      <c r="AJ711" s="41" t="s">
        <v>22</v>
      </c>
      <c r="AK711" s="41" t="s">
        <v>22</v>
      </c>
      <c r="AL711" s="41" t="s">
        <v>22</v>
      </c>
      <c r="AM711" s="43" t="e">
        <f t="shared" si="384"/>
        <v>#VALUE!</v>
      </c>
      <c r="AN711" s="43" t="e">
        <f t="shared" si="385"/>
        <v>#VALUE!</v>
      </c>
      <c r="AO711" s="3" t="s">
        <v>1082</v>
      </c>
      <c r="AT711" s="2">
        <f t="shared" si="386"/>
        <v>9</v>
      </c>
      <c r="AU711" s="45">
        <f t="shared" si="387"/>
        <v>-0.19925631550791861</v>
      </c>
      <c r="AV711" s="45">
        <f t="shared" si="388"/>
        <v>0.18469143081759881</v>
      </c>
      <c r="AW711" s="45">
        <f t="shared" si="389"/>
        <v>-0.38394774632551742</v>
      </c>
      <c r="AX711" s="45">
        <f t="shared" si="390"/>
        <v>2.7823883033268979</v>
      </c>
      <c r="AY711" s="45">
        <f t="shared" si="391"/>
        <v>-0.40230312749070091</v>
      </c>
      <c r="AZ711" s="45">
        <f t="shared" si="392"/>
        <v>1.1984744781387653</v>
      </c>
      <c r="BA711" s="45" t="e">
        <f t="shared" si="393"/>
        <v>#VALUE!</v>
      </c>
      <c r="BB711" s="45" t="e">
        <f t="shared" si="394"/>
        <v>#VALUE!</v>
      </c>
      <c r="BC711" s="45">
        <f t="shared" si="395"/>
        <v>1.1760912590556813</v>
      </c>
      <c r="BD711" s="45">
        <f t="shared" si="396"/>
        <v>0.95424250943932487</v>
      </c>
      <c r="BE711" s="45" t="e">
        <f t="shared" si="397"/>
        <v>#VALUE!</v>
      </c>
      <c r="BF711" s="45" t="e">
        <f t="shared" si="398"/>
        <v>#VALUE!</v>
      </c>
      <c r="BG711" s="45" t="e">
        <f t="shared" si="399"/>
        <v>#VALUE!</v>
      </c>
      <c r="BH711" s="45">
        <f t="shared" si="400"/>
        <v>-0.88811258580654617</v>
      </c>
      <c r="BI711" s="43" t="e">
        <f t="shared" si="401"/>
        <v>#VALUE!</v>
      </c>
      <c r="CA711" s="41" t="s">
        <v>22</v>
      </c>
      <c r="CC711" t="s">
        <v>22</v>
      </c>
      <c r="CE711" s="41" t="s">
        <v>22</v>
      </c>
      <c r="CF711" s="41" t="s">
        <v>22</v>
      </c>
      <c r="CG711" s="41">
        <f t="shared" si="379"/>
        <v>9000</v>
      </c>
      <c r="CH711" s="41">
        <f t="shared" si="380"/>
        <v>3.9542425094393248</v>
      </c>
      <c r="CI711" s="41">
        <f t="shared" si="381"/>
        <v>9000</v>
      </c>
      <c r="CJ711" s="41">
        <f t="shared" si="382"/>
        <v>3.9542425094393248</v>
      </c>
      <c r="CL711" s="9" t="s">
        <v>1269</v>
      </c>
      <c r="CM711" s="18" t="s">
        <v>1283</v>
      </c>
      <c r="CN711" s="54" t="s">
        <v>1284</v>
      </c>
      <c r="CO711" s="18" t="s">
        <v>1284</v>
      </c>
    </row>
    <row r="712" spans="1:93" x14ac:dyDescent="0.25">
      <c r="A712" t="s">
        <v>141</v>
      </c>
      <c r="B712" s="41">
        <v>0.403300385005258</v>
      </c>
      <c r="C712" s="41">
        <v>1.53</v>
      </c>
      <c r="D712" s="41">
        <f>0.001*(B712*10^6)/(C712*0.001*100^3)</f>
        <v>0.26359502287925363</v>
      </c>
      <c r="E712" s="41" t="s">
        <v>22</v>
      </c>
      <c r="F712" t="s">
        <v>22</v>
      </c>
      <c r="G712" t="s">
        <v>22</v>
      </c>
      <c r="H712" t="s">
        <v>22</v>
      </c>
      <c r="I712" t="s">
        <v>22</v>
      </c>
      <c r="J712" s="41" t="s">
        <v>22</v>
      </c>
      <c r="K712" t="s">
        <v>22</v>
      </c>
      <c r="L712" s="41" t="e">
        <f t="shared" si="383"/>
        <v>#VALUE!</v>
      </c>
      <c r="M712" t="s">
        <v>45</v>
      </c>
      <c r="N712" s="41">
        <v>566.17647058823491</v>
      </c>
      <c r="O712" s="41">
        <f>(N712/C712)*0.001</f>
        <v>0.37004998077662415</v>
      </c>
      <c r="P712" s="41">
        <v>16.4022140221402</v>
      </c>
      <c r="R712" s="41">
        <f>N712*B712</f>
        <v>228.33918856915327</v>
      </c>
      <c r="S712" s="41">
        <f>O712*D712</f>
        <v>9.7543333149281611E-2</v>
      </c>
      <c r="T712" s="41">
        <v>15</v>
      </c>
      <c r="U712" s="41">
        <v>15</v>
      </c>
      <c r="V712">
        <v>20200507</v>
      </c>
      <c r="W712" s="16" t="s">
        <v>75</v>
      </c>
      <c r="X712">
        <v>2015</v>
      </c>
      <c r="Y712" t="s">
        <v>76</v>
      </c>
      <c r="Z712" t="s">
        <v>77</v>
      </c>
      <c r="AA712" t="s">
        <v>737</v>
      </c>
      <c r="AB712" s="41">
        <v>0.12938603796751399</v>
      </c>
      <c r="AC712" t="s">
        <v>514</v>
      </c>
      <c r="AD712" s="41">
        <v>9</v>
      </c>
      <c r="AE712" s="41" t="s">
        <v>22</v>
      </c>
      <c r="AF712" s="41" t="s">
        <v>22</v>
      </c>
      <c r="AG712" s="41" t="s">
        <v>22</v>
      </c>
      <c r="AH712" s="41" t="s">
        <v>22</v>
      </c>
      <c r="AI712" s="41" t="s">
        <v>22</v>
      </c>
      <c r="AJ712" s="41" t="s">
        <v>22</v>
      </c>
      <c r="AK712" s="41" t="s">
        <v>22</v>
      </c>
      <c r="AL712" s="41" t="s">
        <v>22</v>
      </c>
      <c r="AM712" s="43" t="e">
        <f t="shared" si="384"/>
        <v>#VALUE!</v>
      </c>
      <c r="AN712" s="43" t="e">
        <f t="shared" si="385"/>
        <v>#VALUE!</v>
      </c>
      <c r="AO712" s="3" t="s">
        <v>1082</v>
      </c>
      <c r="AT712" s="2">
        <f t="shared" si="386"/>
        <v>9</v>
      </c>
      <c r="AU712" s="45">
        <f t="shared" si="387"/>
        <v>-0.39437136339883005</v>
      </c>
      <c r="AV712" s="45">
        <f t="shared" si="388"/>
        <v>0.18469143081759881</v>
      </c>
      <c r="AW712" s="45">
        <f t="shared" si="389"/>
        <v>-0.57906279421642881</v>
      </c>
      <c r="AX712" s="45">
        <f t="shared" si="390"/>
        <v>2.752951816802264</v>
      </c>
      <c r="AY712" s="45">
        <f t="shared" si="391"/>
        <v>-0.43173961401533473</v>
      </c>
      <c r="AZ712" s="45">
        <f t="shared" si="392"/>
        <v>1.2149024744318262</v>
      </c>
      <c r="BA712" s="45" t="e">
        <f t="shared" si="393"/>
        <v>#VALUE!</v>
      </c>
      <c r="BB712" s="45" t="e">
        <f t="shared" si="394"/>
        <v>#VALUE!</v>
      </c>
      <c r="BC712" s="45">
        <f t="shared" si="395"/>
        <v>1.1760912590556813</v>
      </c>
      <c r="BD712" s="45">
        <f t="shared" si="396"/>
        <v>0.95424250943932487</v>
      </c>
      <c r="BE712" s="45" t="e">
        <f t="shared" si="397"/>
        <v>#VALUE!</v>
      </c>
      <c r="BF712" s="45" t="e">
        <f t="shared" si="398"/>
        <v>#VALUE!</v>
      </c>
      <c r="BG712" s="45" t="e">
        <f t="shared" si="399"/>
        <v>#VALUE!</v>
      </c>
      <c r="BH712" s="45">
        <f t="shared" si="400"/>
        <v>-0.88811258580654617</v>
      </c>
      <c r="BI712" s="43" t="e">
        <f t="shared" si="401"/>
        <v>#VALUE!</v>
      </c>
      <c r="CA712" s="41" t="s">
        <v>22</v>
      </c>
      <c r="CC712" t="s">
        <v>22</v>
      </c>
      <c r="CE712" s="41" t="s">
        <v>22</v>
      </c>
      <c r="CF712" s="41" t="s">
        <v>22</v>
      </c>
      <c r="CG712" s="41">
        <f t="shared" si="379"/>
        <v>9000</v>
      </c>
      <c r="CH712" s="41">
        <f t="shared" si="380"/>
        <v>3.9542425094393248</v>
      </c>
      <c r="CI712" s="41">
        <f t="shared" si="381"/>
        <v>9000</v>
      </c>
      <c r="CJ712" s="41">
        <f t="shared" si="382"/>
        <v>3.9542425094393248</v>
      </c>
      <c r="CL712" s="9" t="s">
        <v>1269</v>
      </c>
      <c r="CM712" s="18" t="s">
        <v>1283</v>
      </c>
      <c r="CN712" s="54" t="s">
        <v>1284</v>
      </c>
      <c r="CO712" s="18" t="s">
        <v>1284</v>
      </c>
    </row>
    <row r="713" spans="1:93" s="9" customFormat="1" x14ac:dyDescent="0.25">
      <c r="A713" s="9" t="s">
        <v>315</v>
      </c>
      <c r="B713" s="50" t="s">
        <v>22</v>
      </c>
      <c r="C713" s="50" t="s">
        <v>22</v>
      </c>
      <c r="D713" s="50" t="s">
        <v>22</v>
      </c>
      <c r="E713" s="50" t="s">
        <v>22</v>
      </c>
      <c r="F713" s="9" t="s">
        <v>22</v>
      </c>
      <c r="G713" s="9" t="s">
        <v>22</v>
      </c>
      <c r="H713" s="9" t="s">
        <v>22</v>
      </c>
      <c r="I713" s="9" t="s">
        <v>22</v>
      </c>
      <c r="J713" s="50" t="s">
        <v>22</v>
      </c>
      <c r="K713" s="9">
        <v>514</v>
      </c>
      <c r="L713" s="50"/>
      <c r="M713" s="9" t="s">
        <v>23</v>
      </c>
      <c r="N713" s="50" t="s">
        <v>22</v>
      </c>
      <c r="O713" s="50" t="s">
        <v>22</v>
      </c>
      <c r="P713" s="50" t="s">
        <v>22</v>
      </c>
      <c r="Q713" s="50"/>
      <c r="R713" s="50" t="s">
        <v>22</v>
      </c>
      <c r="S713" s="50" t="s">
        <v>22</v>
      </c>
      <c r="T713" s="50" t="s">
        <v>883</v>
      </c>
      <c r="U713" s="50">
        <v>1.45</v>
      </c>
      <c r="V713" s="9">
        <v>20200713</v>
      </c>
      <c r="W713" s="21" t="s">
        <v>1062</v>
      </c>
      <c r="X713" s="21">
        <v>2015</v>
      </c>
      <c r="Y713" s="9" t="s">
        <v>328</v>
      </c>
      <c r="Z713" s="9" t="s">
        <v>32</v>
      </c>
      <c r="AB713" s="50"/>
      <c r="AC713" s="9" t="s">
        <v>285</v>
      </c>
      <c r="AD713" s="50" t="s">
        <v>22</v>
      </c>
      <c r="AE713" s="50">
        <v>1594.4</v>
      </c>
      <c r="AF713" s="50">
        <v>26.4</v>
      </c>
      <c r="AG713" s="50" t="s">
        <v>22</v>
      </c>
      <c r="AH713" s="50" t="s">
        <v>22</v>
      </c>
      <c r="AI713" s="50" t="s">
        <v>22</v>
      </c>
      <c r="AJ713" s="50" t="s">
        <v>22</v>
      </c>
      <c r="AK713" s="50" t="s">
        <v>22</v>
      </c>
      <c r="AL713" s="50" t="s">
        <v>22</v>
      </c>
      <c r="AM713" s="43" t="e">
        <f t="shared" si="384"/>
        <v>#VALUE!</v>
      </c>
      <c r="AN713" s="43" t="e">
        <f t="shared" si="385"/>
        <v>#VALUE!</v>
      </c>
      <c r="AO713" s="21" t="s">
        <v>1063</v>
      </c>
      <c r="AT713" s="2">
        <f t="shared" si="386"/>
        <v>1</v>
      </c>
      <c r="AU713" s="45" t="e">
        <f t="shared" si="387"/>
        <v>#VALUE!</v>
      </c>
      <c r="AV713" s="45" t="e">
        <f t="shared" si="388"/>
        <v>#VALUE!</v>
      </c>
      <c r="AW713" s="45" t="e">
        <f t="shared" si="389"/>
        <v>#VALUE!</v>
      </c>
      <c r="AX713" s="45" t="e">
        <f t="shared" si="390"/>
        <v>#VALUE!</v>
      </c>
      <c r="AY713" s="45" t="e">
        <f t="shared" si="391"/>
        <v>#VALUE!</v>
      </c>
      <c r="AZ713" s="45" t="e">
        <f t="shared" si="392"/>
        <v>#VALUE!</v>
      </c>
      <c r="BA713" s="45" t="e">
        <f t="shared" si="393"/>
        <v>#VALUE!</v>
      </c>
      <c r="BB713" s="45" t="e">
        <f t="shared" si="394"/>
        <v>#NUM!</v>
      </c>
      <c r="BC713" s="45">
        <f t="shared" si="395"/>
        <v>0.16136800223497488</v>
      </c>
      <c r="BD713" s="45" t="e">
        <f t="shared" si="396"/>
        <v>#VALUE!</v>
      </c>
      <c r="BE713" s="45">
        <f t="shared" si="397"/>
        <v>1.4216039268698311</v>
      </c>
      <c r="BF713" s="45" t="e">
        <f t="shared" si="398"/>
        <v>#VALUE!</v>
      </c>
      <c r="BG713" s="45" t="e">
        <f t="shared" si="399"/>
        <v>#VALUE!</v>
      </c>
      <c r="BH713" s="45" t="e">
        <f t="shared" si="400"/>
        <v>#NUM!</v>
      </c>
      <c r="BI713" s="43">
        <f t="shared" si="401"/>
        <v>1.4216039268698311</v>
      </c>
      <c r="BL713" s="20"/>
      <c r="BM713" s="50"/>
      <c r="BN713" s="50"/>
      <c r="BO713" s="50"/>
      <c r="BP713" s="50"/>
      <c r="BQ713" s="50"/>
      <c r="BR713" s="50"/>
      <c r="BU713" s="50"/>
      <c r="BV713" s="50"/>
      <c r="BW713" s="50"/>
      <c r="BX713" s="50"/>
      <c r="BY713" s="50"/>
      <c r="BZ713" s="50"/>
      <c r="CA713" s="50" t="s">
        <v>22</v>
      </c>
      <c r="CE713" s="50"/>
      <c r="CF713" s="50"/>
      <c r="CG713" s="50"/>
      <c r="CH713" s="50"/>
      <c r="CI713" s="50">
        <f t="shared" ref="CI713" si="402">IF(ISNUMBER(CG713),CG713,U713)</f>
        <v>1.45</v>
      </c>
      <c r="CJ713" s="50">
        <f t="shared" ref="CJ713" si="403">LOG10(CI713)</f>
        <v>0.16136800223497488</v>
      </c>
      <c r="CL713" s="9" t="s">
        <v>1269</v>
      </c>
      <c r="CM713" s="9" t="s">
        <v>1285</v>
      </c>
      <c r="CN713" s="55" t="s">
        <v>1284</v>
      </c>
      <c r="CO713" s="9" t="s">
        <v>1284</v>
      </c>
    </row>
    <row r="714" spans="1:93" s="9" customFormat="1" x14ac:dyDescent="0.25">
      <c r="A714" s="9" t="s">
        <v>266</v>
      </c>
      <c r="B714" s="50">
        <f>((15*10^-8)^-1)*10^-6</f>
        <v>6.666666666666667</v>
      </c>
      <c r="C714" s="50">
        <v>1.3</v>
      </c>
      <c r="D714" s="50">
        <f>0.001*(B714*10^6)/(C714*0.001*100^3)</f>
        <v>5.1282051282051277</v>
      </c>
      <c r="E714" s="50" t="s">
        <v>22</v>
      </c>
      <c r="F714" s="9" t="s">
        <v>22</v>
      </c>
      <c r="G714" s="9" t="s">
        <v>22</v>
      </c>
      <c r="H714" s="9" t="s">
        <v>22</v>
      </c>
      <c r="I714" s="9" t="s">
        <v>22</v>
      </c>
      <c r="J714" s="50" t="s">
        <v>22</v>
      </c>
      <c r="K714" s="9" t="s">
        <v>22</v>
      </c>
      <c r="L714" s="50"/>
      <c r="M714" s="9" t="s">
        <v>45</v>
      </c>
      <c r="N714" s="50" t="s">
        <v>22</v>
      </c>
      <c r="O714" s="50" t="s">
        <v>22</v>
      </c>
      <c r="P714" s="50" t="s">
        <v>22</v>
      </c>
      <c r="Q714" s="50"/>
      <c r="R714" s="50" t="s">
        <v>22</v>
      </c>
      <c r="S714" s="50" t="s">
        <v>22</v>
      </c>
      <c r="T714" s="50" t="s">
        <v>22</v>
      </c>
      <c r="U714" s="50" t="s">
        <v>22</v>
      </c>
      <c r="V714" s="9">
        <v>20210321</v>
      </c>
      <c r="W714" s="21"/>
      <c r="X714" s="9">
        <v>2015</v>
      </c>
      <c r="Y714" s="9" t="s">
        <v>143</v>
      </c>
      <c r="Z714" s="9" t="s">
        <v>32</v>
      </c>
      <c r="AB714" s="50"/>
      <c r="AC714" s="9" t="s">
        <v>514</v>
      </c>
      <c r="AD714" s="50">
        <v>16</v>
      </c>
      <c r="AE714" s="50"/>
      <c r="AF714" s="50" t="s">
        <v>22</v>
      </c>
      <c r="AG714" s="50">
        <v>29</v>
      </c>
      <c r="AH714" s="50">
        <v>8.6918604651162692</v>
      </c>
      <c r="AI714" s="50">
        <v>8.6918604651162692</v>
      </c>
      <c r="AJ714" s="50">
        <v>7.8197674418604599</v>
      </c>
      <c r="AK714" s="50">
        <v>8.1686046511627897</v>
      </c>
      <c r="AL714" s="50">
        <v>15.406976744186</v>
      </c>
      <c r="AM714" s="43">
        <f t="shared" si="384"/>
        <v>1.772575250836117</v>
      </c>
      <c r="AN714" s="43">
        <f t="shared" si="385"/>
        <v>1.9702602230483226</v>
      </c>
      <c r="AO714" s="21" t="s">
        <v>1252</v>
      </c>
      <c r="AT714" s="2">
        <f t="shared" si="386"/>
        <v>3</v>
      </c>
      <c r="AU714" s="45">
        <f t="shared" si="387"/>
        <v>0.82390874094431876</v>
      </c>
      <c r="AV714" s="45">
        <f t="shared" si="388"/>
        <v>0.11394335230683679</v>
      </c>
      <c r="AW714" s="45">
        <f t="shared" si="389"/>
        <v>0.70996538863748193</v>
      </c>
      <c r="AX714" s="45" t="e">
        <f t="shared" si="390"/>
        <v>#VALUE!</v>
      </c>
      <c r="AY714" s="45" t="e">
        <f t="shared" si="391"/>
        <v>#VALUE!</v>
      </c>
      <c r="AZ714" s="45" t="e">
        <f t="shared" si="392"/>
        <v>#VALUE!</v>
      </c>
      <c r="BA714" s="45" t="e">
        <f t="shared" si="393"/>
        <v>#VALUE!</v>
      </c>
      <c r="BB714" s="45" t="e">
        <f t="shared" si="394"/>
        <v>#NUM!</v>
      </c>
      <c r="BC714" s="45" t="e">
        <f t="shared" si="395"/>
        <v>#VALUE!</v>
      </c>
      <c r="BD714" s="45">
        <f t="shared" si="396"/>
        <v>1.2041199826559248</v>
      </c>
      <c r="BE714" s="45" t="e">
        <f t="shared" si="397"/>
        <v>#VALUE!</v>
      </c>
      <c r="BF714" s="45">
        <f t="shared" si="398"/>
        <v>0.24860468127635857</v>
      </c>
      <c r="BG714" s="45">
        <f t="shared" si="399"/>
        <v>0.29452358959838004</v>
      </c>
      <c r="BH714" s="45" t="e">
        <f t="shared" si="400"/>
        <v>#NUM!</v>
      </c>
      <c r="BI714" s="43" t="e">
        <f t="shared" si="401"/>
        <v>#VALUE!</v>
      </c>
      <c r="BL714" s="20"/>
      <c r="BM714" s="50"/>
      <c r="BN714" s="50"/>
      <c r="BO714" s="50"/>
      <c r="BP714" s="50"/>
      <c r="BQ714" s="50"/>
      <c r="BR714" s="50"/>
      <c r="BU714" s="50"/>
      <c r="BV714" s="50"/>
      <c r="BW714" s="50"/>
      <c r="BX714" s="50"/>
      <c r="BY714" s="50"/>
      <c r="BZ714" s="50"/>
      <c r="CA714" s="50" t="s">
        <v>22</v>
      </c>
      <c r="CE714" s="50"/>
      <c r="CF714" s="50"/>
      <c r="CG714" s="50"/>
      <c r="CH714" s="50"/>
      <c r="CI714" s="50" t="str">
        <f t="shared" ref="CI714:CI716" si="404">IF(ISNUMBER(CG714),CG714,U714)</f>
        <v>Not Reported/ Can not calculate</v>
      </c>
      <c r="CJ714" s="50" t="e">
        <f t="shared" ref="CJ714:CJ716" si="405">LOG10(CI714)</f>
        <v>#VALUE!</v>
      </c>
      <c r="CL714" s="9" t="s">
        <v>1269</v>
      </c>
      <c r="CM714" s="9" t="s">
        <v>1284</v>
      </c>
      <c r="CN714" s="55" t="s">
        <v>1284</v>
      </c>
      <c r="CO714" s="9" t="s">
        <v>1284</v>
      </c>
    </row>
    <row r="715" spans="1:93" s="9" customFormat="1" x14ac:dyDescent="0.25">
      <c r="A715" s="9" t="s">
        <v>266</v>
      </c>
      <c r="B715" s="50">
        <f>((26*10^-8)^-1)*10^-6</f>
        <v>3.8461538461538458</v>
      </c>
      <c r="C715" s="50">
        <v>1.3</v>
      </c>
      <c r="D715" s="50">
        <f>0.001*(B715*10^6)/(C715*0.001*100^3)</f>
        <v>2.9585798816568043</v>
      </c>
      <c r="E715" s="50" t="s">
        <v>22</v>
      </c>
      <c r="F715" s="9" t="s">
        <v>22</v>
      </c>
      <c r="G715" s="9" t="s">
        <v>22</v>
      </c>
      <c r="H715" s="9" t="s">
        <v>22</v>
      </c>
      <c r="I715" s="9" t="s">
        <v>22</v>
      </c>
      <c r="J715" s="50" t="s">
        <v>22</v>
      </c>
      <c r="K715" s="9" t="s">
        <v>22</v>
      </c>
      <c r="L715" s="50"/>
      <c r="M715" s="9" t="s">
        <v>45</v>
      </c>
      <c r="N715" s="50" t="s">
        <v>22</v>
      </c>
      <c r="O715" s="50" t="s">
        <v>22</v>
      </c>
      <c r="P715" s="50" t="s">
        <v>22</v>
      </c>
      <c r="Q715" s="50"/>
      <c r="R715" s="50" t="s">
        <v>22</v>
      </c>
      <c r="S715" s="50" t="s">
        <v>22</v>
      </c>
      <c r="T715" s="50" t="s">
        <v>22</v>
      </c>
      <c r="U715" s="50" t="s">
        <v>22</v>
      </c>
      <c r="V715" s="9">
        <v>20210321</v>
      </c>
      <c r="W715" s="21"/>
      <c r="X715" s="9">
        <v>2015</v>
      </c>
      <c r="Y715" s="9" t="s">
        <v>143</v>
      </c>
      <c r="Z715" s="9" t="s">
        <v>32</v>
      </c>
      <c r="AB715" s="50"/>
      <c r="AC715" s="9" t="s">
        <v>514</v>
      </c>
      <c r="AD715" s="50">
        <v>18</v>
      </c>
      <c r="AE715" s="50"/>
      <c r="AF715" s="50" t="s">
        <v>22</v>
      </c>
      <c r="AG715" s="50">
        <v>59</v>
      </c>
      <c r="AH715" s="50">
        <v>25.174418604651098</v>
      </c>
      <c r="AI715" s="50">
        <v>23.517441860465102</v>
      </c>
      <c r="AJ715" s="50">
        <v>21.162790697674399</v>
      </c>
      <c r="AK715" s="50">
        <v>18.3720930232558</v>
      </c>
      <c r="AL715" s="50">
        <v>26.2209302325581</v>
      </c>
      <c r="AM715" s="43">
        <f t="shared" si="384"/>
        <v>1.114956736711989</v>
      </c>
      <c r="AN715" s="43">
        <f t="shared" si="385"/>
        <v>1.2390109890109882</v>
      </c>
      <c r="AO715" s="21" t="s">
        <v>1252</v>
      </c>
      <c r="AT715" s="2">
        <f t="shared" si="386"/>
        <v>3</v>
      </c>
      <c r="AU715" s="45">
        <f t="shared" si="387"/>
        <v>0.58502665202918203</v>
      </c>
      <c r="AV715" s="45">
        <f t="shared" si="388"/>
        <v>0.11394335230683679</v>
      </c>
      <c r="AW715" s="45">
        <f t="shared" si="389"/>
        <v>0.47108329972234519</v>
      </c>
      <c r="AX715" s="45" t="e">
        <f t="shared" si="390"/>
        <v>#VALUE!</v>
      </c>
      <c r="AY715" s="45" t="e">
        <f t="shared" si="391"/>
        <v>#VALUE!</v>
      </c>
      <c r="AZ715" s="45" t="e">
        <f t="shared" si="392"/>
        <v>#VALUE!</v>
      </c>
      <c r="BA715" s="45" t="e">
        <f t="shared" si="393"/>
        <v>#VALUE!</v>
      </c>
      <c r="BB715" s="45" t="e">
        <f t="shared" si="394"/>
        <v>#NUM!</v>
      </c>
      <c r="BC715" s="45" t="e">
        <f t="shared" si="395"/>
        <v>#VALUE!</v>
      </c>
      <c r="BD715" s="45">
        <f t="shared" si="396"/>
        <v>1.255272505103306</v>
      </c>
      <c r="BE715" s="45" t="e">
        <f t="shared" si="397"/>
        <v>#VALUE!</v>
      </c>
      <c r="BF715" s="45">
        <f t="shared" si="398"/>
        <v>4.7258015929669002E-2</v>
      </c>
      <c r="BG715" s="45">
        <f t="shared" si="399"/>
        <v>9.3075158228904248E-2</v>
      </c>
      <c r="BH715" s="45" t="e">
        <f t="shared" si="400"/>
        <v>#NUM!</v>
      </c>
      <c r="BI715" s="43" t="e">
        <f t="shared" si="401"/>
        <v>#VALUE!</v>
      </c>
      <c r="BL715" s="20"/>
      <c r="BM715" s="50"/>
      <c r="BN715" s="50"/>
      <c r="BO715" s="50"/>
      <c r="BP715" s="50"/>
      <c r="BQ715" s="50"/>
      <c r="BR715" s="50"/>
      <c r="BU715" s="50"/>
      <c r="BV715" s="50"/>
      <c r="BW715" s="50"/>
      <c r="BX715" s="50"/>
      <c r="BY715" s="50"/>
      <c r="BZ715" s="50"/>
      <c r="CA715" s="50" t="s">
        <v>22</v>
      </c>
      <c r="CE715" s="50"/>
      <c r="CF715" s="50"/>
      <c r="CG715" s="50"/>
      <c r="CH715" s="50"/>
      <c r="CI715" s="50" t="str">
        <f t="shared" si="404"/>
        <v>Not Reported/ Can not calculate</v>
      </c>
      <c r="CJ715" s="50" t="e">
        <f t="shared" si="405"/>
        <v>#VALUE!</v>
      </c>
      <c r="CL715" s="9" t="s">
        <v>1269</v>
      </c>
      <c r="CM715" s="9" t="s">
        <v>1284</v>
      </c>
      <c r="CN715" s="55" t="s">
        <v>1284</v>
      </c>
      <c r="CO715" s="9" t="s">
        <v>1284</v>
      </c>
    </row>
    <row r="716" spans="1:93" s="9" customFormat="1" x14ac:dyDescent="0.25">
      <c r="A716" s="9" t="s">
        <v>266</v>
      </c>
      <c r="B716" s="50">
        <f>((56*10^-8)^-1)*10^-6</f>
        <v>1.7857142857142856</v>
      </c>
      <c r="C716" s="50">
        <v>1.1000000000000001</v>
      </c>
      <c r="D716" s="50">
        <f>0.001*(B716*10^6)/(C716*0.001*100^3)</f>
        <v>1.6233766233766234</v>
      </c>
      <c r="E716" s="50" t="s">
        <v>22</v>
      </c>
      <c r="F716" s="9" t="s">
        <v>22</v>
      </c>
      <c r="G716" s="9" t="s">
        <v>22</v>
      </c>
      <c r="H716" s="9" t="s">
        <v>22</v>
      </c>
      <c r="I716" s="9" t="s">
        <v>22</v>
      </c>
      <c r="J716" s="50" t="s">
        <v>22</v>
      </c>
      <c r="K716" s="9" t="s">
        <v>22</v>
      </c>
      <c r="L716" s="50"/>
      <c r="M716" s="9" t="s">
        <v>45</v>
      </c>
      <c r="N716" s="50" t="s">
        <v>22</v>
      </c>
      <c r="O716" s="50" t="s">
        <v>22</v>
      </c>
      <c r="P716" s="50" t="s">
        <v>22</v>
      </c>
      <c r="Q716" s="50"/>
      <c r="R716" s="50" t="s">
        <v>22</v>
      </c>
      <c r="S716" s="50" t="s">
        <v>22</v>
      </c>
      <c r="T716" s="50" t="s">
        <v>22</v>
      </c>
      <c r="U716" s="50" t="s">
        <v>22</v>
      </c>
      <c r="V716" s="9">
        <v>20210321</v>
      </c>
      <c r="W716" s="21"/>
      <c r="X716" s="9">
        <v>2015</v>
      </c>
      <c r="Y716" s="9" t="s">
        <v>143</v>
      </c>
      <c r="Z716" s="9" t="s">
        <v>32</v>
      </c>
      <c r="AB716" s="50"/>
      <c r="AC716" s="9" t="s">
        <v>514</v>
      </c>
      <c r="AD716" s="50">
        <v>11</v>
      </c>
      <c r="AE716" s="50"/>
      <c r="AF716" s="50" t="s">
        <v>22</v>
      </c>
      <c r="AG716" s="50">
        <v>130</v>
      </c>
      <c r="AH716" s="50">
        <v>62.674418604651102</v>
      </c>
      <c r="AI716" s="50">
        <v>61.889534883720899</v>
      </c>
      <c r="AJ716" s="50">
        <v>58.837209302325498</v>
      </c>
      <c r="AK716" s="50">
        <v>50.465116279069697</v>
      </c>
      <c r="AL716" s="50">
        <v>56.220930232558104</v>
      </c>
      <c r="AM716" s="43">
        <f t="shared" si="384"/>
        <v>0.90840770314701724</v>
      </c>
      <c r="AN716" s="43">
        <f t="shared" si="385"/>
        <v>0.95553359683794536</v>
      </c>
      <c r="AO716" s="21" t="s">
        <v>1252</v>
      </c>
      <c r="AT716" s="2">
        <f t="shared" si="386"/>
        <v>3</v>
      </c>
      <c r="AU716" s="45">
        <f t="shared" si="387"/>
        <v>0.25181197299379954</v>
      </c>
      <c r="AV716" s="45">
        <f t="shared" si="388"/>
        <v>4.1392685158225077E-2</v>
      </c>
      <c r="AW716" s="45">
        <f t="shared" si="389"/>
        <v>0.21041928783557454</v>
      </c>
      <c r="AX716" s="45" t="e">
        <f t="shared" si="390"/>
        <v>#VALUE!</v>
      </c>
      <c r="AY716" s="45" t="e">
        <f t="shared" si="391"/>
        <v>#VALUE!</v>
      </c>
      <c r="AZ716" s="45" t="e">
        <f t="shared" si="392"/>
        <v>#VALUE!</v>
      </c>
      <c r="BA716" s="45" t="e">
        <f t="shared" si="393"/>
        <v>#VALUE!</v>
      </c>
      <c r="BB716" s="45" t="e">
        <f t="shared" si="394"/>
        <v>#NUM!</v>
      </c>
      <c r="BC716" s="45" t="e">
        <f t="shared" si="395"/>
        <v>#VALUE!</v>
      </c>
      <c r="BD716" s="45">
        <f t="shared" si="396"/>
        <v>1.0413926851582251</v>
      </c>
      <c r="BE716" s="45" t="e">
        <f t="shared" si="397"/>
        <v>#VALUE!</v>
      </c>
      <c r="BF716" s="45">
        <f t="shared" si="398"/>
        <v>-4.1719191691339766E-2</v>
      </c>
      <c r="BG716" s="45">
        <f t="shared" si="399"/>
        <v>-1.9754038420778317E-2</v>
      </c>
      <c r="BH716" s="45" t="e">
        <f t="shared" si="400"/>
        <v>#NUM!</v>
      </c>
      <c r="BI716" s="43" t="e">
        <f t="shared" si="401"/>
        <v>#VALUE!</v>
      </c>
      <c r="BL716" s="20"/>
      <c r="BM716" s="50"/>
      <c r="BN716" s="50"/>
      <c r="BO716" s="50"/>
      <c r="BP716" s="50"/>
      <c r="BQ716" s="50"/>
      <c r="BR716" s="50"/>
      <c r="BU716" s="50"/>
      <c r="BV716" s="50"/>
      <c r="BW716" s="50"/>
      <c r="BX716" s="50"/>
      <c r="BY716" s="50"/>
      <c r="BZ716" s="50"/>
      <c r="CA716" s="50" t="s">
        <v>22</v>
      </c>
      <c r="CE716" s="50"/>
      <c r="CF716" s="50"/>
      <c r="CG716" s="50"/>
      <c r="CH716" s="50"/>
      <c r="CI716" s="50" t="str">
        <f t="shared" si="404"/>
        <v>Not Reported/ Can not calculate</v>
      </c>
      <c r="CJ716" s="50" t="e">
        <f t="shared" si="405"/>
        <v>#VALUE!</v>
      </c>
      <c r="CL716" s="9" t="s">
        <v>1269</v>
      </c>
      <c r="CM716" s="9" t="s">
        <v>1284</v>
      </c>
      <c r="CN716" s="55" t="s">
        <v>1284</v>
      </c>
      <c r="CO716" s="9" t="s">
        <v>1284</v>
      </c>
    </row>
    <row r="717" spans="1:93" x14ac:dyDescent="0.25">
      <c r="A717" t="s">
        <v>266</v>
      </c>
      <c r="B717" s="41">
        <v>0.36199999999999999</v>
      </c>
      <c r="C717" s="41">
        <v>1.29</v>
      </c>
      <c r="D717" s="43">
        <v>0.27800000000000002</v>
      </c>
      <c r="E717" s="41" t="s">
        <v>22</v>
      </c>
      <c r="F717" t="s">
        <v>22</v>
      </c>
      <c r="G717" t="s">
        <v>22</v>
      </c>
      <c r="H717" t="s">
        <v>22</v>
      </c>
      <c r="I717" t="s">
        <v>22</v>
      </c>
      <c r="J717" s="41">
        <v>26.3</v>
      </c>
      <c r="K717">
        <v>532</v>
      </c>
      <c r="L717" s="41">
        <f>IF((10^-12)*J717*K717^4=0,"",(10^-12)*J717*K717^4)</f>
        <v>2.1066979743487999</v>
      </c>
      <c r="M717" t="s">
        <v>23</v>
      </c>
      <c r="N717" s="41">
        <v>15</v>
      </c>
      <c r="O717" s="41">
        <v>0.01</v>
      </c>
      <c r="P717" s="41" t="s">
        <v>148</v>
      </c>
      <c r="R717" s="41">
        <f>N717*B717</f>
        <v>5.43</v>
      </c>
      <c r="S717" s="41">
        <f>O717*D717</f>
        <v>2.7800000000000004E-3</v>
      </c>
      <c r="T717" s="41" t="s">
        <v>149</v>
      </c>
      <c r="U717" s="41">
        <f>1.16+(1.83-1.16)/2</f>
        <v>1.4950000000000001</v>
      </c>
      <c r="V717">
        <v>20200508</v>
      </c>
      <c r="W717" s="16" t="s">
        <v>150</v>
      </c>
      <c r="X717" s="18">
        <v>2016</v>
      </c>
      <c r="Y717" t="s">
        <v>76</v>
      </c>
      <c r="Z717" t="s">
        <v>744</v>
      </c>
      <c r="AC717" t="s">
        <v>514</v>
      </c>
      <c r="AD717" s="41">
        <v>95</v>
      </c>
      <c r="AE717" s="41">
        <v>1591.9</v>
      </c>
      <c r="AF717" s="41" t="s">
        <v>22</v>
      </c>
      <c r="AG717" s="41">
        <v>76.7</v>
      </c>
      <c r="AH717" s="41">
        <v>1.2447157992936599</v>
      </c>
      <c r="AI717" s="41">
        <v>1.1490182359343399</v>
      </c>
      <c r="AJ717" s="41">
        <v>0.98858310566180196</v>
      </c>
      <c r="AK717" s="41">
        <v>0.85646031851802396</v>
      </c>
      <c r="AL717" s="41">
        <v>0.99943248706159304</v>
      </c>
      <c r="AM717" s="43">
        <f t="shared" si="384"/>
        <v>0.86981429520036369</v>
      </c>
      <c r="AN717" s="43">
        <f t="shared" si="385"/>
        <v>1.0109746781405171</v>
      </c>
      <c r="AO717" s="3" t="s">
        <v>151</v>
      </c>
      <c r="AT717" s="2">
        <f t="shared" si="386"/>
        <v>4</v>
      </c>
      <c r="AU717" s="45">
        <f t="shared" si="387"/>
        <v>-0.44129142946683431</v>
      </c>
      <c r="AV717" s="45">
        <f t="shared" si="388"/>
        <v>0.11058971029924898</v>
      </c>
      <c r="AW717" s="45">
        <f t="shared" si="389"/>
        <v>-0.55595520408192367</v>
      </c>
      <c r="AX717" s="45">
        <f t="shared" si="390"/>
        <v>1.1760912590556813</v>
      </c>
      <c r="AY717" s="45">
        <f t="shared" si="391"/>
        <v>-2</v>
      </c>
      <c r="AZ717" s="45" t="e">
        <f t="shared" si="392"/>
        <v>#VALUE!</v>
      </c>
      <c r="BA717" s="45">
        <f t="shared" si="393"/>
        <v>1.4199557484897578</v>
      </c>
      <c r="BB717" s="45">
        <f t="shared" si="394"/>
        <v>0.32360227766995059</v>
      </c>
      <c r="BC717" s="45">
        <f t="shared" si="395"/>
        <v>0.17464119266044847</v>
      </c>
      <c r="BD717" s="45">
        <f t="shared" si="396"/>
        <v>1.9777236052888478</v>
      </c>
      <c r="BE717" s="45" t="e">
        <f t="shared" si="397"/>
        <v>#VALUE!</v>
      </c>
      <c r="BF717" s="45">
        <f t="shared" si="398"/>
        <v>-6.0573459080870071E-2</v>
      </c>
      <c r="BG717" s="45">
        <f t="shared" si="399"/>
        <v>4.7402779633389453E-3</v>
      </c>
      <c r="BH717" s="45" t="e">
        <f t="shared" si="400"/>
        <v>#NUM!</v>
      </c>
      <c r="BI717" s="43" t="e">
        <f t="shared" si="401"/>
        <v>#VALUE!</v>
      </c>
      <c r="CA717" s="41" t="s">
        <v>22</v>
      </c>
      <c r="CC717" t="s">
        <v>22</v>
      </c>
      <c r="CE717" s="41" t="s">
        <v>22</v>
      </c>
      <c r="CF717" s="41" t="s">
        <v>22</v>
      </c>
      <c r="CG717" s="41">
        <f t="shared" ref="CG717:CG727" si="406">AD717*1000</f>
        <v>95000</v>
      </c>
      <c r="CH717" s="41">
        <f t="shared" ref="CH717:CH748" si="407">LOG10(CG717)</f>
        <v>4.9777236052888476</v>
      </c>
      <c r="CI717" s="41">
        <f t="shared" ref="CI717:CI724" si="408">IF(ISNUMBER(CG717),CG717,U717)</f>
        <v>95000</v>
      </c>
      <c r="CJ717" s="41">
        <f t="shared" ref="CJ717:CJ748" si="409">LOG10(CI717)</f>
        <v>4.9777236052888476</v>
      </c>
      <c r="CL717" s="9" t="s">
        <v>1269</v>
      </c>
      <c r="CM717" s="18" t="s">
        <v>1283</v>
      </c>
      <c r="CN717" s="54" t="s">
        <v>1284</v>
      </c>
      <c r="CO717" s="18" t="s">
        <v>1284</v>
      </c>
    </row>
    <row r="718" spans="1:93" x14ac:dyDescent="0.25">
      <c r="A718" t="s">
        <v>266</v>
      </c>
      <c r="B718" s="41">
        <v>2.3E-2</v>
      </c>
      <c r="C718" s="41">
        <v>0.21</v>
      </c>
      <c r="D718" s="43">
        <v>0.113</v>
      </c>
      <c r="E718" s="41" t="s">
        <v>22</v>
      </c>
      <c r="F718" t="s">
        <v>22</v>
      </c>
      <c r="G718" t="s">
        <v>22</v>
      </c>
      <c r="H718" t="s">
        <v>22</v>
      </c>
      <c r="I718" t="s">
        <v>22</v>
      </c>
      <c r="J718" s="41">
        <v>27</v>
      </c>
      <c r="K718">
        <v>532</v>
      </c>
      <c r="L718" s="41">
        <f>IF((10^-12)*J718*K718^4=0,"",(10^-12)*J718*K718^4)</f>
        <v>2.1627697835520001</v>
      </c>
      <c r="M718" t="s">
        <v>23</v>
      </c>
      <c r="N718" s="41">
        <v>50</v>
      </c>
      <c r="O718" s="41">
        <v>0.23</v>
      </c>
      <c r="P718" s="41" t="s">
        <v>148</v>
      </c>
      <c r="R718" s="41">
        <f>N718*B718</f>
        <v>1.1499999999999999</v>
      </c>
      <c r="S718" s="41">
        <f>O718*D718</f>
        <v>2.5990000000000003E-2</v>
      </c>
      <c r="T718" s="41" t="s">
        <v>149</v>
      </c>
      <c r="U718" s="41">
        <f>1.16+(1.83-1.16)/2</f>
        <v>1.4950000000000001</v>
      </c>
      <c r="V718">
        <v>20200508</v>
      </c>
      <c r="W718" s="21" t="s">
        <v>152</v>
      </c>
      <c r="X718" s="18">
        <v>2016</v>
      </c>
      <c r="Y718" t="s">
        <v>76</v>
      </c>
      <c r="Z718" t="s">
        <v>32</v>
      </c>
      <c r="AC718" t="s">
        <v>514</v>
      </c>
      <c r="AD718" s="41">
        <v>217</v>
      </c>
      <c r="AE718" s="41">
        <v>1591.1</v>
      </c>
      <c r="AF718" s="41" t="s">
        <v>22</v>
      </c>
      <c r="AG718" s="41" t="s">
        <v>22</v>
      </c>
      <c r="AH718" s="41">
        <v>0.10581816545582801</v>
      </c>
      <c r="AI718" s="41">
        <v>5.0052007577461199E-2</v>
      </c>
      <c r="AJ718" s="41">
        <v>2.3678722757839998E-2</v>
      </c>
      <c r="AK718" s="41">
        <v>7.5277581898773403E-3</v>
      </c>
      <c r="AL718" s="41">
        <v>4.2339054703282499E-3</v>
      </c>
      <c r="AM718" s="43">
        <f t="shared" si="384"/>
        <v>8.4590122859223932E-2</v>
      </c>
      <c r="AN718" s="43">
        <f t="shared" si="385"/>
        <v>0.17880632809581795</v>
      </c>
      <c r="AO718" s="19" t="s">
        <v>151</v>
      </c>
      <c r="AT718" s="2">
        <f t="shared" si="386"/>
        <v>4</v>
      </c>
      <c r="AU718" s="45">
        <f t="shared" si="387"/>
        <v>-1.6382721639824072</v>
      </c>
      <c r="AV718" s="45">
        <f t="shared" si="388"/>
        <v>-0.6777807052660807</v>
      </c>
      <c r="AW718" s="45">
        <f t="shared" si="389"/>
        <v>-0.94692155651658028</v>
      </c>
      <c r="AX718" s="45">
        <f t="shared" si="390"/>
        <v>1.6989700043360187</v>
      </c>
      <c r="AY718" s="45">
        <f t="shared" si="391"/>
        <v>-0.63827216398240705</v>
      </c>
      <c r="AZ718" s="45" t="e">
        <f t="shared" si="392"/>
        <v>#VALUE!</v>
      </c>
      <c r="BA718" s="45">
        <f t="shared" si="393"/>
        <v>1.4313637641589874</v>
      </c>
      <c r="BB718" s="45">
        <f t="shared" si="394"/>
        <v>0.33501029333918009</v>
      </c>
      <c r="BC718" s="45">
        <f t="shared" si="395"/>
        <v>0.17464119266044847</v>
      </c>
      <c r="BD718" s="45">
        <f t="shared" si="396"/>
        <v>2.3364597338485296</v>
      </c>
      <c r="BE718" s="45" t="e">
        <f t="shared" si="397"/>
        <v>#VALUE!</v>
      </c>
      <c r="BF718" s="45">
        <f t="shared" si="398"/>
        <v>-1.0726803442678619</v>
      </c>
      <c r="BG718" s="45">
        <f t="shared" si="399"/>
        <v>-0.74761711524668595</v>
      </c>
      <c r="BH718" s="45" t="e">
        <f t="shared" si="400"/>
        <v>#NUM!</v>
      </c>
      <c r="BI718" s="43" t="e">
        <f t="shared" si="401"/>
        <v>#VALUE!</v>
      </c>
      <c r="BL718" s="20"/>
      <c r="CA718" s="41" t="s">
        <v>22</v>
      </c>
      <c r="CC718" t="s">
        <v>22</v>
      </c>
      <c r="CE718" s="41" t="s">
        <v>22</v>
      </c>
      <c r="CF718" s="41" t="s">
        <v>22</v>
      </c>
      <c r="CG718" s="41">
        <f t="shared" si="406"/>
        <v>217000</v>
      </c>
      <c r="CH718" s="41">
        <f t="shared" si="407"/>
        <v>5.3364597338485291</v>
      </c>
      <c r="CI718" s="41">
        <f t="shared" si="408"/>
        <v>217000</v>
      </c>
      <c r="CJ718" s="41">
        <f t="shared" si="409"/>
        <v>5.3364597338485291</v>
      </c>
      <c r="CL718" s="9" t="s">
        <v>1269</v>
      </c>
      <c r="CM718" s="18" t="s">
        <v>1283</v>
      </c>
      <c r="CN718" s="54" t="s">
        <v>1284</v>
      </c>
      <c r="CO718" s="18" t="s">
        <v>1284</v>
      </c>
    </row>
    <row r="719" spans="1:93" x14ac:dyDescent="0.25">
      <c r="A719" t="s">
        <v>266</v>
      </c>
      <c r="B719" s="41">
        <f>((6.1*10^-6)^-1)*10^-6</f>
        <v>0.16393442622950821</v>
      </c>
      <c r="C719" s="41">
        <v>1.05</v>
      </c>
      <c r="D719" s="43">
        <v>0.18661</v>
      </c>
      <c r="E719" s="41" t="s">
        <v>22</v>
      </c>
      <c r="F719" t="s">
        <v>22</v>
      </c>
      <c r="G719" t="s">
        <v>22</v>
      </c>
      <c r="H719" t="s">
        <v>22</v>
      </c>
      <c r="I719" t="s">
        <v>22</v>
      </c>
      <c r="J719" s="41" t="s">
        <v>22</v>
      </c>
      <c r="K719" t="s">
        <v>22</v>
      </c>
      <c r="L719" s="41" t="e">
        <f>IF((10^-12)*J719*K719^4=0,"",(10^-12)*J719*K719^4)</f>
        <v>#VALUE!</v>
      </c>
      <c r="M719" t="s">
        <v>45</v>
      </c>
      <c r="N719" s="41" t="s">
        <v>22</v>
      </c>
      <c r="O719" s="41" t="s">
        <v>22</v>
      </c>
      <c r="P719" s="41" t="s">
        <v>22</v>
      </c>
      <c r="R719" s="41" t="s">
        <v>22</v>
      </c>
      <c r="S719" s="41" t="s">
        <v>22</v>
      </c>
      <c r="T719" s="41" t="s">
        <v>149</v>
      </c>
      <c r="U719" s="41">
        <f>1.16+(1.83-1.16)/2</f>
        <v>1.4950000000000001</v>
      </c>
      <c r="V719">
        <v>20200508</v>
      </c>
      <c r="W719" s="21" t="s">
        <v>153</v>
      </c>
      <c r="X719" s="18">
        <v>2016</v>
      </c>
      <c r="Y719" t="s">
        <v>76</v>
      </c>
      <c r="Z719" t="s">
        <v>124</v>
      </c>
      <c r="AA719" t="s">
        <v>894</v>
      </c>
      <c r="AB719" s="41">
        <v>2.3E-2</v>
      </c>
      <c r="AC719" t="s">
        <v>514</v>
      </c>
      <c r="AD719" s="41" t="s">
        <v>22</v>
      </c>
      <c r="AE719" s="41" t="s">
        <v>22</v>
      </c>
      <c r="AF719" s="41" t="s">
        <v>22</v>
      </c>
      <c r="AG719" s="41">
        <v>77.3</v>
      </c>
      <c r="AH719" s="41">
        <v>1.14279360224153E-2</v>
      </c>
      <c r="AI719" s="41">
        <v>1.0002064551768801E-2</v>
      </c>
      <c r="AJ719" s="41">
        <v>8.6662788734526205E-3</v>
      </c>
      <c r="AK719" s="41">
        <f>6.3885*10^-3</f>
        <v>6.3885000000000001E-3</v>
      </c>
      <c r="AL719" s="41">
        <v>6.1249454254197304E-3</v>
      </c>
      <c r="AM719" s="43">
        <f t="shared" si="384"/>
        <v>0.61236811597427387</v>
      </c>
      <c r="AN719" s="43">
        <f t="shared" si="385"/>
        <v>0.70675609622744229</v>
      </c>
      <c r="AO719" s="19" t="s">
        <v>151</v>
      </c>
      <c r="AT719" s="2">
        <f t="shared" si="386"/>
        <v>4</v>
      </c>
      <c r="AU719" s="45">
        <f t="shared" si="387"/>
        <v>-0.78532983501076703</v>
      </c>
      <c r="AV719" s="45">
        <f t="shared" si="388"/>
        <v>2.1189299069938092E-2</v>
      </c>
      <c r="AW719" s="45">
        <f t="shared" si="389"/>
        <v>-0.72906508712514184</v>
      </c>
      <c r="AX719" s="45" t="e">
        <f t="shared" si="390"/>
        <v>#VALUE!</v>
      </c>
      <c r="AY719" s="45" t="e">
        <f t="shared" si="391"/>
        <v>#VALUE!</v>
      </c>
      <c r="AZ719" s="45" t="e">
        <f t="shared" si="392"/>
        <v>#VALUE!</v>
      </c>
      <c r="BA719" s="45" t="e">
        <f t="shared" si="393"/>
        <v>#VALUE!</v>
      </c>
      <c r="BB719" s="45" t="e">
        <f t="shared" si="394"/>
        <v>#VALUE!</v>
      </c>
      <c r="BC719" s="45">
        <f t="shared" si="395"/>
        <v>0.17464119266044847</v>
      </c>
      <c r="BD719" s="45" t="e">
        <f t="shared" si="396"/>
        <v>#VALUE!</v>
      </c>
      <c r="BE719" s="45" t="e">
        <f t="shared" si="397"/>
        <v>#VALUE!</v>
      </c>
      <c r="BF719" s="45">
        <f t="shared" si="398"/>
        <v>-0.2129874296930992</v>
      </c>
      <c r="BG719" s="45">
        <f t="shared" si="399"/>
        <v>-0.15073043675210376</v>
      </c>
      <c r="BH719" s="45">
        <f t="shared" si="400"/>
        <v>-1.6382721639824072</v>
      </c>
      <c r="BI719" s="43" t="e">
        <f t="shared" si="401"/>
        <v>#VALUE!</v>
      </c>
      <c r="BL719" s="20"/>
      <c r="CA719" s="41" t="s">
        <v>22</v>
      </c>
      <c r="CC719" t="s">
        <v>22</v>
      </c>
      <c r="CE719" s="41" t="s">
        <v>22</v>
      </c>
      <c r="CF719" s="41" t="s">
        <v>22</v>
      </c>
      <c r="CG719" s="41" t="e">
        <f t="shared" si="406"/>
        <v>#VALUE!</v>
      </c>
      <c r="CH719" s="41" t="e">
        <f t="shared" si="407"/>
        <v>#VALUE!</v>
      </c>
      <c r="CI719" s="41">
        <f t="shared" si="408"/>
        <v>1.4950000000000001</v>
      </c>
      <c r="CJ719" s="41">
        <f t="shared" si="409"/>
        <v>0.17464119266044847</v>
      </c>
      <c r="CL719" s="9" t="s">
        <v>1269</v>
      </c>
      <c r="CM719" s="18" t="s">
        <v>1285</v>
      </c>
      <c r="CN719" s="54" t="s">
        <v>1284</v>
      </c>
      <c r="CO719" s="18" t="s">
        <v>1284</v>
      </c>
    </row>
    <row r="720" spans="1:93" x14ac:dyDescent="0.25">
      <c r="A720" t="s">
        <v>266</v>
      </c>
      <c r="B720" s="41">
        <f>((3.29*10^-6)^-1)*10^-6</f>
        <v>0.30395136778115506</v>
      </c>
      <c r="C720" s="41">
        <v>1.1499999999999999</v>
      </c>
      <c r="D720" s="43">
        <v>0.26388</v>
      </c>
      <c r="E720" s="41" t="s">
        <v>22</v>
      </c>
      <c r="F720" t="s">
        <v>22</v>
      </c>
      <c r="G720" t="s">
        <v>22</v>
      </c>
      <c r="H720" t="s">
        <v>22</v>
      </c>
      <c r="I720" t="s">
        <v>22</v>
      </c>
      <c r="J720" s="41" t="s">
        <v>22</v>
      </c>
      <c r="K720" t="s">
        <v>22</v>
      </c>
      <c r="L720" s="41" t="e">
        <f>IF((10^-12)*J720*K720^4=0,"",(10^-12)*J720*K720^4)</f>
        <v>#VALUE!</v>
      </c>
      <c r="M720" t="s">
        <v>45</v>
      </c>
      <c r="N720" s="41" t="s">
        <v>22</v>
      </c>
      <c r="O720" s="41" t="s">
        <v>22</v>
      </c>
      <c r="P720" s="41" t="s">
        <v>22</v>
      </c>
      <c r="R720" s="41" t="s">
        <v>22</v>
      </c>
      <c r="S720" s="41" t="s">
        <v>22</v>
      </c>
      <c r="T720" s="41" t="s">
        <v>149</v>
      </c>
      <c r="U720" s="41">
        <f>1.16+(1.83-1.16)/2</f>
        <v>1.4950000000000001</v>
      </c>
      <c r="V720">
        <v>20200508</v>
      </c>
      <c r="W720" s="21" t="s">
        <v>154</v>
      </c>
      <c r="X720" s="18">
        <v>2016</v>
      </c>
      <c r="Y720" t="s">
        <v>76</v>
      </c>
      <c r="Z720" t="s">
        <v>124</v>
      </c>
      <c r="AA720" t="s">
        <v>743</v>
      </c>
      <c r="AB720" s="41">
        <v>2.3E-2</v>
      </c>
      <c r="AC720" t="s">
        <v>514</v>
      </c>
      <c r="AD720" s="41" t="s">
        <v>22</v>
      </c>
      <c r="AE720" s="41" t="s">
        <v>22</v>
      </c>
      <c r="AF720" s="41" t="s">
        <v>22</v>
      </c>
      <c r="AG720" s="41" t="s">
        <v>22</v>
      </c>
      <c r="AH720" s="41" t="s">
        <v>22</v>
      </c>
      <c r="AI720" s="41" t="s">
        <v>22</v>
      </c>
      <c r="AJ720" s="41" t="s">
        <v>22</v>
      </c>
      <c r="AK720" s="41" t="s">
        <v>22</v>
      </c>
      <c r="AL720" s="41" t="s">
        <v>22</v>
      </c>
      <c r="AM720" s="43" t="e">
        <f t="shared" si="384"/>
        <v>#VALUE!</v>
      </c>
      <c r="AN720" s="43" t="e">
        <f t="shared" si="385"/>
        <v>#VALUE!</v>
      </c>
      <c r="AO720" s="19" t="s">
        <v>151</v>
      </c>
      <c r="AT720" s="2">
        <f t="shared" si="386"/>
        <v>4</v>
      </c>
      <c r="AU720" s="45">
        <f t="shared" si="387"/>
        <v>-0.51719589794997423</v>
      </c>
      <c r="AV720" s="45">
        <f t="shared" si="388"/>
        <v>6.069784035361165E-2</v>
      </c>
      <c r="AW720" s="45">
        <f t="shared" si="389"/>
        <v>-0.57859352459158475</v>
      </c>
      <c r="AX720" s="45" t="e">
        <f t="shared" si="390"/>
        <v>#VALUE!</v>
      </c>
      <c r="AY720" s="45" t="e">
        <f t="shared" si="391"/>
        <v>#VALUE!</v>
      </c>
      <c r="AZ720" s="45" t="e">
        <f t="shared" si="392"/>
        <v>#VALUE!</v>
      </c>
      <c r="BA720" s="45" t="e">
        <f t="shared" si="393"/>
        <v>#VALUE!</v>
      </c>
      <c r="BB720" s="45" t="e">
        <f t="shared" si="394"/>
        <v>#VALUE!</v>
      </c>
      <c r="BC720" s="45">
        <f t="shared" si="395"/>
        <v>0.17464119266044847</v>
      </c>
      <c r="BD720" s="45" t="e">
        <f t="shared" si="396"/>
        <v>#VALUE!</v>
      </c>
      <c r="BE720" s="45" t="e">
        <f t="shared" si="397"/>
        <v>#VALUE!</v>
      </c>
      <c r="BF720" s="45" t="e">
        <f t="shared" si="398"/>
        <v>#VALUE!</v>
      </c>
      <c r="BG720" s="45" t="e">
        <f t="shared" si="399"/>
        <v>#VALUE!</v>
      </c>
      <c r="BH720" s="45">
        <f t="shared" si="400"/>
        <v>-1.6382721639824072</v>
      </c>
      <c r="BI720" s="43" t="e">
        <f t="shared" si="401"/>
        <v>#VALUE!</v>
      </c>
      <c r="BL720" s="20"/>
      <c r="CA720" s="41" t="s">
        <v>22</v>
      </c>
      <c r="CC720" t="s">
        <v>22</v>
      </c>
      <c r="CE720" s="41" t="s">
        <v>22</v>
      </c>
      <c r="CF720" s="41" t="s">
        <v>22</v>
      </c>
      <c r="CG720" s="41" t="e">
        <f t="shared" si="406"/>
        <v>#VALUE!</v>
      </c>
      <c r="CH720" s="41" t="e">
        <f t="shared" si="407"/>
        <v>#VALUE!</v>
      </c>
      <c r="CI720" s="41">
        <f t="shared" si="408"/>
        <v>1.4950000000000001</v>
      </c>
      <c r="CJ720" s="41">
        <f t="shared" si="409"/>
        <v>0.17464119266044847</v>
      </c>
      <c r="CL720" s="9" t="s">
        <v>1269</v>
      </c>
      <c r="CM720" s="18" t="s">
        <v>1285</v>
      </c>
      <c r="CN720" s="54" t="s">
        <v>1284</v>
      </c>
      <c r="CO720" s="18" t="s">
        <v>1284</v>
      </c>
    </row>
    <row r="721" spans="1:93" x14ac:dyDescent="0.25">
      <c r="A721" s="18" t="s">
        <v>266</v>
      </c>
      <c r="B721" s="41" t="s">
        <v>22</v>
      </c>
      <c r="C721" s="41">
        <v>0.53</v>
      </c>
      <c r="D721" s="41" t="s">
        <v>22</v>
      </c>
      <c r="E721" s="41" t="s">
        <v>22</v>
      </c>
      <c r="F721" s="18">
        <v>1</v>
      </c>
      <c r="G721" s="18" t="s">
        <v>52</v>
      </c>
      <c r="H721" s="18" t="s">
        <v>22</v>
      </c>
      <c r="I721" s="18" t="s">
        <v>22</v>
      </c>
      <c r="J721" s="41">
        <v>1.81</v>
      </c>
      <c r="K721" s="18" t="s">
        <v>22</v>
      </c>
      <c r="M721" s="18" t="s">
        <v>23</v>
      </c>
      <c r="N721" s="41">
        <v>277</v>
      </c>
      <c r="O721" s="41">
        <f>0.001*(N721*10^6)/((100^3)*C721)</f>
        <v>0.52264150943396226</v>
      </c>
      <c r="P721" s="41" t="s">
        <v>22</v>
      </c>
      <c r="R721" s="41" t="s">
        <v>22</v>
      </c>
      <c r="S721" s="41" t="s">
        <v>22</v>
      </c>
      <c r="T721" s="41" t="s">
        <v>247</v>
      </c>
      <c r="U721" s="41">
        <v>3</v>
      </c>
      <c r="V721" s="18">
        <v>20200510</v>
      </c>
      <c r="W721" s="21" t="s">
        <v>462</v>
      </c>
      <c r="X721" s="18">
        <v>2016</v>
      </c>
      <c r="Y721" s="18" t="s">
        <v>76</v>
      </c>
      <c r="Z721" s="18" t="s">
        <v>32</v>
      </c>
      <c r="AA721" s="18"/>
      <c r="AC721" s="18" t="s">
        <v>514</v>
      </c>
      <c r="AD721" s="41" t="s">
        <v>22</v>
      </c>
      <c r="AE721" s="41">
        <v>1579.4</v>
      </c>
      <c r="AF721" s="41" t="s">
        <v>22</v>
      </c>
      <c r="AG721" s="41" t="s">
        <v>22</v>
      </c>
      <c r="AH721" s="41" t="s">
        <v>22</v>
      </c>
      <c r="AI721" s="41" t="s">
        <v>22</v>
      </c>
      <c r="AJ721" s="41" t="s">
        <v>22</v>
      </c>
      <c r="AK721" s="41" t="s">
        <v>22</v>
      </c>
      <c r="AL721" s="41" t="s">
        <v>22</v>
      </c>
      <c r="AM721" s="43" t="e">
        <f t="shared" si="384"/>
        <v>#VALUE!</v>
      </c>
      <c r="AN721" s="43" t="e">
        <f t="shared" si="385"/>
        <v>#VALUE!</v>
      </c>
      <c r="AO721" s="19" t="s">
        <v>248</v>
      </c>
      <c r="AP721" s="18"/>
      <c r="AQ721" s="18"/>
      <c r="AR721" s="18"/>
      <c r="AS721" s="18"/>
      <c r="AT721" s="2">
        <f t="shared" si="386"/>
        <v>4</v>
      </c>
      <c r="AU721" s="45" t="e">
        <f t="shared" si="387"/>
        <v>#VALUE!</v>
      </c>
      <c r="AV721" s="45">
        <f t="shared" si="388"/>
        <v>-0.27572413039921095</v>
      </c>
      <c r="AW721" s="45" t="e">
        <f t="shared" si="389"/>
        <v>#VALUE!</v>
      </c>
      <c r="AX721" s="45">
        <f t="shared" si="390"/>
        <v>2.4424797690644486</v>
      </c>
      <c r="AY721" s="45">
        <f t="shared" si="391"/>
        <v>-0.28179610053634052</v>
      </c>
      <c r="AZ721" s="45" t="e">
        <f t="shared" si="392"/>
        <v>#VALUE!</v>
      </c>
      <c r="BA721" s="45">
        <f t="shared" si="393"/>
        <v>0.2576785748691845</v>
      </c>
      <c r="BB721" s="45" t="e">
        <f t="shared" si="394"/>
        <v>#NUM!</v>
      </c>
      <c r="BC721" s="45">
        <f t="shared" si="395"/>
        <v>0.47712125471966244</v>
      </c>
      <c r="BD721" s="45" t="e">
        <f t="shared" si="396"/>
        <v>#VALUE!</v>
      </c>
      <c r="BE721" s="45" t="e">
        <f t="shared" si="397"/>
        <v>#VALUE!</v>
      </c>
      <c r="BF721" s="45" t="e">
        <f t="shared" si="398"/>
        <v>#VALUE!</v>
      </c>
      <c r="BG721" s="45" t="e">
        <f t="shared" si="399"/>
        <v>#VALUE!</v>
      </c>
      <c r="BH721" s="45" t="e">
        <f t="shared" si="400"/>
        <v>#NUM!</v>
      </c>
      <c r="BI721" s="43" t="e">
        <f t="shared" si="401"/>
        <v>#VALUE!</v>
      </c>
      <c r="BJ721" s="18"/>
      <c r="BK721" s="18"/>
      <c r="BL721" s="20"/>
      <c r="BS721" s="18"/>
      <c r="BT721" s="18"/>
      <c r="CA721" s="41" t="s">
        <v>22</v>
      </c>
      <c r="CB721" s="18"/>
      <c r="CC721" s="18" t="s">
        <v>22</v>
      </c>
      <c r="CD721" s="18"/>
      <c r="CE721" s="41" t="s">
        <v>22</v>
      </c>
      <c r="CF721" s="41" t="s">
        <v>22</v>
      </c>
      <c r="CG721" s="41" t="e">
        <f t="shared" si="406"/>
        <v>#VALUE!</v>
      </c>
      <c r="CH721" s="41" t="e">
        <f t="shared" si="407"/>
        <v>#VALUE!</v>
      </c>
      <c r="CI721" s="41">
        <f t="shared" si="408"/>
        <v>3</v>
      </c>
      <c r="CJ721" s="41">
        <f t="shared" si="409"/>
        <v>0.47712125471966244</v>
      </c>
      <c r="CK721" s="18"/>
      <c r="CL721" s="9" t="s">
        <v>1269</v>
      </c>
      <c r="CM721" s="18" t="s">
        <v>1285</v>
      </c>
      <c r="CN721" s="54" t="s">
        <v>1284</v>
      </c>
      <c r="CO721" s="18" t="s">
        <v>1284</v>
      </c>
    </row>
    <row r="722" spans="1:93" x14ac:dyDescent="0.25">
      <c r="A722" s="18" t="s">
        <v>266</v>
      </c>
      <c r="B722" s="41" t="s">
        <v>22</v>
      </c>
      <c r="C722" s="41">
        <v>0.53</v>
      </c>
      <c r="D722" s="41" t="s">
        <v>22</v>
      </c>
      <c r="E722" s="41" t="s">
        <v>22</v>
      </c>
      <c r="F722" s="18">
        <v>1.25</v>
      </c>
      <c r="G722" s="18" t="s">
        <v>52</v>
      </c>
      <c r="H722" s="18" t="s">
        <v>22</v>
      </c>
      <c r="I722" s="18" t="s">
        <v>22</v>
      </c>
      <c r="J722" s="41">
        <v>1.53</v>
      </c>
      <c r="K722" s="18" t="s">
        <v>22</v>
      </c>
      <c r="M722" s="18" t="s">
        <v>23</v>
      </c>
      <c r="N722" s="41">
        <v>566</v>
      </c>
      <c r="O722" s="41">
        <f>0.001*(N722*10^6)/((100^3)*C722)</f>
        <v>1.0679245283018868</v>
      </c>
      <c r="P722" s="41" t="s">
        <v>22</v>
      </c>
      <c r="R722" s="41" t="s">
        <v>22</v>
      </c>
      <c r="S722" s="41" t="s">
        <v>22</v>
      </c>
      <c r="T722" s="41" t="s">
        <v>247</v>
      </c>
      <c r="U722" s="41">
        <v>3</v>
      </c>
      <c r="V722" s="18">
        <v>20200510</v>
      </c>
      <c r="W722" s="21" t="s">
        <v>462</v>
      </c>
      <c r="X722" s="18">
        <v>2016</v>
      </c>
      <c r="Y722" s="18" t="s">
        <v>76</v>
      </c>
      <c r="Z722" s="18" t="s">
        <v>32</v>
      </c>
      <c r="AA722" s="18"/>
      <c r="AC722" s="18" t="s">
        <v>514</v>
      </c>
      <c r="AD722" s="41" t="s">
        <v>22</v>
      </c>
      <c r="AE722" s="41">
        <v>1581.6</v>
      </c>
      <c r="AF722" s="41" t="s">
        <v>22</v>
      </c>
      <c r="AG722" s="41" t="s">
        <v>22</v>
      </c>
      <c r="AH722" s="41" t="s">
        <v>22</v>
      </c>
      <c r="AI722" s="41" t="s">
        <v>22</v>
      </c>
      <c r="AJ722" s="41" t="s">
        <v>22</v>
      </c>
      <c r="AK722" s="41" t="s">
        <v>22</v>
      </c>
      <c r="AL722" s="41" t="s">
        <v>22</v>
      </c>
      <c r="AM722" s="43" t="e">
        <f t="shared" si="384"/>
        <v>#VALUE!</v>
      </c>
      <c r="AN722" s="43" t="e">
        <f t="shared" si="385"/>
        <v>#VALUE!</v>
      </c>
      <c r="AO722" s="19" t="s">
        <v>248</v>
      </c>
      <c r="AP722" s="18"/>
      <c r="AQ722" s="18"/>
      <c r="AR722" s="18"/>
      <c r="AS722" s="18"/>
      <c r="AT722" s="2">
        <f t="shared" si="386"/>
        <v>4</v>
      </c>
      <c r="AU722" s="45" t="e">
        <f t="shared" si="387"/>
        <v>#VALUE!</v>
      </c>
      <c r="AV722" s="45">
        <f t="shared" si="388"/>
        <v>-0.27572413039921095</v>
      </c>
      <c r="AW722" s="45" t="e">
        <f t="shared" si="389"/>
        <v>#VALUE!</v>
      </c>
      <c r="AX722" s="45">
        <f t="shared" si="390"/>
        <v>2.7528164311882715</v>
      </c>
      <c r="AY722" s="45">
        <f t="shared" si="391"/>
        <v>2.8540561587482378E-2</v>
      </c>
      <c r="AZ722" s="45" t="e">
        <f t="shared" si="392"/>
        <v>#VALUE!</v>
      </c>
      <c r="BA722" s="45">
        <f t="shared" si="393"/>
        <v>0.18469143081759881</v>
      </c>
      <c r="BB722" s="45" t="e">
        <f t="shared" si="394"/>
        <v>#NUM!</v>
      </c>
      <c r="BC722" s="45">
        <f t="shared" si="395"/>
        <v>0.47712125471966244</v>
      </c>
      <c r="BD722" s="45" t="e">
        <f t="shared" si="396"/>
        <v>#VALUE!</v>
      </c>
      <c r="BE722" s="45" t="e">
        <f t="shared" si="397"/>
        <v>#VALUE!</v>
      </c>
      <c r="BF722" s="45" t="e">
        <f t="shared" si="398"/>
        <v>#VALUE!</v>
      </c>
      <c r="BG722" s="45" t="e">
        <f t="shared" si="399"/>
        <v>#VALUE!</v>
      </c>
      <c r="BH722" s="45" t="e">
        <f t="shared" si="400"/>
        <v>#NUM!</v>
      </c>
      <c r="BI722" s="43" t="e">
        <f t="shared" si="401"/>
        <v>#VALUE!</v>
      </c>
      <c r="BJ722" s="18"/>
      <c r="BK722" s="18"/>
      <c r="BL722" s="20"/>
      <c r="BS722" s="18"/>
      <c r="BT722" s="18"/>
      <c r="CA722" s="41" t="s">
        <v>22</v>
      </c>
      <c r="CB722" s="18"/>
      <c r="CC722" s="18" t="s">
        <v>22</v>
      </c>
      <c r="CD722" s="18"/>
      <c r="CE722" s="41" t="s">
        <v>22</v>
      </c>
      <c r="CF722" s="41" t="s">
        <v>22</v>
      </c>
      <c r="CG722" s="41" t="e">
        <f t="shared" si="406"/>
        <v>#VALUE!</v>
      </c>
      <c r="CH722" s="41" t="e">
        <f t="shared" si="407"/>
        <v>#VALUE!</v>
      </c>
      <c r="CI722" s="41">
        <f t="shared" si="408"/>
        <v>3</v>
      </c>
      <c r="CJ722" s="41">
        <f t="shared" si="409"/>
        <v>0.47712125471966244</v>
      </c>
      <c r="CK722" s="18"/>
      <c r="CL722" s="9" t="s">
        <v>1269</v>
      </c>
      <c r="CM722" s="18" t="s">
        <v>1285</v>
      </c>
      <c r="CN722" s="54" t="s">
        <v>1284</v>
      </c>
      <c r="CO722" s="18" t="s">
        <v>1284</v>
      </c>
    </row>
    <row r="723" spans="1:93" x14ac:dyDescent="0.25">
      <c r="A723" s="18" t="s">
        <v>266</v>
      </c>
      <c r="B723" s="41" t="s">
        <v>22</v>
      </c>
      <c r="C723" s="41">
        <v>0.53</v>
      </c>
      <c r="D723" s="41" t="s">
        <v>22</v>
      </c>
      <c r="E723" s="41" t="s">
        <v>22</v>
      </c>
      <c r="F723" s="18">
        <v>1.6</v>
      </c>
      <c r="G723" s="18" t="s">
        <v>52</v>
      </c>
      <c r="H723" s="18" t="s">
        <v>22</v>
      </c>
      <c r="I723" s="18" t="s">
        <v>22</v>
      </c>
      <c r="J723" s="41">
        <v>3.25</v>
      </c>
      <c r="K723" s="18" t="s">
        <v>22</v>
      </c>
      <c r="M723" s="18" t="s">
        <v>23</v>
      </c>
      <c r="N723" s="41">
        <v>2800</v>
      </c>
      <c r="O723" s="41">
        <f>0.001*(N723*10^6)/((100^3)*C723)</f>
        <v>5.283018867924528</v>
      </c>
      <c r="P723" s="41" t="s">
        <v>22</v>
      </c>
      <c r="R723" s="41" t="s">
        <v>22</v>
      </c>
      <c r="S723" s="41" t="s">
        <v>22</v>
      </c>
      <c r="T723" s="41" t="s">
        <v>247</v>
      </c>
      <c r="U723" s="41">
        <v>3</v>
      </c>
      <c r="V723" s="18">
        <v>20200510</v>
      </c>
      <c r="W723" s="21" t="s">
        <v>462</v>
      </c>
      <c r="X723" s="18">
        <v>2016</v>
      </c>
      <c r="Y723" s="18" t="s">
        <v>76</v>
      </c>
      <c r="Z723" s="18" t="s">
        <v>32</v>
      </c>
      <c r="AA723" s="18"/>
      <c r="AC723" s="18" t="s">
        <v>514</v>
      </c>
      <c r="AD723" s="41" t="s">
        <v>22</v>
      </c>
      <c r="AE723" s="41">
        <v>1578.9</v>
      </c>
      <c r="AF723" s="41" t="s">
        <v>22</v>
      </c>
      <c r="AG723" s="41" t="s">
        <v>22</v>
      </c>
      <c r="AH723" s="41" t="s">
        <v>22</v>
      </c>
      <c r="AI723" s="41" t="s">
        <v>22</v>
      </c>
      <c r="AJ723" s="41" t="s">
        <v>22</v>
      </c>
      <c r="AK723" s="41" t="s">
        <v>22</v>
      </c>
      <c r="AL723" s="41" t="s">
        <v>22</v>
      </c>
      <c r="AM723" s="43" t="e">
        <f t="shared" si="384"/>
        <v>#VALUE!</v>
      </c>
      <c r="AN723" s="43" t="e">
        <f t="shared" si="385"/>
        <v>#VALUE!</v>
      </c>
      <c r="AO723" s="19" t="s">
        <v>248</v>
      </c>
      <c r="AP723" s="18"/>
      <c r="AQ723" s="18"/>
      <c r="AR723" s="18"/>
      <c r="AS723" s="18"/>
      <c r="AT723" s="2">
        <f t="shared" si="386"/>
        <v>4</v>
      </c>
      <c r="AU723" s="45" t="e">
        <f t="shared" si="387"/>
        <v>#VALUE!</v>
      </c>
      <c r="AV723" s="45">
        <f t="shared" si="388"/>
        <v>-0.27572413039921095</v>
      </c>
      <c r="AW723" s="45" t="e">
        <f t="shared" si="389"/>
        <v>#VALUE!</v>
      </c>
      <c r="AX723" s="45">
        <f t="shared" si="390"/>
        <v>3.4471580313422194</v>
      </c>
      <c r="AY723" s="45">
        <f t="shared" si="391"/>
        <v>0.72288216174143016</v>
      </c>
      <c r="AZ723" s="45" t="e">
        <f t="shared" si="392"/>
        <v>#VALUE!</v>
      </c>
      <c r="BA723" s="45">
        <f t="shared" si="393"/>
        <v>0.51188336097887432</v>
      </c>
      <c r="BB723" s="45" t="e">
        <f t="shared" si="394"/>
        <v>#NUM!</v>
      </c>
      <c r="BC723" s="45">
        <f t="shared" si="395"/>
        <v>0.47712125471966244</v>
      </c>
      <c r="BD723" s="45" t="e">
        <f t="shared" si="396"/>
        <v>#VALUE!</v>
      </c>
      <c r="BE723" s="45" t="e">
        <f t="shared" si="397"/>
        <v>#VALUE!</v>
      </c>
      <c r="BF723" s="45" t="e">
        <f t="shared" si="398"/>
        <v>#VALUE!</v>
      </c>
      <c r="BG723" s="45" t="e">
        <f t="shared" si="399"/>
        <v>#VALUE!</v>
      </c>
      <c r="BH723" s="45" t="e">
        <f t="shared" si="400"/>
        <v>#NUM!</v>
      </c>
      <c r="BI723" s="43" t="e">
        <f t="shared" si="401"/>
        <v>#VALUE!</v>
      </c>
      <c r="BJ723" s="18"/>
      <c r="BK723" s="18"/>
      <c r="BL723" s="20"/>
      <c r="BS723" s="18"/>
      <c r="BT723" s="18"/>
      <c r="CA723" s="41" t="s">
        <v>22</v>
      </c>
      <c r="CB723" s="18"/>
      <c r="CC723" s="18" t="s">
        <v>22</v>
      </c>
      <c r="CD723" s="18"/>
      <c r="CE723" s="41" t="s">
        <v>22</v>
      </c>
      <c r="CF723" s="41" t="s">
        <v>22</v>
      </c>
      <c r="CG723" s="41" t="e">
        <f t="shared" si="406"/>
        <v>#VALUE!</v>
      </c>
      <c r="CH723" s="41" t="e">
        <f t="shared" si="407"/>
        <v>#VALUE!</v>
      </c>
      <c r="CI723" s="41">
        <f t="shared" si="408"/>
        <v>3</v>
      </c>
      <c r="CJ723" s="41">
        <f t="shared" si="409"/>
        <v>0.47712125471966244</v>
      </c>
      <c r="CK723" s="18"/>
      <c r="CL723" s="9" t="s">
        <v>1269</v>
      </c>
      <c r="CM723" s="18" t="s">
        <v>1285</v>
      </c>
      <c r="CN723" s="54" t="s">
        <v>1284</v>
      </c>
      <c r="CO723" s="18" t="s">
        <v>1284</v>
      </c>
    </row>
    <row r="724" spans="1:93" x14ac:dyDescent="0.25">
      <c r="A724" s="18" t="s">
        <v>266</v>
      </c>
      <c r="B724" s="41" t="s">
        <v>22</v>
      </c>
      <c r="C724" s="41">
        <v>1.85</v>
      </c>
      <c r="D724" s="41" t="s">
        <v>22</v>
      </c>
      <c r="E724" s="41" t="s">
        <v>22</v>
      </c>
      <c r="F724" s="18" t="s">
        <v>22</v>
      </c>
      <c r="G724" s="18" t="s">
        <v>22</v>
      </c>
      <c r="H724" s="18" t="s">
        <v>22</v>
      </c>
      <c r="I724" s="18" t="s">
        <v>22</v>
      </c>
      <c r="K724" s="18" t="s">
        <v>22</v>
      </c>
      <c r="L724" s="41" t="e">
        <f t="shared" ref="L724:L757" si="410">IF((10^-12)*J724*K724^4=0,"",(10^-12)*J724*K724^4)</f>
        <v>#VALUE!</v>
      </c>
      <c r="M724" s="18" t="s">
        <v>23</v>
      </c>
      <c r="N724" s="41">
        <v>9600</v>
      </c>
      <c r="O724" s="41">
        <f>0.001*(N724*10^6)/((100^3)*C724)</f>
        <v>5.1891891891891895</v>
      </c>
      <c r="P724" s="41">
        <v>130</v>
      </c>
      <c r="R724" s="41" t="s">
        <v>22</v>
      </c>
      <c r="S724" s="41" t="s">
        <v>22</v>
      </c>
      <c r="T724" s="41" t="s">
        <v>247</v>
      </c>
      <c r="U724" s="41">
        <v>3</v>
      </c>
      <c r="V724" s="18">
        <v>20200510</v>
      </c>
      <c r="W724" s="21" t="s">
        <v>467</v>
      </c>
      <c r="X724" s="18">
        <v>2016</v>
      </c>
      <c r="Y724" s="18" t="s">
        <v>76</v>
      </c>
      <c r="Z724" s="18" t="s">
        <v>80</v>
      </c>
      <c r="AA724" s="18"/>
      <c r="AC724" s="18" t="s">
        <v>514</v>
      </c>
      <c r="AD724" s="41" t="s">
        <v>22</v>
      </c>
      <c r="AE724" s="41" t="s">
        <v>22</v>
      </c>
      <c r="AF724" s="41" t="s">
        <v>22</v>
      </c>
      <c r="AG724" s="41" t="s">
        <v>22</v>
      </c>
      <c r="AH724" s="41" t="s">
        <v>22</v>
      </c>
      <c r="AI724" s="41" t="s">
        <v>22</v>
      </c>
      <c r="AJ724" s="41" t="s">
        <v>22</v>
      </c>
      <c r="AK724" s="41" t="s">
        <v>22</v>
      </c>
      <c r="AL724" s="41" t="s">
        <v>22</v>
      </c>
      <c r="AM724" s="43" t="e">
        <f t="shared" si="384"/>
        <v>#VALUE!</v>
      </c>
      <c r="AN724" s="43" t="e">
        <f t="shared" si="385"/>
        <v>#VALUE!</v>
      </c>
      <c r="AO724" s="19" t="s">
        <v>248</v>
      </c>
      <c r="AP724" s="18"/>
      <c r="AQ724" s="18"/>
      <c r="AR724" s="18"/>
      <c r="AS724" s="18"/>
      <c r="AT724" s="2">
        <f t="shared" si="386"/>
        <v>4</v>
      </c>
      <c r="AU724" s="45" t="e">
        <f t="shared" si="387"/>
        <v>#VALUE!</v>
      </c>
      <c r="AV724" s="45">
        <f t="shared" si="388"/>
        <v>0.26717172840301384</v>
      </c>
      <c r="AW724" s="45" t="e">
        <f t="shared" si="389"/>
        <v>#VALUE!</v>
      </c>
      <c r="AX724" s="45">
        <f t="shared" si="390"/>
        <v>3.9822712330395684</v>
      </c>
      <c r="AY724" s="45">
        <f t="shared" si="391"/>
        <v>0.71509950463655458</v>
      </c>
      <c r="AZ724" s="45">
        <f t="shared" si="392"/>
        <v>2.1139433523068369</v>
      </c>
      <c r="BA724" s="45" t="e">
        <f t="shared" si="393"/>
        <v>#NUM!</v>
      </c>
      <c r="BB724" s="45" t="e">
        <f t="shared" si="394"/>
        <v>#VALUE!</v>
      </c>
      <c r="BC724" s="45">
        <f t="shared" si="395"/>
        <v>0.47712125471966244</v>
      </c>
      <c r="BD724" s="45" t="e">
        <f t="shared" si="396"/>
        <v>#VALUE!</v>
      </c>
      <c r="BE724" s="45" t="e">
        <f t="shared" si="397"/>
        <v>#VALUE!</v>
      </c>
      <c r="BF724" s="45" t="e">
        <f t="shared" si="398"/>
        <v>#VALUE!</v>
      </c>
      <c r="BG724" s="45" t="e">
        <f t="shared" si="399"/>
        <v>#VALUE!</v>
      </c>
      <c r="BH724" s="45" t="e">
        <f t="shared" si="400"/>
        <v>#NUM!</v>
      </c>
      <c r="BI724" s="43" t="e">
        <f t="shared" si="401"/>
        <v>#VALUE!</v>
      </c>
      <c r="BJ724" s="18"/>
      <c r="BK724" s="18"/>
      <c r="BL724" s="20"/>
      <c r="BS724" s="18"/>
      <c r="BT724" s="18"/>
      <c r="CA724" s="41" t="s">
        <v>22</v>
      </c>
      <c r="CB724" s="18"/>
      <c r="CC724" s="18" t="s">
        <v>22</v>
      </c>
      <c r="CD724" s="18"/>
      <c r="CE724" s="41" t="s">
        <v>22</v>
      </c>
      <c r="CF724" s="41" t="s">
        <v>22</v>
      </c>
      <c r="CG724" s="41" t="e">
        <f t="shared" si="406"/>
        <v>#VALUE!</v>
      </c>
      <c r="CH724" s="41" t="e">
        <f t="shared" si="407"/>
        <v>#VALUE!</v>
      </c>
      <c r="CI724" s="41">
        <f t="shared" si="408"/>
        <v>3</v>
      </c>
      <c r="CJ724" s="41">
        <f t="shared" si="409"/>
        <v>0.47712125471966244</v>
      </c>
      <c r="CK724" s="18"/>
      <c r="CL724" s="9" t="s">
        <v>1269</v>
      </c>
      <c r="CM724" s="18" t="s">
        <v>1285</v>
      </c>
      <c r="CN724" s="54" t="s">
        <v>1284</v>
      </c>
      <c r="CO724" s="18" t="s">
        <v>1284</v>
      </c>
    </row>
    <row r="725" spans="1:93" x14ac:dyDescent="0.25">
      <c r="A725" s="18" t="s">
        <v>266</v>
      </c>
      <c r="B725" s="41">
        <v>0.65</v>
      </c>
      <c r="C725" s="41">
        <v>0.44</v>
      </c>
      <c r="D725" s="43">
        <v>2</v>
      </c>
      <c r="E725" s="41" t="s">
        <v>22</v>
      </c>
      <c r="F725" s="18">
        <v>0.34</v>
      </c>
      <c r="G725" s="18" t="s">
        <v>165</v>
      </c>
      <c r="H725" s="18">
        <v>53</v>
      </c>
      <c r="I725" s="18" t="s">
        <v>166</v>
      </c>
      <c r="J725" s="41">
        <v>40</v>
      </c>
      <c r="K725" s="18">
        <v>633</v>
      </c>
      <c r="L725" s="41">
        <f t="shared" si="410"/>
        <v>6.4220669888399993</v>
      </c>
      <c r="M725" s="18" t="s">
        <v>45</v>
      </c>
      <c r="N725" s="41" t="s">
        <v>22</v>
      </c>
      <c r="O725" s="41" t="s">
        <v>22</v>
      </c>
      <c r="P725" s="41" t="s">
        <v>22</v>
      </c>
      <c r="R725" s="41" t="s">
        <v>22</v>
      </c>
      <c r="S725" s="41" t="s">
        <v>22</v>
      </c>
      <c r="T725" s="41" t="s">
        <v>22</v>
      </c>
      <c r="V725" s="18">
        <v>20200508</v>
      </c>
      <c r="W725" s="21" t="s">
        <v>167</v>
      </c>
      <c r="X725" s="18">
        <v>2016</v>
      </c>
      <c r="Y725" s="18" t="s">
        <v>143</v>
      </c>
      <c r="Z725" s="18" t="s">
        <v>157</v>
      </c>
      <c r="AA725" s="18"/>
      <c r="AC725" s="18" t="s">
        <v>514</v>
      </c>
      <c r="AD725" s="41" t="s">
        <v>22</v>
      </c>
      <c r="AE725" s="41" t="s">
        <v>22</v>
      </c>
      <c r="AF725" s="41" t="s">
        <v>22</v>
      </c>
      <c r="AG725" s="41" t="s">
        <v>22</v>
      </c>
      <c r="AH725" s="41" t="s">
        <v>22</v>
      </c>
      <c r="AI725" s="41" t="s">
        <v>22</v>
      </c>
      <c r="AJ725" s="41" t="s">
        <v>22</v>
      </c>
      <c r="AK725" s="41" t="s">
        <v>22</v>
      </c>
      <c r="AL725" s="41" t="s">
        <v>22</v>
      </c>
      <c r="AM725" s="43" t="e">
        <f t="shared" si="384"/>
        <v>#VALUE!</v>
      </c>
      <c r="AN725" s="43" t="e">
        <f t="shared" si="385"/>
        <v>#VALUE!</v>
      </c>
      <c r="AO725" s="19" t="s">
        <v>168</v>
      </c>
      <c r="AP725" s="18"/>
      <c r="AQ725" s="18"/>
      <c r="AR725" s="18"/>
      <c r="AS725" s="18"/>
      <c r="AT725" s="2">
        <f t="shared" si="386"/>
        <v>3</v>
      </c>
      <c r="AU725" s="45">
        <f t="shared" si="387"/>
        <v>-0.18708664335714442</v>
      </c>
      <c r="AV725" s="45">
        <f t="shared" si="388"/>
        <v>-0.35654732351381258</v>
      </c>
      <c r="AW725" s="45">
        <f t="shared" si="389"/>
        <v>0.3010299956639812</v>
      </c>
      <c r="AX725" s="45" t="e">
        <f t="shared" si="390"/>
        <v>#VALUE!</v>
      </c>
      <c r="AY725" s="45" t="e">
        <f t="shared" si="391"/>
        <v>#VALUE!</v>
      </c>
      <c r="AZ725" s="45" t="e">
        <f t="shared" si="392"/>
        <v>#VALUE!</v>
      </c>
      <c r="BA725" s="45">
        <f t="shared" si="393"/>
        <v>1.6020599913279623</v>
      </c>
      <c r="BB725" s="45">
        <f t="shared" si="394"/>
        <v>0.80767483139738272</v>
      </c>
      <c r="BC725" s="45" t="e">
        <f t="shared" si="395"/>
        <v>#NUM!</v>
      </c>
      <c r="BD725" s="45" t="e">
        <f t="shared" si="396"/>
        <v>#VALUE!</v>
      </c>
      <c r="BE725" s="45" t="e">
        <f t="shared" si="397"/>
        <v>#VALUE!</v>
      </c>
      <c r="BF725" s="45" t="e">
        <f t="shared" si="398"/>
        <v>#VALUE!</v>
      </c>
      <c r="BG725" s="45" t="e">
        <f t="shared" si="399"/>
        <v>#VALUE!</v>
      </c>
      <c r="BH725" s="45" t="e">
        <f t="shared" si="400"/>
        <v>#NUM!</v>
      </c>
      <c r="BI725" s="43" t="e">
        <f t="shared" si="401"/>
        <v>#VALUE!</v>
      </c>
      <c r="BJ725" s="18"/>
      <c r="BK725" s="18"/>
      <c r="BL725" s="20"/>
      <c r="BS725" s="18"/>
      <c r="BT725" s="18"/>
      <c r="CA725" s="41" t="s">
        <v>22</v>
      </c>
      <c r="CB725" s="18"/>
      <c r="CC725" s="18" t="s">
        <v>22</v>
      </c>
      <c r="CD725" s="18"/>
      <c r="CE725" s="41" t="s">
        <v>22</v>
      </c>
      <c r="CF725" s="41" t="s">
        <v>22</v>
      </c>
      <c r="CG725" s="41" t="e">
        <f t="shared" si="406"/>
        <v>#VALUE!</v>
      </c>
      <c r="CH725" s="41" t="e">
        <f t="shared" si="407"/>
        <v>#VALUE!</v>
      </c>
      <c r="CI725" s="41" t="s">
        <v>22</v>
      </c>
      <c r="CJ725" s="41" t="e">
        <f t="shared" si="409"/>
        <v>#VALUE!</v>
      </c>
      <c r="CK725" s="18"/>
      <c r="CL725" s="9" t="s">
        <v>1269</v>
      </c>
      <c r="CM725" s="18" t="s">
        <v>1284</v>
      </c>
      <c r="CN725" s="54" t="s">
        <v>1284</v>
      </c>
      <c r="CO725" s="18" t="s">
        <v>1284</v>
      </c>
    </row>
    <row r="726" spans="1:93" x14ac:dyDescent="0.25">
      <c r="A726" s="18" t="s">
        <v>266</v>
      </c>
      <c r="B726" s="41">
        <f>0.65/(1.33)</f>
        <v>0.48872180451127817</v>
      </c>
      <c r="C726" s="41">
        <f>(0.01^3)*(B726*10^6)/(D726)</f>
        <v>0.33616874183022771</v>
      </c>
      <c r="D726" s="41">
        <v>1.4537990708193</v>
      </c>
      <c r="E726" s="41" t="s">
        <v>22</v>
      </c>
      <c r="F726" s="18" t="s">
        <v>22</v>
      </c>
      <c r="G726" s="18" t="s">
        <v>22</v>
      </c>
      <c r="H726" s="18" t="s">
        <v>22</v>
      </c>
      <c r="I726" s="18" t="s">
        <v>22</v>
      </c>
      <c r="J726" s="41" t="s">
        <v>22</v>
      </c>
      <c r="K726" s="18" t="s">
        <v>22</v>
      </c>
      <c r="L726" s="41" t="e">
        <f t="shared" si="410"/>
        <v>#VALUE!</v>
      </c>
      <c r="M726" s="18" t="s">
        <v>45</v>
      </c>
      <c r="N726" s="41" t="s">
        <v>22</v>
      </c>
      <c r="O726" s="41" t="s">
        <v>22</v>
      </c>
      <c r="P726" s="41" t="s">
        <v>22</v>
      </c>
      <c r="R726" s="41" t="s">
        <v>22</v>
      </c>
      <c r="S726" s="41" t="s">
        <v>22</v>
      </c>
      <c r="T726" s="41" t="s">
        <v>22</v>
      </c>
      <c r="V726" s="18">
        <v>20200508</v>
      </c>
      <c r="W726" s="21" t="s">
        <v>169</v>
      </c>
      <c r="X726" s="18">
        <v>2016</v>
      </c>
      <c r="Y726" s="18" t="s">
        <v>143</v>
      </c>
      <c r="Z726" s="18" t="s">
        <v>157</v>
      </c>
      <c r="AA726" s="18"/>
      <c r="AC726" s="18" t="s">
        <v>514</v>
      </c>
      <c r="AD726" s="41" t="s">
        <v>22</v>
      </c>
      <c r="AE726" s="41" t="s">
        <v>22</v>
      </c>
      <c r="AF726" s="41" t="s">
        <v>22</v>
      </c>
      <c r="AG726" s="41" t="s">
        <v>22</v>
      </c>
      <c r="AH726" s="41" t="s">
        <v>22</v>
      </c>
      <c r="AI726" s="41" t="s">
        <v>22</v>
      </c>
      <c r="AJ726" s="41" t="s">
        <v>22</v>
      </c>
      <c r="AK726" s="41" t="s">
        <v>22</v>
      </c>
      <c r="AL726" s="41" t="s">
        <v>22</v>
      </c>
      <c r="AM726" s="43" t="e">
        <f t="shared" si="384"/>
        <v>#VALUE!</v>
      </c>
      <c r="AN726" s="43" t="e">
        <f t="shared" si="385"/>
        <v>#VALUE!</v>
      </c>
      <c r="AO726" s="19" t="s">
        <v>168</v>
      </c>
      <c r="AP726" s="18"/>
      <c r="AQ726" s="18"/>
      <c r="AR726" s="18"/>
      <c r="AS726" s="18"/>
      <c r="AT726" s="2">
        <f t="shared" si="386"/>
        <v>3</v>
      </c>
      <c r="AU726" s="45">
        <f t="shared" si="387"/>
        <v>-0.31093828432423026</v>
      </c>
      <c r="AV726" s="45">
        <f t="shared" si="388"/>
        <v>-0.4734426712706245</v>
      </c>
      <c r="AW726" s="45">
        <f t="shared" si="389"/>
        <v>0.16250438694639427</v>
      </c>
      <c r="AX726" s="45" t="e">
        <f t="shared" si="390"/>
        <v>#VALUE!</v>
      </c>
      <c r="AY726" s="45" t="e">
        <f t="shared" si="391"/>
        <v>#VALUE!</v>
      </c>
      <c r="AZ726" s="45" t="e">
        <f t="shared" si="392"/>
        <v>#VALUE!</v>
      </c>
      <c r="BA726" s="45" t="e">
        <f t="shared" si="393"/>
        <v>#VALUE!</v>
      </c>
      <c r="BB726" s="45" t="e">
        <f t="shared" si="394"/>
        <v>#VALUE!</v>
      </c>
      <c r="BC726" s="45" t="e">
        <f t="shared" si="395"/>
        <v>#NUM!</v>
      </c>
      <c r="BD726" s="45" t="e">
        <f t="shared" si="396"/>
        <v>#VALUE!</v>
      </c>
      <c r="BE726" s="45" t="e">
        <f t="shared" si="397"/>
        <v>#VALUE!</v>
      </c>
      <c r="BF726" s="45" t="e">
        <f t="shared" si="398"/>
        <v>#VALUE!</v>
      </c>
      <c r="BG726" s="45" t="e">
        <f t="shared" si="399"/>
        <v>#VALUE!</v>
      </c>
      <c r="BH726" s="45" t="e">
        <f t="shared" si="400"/>
        <v>#NUM!</v>
      </c>
      <c r="BI726" s="43" t="e">
        <f t="shared" si="401"/>
        <v>#VALUE!</v>
      </c>
      <c r="BJ726" s="18"/>
      <c r="BK726" s="18"/>
      <c r="BL726" s="20"/>
      <c r="BS726" s="18"/>
      <c r="BT726" s="18"/>
      <c r="CA726" s="41" t="s">
        <v>22</v>
      </c>
      <c r="CB726" s="18"/>
      <c r="CC726" s="18" t="s">
        <v>22</v>
      </c>
      <c r="CD726" s="18"/>
      <c r="CE726" s="41" t="s">
        <v>22</v>
      </c>
      <c r="CF726" s="41" t="s">
        <v>22</v>
      </c>
      <c r="CG726" s="41" t="e">
        <f t="shared" si="406"/>
        <v>#VALUE!</v>
      </c>
      <c r="CH726" s="41" t="e">
        <f t="shared" si="407"/>
        <v>#VALUE!</v>
      </c>
      <c r="CI726" s="41" t="s">
        <v>22</v>
      </c>
      <c r="CJ726" s="41" t="e">
        <f t="shared" si="409"/>
        <v>#VALUE!</v>
      </c>
      <c r="CK726" s="18"/>
      <c r="CL726" s="9" t="s">
        <v>1269</v>
      </c>
      <c r="CM726" s="18" t="s">
        <v>1284</v>
      </c>
      <c r="CN726" s="54" t="s">
        <v>1284</v>
      </c>
      <c r="CO726" s="18" t="s">
        <v>1284</v>
      </c>
    </row>
    <row r="727" spans="1:93" x14ac:dyDescent="0.25">
      <c r="A727" s="18" t="s">
        <v>266</v>
      </c>
      <c r="B727" s="41">
        <f>0.65/2</f>
        <v>0.32500000000000001</v>
      </c>
      <c r="C727" s="41">
        <f>(0.01^3)*(B727*10^6)/(D727)</f>
        <v>0.35340742027745864</v>
      </c>
      <c r="D727" s="41">
        <v>0.91961849512057203</v>
      </c>
      <c r="E727" s="41" t="s">
        <v>22</v>
      </c>
      <c r="F727" s="18" t="s">
        <v>22</v>
      </c>
      <c r="G727" s="18" t="s">
        <v>22</v>
      </c>
      <c r="H727" s="18" t="s">
        <v>22</v>
      </c>
      <c r="I727" s="18" t="s">
        <v>22</v>
      </c>
      <c r="J727" s="41" t="s">
        <v>22</v>
      </c>
      <c r="K727" s="18" t="s">
        <v>22</v>
      </c>
      <c r="L727" s="41" t="e">
        <f t="shared" si="410"/>
        <v>#VALUE!</v>
      </c>
      <c r="M727" s="18" t="s">
        <v>45</v>
      </c>
      <c r="N727" s="41" t="s">
        <v>22</v>
      </c>
      <c r="O727" s="41" t="s">
        <v>22</v>
      </c>
      <c r="P727" s="41" t="s">
        <v>22</v>
      </c>
      <c r="R727" s="41" t="s">
        <v>22</v>
      </c>
      <c r="S727" s="41" t="s">
        <v>22</v>
      </c>
      <c r="T727" s="41" t="s">
        <v>22</v>
      </c>
      <c r="V727" s="18">
        <v>20200508</v>
      </c>
      <c r="W727" s="21" t="s">
        <v>170</v>
      </c>
      <c r="X727" s="18">
        <v>2016</v>
      </c>
      <c r="Y727" s="18" t="s">
        <v>143</v>
      </c>
      <c r="Z727" s="18" t="s">
        <v>157</v>
      </c>
      <c r="AA727" s="18"/>
      <c r="AC727" s="18" t="s">
        <v>514</v>
      </c>
      <c r="AD727" s="41" t="s">
        <v>22</v>
      </c>
      <c r="AE727" s="41" t="s">
        <v>22</v>
      </c>
      <c r="AF727" s="41" t="s">
        <v>22</v>
      </c>
      <c r="AG727" s="41" t="s">
        <v>22</v>
      </c>
      <c r="AH727" s="41" t="s">
        <v>22</v>
      </c>
      <c r="AI727" s="41" t="s">
        <v>22</v>
      </c>
      <c r="AJ727" s="41" t="s">
        <v>22</v>
      </c>
      <c r="AK727" s="41" t="s">
        <v>22</v>
      </c>
      <c r="AL727" s="41" t="s">
        <v>22</v>
      </c>
      <c r="AM727" s="43" t="e">
        <f t="shared" si="384"/>
        <v>#VALUE!</v>
      </c>
      <c r="AN727" s="43" t="e">
        <f t="shared" si="385"/>
        <v>#VALUE!</v>
      </c>
      <c r="AO727" s="19" t="s">
        <v>168</v>
      </c>
      <c r="AP727" s="18"/>
      <c r="AQ727" s="18"/>
      <c r="AR727" s="18"/>
      <c r="AS727" s="18"/>
      <c r="AT727" s="2">
        <f t="shared" si="386"/>
        <v>3</v>
      </c>
      <c r="AU727" s="45">
        <f t="shared" si="387"/>
        <v>-0.48811663902112562</v>
      </c>
      <c r="AV727" s="45">
        <f t="shared" si="388"/>
        <v>-0.45172433612036134</v>
      </c>
      <c r="AW727" s="45">
        <f t="shared" si="389"/>
        <v>-3.6392302900764215E-2</v>
      </c>
      <c r="AX727" s="45" t="e">
        <f t="shared" si="390"/>
        <v>#VALUE!</v>
      </c>
      <c r="AY727" s="45" t="e">
        <f t="shared" si="391"/>
        <v>#VALUE!</v>
      </c>
      <c r="AZ727" s="45" t="e">
        <f t="shared" si="392"/>
        <v>#VALUE!</v>
      </c>
      <c r="BA727" s="45" t="e">
        <f t="shared" si="393"/>
        <v>#VALUE!</v>
      </c>
      <c r="BB727" s="45" t="e">
        <f t="shared" si="394"/>
        <v>#VALUE!</v>
      </c>
      <c r="BC727" s="45" t="e">
        <f t="shared" si="395"/>
        <v>#NUM!</v>
      </c>
      <c r="BD727" s="45" t="e">
        <f t="shared" si="396"/>
        <v>#VALUE!</v>
      </c>
      <c r="BE727" s="45" t="e">
        <f t="shared" si="397"/>
        <v>#VALUE!</v>
      </c>
      <c r="BF727" s="45" t="e">
        <f t="shared" si="398"/>
        <v>#VALUE!</v>
      </c>
      <c r="BG727" s="45" t="e">
        <f t="shared" si="399"/>
        <v>#VALUE!</v>
      </c>
      <c r="BH727" s="45" t="e">
        <f t="shared" si="400"/>
        <v>#NUM!</v>
      </c>
      <c r="BI727" s="43" t="e">
        <f t="shared" si="401"/>
        <v>#VALUE!</v>
      </c>
      <c r="BJ727" s="18"/>
      <c r="BK727" s="18"/>
      <c r="BL727" s="20"/>
      <c r="BS727" s="18"/>
      <c r="BT727" s="18"/>
      <c r="CA727" s="41" t="s">
        <v>22</v>
      </c>
      <c r="CB727" s="18"/>
      <c r="CC727" s="18" t="s">
        <v>22</v>
      </c>
      <c r="CD727" s="18"/>
      <c r="CE727" s="41" t="s">
        <v>22</v>
      </c>
      <c r="CF727" s="41" t="s">
        <v>22</v>
      </c>
      <c r="CG727" s="41" t="e">
        <f t="shared" si="406"/>
        <v>#VALUE!</v>
      </c>
      <c r="CH727" s="41" t="e">
        <f t="shared" si="407"/>
        <v>#VALUE!</v>
      </c>
      <c r="CI727" s="41" t="s">
        <v>22</v>
      </c>
      <c r="CJ727" s="41" t="e">
        <f t="shared" si="409"/>
        <v>#VALUE!</v>
      </c>
      <c r="CK727" s="18"/>
      <c r="CL727" s="9" t="s">
        <v>1269</v>
      </c>
      <c r="CM727" s="18" t="s">
        <v>1284</v>
      </c>
      <c r="CN727" s="54" t="s">
        <v>1284</v>
      </c>
      <c r="CO727" s="18" t="s">
        <v>1284</v>
      </c>
    </row>
    <row r="728" spans="1:93" x14ac:dyDescent="0.25">
      <c r="A728" s="18" t="s">
        <v>375</v>
      </c>
      <c r="B728" s="41">
        <v>7.0000000000000007E-2</v>
      </c>
      <c r="C728" s="41">
        <v>1.81</v>
      </c>
      <c r="D728" s="41">
        <v>3.8674033149171269E-2</v>
      </c>
      <c r="E728" s="41" t="s">
        <v>22</v>
      </c>
      <c r="F728" s="41" t="s">
        <v>22</v>
      </c>
      <c r="G728" s="41" t="s">
        <v>22</v>
      </c>
      <c r="H728" s="41" t="s">
        <v>22</v>
      </c>
      <c r="I728" s="41" t="s">
        <v>22</v>
      </c>
      <c r="J728" s="41" t="s">
        <v>22</v>
      </c>
      <c r="K728" s="41" t="s">
        <v>22</v>
      </c>
      <c r="L728" s="41" t="e">
        <f t="shared" si="410"/>
        <v>#VALUE!</v>
      </c>
      <c r="M728" s="18" t="s">
        <v>23</v>
      </c>
      <c r="N728" s="41">
        <v>5940</v>
      </c>
      <c r="O728" s="41">
        <v>3.2817679558011053</v>
      </c>
      <c r="P728" s="41">
        <v>294</v>
      </c>
      <c r="R728" s="41">
        <v>415.8</v>
      </c>
      <c r="S728" s="41">
        <v>0.12691920271053997</v>
      </c>
      <c r="T728" s="41" t="s">
        <v>22</v>
      </c>
      <c r="U728" s="41" t="s">
        <v>22</v>
      </c>
      <c r="V728" s="18">
        <v>20191229</v>
      </c>
      <c r="W728" s="21" t="s">
        <v>384</v>
      </c>
      <c r="X728" s="18">
        <v>2016</v>
      </c>
      <c r="Y728" s="18"/>
      <c r="Z728" s="18"/>
      <c r="AA728" s="18"/>
      <c r="AC728" s="18"/>
      <c r="AD728" s="41" t="s">
        <v>22</v>
      </c>
      <c r="AE728" s="41" t="s">
        <v>22</v>
      </c>
      <c r="AF728" s="41" t="s">
        <v>22</v>
      </c>
      <c r="AG728" s="41" t="s">
        <v>22</v>
      </c>
      <c r="AH728" s="41" t="s">
        <v>22</v>
      </c>
      <c r="AI728" s="41" t="s">
        <v>22</v>
      </c>
      <c r="AJ728" s="41" t="s">
        <v>22</v>
      </c>
      <c r="AK728" s="41" t="s">
        <v>22</v>
      </c>
      <c r="AL728" s="41" t="s">
        <v>22</v>
      </c>
      <c r="AM728" s="43" t="e">
        <f t="shared" si="384"/>
        <v>#VALUE!</v>
      </c>
      <c r="AN728" s="43" t="e">
        <f t="shared" si="385"/>
        <v>#VALUE!</v>
      </c>
      <c r="AO728" s="19" t="s">
        <v>396</v>
      </c>
      <c r="AP728" s="18"/>
      <c r="AQ728" s="18"/>
      <c r="AR728" s="18"/>
      <c r="AS728" s="18"/>
      <c r="AT728" s="2">
        <f t="shared" si="386"/>
        <v>1</v>
      </c>
      <c r="AU728" s="45">
        <f t="shared" si="387"/>
        <v>-1.1549019599857431</v>
      </c>
      <c r="AV728" s="45">
        <f t="shared" si="388"/>
        <v>0.2576785748691845</v>
      </c>
      <c r="AW728" s="45">
        <f t="shared" si="389"/>
        <v>-1.4125805348549276</v>
      </c>
      <c r="AX728" s="45">
        <f t="shared" si="390"/>
        <v>3.7737864449811935</v>
      </c>
      <c r="AY728" s="45">
        <f t="shared" si="391"/>
        <v>0.51610787011200909</v>
      </c>
      <c r="AZ728" s="45">
        <f t="shared" si="392"/>
        <v>2.4683473304121573</v>
      </c>
      <c r="BA728" s="45" t="e">
        <f t="shared" si="393"/>
        <v>#VALUE!</v>
      </c>
      <c r="BB728" s="45" t="e">
        <f t="shared" si="394"/>
        <v>#VALUE!</v>
      </c>
      <c r="BC728" s="45" t="e">
        <f t="shared" si="395"/>
        <v>#VALUE!</v>
      </c>
      <c r="BD728" s="45" t="e">
        <f t="shared" si="396"/>
        <v>#VALUE!</v>
      </c>
      <c r="BE728" s="45" t="e">
        <f t="shared" si="397"/>
        <v>#VALUE!</v>
      </c>
      <c r="BF728" s="45" t="e">
        <f t="shared" si="398"/>
        <v>#VALUE!</v>
      </c>
      <c r="BG728" s="45" t="e">
        <f t="shared" si="399"/>
        <v>#VALUE!</v>
      </c>
      <c r="BH728" s="45" t="e">
        <f t="shared" si="400"/>
        <v>#NUM!</v>
      </c>
      <c r="BI728" s="43" t="e">
        <f t="shared" si="401"/>
        <v>#VALUE!</v>
      </c>
      <c r="BJ728" s="18"/>
      <c r="BK728" s="18"/>
      <c r="BL728" s="20"/>
      <c r="BS728" s="18"/>
      <c r="BT728" s="18"/>
      <c r="CA728" s="41" t="s">
        <v>22</v>
      </c>
      <c r="CB728" s="18"/>
      <c r="CC728" s="18" t="s">
        <v>22</v>
      </c>
      <c r="CD728" s="18"/>
      <c r="CE728" s="41" t="s">
        <v>22</v>
      </c>
      <c r="CF728" s="41" t="s">
        <v>22</v>
      </c>
      <c r="CG728" s="41" t="s">
        <v>22</v>
      </c>
      <c r="CH728" s="41" t="e">
        <f t="shared" si="407"/>
        <v>#VALUE!</v>
      </c>
      <c r="CI728" s="41" t="str">
        <f t="shared" ref="CI728:CI765" si="411">IF(ISNUMBER(CG728),CG728,U728)</f>
        <v>Not Reported/ Can not calculate</v>
      </c>
      <c r="CJ728" s="41" t="e">
        <f t="shared" si="409"/>
        <v>#VALUE!</v>
      </c>
      <c r="CK728" s="18"/>
      <c r="CL728" s="9" t="s">
        <v>1268</v>
      </c>
      <c r="CM728" s="18" t="s">
        <v>1284</v>
      </c>
      <c r="CN728" s="54" t="s">
        <v>1284</v>
      </c>
      <c r="CO728" s="18" t="s">
        <v>1284</v>
      </c>
    </row>
    <row r="729" spans="1:93" x14ac:dyDescent="0.25">
      <c r="A729" s="18" t="s">
        <v>266</v>
      </c>
      <c r="B729" s="41">
        <v>2.4155405405405398E-2</v>
      </c>
      <c r="C729" s="41" t="s">
        <v>22</v>
      </c>
      <c r="D729" s="41" t="s">
        <v>22</v>
      </c>
      <c r="E729" s="41" t="s">
        <v>22</v>
      </c>
      <c r="F729" s="18" t="s">
        <v>22</v>
      </c>
      <c r="G729" s="18" t="s">
        <v>22</v>
      </c>
      <c r="H729" s="18" t="s">
        <v>22</v>
      </c>
      <c r="I729" s="18" t="s">
        <v>22</v>
      </c>
      <c r="J729" s="41">
        <v>2</v>
      </c>
      <c r="K729" s="18">
        <v>532</v>
      </c>
      <c r="L729" s="41">
        <f t="shared" si="410"/>
        <v>0.160205169152</v>
      </c>
      <c r="M729" s="18" t="s">
        <v>23</v>
      </c>
      <c r="N729" s="41">
        <v>87.5471698113207</v>
      </c>
      <c r="O729" s="41" t="s">
        <v>22</v>
      </c>
      <c r="P729" s="41">
        <v>5.0688524590163899</v>
      </c>
      <c r="R729" s="41">
        <f t="shared" ref="R729:R757" si="412">N729*B729</f>
        <v>2.1147373788883201</v>
      </c>
      <c r="S729" s="41" t="s">
        <v>22</v>
      </c>
      <c r="T729" s="41">
        <v>3</v>
      </c>
      <c r="U729" s="41">
        <v>3</v>
      </c>
      <c r="V729" s="18">
        <v>20200510</v>
      </c>
      <c r="W729" s="21"/>
      <c r="X729" s="18">
        <v>2016</v>
      </c>
      <c r="Y729" s="18" t="s">
        <v>143</v>
      </c>
      <c r="Z729" s="18" t="s">
        <v>32</v>
      </c>
      <c r="AA729" s="18"/>
      <c r="AC729" s="18" t="s">
        <v>514</v>
      </c>
      <c r="AD729" s="41" t="s">
        <v>22</v>
      </c>
      <c r="AE729" s="41" t="s">
        <v>22</v>
      </c>
      <c r="AF729" s="41" t="s">
        <v>22</v>
      </c>
      <c r="AG729" s="41" t="s">
        <v>22</v>
      </c>
      <c r="AH729" s="41" t="s">
        <v>22</v>
      </c>
      <c r="AI729" s="41" t="s">
        <v>22</v>
      </c>
      <c r="AJ729" s="41" t="s">
        <v>22</v>
      </c>
      <c r="AK729" s="41" t="s">
        <v>22</v>
      </c>
      <c r="AL729" s="41" t="s">
        <v>22</v>
      </c>
      <c r="AM729" s="43" t="e">
        <f t="shared" si="384"/>
        <v>#VALUE!</v>
      </c>
      <c r="AN729" s="43" t="e">
        <f t="shared" si="385"/>
        <v>#VALUE!</v>
      </c>
      <c r="AO729" s="19" t="s">
        <v>259</v>
      </c>
      <c r="AP729" s="18"/>
      <c r="AQ729" s="18"/>
      <c r="AR729" s="18"/>
      <c r="AS729" s="18"/>
      <c r="AT729" s="2">
        <f t="shared" si="386"/>
        <v>29</v>
      </c>
      <c r="AU729" s="45">
        <f t="shared" si="387"/>
        <v>-1.6169856692578581</v>
      </c>
      <c r="AV729" s="45" t="e">
        <f t="shared" si="388"/>
        <v>#VALUE!</v>
      </c>
      <c r="AW729" s="45" t="e">
        <f t="shared" si="389"/>
        <v>#VALUE!</v>
      </c>
      <c r="AX729" s="45">
        <f t="shared" si="390"/>
        <v>1.9422421109540915</v>
      </c>
      <c r="AY729" s="45" t="e">
        <f t="shared" si="391"/>
        <v>#VALUE!</v>
      </c>
      <c r="AZ729" s="45">
        <f t="shared" si="392"/>
        <v>0.70490965023551999</v>
      </c>
      <c r="BA729" s="45">
        <f t="shared" si="393"/>
        <v>0.3010299956639812</v>
      </c>
      <c r="BB729" s="45">
        <f t="shared" si="394"/>
        <v>-0.79532347515582602</v>
      </c>
      <c r="BC729" s="45">
        <f t="shared" si="395"/>
        <v>0.47712125471966244</v>
      </c>
      <c r="BD729" s="45" t="e">
        <f t="shared" si="396"/>
        <v>#VALUE!</v>
      </c>
      <c r="BE729" s="45" t="e">
        <f t="shared" si="397"/>
        <v>#VALUE!</v>
      </c>
      <c r="BF729" s="45" t="e">
        <f t="shared" si="398"/>
        <v>#VALUE!</v>
      </c>
      <c r="BG729" s="45" t="e">
        <f t="shared" si="399"/>
        <v>#VALUE!</v>
      </c>
      <c r="BH729" s="45" t="e">
        <f t="shared" si="400"/>
        <v>#NUM!</v>
      </c>
      <c r="BI729" s="43" t="e">
        <f t="shared" si="401"/>
        <v>#VALUE!</v>
      </c>
      <c r="BJ729" s="18"/>
      <c r="BK729" s="18"/>
      <c r="BL729" s="20"/>
      <c r="BS729" s="18"/>
      <c r="BT729" s="18"/>
      <c r="CA729" s="41" t="s">
        <v>22</v>
      </c>
      <c r="CB729" s="18"/>
      <c r="CC729" s="18" t="s">
        <v>22</v>
      </c>
      <c r="CD729" s="18"/>
      <c r="CE729" s="41" t="s">
        <v>22</v>
      </c>
      <c r="CF729" s="41" t="s">
        <v>22</v>
      </c>
      <c r="CG729" s="41" t="e">
        <f t="shared" ref="CG729:CG765" si="413">AD729*1000</f>
        <v>#VALUE!</v>
      </c>
      <c r="CH729" s="41" t="e">
        <f t="shared" si="407"/>
        <v>#VALUE!</v>
      </c>
      <c r="CI729" s="41">
        <f t="shared" si="411"/>
        <v>3</v>
      </c>
      <c r="CJ729" s="41">
        <f t="shared" si="409"/>
        <v>0.47712125471966244</v>
      </c>
      <c r="CK729" s="18"/>
      <c r="CL729" s="9" t="s">
        <v>1269</v>
      </c>
      <c r="CM729" s="18" t="s">
        <v>1285</v>
      </c>
      <c r="CN729" s="54" t="s">
        <v>1284</v>
      </c>
      <c r="CO729" s="18" t="s">
        <v>1284</v>
      </c>
    </row>
    <row r="730" spans="1:93" x14ac:dyDescent="0.25">
      <c r="A730" s="18" t="s">
        <v>266</v>
      </c>
      <c r="B730" s="41">
        <v>2.5962837837837798E-2</v>
      </c>
      <c r="C730" s="41" t="s">
        <v>22</v>
      </c>
      <c r="D730" s="41" t="s">
        <v>22</v>
      </c>
      <c r="E730" s="41" t="s">
        <v>22</v>
      </c>
      <c r="F730" s="18" t="s">
        <v>22</v>
      </c>
      <c r="G730" s="18" t="s">
        <v>22</v>
      </c>
      <c r="H730" s="18" t="s">
        <v>22</v>
      </c>
      <c r="I730" s="18" t="s">
        <v>22</v>
      </c>
      <c r="J730" s="41">
        <v>2.1994459833794999</v>
      </c>
      <c r="K730" s="18">
        <v>532</v>
      </c>
      <c r="L730" s="41">
        <f t="shared" si="410"/>
        <v>0.17618130790399988</v>
      </c>
      <c r="M730" s="18" t="s">
        <v>23</v>
      </c>
      <c r="N730" s="41">
        <v>79.849056603773505</v>
      </c>
      <c r="O730" s="41" t="s">
        <v>22</v>
      </c>
      <c r="P730" s="41">
        <v>4.6229508196721296</v>
      </c>
      <c r="R730" s="41">
        <f t="shared" si="412"/>
        <v>2.0731081081081029</v>
      </c>
      <c r="S730" s="41" t="s">
        <v>22</v>
      </c>
      <c r="T730" s="41">
        <v>3</v>
      </c>
      <c r="U730" s="41">
        <v>3</v>
      </c>
      <c r="V730" s="18">
        <v>20200510</v>
      </c>
      <c r="W730" s="21"/>
      <c r="X730" s="18">
        <v>2016</v>
      </c>
      <c r="Y730" s="18" t="s">
        <v>143</v>
      </c>
      <c r="Z730" s="18" t="s">
        <v>32</v>
      </c>
      <c r="AA730" s="18"/>
      <c r="AC730" s="18" t="s">
        <v>514</v>
      </c>
      <c r="AD730" s="41" t="s">
        <v>22</v>
      </c>
      <c r="AE730" s="41" t="s">
        <v>22</v>
      </c>
      <c r="AF730" s="41" t="s">
        <v>22</v>
      </c>
      <c r="AG730" s="41" t="s">
        <v>22</v>
      </c>
      <c r="AH730" s="41" t="s">
        <v>22</v>
      </c>
      <c r="AI730" s="41" t="s">
        <v>22</v>
      </c>
      <c r="AJ730" s="41" t="s">
        <v>22</v>
      </c>
      <c r="AK730" s="41" t="s">
        <v>22</v>
      </c>
      <c r="AL730" s="41" t="s">
        <v>22</v>
      </c>
      <c r="AM730" s="43" t="e">
        <f t="shared" si="384"/>
        <v>#VALUE!</v>
      </c>
      <c r="AN730" s="43" t="e">
        <f t="shared" si="385"/>
        <v>#VALUE!</v>
      </c>
      <c r="AO730" s="19" t="s">
        <v>259</v>
      </c>
      <c r="AP730" s="18"/>
      <c r="AQ730" s="18"/>
      <c r="AR730" s="18"/>
      <c r="AS730" s="18"/>
      <c r="AT730" s="2">
        <f t="shared" si="386"/>
        <v>29</v>
      </c>
      <c r="AU730" s="45">
        <f t="shared" si="387"/>
        <v>-1.5856478392231752</v>
      </c>
      <c r="AV730" s="45" t="e">
        <f t="shared" si="388"/>
        <v>#VALUE!</v>
      </c>
      <c r="AW730" s="45" t="e">
        <f t="shared" si="389"/>
        <v>#VALUE!</v>
      </c>
      <c r="AX730" s="45">
        <f t="shared" si="390"/>
        <v>1.9022697894263398</v>
      </c>
      <c r="AY730" s="45" t="e">
        <f t="shared" si="391"/>
        <v>#VALUE!</v>
      </c>
      <c r="AZ730" s="45">
        <f t="shared" si="392"/>
        <v>0.66491927330859391</v>
      </c>
      <c r="BA730" s="45">
        <f t="shared" si="393"/>
        <v>0.34231330052143805</v>
      </c>
      <c r="BB730" s="45">
        <f t="shared" si="394"/>
        <v>-0.75404017029836923</v>
      </c>
      <c r="BC730" s="45">
        <f t="shared" si="395"/>
        <v>0.47712125471966244</v>
      </c>
      <c r="BD730" s="45" t="e">
        <f t="shared" si="396"/>
        <v>#VALUE!</v>
      </c>
      <c r="BE730" s="45" t="e">
        <f t="shared" si="397"/>
        <v>#VALUE!</v>
      </c>
      <c r="BF730" s="45" t="e">
        <f t="shared" si="398"/>
        <v>#VALUE!</v>
      </c>
      <c r="BG730" s="45" t="e">
        <f t="shared" si="399"/>
        <v>#VALUE!</v>
      </c>
      <c r="BH730" s="45" t="e">
        <f t="shared" si="400"/>
        <v>#NUM!</v>
      </c>
      <c r="BI730" s="43" t="e">
        <f t="shared" si="401"/>
        <v>#VALUE!</v>
      </c>
      <c r="BJ730" s="18"/>
      <c r="BK730" s="18"/>
      <c r="BL730" s="20"/>
      <c r="BS730" s="18"/>
      <c r="BT730" s="18"/>
      <c r="CA730" s="41" t="s">
        <v>22</v>
      </c>
      <c r="CB730" s="18"/>
      <c r="CC730" s="18" t="s">
        <v>22</v>
      </c>
      <c r="CD730" s="18"/>
      <c r="CE730" s="41" t="s">
        <v>22</v>
      </c>
      <c r="CF730" s="41" t="s">
        <v>22</v>
      </c>
      <c r="CG730" s="41" t="e">
        <f t="shared" si="413"/>
        <v>#VALUE!</v>
      </c>
      <c r="CH730" s="41" t="e">
        <f t="shared" si="407"/>
        <v>#VALUE!</v>
      </c>
      <c r="CI730" s="41">
        <f t="shared" si="411"/>
        <v>3</v>
      </c>
      <c r="CJ730" s="41">
        <f t="shared" si="409"/>
        <v>0.47712125471966244</v>
      </c>
      <c r="CK730" s="18"/>
      <c r="CL730" s="9" t="s">
        <v>1269</v>
      </c>
      <c r="CM730" s="18" t="s">
        <v>1285</v>
      </c>
      <c r="CN730" s="54" t="s">
        <v>1284</v>
      </c>
      <c r="CO730" s="18" t="s">
        <v>1284</v>
      </c>
    </row>
    <row r="731" spans="1:93" x14ac:dyDescent="0.25">
      <c r="A731" s="18" t="s">
        <v>266</v>
      </c>
      <c r="B731" s="41">
        <v>3.6298180282555201E-2</v>
      </c>
      <c r="C731" s="41" t="s">
        <v>22</v>
      </c>
      <c r="D731" s="41" t="s">
        <v>22</v>
      </c>
      <c r="E731" s="41" t="s">
        <v>22</v>
      </c>
      <c r="F731" s="18" t="s">
        <v>22</v>
      </c>
      <c r="G731" s="18" t="s">
        <v>22</v>
      </c>
      <c r="H731" s="18" t="s">
        <v>22</v>
      </c>
      <c r="I731" s="18" t="s">
        <v>22</v>
      </c>
      <c r="J731" s="41">
        <v>2.2260387811634299</v>
      </c>
      <c r="K731" s="18">
        <v>532</v>
      </c>
      <c r="L731" s="41">
        <f t="shared" si="410"/>
        <v>0.1783114597375996</v>
      </c>
      <c r="M731" s="18" t="s">
        <v>23</v>
      </c>
      <c r="N731" s="41">
        <v>91.622641509433905</v>
      </c>
      <c r="O731" s="41" t="s">
        <v>22</v>
      </c>
      <c r="P731" s="41">
        <v>5.75081967213114</v>
      </c>
      <c r="R731" s="41">
        <f t="shared" si="412"/>
        <v>3.3257351594733575</v>
      </c>
      <c r="S731" s="41" t="s">
        <v>22</v>
      </c>
      <c r="T731" s="41">
        <v>3</v>
      </c>
      <c r="U731" s="41">
        <v>3</v>
      </c>
      <c r="V731" s="18">
        <v>20200510</v>
      </c>
      <c r="W731" s="21"/>
      <c r="X731" s="18">
        <v>2016</v>
      </c>
      <c r="Y731" s="18" t="s">
        <v>143</v>
      </c>
      <c r="Z731" s="18" t="s">
        <v>32</v>
      </c>
      <c r="AA731" s="18"/>
      <c r="AC731" s="18" t="s">
        <v>514</v>
      </c>
      <c r="AD731" s="41" t="s">
        <v>22</v>
      </c>
      <c r="AE731" s="41" t="s">
        <v>22</v>
      </c>
      <c r="AF731" s="41" t="s">
        <v>22</v>
      </c>
      <c r="AG731" s="41" t="s">
        <v>22</v>
      </c>
      <c r="AH731" s="41" t="s">
        <v>22</v>
      </c>
      <c r="AI731" s="41" t="s">
        <v>22</v>
      </c>
      <c r="AJ731" s="41" t="s">
        <v>22</v>
      </c>
      <c r="AK731" s="41" t="s">
        <v>22</v>
      </c>
      <c r="AL731" s="41" t="s">
        <v>22</v>
      </c>
      <c r="AM731" s="43" t="e">
        <f t="shared" si="384"/>
        <v>#VALUE!</v>
      </c>
      <c r="AN731" s="43" t="e">
        <f t="shared" si="385"/>
        <v>#VALUE!</v>
      </c>
      <c r="AO731" s="19" t="s">
        <v>259</v>
      </c>
      <c r="AP731" s="18"/>
      <c r="AQ731" s="18"/>
      <c r="AR731" s="18"/>
      <c r="AS731" s="18"/>
      <c r="AT731" s="2">
        <f t="shared" si="386"/>
        <v>29</v>
      </c>
      <c r="AU731" s="45">
        <f t="shared" si="387"/>
        <v>-1.4401151466733708</v>
      </c>
      <c r="AV731" s="45" t="e">
        <f t="shared" si="388"/>
        <v>#VALUE!</v>
      </c>
      <c r="AW731" s="45" t="e">
        <f t="shared" si="389"/>
        <v>#VALUE!</v>
      </c>
      <c r="AX731" s="45">
        <f t="shared" si="390"/>
        <v>1.9620028084664118</v>
      </c>
      <c r="AY731" s="45" t="e">
        <f t="shared" si="391"/>
        <v>#VALUE!</v>
      </c>
      <c r="AZ731" s="45">
        <f t="shared" si="392"/>
        <v>0.75972974968323526</v>
      </c>
      <c r="BA731" s="45">
        <f t="shared" si="393"/>
        <v>0.34753272617055264</v>
      </c>
      <c r="BB731" s="45">
        <f t="shared" si="394"/>
        <v>-0.74882074464925463</v>
      </c>
      <c r="BC731" s="45">
        <f t="shared" si="395"/>
        <v>0.47712125471966244</v>
      </c>
      <c r="BD731" s="45" t="e">
        <f t="shared" si="396"/>
        <v>#VALUE!</v>
      </c>
      <c r="BE731" s="45" t="e">
        <f t="shared" si="397"/>
        <v>#VALUE!</v>
      </c>
      <c r="BF731" s="45" t="e">
        <f t="shared" si="398"/>
        <v>#VALUE!</v>
      </c>
      <c r="BG731" s="45" t="e">
        <f t="shared" si="399"/>
        <v>#VALUE!</v>
      </c>
      <c r="BH731" s="45" t="e">
        <f t="shared" si="400"/>
        <v>#NUM!</v>
      </c>
      <c r="BI731" s="43" t="e">
        <f t="shared" si="401"/>
        <v>#VALUE!</v>
      </c>
      <c r="BJ731" s="18"/>
      <c r="BK731" s="18"/>
      <c r="BL731" s="20"/>
      <c r="BS731" s="18"/>
      <c r="BT731" s="18"/>
      <c r="CA731" s="41" t="s">
        <v>22</v>
      </c>
      <c r="CB731" s="18"/>
      <c r="CC731" s="18" t="s">
        <v>22</v>
      </c>
      <c r="CD731" s="18"/>
      <c r="CE731" s="41" t="s">
        <v>22</v>
      </c>
      <c r="CF731" s="41" t="s">
        <v>22</v>
      </c>
      <c r="CG731" s="41" t="e">
        <f t="shared" si="413"/>
        <v>#VALUE!</v>
      </c>
      <c r="CH731" s="41" t="e">
        <f t="shared" si="407"/>
        <v>#VALUE!</v>
      </c>
      <c r="CI731" s="41">
        <f t="shared" si="411"/>
        <v>3</v>
      </c>
      <c r="CJ731" s="41">
        <f t="shared" si="409"/>
        <v>0.47712125471966244</v>
      </c>
      <c r="CK731" s="18"/>
      <c r="CL731" s="9" t="s">
        <v>1269</v>
      </c>
      <c r="CM731" s="18" t="s">
        <v>1285</v>
      </c>
      <c r="CN731" s="54" t="s">
        <v>1284</v>
      </c>
      <c r="CO731" s="18" t="s">
        <v>1284</v>
      </c>
    </row>
    <row r="732" spans="1:93" x14ac:dyDescent="0.25">
      <c r="A732" s="18" t="s">
        <v>266</v>
      </c>
      <c r="B732" s="41">
        <v>2.5954391891891797E-2</v>
      </c>
      <c r="C732" s="41" t="s">
        <v>22</v>
      </c>
      <c r="D732" s="41" t="s">
        <v>22</v>
      </c>
      <c r="E732" s="41" t="s">
        <v>22</v>
      </c>
      <c r="F732" s="18" t="s">
        <v>22</v>
      </c>
      <c r="G732" s="18" t="s">
        <v>22</v>
      </c>
      <c r="H732" s="18" t="s">
        <v>22</v>
      </c>
      <c r="I732" s="18" t="s">
        <v>22</v>
      </c>
      <c r="J732" s="41">
        <v>2.29695290858725</v>
      </c>
      <c r="K732" s="18">
        <v>532</v>
      </c>
      <c r="L732" s="41">
        <f t="shared" si="410"/>
        <v>0.18399186462719938</v>
      </c>
      <c r="M732" s="18" t="s">
        <v>23</v>
      </c>
      <c r="N732" s="41">
        <v>74.415094339622598</v>
      </c>
      <c r="O732" s="41" t="s">
        <v>22</v>
      </c>
      <c r="P732" s="41">
        <v>6.2229508196721302</v>
      </c>
      <c r="R732" s="41">
        <f t="shared" si="412"/>
        <v>1.9313985211626639</v>
      </c>
      <c r="S732" s="41" t="s">
        <v>22</v>
      </c>
      <c r="T732" s="41">
        <v>3</v>
      </c>
      <c r="U732" s="41">
        <v>3</v>
      </c>
      <c r="V732" s="18">
        <v>20200510</v>
      </c>
      <c r="W732" s="21"/>
      <c r="X732" s="18">
        <v>2016</v>
      </c>
      <c r="Y732" s="18" t="s">
        <v>143</v>
      </c>
      <c r="Z732" s="18" t="s">
        <v>32</v>
      </c>
      <c r="AA732" s="18"/>
      <c r="AC732" s="18" t="s">
        <v>514</v>
      </c>
      <c r="AD732" s="41" t="s">
        <v>22</v>
      </c>
      <c r="AE732" s="41" t="s">
        <v>22</v>
      </c>
      <c r="AF732" s="41" t="s">
        <v>22</v>
      </c>
      <c r="AG732" s="41" t="s">
        <v>22</v>
      </c>
      <c r="AH732" s="41" t="s">
        <v>22</v>
      </c>
      <c r="AI732" s="41" t="s">
        <v>22</v>
      </c>
      <c r="AJ732" s="41" t="s">
        <v>22</v>
      </c>
      <c r="AK732" s="41" t="s">
        <v>22</v>
      </c>
      <c r="AL732" s="41" t="s">
        <v>22</v>
      </c>
      <c r="AM732" s="43" t="e">
        <f t="shared" si="384"/>
        <v>#VALUE!</v>
      </c>
      <c r="AN732" s="43" t="e">
        <f t="shared" si="385"/>
        <v>#VALUE!</v>
      </c>
      <c r="AO732" s="19" t="s">
        <v>259</v>
      </c>
      <c r="AP732" s="18"/>
      <c r="AQ732" s="18"/>
      <c r="AR732" s="18"/>
      <c r="AS732" s="18"/>
      <c r="AT732" s="2">
        <f t="shared" si="386"/>
        <v>29</v>
      </c>
      <c r="AU732" s="45">
        <f t="shared" si="387"/>
        <v>-1.5857891421305244</v>
      </c>
      <c r="AV732" s="45" t="e">
        <f t="shared" si="388"/>
        <v>#VALUE!</v>
      </c>
      <c r="AW732" s="45" t="e">
        <f t="shared" si="389"/>
        <v>#VALUE!</v>
      </c>
      <c r="AX732" s="45">
        <f t="shared" si="390"/>
        <v>1.8716610366683843</v>
      </c>
      <c r="AY732" s="45" t="e">
        <f t="shared" si="391"/>
        <v>#VALUE!</v>
      </c>
      <c r="AZ732" s="45">
        <f t="shared" si="392"/>
        <v>0.79399636874448798</v>
      </c>
      <c r="BA732" s="45">
        <f t="shared" si="393"/>
        <v>0.36115209151616384</v>
      </c>
      <c r="BB732" s="45">
        <f t="shared" si="394"/>
        <v>-0.73520137930364338</v>
      </c>
      <c r="BC732" s="45">
        <f t="shared" si="395"/>
        <v>0.47712125471966244</v>
      </c>
      <c r="BD732" s="45" t="e">
        <f t="shared" si="396"/>
        <v>#VALUE!</v>
      </c>
      <c r="BE732" s="45" t="e">
        <f t="shared" si="397"/>
        <v>#VALUE!</v>
      </c>
      <c r="BF732" s="45" t="e">
        <f t="shared" si="398"/>
        <v>#VALUE!</v>
      </c>
      <c r="BG732" s="45" t="e">
        <f t="shared" si="399"/>
        <v>#VALUE!</v>
      </c>
      <c r="BH732" s="45" t="e">
        <f t="shared" si="400"/>
        <v>#NUM!</v>
      </c>
      <c r="BI732" s="43" t="e">
        <f t="shared" si="401"/>
        <v>#VALUE!</v>
      </c>
      <c r="BJ732" s="18"/>
      <c r="BK732" s="18"/>
      <c r="BL732" s="20"/>
      <c r="BS732" s="18"/>
      <c r="BT732" s="18"/>
      <c r="CA732" s="41" t="s">
        <v>22</v>
      </c>
      <c r="CB732" s="18"/>
      <c r="CC732" s="18" t="s">
        <v>22</v>
      </c>
      <c r="CD732" s="18"/>
      <c r="CE732" s="41" t="s">
        <v>22</v>
      </c>
      <c r="CF732" s="41" t="s">
        <v>22</v>
      </c>
      <c r="CG732" s="41" t="e">
        <f t="shared" si="413"/>
        <v>#VALUE!</v>
      </c>
      <c r="CH732" s="41" t="e">
        <f t="shared" si="407"/>
        <v>#VALUE!</v>
      </c>
      <c r="CI732" s="41">
        <f t="shared" si="411"/>
        <v>3</v>
      </c>
      <c r="CJ732" s="41">
        <f t="shared" si="409"/>
        <v>0.47712125471966244</v>
      </c>
      <c r="CK732" s="18"/>
      <c r="CL732" s="9" t="s">
        <v>1269</v>
      </c>
      <c r="CM732" s="18" t="s">
        <v>1285</v>
      </c>
      <c r="CN732" s="54" t="s">
        <v>1284</v>
      </c>
      <c r="CO732" s="18" t="s">
        <v>1284</v>
      </c>
    </row>
    <row r="733" spans="1:93" x14ac:dyDescent="0.25">
      <c r="A733" s="18" t="s">
        <v>266</v>
      </c>
      <c r="B733" s="41">
        <v>2.3040540540540499E-2</v>
      </c>
      <c r="C733" s="41" t="s">
        <v>22</v>
      </c>
      <c r="D733" s="41" t="s">
        <v>22</v>
      </c>
      <c r="E733" s="41" t="s">
        <v>22</v>
      </c>
      <c r="F733" s="18" t="s">
        <v>22</v>
      </c>
      <c r="G733" s="18" t="s">
        <v>22</v>
      </c>
      <c r="H733" s="18" t="s">
        <v>22</v>
      </c>
      <c r="I733" s="18" t="s">
        <v>22</v>
      </c>
      <c r="J733" s="41">
        <v>2.3988919667589998</v>
      </c>
      <c r="K733" s="18">
        <v>532</v>
      </c>
      <c r="L733" s="41">
        <f t="shared" si="410"/>
        <v>0.19215744665599976</v>
      </c>
      <c r="M733" s="18" t="s">
        <v>23</v>
      </c>
      <c r="N733" s="41">
        <v>82.113207547169793</v>
      </c>
      <c r="O733" s="41" t="s">
        <v>22</v>
      </c>
      <c r="P733" s="41">
        <v>5.6983606557376998</v>
      </c>
      <c r="R733" s="41">
        <f t="shared" si="412"/>
        <v>1.8919326874043818</v>
      </c>
      <c r="S733" s="41" t="s">
        <v>22</v>
      </c>
      <c r="T733" s="41">
        <v>3</v>
      </c>
      <c r="U733" s="41">
        <v>3</v>
      </c>
      <c r="V733" s="18">
        <v>20200510</v>
      </c>
      <c r="W733" s="21"/>
      <c r="X733" s="18">
        <v>2016</v>
      </c>
      <c r="Y733" s="18" t="s">
        <v>143</v>
      </c>
      <c r="Z733" s="18" t="s">
        <v>32</v>
      </c>
      <c r="AA733" s="18"/>
      <c r="AC733" s="18" t="s">
        <v>514</v>
      </c>
      <c r="AD733" s="41" t="s">
        <v>22</v>
      </c>
      <c r="AE733" s="41" t="s">
        <v>22</v>
      </c>
      <c r="AF733" s="41" t="s">
        <v>22</v>
      </c>
      <c r="AG733" s="41" t="s">
        <v>22</v>
      </c>
      <c r="AH733" s="41" t="s">
        <v>22</v>
      </c>
      <c r="AI733" s="41" t="s">
        <v>22</v>
      </c>
      <c r="AJ733" s="41" t="s">
        <v>22</v>
      </c>
      <c r="AK733" s="41" t="s">
        <v>22</v>
      </c>
      <c r="AL733" s="41" t="s">
        <v>22</v>
      </c>
      <c r="AM733" s="43" t="e">
        <f t="shared" si="384"/>
        <v>#VALUE!</v>
      </c>
      <c r="AN733" s="43" t="e">
        <f t="shared" si="385"/>
        <v>#VALUE!</v>
      </c>
      <c r="AO733" s="19" t="s">
        <v>259</v>
      </c>
      <c r="AP733" s="18"/>
      <c r="AQ733" s="18"/>
      <c r="AR733" s="18"/>
      <c r="AS733" s="18"/>
      <c r="AT733" s="2">
        <f t="shared" si="386"/>
        <v>29</v>
      </c>
      <c r="AU733" s="45">
        <f t="shared" si="387"/>
        <v>-1.6375073364024604</v>
      </c>
      <c r="AV733" s="45" t="e">
        <f t="shared" si="388"/>
        <v>#VALUE!</v>
      </c>
      <c r="AW733" s="45" t="e">
        <f t="shared" si="389"/>
        <v>#VALUE!</v>
      </c>
      <c r="AX733" s="45">
        <f t="shared" si="390"/>
        <v>1.9144130170893343</v>
      </c>
      <c r="AY733" s="45" t="e">
        <f t="shared" si="391"/>
        <v>#VALUE!</v>
      </c>
      <c r="AZ733" s="45">
        <f t="shared" si="392"/>
        <v>0.75574993276586144</v>
      </c>
      <c r="BA733" s="45">
        <f t="shared" si="393"/>
        <v>0.3800106901116882</v>
      </c>
      <c r="BB733" s="45">
        <f t="shared" si="394"/>
        <v>-0.71634278070811908</v>
      </c>
      <c r="BC733" s="45">
        <f t="shared" si="395"/>
        <v>0.47712125471966244</v>
      </c>
      <c r="BD733" s="45" t="e">
        <f t="shared" si="396"/>
        <v>#VALUE!</v>
      </c>
      <c r="BE733" s="45" t="e">
        <f t="shared" si="397"/>
        <v>#VALUE!</v>
      </c>
      <c r="BF733" s="45" t="e">
        <f t="shared" si="398"/>
        <v>#VALUE!</v>
      </c>
      <c r="BG733" s="45" t="e">
        <f t="shared" si="399"/>
        <v>#VALUE!</v>
      </c>
      <c r="BH733" s="45" t="e">
        <f t="shared" si="400"/>
        <v>#NUM!</v>
      </c>
      <c r="BI733" s="43" t="e">
        <f t="shared" si="401"/>
        <v>#VALUE!</v>
      </c>
      <c r="BJ733" s="18"/>
      <c r="BK733" s="18"/>
      <c r="BL733" s="20"/>
      <c r="BS733" s="18"/>
      <c r="BT733" s="18"/>
      <c r="CA733" s="41" t="s">
        <v>22</v>
      </c>
      <c r="CB733" s="18"/>
      <c r="CC733" s="18" t="s">
        <v>22</v>
      </c>
      <c r="CD733" s="18"/>
      <c r="CE733" s="41" t="s">
        <v>22</v>
      </c>
      <c r="CF733" s="41" t="s">
        <v>22</v>
      </c>
      <c r="CG733" s="41" t="e">
        <f t="shared" si="413"/>
        <v>#VALUE!</v>
      </c>
      <c r="CH733" s="41" t="e">
        <f t="shared" si="407"/>
        <v>#VALUE!</v>
      </c>
      <c r="CI733" s="41">
        <f t="shared" si="411"/>
        <v>3</v>
      </c>
      <c r="CJ733" s="41">
        <f t="shared" si="409"/>
        <v>0.47712125471966244</v>
      </c>
      <c r="CK733" s="18"/>
      <c r="CL733" s="9" t="s">
        <v>1269</v>
      </c>
      <c r="CM733" s="18" t="s">
        <v>1285</v>
      </c>
      <c r="CN733" s="54" t="s">
        <v>1284</v>
      </c>
      <c r="CO733" s="18" t="s">
        <v>1284</v>
      </c>
    </row>
    <row r="734" spans="1:93" x14ac:dyDescent="0.25">
      <c r="A734" s="18" t="s">
        <v>266</v>
      </c>
      <c r="B734" s="41">
        <v>1.9594594594594599E-2</v>
      </c>
      <c r="C734" s="41" t="s">
        <v>22</v>
      </c>
      <c r="D734" s="41" t="s">
        <v>22</v>
      </c>
      <c r="E734" s="41" t="s">
        <v>22</v>
      </c>
      <c r="F734" s="18" t="s">
        <v>22</v>
      </c>
      <c r="G734" s="18" t="s">
        <v>22</v>
      </c>
      <c r="H734" s="18" t="s">
        <v>22</v>
      </c>
      <c r="I734" s="18" t="s">
        <v>22</v>
      </c>
      <c r="J734" s="41">
        <v>2.3966759002770002</v>
      </c>
      <c r="K734" s="18">
        <v>532</v>
      </c>
      <c r="L734" s="41">
        <f t="shared" si="410"/>
        <v>0.19197993400319932</v>
      </c>
      <c r="M734" s="18" t="s">
        <v>23</v>
      </c>
      <c r="N734" s="41">
        <v>77.584905660377302</v>
      </c>
      <c r="O734" s="41" t="s">
        <v>22</v>
      </c>
      <c r="P734" s="41">
        <v>4.3081967213114698</v>
      </c>
      <c r="R734" s="41">
        <f t="shared" si="412"/>
        <v>1.5202447730749611</v>
      </c>
      <c r="S734" s="41" t="s">
        <v>22</v>
      </c>
      <c r="T734" s="41">
        <v>3</v>
      </c>
      <c r="U734" s="41">
        <v>3</v>
      </c>
      <c r="V734" s="18">
        <v>20200510</v>
      </c>
      <c r="W734" s="21"/>
      <c r="X734" s="18">
        <v>2016</v>
      </c>
      <c r="Y734" s="18" t="s">
        <v>143</v>
      </c>
      <c r="Z734" s="18" t="s">
        <v>32</v>
      </c>
      <c r="AA734" s="18"/>
      <c r="AC734" s="18" t="s">
        <v>514</v>
      </c>
      <c r="AD734" s="41" t="s">
        <v>22</v>
      </c>
      <c r="AE734" s="41" t="s">
        <v>22</v>
      </c>
      <c r="AF734" s="41" t="s">
        <v>22</v>
      </c>
      <c r="AG734" s="41" t="s">
        <v>22</v>
      </c>
      <c r="AH734" s="41" t="s">
        <v>22</v>
      </c>
      <c r="AI734" s="41" t="s">
        <v>22</v>
      </c>
      <c r="AJ734" s="41" t="s">
        <v>22</v>
      </c>
      <c r="AK734" s="41" t="s">
        <v>22</v>
      </c>
      <c r="AL734" s="41" t="s">
        <v>22</v>
      </c>
      <c r="AM734" s="43" t="e">
        <f t="shared" si="384"/>
        <v>#VALUE!</v>
      </c>
      <c r="AN734" s="43" t="e">
        <f t="shared" si="385"/>
        <v>#VALUE!</v>
      </c>
      <c r="AO734" s="19" t="s">
        <v>259</v>
      </c>
      <c r="AP734" s="18"/>
      <c r="AQ734" s="18"/>
      <c r="AR734" s="18"/>
      <c r="AS734" s="18"/>
      <c r="AT734" s="2">
        <f t="shared" si="386"/>
        <v>29</v>
      </c>
      <c r="AU734" s="45">
        <f t="shared" si="387"/>
        <v>-1.7078637174960012</v>
      </c>
      <c r="AV734" s="45" t="e">
        <f t="shared" si="388"/>
        <v>#VALUE!</v>
      </c>
      <c r="AW734" s="45" t="e">
        <f t="shared" si="389"/>
        <v>#VALUE!</v>
      </c>
      <c r="AX734" s="45">
        <f t="shared" si="390"/>
        <v>1.88977723638643</v>
      </c>
      <c r="AY734" s="45" t="e">
        <f t="shared" si="391"/>
        <v>#VALUE!</v>
      </c>
      <c r="AZ734" s="45">
        <f t="shared" si="392"/>
        <v>0.63429552587697557</v>
      </c>
      <c r="BA734" s="45">
        <f t="shared" si="393"/>
        <v>0.37960930886139449</v>
      </c>
      <c r="BB734" s="45">
        <f t="shared" si="394"/>
        <v>-0.71674416195841284</v>
      </c>
      <c r="BC734" s="45">
        <f t="shared" si="395"/>
        <v>0.47712125471966244</v>
      </c>
      <c r="BD734" s="45" t="e">
        <f t="shared" si="396"/>
        <v>#VALUE!</v>
      </c>
      <c r="BE734" s="45" t="e">
        <f t="shared" si="397"/>
        <v>#VALUE!</v>
      </c>
      <c r="BF734" s="45" t="e">
        <f t="shared" si="398"/>
        <v>#VALUE!</v>
      </c>
      <c r="BG734" s="45" t="e">
        <f t="shared" si="399"/>
        <v>#VALUE!</v>
      </c>
      <c r="BH734" s="45" t="e">
        <f t="shared" si="400"/>
        <v>#NUM!</v>
      </c>
      <c r="BI734" s="43" t="e">
        <f t="shared" si="401"/>
        <v>#VALUE!</v>
      </c>
      <c r="BJ734" s="18"/>
      <c r="BK734" s="18"/>
      <c r="BL734" s="20"/>
      <c r="BS734" s="18"/>
      <c r="BT734" s="18"/>
      <c r="CA734" s="41" t="s">
        <v>22</v>
      </c>
      <c r="CB734" s="18"/>
      <c r="CC734" s="18" t="s">
        <v>22</v>
      </c>
      <c r="CD734" s="18"/>
      <c r="CE734" s="41" t="s">
        <v>22</v>
      </c>
      <c r="CF734" s="41" t="s">
        <v>22</v>
      </c>
      <c r="CG734" s="41" t="e">
        <f t="shared" si="413"/>
        <v>#VALUE!</v>
      </c>
      <c r="CH734" s="41" t="e">
        <f t="shared" si="407"/>
        <v>#VALUE!</v>
      </c>
      <c r="CI734" s="41">
        <f t="shared" si="411"/>
        <v>3</v>
      </c>
      <c r="CJ734" s="41">
        <f t="shared" si="409"/>
        <v>0.47712125471966244</v>
      </c>
      <c r="CK734" s="18"/>
      <c r="CL734" s="9" t="s">
        <v>1269</v>
      </c>
      <c r="CM734" s="18" t="s">
        <v>1285</v>
      </c>
      <c r="CN734" s="54" t="s">
        <v>1284</v>
      </c>
      <c r="CO734" s="18" t="s">
        <v>1284</v>
      </c>
    </row>
    <row r="735" spans="1:93" x14ac:dyDescent="0.25">
      <c r="A735" s="18" t="s">
        <v>266</v>
      </c>
      <c r="B735" s="41">
        <v>1.49990402334152E-2</v>
      </c>
      <c r="C735" s="41" t="s">
        <v>22</v>
      </c>
      <c r="D735" s="41" t="s">
        <v>22</v>
      </c>
      <c r="E735" s="41" t="s">
        <v>22</v>
      </c>
      <c r="F735" t="s">
        <v>22</v>
      </c>
      <c r="G735" t="s">
        <v>22</v>
      </c>
      <c r="H735" t="s">
        <v>22</v>
      </c>
      <c r="I735" t="s">
        <v>22</v>
      </c>
      <c r="J735" s="41">
        <v>2.4077562326869799</v>
      </c>
      <c r="K735">
        <v>532</v>
      </c>
      <c r="L735" s="41">
        <f t="shared" si="410"/>
        <v>0.19286749726719993</v>
      </c>
      <c r="M735" t="s">
        <v>23</v>
      </c>
      <c r="N735" s="41">
        <v>48.201257861635099</v>
      </c>
      <c r="O735" s="41" t="s">
        <v>22</v>
      </c>
      <c r="P735" s="41">
        <v>2.0786885245901598</v>
      </c>
      <c r="R735" s="41">
        <f t="shared" si="412"/>
        <v>0.7229726059678856</v>
      </c>
      <c r="S735" s="41" t="s">
        <v>22</v>
      </c>
      <c r="T735" s="41">
        <v>3</v>
      </c>
      <c r="U735" s="41">
        <v>3</v>
      </c>
      <c r="V735">
        <v>20200510</v>
      </c>
      <c r="W735" s="21"/>
      <c r="X735">
        <v>2016</v>
      </c>
      <c r="Y735" s="18" t="s">
        <v>143</v>
      </c>
      <c r="Z735" s="18" t="s">
        <v>32</v>
      </c>
      <c r="AA735" s="18"/>
      <c r="AC735" t="s">
        <v>514</v>
      </c>
      <c r="AD735" s="41" t="s">
        <v>22</v>
      </c>
      <c r="AE735" s="41" t="s">
        <v>22</v>
      </c>
      <c r="AF735" s="41" t="s">
        <v>22</v>
      </c>
      <c r="AG735" s="41" t="s">
        <v>22</v>
      </c>
      <c r="AH735" s="41" t="s">
        <v>22</v>
      </c>
      <c r="AI735" s="41" t="s">
        <v>22</v>
      </c>
      <c r="AJ735" s="41" t="s">
        <v>22</v>
      </c>
      <c r="AK735" s="41" t="s">
        <v>22</v>
      </c>
      <c r="AL735" s="41" t="s">
        <v>22</v>
      </c>
      <c r="AM735" s="43" t="e">
        <f t="shared" si="384"/>
        <v>#VALUE!</v>
      </c>
      <c r="AN735" s="43" t="e">
        <f t="shared" si="385"/>
        <v>#VALUE!</v>
      </c>
      <c r="AO735" s="19" t="s">
        <v>259</v>
      </c>
      <c r="AP735" s="18"/>
      <c r="AQ735" s="18"/>
      <c r="AR735" s="18"/>
      <c r="AS735" s="18"/>
      <c r="AT735" s="2">
        <f t="shared" si="386"/>
        <v>29</v>
      </c>
      <c r="AU735" s="45">
        <f t="shared" si="387"/>
        <v>-1.8239365299221388</v>
      </c>
      <c r="AV735" s="45" t="e">
        <f t="shared" si="388"/>
        <v>#VALUE!</v>
      </c>
      <c r="AW735" s="45" t="e">
        <f t="shared" si="389"/>
        <v>#VALUE!</v>
      </c>
      <c r="AX735" s="45">
        <f t="shared" si="390"/>
        <v>1.6830583717500354</v>
      </c>
      <c r="AY735" s="45" t="e">
        <f t="shared" si="391"/>
        <v>#VALUE!</v>
      </c>
      <c r="AZ735" s="45">
        <f t="shared" si="392"/>
        <v>0.31778941853494602</v>
      </c>
      <c r="BA735" s="45">
        <f t="shared" si="393"/>
        <v>0.38161251574282889</v>
      </c>
      <c r="BB735" s="45">
        <f t="shared" si="394"/>
        <v>-0.71474095507697843</v>
      </c>
      <c r="BC735" s="45">
        <f t="shared" si="395"/>
        <v>0.47712125471966244</v>
      </c>
      <c r="BD735" s="45" t="e">
        <f t="shared" si="396"/>
        <v>#VALUE!</v>
      </c>
      <c r="BE735" s="45" t="e">
        <f t="shared" si="397"/>
        <v>#VALUE!</v>
      </c>
      <c r="BF735" s="45" t="e">
        <f t="shared" si="398"/>
        <v>#VALUE!</v>
      </c>
      <c r="BG735" s="45" t="e">
        <f t="shared" si="399"/>
        <v>#VALUE!</v>
      </c>
      <c r="BH735" s="45" t="e">
        <f t="shared" si="400"/>
        <v>#NUM!</v>
      </c>
      <c r="BI735" s="43" t="e">
        <f t="shared" si="401"/>
        <v>#VALUE!</v>
      </c>
      <c r="BJ735" s="18"/>
      <c r="BK735" s="18"/>
      <c r="BL735" s="20"/>
      <c r="BS735" s="18"/>
      <c r="BT735" s="18"/>
      <c r="CA735" s="41" t="s">
        <v>22</v>
      </c>
      <c r="CB735" s="18"/>
      <c r="CC735" s="18" t="s">
        <v>22</v>
      </c>
      <c r="CD735" s="18"/>
      <c r="CE735" s="41" t="s">
        <v>22</v>
      </c>
      <c r="CF735" s="41" t="s">
        <v>22</v>
      </c>
      <c r="CG735" s="41" t="e">
        <f t="shared" si="413"/>
        <v>#VALUE!</v>
      </c>
      <c r="CH735" s="41" t="e">
        <f t="shared" si="407"/>
        <v>#VALUE!</v>
      </c>
      <c r="CI735" s="41">
        <f t="shared" si="411"/>
        <v>3</v>
      </c>
      <c r="CJ735" s="41">
        <f t="shared" si="409"/>
        <v>0.47712125471966244</v>
      </c>
      <c r="CK735" s="18"/>
      <c r="CL735" s="9" t="s">
        <v>1269</v>
      </c>
      <c r="CM735" s="18" t="s">
        <v>1285</v>
      </c>
      <c r="CN735" s="54" t="s">
        <v>1284</v>
      </c>
      <c r="CO735" s="18" t="s">
        <v>1284</v>
      </c>
    </row>
    <row r="736" spans="1:93" x14ac:dyDescent="0.25">
      <c r="A736" s="18" t="s">
        <v>266</v>
      </c>
      <c r="B736" s="41">
        <v>3.8429821867321801E-2</v>
      </c>
      <c r="C736" s="41" t="s">
        <v>22</v>
      </c>
      <c r="D736" s="41" t="s">
        <v>22</v>
      </c>
      <c r="E736" s="41" t="s">
        <v>22</v>
      </c>
      <c r="F736" t="s">
        <v>22</v>
      </c>
      <c r="G736" t="s">
        <v>22</v>
      </c>
      <c r="H736" t="s">
        <v>22</v>
      </c>
      <c r="I736" t="s">
        <v>22</v>
      </c>
      <c r="J736" s="41">
        <v>2.5894736842105202</v>
      </c>
      <c r="K736">
        <v>532</v>
      </c>
      <c r="L736" s="41">
        <f t="shared" si="410"/>
        <v>0.20742353479679948</v>
      </c>
      <c r="M736" t="s">
        <v>23</v>
      </c>
      <c r="N736" s="41">
        <v>145.99999999999901</v>
      </c>
      <c r="O736" s="41" t="s">
        <v>22</v>
      </c>
      <c r="P736" s="41">
        <v>10</v>
      </c>
      <c r="R736" s="41">
        <f t="shared" si="412"/>
        <v>5.6107539926289443</v>
      </c>
      <c r="S736" s="41" t="s">
        <v>22</v>
      </c>
      <c r="T736" s="41">
        <v>3</v>
      </c>
      <c r="U736" s="41">
        <v>3</v>
      </c>
      <c r="V736">
        <v>20200510</v>
      </c>
      <c r="W736" s="21"/>
      <c r="X736">
        <v>2016</v>
      </c>
      <c r="Y736" s="18" t="s">
        <v>143</v>
      </c>
      <c r="Z736" s="18" t="s">
        <v>32</v>
      </c>
      <c r="AC736" t="s">
        <v>514</v>
      </c>
      <c r="AD736" s="41" t="s">
        <v>22</v>
      </c>
      <c r="AE736" s="41" t="s">
        <v>22</v>
      </c>
      <c r="AF736" s="41" t="s">
        <v>22</v>
      </c>
      <c r="AG736" s="41" t="s">
        <v>22</v>
      </c>
      <c r="AH736" s="41" t="s">
        <v>22</v>
      </c>
      <c r="AI736" s="41" t="s">
        <v>22</v>
      </c>
      <c r="AJ736" s="41" t="s">
        <v>22</v>
      </c>
      <c r="AK736" s="41" t="s">
        <v>22</v>
      </c>
      <c r="AL736" s="41" t="s">
        <v>22</v>
      </c>
      <c r="AM736" s="43" t="e">
        <f t="shared" si="384"/>
        <v>#VALUE!</v>
      </c>
      <c r="AN736" s="43" t="e">
        <f t="shared" si="385"/>
        <v>#VALUE!</v>
      </c>
      <c r="AO736" s="3" t="s">
        <v>259</v>
      </c>
      <c r="AT736" s="2">
        <f t="shared" si="386"/>
        <v>29</v>
      </c>
      <c r="AU736" s="45">
        <f t="shared" si="387"/>
        <v>-1.415331628604048</v>
      </c>
      <c r="AV736" s="45" t="e">
        <f t="shared" si="388"/>
        <v>#VALUE!</v>
      </c>
      <c r="AW736" s="45" t="e">
        <f t="shared" si="389"/>
        <v>#VALUE!</v>
      </c>
      <c r="AX736" s="45">
        <f t="shared" si="390"/>
        <v>2.164352855784434</v>
      </c>
      <c r="AY736" s="45" t="e">
        <f t="shared" si="391"/>
        <v>#VALUE!</v>
      </c>
      <c r="AZ736" s="45">
        <f t="shared" si="392"/>
        <v>1</v>
      </c>
      <c r="BA736" s="45">
        <f t="shared" si="393"/>
        <v>0.41321150181453031</v>
      </c>
      <c r="BB736" s="45">
        <f t="shared" si="394"/>
        <v>-0.68314196900527702</v>
      </c>
      <c r="BC736" s="45">
        <f t="shared" si="395"/>
        <v>0.47712125471966244</v>
      </c>
      <c r="BD736" s="45" t="e">
        <f t="shared" si="396"/>
        <v>#VALUE!</v>
      </c>
      <c r="BE736" s="45" t="e">
        <f t="shared" si="397"/>
        <v>#VALUE!</v>
      </c>
      <c r="BF736" s="45" t="e">
        <f t="shared" si="398"/>
        <v>#VALUE!</v>
      </c>
      <c r="BG736" s="45" t="e">
        <f t="shared" si="399"/>
        <v>#VALUE!</v>
      </c>
      <c r="BH736" s="45" t="e">
        <f t="shared" si="400"/>
        <v>#NUM!</v>
      </c>
      <c r="BI736" s="43" t="e">
        <f t="shared" si="401"/>
        <v>#VALUE!</v>
      </c>
      <c r="CA736" s="41" t="s">
        <v>22</v>
      </c>
      <c r="CC736" t="s">
        <v>22</v>
      </c>
      <c r="CE736" s="41" t="s">
        <v>22</v>
      </c>
      <c r="CF736" s="41" t="s">
        <v>22</v>
      </c>
      <c r="CG736" s="41" t="e">
        <f t="shared" si="413"/>
        <v>#VALUE!</v>
      </c>
      <c r="CH736" s="41" t="e">
        <f t="shared" si="407"/>
        <v>#VALUE!</v>
      </c>
      <c r="CI736" s="41">
        <f t="shared" si="411"/>
        <v>3</v>
      </c>
      <c r="CJ736" s="41">
        <f t="shared" si="409"/>
        <v>0.47712125471966244</v>
      </c>
      <c r="CL736" s="9" t="s">
        <v>1269</v>
      </c>
      <c r="CM736" s="18" t="s">
        <v>1285</v>
      </c>
      <c r="CN736" s="54" t="s">
        <v>1284</v>
      </c>
      <c r="CO736" s="18" t="s">
        <v>1284</v>
      </c>
    </row>
    <row r="737" spans="1:93" x14ac:dyDescent="0.25">
      <c r="A737" s="18" t="s">
        <v>266</v>
      </c>
      <c r="B737" s="41">
        <v>3.9641047297297297E-2</v>
      </c>
      <c r="C737" s="41" t="s">
        <v>22</v>
      </c>
      <c r="D737" s="41" t="s">
        <v>22</v>
      </c>
      <c r="E737" s="41" t="s">
        <v>22</v>
      </c>
      <c r="F737" t="s">
        <v>22</v>
      </c>
      <c r="G737" t="s">
        <v>22</v>
      </c>
      <c r="H737" t="s">
        <v>22</v>
      </c>
      <c r="I737" t="s">
        <v>22</v>
      </c>
      <c r="J737" s="41">
        <v>2.6493074792243698</v>
      </c>
      <c r="K737">
        <v>532</v>
      </c>
      <c r="L737" s="41">
        <f t="shared" si="410"/>
        <v>0.21221637642239943</v>
      </c>
      <c r="M737" t="s">
        <v>23</v>
      </c>
      <c r="N737" s="41">
        <v>150.40251572327</v>
      </c>
      <c r="O737" s="41" t="s">
        <v>22</v>
      </c>
      <c r="P737" s="41">
        <v>10</v>
      </c>
      <c r="R737" s="41">
        <f t="shared" si="412"/>
        <v>5.9621132394186462</v>
      </c>
      <c r="S737" s="41" t="s">
        <v>22</v>
      </c>
      <c r="T737" s="41">
        <v>3</v>
      </c>
      <c r="U737" s="41">
        <v>3</v>
      </c>
      <c r="V737">
        <v>20200510</v>
      </c>
      <c r="W737" s="21"/>
      <c r="X737">
        <v>2016</v>
      </c>
      <c r="Y737" s="18" t="s">
        <v>143</v>
      </c>
      <c r="Z737" s="18" t="s">
        <v>32</v>
      </c>
      <c r="AC737" t="s">
        <v>514</v>
      </c>
      <c r="AD737" s="41" t="s">
        <v>22</v>
      </c>
      <c r="AE737" s="41" t="s">
        <v>22</v>
      </c>
      <c r="AF737" s="41" t="s">
        <v>22</v>
      </c>
      <c r="AG737" s="41" t="s">
        <v>22</v>
      </c>
      <c r="AH737" s="41" t="s">
        <v>22</v>
      </c>
      <c r="AI737" s="41" t="s">
        <v>22</v>
      </c>
      <c r="AJ737" s="41" t="s">
        <v>22</v>
      </c>
      <c r="AK737" s="41" t="s">
        <v>22</v>
      </c>
      <c r="AL737" s="41" t="s">
        <v>22</v>
      </c>
      <c r="AM737" s="43" t="e">
        <f t="shared" si="384"/>
        <v>#VALUE!</v>
      </c>
      <c r="AN737" s="43" t="e">
        <f t="shared" si="385"/>
        <v>#VALUE!</v>
      </c>
      <c r="AO737" s="3" t="s">
        <v>259</v>
      </c>
      <c r="AT737" s="2">
        <f t="shared" si="386"/>
        <v>29</v>
      </c>
      <c r="AU737" s="45">
        <f t="shared" si="387"/>
        <v>-1.4018548801850264</v>
      </c>
      <c r="AV737" s="45" t="e">
        <f t="shared" si="388"/>
        <v>#VALUE!</v>
      </c>
      <c r="AW737" s="45" t="e">
        <f t="shared" si="389"/>
        <v>#VALUE!</v>
      </c>
      <c r="AX737" s="45">
        <f t="shared" si="390"/>
        <v>2.1772551005880478</v>
      </c>
      <c r="AY737" s="45" t="e">
        <f t="shared" si="391"/>
        <v>#VALUE!</v>
      </c>
      <c r="AZ737" s="45">
        <f t="shared" si="392"/>
        <v>1</v>
      </c>
      <c r="BA737" s="45">
        <f t="shared" si="393"/>
        <v>0.42313236553807809</v>
      </c>
      <c r="BB737" s="45">
        <f t="shared" si="394"/>
        <v>-0.67322110528172918</v>
      </c>
      <c r="BC737" s="45">
        <f t="shared" si="395"/>
        <v>0.47712125471966244</v>
      </c>
      <c r="BD737" s="45" t="e">
        <f t="shared" si="396"/>
        <v>#VALUE!</v>
      </c>
      <c r="BE737" s="45" t="e">
        <f t="shared" si="397"/>
        <v>#VALUE!</v>
      </c>
      <c r="BF737" s="45" t="e">
        <f t="shared" si="398"/>
        <v>#VALUE!</v>
      </c>
      <c r="BG737" s="45" t="e">
        <f t="shared" si="399"/>
        <v>#VALUE!</v>
      </c>
      <c r="BH737" s="45" t="e">
        <f t="shared" si="400"/>
        <v>#NUM!</v>
      </c>
      <c r="BI737" s="43" t="e">
        <f t="shared" si="401"/>
        <v>#VALUE!</v>
      </c>
      <c r="CA737" s="41" t="s">
        <v>22</v>
      </c>
      <c r="CC737" t="s">
        <v>22</v>
      </c>
      <c r="CE737" s="41" t="s">
        <v>22</v>
      </c>
      <c r="CF737" s="41" t="s">
        <v>22</v>
      </c>
      <c r="CG737" s="41" t="e">
        <f t="shared" si="413"/>
        <v>#VALUE!</v>
      </c>
      <c r="CH737" s="41" t="e">
        <f t="shared" si="407"/>
        <v>#VALUE!</v>
      </c>
      <c r="CI737" s="41">
        <f t="shared" si="411"/>
        <v>3</v>
      </c>
      <c r="CJ737" s="41">
        <f t="shared" si="409"/>
        <v>0.47712125471966244</v>
      </c>
      <c r="CL737" s="9" t="s">
        <v>1269</v>
      </c>
      <c r="CM737" s="18" t="s">
        <v>1285</v>
      </c>
      <c r="CN737" s="54" t="s">
        <v>1284</v>
      </c>
      <c r="CO737" s="18" t="s">
        <v>1284</v>
      </c>
    </row>
    <row r="738" spans="1:93" x14ac:dyDescent="0.25">
      <c r="A738" s="18" t="s">
        <v>266</v>
      </c>
      <c r="B738" s="41">
        <v>1.1646959459459399E-2</v>
      </c>
      <c r="C738" s="41" t="s">
        <v>22</v>
      </c>
      <c r="D738" s="41" t="s">
        <v>22</v>
      </c>
      <c r="E738" s="41" t="s">
        <v>22</v>
      </c>
      <c r="F738" t="s">
        <v>22</v>
      </c>
      <c r="G738" t="s">
        <v>22</v>
      </c>
      <c r="H738" t="s">
        <v>22</v>
      </c>
      <c r="I738" t="s">
        <v>22</v>
      </c>
      <c r="J738" s="41">
        <v>2.8975069252077499</v>
      </c>
      <c r="K738">
        <v>532</v>
      </c>
      <c r="L738" s="41">
        <f t="shared" si="410"/>
        <v>0.23209779353599946</v>
      </c>
      <c r="M738" t="s">
        <v>23</v>
      </c>
      <c r="N738" s="41">
        <v>25.056603773584801</v>
      </c>
      <c r="O738" s="41" t="s">
        <v>22</v>
      </c>
      <c r="P738" s="41">
        <v>1.0032786885245899</v>
      </c>
      <c r="R738" s="41">
        <f t="shared" si="412"/>
        <v>0.2918332483426796</v>
      </c>
      <c r="S738" s="41" t="s">
        <v>22</v>
      </c>
      <c r="T738" s="41">
        <v>3</v>
      </c>
      <c r="U738" s="41">
        <v>3</v>
      </c>
      <c r="V738">
        <v>20200510</v>
      </c>
      <c r="W738" s="21"/>
      <c r="X738">
        <v>2016</v>
      </c>
      <c r="Y738" s="18" t="s">
        <v>143</v>
      </c>
      <c r="Z738" s="18" t="s">
        <v>32</v>
      </c>
      <c r="AC738" t="s">
        <v>514</v>
      </c>
      <c r="AD738" s="41" t="s">
        <v>22</v>
      </c>
      <c r="AE738" s="41" t="s">
        <v>22</v>
      </c>
      <c r="AF738" s="41" t="s">
        <v>22</v>
      </c>
      <c r="AG738" s="41" t="s">
        <v>22</v>
      </c>
      <c r="AH738" s="41" t="s">
        <v>22</v>
      </c>
      <c r="AI738" s="41" t="s">
        <v>22</v>
      </c>
      <c r="AJ738" s="41" t="s">
        <v>22</v>
      </c>
      <c r="AK738" s="41" t="s">
        <v>22</v>
      </c>
      <c r="AL738" s="41" t="s">
        <v>22</v>
      </c>
      <c r="AM738" s="43" t="e">
        <f t="shared" si="384"/>
        <v>#VALUE!</v>
      </c>
      <c r="AN738" s="43" t="e">
        <f t="shared" si="385"/>
        <v>#VALUE!</v>
      </c>
      <c r="AO738" s="3" t="s">
        <v>259</v>
      </c>
      <c r="AT738" s="2">
        <f t="shared" si="386"/>
        <v>29</v>
      </c>
      <c r="AU738" s="45">
        <f t="shared" si="387"/>
        <v>-1.9337874362110534</v>
      </c>
      <c r="AV738" s="45" t="e">
        <f t="shared" si="388"/>
        <v>#VALUE!</v>
      </c>
      <c r="AW738" s="45" t="e">
        <f t="shared" si="389"/>
        <v>#VALUE!</v>
      </c>
      <c r="AX738" s="45">
        <f t="shared" si="390"/>
        <v>1.3989222054312078</v>
      </c>
      <c r="AY738" s="45" t="e">
        <f t="shared" si="391"/>
        <v>#VALUE!</v>
      </c>
      <c r="AZ738" s="45">
        <f t="shared" si="392"/>
        <v>1.4215871347940459E-3</v>
      </c>
      <c r="BA738" s="45">
        <f t="shared" si="393"/>
        <v>0.46202448262559653</v>
      </c>
      <c r="BB738" s="45">
        <f t="shared" si="394"/>
        <v>-0.6343289881942108</v>
      </c>
      <c r="BC738" s="45">
        <f t="shared" si="395"/>
        <v>0.47712125471966244</v>
      </c>
      <c r="BD738" s="45" t="e">
        <f t="shared" si="396"/>
        <v>#VALUE!</v>
      </c>
      <c r="BE738" s="45" t="e">
        <f t="shared" si="397"/>
        <v>#VALUE!</v>
      </c>
      <c r="BF738" s="45" t="e">
        <f t="shared" si="398"/>
        <v>#VALUE!</v>
      </c>
      <c r="BG738" s="45" t="e">
        <f t="shared" si="399"/>
        <v>#VALUE!</v>
      </c>
      <c r="BH738" s="45" t="e">
        <f t="shared" si="400"/>
        <v>#NUM!</v>
      </c>
      <c r="BI738" s="43" t="e">
        <f t="shared" si="401"/>
        <v>#VALUE!</v>
      </c>
      <c r="CA738" s="41" t="s">
        <v>22</v>
      </c>
      <c r="CC738" t="s">
        <v>22</v>
      </c>
      <c r="CE738" s="41" t="s">
        <v>22</v>
      </c>
      <c r="CF738" s="41" t="s">
        <v>22</v>
      </c>
      <c r="CG738" s="41" t="e">
        <f t="shared" si="413"/>
        <v>#VALUE!</v>
      </c>
      <c r="CH738" s="41" t="e">
        <f t="shared" si="407"/>
        <v>#VALUE!</v>
      </c>
      <c r="CI738" s="41">
        <f t="shared" si="411"/>
        <v>3</v>
      </c>
      <c r="CJ738" s="41">
        <f t="shared" si="409"/>
        <v>0.47712125471966244</v>
      </c>
      <c r="CL738" s="9" t="s">
        <v>1269</v>
      </c>
      <c r="CM738" s="18" t="s">
        <v>1285</v>
      </c>
      <c r="CN738" s="54" t="s">
        <v>1284</v>
      </c>
      <c r="CO738" s="18" t="s">
        <v>1284</v>
      </c>
    </row>
    <row r="739" spans="1:93" x14ac:dyDescent="0.25">
      <c r="A739" s="18" t="s">
        <v>266</v>
      </c>
      <c r="B739" s="41">
        <v>3.8664580773955695E-2</v>
      </c>
      <c r="C739" s="41" t="s">
        <v>22</v>
      </c>
      <c r="D739" s="41" t="s">
        <v>22</v>
      </c>
      <c r="E739" s="41" t="s">
        <v>22</v>
      </c>
      <c r="F739" t="s">
        <v>22</v>
      </c>
      <c r="G739" t="s">
        <v>22</v>
      </c>
      <c r="H739" t="s">
        <v>22</v>
      </c>
      <c r="I739" t="s">
        <v>22</v>
      </c>
      <c r="J739" s="41">
        <v>3.0127423822714601</v>
      </c>
      <c r="K739">
        <v>532</v>
      </c>
      <c r="L739" s="41">
        <f t="shared" si="410"/>
        <v>0.24132845148159937</v>
      </c>
      <c r="M739" t="s">
        <v>23</v>
      </c>
      <c r="N739" s="41">
        <v>216.15094339622601</v>
      </c>
      <c r="O739" s="41" t="s">
        <v>22</v>
      </c>
      <c r="P739" s="41">
        <v>12.7803278688524</v>
      </c>
      <c r="R739" s="41">
        <f t="shared" si="412"/>
        <v>8.3573856103101054</v>
      </c>
      <c r="S739" s="41" t="s">
        <v>22</v>
      </c>
      <c r="T739" s="41">
        <v>3</v>
      </c>
      <c r="U739" s="41">
        <v>3</v>
      </c>
      <c r="V739">
        <v>20200510</v>
      </c>
      <c r="W739" s="21"/>
      <c r="X739">
        <v>2016</v>
      </c>
      <c r="Y739" s="18" t="s">
        <v>143</v>
      </c>
      <c r="Z739" s="18" t="s">
        <v>32</v>
      </c>
      <c r="AC739" t="s">
        <v>514</v>
      </c>
      <c r="AD739" s="41" t="s">
        <v>22</v>
      </c>
      <c r="AE739" s="41" t="s">
        <v>22</v>
      </c>
      <c r="AF739" s="41" t="s">
        <v>22</v>
      </c>
      <c r="AG739" s="41" t="s">
        <v>22</v>
      </c>
      <c r="AH739" s="41" t="s">
        <v>22</v>
      </c>
      <c r="AI739" s="41" t="s">
        <v>22</v>
      </c>
      <c r="AJ739" s="41" t="s">
        <v>22</v>
      </c>
      <c r="AK739" s="41" t="s">
        <v>22</v>
      </c>
      <c r="AL739" s="41" t="s">
        <v>22</v>
      </c>
      <c r="AM739" s="43" t="e">
        <f t="shared" si="384"/>
        <v>#VALUE!</v>
      </c>
      <c r="AN739" s="43" t="e">
        <f t="shared" si="385"/>
        <v>#VALUE!</v>
      </c>
      <c r="AO739" s="3" t="s">
        <v>259</v>
      </c>
      <c r="AT739" s="2">
        <f t="shared" si="386"/>
        <v>29</v>
      </c>
      <c r="AU739" s="45">
        <f t="shared" si="387"/>
        <v>-1.4126866943581617</v>
      </c>
      <c r="AV739" s="45" t="e">
        <f t="shared" si="388"/>
        <v>#VALUE!</v>
      </c>
      <c r="AW739" s="45" t="e">
        <f t="shared" si="389"/>
        <v>#VALUE!</v>
      </c>
      <c r="AX739" s="45">
        <f t="shared" si="390"/>
        <v>2.3347571353629903</v>
      </c>
      <c r="AY739" s="45" t="e">
        <f t="shared" si="391"/>
        <v>#VALUE!</v>
      </c>
      <c r="AZ739" s="45">
        <f t="shared" si="392"/>
        <v>1.1065419954348148</v>
      </c>
      <c r="BA739" s="45">
        <f t="shared" si="393"/>
        <v>0.47896199700980341</v>
      </c>
      <c r="BB739" s="45">
        <f t="shared" si="394"/>
        <v>-0.61739147381000381</v>
      </c>
      <c r="BC739" s="45">
        <f t="shared" si="395"/>
        <v>0.47712125471966244</v>
      </c>
      <c r="BD739" s="45" t="e">
        <f t="shared" si="396"/>
        <v>#VALUE!</v>
      </c>
      <c r="BE739" s="45" t="e">
        <f t="shared" si="397"/>
        <v>#VALUE!</v>
      </c>
      <c r="BF739" s="45" t="e">
        <f t="shared" si="398"/>
        <v>#VALUE!</v>
      </c>
      <c r="BG739" s="45" t="e">
        <f t="shared" si="399"/>
        <v>#VALUE!</v>
      </c>
      <c r="BH739" s="45" t="e">
        <f t="shared" si="400"/>
        <v>#NUM!</v>
      </c>
      <c r="BI739" s="43" t="e">
        <f t="shared" si="401"/>
        <v>#VALUE!</v>
      </c>
      <c r="CA739" s="41" t="s">
        <v>22</v>
      </c>
      <c r="CC739" t="s">
        <v>22</v>
      </c>
      <c r="CE739" s="41" t="s">
        <v>22</v>
      </c>
      <c r="CF739" s="41" t="s">
        <v>22</v>
      </c>
      <c r="CG739" s="41" t="e">
        <f t="shared" si="413"/>
        <v>#VALUE!</v>
      </c>
      <c r="CH739" s="41" t="e">
        <f t="shared" si="407"/>
        <v>#VALUE!</v>
      </c>
      <c r="CI739" s="41">
        <f t="shared" si="411"/>
        <v>3</v>
      </c>
      <c r="CJ739" s="41">
        <f t="shared" si="409"/>
        <v>0.47712125471966244</v>
      </c>
      <c r="CL739" s="9" t="s">
        <v>1269</v>
      </c>
      <c r="CM739" s="18" t="s">
        <v>1285</v>
      </c>
      <c r="CN739" s="54" t="s">
        <v>1284</v>
      </c>
      <c r="CO739" s="18" t="s">
        <v>1284</v>
      </c>
    </row>
    <row r="740" spans="1:93" x14ac:dyDescent="0.25">
      <c r="A740" s="18" t="s">
        <v>266</v>
      </c>
      <c r="B740" s="41">
        <v>2.7791754018168999E-2</v>
      </c>
      <c r="C740" s="41" t="s">
        <v>22</v>
      </c>
      <c r="D740" s="41" t="s">
        <v>22</v>
      </c>
      <c r="E740" s="41" t="s">
        <v>22</v>
      </c>
      <c r="F740" t="s">
        <v>22</v>
      </c>
      <c r="G740" t="s">
        <v>22</v>
      </c>
      <c r="H740" t="s">
        <v>22</v>
      </c>
      <c r="I740" t="s">
        <v>22</v>
      </c>
      <c r="J740" s="41">
        <v>11.6658524670249</v>
      </c>
      <c r="K740">
        <v>532</v>
      </c>
      <c r="L740" s="41">
        <f t="shared" si="410"/>
        <v>0.93446493389100027</v>
      </c>
      <c r="M740" t="s">
        <v>23</v>
      </c>
      <c r="N740" s="41">
        <v>63.197332909985597</v>
      </c>
      <c r="O740" s="41" t="s">
        <v>22</v>
      </c>
      <c r="P740" s="41">
        <v>6.1423220973782904</v>
      </c>
      <c r="R740" s="41">
        <f t="shared" si="412"/>
        <v>1.7563647308386561</v>
      </c>
      <c r="S740" s="41" t="s">
        <v>22</v>
      </c>
      <c r="T740" s="41">
        <v>1</v>
      </c>
      <c r="U740" s="41">
        <v>1</v>
      </c>
      <c r="V740">
        <v>20200510</v>
      </c>
      <c r="W740" s="21"/>
      <c r="X740">
        <v>2016</v>
      </c>
      <c r="Y740" s="18" t="s">
        <v>143</v>
      </c>
      <c r="Z740" s="18" t="s">
        <v>32</v>
      </c>
      <c r="AC740" t="s">
        <v>514</v>
      </c>
      <c r="AD740" s="41" t="s">
        <v>22</v>
      </c>
      <c r="AE740" s="41" t="s">
        <v>22</v>
      </c>
      <c r="AF740" s="41" t="s">
        <v>22</v>
      </c>
      <c r="AG740" s="41" t="s">
        <v>22</v>
      </c>
      <c r="AH740" s="41" t="s">
        <v>22</v>
      </c>
      <c r="AI740" s="41" t="s">
        <v>22</v>
      </c>
      <c r="AJ740" s="41" t="s">
        <v>22</v>
      </c>
      <c r="AK740" s="41" t="s">
        <v>22</v>
      </c>
      <c r="AL740" s="41" t="s">
        <v>22</v>
      </c>
      <c r="AM740" s="43" t="e">
        <f t="shared" si="384"/>
        <v>#VALUE!</v>
      </c>
      <c r="AN740" s="43" t="e">
        <f t="shared" si="385"/>
        <v>#VALUE!</v>
      </c>
      <c r="AO740" s="3" t="s">
        <v>259</v>
      </c>
      <c r="AT740" s="2">
        <f t="shared" si="386"/>
        <v>29</v>
      </c>
      <c r="AU740" s="45">
        <f t="shared" si="387"/>
        <v>-1.5560840427737979</v>
      </c>
      <c r="AV740" s="45" t="e">
        <f t="shared" si="388"/>
        <v>#VALUE!</v>
      </c>
      <c r="AW740" s="45" t="e">
        <f t="shared" si="389"/>
        <v>#VALUE!</v>
      </c>
      <c r="AX740" s="45">
        <f t="shared" si="390"/>
        <v>1.8006987503248324</v>
      </c>
      <c r="AY740" s="45" t="e">
        <f t="shared" si="391"/>
        <v>#VALUE!</v>
      </c>
      <c r="AZ740" s="45">
        <f t="shared" si="392"/>
        <v>0.78833258668312356</v>
      </c>
      <c r="BA740" s="45">
        <f t="shared" si="393"/>
        <v>1.0669164797948252</v>
      </c>
      <c r="BB740" s="45">
        <f t="shared" si="394"/>
        <v>-2.9436991024982009E-2</v>
      </c>
      <c r="BC740" s="45">
        <f t="shared" si="395"/>
        <v>0</v>
      </c>
      <c r="BD740" s="45" t="e">
        <f t="shared" si="396"/>
        <v>#VALUE!</v>
      </c>
      <c r="BE740" s="45" t="e">
        <f t="shared" si="397"/>
        <v>#VALUE!</v>
      </c>
      <c r="BF740" s="45" t="e">
        <f t="shared" si="398"/>
        <v>#VALUE!</v>
      </c>
      <c r="BG740" s="45" t="e">
        <f t="shared" si="399"/>
        <v>#VALUE!</v>
      </c>
      <c r="BH740" s="45" t="e">
        <f t="shared" si="400"/>
        <v>#NUM!</v>
      </c>
      <c r="BI740" s="43" t="e">
        <f t="shared" si="401"/>
        <v>#VALUE!</v>
      </c>
      <c r="CA740" s="41" t="s">
        <v>22</v>
      </c>
      <c r="CC740" t="s">
        <v>22</v>
      </c>
      <c r="CE740" s="41" t="s">
        <v>22</v>
      </c>
      <c r="CF740" s="41" t="s">
        <v>22</v>
      </c>
      <c r="CG740" s="41" t="e">
        <f t="shared" si="413"/>
        <v>#VALUE!</v>
      </c>
      <c r="CH740" s="41" t="e">
        <f t="shared" si="407"/>
        <v>#VALUE!</v>
      </c>
      <c r="CI740" s="41">
        <f t="shared" si="411"/>
        <v>1</v>
      </c>
      <c r="CJ740" s="41">
        <f t="shared" si="409"/>
        <v>0</v>
      </c>
      <c r="CL740" s="9" t="s">
        <v>1269</v>
      </c>
      <c r="CM740" s="18" t="s">
        <v>1285</v>
      </c>
      <c r="CN740" s="54" t="s">
        <v>1284</v>
      </c>
      <c r="CO740" s="18" t="s">
        <v>1284</v>
      </c>
    </row>
    <row r="741" spans="1:93" x14ac:dyDescent="0.25">
      <c r="A741" s="18" t="s">
        <v>266</v>
      </c>
      <c r="B741" s="41">
        <v>2.1677148846959898E-2</v>
      </c>
      <c r="C741" s="41" t="s">
        <v>22</v>
      </c>
      <c r="D741" s="41" t="s">
        <v>22</v>
      </c>
      <c r="E741" s="41" t="s">
        <v>22</v>
      </c>
      <c r="F741" s="18" t="s">
        <v>22</v>
      </c>
      <c r="G741" s="18" t="s">
        <v>22</v>
      </c>
      <c r="H741" s="18" t="s">
        <v>22</v>
      </c>
      <c r="I741" s="18" t="s">
        <v>22</v>
      </c>
      <c r="J741" s="41">
        <v>12.7828568326858</v>
      </c>
      <c r="K741" s="18">
        <v>532</v>
      </c>
      <c r="L741" s="41">
        <f t="shared" si="410"/>
        <v>1.0239398705631138</v>
      </c>
      <c r="M741" s="18" t="s">
        <v>23</v>
      </c>
      <c r="N741" s="41">
        <v>31.887601206540602</v>
      </c>
      <c r="O741" s="41" t="s">
        <v>22</v>
      </c>
      <c r="P741" s="41">
        <v>3.0524344569288502</v>
      </c>
      <c r="R741" s="41">
        <f t="shared" si="412"/>
        <v>0.69123227772667861</v>
      </c>
      <c r="S741" s="41" t="s">
        <v>22</v>
      </c>
      <c r="T741" s="41">
        <v>1</v>
      </c>
      <c r="U741" s="41">
        <v>1</v>
      </c>
      <c r="V741" s="18">
        <v>20200510</v>
      </c>
      <c r="W741" s="21"/>
      <c r="X741" s="18">
        <v>2016</v>
      </c>
      <c r="Y741" s="18" t="s">
        <v>143</v>
      </c>
      <c r="Z741" s="18" t="s">
        <v>32</v>
      </c>
      <c r="AA741" s="18"/>
      <c r="AC741" s="18" t="s">
        <v>514</v>
      </c>
      <c r="AD741" s="41" t="s">
        <v>22</v>
      </c>
      <c r="AE741" s="41" t="s">
        <v>22</v>
      </c>
      <c r="AF741" s="41" t="s">
        <v>22</v>
      </c>
      <c r="AG741" s="41" t="s">
        <v>22</v>
      </c>
      <c r="AH741" s="41" t="s">
        <v>22</v>
      </c>
      <c r="AI741" s="41" t="s">
        <v>22</v>
      </c>
      <c r="AJ741" s="41" t="s">
        <v>22</v>
      </c>
      <c r="AK741" s="41" t="s">
        <v>22</v>
      </c>
      <c r="AL741" s="41" t="s">
        <v>22</v>
      </c>
      <c r="AM741" s="43" t="e">
        <f t="shared" si="384"/>
        <v>#VALUE!</v>
      </c>
      <c r="AN741" s="43" t="e">
        <f t="shared" si="385"/>
        <v>#VALUE!</v>
      </c>
      <c r="AO741" s="19" t="s">
        <v>259</v>
      </c>
      <c r="AP741" s="18"/>
      <c r="AQ741" s="18"/>
      <c r="AR741" s="18"/>
      <c r="AS741" s="18"/>
      <c r="AT741" s="2">
        <f t="shared" si="386"/>
        <v>29</v>
      </c>
      <c r="AU741" s="45">
        <f t="shared" si="387"/>
        <v>-1.6639978402821956</v>
      </c>
      <c r="AV741" s="45" t="e">
        <f t="shared" si="388"/>
        <v>#VALUE!</v>
      </c>
      <c r="AW741" s="45" t="e">
        <f t="shared" si="389"/>
        <v>#VALUE!</v>
      </c>
      <c r="AX741" s="45">
        <f t="shared" si="390"/>
        <v>1.503621850006631</v>
      </c>
      <c r="AY741" s="45" t="e">
        <f t="shared" si="391"/>
        <v>#VALUE!</v>
      </c>
      <c r="AZ741" s="45">
        <f t="shared" si="392"/>
        <v>0.48464634737540296</v>
      </c>
      <c r="BA741" s="45">
        <f t="shared" si="393"/>
        <v>1.1066279248723387</v>
      </c>
      <c r="BB741" s="45">
        <f t="shared" si="394"/>
        <v>1.0274454052531428E-2</v>
      </c>
      <c r="BC741" s="45">
        <f t="shared" si="395"/>
        <v>0</v>
      </c>
      <c r="BD741" s="45" t="e">
        <f t="shared" si="396"/>
        <v>#VALUE!</v>
      </c>
      <c r="BE741" s="45" t="e">
        <f t="shared" si="397"/>
        <v>#VALUE!</v>
      </c>
      <c r="BF741" s="45" t="e">
        <f t="shared" si="398"/>
        <v>#VALUE!</v>
      </c>
      <c r="BG741" s="45" t="e">
        <f t="shared" si="399"/>
        <v>#VALUE!</v>
      </c>
      <c r="BH741" s="45" t="e">
        <f t="shared" si="400"/>
        <v>#NUM!</v>
      </c>
      <c r="BI741" s="43" t="e">
        <f t="shared" si="401"/>
        <v>#VALUE!</v>
      </c>
      <c r="BJ741" s="18"/>
      <c r="BK741" s="18"/>
      <c r="BL741" s="20"/>
      <c r="BS741" s="18"/>
      <c r="BT741" s="18"/>
      <c r="CA741" s="41" t="s">
        <v>22</v>
      </c>
      <c r="CB741" s="18"/>
      <c r="CC741" s="18" t="s">
        <v>22</v>
      </c>
      <c r="CD741" s="18"/>
      <c r="CE741" s="41" t="s">
        <v>22</v>
      </c>
      <c r="CF741" s="41" t="s">
        <v>22</v>
      </c>
      <c r="CG741" s="41" t="e">
        <f t="shared" si="413"/>
        <v>#VALUE!</v>
      </c>
      <c r="CH741" s="41" t="e">
        <f t="shared" si="407"/>
        <v>#VALUE!</v>
      </c>
      <c r="CI741" s="41">
        <f t="shared" si="411"/>
        <v>1</v>
      </c>
      <c r="CJ741" s="41">
        <f t="shared" si="409"/>
        <v>0</v>
      </c>
      <c r="CK741" s="18"/>
      <c r="CL741" s="9" t="s">
        <v>1269</v>
      </c>
      <c r="CM741" s="18" t="s">
        <v>1285</v>
      </c>
      <c r="CN741" s="54" t="s">
        <v>1284</v>
      </c>
      <c r="CO741" s="18" t="s">
        <v>1284</v>
      </c>
    </row>
    <row r="742" spans="1:93" x14ac:dyDescent="0.25">
      <c r="A742" s="18" t="s">
        <v>266</v>
      </c>
      <c r="B742" s="41">
        <v>2.4297693920335397E-2</v>
      </c>
      <c r="C742" s="41" t="s">
        <v>22</v>
      </c>
      <c r="D742" s="41" t="s">
        <v>22</v>
      </c>
      <c r="E742" s="41" t="s">
        <v>22</v>
      </c>
      <c r="F742" s="18" t="s">
        <v>22</v>
      </c>
      <c r="G742" s="18" t="s">
        <v>22</v>
      </c>
      <c r="H742" s="18" t="s">
        <v>22</v>
      </c>
      <c r="I742" s="18" t="s">
        <v>22</v>
      </c>
      <c r="J742" s="41">
        <v>13.861865215065</v>
      </c>
      <c r="K742" s="18">
        <v>532</v>
      </c>
      <c r="L742" s="41">
        <f t="shared" si="410"/>
        <v>1.1103712307708566</v>
      </c>
      <c r="M742" s="18" t="s">
        <v>23</v>
      </c>
      <c r="N742" s="41">
        <v>82.225750119066504</v>
      </c>
      <c r="O742" s="41" t="s">
        <v>22</v>
      </c>
      <c r="P742" s="41">
        <v>9.1385767790262307</v>
      </c>
      <c r="R742" s="41">
        <f t="shared" si="412"/>
        <v>1.9978961087630598</v>
      </c>
      <c r="S742" s="41" t="s">
        <v>22</v>
      </c>
      <c r="T742" s="41">
        <v>1</v>
      </c>
      <c r="U742" s="41">
        <v>1</v>
      </c>
      <c r="V742" s="18">
        <v>20200510</v>
      </c>
      <c r="W742" s="21"/>
      <c r="X742" s="18">
        <v>2016</v>
      </c>
      <c r="Y742" s="18" t="s">
        <v>143</v>
      </c>
      <c r="Z742" s="18" t="s">
        <v>32</v>
      </c>
      <c r="AA742" s="18"/>
      <c r="AC742" s="18" t="s">
        <v>514</v>
      </c>
      <c r="AD742" s="41" t="s">
        <v>22</v>
      </c>
      <c r="AE742" s="41" t="s">
        <v>22</v>
      </c>
      <c r="AF742" s="41" t="s">
        <v>22</v>
      </c>
      <c r="AG742" s="41" t="s">
        <v>22</v>
      </c>
      <c r="AH742" s="41" t="s">
        <v>22</v>
      </c>
      <c r="AI742" s="41" t="s">
        <v>22</v>
      </c>
      <c r="AJ742" s="41" t="s">
        <v>22</v>
      </c>
      <c r="AK742" s="41" t="s">
        <v>22</v>
      </c>
      <c r="AL742" s="41" t="s">
        <v>22</v>
      </c>
      <c r="AM742" s="43" t="e">
        <f t="shared" si="384"/>
        <v>#VALUE!</v>
      </c>
      <c r="AN742" s="43" t="e">
        <f t="shared" si="385"/>
        <v>#VALUE!</v>
      </c>
      <c r="AO742" s="19" t="s">
        <v>259</v>
      </c>
      <c r="AP742" s="18"/>
      <c r="AQ742" s="18"/>
      <c r="AR742" s="18"/>
      <c r="AS742" s="18"/>
      <c r="AT742" s="2">
        <f t="shared" si="386"/>
        <v>29</v>
      </c>
      <c r="AU742" s="45">
        <f t="shared" si="387"/>
        <v>-1.6144349430765186</v>
      </c>
      <c r="AV742" s="45" t="e">
        <f t="shared" si="388"/>
        <v>#VALUE!</v>
      </c>
      <c r="AW742" s="45" t="e">
        <f t="shared" si="389"/>
        <v>#VALUE!</v>
      </c>
      <c r="AX742" s="45">
        <f t="shared" si="390"/>
        <v>1.915007844101611</v>
      </c>
      <c r="AY742" s="45" t="e">
        <f t="shared" si="391"/>
        <v>#VALUE!</v>
      </c>
      <c r="AZ742" s="45">
        <f t="shared" si="392"/>
        <v>0.9608785649741548</v>
      </c>
      <c r="BA742" s="45">
        <f t="shared" si="393"/>
        <v>1.1418216716977652</v>
      </c>
      <c r="BB742" s="45">
        <f t="shared" si="394"/>
        <v>4.5468200877957915E-2</v>
      </c>
      <c r="BC742" s="45">
        <f t="shared" si="395"/>
        <v>0</v>
      </c>
      <c r="BD742" s="45" t="e">
        <f t="shared" si="396"/>
        <v>#VALUE!</v>
      </c>
      <c r="BE742" s="45" t="e">
        <f t="shared" si="397"/>
        <v>#VALUE!</v>
      </c>
      <c r="BF742" s="45" t="e">
        <f t="shared" si="398"/>
        <v>#VALUE!</v>
      </c>
      <c r="BG742" s="45" t="e">
        <f t="shared" si="399"/>
        <v>#VALUE!</v>
      </c>
      <c r="BH742" s="45" t="e">
        <f t="shared" si="400"/>
        <v>#NUM!</v>
      </c>
      <c r="BI742" s="43" t="e">
        <f t="shared" si="401"/>
        <v>#VALUE!</v>
      </c>
      <c r="BJ742" s="18"/>
      <c r="BK742" s="18"/>
      <c r="BL742" s="20"/>
      <c r="BS742" s="18"/>
      <c r="BT742" s="18"/>
      <c r="CA742" s="41" t="s">
        <v>22</v>
      </c>
      <c r="CB742" s="18"/>
      <c r="CC742" s="18" t="s">
        <v>22</v>
      </c>
      <c r="CD742" s="18"/>
      <c r="CE742" s="41" t="s">
        <v>22</v>
      </c>
      <c r="CF742" s="41" t="s">
        <v>22</v>
      </c>
      <c r="CG742" s="41" t="e">
        <f t="shared" si="413"/>
        <v>#VALUE!</v>
      </c>
      <c r="CH742" s="41" t="e">
        <f t="shared" si="407"/>
        <v>#VALUE!</v>
      </c>
      <c r="CI742" s="41">
        <f t="shared" si="411"/>
        <v>1</v>
      </c>
      <c r="CJ742" s="41">
        <f t="shared" si="409"/>
        <v>0</v>
      </c>
      <c r="CK742" s="18"/>
      <c r="CL742" s="9" t="s">
        <v>1269</v>
      </c>
      <c r="CM742" s="18" t="s">
        <v>1285</v>
      </c>
      <c r="CN742" s="54" t="s">
        <v>1284</v>
      </c>
      <c r="CO742" s="18" t="s">
        <v>1284</v>
      </c>
    </row>
    <row r="743" spans="1:93" x14ac:dyDescent="0.25">
      <c r="A743" s="18" t="s">
        <v>266</v>
      </c>
      <c r="B743" s="50">
        <v>3.5471698113207398E-2</v>
      </c>
      <c r="C743" s="41" t="s">
        <v>22</v>
      </c>
      <c r="D743" s="41" t="s">
        <v>22</v>
      </c>
      <c r="E743" s="41" t="s">
        <v>22</v>
      </c>
      <c r="F743" s="18" t="s">
        <v>22</v>
      </c>
      <c r="G743" s="18" t="s">
        <v>22</v>
      </c>
      <c r="H743" s="18" t="s">
        <v>22</v>
      </c>
      <c r="I743" s="18" t="s">
        <v>22</v>
      </c>
      <c r="J743" s="41">
        <v>13.4772528128658</v>
      </c>
      <c r="K743" s="18">
        <v>532</v>
      </c>
      <c r="L743" s="41">
        <f t="shared" si="410"/>
        <v>1.0795627832947166</v>
      </c>
      <c r="M743" s="18" t="s">
        <v>23</v>
      </c>
      <c r="N743" s="41">
        <v>12.6582278481012</v>
      </c>
      <c r="O743" s="41" t="s">
        <v>22</v>
      </c>
      <c r="P743" s="41">
        <v>2.0224719101123698</v>
      </c>
      <c r="R743" s="41">
        <f t="shared" si="412"/>
        <v>0.44900883687604065</v>
      </c>
      <c r="S743" s="41" t="s">
        <v>22</v>
      </c>
      <c r="T743" s="41">
        <v>1.7</v>
      </c>
      <c r="U743" s="41">
        <v>1.7</v>
      </c>
      <c r="V743" s="18">
        <v>20200510</v>
      </c>
      <c r="W743" s="21"/>
      <c r="X743" s="18">
        <v>2016</v>
      </c>
      <c r="Y743" s="18" t="s">
        <v>143</v>
      </c>
      <c r="Z743" s="18" t="s">
        <v>32</v>
      </c>
      <c r="AA743" s="18"/>
      <c r="AC743" s="18" t="s">
        <v>514</v>
      </c>
      <c r="AD743" s="41" t="s">
        <v>22</v>
      </c>
      <c r="AE743" s="41" t="s">
        <v>22</v>
      </c>
      <c r="AF743" s="41" t="s">
        <v>22</v>
      </c>
      <c r="AG743" s="41" t="s">
        <v>22</v>
      </c>
      <c r="AH743" s="41" t="s">
        <v>22</v>
      </c>
      <c r="AI743" s="41" t="s">
        <v>22</v>
      </c>
      <c r="AJ743" s="41" t="s">
        <v>22</v>
      </c>
      <c r="AK743" s="41" t="s">
        <v>22</v>
      </c>
      <c r="AL743" s="41" t="s">
        <v>22</v>
      </c>
      <c r="AM743" s="43" t="e">
        <f t="shared" si="384"/>
        <v>#VALUE!</v>
      </c>
      <c r="AN743" s="43" t="e">
        <f t="shared" si="385"/>
        <v>#VALUE!</v>
      </c>
      <c r="AO743" s="19" t="s">
        <v>259</v>
      </c>
      <c r="AP743" s="18"/>
      <c r="AQ743" s="18"/>
      <c r="AR743" s="18"/>
      <c r="AS743" s="18"/>
      <c r="AT743" s="2">
        <f t="shared" si="386"/>
        <v>29</v>
      </c>
      <c r="AU743" s="45">
        <f t="shared" si="387"/>
        <v>-1.4501180203371111</v>
      </c>
      <c r="AV743" s="45" t="e">
        <f t="shared" si="388"/>
        <v>#VALUE!</v>
      </c>
      <c r="AW743" s="45" t="e">
        <f t="shared" si="389"/>
        <v>#VALUE!</v>
      </c>
      <c r="AX743" s="45">
        <f t="shared" si="390"/>
        <v>1.1023729087095564</v>
      </c>
      <c r="AY743" s="45" t="e">
        <f t="shared" si="391"/>
        <v>#VALUE!</v>
      </c>
      <c r="AZ743" s="45">
        <f t="shared" si="392"/>
        <v>0.30588249845839549</v>
      </c>
      <c r="BA743" s="45">
        <f t="shared" si="393"/>
        <v>1.1296013751515475</v>
      </c>
      <c r="BB743" s="45">
        <f t="shared" si="394"/>
        <v>3.3247904331740276E-2</v>
      </c>
      <c r="BC743" s="45">
        <f t="shared" si="395"/>
        <v>0.23044892137827391</v>
      </c>
      <c r="BD743" s="45" t="e">
        <f t="shared" si="396"/>
        <v>#VALUE!</v>
      </c>
      <c r="BE743" s="45" t="e">
        <f t="shared" si="397"/>
        <v>#VALUE!</v>
      </c>
      <c r="BF743" s="45" t="e">
        <f t="shared" si="398"/>
        <v>#VALUE!</v>
      </c>
      <c r="BG743" s="45" t="e">
        <f t="shared" si="399"/>
        <v>#VALUE!</v>
      </c>
      <c r="BH743" s="45" t="e">
        <f t="shared" si="400"/>
        <v>#NUM!</v>
      </c>
      <c r="BI743" s="43" t="e">
        <f t="shared" si="401"/>
        <v>#VALUE!</v>
      </c>
      <c r="BJ743" s="18"/>
      <c r="BK743" s="18"/>
      <c r="BL743" s="20"/>
      <c r="BS743" s="18"/>
      <c r="BT743" s="18"/>
      <c r="CA743" s="41" t="s">
        <v>22</v>
      </c>
      <c r="CB743" s="18"/>
      <c r="CC743" s="18" t="s">
        <v>22</v>
      </c>
      <c r="CD743" s="18"/>
      <c r="CE743" s="41" t="s">
        <v>22</v>
      </c>
      <c r="CF743" s="41" t="s">
        <v>22</v>
      </c>
      <c r="CG743" s="41" t="e">
        <f t="shared" si="413"/>
        <v>#VALUE!</v>
      </c>
      <c r="CH743" s="41" t="e">
        <f t="shared" si="407"/>
        <v>#VALUE!</v>
      </c>
      <c r="CI743" s="41">
        <f t="shared" si="411"/>
        <v>1.7</v>
      </c>
      <c r="CJ743" s="41">
        <f t="shared" si="409"/>
        <v>0.23044892137827391</v>
      </c>
      <c r="CK743" s="18"/>
      <c r="CL743" s="9" t="s">
        <v>1269</v>
      </c>
      <c r="CM743" s="18" t="s">
        <v>1285</v>
      </c>
      <c r="CN743" s="54" t="s">
        <v>1284</v>
      </c>
      <c r="CO743" s="18" t="s">
        <v>1284</v>
      </c>
    </row>
    <row r="744" spans="1:93" x14ac:dyDescent="0.25">
      <c r="A744" s="18" t="s">
        <v>266</v>
      </c>
      <c r="B744" s="41">
        <v>0.10037735849056499</v>
      </c>
      <c r="C744" s="41" t="s">
        <v>22</v>
      </c>
      <c r="D744" s="41" t="s">
        <v>22</v>
      </c>
      <c r="E744" s="41" t="s">
        <v>22</v>
      </c>
      <c r="F744" s="18" t="s">
        <v>22</v>
      </c>
      <c r="G744" s="18" t="s">
        <v>22</v>
      </c>
      <c r="H744" s="18" t="s">
        <v>22</v>
      </c>
      <c r="I744" s="18" t="s">
        <v>22</v>
      </c>
      <c r="J744" s="41">
        <v>17.3160102666697</v>
      </c>
      <c r="K744" s="18">
        <v>532</v>
      </c>
      <c r="L744" s="41">
        <f t="shared" si="410"/>
        <v>1.3870571769047939</v>
      </c>
      <c r="M744" s="18" t="s">
        <v>23</v>
      </c>
      <c r="N744" s="41">
        <v>58.2278481012657</v>
      </c>
      <c r="O744" s="41" t="s">
        <v>22</v>
      </c>
      <c r="P744" s="41">
        <v>8.2958801498127404</v>
      </c>
      <c r="R744" s="41">
        <f t="shared" si="412"/>
        <v>5.8447575829949114</v>
      </c>
      <c r="S744" s="41" t="s">
        <v>22</v>
      </c>
      <c r="T744" s="41">
        <v>1.7</v>
      </c>
      <c r="U744" s="41">
        <v>1.7</v>
      </c>
      <c r="V744" s="18">
        <v>20200510</v>
      </c>
      <c r="W744" s="21"/>
      <c r="X744" s="18">
        <v>2016</v>
      </c>
      <c r="Y744" s="18" t="s">
        <v>143</v>
      </c>
      <c r="Z744" s="18" t="s">
        <v>32</v>
      </c>
      <c r="AA744" s="18"/>
      <c r="AC744" s="18" t="s">
        <v>514</v>
      </c>
      <c r="AD744" s="41" t="s">
        <v>22</v>
      </c>
      <c r="AE744" s="41" t="s">
        <v>22</v>
      </c>
      <c r="AF744" s="41" t="s">
        <v>22</v>
      </c>
      <c r="AG744" s="41" t="s">
        <v>22</v>
      </c>
      <c r="AH744" s="41" t="s">
        <v>22</v>
      </c>
      <c r="AI744" s="41" t="s">
        <v>22</v>
      </c>
      <c r="AJ744" s="41" t="s">
        <v>22</v>
      </c>
      <c r="AK744" s="41" t="s">
        <v>22</v>
      </c>
      <c r="AL744" s="41" t="s">
        <v>22</v>
      </c>
      <c r="AM744" s="43" t="e">
        <f t="shared" si="384"/>
        <v>#VALUE!</v>
      </c>
      <c r="AN744" s="43" t="e">
        <f t="shared" si="385"/>
        <v>#VALUE!</v>
      </c>
      <c r="AO744" s="19" t="s">
        <v>259</v>
      </c>
      <c r="AP744" s="18"/>
      <c r="AQ744" s="18"/>
      <c r="AR744" s="18"/>
      <c r="AS744" s="18"/>
      <c r="AT744" s="2">
        <f t="shared" si="386"/>
        <v>29</v>
      </c>
      <c r="AU744" s="45">
        <f t="shared" si="387"/>
        <v>-0.99836423730574542</v>
      </c>
      <c r="AV744" s="45" t="e">
        <f t="shared" si="388"/>
        <v>#VALUE!</v>
      </c>
      <c r="AW744" s="45" t="e">
        <f t="shared" si="389"/>
        <v>#VALUE!</v>
      </c>
      <c r="AX744" s="45">
        <f t="shared" si="390"/>
        <v>1.7651307403911318</v>
      </c>
      <c r="AY744" s="45" t="e">
        <f t="shared" si="391"/>
        <v>#VALUE!</v>
      </c>
      <c r="AZ744" s="45">
        <f t="shared" si="392"/>
        <v>0.91886246919451342</v>
      </c>
      <c r="BA744" s="45">
        <f t="shared" si="393"/>
        <v>1.2384478346345746</v>
      </c>
      <c r="BB744" s="45">
        <f t="shared" si="394"/>
        <v>0.14209436381476731</v>
      </c>
      <c r="BC744" s="45">
        <f t="shared" si="395"/>
        <v>0.23044892137827391</v>
      </c>
      <c r="BD744" s="45" t="e">
        <f t="shared" si="396"/>
        <v>#VALUE!</v>
      </c>
      <c r="BE744" s="45" t="e">
        <f t="shared" si="397"/>
        <v>#VALUE!</v>
      </c>
      <c r="BF744" s="45" t="e">
        <f t="shared" si="398"/>
        <v>#VALUE!</v>
      </c>
      <c r="BG744" s="45" t="e">
        <f t="shared" si="399"/>
        <v>#VALUE!</v>
      </c>
      <c r="BH744" s="45" t="e">
        <f t="shared" si="400"/>
        <v>#NUM!</v>
      </c>
      <c r="BI744" s="43" t="e">
        <f t="shared" si="401"/>
        <v>#VALUE!</v>
      </c>
      <c r="BJ744" s="18"/>
      <c r="BK744" s="18"/>
      <c r="BL744" s="20"/>
      <c r="BS744" s="18"/>
      <c r="BT744" s="18"/>
      <c r="CA744" s="41" t="s">
        <v>22</v>
      </c>
      <c r="CB744" s="18"/>
      <c r="CC744" s="18" t="s">
        <v>22</v>
      </c>
      <c r="CD744" s="18"/>
      <c r="CE744" s="41" t="s">
        <v>22</v>
      </c>
      <c r="CF744" s="41" t="s">
        <v>22</v>
      </c>
      <c r="CG744" s="41" t="e">
        <f t="shared" si="413"/>
        <v>#VALUE!</v>
      </c>
      <c r="CH744" s="41" t="e">
        <f t="shared" si="407"/>
        <v>#VALUE!</v>
      </c>
      <c r="CI744" s="41">
        <f t="shared" si="411"/>
        <v>1.7</v>
      </c>
      <c r="CJ744" s="41">
        <f t="shared" si="409"/>
        <v>0.23044892137827391</v>
      </c>
      <c r="CK744" s="18"/>
      <c r="CL744" s="9" t="s">
        <v>1269</v>
      </c>
      <c r="CM744" s="18" t="s">
        <v>1285</v>
      </c>
      <c r="CN744" s="54" t="s">
        <v>1284</v>
      </c>
      <c r="CO744" s="18" t="s">
        <v>1284</v>
      </c>
    </row>
    <row r="745" spans="1:93" x14ac:dyDescent="0.25">
      <c r="A745" s="18" t="s">
        <v>266</v>
      </c>
      <c r="B745" s="41">
        <v>0.31169811320754698</v>
      </c>
      <c r="C745" s="41" t="s">
        <v>22</v>
      </c>
      <c r="D745" s="41" t="s">
        <v>22</v>
      </c>
      <c r="E745" s="41" t="s">
        <v>22</v>
      </c>
      <c r="F745" s="18" t="s">
        <v>22</v>
      </c>
      <c r="G745" s="18" t="s">
        <v>22</v>
      </c>
      <c r="H745" s="18" t="s">
        <v>22</v>
      </c>
      <c r="I745" s="18" t="s">
        <v>22</v>
      </c>
      <c r="J745" s="41">
        <v>33.125828738921001</v>
      </c>
      <c r="K745" s="18">
        <v>532</v>
      </c>
      <c r="L745" s="41">
        <f t="shared" si="410"/>
        <v>2.6534644982095106</v>
      </c>
      <c r="M745" s="18" t="s">
        <v>23</v>
      </c>
      <c r="N745" s="41">
        <v>179.74683544303701</v>
      </c>
      <c r="O745" s="41" t="s">
        <v>22</v>
      </c>
      <c r="P745" s="41">
        <v>23.558052434456901</v>
      </c>
      <c r="R745" s="41">
        <f t="shared" si="412"/>
        <v>56.026749462622071</v>
      </c>
      <c r="S745" s="41" t="s">
        <v>22</v>
      </c>
      <c r="T745" s="41">
        <v>1.7</v>
      </c>
      <c r="U745" s="41">
        <v>1.7</v>
      </c>
      <c r="V745" s="18">
        <v>20200510</v>
      </c>
      <c r="W745" s="21"/>
      <c r="X745" s="18">
        <v>2016</v>
      </c>
      <c r="Y745" s="18" t="s">
        <v>143</v>
      </c>
      <c r="Z745" s="18" t="s">
        <v>32</v>
      </c>
      <c r="AA745" s="18"/>
      <c r="AC745" s="18" t="s">
        <v>514</v>
      </c>
      <c r="AD745" s="41" t="s">
        <v>22</v>
      </c>
      <c r="AE745" s="41" t="s">
        <v>22</v>
      </c>
      <c r="AF745" s="41" t="s">
        <v>22</v>
      </c>
      <c r="AG745" s="41" t="s">
        <v>22</v>
      </c>
      <c r="AH745" s="41" t="s">
        <v>22</v>
      </c>
      <c r="AI745" s="41" t="s">
        <v>22</v>
      </c>
      <c r="AJ745" s="41" t="s">
        <v>22</v>
      </c>
      <c r="AK745" s="41" t="s">
        <v>22</v>
      </c>
      <c r="AL745" s="41" t="s">
        <v>22</v>
      </c>
      <c r="AM745" s="43" t="e">
        <f t="shared" si="384"/>
        <v>#VALUE!</v>
      </c>
      <c r="AN745" s="43" t="e">
        <f t="shared" si="385"/>
        <v>#VALUE!</v>
      </c>
      <c r="AO745" s="19" t="s">
        <v>259</v>
      </c>
      <c r="AP745" s="18"/>
      <c r="AQ745" s="18"/>
      <c r="AR745" s="18"/>
      <c r="AS745" s="18"/>
      <c r="AT745" s="2">
        <f t="shared" si="386"/>
        <v>29</v>
      </c>
      <c r="AU745" s="45">
        <f t="shared" si="387"/>
        <v>-0.50626582661642594</v>
      </c>
      <c r="AV745" s="45" t="e">
        <f t="shared" si="388"/>
        <v>#VALUE!</v>
      </c>
      <c r="AW745" s="45" t="e">
        <f t="shared" si="389"/>
        <v>#VALUE!</v>
      </c>
      <c r="AX745" s="45">
        <f t="shared" si="390"/>
        <v>2.2546612530926127</v>
      </c>
      <c r="AY745" s="45" t="e">
        <f t="shared" si="391"/>
        <v>#VALUE!</v>
      </c>
      <c r="AZ745" s="45">
        <f t="shared" si="392"/>
        <v>1.3721393840806932</v>
      </c>
      <c r="BA745" s="45">
        <f t="shared" si="393"/>
        <v>1.5201667522199771</v>
      </c>
      <c r="BB745" s="45">
        <f t="shared" si="394"/>
        <v>0.42381328140016972</v>
      </c>
      <c r="BC745" s="45">
        <f t="shared" si="395"/>
        <v>0.23044892137827391</v>
      </c>
      <c r="BD745" s="45" t="e">
        <f t="shared" si="396"/>
        <v>#VALUE!</v>
      </c>
      <c r="BE745" s="45" t="e">
        <f t="shared" si="397"/>
        <v>#VALUE!</v>
      </c>
      <c r="BF745" s="45" t="e">
        <f t="shared" si="398"/>
        <v>#VALUE!</v>
      </c>
      <c r="BG745" s="45" t="e">
        <f t="shared" si="399"/>
        <v>#VALUE!</v>
      </c>
      <c r="BH745" s="45" t="e">
        <f t="shared" si="400"/>
        <v>#NUM!</v>
      </c>
      <c r="BI745" s="43" t="e">
        <f t="shared" si="401"/>
        <v>#VALUE!</v>
      </c>
      <c r="BJ745" s="18"/>
      <c r="BK745" s="18"/>
      <c r="BL745" s="20"/>
      <c r="BS745" s="18"/>
      <c r="BT745" s="18"/>
      <c r="CA745" s="41" t="s">
        <v>22</v>
      </c>
      <c r="CB745" s="18"/>
      <c r="CC745" s="18" t="s">
        <v>22</v>
      </c>
      <c r="CD745" s="18"/>
      <c r="CE745" s="41" t="s">
        <v>22</v>
      </c>
      <c r="CF745" s="41" t="s">
        <v>22</v>
      </c>
      <c r="CG745" s="41" t="e">
        <f t="shared" si="413"/>
        <v>#VALUE!</v>
      </c>
      <c r="CH745" s="41" t="e">
        <f t="shared" si="407"/>
        <v>#VALUE!</v>
      </c>
      <c r="CI745" s="41">
        <f t="shared" si="411"/>
        <v>1.7</v>
      </c>
      <c r="CJ745" s="41">
        <f t="shared" si="409"/>
        <v>0.23044892137827391</v>
      </c>
      <c r="CK745" s="18"/>
      <c r="CL745" s="9" t="s">
        <v>1269</v>
      </c>
      <c r="CM745" s="18" t="s">
        <v>1285</v>
      </c>
      <c r="CN745" s="54" t="s">
        <v>1284</v>
      </c>
      <c r="CO745" s="18" t="s">
        <v>1284</v>
      </c>
    </row>
    <row r="746" spans="1:93" x14ac:dyDescent="0.25">
      <c r="A746" s="18" t="s">
        <v>266</v>
      </c>
      <c r="B746" s="41">
        <v>0.20905660377358401</v>
      </c>
      <c r="C746" s="41" t="s">
        <v>22</v>
      </c>
      <c r="D746" s="41" t="s">
        <v>22</v>
      </c>
      <c r="E746" s="41" t="s">
        <v>22</v>
      </c>
      <c r="F746" s="18" t="s">
        <v>22</v>
      </c>
      <c r="G746" s="18" t="s">
        <v>22</v>
      </c>
      <c r="H746" s="18" t="s">
        <v>22</v>
      </c>
      <c r="I746" s="18" t="s">
        <v>22</v>
      </c>
      <c r="J746" s="41">
        <v>47.617031505648903</v>
      </c>
      <c r="K746" s="18">
        <v>532</v>
      </c>
      <c r="L746" s="41">
        <f t="shared" si="410"/>
        <v>3.8142472934392977</v>
      </c>
      <c r="M746" s="18" t="s">
        <v>23</v>
      </c>
      <c r="N746" s="41">
        <v>193.03797468354401</v>
      </c>
      <c r="O746" s="41" t="s">
        <v>22</v>
      </c>
      <c r="P746" s="41">
        <v>23.9325842696629</v>
      </c>
      <c r="R746" s="41">
        <f t="shared" si="412"/>
        <v>40.355863386672802</v>
      </c>
      <c r="S746" s="41" t="s">
        <v>22</v>
      </c>
      <c r="T746" s="41">
        <v>1.7</v>
      </c>
      <c r="U746" s="41">
        <v>1.7</v>
      </c>
      <c r="V746" s="18">
        <v>20200510</v>
      </c>
      <c r="W746" s="21"/>
      <c r="X746" s="18">
        <v>2016</v>
      </c>
      <c r="Y746" s="18" t="s">
        <v>143</v>
      </c>
      <c r="Z746" s="18" t="s">
        <v>32</v>
      </c>
      <c r="AA746" s="18"/>
      <c r="AC746" s="18" t="s">
        <v>514</v>
      </c>
      <c r="AD746" s="41" t="s">
        <v>22</v>
      </c>
      <c r="AE746" s="41" t="s">
        <v>22</v>
      </c>
      <c r="AF746" s="41" t="s">
        <v>22</v>
      </c>
      <c r="AG746" s="41" t="s">
        <v>22</v>
      </c>
      <c r="AH746" s="41" t="s">
        <v>22</v>
      </c>
      <c r="AI746" s="41" t="s">
        <v>22</v>
      </c>
      <c r="AJ746" s="41" t="s">
        <v>22</v>
      </c>
      <c r="AK746" s="41" t="s">
        <v>22</v>
      </c>
      <c r="AL746" s="41" t="s">
        <v>22</v>
      </c>
      <c r="AM746" s="43" t="e">
        <f t="shared" si="384"/>
        <v>#VALUE!</v>
      </c>
      <c r="AN746" s="43" t="e">
        <f t="shared" si="385"/>
        <v>#VALUE!</v>
      </c>
      <c r="AO746" s="19" t="s">
        <v>259</v>
      </c>
      <c r="AP746" s="18"/>
      <c r="AQ746" s="18"/>
      <c r="AR746" s="18"/>
      <c r="AS746" s="18"/>
      <c r="AT746" s="2">
        <f t="shared" si="386"/>
        <v>29</v>
      </c>
      <c r="AU746" s="45">
        <f t="shared" si="387"/>
        <v>-0.67973610920838001</v>
      </c>
      <c r="AV746" s="45" t="e">
        <f t="shared" si="388"/>
        <v>#VALUE!</v>
      </c>
      <c r="AW746" s="45" t="e">
        <f t="shared" si="389"/>
        <v>#VALUE!</v>
      </c>
      <c r="AX746" s="45">
        <f t="shared" si="390"/>
        <v>2.2856427523923624</v>
      </c>
      <c r="AY746" s="45" t="e">
        <f t="shared" si="391"/>
        <v>#VALUE!</v>
      </c>
      <c r="AZ746" s="45">
        <f t="shared" si="392"/>
        <v>1.3789895967938246</v>
      </c>
      <c r="BA746" s="45">
        <f t="shared" si="393"/>
        <v>1.677762317551422</v>
      </c>
      <c r="BB746" s="45">
        <f t="shared" si="394"/>
        <v>0.58140884673161464</v>
      </c>
      <c r="BC746" s="45">
        <f t="shared" si="395"/>
        <v>0.23044892137827391</v>
      </c>
      <c r="BD746" s="45" t="e">
        <f t="shared" si="396"/>
        <v>#VALUE!</v>
      </c>
      <c r="BE746" s="45" t="e">
        <f t="shared" si="397"/>
        <v>#VALUE!</v>
      </c>
      <c r="BF746" s="45" t="e">
        <f t="shared" si="398"/>
        <v>#VALUE!</v>
      </c>
      <c r="BG746" s="45" t="e">
        <f t="shared" si="399"/>
        <v>#VALUE!</v>
      </c>
      <c r="BH746" s="45" t="e">
        <f t="shared" si="400"/>
        <v>#NUM!</v>
      </c>
      <c r="BI746" s="43" t="e">
        <f t="shared" si="401"/>
        <v>#VALUE!</v>
      </c>
      <c r="BJ746" s="18"/>
      <c r="BK746" s="18"/>
      <c r="BL746" s="20"/>
      <c r="BS746" s="18"/>
      <c r="BT746" s="18"/>
      <c r="CA746" s="41" t="s">
        <v>22</v>
      </c>
      <c r="CB746" s="18"/>
      <c r="CC746" s="18" t="s">
        <v>22</v>
      </c>
      <c r="CD746" s="18"/>
      <c r="CE746" s="41" t="s">
        <v>22</v>
      </c>
      <c r="CF746" s="41" t="s">
        <v>22</v>
      </c>
      <c r="CG746" s="41" t="e">
        <f t="shared" si="413"/>
        <v>#VALUE!</v>
      </c>
      <c r="CH746" s="41" t="e">
        <f t="shared" si="407"/>
        <v>#VALUE!</v>
      </c>
      <c r="CI746" s="41">
        <f t="shared" si="411"/>
        <v>1.7</v>
      </c>
      <c r="CJ746" s="41">
        <f t="shared" si="409"/>
        <v>0.23044892137827391</v>
      </c>
      <c r="CK746" s="18"/>
      <c r="CL746" s="9" t="s">
        <v>1269</v>
      </c>
      <c r="CM746" s="18" t="s">
        <v>1285</v>
      </c>
      <c r="CN746" s="54" t="s">
        <v>1284</v>
      </c>
      <c r="CO746" s="18" t="s">
        <v>1284</v>
      </c>
    </row>
    <row r="747" spans="1:93" x14ac:dyDescent="0.25">
      <c r="A747" s="18" t="s">
        <v>266</v>
      </c>
      <c r="B747" s="41">
        <v>0.272452830188679</v>
      </c>
      <c r="C747" s="41" t="s">
        <v>22</v>
      </c>
      <c r="D747" s="41" t="s">
        <v>22</v>
      </c>
      <c r="E747" s="41" t="s">
        <v>22</v>
      </c>
      <c r="F747" s="18" t="s">
        <v>22</v>
      </c>
      <c r="G747" s="18" t="s">
        <v>22</v>
      </c>
      <c r="H747" s="18" t="s">
        <v>22</v>
      </c>
      <c r="I747" s="18" t="s">
        <v>22</v>
      </c>
      <c r="J747" s="41">
        <v>110.724482595513</v>
      </c>
      <c r="K747" s="18">
        <v>532</v>
      </c>
      <c r="L747" s="41">
        <f t="shared" si="410"/>
        <v>8.8693172317409186</v>
      </c>
      <c r="M747" s="18" t="s">
        <v>23</v>
      </c>
      <c r="N747" s="41">
        <v>125.632911392404</v>
      </c>
      <c r="O747" s="41" t="s">
        <v>22</v>
      </c>
      <c r="P747" s="41">
        <v>16.816479400748999</v>
      </c>
      <c r="R747" s="41">
        <f t="shared" si="412"/>
        <v>34.229042273704003</v>
      </c>
      <c r="S747" s="41" t="s">
        <v>22</v>
      </c>
      <c r="T747" s="41">
        <v>1.7</v>
      </c>
      <c r="U747" s="41">
        <v>1.7</v>
      </c>
      <c r="V747" s="18">
        <v>20200510</v>
      </c>
      <c r="W747" s="21"/>
      <c r="X747" s="18">
        <v>2016</v>
      </c>
      <c r="Y747" s="18" t="s">
        <v>143</v>
      </c>
      <c r="Z747" s="18" t="s">
        <v>32</v>
      </c>
      <c r="AA747" s="18"/>
      <c r="AC747" s="18" t="s">
        <v>514</v>
      </c>
      <c r="AD747" s="41" t="s">
        <v>22</v>
      </c>
      <c r="AE747" s="41" t="s">
        <v>22</v>
      </c>
      <c r="AF747" s="41" t="s">
        <v>22</v>
      </c>
      <c r="AG747" s="41" t="s">
        <v>22</v>
      </c>
      <c r="AH747" s="41" t="s">
        <v>22</v>
      </c>
      <c r="AI747" s="41" t="s">
        <v>22</v>
      </c>
      <c r="AJ747" s="41" t="s">
        <v>22</v>
      </c>
      <c r="AK747" s="41" t="s">
        <v>22</v>
      </c>
      <c r="AL747" s="41" t="s">
        <v>22</v>
      </c>
      <c r="AM747" s="43" t="e">
        <f t="shared" si="384"/>
        <v>#VALUE!</v>
      </c>
      <c r="AN747" s="43" t="e">
        <f t="shared" si="385"/>
        <v>#VALUE!</v>
      </c>
      <c r="AO747" s="19" t="s">
        <v>259</v>
      </c>
      <c r="AP747" s="18"/>
      <c r="AQ747" s="18"/>
      <c r="AR747" s="18"/>
      <c r="AS747" s="18"/>
      <c r="AT747" s="2">
        <f t="shared" si="386"/>
        <v>29</v>
      </c>
      <c r="AU747" s="45">
        <f t="shared" si="387"/>
        <v>-0.56470867636716915</v>
      </c>
      <c r="AV747" s="45" t="e">
        <f t="shared" si="388"/>
        <v>#VALUE!</v>
      </c>
      <c r="AW747" s="45" t="e">
        <f t="shared" si="389"/>
        <v>#VALUE!</v>
      </c>
      <c r="AX747" s="45">
        <f t="shared" si="390"/>
        <v>2.0991034241447077</v>
      </c>
      <c r="AY747" s="45" t="e">
        <f t="shared" si="391"/>
        <v>#VALUE!</v>
      </c>
      <c r="AZ747" s="45">
        <f t="shared" si="392"/>
        <v>1.2257350796387463</v>
      </c>
      <c r="BA747" s="45">
        <f t="shared" si="393"/>
        <v>2.0442436595466482</v>
      </c>
      <c r="BB747" s="45">
        <f t="shared" si="394"/>
        <v>0.94789018872684105</v>
      </c>
      <c r="BC747" s="45">
        <f t="shared" si="395"/>
        <v>0.23044892137827391</v>
      </c>
      <c r="BD747" s="45" t="e">
        <f t="shared" si="396"/>
        <v>#VALUE!</v>
      </c>
      <c r="BE747" s="45" t="e">
        <f t="shared" si="397"/>
        <v>#VALUE!</v>
      </c>
      <c r="BF747" s="45" t="e">
        <f t="shared" si="398"/>
        <v>#VALUE!</v>
      </c>
      <c r="BG747" s="45" t="e">
        <f t="shared" si="399"/>
        <v>#VALUE!</v>
      </c>
      <c r="BH747" s="45" t="e">
        <f t="shared" si="400"/>
        <v>#NUM!</v>
      </c>
      <c r="BI747" s="43" t="e">
        <f t="shared" si="401"/>
        <v>#VALUE!</v>
      </c>
      <c r="BJ747" s="18"/>
      <c r="BK747" s="18"/>
      <c r="BL747" s="20"/>
      <c r="BS747" s="18"/>
      <c r="BT747" s="18"/>
      <c r="CA747" s="41" t="s">
        <v>22</v>
      </c>
      <c r="CB747" s="18"/>
      <c r="CC747" s="18" t="s">
        <v>22</v>
      </c>
      <c r="CD747" s="18"/>
      <c r="CE747" s="41" t="s">
        <v>22</v>
      </c>
      <c r="CF747" s="41" t="s">
        <v>22</v>
      </c>
      <c r="CG747" s="41" t="e">
        <f t="shared" si="413"/>
        <v>#VALUE!</v>
      </c>
      <c r="CH747" s="41" t="e">
        <f t="shared" si="407"/>
        <v>#VALUE!</v>
      </c>
      <c r="CI747" s="41">
        <f t="shared" si="411"/>
        <v>1.7</v>
      </c>
      <c r="CJ747" s="41">
        <f t="shared" si="409"/>
        <v>0.23044892137827391</v>
      </c>
      <c r="CK747" s="18"/>
      <c r="CL747" s="9" t="s">
        <v>1269</v>
      </c>
      <c r="CM747" s="18" t="s">
        <v>1285</v>
      </c>
      <c r="CN747" s="54" t="s">
        <v>1284</v>
      </c>
      <c r="CO747" s="18" t="s">
        <v>1284</v>
      </c>
    </row>
    <row r="748" spans="1:93" x14ac:dyDescent="0.25">
      <c r="A748" s="18" t="s">
        <v>266</v>
      </c>
      <c r="B748" s="41">
        <v>0.34188679245282999</v>
      </c>
      <c r="C748" s="41" t="s">
        <v>22</v>
      </c>
      <c r="D748" s="41" t="s">
        <v>22</v>
      </c>
      <c r="E748" s="41" t="s">
        <v>22</v>
      </c>
      <c r="F748" s="18" t="s">
        <v>22</v>
      </c>
      <c r="G748" s="18" t="s">
        <v>22</v>
      </c>
      <c r="H748" s="18" t="s">
        <v>22</v>
      </c>
      <c r="I748" s="18" t="s">
        <v>22</v>
      </c>
      <c r="J748" s="41">
        <v>114.615969168973</v>
      </c>
      <c r="K748" s="18">
        <v>532</v>
      </c>
      <c r="L748" s="41">
        <f t="shared" si="410"/>
        <v>9.1810353641178679</v>
      </c>
      <c r="M748" s="18" t="s">
        <v>23</v>
      </c>
      <c r="N748" s="41">
        <v>109.49367088607499</v>
      </c>
      <c r="O748" s="41" t="s">
        <v>22</v>
      </c>
      <c r="P748" s="41">
        <v>10.355805243445699</v>
      </c>
      <c r="R748" s="41">
        <f t="shared" si="412"/>
        <v>37.434439933125994</v>
      </c>
      <c r="S748" s="41" t="s">
        <v>22</v>
      </c>
      <c r="T748" s="41">
        <v>1.7</v>
      </c>
      <c r="U748" s="41">
        <v>1.7</v>
      </c>
      <c r="V748" s="18">
        <v>20200510</v>
      </c>
      <c r="W748" s="21"/>
      <c r="X748" s="18">
        <v>2016</v>
      </c>
      <c r="Y748" s="18" t="s">
        <v>143</v>
      </c>
      <c r="Z748" s="18" t="s">
        <v>32</v>
      </c>
      <c r="AA748" s="18"/>
      <c r="AC748" s="18" t="s">
        <v>514</v>
      </c>
      <c r="AD748" s="41" t="s">
        <v>22</v>
      </c>
      <c r="AE748" s="41" t="s">
        <v>22</v>
      </c>
      <c r="AF748" s="41" t="s">
        <v>22</v>
      </c>
      <c r="AG748" s="41" t="s">
        <v>22</v>
      </c>
      <c r="AH748" s="41" t="s">
        <v>22</v>
      </c>
      <c r="AI748" s="41" t="s">
        <v>22</v>
      </c>
      <c r="AJ748" s="41" t="s">
        <v>22</v>
      </c>
      <c r="AK748" s="41" t="s">
        <v>22</v>
      </c>
      <c r="AL748" s="41" t="s">
        <v>22</v>
      </c>
      <c r="AM748" s="43" t="e">
        <f t="shared" si="384"/>
        <v>#VALUE!</v>
      </c>
      <c r="AN748" s="43" t="e">
        <f t="shared" si="385"/>
        <v>#VALUE!</v>
      </c>
      <c r="AO748" s="19" t="s">
        <v>259</v>
      </c>
      <c r="AP748" s="18"/>
      <c r="AQ748" s="18"/>
      <c r="AR748" s="18"/>
      <c r="AS748" s="18"/>
      <c r="AT748" s="2">
        <f t="shared" si="386"/>
        <v>29</v>
      </c>
      <c r="AU748" s="45">
        <f t="shared" si="387"/>
        <v>-0.46611767625999501</v>
      </c>
      <c r="AV748" s="45" t="e">
        <f t="shared" si="388"/>
        <v>#VALUE!</v>
      </c>
      <c r="AW748" s="45" t="e">
        <f t="shared" si="389"/>
        <v>#VALUE!</v>
      </c>
      <c r="AX748" s="45">
        <f t="shared" si="390"/>
        <v>2.0393890161743689</v>
      </c>
      <c r="AY748" s="45" t="e">
        <f t="shared" si="391"/>
        <v>#VALUE!</v>
      </c>
      <c r="AZ748" s="45">
        <f t="shared" si="392"/>
        <v>1.0151838742761421</v>
      </c>
      <c r="BA748" s="45">
        <f t="shared" si="393"/>
        <v>2.0592451310589643</v>
      </c>
      <c r="BB748" s="45">
        <f t="shared" si="394"/>
        <v>0.96289166023915729</v>
      </c>
      <c r="BC748" s="45">
        <f t="shared" si="395"/>
        <v>0.23044892137827391</v>
      </c>
      <c r="BD748" s="45" t="e">
        <f t="shared" si="396"/>
        <v>#VALUE!</v>
      </c>
      <c r="BE748" s="45" t="e">
        <f t="shared" si="397"/>
        <v>#VALUE!</v>
      </c>
      <c r="BF748" s="45" t="e">
        <f t="shared" si="398"/>
        <v>#VALUE!</v>
      </c>
      <c r="BG748" s="45" t="e">
        <f t="shared" si="399"/>
        <v>#VALUE!</v>
      </c>
      <c r="BH748" s="45" t="e">
        <f t="shared" si="400"/>
        <v>#NUM!</v>
      </c>
      <c r="BI748" s="43" t="e">
        <f t="shared" si="401"/>
        <v>#VALUE!</v>
      </c>
      <c r="BJ748" s="18"/>
      <c r="BK748" s="18"/>
      <c r="BL748" s="20"/>
      <c r="BS748" s="18"/>
      <c r="BT748" s="18"/>
      <c r="CA748" s="41" t="s">
        <v>22</v>
      </c>
      <c r="CB748" s="18"/>
      <c r="CC748" s="18" t="s">
        <v>22</v>
      </c>
      <c r="CD748" s="18"/>
      <c r="CE748" s="41" t="s">
        <v>22</v>
      </c>
      <c r="CF748" s="41" t="s">
        <v>22</v>
      </c>
      <c r="CG748" s="41" t="e">
        <f t="shared" si="413"/>
        <v>#VALUE!</v>
      </c>
      <c r="CH748" s="41" t="e">
        <f t="shared" si="407"/>
        <v>#VALUE!</v>
      </c>
      <c r="CI748" s="41">
        <f t="shared" si="411"/>
        <v>1.7</v>
      </c>
      <c r="CJ748" s="41">
        <f t="shared" si="409"/>
        <v>0.23044892137827391</v>
      </c>
      <c r="CK748" s="18"/>
      <c r="CL748" s="9" t="s">
        <v>1269</v>
      </c>
      <c r="CM748" s="18" t="s">
        <v>1285</v>
      </c>
      <c r="CN748" s="54" t="s">
        <v>1284</v>
      </c>
      <c r="CO748" s="18" t="s">
        <v>1284</v>
      </c>
    </row>
    <row r="749" spans="1:93" x14ac:dyDescent="0.25">
      <c r="A749" s="18" t="s">
        <v>266</v>
      </c>
      <c r="B749" s="41">
        <v>0.45660377358490495</v>
      </c>
      <c r="C749" s="41" t="s">
        <v>22</v>
      </c>
      <c r="D749" s="41" t="s">
        <v>22</v>
      </c>
      <c r="E749" s="41" t="s">
        <v>22</v>
      </c>
      <c r="F749" s="18" t="s">
        <v>22</v>
      </c>
      <c r="G749" s="18" t="s">
        <v>22</v>
      </c>
      <c r="H749" s="18" t="s">
        <v>22</v>
      </c>
      <c r="I749" s="18" t="s">
        <v>22</v>
      </c>
      <c r="J749" s="41">
        <v>25.025317731717301</v>
      </c>
      <c r="K749" s="18">
        <v>532</v>
      </c>
      <c r="L749" s="41">
        <f t="shared" si="410"/>
        <v>2.0045926301461576</v>
      </c>
      <c r="M749" s="18" t="s">
        <v>23</v>
      </c>
      <c r="N749" s="41">
        <v>149.66364142982201</v>
      </c>
      <c r="O749" s="41" t="s">
        <v>22</v>
      </c>
      <c r="P749" s="41">
        <v>13.164794007490601</v>
      </c>
      <c r="R749" s="41">
        <f t="shared" si="412"/>
        <v>68.336983445314843</v>
      </c>
      <c r="S749" s="41" t="s">
        <v>22</v>
      </c>
      <c r="T749" s="41">
        <v>1.3</v>
      </c>
      <c r="U749" s="41">
        <v>1.3</v>
      </c>
      <c r="V749" s="18">
        <v>20200510</v>
      </c>
      <c r="W749" s="21"/>
      <c r="X749" s="18">
        <v>2016</v>
      </c>
      <c r="Y749" s="18" t="s">
        <v>143</v>
      </c>
      <c r="Z749" s="18" t="s">
        <v>32</v>
      </c>
      <c r="AA749" s="18"/>
      <c r="AC749" s="18" t="s">
        <v>514</v>
      </c>
      <c r="AD749" s="41" t="s">
        <v>22</v>
      </c>
      <c r="AE749" s="41" t="s">
        <v>22</v>
      </c>
      <c r="AF749" s="41" t="s">
        <v>22</v>
      </c>
      <c r="AG749" s="41" t="s">
        <v>22</v>
      </c>
      <c r="AH749" s="41" t="s">
        <v>22</v>
      </c>
      <c r="AI749" s="41" t="s">
        <v>22</v>
      </c>
      <c r="AJ749" s="41" t="s">
        <v>22</v>
      </c>
      <c r="AK749" s="41" t="s">
        <v>22</v>
      </c>
      <c r="AL749" s="41" t="s">
        <v>22</v>
      </c>
      <c r="AM749" s="43" t="e">
        <f t="shared" si="384"/>
        <v>#VALUE!</v>
      </c>
      <c r="AN749" s="43" t="e">
        <f t="shared" si="385"/>
        <v>#VALUE!</v>
      </c>
      <c r="AO749" s="19" t="s">
        <v>259</v>
      </c>
      <c r="AP749" s="18"/>
      <c r="AQ749" s="18"/>
      <c r="AR749" s="18"/>
      <c r="AS749" s="18"/>
      <c r="AT749" s="2">
        <f t="shared" si="386"/>
        <v>29</v>
      </c>
      <c r="AU749" s="45">
        <f t="shared" si="387"/>
        <v>-0.34046050362035846</v>
      </c>
      <c r="AV749" s="45" t="e">
        <f t="shared" si="388"/>
        <v>#VALUE!</v>
      </c>
      <c r="AW749" s="45" t="e">
        <f t="shared" si="389"/>
        <v>#VALUE!</v>
      </c>
      <c r="AX749" s="45">
        <f t="shared" si="390"/>
        <v>2.1751163077294509</v>
      </c>
      <c r="AY749" s="45" t="e">
        <f t="shared" si="391"/>
        <v>#VALUE!</v>
      </c>
      <c r="AZ749" s="45">
        <f t="shared" si="392"/>
        <v>1.1194140679912663</v>
      </c>
      <c r="BA749" s="45">
        <f t="shared" si="393"/>
        <v>1.3983796001675626</v>
      </c>
      <c r="BB749" s="45">
        <f t="shared" si="394"/>
        <v>0.3020261293477553</v>
      </c>
      <c r="BC749" s="45">
        <f t="shared" si="395"/>
        <v>0.11394335230683679</v>
      </c>
      <c r="BD749" s="45" t="e">
        <f t="shared" si="396"/>
        <v>#VALUE!</v>
      </c>
      <c r="BE749" s="45" t="e">
        <f t="shared" si="397"/>
        <v>#VALUE!</v>
      </c>
      <c r="BF749" s="45" t="e">
        <f t="shared" si="398"/>
        <v>#VALUE!</v>
      </c>
      <c r="BG749" s="45" t="e">
        <f t="shared" si="399"/>
        <v>#VALUE!</v>
      </c>
      <c r="BH749" s="45" t="e">
        <f t="shared" si="400"/>
        <v>#NUM!</v>
      </c>
      <c r="BI749" s="43" t="e">
        <f t="shared" si="401"/>
        <v>#VALUE!</v>
      </c>
      <c r="BJ749" s="18"/>
      <c r="BK749" s="18"/>
      <c r="BL749" s="20"/>
      <c r="BS749" s="18"/>
      <c r="BT749" s="18"/>
      <c r="CA749" s="41" t="s">
        <v>22</v>
      </c>
      <c r="CB749" s="18"/>
      <c r="CC749" s="18" t="s">
        <v>22</v>
      </c>
      <c r="CD749" s="18"/>
      <c r="CE749" s="41" t="s">
        <v>22</v>
      </c>
      <c r="CF749" s="41" t="s">
        <v>22</v>
      </c>
      <c r="CG749" s="41" t="e">
        <f t="shared" si="413"/>
        <v>#VALUE!</v>
      </c>
      <c r="CH749" s="41" t="e">
        <f t="shared" ref="CH749:CH765" si="414">LOG10(CG749)</f>
        <v>#VALUE!</v>
      </c>
      <c r="CI749" s="41">
        <f t="shared" si="411"/>
        <v>1.3</v>
      </c>
      <c r="CJ749" s="41">
        <f t="shared" ref="CJ749:CJ766" si="415">LOG10(CI749)</f>
        <v>0.11394335230683679</v>
      </c>
      <c r="CK749" s="18"/>
      <c r="CL749" s="9" t="s">
        <v>1269</v>
      </c>
      <c r="CM749" s="18" t="s">
        <v>1285</v>
      </c>
      <c r="CN749" s="54" t="s">
        <v>1284</v>
      </c>
      <c r="CO749" s="18" t="s">
        <v>1284</v>
      </c>
    </row>
    <row r="750" spans="1:93" x14ac:dyDescent="0.25">
      <c r="A750" s="18" t="s">
        <v>266</v>
      </c>
      <c r="B750" s="41">
        <v>0.45358490566037696</v>
      </c>
      <c r="C750" s="41" t="s">
        <v>22</v>
      </c>
      <c r="D750" s="41" t="s">
        <v>22</v>
      </c>
      <c r="E750" s="41" t="s">
        <v>22</v>
      </c>
      <c r="F750" s="18" t="s">
        <v>22</v>
      </c>
      <c r="G750" s="18" t="s">
        <v>22</v>
      </c>
      <c r="H750" s="18" t="s">
        <v>22</v>
      </c>
      <c r="I750" s="18" t="s">
        <v>22</v>
      </c>
      <c r="J750" s="41">
        <v>37.165034390241999</v>
      </c>
      <c r="K750" s="18">
        <v>532</v>
      </c>
      <c r="L750" s="41">
        <f t="shared" si="410"/>
        <v>2.9770153105143082</v>
      </c>
      <c r="M750" s="18" t="s">
        <v>23</v>
      </c>
      <c r="N750" s="41">
        <v>155.503144654088</v>
      </c>
      <c r="O750" s="41" t="s">
        <v>22</v>
      </c>
      <c r="P750" s="41">
        <v>14.756554307116099</v>
      </c>
      <c r="R750" s="41">
        <f t="shared" si="412"/>
        <v>70.533879197816461</v>
      </c>
      <c r="S750" s="41" t="s">
        <v>22</v>
      </c>
      <c r="T750" s="41">
        <v>1.3</v>
      </c>
      <c r="U750" s="41">
        <v>1.3</v>
      </c>
      <c r="V750" s="18">
        <v>20200510</v>
      </c>
      <c r="W750" s="21"/>
      <c r="X750" s="18">
        <v>2016</v>
      </c>
      <c r="Y750" s="18" t="s">
        <v>143</v>
      </c>
      <c r="Z750" s="18" t="s">
        <v>32</v>
      </c>
      <c r="AA750" s="18"/>
      <c r="AC750" s="18" t="s">
        <v>514</v>
      </c>
      <c r="AD750" s="41" t="s">
        <v>22</v>
      </c>
      <c r="AE750" s="41" t="s">
        <v>22</v>
      </c>
      <c r="AF750" s="41" t="s">
        <v>22</v>
      </c>
      <c r="AG750" s="41" t="s">
        <v>22</v>
      </c>
      <c r="AH750" s="41" t="s">
        <v>22</v>
      </c>
      <c r="AI750" s="41" t="s">
        <v>22</v>
      </c>
      <c r="AJ750" s="41" t="s">
        <v>22</v>
      </c>
      <c r="AK750" s="41" t="s">
        <v>22</v>
      </c>
      <c r="AL750" s="41" t="s">
        <v>22</v>
      </c>
      <c r="AM750" s="43" t="e">
        <f t="shared" si="384"/>
        <v>#VALUE!</v>
      </c>
      <c r="AN750" s="43" t="e">
        <f t="shared" si="385"/>
        <v>#VALUE!</v>
      </c>
      <c r="AO750" s="19" t="s">
        <v>259</v>
      </c>
      <c r="AP750" s="18"/>
      <c r="AQ750" s="18"/>
      <c r="AR750" s="18"/>
      <c r="AS750" s="18"/>
      <c r="AT750" s="2">
        <f t="shared" si="386"/>
        <v>29</v>
      </c>
      <c r="AU750" s="45">
        <f t="shared" si="387"/>
        <v>-0.34334140627008752</v>
      </c>
      <c r="AV750" s="45" t="e">
        <f t="shared" si="388"/>
        <v>#VALUE!</v>
      </c>
      <c r="AW750" s="45" t="e">
        <f t="shared" si="389"/>
        <v>#VALUE!</v>
      </c>
      <c r="AX750" s="45">
        <f t="shared" si="390"/>
        <v>2.1917391759487654</v>
      </c>
      <c r="AY750" s="45" t="e">
        <f t="shared" si="391"/>
        <v>#VALUE!</v>
      </c>
      <c r="AZ750" s="45">
        <f t="shared" si="392"/>
        <v>1.1689849604609988</v>
      </c>
      <c r="BA750" s="45">
        <f t="shared" si="393"/>
        <v>1.570134539008615</v>
      </c>
      <c r="BB750" s="45">
        <f t="shared" si="394"/>
        <v>0.47378106818880766</v>
      </c>
      <c r="BC750" s="45">
        <f t="shared" si="395"/>
        <v>0.11394335230683679</v>
      </c>
      <c r="BD750" s="45" t="e">
        <f t="shared" si="396"/>
        <v>#VALUE!</v>
      </c>
      <c r="BE750" s="45" t="e">
        <f t="shared" si="397"/>
        <v>#VALUE!</v>
      </c>
      <c r="BF750" s="45" t="e">
        <f t="shared" si="398"/>
        <v>#VALUE!</v>
      </c>
      <c r="BG750" s="45" t="e">
        <f t="shared" si="399"/>
        <v>#VALUE!</v>
      </c>
      <c r="BH750" s="45" t="e">
        <f t="shared" si="400"/>
        <v>#NUM!</v>
      </c>
      <c r="BI750" s="43" t="e">
        <f t="shared" si="401"/>
        <v>#VALUE!</v>
      </c>
      <c r="BJ750" s="18"/>
      <c r="BK750" s="18"/>
      <c r="BL750" s="20"/>
      <c r="BS750" s="18"/>
      <c r="BT750" s="18"/>
      <c r="CA750" s="41" t="s">
        <v>22</v>
      </c>
      <c r="CB750" s="18"/>
      <c r="CC750" s="18" t="s">
        <v>22</v>
      </c>
      <c r="CD750" s="18"/>
      <c r="CE750" s="41" t="s">
        <v>22</v>
      </c>
      <c r="CF750" s="41" t="s">
        <v>22</v>
      </c>
      <c r="CG750" s="41" t="e">
        <f t="shared" si="413"/>
        <v>#VALUE!</v>
      </c>
      <c r="CH750" s="41" t="e">
        <f t="shared" si="414"/>
        <v>#VALUE!</v>
      </c>
      <c r="CI750" s="41">
        <f t="shared" si="411"/>
        <v>1.3</v>
      </c>
      <c r="CJ750" s="41">
        <f t="shared" si="415"/>
        <v>0.11394335230683679</v>
      </c>
      <c r="CK750" s="18"/>
      <c r="CL750" s="9" t="s">
        <v>1269</v>
      </c>
      <c r="CM750" s="18" t="s">
        <v>1285</v>
      </c>
      <c r="CN750" s="54" t="s">
        <v>1284</v>
      </c>
      <c r="CO750" s="18" t="s">
        <v>1284</v>
      </c>
    </row>
    <row r="751" spans="1:93" x14ac:dyDescent="0.25">
      <c r="A751" s="18" t="s">
        <v>266</v>
      </c>
      <c r="B751" s="41">
        <v>0.32981132075471598</v>
      </c>
      <c r="C751" s="41" t="s">
        <v>22</v>
      </c>
      <c r="D751" s="41" t="s">
        <v>22</v>
      </c>
      <c r="E751" s="41" t="s">
        <v>22</v>
      </c>
      <c r="F751" s="18" t="s">
        <v>22</v>
      </c>
      <c r="G751" s="18" t="s">
        <v>22</v>
      </c>
      <c r="H751" s="18" t="s">
        <v>22</v>
      </c>
      <c r="I751" s="18" t="s">
        <v>22</v>
      </c>
      <c r="J751" s="41">
        <v>67.373004241592298</v>
      </c>
      <c r="K751" s="18">
        <v>532</v>
      </c>
      <c r="L751" s="41">
        <f t="shared" si="410"/>
        <v>5.3967517704013543</v>
      </c>
      <c r="M751" s="18" t="s">
        <v>23</v>
      </c>
      <c r="N751" s="41">
        <v>196.68617148316201</v>
      </c>
      <c r="O751" s="41" t="s">
        <v>22</v>
      </c>
      <c r="P751" s="41">
        <v>19.5318352059925</v>
      </c>
      <c r="R751" s="41">
        <f t="shared" si="412"/>
        <v>64.869325991050218</v>
      </c>
      <c r="S751" s="41" t="s">
        <v>22</v>
      </c>
      <c r="T751" s="41">
        <v>1.3</v>
      </c>
      <c r="U751" s="41">
        <v>1.3</v>
      </c>
      <c r="V751" s="18">
        <v>20200510</v>
      </c>
      <c r="W751" s="21"/>
      <c r="X751" s="18">
        <v>2016</v>
      </c>
      <c r="Y751" s="18" t="s">
        <v>143</v>
      </c>
      <c r="Z751" s="18" t="s">
        <v>32</v>
      </c>
      <c r="AA751" s="18"/>
      <c r="AC751" s="18" t="s">
        <v>514</v>
      </c>
      <c r="AD751" s="41" t="s">
        <v>22</v>
      </c>
      <c r="AE751" s="41" t="s">
        <v>22</v>
      </c>
      <c r="AF751" s="41" t="s">
        <v>22</v>
      </c>
      <c r="AG751" s="41" t="s">
        <v>22</v>
      </c>
      <c r="AH751" s="41" t="s">
        <v>22</v>
      </c>
      <c r="AI751" s="41" t="s">
        <v>22</v>
      </c>
      <c r="AJ751" s="41" t="s">
        <v>22</v>
      </c>
      <c r="AK751" s="41" t="s">
        <v>22</v>
      </c>
      <c r="AL751" s="41" t="s">
        <v>22</v>
      </c>
      <c r="AM751" s="43" t="e">
        <f t="shared" si="384"/>
        <v>#VALUE!</v>
      </c>
      <c r="AN751" s="43" t="e">
        <f t="shared" si="385"/>
        <v>#VALUE!</v>
      </c>
      <c r="AO751" s="19" t="s">
        <v>259</v>
      </c>
      <c r="AP751" s="18"/>
      <c r="AQ751" s="18"/>
      <c r="AR751" s="18"/>
      <c r="AS751" s="18"/>
      <c r="AT751" s="2">
        <f t="shared" si="386"/>
        <v>29</v>
      </c>
      <c r="AU751" s="45">
        <f t="shared" si="387"/>
        <v>-0.48173444130240611</v>
      </c>
      <c r="AV751" s="45" t="e">
        <f t="shared" si="388"/>
        <v>#VALUE!</v>
      </c>
      <c r="AW751" s="45" t="e">
        <f t="shared" si="389"/>
        <v>#VALUE!</v>
      </c>
      <c r="AX751" s="45">
        <f t="shared" si="390"/>
        <v>2.2937738268249199</v>
      </c>
      <c r="AY751" s="45" t="e">
        <f t="shared" si="391"/>
        <v>#VALUE!</v>
      </c>
      <c r="AZ751" s="45">
        <f t="shared" si="392"/>
        <v>1.2907430513979743</v>
      </c>
      <c r="BA751" s="45">
        <f t="shared" si="393"/>
        <v>1.8284859134868001</v>
      </c>
      <c r="BB751" s="45">
        <f t="shared" si="394"/>
        <v>0.73213244266699284</v>
      </c>
      <c r="BC751" s="45">
        <f t="shared" si="395"/>
        <v>0.11394335230683679</v>
      </c>
      <c r="BD751" s="45" t="e">
        <f t="shared" si="396"/>
        <v>#VALUE!</v>
      </c>
      <c r="BE751" s="45" t="e">
        <f t="shared" si="397"/>
        <v>#VALUE!</v>
      </c>
      <c r="BF751" s="45" t="e">
        <f t="shared" si="398"/>
        <v>#VALUE!</v>
      </c>
      <c r="BG751" s="45" t="e">
        <f t="shared" si="399"/>
        <v>#VALUE!</v>
      </c>
      <c r="BH751" s="45" t="e">
        <f t="shared" si="400"/>
        <v>#NUM!</v>
      </c>
      <c r="BI751" s="43" t="e">
        <f t="shared" si="401"/>
        <v>#VALUE!</v>
      </c>
      <c r="BJ751" s="18"/>
      <c r="BK751" s="18"/>
      <c r="BL751" s="20"/>
      <c r="BS751" s="18"/>
      <c r="BT751" s="18"/>
      <c r="CA751" s="41" t="s">
        <v>22</v>
      </c>
      <c r="CB751" s="18"/>
      <c r="CC751" s="18" t="s">
        <v>22</v>
      </c>
      <c r="CD751" s="18"/>
      <c r="CE751" s="41" t="s">
        <v>22</v>
      </c>
      <c r="CF751" s="41" t="s">
        <v>22</v>
      </c>
      <c r="CG751" s="41" t="e">
        <f t="shared" si="413"/>
        <v>#VALUE!</v>
      </c>
      <c r="CH751" s="41" t="e">
        <f t="shared" si="414"/>
        <v>#VALUE!</v>
      </c>
      <c r="CI751" s="41">
        <f t="shared" si="411"/>
        <v>1.3</v>
      </c>
      <c r="CJ751" s="41">
        <f t="shared" si="415"/>
        <v>0.11394335230683679</v>
      </c>
      <c r="CK751" s="18"/>
      <c r="CL751" s="9" t="s">
        <v>1269</v>
      </c>
      <c r="CM751" s="18" t="s">
        <v>1285</v>
      </c>
      <c r="CN751" s="54" t="s">
        <v>1284</v>
      </c>
      <c r="CO751" s="18" t="s">
        <v>1284</v>
      </c>
    </row>
    <row r="752" spans="1:93" x14ac:dyDescent="0.25">
      <c r="A752" s="18" t="s">
        <v>266</v>
      </c>
      <c r="B752" s="41">
        <v>0.49735849056603698</v>
      </c>
      <c r="C752" s="41" t="s">
        <v>22</v>
      </c>
      <c r="D752" s="41" t="s">
        <v>22</v>
      </c>
      <c r="E752" s="41" t="s">
        <v>22</v>
      </c>
      <c r="F752" s="18" t="s">
        <v>22</v>
      </c>
      <c r="G752" s="18" t="s">
        <v>22</v>
      </c>
      <c r="H752" s="18" t="s">
        <v>22</v>
      </c>
      <c r="I752" s="18" t="s">
        <v>22</v>
      </c>
      <c r="J752" s="41">
        <v>44.265630694551</v>
      </c>
      <c r="K752" s="18">
        <v>532</v>
      </c>
      <c r="L752" s="41">
        <f t="shared" si="410"/>
        <v>3.5457914265202533</v>
      </c>
      <c r="M752" s="18" t="s">
        <v>23</v>
      </c>
      <c r="N752" s="41">
        <v>241.98113207547101</v>
      </c>
      <c r="O752" s="41" t="s">
        <v>22</v>
      </c>
      <c r="P752" s="41">
        <v>33.295880149812703</v>
      </c>
      <c r="R752" s="41">
        <f t="shared" si="412"/>
        <v>120.35137059451709</v>
      </c>
      <c r="S752" s="41" t="s">
        <v>22</v>
      </c>
      <c r="T752" s="41">
        <v>2</v>
      </c>
      <c r="U752" s="41">
        <v>2</v>
      </c>
      <c r="V752" s="18">
        <v>20200510</v>
      </c>
      <c r="W752" s="21"/>
      <c r="X752" s="18">
        <v>2016</v>
      </c>
      <c r="Y752" s="18" t="s">
        <v>143</v>
      </c>
      <c r="Z752" s="18" t="s">
        <v>32</v>
      </c>
      <c r="AA752" s="18"/>
      <c r="AC752" s="18" t="s">
        <v>514</v>
      </c>
      <c r="AD752" s="41" t="s">
        <v>22</v>
      </c>
      <c r="AE752" s="41" t="s">
        <v>22</v>
      </c>
      <c r="AF752" s="41" t="s">
        <v>22</v>
      </c>
      <c r="AG752" s="41" t="s">
        <v>22</v>
      </c>
      <c r="AH752" s="41" t="s">
        <v>22</v>
      </c>
      <c r="AI752" s="41" t="s">
        <v>22</v>
      </c>
      <c r="AJ752" s="41" t="s">
        <v>22</v>
      </c>
      <c r="AK752" s="41" t="s">
        <v>22</v>
      </c>
      <c r="AL752" s="41" t="s">
        <v>22</v>
      </c>
      <c r="AM752" s="43" t="e">
        <f t="shared" si="384"/>
        <v>#VALUE!</v>
      </c>
      <c r="AN752" s="43" t="e">
        <f t="shared" si="385"/>
        <v>#VALUE!</v>
      </c>
      <c r="AO752" s="19" t="s">
        <v>259</v>
      </c>
      <c r="AP752" s="18"/>
      <c r="AQ752" s="18"/>
      <c r="AR752" s="18"/>
      <c r="AS752" s="18"/>
      <c r="AT752" s="2">
        <f t="shared" si="386"/>
        <v>29</v>
      </c>
      <c r="AU752" s="45">
        <f t="shared" si="387"/>
        <v>-0.30333046367881744</v>
      </c>
      <c r="AV752" s="45" t="e">
        <f t="shared" si="388"/>
        <v>#VALUE!</v>
      </c>
      <c r="AW752" s="45" t="e">
        <f t="shared" si="389"/>
        <v>#VALUE!</v>
      </c>
      <c r="AX752" s="45">
        <f t="shared" si="390"/>
        <v>2.3837815041830637</v>
      </c>
      <c r="AY752" s="45" t="e">
        <f t="shared" si="391"/>
        <v>#VALUE!</v>
      </c>
      <c r="AZ752" s="45">
        <f t="shared" si="392"/>
        <v>1.5223904996056381</v>
      </c>
      <c r="BA752" s="45">
        <f t="shared" si="393"/>
        <v>1.6460666564063569</v>
      </c>
      <c r="BB752" s="45">
        <f t="shared" si="394"/>
        <v>0.54971318558654958</v>
      </c>
      <c r="BC752" s="45">
        <f t="shared" si="395"/>
        <v>0.3010299956639812</v>
      </c>
      <c r="BD752" s="45" t="e">
        <f t="shared" si="396"/>
        <v>#VALUE!</v>
      </c>
      <c r="BE752" s="45" t="e">
        <f t="shared" si="397"/>
        <v>#VALUE!</v>
      </c>
      <c r="BF752" s="45" t="e">
        <f t="shared" si="398"/>
        <v>#VALUE!</v>
      </c>
      <c r="BG752" s="45" t="e">
        <f t="shared" si="399"/>
        <v>#VALUE!</v>
      </c>
      <c r="BH752" s="45" t="e">
        <f t="shared" si="400"/>
        <v>#NUM!</v>
      </c>
      <c r="BI752" s="43" t="e">
        <f t="shared" si="401"/>
        <v>#VALUE!</v>
      </c>
      <c r="BJ752" s="18"/>
      <c r="BK752" s="18"/>
      <c r="BL752" s="20"/>
      <c r="BS752" s="18"/>
      <c r="BT752" s="18"/>
      <c r="CA752" s="41" t="s">
        <v>22</v>
      </c>
      <c r="CB752" s="18"/>
      <c r="CC752" s="18" t="s">
        <v>22</v>
      </c>
      <c r="CD752" s="18"/>
      <c r="CE752" s="41" t="s">
        <v>22</v>
      </c>
      <c r="CF752" s="41" t="s">
        <v>22</v>
      </c>
      <c r="CG752" s="41" t="e">
        <f t="shared" si="413"/>
        <v>#VALUE!</v>
      </c>
      <c r="CH752" s="41" t="e">
        <f t="shared" si="414"/>
        <v>#VALUE!</v>
      </c>
      <c r="CI752" s="41">
        <f t="shared" si="411"/>
        <v>2</v>
      </c>
      <c r="CJ752" s="41">
        <f t="shared" si="415"/>
        <v>0.3010299956639812</v>
      </c>
      <c r="CK752" s="18"/>
      <c r="CL752" s="9" t="s">
        <v>1269</v>
      </c>
      <c r="CM752" s="18" t="s">
        <v>1285</v>
      </c>
      <c r="CN752" s="54" t="s">
        <v>1284</v>
      </c>
      <c r="CO752" s="18" t="s">
        <v>1284</v>
      </c>
    </row>
    <row r="753" spans="1:93" x14ac:dyDescent="0.25">
      <c r="A753" t="s">
        <v>266</v>
      </c>
      <c r="B753" s="41">
        <v>0.37509433962264105</v>
      </c>
      <c r="C753" s="41" t="s">
        <v>22</v>
      </c>
      <c r="D753" s="41" t="s">
        <v>22</v>
      </c>
      <c r="E753" s="41" t="s">
        <v>22</v>
      </c>
      <c r="F753" t="s">
        <v>22</v>
      </c>
      <c r="G753" t="s">
        <v>22</v>
      </c>
      <c r="H753" t="s">
        <v>22</v>
      </c>
      <c r="I753" t="s">
        <v>22</v>
      </c>
      <c r="J753" s="41">
        <v>48.464186847186298</v>
      </c>
      <c r="K753">
        <v>532</v>
      </c>
      <c r="L753" s="41">
        <f t="shared" si="410"/>
        <v>3.8821066258338073</v>
      </c>
      <c r="M753" t="s">
        <v>23</v>
      </c>
      <c r="N753" s="41">
        <v>178.425284611097</v>
      </c>
      <c r="O753" s="41" t="s">
        <v>22</v>
      </c>
      <c r="P753" s="41">
        <v>19.344569288389501</v>
      </c>
      <c r="R753" s="41">
        <f t="shared" si="412"/>
        <v>66.926314303181201</v>
      </c>
      <c r="S753" s="41" t="s">
        <v>22</v>
      </c>
      <c r="T753" s="41">
        <v>2</v>
      </c>
      <c r="U753" s="41">
        <v>2</v>
      </c>
      <c r="V753">
        <v>20200510</v>
      </c>
      <c r="W753" s="21"/>
      <c r="X753" s="18">
        <v>2016</v>
      </c>
      <c r="Y753" t="s">
        <v>143</v>
      </c>
      <c r="Z753" t="s">
        <v>32</v>
      </c>
      <c r="AC753" t="s">
        <v>514</v>
      </c>
      <c r="AD753" s="41" t="s">
        <v>22</v>
      </c>
      <c r="AE753" s="41" t="s">
        <v>22</v>
      </c>
      <c r="AF753" s="41" t="s">
        <v>22</v>
      </c>
      <c r="AG753" s="41" t="s">
        <v>22</v>
      </c>
      <c r="AH753" s="41" t="s">
        <v>22</v>
      </c>
      <c r="AI753" s="41" t="s">
        <v>22</v>
      </c>
      <c r="AJ753" s="41" t="s">
        <v>22</v>
      </c>
      <c r="AK753" s="41" t="s">
        <v>22</v>
      </c>
      <c r="AL753" s="41" t="s">
        <v>22</v>
      </c>
      <c r="AM753" s="43" t="e">
        <f t="shared" si="384"/>
        <v>#VALUE!</v>
      </c>
      <c r="AN753" s="43" t="e">
        <f t="shared" si="385"/>
        <v>#VALUE!</v>
      </c>
      <c r="AO753" s="19" t="s">
        <v>259</v>
      </c>
      <c r="AT753" s="2">
        <f t="shared" si="386"/>
        <v>29</v>
      </c>
      <c r="AU753" s="45">
        <f t="shared" si="387"/>
        <v>-0.4258594895394951</v>
      </c>
      <c r="AV753" s="45" t="e">
        <f t="shared" si="388"/>
        <v>#VALUE!</v>
      </c>
      <c r="AW753" s="45" t="e">
        <f t="shared" si="389"/>
        <v>#VALUE!</v>
      </c>
      <c r="AX753" s="45">
        <f t="shared" si="390"/>
        <v>2.2514563981846356</v>
      </c>
      <c r="AY753" s="45" t="e">
        <f t="shared" si="391"/>
        <v>#VALUE!</v>
      </c>
      <c r="AZ753" s="45">
        <f t="shared" si="392"/>
        <v>1.2865590644910638</v>
      </c>
      <c r="BA753" s="45">
        <f t="shared" si="393"/>
        <v>1.6854209303562604</v>
      </c>
      <c r="BB753" s="45">
        <f t="shared" si="394"/>
        <v>0.58906745953645312</v>
      </c>
      <c r="BC753" s="45">
        <f t="shared" si="395"/>
        <v>0.3010299956639812</v>
      </c>
      <c r="BD753" s="45" t="e">
        <f t="shared" si="396"/>
        <v>#VALUE!</v>
      </c>
      <c r="BE753" s="45" t="e">
        <f t="shared" si="397"/>
        <v>#VALUE!</v>
      </c>
      <c r="BF753" s="45" t="e">
        <f t="shared" si="398"/>
        <v>#VALUE!</v>
      </c>
      <c r="BG753" s="45" t="e">
        <f t="shared" si="399"/>
        <v>#VALUE!</v>
      </c>
      <c r="BH753" s="45" t="e">
        <f t="shared" si="400"/>
        <v>#NUM!</v>
      </c>
      <c r="BI753" s="43" t="e">
        <f t="shared" si="401"/>
        <v>#VALUE!</v>
      </c>
      <c r="BL753" s="20"/>
      <c r="CA753" s="41" t="s">
        <v>22</v>
      </c>
      <c r="CC753" t="s">
        <v>22</v>
      </c>
      <c r="CE753" s="41" t="s">
        <v>22</v>
      </c>
      <c r="CF753" s="41" t="s">
        <v>22</v>
      </c>
      <c r="CG753" s="41" t="e">
        <f t="shared" si="413"/>
        <v>#VALUE!</v>
      </c>
      <c r="CH753" s="41" t="e">
        <f t="shared" si="414"/>
        <v>#VALUE!</v>
      </c>
      <c r="CI753" s="41">
        <f t="shared" si="411"/>
        <v>2</v>
      </c>
      <c r="CJ753" s="41">
        <f t="shared" si="415"/>
        <v>0.3010299956639812</v>
      </c>
      <c r="CL753" s="9" t="s">
        <v>1269</v>
      </c>
      <c r="CM753" s="18" t="s">
        <v>1285</v>
      </c>
      <c r="CN753" s="54" t="s">
        <v>1284</v>
      </c>
      <c r="CO753" s="18" t="s">
        <v>1284</v>
      </c>
    </row>
    <row r="754" spans="1:93" x14ac:dyDescent="0.25">
      <c r="A754" s="18" t="s">
        <v>266</v>
      </c>
      <c r="B754" s="41">
        <v>0.37811320754716898</v>
      </c>
      <c r="C754" s="41" t="s">
        <v>22</v>
      </c>
      <c r="D754" s="41" t="s">
        <v>22</v>
      </c>
      <c r="E754" s="41" t="s">
        <v>22</v>
      </c>
      <c r="F754" t="s">
        <v>22</v>
      </c>
      <c r="G754" t="s">
        <v>22</v>
      </c>
      <c r="H754" t="s">
        <v>22</v>
      </c>
      <c r="I754" t="s">
        <v>22</v>
      </c>
      <c r="J754" s="41">
        <v>77.710625693038907</v>
      </c>
      <c r="K754">
        <v>532</v>
      </c>
      <c r="L754" s="41">
        <f t="shared" si="410"/>
        <v>6.2248219670305271</v>
      </c>
      <c r="M754" t="s">
        <v>23</v>
      </c>
      <c r="N754" s="41">
        <v>268.96146803598401</v>
      </c>
      <c r="O754" s="41" t="s">
        <v>22</v>
      </c>
      <c r="P754" s="41">
        <v>22.996254681647901</v>
      </c>
      <c r="R754" s="41">
        <f t="shared" si="412"/>
        <v>101.69788338568128</v>
      </c>
      <c r="S754" s="41" t="s">
        <v>22</v>
      </c>
      <c r="T754" s="41">
        <v>2</v>
      </c>
      <c r="U754" s="41">
        <v>2</v>
      </c>
      <c r="V754">
        <v>20200510</v>
      </c>
      <c r="X754" s="18">
        <v>2016</v>
      </c>
      <c r="Y754" s="18" t="s">
        <v>143</v>
      </c>
      <c r="Z754" s="18" t="s">
        <v>32</v>
      </c>
      <c r="AC754" t="s">
        <v>514</v>
      </c>
      <c r="AD754" s="41" t="s">
        <v>22</v>
      </c>
      <c r="AE754" s="41" t="s">
        <v>22</v>
      </c>
      <c r="AF754" s="41" t="s">
        <v>22</v>
      </c>
      <c r="AG754" s="41" t="s">
        <v>22</v>
      </c>
      <c r="AH754" s="41" t="s">
        <v>22</v>
      </c>
      <c r="AI754" s="41" t="s">
        <v>22</v>
      </c>
      <c r="AJ754" s="41" t="s">
        <v>22</v>
      </c>
      <c r="AK754" s="41" t="s">
        <v>22</v>
      </c>
      <c r="AL754" s="41" t="s">
        <v>22</v>
      </c>
      <c r="AM754" s="43" t="e">
        <f t="shared" si="384"/>
        <v>#VALUE!</v>
      </c>
      <c r="AN754" s="43" t="e">
        <f t="shared" si="385"/>
        <v>#VALUE!</v>
      </c>
      <c r="AO754" s="3" t="s">
        <v>259</v>
      </c>
      <c r="AT754" s="2">
        <f t="shared" si="386"/>
        <v>29</v>
      </c>
      <c r="AU754" s="45">
        <f t="shared" si="387"/>
        <v>-0.42237815240558191</v>
      </c>
      <c r="AV754" s="45" t="e">
        <f t="shared" si="388"/>
        <v>#VALUE!</v>
      </c>
      <c r="AW754" s="45" t="e">
        <f t="shared" si="389"/>
        <v>#VALUE!</v>
      </c>
      <c r="AX754" s="45">
        <f t="shared" si="390"/>
        <v>2.4296900665526651</v>
      </c>
      <c r="AY754" s="45" t="e">
        <f t="shared" si="391"/>
        <v>#VALUE!</v>
      </c>
      <c r="AZ754" s="45">
        <f t="shared" si="392"/>
        <v>1.3616571097765917</v>
      </c>
      <c r="BA754" s="45">
        <f t="shared" si="393"/>
        <v>1.8904804057294438</v>
      </c>
      <c r="BB754" s="45">
        <f t="shared" si="394"/>
        <v>0.79412693490963659</v>
      </c>
      <c r="BC754" s="45">
        <f t="shared" si="395"/>
        <v>0.3010299956639812</v>
      </c>
      <c r="BD754" s="45" t="e">
        <f t="shared" si="396"/>
        <v>#VALUE!</v>
      </c>
      <c r="BE754" s="45" t="e">
        <f t="shared" si="397"/>
        <v>#VALUE!</v>
      </c>
      <c r="BF754" s="45" t="e">
        <f t="shared" si="398"/>
        <v>#VALUE!</v>
      </c>
      <c r="BG754" s="45" t="e">
        <f t="shared" si="399"/>
        <v>#VALUE!</v>
      </c>
      <c r="BH754" s="45" t="e">
        <f t="shared" si="400"/>
        <v>#NUM!</v>
      </c>
      <c r="BI754" s="43" t="e">
        <f t="shared" si="401"/>
        <v>#VALUE!</v>
      </c>
      <c r="CA754" s="41" t="s">
        <v>22</v>
      </c>
      <c r="CC754" t="s">
        <v>22</v>
      </c>
      <c r="CE754" s="41" t="s">
        <v>22</v>
      </c>
      <c r="CF754" s="41" t="s">
        <v>22</v>
      </c>
      <c r="CG754" s="41" t="e">
        <f t="shared" si="413"/>
        <v>#VALUE!</v>
      </c>
      <c r="CH754" s="41" t="e">
        <f t="shared" si="414"/>
        <v>#VALUE!</v>
      </c>
      <c r="CI754" s="41">
        <f t="shared" si="411"/>
        <v>2</v>
      </c>
      <c r="CJ754" s="41">
        <f t="shared" si="415"/>
        <v>0.3010299956639812</v>
      </c>
      <c r="CL754" s="9" t="s">
        <v>1269</v>
      </c>
      <c r="CM754" s="18" t="s">
        <v>1285</v>
      </c>
      <c r="CN754" s="54" t="s">
        <v>1284</v>
      </c>
      <c r="CO754" s="18" t="s">
        <v>1284</v>
      </c>
    </row>
    <row r="755" spans="1:93" x14ac:dyDescent="0.25">
      <c r="A755" s="18" t="s">
        <v>266</v>
      </c>
      <c r="B755" s="41">
        <v>0.63773584905660297</v>
      </c>
      <c r="C755" s="41" t="s">
        <v>22</v>
      </c>
      <c r="D755" s="41" t="s">
        <v>22</v>
      </c>
      <c r="E755" s="41" t="s">
        <v>22</v>
      </c>
      <c r="F755" t="s">
        <v>22</v>
      </c>
      <c r="G755" t="s">
        <v>22</v>
      </c>
      <c r="H755" t="s">
        <v>22</v>
      </c>
      <c r="I755" t="s">
        <v>22</v>
      </c>
      <c r="J755" s="41">
        <v>33.194454137297299</v>
      </c>
      <c r="K755">
        <v>532</v>
      </c>
      <c r="L755" s="41">
        <f t="shared" si="410"/>
        <v>2.6589615699870097</v>
      </c>
      <c r="M755" t="s">
        <v>23</v>
      </c>
      <c r="N755" s="41">
        <v>313.05230475280598</v>
      </c>
      <c r="O755" s="41" t="s">
        <v>22</v>
      </c>
      <c r="P755" s="41">
        <v>40.318352059925097</v>
      </c>
      <c r="R755" s="41">
        <f t="shared" si="412"/>
        <v>199.64467737065715</v>
      </c>
      <c r="S755" s="41" t="s">
        <v>22</v>
      </c>
      <c r="T755" s="41">
        <v>1.4</v>
      </c>
      <c r="U755" s="41">
        <v>1.4</v>
      </c>
      <c r="V755">
        <v>20200510</v>
      </c>
      <c r="X755" s="18">
        <v>2016</v>
      </c>
      <c r="Y755" s="18" t="s">
        <v>143</v>
      </c>
      <c r="Z755" s="18" t="s">
        <v>32</v>
      </c>
      <c r="AC755" t="s">
        <v>514</v>
      </c>
      <c r="AD755" s="41" t="s">
        <v>22</v>
      </c>
      <c r="AE755" s="41" t="s">
        <v>22</v>
      </c>
      <c r="AF755" s="41" t="s">
        <v>22</v>
      </c>
      <c r="AG755" s="41" t="s">
        <v>22</v>
      </c>
      <c r="AH755" s="41" t="s">
        <v>22</v>
      </c>
      <c r="AI755" s="41" t="s">
        <v>22</v>
      </c>
      <c r="AJ755" s="41" t="s">
        <v>22</v>
      </c>
      <c r="AK755" s="41" t="s">
        <v>22</v>
      </c>
      <c r="AL755" s="41" t="s">
        <v>22</v>
      </c>
      <c r="AM755" s="43" t="e">
        <f t="shared" si="384"/>
        <v>#VALUE!</v>
      </c>
      <c r="AN755" s="43" t="e">
        <f t="shared" si="385"/>
        <v>#VALUE!</v>
      </c>
      <c r="AO755" s="19" t="s">
        <v>259</v>
      </c>
      <c r="AT755" s="2">
        <f t="shared" si="386"/>
        <v>29</v>
      </c>
      <c r="AU755" s="45">
        <f t="shared" si="387"/>
        <v>-0.19535916932313485</v>
      </c>
      <c r="AV755" s="45" t="e">
        <f t="shared" si="388"/>
        <v>#VALUE!</v>
      </c>
      <c r="AW755" s="45" t="e">
        <f t="shared" si="389"/>
        <v>#VALUE!</v>
      </c>
      <c r="AX755" s="45">
        <f t="shared" si="390"/>
        <v>2.4956169054945301</v>
      </c>
      <c r="AY755" s="45" t="e">
        <f t="shared" si="391"/>
        <v>#VALUE!</v>
      </c>
      <c r="AZ755" s="45">
        <f t="shared" si="392"/>
        <v>1.6055027727949307</v>
      </c>
      <c r="BA755" s="45">
        <f t="shared" si="393"/>
        <v>1.5210655313318218</v>
      </c>
      <c r="BB755" s="45">
        <f t="shared" si="394"/>
        <v>0.42471206051201438</v>
      </c>
      <c r="BC755" s="45">
        <f t="shared" si="395"/>
        <v>0.14612803567823801</v>
      </c>
      <c r="BD755" s="45" t="e">
        <f t="shared" si="396"/>
        <v>#VALUE!</v>
      </c>
      <c r="BE755" s="45" t="e">
        <f t="shared" si="397"/>
        <v>#VALUE!</v>
      </c>
      <c r="BF755" s="45" t="e">
        <f t="shared" si="398"/>
        <v>#VALUE!</v>
      </c>
      <c r="BG755" s="45" t="e">
        <f t="shared" si="399"/>
        <v>#VALUE!</v>
      </c>
      <c r="BH755" s="45" t="e">
        <f t="shared" si="400"/>
        <v>#NUM!</v>
      </c>
      <c r="BI755" s="43" t="e">
        <f t="shared" si="401"/>
        <v>#VALUE!</v>
      </c>
      <c r="CA755" s="41" t="s">
        <v>22</v>
      </c>
      <c r="CC755" t="s">
        <v>22</v>
      </c>
      <c r="CE755" s="41" t="s">
        <v>22</v>
      </c>
      <c r="CF755" s="41" t="s">
        <v>22</v>
      </c>
      <c r="CG755" s="41" t="e">
        <f t="shared" si="413"/>
        <v>#VALUE!</v>
      </c>
      <c r="CH755" s="41" t="e">
        <f t="shared" si="414"/>
        <v>#VALUE!</v>
      </c>
      <c r="CI755" s="41">
        <f t="shared" si="411"/>
        <v>1.4</v>
      </c>
      <c r="CJ755" s="41">
        <f t="shared" si="415"/>
        <v>0.14612803567823801</v>
      </c>
      <c r="CL755" s="9" t="s">
        <v>1269</v>
      </c>
      <c r="CM755" s="18" t="s">
        <v>1285</v>
      </c>
      <c r="CN755" s="54" t="s">
        <v>1284</v>
      </c>
      <c r="CO755" s="18" t="s">
        <v>1284</v>
      </c>
    </row>
    <row r="756" spans="1:93" x14ac:dyDescent="0.25">
      <c r="A756" s="18" t="s">
        <v>266</v>
      </c>
      <c r="B756" s="41">
        <v>0.63169811320754699</v>
      </c>
      <c r="C756" s="41" t="s">
        <v>22</v>
      </c>
      <c r="D756" s="41" t="s">
        <v>22</v>
      </c>
      <c r="E756" s="41" t="s">
        <v>22</v>
      </c>
      <c r="F756" t="s">
        <v>22</v>
      </c>
      <c r="G756" t="s">
        <v>22</v>
      </c>
      <c r="H756" t="s">
        <v>22</v>
      </c>
      <c r="I756" t="s">
        <v>22</v>
      </c>
      <c r="J756" s="41">
        <v>47.565077814222803</v>
      </c>
      <c r="K756">
        <v>532</v>
      </c>
      <c r="L756" s="41">
        <f t="shared" si="410"/>
        <v>3.8100856684778033</v>
      </c>
      <c r="M756" t="s">
        <v>23</v>
      </c>
      <c r="N756" s="41">
        <v>282.843722633548</v>
      </c>
      <c r="O756" s="41" t="s">
        <v>22</v>
      </c>
      <c r="P756" s="41">
        <v>36.479400749063601</v>
      </c>
      <c r="R756" s="41">
        <f t="shared" si="412"/>
        <v>178.67184592021101</v>
      </c>
      <c r="S756" s="41" t="s">
        <v>22</v>
      </c>
      <c r="T756" s="41">
        <v>1.4</v>
      </c>
      <c r="U756" s="41">
        <v>1.4</v>
      </c>
      <c r="V756">
        <v>20200510</v>
      </c>
      <c r="X756" s="18">
        <v>2016</v>
      </c>
      <c r="Y756" s="18" t="s">
        <v>143</v>
      </c>
      <c r="Z756" s="18" t="s">
        <v>32</v>
      </c>
      <c r="AC756" t="s">
        <v>514</v>
      </c>
      <c r="AD756" s="41" t="s">
        <v>22</v>
      </c>
      <c r="AE756" s="41" t="s">
        <v>22</v>
      </c>
      <c r="AF756" s="41" t="s">
        <v>22</v>
      </c>
      <c r="AG756" s="41" t="s">
        <v>22</v>
      </c>
      <c r="AH756" s="41" t="s">
        <v>22</v>
      </c>
      <c r="AI756" s="41" t="s">
        <v>22</v>
      </c>
      <c r="AJ756" s="41" t="s">
        <v>22</v>
      </c>
      <c r="AK756" s="41" t="s">
        <v>22</v>
      </c>
      <c r="AL756" s="41" t="s">
        <v>22</v>
      </c>
      <c r="AM756" s="43" t="e">
        <f t="shared" si="384"/>
        <v>#VALUE!</v>
      </c>
      <c r="AN756" s="43" t="e">
        <f t="shared" si="385"/>
        <v>#VALUE!</v>
      </c>
      <c r="AO756" s="19" t="s">
        <v>259</v>
      </c>
      <c r="AT756" s="2">
        <f t="shared" si="386"/>
        <v>29</v>
      </c>
      <c r="AU756" s="45">
        <f t="shared" si="387"/>
        <v>-0.19949042027956679</v>
      </c>
      <c r="AV756" s="45" t="e">
        <f t="shared" si="388"/>
        <v>#VALUE!</v>
      </c>
      <c r="AW756" s="45" t="e">
        <f t="shared" si="389"/>
        <v>#VALUE!</v>
      </c>
      <c r="AX756" s="45">
        <f t="shared" si="390"/>
        <v>2.4515465445547262</v>
      </c>
      <c r="AY756" s="45" t="e">
        <f t="shared" si="391"/>
        <v>#VALUE!</v>
      </c>
      <c r="AZ756" s="45">
        <f t="shared" si="392"/>
        <v>1.5620476955140394</v>
      </c>
      <c r="BA756" s="45">
        <f t="shared" si="393"/>
        <v>1.6772882115686301</v>
      </c>
      <c r="BB756" s="45">
        <f t="shared" si="394"/>
        <v>0.58093474074882279</v>
      </c>
      <c r="BC756" s="45">
        <f t="shared" si="395"/>
        <v>0.14612803567823801</v>
      </c>
      <c r="BD756" s="45" t="e">
        <f t="shared" si="396"/>
        <v>#VALUE!</v>
      </c>
      <c r="BE756" s="45" t="e">
        <f t="shared" si="397"/>
        <v>#VALUE!</v>
      </c>
      <c r="BF756" s="45" t="e">
        <f t="shared" si="398"/>
        <v>#VALUE!</v>
      </c>
      <c r="BG756" s="45" t="e">
        <f t="shared" si="399"/>
        <v>#VALUE!</v>
      </c>
      <c r="BH756" s="45" t="e">
        <f t="shared" si="400"/>
        <v>#NUM!</v>
      </c>
      <c r="BI756" s="43" t="e">
        <f t="shared" si="401"/>
        <v>#VALUE!</v>
      </c>
      <c r="CA756" s="41" t="s">
        <v>22</v>
      </c>
      <c r="CC756" t="s">
        <v>22</v>
      </c>
      <c r="CE756" s="41" t="s">
        <v>22</v>
      </c>
      <c r="CF756" s="41" t="s">
        <v>22</v>
      </c>
      <c r="CG756" s="41" t="e">
        <f t="shared" si="413"/>
        <v>#VALUE!</v>
      </c>
      <c r="CH756" s="41" t="e">
        <f t="shared" si="414"/>
        <v>#VALUE!</v>
      </c>
      <c r="CI756" s="41">
        <f t="shared" si="411"/>
        <v>1.4</v>
      </c>
      <c r="CJ756" s="41">
        <f t="shared" si="415"/>
        <v>0.14612803567823801</v>
      </c>
      <c r="CL756" s="9" t="s">
        <v>1269</v>
      </c>
      <c r="CM756" s="18" t="s">
        <v>1285</v>
      </c>
      <c r="CN756" s="54" t="s">
        <v>1284</v>
      </c>
      <c r="CO756" s="18" t="s">
        <v>1284</v>
      </c>
    </row>
    <row r="757" spans="1:93" x14ac:dyDescent="0.25">
      <c r="A757" s="18" t="s">
        <v>266</v>
      </c>
      <c r="B757" s="41">
        <v>0.61207547169811294</v>
      </c>
      <c r="C757" s="41" t="s">
        <v>22</v>
      </c>
      <c r="D757" s="41" t="s">
        <v>22</v>
      </c>
      <c r="E757" s="41" t="s">
        <v>22</v>
      </c>
      <c r="F757" t="s">
        <v>22</v>
      </c>
      <c r="G757" t="s">
        <v>22</v>
      </c>
      <c r="H757" t="s">
        <v>22</v>
      </c>
      <c r="I757" t="s">
        <v>22</v>
      </c>
      <c r="J757" s="41">
        <v>49.917727064771498</v>
      </c>
      <c r="K757">
        <v>532</v>
      </c>
      <c r="L757" s="41">
        <f t="shared" si="410"/>
        <v>3.9985389540475431</v>
      </c>
      <c r="M757" t="s">
        <v>23</v>
      </c>
      <c r="N757" s="41">
        <v>368.31661491919402</v>
      </c>
      <c r="O757" s="41" t="s">
        <v>22</v>
      </c>
      <c r="P757" s="41">
        <v>34.981273408239701</v>
      </c>
      <c r="R757" s="41">
        <f t="shared" si="412"/>
        <v>225.4375658109179</v>
      </c>
      <c r="S757" s="41" t="s">
        <v>22</v>
      </c>
      <c r="T757" s="41">
        <v>1.4</v>
      </c>
      <c r="U757" s="41">
        <v>1.4</v>
      </c>
      <c r="V757">
        <v>20200510</v>
      </c>
      <c r="X757" s="18">
        <v>2016</v>
      </c>
      <c r="Y757" s="18" t="s">
        <v>143</v>
      </c>
      <c r="Z757" s="18" t="s">
        <v>32</v>
      </c>
      <c r="AC757" t="s">
        <v>514</v>
      </c>
      <c r="AD757" s="41" t="s">
        <v>22</v>
      </c>
      <c r="AE757" s="41" t="s">
        <v>22</v>
      </c>
      <c r="AF757" s="41" t="s">
        <v>22</v>
      </c>
      <c r="AG757" s="41" t="s">
        <v>22</v>
      </c>
      <c r="AH757" s="41" t="s">
        <v>22</v>
      </c>
      <c r="AI757" s="41" t="s">
        <v>22</v>
      </c>
      <c r="AJ757" s="41" t="s">
        <v>22</v>
      </c>
      <c r="AK757" s="41" t="s">
        <v>22</v>
      </c>
      <c r="AL757" s="41" t="s">
        <v>22</v>
      </c>
      <c r="AM757" s="43" t="e">
        <f t="shared" si="384"/>
        <v>#VALUE!</v>
      </c>
      <c r="AN757" s="43" t="e">
        <f t="shared" si="385"/>
        <v>#VALUE!</v>
      </c>
      <c r="AO757" s="19" t="s">
        <v>259</v>
      </c>
      <c r="AT757" s="2">
        <f t="shared" si="386"/>
        <v>29</v>
      </c>
      <c r="AU757" s="45">
        <f t="shared" si="387"/>
        <v>-0.21319502406167082</v>
      </c>
      <c r="AV757" s="45" t="e">
        <f t="shared" si="388"/>
        <v>#VALUE!</v>
      </c>
      <c r="AW757" s="45" t="e">
        <f t="shared" si="389"/>
        <v>#VALUE!</v>
      </c>
      <c r="AX757" s="45">
        <f t="shared" si="390"/>
        <v>2.5662213105056533</v>
      </c>
      <c r="AY757" s="45" t="e">
        <f t="shared" si="391"/>
        <v>#VALUE!</v>
      </c>
      <c r="AZ757" s="45">
        <f t="shared" si="392"/>
        <v>1.5438356148655181</v>
      </c>
      <c r="BA757" s="45">
        <f t="shared" si="393"/>
        <v>1.6982548021210668</v>
      </c>
      <c r="BB757" s="45">
        <f t="shared" si="394"/>
        <v>0.60190133130125956</v>
      </c>
      <c r="BC757" s="45">
        <f t="shared" si="395"/>
        <v>0.14612803567823801</v>
      </c>
      <c r="BD757" s="45" t="e">
        <f t="shared" si="396"/>
        <v>#VALUE!</v>
      </c>
      <c r="BE757" s="45" t="e">
        <f t="shared" si="397"/>
        <v>#VALUE!</v>
      </c>
      <c r="BF757" s="45" t="e">
        <f t="shared" si="398"/>
        <v>#VALUE!</v>
      </c>
      <c r="BG757" s="45" t="e">
        <f t="shared" si="399"/>
        <v>#VALUE!</v>
      </c>
      <c r="BH757" s="45" t="e">
        <f t="shared" si="400"/>
        <v>#NUM!</v>
      </c>
      <c r="BI757" s="43" t="e">
        <f t="shared" si="401"/>
        <v>#VALUE!</v>
      </c>
      <c r="CA757" s="41" t="s">
        <v>22</v>
      </c>
      <c r="CC757" t="s">
        <v>22</v>
      </c>
      <c r="CE757" s="41" t="s">
        <v>22</v>
      </c>
      <c r="CF757" s="41" t="s">
        <v>22</v>
      </c>
      <c r="CG757" s="41" t="e">
        <f t="shared" si="413"/>
        <v>#VALUE!</v>
      </c>
      <c r="CH757" s="41" t="e">
        <f t="shared" si="414"/>
        <v>#VALUE!</v>
      </c>
      <c r="CI757" s="41">
        <f t="shared" si="411"/>
        <v>1.4</v>
      </c>
      <c r="CJ757" s="41">
        <f t="shared" si="415"/>
        <v>0.14612803567823801</v>
      </c>
      <c r="CL757" s="9" t="s">
        <v>1269</v>
      </c>
      <c r="CM757" s="18" t="s">
        <v>1285</v>
      </c>
      <c r="CN757" s="54" t="s">
        <v>1284</v>
      </c>
      <c r="CO757" s="18" t="s">
        <v>1284</v>
      </c>
    </row>
    <row r="758" spans="1:93" x14ac:dyDescent="0.25">
      <c r="A758" t="s">
        <v>315</v>
      </c>
      <c r="B758" s="41">
        <v>2.1881838074398245E-2</v>
      </c>
      <c r="C758" s="41" t="s">
        <v>22</v>
      </c>
      <c r="D758" s="41" t="s">
        <v>22</v>
      </c>
      <c r="E758" s="41" t="s">
        <v>22</v>
      </c>
      <c r="F758" t="s">
        <v>22</v>
      </c>
      <c r="G758" t="s">
        <v>22</v>
      </c>
      <c r="H758" t="s">
        <v>22</v>
      </c>
      <c r="I758" t="s">
        <v>22</v>
      </c>
      <c r="J758" s="41" t="s">
        <v>22</v>
      </c>
      <c r="K758" t="s">
        <v>22</v>
      </c>
      <c r="M758" t="s">
        <v>23</v>
      </c>
      <c r="N758" s="41" t="s">
        <v>22</v>
      </c>
      <c r="O758" s="41" t="s">
        <v>22</v>
      </c>
      <c r="P758" s="41" t="s">
        <v>22</v>
      </c>
      <c r="R758" s="41" t="s">
        <v>22</v>
      </c>
      <c r="S758" s="41" t="s">
        <v>22</v>
      </c>
      <c r="T758" s="41">
        <v>2.1800000000000002</v>
      </c>
      <c r="U758" s="41">
        <v>2.1800000000000002</v>
      </c>
      <c r="V758">
        <v>20200512</v>
      </c>
      <c r="W758" s="16" t="s">
        <v>604</v>
      </c>
      <c r="X758" s="6">
        <v>2016</v>
      </c>
      <c r="Z758" t="s">
        <v>32</v>
      </c>
      <c r="AA758" s="18"/>
      <c r="AC758" t="s">
        <v>514</v>
      </c>
      <c r="AD758" s="41" t="s">
        <v>22</v>
      </c>
      <c r="AE758" s="41" t="s">
        <v>22</v>
      </c>
      <c r="AF758" s="41" t="s">
        <v>22</v>
      </c>
      <c r="AG758" s="41" t="s">
        <v>22</v>
      </c>
      <c r="AH758" s="41" t="s">
        <v>22</v>
      </c>
      <c r="AI758" s="41" t="s">
        <v>22</v>
      </c>
      <c r="AJ758" s="41" t="s">
        <v>22</v>
      </c>
      <c r="AK758" s="41" t="s">
        <v>22</v>
      </c>
      <c r="AL758" s="41" t="s">
        <v>22</v>
      </c>
      <c r="AM758" s="43" t="e">
        <f t="shared" si="384"/>
        <v>#VALUE!</v>
      </c>
      <c r="AN758" s="43" t="e">
        <f t="shared" si="385"/>
        <v>#VALUE!</v>
      </c>
      <c r="AO758" s="3" t="s">
        <v>605</v>
      </c>
      <c r="AT758" s="2">
        <f t="shared" si="386"/>
        <v>4</v>
      </c>
      <c r="AU758" s="45">
        <f t="shared" si="387"/>
        <v>-1.6599162000698504</v>
      </c>
      <c r="AV758" s="45" t="e">
        <f t="shared" si="388"/>
        <v>#VALUE!</v>
      </c>
      <c r="AW758" s="45" t="e">
        <f t="shared" si="389"/>
        <v>#VALUE!</v>
      </c>
      <c r="AX758" s="45" t="e">
        <f t="shared" si="390"/>
        <v>#VALUE!</v>
      </c>
      <c r="AY758" s="45" t="e">
        <f t="shared" si="391"/>
        <v>#VALUE!</v>
      </c>
      <c r="AZ758" s="45" t="e">
        <f t="shared" si="392"/>
        <v>#VALUE!</v>
      </c>
      <c r="BA758" s="45" t="e">
        <f t="shared" si="393"/>
        <v>#VALUE!</v>
      </c>
      <c r="BB758" s="45" t="e">
        <f t="shared" si="394"/>
        <v>#NUM!</v>
      </c>
      <c r="BC758" s="45">
        <f t="shared" si="395"/>
        <v>0.33845649360460484</v>
      </c>
      <c r="BD758" s="45" t="e">
        <f t="shared" si="396"/>
        <v>#VALUE!</v>
      </c>
      <c r="BE758" s="45" t="e">
        <f t="shared" si="397"/>
        <v>#VALUE!</v>
      </c>
      <c r="BF758" s="45" t="e">
        <f t="shared" si="398"/>
        <v>#VALUE!</v>
      </c>
      <c r="BG758" s="45" t="e">
        <f t="shared" si="399"/>
        <v>#VALUE!</v>
      </c>
      <c r="BH758" s="45" t="e">
        <f t="shared" si="400"/>
        <v>#NUM!</v>
      </c>
      <c r="BI758" s="43" t="e">
        <f t="shared" si="401"/>
        <v>#VALUE!</v>
      </c>
      <c r="CA758" s="41" t="s">
        <v>22</v>
      </c>
      <c r="CC758" t="s">
        <v>22</v>
      </c>
      <c r="CE758" s="41" t="s">
        <v>22</v>
      </c>
      <c r="CF758" s="41" t="s">
        <v>22</v>
      </c>
      <c r="CG758" s="41" t="e">
        <f t="shared" si="413"/>
        <v>#VALUE!</v>
      </c>
      <c r="CH758" s="41" t="e">
        <f t="shared" si="414"/>
        <v>#VALUE!</v>
      </c>
      <c r="CI758" s="41">
        <f t="shared" si="411"/>
        <v>2.1800000000000002</v>
      </c>
      <c r="CJ758" s="41">
        <f t="shared" si="415"/>
        <v>0.33845649360460484</v>
      </c>
      <c r="CL758" s="9" t="s">
        <v>1269</v>
      </c>
      <c r="CM758" s="18" t="s">
        <v>1285</v>
      </c>
      <c r="CN758" s="54" t="s">
        <v>1284</v>
      </c>
      <c r="CO758" s="18" t="s">
        <v>1284</v>
      </c>
    </row>
    <row r="759" spans="1:93" x14ac:dyDescent="0.25">
      <c r="A759" t="s">
        <v>315</v>
      </c>
      <c r="B759" s="41">
        <v>2.2222222222222223E-2</v>
      </c>
      <c r="C759" s="41" t="s">
        <v>22</v>
      </c>
      <c r="D759" s="41" t="s">
        <v>22</v>
      </c>
      <c r="E759" s="41" t="s">
        <v>22</v>
      </c>
      <c r="F759" t="s">
        <v>22</v>
      </c>
      <c r="G759" t="s">
        <v>22</v>
      </c>
      <c r="H759" t="s">
        <v>22</v>
      </c>
      <c r="I759" t="s">
        <v>22</v>
      </c>
      <c r="J759" s="41" t="s">
        <v>22</v>
      </c>
      <c r="K759" t="s">
        <v>22</v>
      </c>
      <c r="M759" t="s">
        <v>23</v>
      </c>
      <c r="N759" s="41" t="s">
        <v>22</v>
      </c>
      <c r="O759" s="41" t="s">
        <v>22</v>
      </c>
      <c r="P759" s="41" t="s">
        <v>22</v>
      </c>
      <c r="R759" s="41" t="s">
        <v>22</v>
      </c>
      <c r="S759" s="41" t="s">
        <v>22</v>
      </c>
      <c r="T759" s="41">
        <v>1.91</v>
      </c>
      <c r="U759" s="41">
        <v>1.91</v>
      </c>
      <c r="V759">
        <v>20200512</v>
      </c>
      <c r="W759" s="16" t="s">
        <v>604</v>
      </c>
      <c r="X759" s="6">
        <v>2016</v>
      </c>
      <c r="Z759" t="s">
        <v>32</v>
      </c>
      <c r="AC759" t="s">
        <v>514</v>
      </c>
      <c r="AD759" s="41" t="s">
        <v>22</v>
      </c>
      <c r="AE759" s="41" t="s">
        <v>22</v>
      </c>
      <c r="AF759" s="41" t="s">
        <v>22</v>
      </c>
      <c r="AG759" s="41" t="s">
        <v>22</v>
      </c>
      <c r="AH759" s="41" t="s">
        <v>22</v>
      </c>
      <c r="AI759" s="41" t="s">
        <v>22</v>
      </c>
      <c r="AJ759" s="41" t="s">
        <v>22</v>
      </c>
      <c r="AK759" s="41" t="s">
        <v>22</v>
      </c>
      <c r="AL759" s="41" t="s">
        <v>22</v>
      </c>
      <c r="AM759" s="43" t="e">
        <f t="shared" si="384"/>
        <v>#VALUE!</v>
      </c>
      <c r="AN759" s="43" t="e">
        <f t="shared" si="385"/>
        <v>#VALUE!</v>
      </c>
      <c r="AO759" s="3" t="s">
        <v>605</v>
      </c>
      <c r="AT759" s="2">
        <f t="shared" si="386"/>
        <v>4</v>
      </c>
      <c r="AU759" s="45">
        <f t="shared" si="387"/>
        <v>-1.6532125137753437</v>
      </c>
      <c r="AV759" s="45" t="e">
        <f t="shared" si="388"/>
        <v>#VALUE!</v>
      </c>
      <c r="AW759" s="45" t="e">
        <f t="shared" si="389"/>
        <v>#VALUE!</v>
      </c>
      <c r="AX759" s="45" t="e">
        <f t="shared" si="390"/>
        <v>#VALUE!</v>
      </c>
      <c r="AY759" s="45" t="e">
        <f t="shared" si="391"/>
        <v>#VALUE!</v>
      </c>
      <c r="AZ759" s="45" t="e">
        <f t="shared" si="392"/>
        <v>#VALUE!</v>
      </c>
      <c r="BA759" s="45" t="e">
        <f t="shared" si="393"/>
        <v>#VALUE!</v>
      </c>
      <c r="BB759" s="45" t="e">
        <f t="shared" si="394"/>
        <v>#NUM!</v>
      </c>
      <c r="BC759" s="45">
        <f t="shared" si="395"/>
        <v>0.28103336724772754</v>
      </c>
      <c r="BD759" s="45" t="e">
        <f t="shared" si="396"/>
        <v>#VALUE!</v>
      </c>
      <c r="BE759" s="45" t="e">
        <f t="shared" si="397"/>
        <v>#VALUE!</v>
      </c>
      <c r="BF759" s="45" t="e">
        <f t="shared" si="398"/>
        <v>#VALUE!</v>
      </c>
      <c r="BG759" s="45" t="e">
        <f t="shared" si="399"/>
        <v>#VALUE!</v>
      </c>
      <c r="BH759" s="45" t="e">
        <f t="shared" si="400"/>
        <v>#NUM!</v>
      </c>
      <c r="BI759" s="43" t="e">
        <f t="shared" si="401"/>
        <v>#VALUE!</v>
      </c>
      <c r="CA759" s="41" t="s">
        <v>22</v>
      </c>
      <c r="CC759" t="s">
        <v>22</v>
      </c>
      <c r="CE759" s="41" t="s">
        <v>22</v>
      </c>
      <c r="CF759" s="41" t="s">
        <v>22</v>
      </c>
      <c r="CG759" s="41" t="e">
        <f t="shared" si="413"/>
        <v>#VALUE!</v>
      </c>
      <c r="CH759" s="41" t="e">
        <f t="shared" si="414"/>
        <v>#VALUE!</v>
      </c>
      <c r="CI759" s="41">
        <f t="shared" si="411"/>
        <v>1.91</v>
      </c>
      <c r="CJ759" s="41">
        <f t="shared" si="415"/>
        <v>0.28103336724772754</v>
      </c>
      <c r="CL759" s="9" t="s">
        <v>1269</v>
      </c>
      <c r="CM759" s="18" t="s">
        <v>1285</v>
      </c>
      <c r="CN759" s="54" t="s">
        <v>1284</v>
      </c>
      <c r="CO759" s="18" t="s">
        <v>1284</v>
      </c>
    </row>
    <row r="760" spans="1:93" x14ac:dyDescent="0.25">
      <c r="A760" t="s">
        <v>315</v>
      </c>
      <c r="B760" s="41">
        <v>2.150537634408602E-2</v>
      </c>
      <c r="C760" s="41" t="s">
        <v>22</v>
      </c>
      <c r="D760" s="41" t="s">
        <v>22</v>
      </c>
      <c r="E760" s="41" t="s">
        <v>22</v>
      </c>
      <c r="F760" t="s">
        <v>22</v>
      </c>
      <c r="G760" t="s">
        <v>22</v>
      </c>
      <c r="H760" t="s">
        <v>22</v>
      </c>
      <c r="I760" t="s">
        <v>22</v>
      </c>
      <c r="J760" s="41" t="s">
        <v>22</v>
      </c>
      <c r="K760" t="s">
        <v>22</v>
      </c>
      <c r="M760" t="s">
        <v>23</v>
      </c>
      <c r="N760" s="41" t="s">
        <v>22</v>
      </c>
      <c r="O760" s="41" t="s">
        <v>22</v>
      </c>
      <c r="P760" s="41" t="s">
        <v>22</v>
      </c>
      <c r="R760" s="41" t="s">
        <v>22</v>
      </c>
      <c r="S760" s="41" t="s">
        <v>22</v>
      </c>
      <c r="T760" s="41">
        <v>1.68</v>
      </c>
      <c r="U760" s="41">
        <v>1.68</v>
      </c>
      <c r="V760">
        <v>20200512</v>
      </c>
      <c r="W760" s="21" t="s">
        <v>604</v>
      </c>
      <c r="X760" s="6">
        <v>2016</v>
      </c>
      <c r="Z760" t="s">
        <v>32</v>
      </c>
      <c r="AC760" t="s">
        <v>514</v>
      </c>
      <c r="AD760" s="41" t="s">
        <v>22</v>
      </c>
      <c r="AE760" s="41" t="s">
        <v>22</v>
      </c>
      <c r="AF760" s="41" t="s">
        <v>22</v>
      </c>
      <c r="AG760" s="41" t="s">
        <v>22</v>
      </c>
      <c r="AH760" s="41" t="s">
        <v>22</v>
      </c>
      <c r="AI760" s="41" t="s">
        <v>22</v>
      </c>
      <c r="AJ760" s="41" t="s">
        <v>22</v>
      </c>
      <c r="AK760" s="41" t="s">
        <v>22</v>
      </c>
      <c r="AL760" s="41" t="s">
        <v>22</v>
      </c>
      <c r="AM760" s="43" t="e">
        <f t="shared" si="384"/>
        <v>#VALUE!</v>
      </c>
      <c r="AN760" s="43" t="e">
        <f t="shared" si="385"/>
        <v>#VALUE!</v>
      </c>
      <c r="AO760" s="19" t="s">
        <v>605</v>
      </c>
      <c r="AT760" s="2">
        <f t="shared" si="386"/>
        <v>4</v>
      </c>
      <c r="AU760" s="45">
        <f t="shared" si="387"/>
        <v>-1.667452952889954</v>
      </c>
      <c r="AV760" s="45" t="e">
        <f t="shared" si="388"/>
        <v>#VALUE!</v>
      </c>
      <c r="AW760" s="45" t="e">
        <f t="shared" si="389"/>
        <v>#VALUE!</v>
      </c>
      <c r="AX760" s="45" t="e">
        <f t="shared" si="390"/>
        <v>#VALUE!</v>
      </c>
      <c r="AY760" s="45" t="e">
        <f t="shared" si="391"/>
        <v>#VALUE!</v>
      </c>
      <c r="AZ760" s="45" t="e">
        <f t="shared" si="392"/>
        <v>#VALUE!</v>
      </c>
      <c r="BA760" s="45" t="e">
        <f t="shared" si="393"/>
        <v>#VALUE!</v>
      </c>
      <c r="BB760" s="45" t="e">
        <f t="shared" si="394"/>
        <v>#NUM!</v>
      </c>
      <c r="BC760" s="45">
        <f t="shared" si="395"/>
        <v>0.22530928172586284</v>
      </c>
      <c r="BD760" s="45" t="e">
        <f t="shared" si="396"/>
        <v>#VALUE!</v>
      </c>
      <c r="BE760" s="45" t="e">
        <f t="shared" si="397"/>
        <v>#VALUE!</v>
      </c>
      <c r="BF760" s="45" t="e">
        <f t="shared" si="398"/>
        <v>#VALUE!</v>
      </c>
      <c r="BG760" s="45" t="e">
        <f t="shared" si="399"/>
        <v>#VALUE!</v>
      </c>
      <c r="BH760" s="45" t="e">
        <f t="shared" si="400"/>
        <v>#NUM!</v>
      </c>
      <c r="BI760" s="43" t="e">
        <f t="shared" si="401"/>
        <v>#VALUE!</v>
      </c>
      <c r="BL760" s="20"/>
      <c r="CA760" s="41" t="s">
        <v>22</v>
      </c>
      <c r="CC760" t="s">
        <v>22</v>
      </c>
      <c r="CE760" s="41" t="s">
        <v>22</v>
      </c>
      <c r="CF760" s="41" t="s">
        <v>22</v>
      </c>
      <c r="CG760" s="41" t="e">
        <f t="shared" si="413"/>
        <v>#VALUE!</v>
      </c>
      <c r="CH760" s="41" t="e">
        <f t="shared" si="414"/>
        <v>#VALUE!</v>
      </c>
      <c r="CI760" s="41">
        <f t="shared" si="411"/>
        <v>1.68</v>
      </c>
      <c r="CJ760" s="41">
        <f t="shared" si="415"/>
        <v>0.22530928172586284</v>
      </c>
      <c r="CL760" s="9" t="s">
        <v>1269</v>
      </c>
      <c r="CM760" s="18" t="s">
        <v>1285</v>
      </c>
      <c r="CN760" s="54" t="s">
        <v>1284</v>
      </c>
      <c r="CO760" s="18" t="s">
        <v>1284</v>
      </c>
    </row>
    <row r="761" spans="1:93" x14ac:dyDescent="0.25">
      <c r="A761" t="s">
        <v>315</v>
      </c>
      <c r="B761" s="41">
        <v>5.9417706476530005E-3</v>
      </c>
      <c r="C761" s="41" t="s">
        <v>22</v>
      </c>
      <c r="D761" s="41" t="s">
        <v>22</v>
      </c>
      <c r="E761" s="41" t="s">
        <v>22</v>
      </c>
      <c r="F761" t="s">
        <v>22</v>
      </c>
      <c r="G761" t="s">
        <v>22</v>
      </c>
      <c r="H761" t="s">
        <v>22</v>
      </c>
      <c r="I761" t="s">
        <v>22</v>
      </c>
      <c r="J761" s="41" t="s">
        <v>22</v>
      </c>
      <c r="K761" t="s">
        <v>22</v>
      </c>
      <c r="M761" t="s">
        <v>23</v>
      </c>
      <c r="N761" s="41" t="s">
        <v>22</v>
      </c>
      <c r="O761" s="41" t="s">
        <v>22</v>
      </c>
      <c r="P761" s="41" t="s">
        <v>22</v>
      </c>
      <c r="R761" s="41" t="s">
        <v>22</v>
      </c>
      <c r="S761" s="41" t="s">
        <v>22</v>
      </c>
      <c r="T761" s="41">
        <v>1.44</v>
      </c>
      <c r="U761" s="41">
        <v>1.44</v>
      </c>
      <c r="V761">
        <v>20200512</v>
      </c>
      <c r="W761" s="21" t="s">
        <v>604</v>
      </c>
      <c r="X761" s="6">
        <v>2016</v>
      </c>
      <c r="Z761" t="s">
        <v>32</v>
      </c>
      <c r="AA761" s="13"/>
      <c r="AC761" t="s">
        <v>514</v>
      </c>
      <c r="AD761" s="41" t="s">
        <v>22</v>
      </c>
      <c r="AE761" s="41" t="s">
        <v>22</v>
      </c>
      <c r="AF761" s="41" t="s">
        <v>22</v>
      </c>
      <c r="AG761" s="41" t="s">
        <v>22</v>
      </c>
      <c r="AH761" s="41" t="s">
        <v>22</v>
      </c>
      <c r="AI761" s="41" t="s">
        <v>22</v>
      </c>
      <c r="AJ761" s="41" t="s">
        <v>22</v>
      </c>
      <c r="AK761" s="41" t="s">
        <v>22</v>
      </c>
      <c r="AL761" s="41" t="s">
        <v>22</v>
      </c>
      <c r="AM761" s="43" t="e">
        <f t="shared" si="384"/>
        <v>#VALUE!</v>
      </c>
      <c r="AN761" s="43" t="e">
        <f t="shared" si="385"/>
        <v>#VALUE!</v>
      </c>
      <c r="AO761" s="19" t="s">
        <v>605</v>
      </c>
      <c r="AT761" s="2">
        <f t="shared" si="386"/>
        <v>4</v>
      </c>
      <c r="AU761" s="45">
        <f t="shared" si="387"/>
        <v>-2.2260841159758238</v>
      </c>
      <c r="AV761" s="45" t="e">
        <f t="shared" si="388"/>
        <v>#VALUE!</v>
      </c>
      <c r="AW761" s="45" t="e">
        <f t="shared" si="389"/>
        <v>#VALUE!</v>
      </c>
      <c r="AX761" s="45" t="e">
        <f t="shared" si="390"/>
        <v>#VALUE!</v>
      </c>
      <c r="AY761" s="45" t="e">
        <f t="shared" si="391"/>
        <v>#VALUE!</v>
      </c>
      <c r="AZ761" s="45" t="e">
        <f t="shared" si="392"/>
        <v>#VALUE!</v>
      </c>
      <c r="BA761" s="45" t="e">
        <f t="shared" si="393"/>
        <v>#VALUE!</v>
      </c>
      <c r="BB761" s="45" t="e">
        <f t="shared" si="394"/>
        <v>#NUM!</v>
      </c>
      <c r="BC761" s="45">
        <f t="shared" si="395"/>
        <v>0.15836249209524964</v>
      </c>
      <c r="BD761" s="45" t="e">
        <f t="shared" si="396"/>
        <v>#VALUE!</v>
      </c>
      <c r="BE761" s="45" t="e">
        <f t="shared" si="397"/>
        <v>#VALUE!</v>
      </c>
      <c r="BF761" s="45" t="e">
        <f t="shared" si="398"/>
        <v>#VALUE!</v>
      </c>
      <c r="BG761" s="45" t="e">
        <f t="shared" si="399"/>
        <v>#VALUE!</v>
      </c>
      <c r="BH761" s="45" t="e">
        <f t="shared" si="400"/>
        <v>#NUM!</v>
      </c>
      <c r="BI761" s="43" t="e">
        <f t="shared" si="401"/>
        <v>#VALUE!</v>
      </c>
      <c r="BL761" s="20"/>
      <c r="CA761" s="41" t="s">
        <v>22</v>
      </c>
      <c r="CC761" t="s">
        <v>22</v>
      </c>
      <c r="CE761" s="41" t="s">
        <v>22</v>
      </c>
      <c r="CF761" s="41" t="s">
        <v>22</v>
      </c>
      <c r="CG761" s="41" t="e">
        <f t="shared" si="413"/>
        <v>#VALUE!</v>
      </c>
      <c r="CH761" s="41" t="e">
        <f t="shared" si="414"/>
        <v>#VALUE!</v>
      </c>
      <c r="CI761" s="41">
        <f t="shared" si="411"/>
        <v>1.44</v>
      </c>
      <c r="CJ761" s="41">
        <f t="shared" si="415"/>
        <v>0.15836249209524964</v>
      </c>
      <c r="CL761" s="9" t="s">
        <v>1269</v>
      </c>
      <c r="CM761" s="18" t="s">
        <v>1285</v>
      </c>
      <c r="CN761" s="54" t="s">
        <v>1284</v>
      </c>
      <c r="CO761" s="18" t="s">
        <v>1284</v>
      </c>
    </row>
    <row r="762" spans="1:93" x14ac:dyDescent="0.25">
      <c r="A762" t="s">
        <v>266</v>
      </c>
      <c r="B762" s="41">
        <v>0.25</v>
      </c>
      <c r="C762" s="41" t="s">
        <v>22</v>
      </c>
      <c r="D762" s="41" t="s">
        <v>22</v>
      </c>
      <c r="E762" s="41">
        <v>60</v>
      </c>
      <c r="F762">
        <v>160</v>
      </c>
      <c r="G762" t="s">
        <v>52</v>
      </c>
      <c r="H762">
        <v>3</v>
      </c>
      <c r="I762" t="s">
        <v>187</v>
      </c>
      <c r="J762" s="41">
        <v>18.5</v>
      </c>
      <c r="K762">
        <v>514</v>
      </c>
      <c r="L762" s="41">
        <f>IF((10^-12)*J762*K762^4=0,"",(10^-12)*J762*K762^4)</f>
        <v>1.291291238696</v>
      </c>
      <c r="M762" t="s">
        <v>23</v>
      </c>
      <c r="N762" s="41" t="s">
        <v>22</v>
      </c>
      <c r="O762" s="41" t="s">
        <v>22</v>
      </c>
      <c r="P762" s="41" t="s">
        <v>22</v>
      </c>
      <c r="R762" s="41" t="s">
        <v>22</v>
      </c>
      <c r="S762" s="41" t="s">
        <v>22</v>
      </c>
      <c r="T762" s="41">
        <v>1.4</v>
      </c>
      <c r="U762" s="41">
        <v>1.4</v>
      </c>
      <c r="V762">
        <v>20200508</v>
      </c>
      <c r="W762" s="21" t="s">
        <v>188</v>
      </c>
      <c r="X762" s="18">
        <v>2016</v>
      </c>
      <c r="Y762" t="s">
        <v>59</v>
      </c>
      <c r="Z762" t="s">
        <v>620</v>
      </c>
      <c r="AC762" t="s">
        <v>514</v>
      </c>
      <c r="AD762" s="41" t="s">
        <v>22</v>
      </c>
      <c r="AE762" s="41">
        <v>1593.7</v>
      </c>
      <c r="AF762" s="41" t="s">
        <v>22</v>
      </c>
      <c r="AG762" s="41" t="s">
        <v>22</v>
      </c>
      <c r="AH762" s="41" t="s">
        <v>22</v>
      </c>
      <c r="AI762" s="41" t="s">
        <v>22</v>
      </c>
      <c r="AJ762" s="41" t="s">
        <v>22</v>
      </c>
      <c r="AK762" s="41" t="s">
        <v>22</v>
      </c>
      <c r="AL762" s="41" t="s">
        <v>22</v>
      </c>
      <c r="AM762" s="43" t="e">
        <f t="shared" si="384"/>
        <v>#VALUE!</v>
      </c>
      <c r="AN762" s="43" t="e">
        <f t="shared" si="385"/>
        <v>#VALUE!</v>
      </c>
      <c r="AO762" s="19" t="s">
        <v>189</v>
      </c>
      <c r="AT762" s="2">
        <f t="shared" si="386"/>
        <v>1</v>
      </c>
      <c r="AU762" s="45">
        <f t="shared" si="387"/>
        <v>-0.6020599913279624</v>
      </c>
      <c r="AV762" s="45" t="e">
        <f t="shared" si="388"/>
        <v>#VALUE!</v>
      </c>
      <c r="AW762" s="45" t="e">
        <f t="shared" si="389"/>
        <v>#VALUE!</v>
      </c>
      <c r="AX762" s="45" t="e">
        <f t="shared" si="390"/>
        <v>#VALUE!</v>
      </c>
      <c r="AY762" s="45" t="e">
        <f t="shared" si="391"/>
        <v>#VALUE!</v>
      </c>
      <c r="AZ762" s="45" t="e">
        <f t="shared" si="392"/>
        <v>#VALUE!</v>
      </c>
      <c r="BA762" s="45">
        <f t="shared" si="393"/>
        <v>1.2671717284030137</v>
      </c>
      <c r="BB762" s="45">
        <f t="shared" si="394"/>
        <v>0.11102420438411674</v>
      </c>
      <c r="BC762" s="45">
        <f t="shared" si="395"/>
        <v>0.14612803567823801</v>
      </c>
      <c r="BD762" s="45" t="e">
        <f t="shared" si="396"/>
        <v>#VALUE!</v>
      </c>
      <c r="BE762" s="45" t="e">
        <f t="shared" si="397"/>
        <v>#VALUE!</v>
      </c>
      <c r="BF762" s="45" t="e">
        <f t="shared" si="398"/>
        <v>#VALUE!</v>
      </c>
      <c r="BG762" s="45" t="e">
        <f t="shared" si="399"/>
        <v>#VALUE!</v>
      </c>
      <c r="BH762" s="45" t="e">
        <f t="shared" si="400"/>
        <v>#NUM!</v>
      </c>
      <c r="BI762" s="43" t="e">
        <f t="shared" si="401"/>
        <v>#VALUE!</v>
      </c>
      <c r="BL762" s="20"/>
      <c r="CA762" s="41" t="s">
        <v>22</v>
      </c>
      <c r="CC762" t="s">
        <v>22</v>
      </c>
      <c r="CE762" s="41" t="s">
        <v>22</v>
      </c>
      <c r="CF762" s="41" t="s">
        <v>22</v>
      </c>
      <c r="CG762" s="41" t="e">
        <f t="shared" si="413"/>
        <v>#VALUE!</v>
      </c>
      <c r="CH762" s="41" t="e">
        <f t="shared" si="414"/>
        <v>#VALUE!</v>
      </c>
      <c r="CI762" s="41">
        <f t="shared" si="411"/>
        <v>1.4</v>
      </c>
      <c r="CJ762" s="41">
        <f t="shared" si="415"/>
        <v>0.14612803567823801</v>
      </c>
      <c r="CL762" s="9" t="s">
        <v>1269</v>
      </c>
      <c r="CM762" s="18" t="s">
        <v>1285</v>
      </c>
      <c r="CN762" s="54" t="s">
        <v>1284</v>
      </c>
      <c r="CO762" s="18" t="s">
        <v>1284</v>
      </c>
    </row>
    <row r="763" spans="1:93" x14ac:dyDescent="0.25">
      <c r="A763" s="18" t="s">
        <v>141</v>
      </c>
      <c r="B763" s="41">
        <v>0.2</v>
      </c>
      <c r="C763" s="41" t="s">
        <v>22</v>
      </c>
      <c r="D763" s="41" t="e">
        <f>0.001*(B763*10^6)/(C763*0.001*100^3)</f>
        <v>#VALUE!</v>
      </c>
      <c r="E763" s="41" t="s">
        <v>22</v>
      </c>
      <c r="F763" s="18" t="s">
        <v>22</v>
      </c>
      <c r="G763" s="18" t="s">
        <v>22</v>
      </c>
      <c r="H763" s="18" t="s">
        <v>22</v>
      </c>
      <c r="I763" s="18"/>
      <c r="K763" s="18"/>
      <c r="M763" s="18" t="s">
        <v>23</v>
      </c>
      <c r="N763" s="41" t="s">
        <v>22</v>
      </c>
      <c r="O763" s="41" t="s">
        <v>22</v>
      </c>
      <c r="P763" s="41" t="s">
        <v>22</v>
      </c>
      <c r="R763" s="41" t="s">
        <v>22</v>
      </c>
      <c r="S763" s="41" t="s">
        <v>22</v>
      </c>
      <c r="T763" s="41">
        <v>15</v>
      </c>
      <c r="U763" s="41">
        <v>15</v>
      </c>
      <c r="V763" s="18">
        <v>20200417</v>
      </c>
      <c r="W763" s="9" t="s">
        <v>511</v>
      </c>
      <c r="X763" s="18">
        <v>2016</v>
      </c>
      <c r="Y763" s="18" t="s">
        <v>76</v>
      </c>
      <c r="Z763" s="18" t="s">
        <v>32</v>
      </c>
      <c r="AA763" s="18" t="s">
        <v>22</v>
      </c>
      <c r="AB763" s="41" t="s">
        <v>22</v>
      </c>
      <c r="AC763" s="18" t="s">
        <v>514</v>
      </c>
      <c r="AD763" s="41">
        <v>20.9</v>
      </c>
      <c r="AE763" s="41" t="s">
        <v>22</v>
      </c>
      <c r="AF763" s="41" t="s">
        <v>22</v>
      </c>
      <c r="AG763" s="41" t="s">
        <v>22</v>
      </c>
      <c r="AH763" s="41" t="s">
        <v>22</v>
      </c>
      <c r="AI763" s="41" t="s">
        <v>22</v>
      </c>
      <c r="AJ763" s="41" t="s">
        <v>22</v>
      </c>
      <c r="AK763" s="41" t="s">
        <v>22</v>
      </c>
      <c r="AL763" s="41" t="s">
        <v>22</v>
      </c>
      <c r="AM763" s="43" t="e">
        <f t="shared" si="384"/>
        <v>#VALUE!</v>
      </c>
      <c r="AN763" s="43" t="e">
        <f t="shared" si="385"/>
        <v>#VALUE!</v>
      </c>
      <c r="AO763" s="18" t="s">
        <v>814</v>
      </c>
      <c r="AP763" s="18"/>
      <c r="AQ763" s="18"/>
      <c r="AR763" s="18"/>
      <c r="AS763" s="18"/>
      <c r="AT763" s="2">
        <f t="shared" si="386"/>
        <v>3</v>
      </c>
      <c r="AU763" s="45">
        <f t="shared" si="387"/>
        <v>-0.69897000433601875</v>
      </c>
      <c r="AV763" s="45" t="e">
        <f t="shared" si="388"/>
        <v>#VALUE!</v>
      </c>
      <c r="AW763" s="45" t="e">
        <f t="shared" si="389"/>
        <v>#VALUE!</v>
      </c>
      <c r="AX763" s="45" t="e">
        <f t="shared" si="390"/>
        <v>#VALUE!</v>
      </c>
      <c r="AY763" s="45" t="e">
        <f t="shared" si="391"/>
        <v>#VALUE!</v>
      </c>
      <c r="AZ763" s="45" t="e">
        <f t="shared" si="392"/>
        <v>#VALUE!</v>
      </c>
      <c r="BA763" s="45" t="e">
        <f t="shared" si="393"/>
        <v>#NUM!</v>
      </c>
      <c r="BB763" s="45" t="e">
        <f t="shared" si="394"/>
        <v>#NUM!</v>
      </c>
      <c r="BC763" s="45">
        <f t="shared" si="395"/>
        <v>1.1760912590556813</v>
      </c>
      <c r="BD763" s="45">
        <f t="shared" si="396"/>
        <v>1.320146286111054</v>
      </c>
      <c r="BE763" s="45" t="e">
        <f t="shared" si="397"/>
        <v>#VALUE!</v>
      </c>
      <c r="BF763" s="45" t="e">
        <f t="shared" si="398"/>
        <v>#VALUE!</v>
      </c>
      <c r="BG763" s="45" t="e">
        <f t="shared" si="399"/>
        <v>#VALUE!</v>
      </c>
      <c r="BH763" s="45" t="e">
        <f t="shared" si="400"/>
        <v>#VALUE!</v>
      </c>
      <c r="BI763" s="43" t="e">
        <f t="shared" si="401"/>
        <v>#VALUE!</v>
      </c>
      <c r="BJ763" s="18" t="s">
        <v>520</v>
      </c>
      <c r="BK763" s="18" t="s">
        <v>521</v>
      </c>
      <c r="BL763" s="2" t="s">
        <v>983</v>
      </c>
      <c r="BM763" s="41">
        <v>18.8</v>
      </c>
      <c r="BN763" s="41">
        <v>55000000</v>
      </c>
      <c r="BO763" s="41" t="s">
        <v>22</v>
      </c>
      <c r="BP763" s="41" t="s">
        <v>22</v>
      </c>
      <c r="BQ763" s="41" t="s">
        <v>22</v>
      </c>
      <c r="BR763" s="41" t="s">
        <v>22</v>
      </c>
      <c r="BS763" s="18" t="s">
        <v>22</v>
      </c>
      <c r="BT763" s="18" t="s">
        <v>22</v>
      </c>
      <c r="BU763" s="41" t="s">
        <v>22</v>
      </c>
      <c r="BV763" s="41" t="s">
        <v>22</v>
      </c>
      <c r="BW763" s="41" t="s">
        <v>22</v>
      </c>
      <c r="BX763" s="41" t="s">
        <v>22</v>
      </c>
      <c r="BY763" s="41" t="s">
        <v>22</v>
      </c>
      <c r="BZ763" s="41" t="s">
        <v>22</v>
      </c>
      <c r="CA763" s="41" t="s">
        <v>22</v>
      </c>
      <c r="CB763" s="18"/>
      <c r="CC763" s="18" t="s">
        <v>1009</v>
      </c>
      <c r="CD763" s="18"/>
      <c r="CE763" s="41">
        <f>LOG10(BN763)</f>
        <v>7.7403626894942441</v>
      </c>
      <c r="CF763" s="41" t="e">
        <f>LOG10(BV763)</f>
        <v>#VALUE!</v>
      </c>
      <c r="CG763" s="41">
        <f t="shared" si="413"/>
        <v>20900</v>
      </c>
      <c r="CH763" s="41">
        <f t="shared" si="414"/>
        <v>4.3201462861110542</v>
      </c>
      <c r="CI763" s="41">
        <f t="shared" si="411"/>
        <v>20900</v>
      </c>
      <c r="CJ763" s="41">
        <f t="shared" si="415"/>
        <v>4.3201462861110542</v>
      </c>
      <c r="CK763" s="18"/>
      <c r="CL763" s="9" t="s">
        <v>1269</v>
      </c>
      <c r="CM763" s="18" t="s">
        <v>1283</v>
      </c>
      <c r="CN763" s="54" t="s">
        <v>1284</v>
      </c>
      <c r="CO763" s="18" t="s">
        <v>1284</v>
      </c>
    </row>
    <row r="764" spans="1:93" x14ac:dyDescent="0.25">
      <c r="A764" s="18" t="s">
        <v>141</v>
      </c>
      <c r="B764" s="41">
        <v>0.85</v>
      </c>
      <c r="C764" s="41" t="s">
        <v>22</v>
      </c>
      <c r="D764" s="41" t="e">
        <f>0.001*(B764*10^6)/(C764*0.001*100^3)</f>
        <v>#VALUE!</v>
      </c>
      <c r="E764" s="41" t="s">
        <v>22</v>
      </c>
      <c r="F764" s="18" t="s">
        <v>22</v>
      </c>
      <c r="G764" s="18" t="s">
        <v>22</v>
      </c>
      <c r="H764" s="18" t="s">
        <v>22</v>
      </c>
      <c r="I764" s="18"/>
      <c r="K764" s="18"/>
      <c r="M764" s="18" t="s">
        <v>23</v>
      </c>
      <c r="N764" s="41" t="s">
        <v>22</v>
      </c>
      <c r="O764" s="41" t="s">
        <v>22</v>
      </c>
      <c r="P764" s="41" t="s">
        <v>22</v>
      </c>
      <c r="R764" s="41" t="s">
        <v>22</v>
      </c>
      <c r="S764" s="41" t="s">
        <v>22</v>
      </c>
      <c r="T764" s="41">
        <v>15</v>
      </c>
      <c r="U764" s="41">
        <v>15</v>
      </c>
      <c r="V764" s="18">
        <v>20200417</v>
      </c>
      <c r="W764" s="9" t="s">
        <v>511</v>
      </c>
      <c r="X764" s="18">
        <v>2016</v>
      </c>
      <c r="Y764" s="18" t="s">
        <v>76</v>
      </c>
      <c r="Z764" s="18" t="s">
        <v>512</v>
      </c>
      <c r="AA764" s="18" t="s">
        <v>22</v>
      </c>
      <c r="AB764" s="41" t="s">
        <v>22</v>
      </c>
      <c r="AC764" s="18" t="s">
        <v>514</v>
      </c>
      <c r="AD764" s="41">
        <v>7.6</v>
      </c>
      <c r="AE764" s="41" t="s">
        <v>22</v>
      </c>
      <c r="AF764" s="41" t="s">
        <v>22</v>
      </c>
      <c r="AG764" s="41" t="s">
        <v>22</v>
      </c>
      <c r="AH764" s="41" t="s">
        <v>22</v>
      </c>
      <c r="AI764" s="41" t="s">
        <v>22</v>
      </c>
      <c r="AJ764" s="41" t="s">
        <v>22</v>
      </c>
      <c r="AK764" s="41" t="s">
        <v>22</v>
      </c>
      <c r="AL764" s="41" t="s">
        <v>22</v>
      </c>
      <c r="AM764" s="43" t="e">
        <f t="shared" si="384"/>
        <v>#VALUE!</v>
      </c>
      <c r="AN764" s="43" t="e">
        <f t="shared" si="385"/>
        <v>#VALUE!</v>
      </c>
      <c r="AO764" s="18" t="s">
        <v>814</v>
      </c>
      <c r="AP764" s="18"/>
      <c r="AQ764" s="18"/>
      <c r="AR764" s="18"/>
      <c r="AS764" s="18"/>
      <c r="AT764" s="2">
        <f t="shared" si="386"/>
        <v>3</v>
      </c>
      <c r="AU764" s="45">
        <f t="shared" si="387"/>
        <v>-7.0581074285707285E-2</v>
      </c>
      <c r="AV764" s="45" t="e">
        <f t="shared" si="388"/>
        <v>#VALUE!</v>
      </c>
      <c r="AW764" s="45" t="e">
        <f t="shared" si="389"/>
        <v>#VALUE!</v>
      </c>
      <c r="AX764" s="45" t="e">
        <f t="shared" si="390"/>
        <v>#VALUE!</v>
      </c>
      <c r="AY764" s="45" t="e">
        <f t="shared" si="391"/>
        <v>#VALUE!</v>
      </c>
      <c r="AZ764" s="45" t="e">
        <f t="shared" si="392"/>
        <v>#VALUE!</v>
      </c>
      <c r="BA764" s="45" t="e">
        <f t="shared" si="393"/>
        <v>#NUM!</v>
      </c>
      <c r="BB764" s="45" t="e">
        <f t="shared" si="394"/>
        <v>#NUM!</v>
      </c>
      <c r="BC764" s="45">
        <f t="shared" si="395"/>
        <v>1.1760912590556813</v>
      </c>
      <c r="BD764" s="45">
        <f t="shared" si="396"/>
        <v>0.88081359228079137</v>
      </c>
      <c r="BE764" s="45" t="e">
        <f t="shared" si="397"/>
        <v>#VALUE!</v>
      </c>
      <c r="BF764" s="45" t="e">
        <f t="shared" si="398"/>
        <v>#VALUE!</v>
      </c>
      <c r="BG764" s="45" t="e">
        <f t="shared" si="399"/>
        <v>#VALUE!</v>
      </c>
      <c r="BH764" s="45" t="e">
        <f t="shared" si="400"/>
        <v>#VALUE!</v>
      </c>
      <c r="BI764" s="43" t="e">
        <f t="shared" si="401"/>
        <v>#VALUE!</v>
      </c>
      <c r="BJ764" s="18" t="s">
        <v>520</v>
      </c>
      <c r="BK764" s="18" t="s">
        <v>521</v>
      </c>
      <c r="BL764" s="2" t="s">
        <v>983</v>
      </c>
      <c r="BM764" s="41">
        <v>19.399999999999999</v>
      </c>
      <c r="BN764" s="41">
        <v>430000000</v>
      </c>
      <c r="BO764" s="41" t="s">
        <v>22</v>
      </c>
      <c r="BP764" s="41" t="s">
        <v>22</v>
      </c>
      <c r="BQ764" s="41" t="s">
        <v>22</v>
      </c>
      <c r="BR764" s="41" t="s">
        <v>22</v>
      </c>
      <c r="BS764" s="18" t="s">
        <v>22</v>
      </c>
      <c r="BT764" s="18" t="s">
        <v>22</v>
      </c>
      <c r="BU764" s="41" t="s">
        <v>22</v>
      </c>
      <c r="BV764" s="41" t="s">
        <v>22</v>
      </c>
      <c r="BW764" s="41" t="s">
        <v>22</v>
      </c>
      <c r="BX764" s="41" t="s">
        <v>22</v>
      </c>
      <c r="BY764" s="41" t="s">
        <v>22</v>
      </c>
      <c r="BZ764" s="41" t="s">
        <v>22</v>
      </c>
      <c r="CA764" s="41" t="s">
        <v>22</v>
      </c>
      <c r="CB764" s="18"/>
      <c r="CC764" s="18" t="s">
        <v>1009</v>
      </c>
      <c r="CD764" s="18"/>
      <c r="CE764" s="41">
        <f>LOG10(BN764)</f>
        <v>8.6334684555795871</v>
      </c>
      <c r="CF764" s="41" t="e">
        <f>LOG10(BV764)</f>
        <v>#VALUE!</v>
      </c>
      <c r="CG764" s="41">
        <f t="shared" si="413"/>
        <v>7600</v>
      </c>
      <c r="CH764" s="41">
        <f t="shared" si="414"/>
        <v>3.8808135922807914</v>
      </c>
      <c r="CI764" s="41">
        <f t="shared" si="411"/>
        <v>7600</v>
      </c>
      <c r="CJ764" s="41">
        <f t="shared" si="415"/>
        <v>3.8808135922807914</v>
      </c>
      <c r="CK764" s="18"/>
      <c r="CL764" s="9" t="s">
        <v>1269</v>
      </c>
      <c r="CM764" s="18" t="s">
        <v>1283</v>
      </c>
      <c r="CN764" s="54" t="s">
        <v>1284</v>
      </c>
      <c r="CO764" s="18" t="s">
        <v>1284</v>
      </c>
    </row>
    <row r="765" spans="1:93" x14ac:dyDescent="0.25">
      <c r="A765" s="18" t="s">
        <v>141</v>
      </c>
      <c r="B765" s="41">
        <v>1.8</v>
      </c>
      <c r="C765" s="41" t="s">
        <v>22</v>
      </c>
      <c r="D765" s="41" t="e">
        <f>0.001*(B765*10^6)/(C765*0.001*100^3)</f>
        <v>#VALUE!</v>
      </c>
      <c r="E765" s="41" t="s">
        <v>22</v>
      </c>
      <c r="F765" s="18" t="s">
        <v>22</v>
      </c>
      <c r="G765" s="18" t="s">
        <v>22</v>
      </c>
      <c r="H765" s="18" t="s">
        <v>22</v>
      </c>
      <c r="I765" s="18"/>
      <c r="K765" s="18"/>
      <c r="M765" s="18" t="s">
        <v>45</v>
      </c>
      <c r="N765" s="41" t="s">
        <v>22</v>
      </c>
      <c r="O765" s="41" t="s">
        <v>22</v>
      </c>
      <c r="P765" s="41" t="s">
        <v>22</v>
      </c>
      <c r="R765" s="41" t="s">
        <v>22</v>
      </c>
      <c r="S765" s="41" t="s">
        <v>22</v>
      </c>
      <c r="T765" s="41">
        <v>15</v>
      </c>
      <c r="U765" s="41">
        <v>15</v>
      </c>
      <c r="V765" s="18">
        <v>20200417</v>
      </c>
      <c r="W765" s="9" t="s">
        <v>511</v>
      </c>
      <c r="X765" s="18">
        <v>2016</v>
      </c>
      <c r="Y765" s="18" t="s">
        <v>76</v>
      </c>
      <c r="Z765" s="18" t="s">
        <v>513</v>
      </c>
      <c r="AA765" s="18" t="s">
        <v>22</v>
      </c>
      <c r="AB765" s="41" t="s">
        <v>22</v>
      </c>
      <c r="AC765" s="18" t="s">
        <v>514</v>
      </c>
      <c r="AD765" s="41">
        <v>6.7</v>
      </c>
      <c r="AE765" s="41" t="s">
        <v>22</v>
      </c>
      <c r="AF765" s="41" t="s">
        <v>22</v>
      </c>
      <c r="AG765" s="41" t="s">
        <v>22</v>
      </c>
      <c r="AH765" s="41" t="s">
        <v>22</v>
      </c>
      <c r="AI765" s="41" t="s">
        <v>22</v>
      </c>
      <c r="AJ765" s="41" t="s">
        <v>22</v>
      </c>
      <c r="AK765" s="41" t="s">
        <v>22</v>
      </c>
      <c r="AL765" s="41" t="s">
        <v>22</v>
      </c>
      <c r="AM765" s="43" t="e">
        <f t="shared" si="384"/>
        <v>#VALUE!</v>
      </c>
      <c r="AN765" s="43" t="e">
        <f t="shared" si="385"/>
        <v>#VALUE!</v>
      </c>
      <c r="AO765" s="18" t="s">
        <v>814</v>
      </c>
      <c r="AP765" s="18"/>
      <c r="AQ765" s="18"/>
      <c r="AR765" s="18"/>
      <c r="AS765" s="18"/>
      <c r="AT765" s="2">
        <f t="shared" si="386"/>
        <v>3</v>
      </c>
      <c r="AU765" s="45">
        <f t="shared" si="387"/>
        <v>0.25527250510330607</v>
      </c>
      <c r="AV765" s="45" t="e">
        <f t="shared" si="388"/>
        <v>#VALUE!</v>
      </c>
      <c r="AW765" s="45" t="e">
        <f t="shared" si="389"/>
        <v>#VALUE!</v>
      </c>
      <c r="AX765" s="45" t="e">
        <f t="shared" si="390"/>
        <v>#VALUE!</v>
      </c>
      <c r="AY765" s="45" t="e">
        <f t="shared" si="391"/>
        <v>#VALUE!</v>
      </c>
      <c r="AZ765" s="45" t="e">
        <f t="shared" si="392"/>
        <v>#VALUE!</v>
      </c>
      <c r="BA765" s="45" t="e">
        <f t="shared" si="393"/>
        <v>#NUM!</v>
      </c>
      <c r="BB765" s="45" t="e">
        <f t="shared" si="394"/>
        <v>#NUM!</v>
      </c>
      <c r="BC765" s="45">
        <f t="shared" si="395"/>
        <v>1.1760912590556813</v>
      </c>
      <c r="BD765" s="45">
        <f t="shared" si="396"/>
        <v>0.82607480270082645</v>
      </c>
      <c r="BE765" s="45" t="e">
        <f t="shared" si="397"/>
        <v>#VALUE!</v>
      </c>
      <c r="BF765" s="45" t="e">
        <f t="shared" si="398"/>
        <v>#VALUE!</v>
      </c>
      <c r="BG765" s="45" t="e">
        <f t="shared" si="399"/>
        <v>#VALUE!</v>
      </c>
      <c r="BH765" s="45" t="e">
        <f t="shared" si="400"/>
        <v>#VALUE!</v>
      </c>
      <c r="BI765" s="43" t="e">
        <f t="shared" si="401"/>
        <v>#VALUE!</v>
      </c>
      <c r="BJ765" s="18" t="s">
        <v>520</v>
      </c>
      <c r="BK765" s="18" t="s">
        <v>521</v>
      </c>
      <c r="BL765" s="2" t="s">
        <v>983</v>
      </c>
      <c r="BM765" s="41">
        <v>23.1</v>
      </c>
      <c r="BN765" s="41">
        <v>660000000</v>
      </c>
      <c r="BO765" s="41" t="s">
        <v>22</v>
      </c>
      <c r="BP765" s="41" t="s">
        <v>22</v>
      </c>
      <c r="BQ765" s="41" t="s">
        <v>22</v>
      </c>
      <c r="BR765" s="41" t="s">
        <v>22</v>
      </c>
      <c r="BS765" s="18" t="s">
        <v>22</v>
      </c>
      <c r="BT765" s="18" t="s">
        <v>22</v>
      </c>
      <c r="BU765" s="41" t="s">
        <v>22</v>
      </c>
      <c r="BV765" s="41" t="s">
        <v>22</v>
      </c>
      <c r="BW765" s="41" t="s">
        <v>22</v>
      </c>
      <c r="BX765" s="41" t="s">
        <v>22</v>
      </c>
      <c r="BY765" s="41" t="s">
        <v>22</v>
      </c>
      <c r="BZ765" s="41" t="s">
        <v>22</v>
      </c>
      <c r="CA765" s="41" t="s">
        <v>22</v>
      </c>
      <c r="CB765" s="18"/>
      <c r="CC765" s="18" t="s">
        <v>1009</v>
      </c>
      <c r="CD765" s="18"/>
      <c r="CE765" s="41">
        <f>LOG10(BN765)</f>
        <v>8.8195439355418692</v>
      </c>
      <c r="CF765" s="41" t="e">
        <f>LOG10(BV765)</f>
        <v>#VALUE!</v>
      </c>
      <c r="CG765" s="41">
        <f t="shared" si="413"/>
        <v>6700</v>
      </c>
      <c r="CH765" s="41">
        <f t="shared" si="414"/>
        <v>3.8260748027008264</v>
      </c>
      <c r="CI765" s="41">
        <f t="shared" si="411"/>
        <v>6700</v>
      </c>
      <c r="CJ765" s="41">
        <f t="shared" si="415"/>
        <v>3.8260748027008264</v>
      </c>
      <c r="CK765" s="18"/>
      <c r="CL765" s="9" t="s">
        <v>1269</v>
      </c>
      <c r="CM765" s="18" t="s">
        <v>1283</v>
      </c>
      <c r="CN765" s="54" t="s">
        <v>1284</v>
      </c>
      <c r="CO765" s="18" t="s">
        <v>1284</v>
      </c>
    </row>
    <row r="766" spans="1:93" s="9" customFormat="1" x14ac:dyDescent="0.25">
      <c r="A766" s="9" t="s">
        <v>266</v>
      </c>
      <c r="B766" s="50">
        <v>1.1520737327188939</v>
      </c>
      <c r="C766" s="50" t="s">
        <v>22</v>
      </c>
      <c r="D766" s="50" t="s">
        <v>22</v>
      </c>
      <c r="E766" s="50" t="s">
        <v>22</v>
      </c>
      <c r="F766" s="9" t="s">
        <v>22</v>
      </c>
      <c r="G766" s="9" t="s">
        <v>22</v>
      </c>
      <c r="H766" s="9" t="s">
        <v>22</v>
      </c>
      <c r="I766" s="9" t="s">
        <v>22</v>
      </c>
      <c r="J766" s="50" t="s">
        <v>22</v>
      </c>
      <c r="L766" s="50"/>
      <c r="M766" s="9" t="s">
        <v>23</v>
      </c>
      <c r="N766" s="50" t="s">
        <v>22</v>
      </c>
      <c r="O766" s="50" t="s">
        <v>22</v>
      </c>
      <c r="P766" s="50" t="s">
        <v>22</v>
      </c>
      <c r="Q766" s="50"/>
      <c r="R766" s="50" t="s">
        <v>22</v>
      </c>
      <c r="S766" s="50" t="s">
        <v>22</v>
      </c>
      <c r="T766" s="50">
        <v>1.9</v>
      </c>
      <c r="U766" s="50">
        <v>1.9</v>
      </c>
      <c r="V766" s="9">
        <v>20200713</v>
      </c>
      <c r="W766" s="21" t="s">
        <v>1048</v>
      </c>
      <c r="X766" s="21">
        <v>2016</v>
      </c>
      <c r="Y766" s="9" t="s">
        <v>143</v>
      </c>
      <c r="Z766" s="9" t="s">
        <v>204</v>
      </c>
      <c r="AA766" s="58"/>
      <c r="AB766" s="50"/>
      <c r="AC766" s="9" t="s">
        <v>514</v>
      </c>
      <c r="AD766" s="50">
        <v>21.2</v>
      </c>
      <c r="AE766" s="50">
        <v>1584.2</v>
      </c>
      <c r="AF766" s="50" t="s">
        <v>22</v>
      </c>
      <c r="AG766" s="50" t="s">
        <v>22</v>
      </c>
      <c r="AH766" s="50" t="s">
        <v>22</v>
      </c>
      <c r="AI766" s="50" t="s">
        <v>22</v>
      </c>
      <c r="AJ766" s="50" t="s">
        <v>22</v>
      </c>
      <c r="AK766" s="50" t="s">
        <v>22</v>
      </c>
      <c r="AL766" s="50" t="s">
        <v>22</v>
      </c>
      <c r="AM766" s="43" t="e">
        <f t="shared" si="384"/>
        <v>#VALUE!</v>
      </c>
      <c r="AN766" s="43" t="e">
        <f t="shared" si="385"/>
        <v>#VALUE!</v>
      </c>
      <c r="AO766" s="21" t="s">
        <v>1050</v>
      </c>
      <c r="AT766" s="2">
        <f t="shared" si="386"/>
        <v>2</v>
      </c>
      <c r="AU766" s="45">
        <f t="shared" si="387"/>
        <v>6.1480274823508062E-2</v>
      </c>
      <c r="AV766" s="45" t="e">
        <f t="shared" si="388"/>
        <v>#VALUE!</v>
      </c>
      <c r="AW766" s="45" t="e">
        <f t="shared" si="389"/>
        <v>#VALUE!</v>
      </c>
      <c r="AX766" s="45" t="e">
        <f t="shared" si="390"/>
        <v>#VALUE!</v>
      </c>
      <c r="AY766" s="45" t="e">
        <f t="shared" si="391"/>
        <v>#VALUE!</v>
      </c>
      <c r="AZ766" s="45" t="e">
        <f t="shared" si="392"/>
        <v>#VALUE!</v>
      </c>
      <c r="BA766" s="45" t="e">
        <f t="shared" si="393"/>
        <v>#VALUE!</v>
      </c>
      <c r="BB766" s="45" t="e">
        <f t="shared" si="394"/>
        <v>#NUM!</v>
      </c>
      <c r="BC766" s="45">
        <f t="shared" si="395"/>
        <v>0.27875360095282892</v>
      </c>
      <c r="BD766" s="45">
        <f t="shared" si="396"/>
        <v>1.3263358609287514</v>
      </c>
      <c r="BE766" s="45" t="e">
        <f t="shared" si="397"/>
        <v>#VALUE!</v>
      </c>
      <c r="BF766" s="45" t="e">
        <f t="shared" si="398"/>
        <v>#VALUE!</v>
      </c>
      <c r="BG766" s="45" t="e">
        <f t="shared" si="399"/>
        <v>#VALUE!</v>
      </c>
      <c r="BH766" s="45" t="e">
        <f t="shared" si="400"/>
        <v>#NUM!</v>
      </c>
      <c r="BI766" s="43" t="e">
        <f t="shared" si="401"/>
        <v>#VALUE!</v>
      </c>
      <c r="BL766" s="20"/>
      <c r="BM766" s="50"/>
      <c r="BN766" s="50"/>
      <c r="BO766" s="50"/>
      <c r="BP766" s="50"/>
      <c r="BQ766" s="50"/>
      <c r="BR766" s="50"/>
      <c r="BU766" s="50"/>
      <c r="BV766" s="50"/>
      <c r="BW766" s="50"/>
      <c r="BX766" s="50"/>
      <c r="BY766" s="50"/>
      <c r="BZ766" s="50"/>
      <c r="CA766" s="50" t="s">
        <v>22</v>
      </c>
      <c r="CE766" s="50"/>
      <c r="CF766" s="50"/>
      <c r="CG766" s="50"/>
      <c r="CH766" s="50"/>
      <c r="CI766" s="50">
        <f t="shared" ref="CI766" si="416">IF(ISNUMBER(CG766),CG766,U766)</f>
        <v>1.9</v>
      </c>
      <c r="CJ766" s="50">
        <f t="shared" si="415"/>
        <v>0.27875360095282892</v>
      </c>
      <c r="CL766" s="9" t="s">
        <v>1269</v>
      </c>
      <c r="CM766" s="9" t="s">
        <v>1285</v>
      </c>
      <c r="CN766" s="55" t="s">
        <v>1284</v>
      </c>
      <c r="CO766" s="9" t="s">
        <v>1284</v>
      </c>
    </row>
    <row r="767" spans="1:93" s="9" customFormat="1" x14ac:dyDescent="0.25">
      <c r="A767" s="9" t="s">
        <v>266</v>
      </c>
      <c r="B767" s="50">
        <v>5.5865921787709496</v>
      </c>
      <c r="C767" s="50" t="s">
        <v>22</v>
      </c>
      <c r="D767" s="50" t="s">
        <v>22</v>
      </c>
      <c r="E767" s="50" t="s">
        <v>22</v>
      </c>
      <c r="F767" s="9" t="s">
        <v>22</v>
      </c>
      <c r="G767" s="9" t="s">
        <v>22</v>
      </c>
      <c r="H767" s="9" t="s">
        <v>22</v>
      </c>
      <c r="I767" s="9" t="s">
        <v>22</v>
      </c>
      <c r="J767" s="50" t="s">
        <v>22</v>
      </c>
      <c r="L767" s="50"/>
      <c r="M767" s="9" t="s">
        <v>45</v>
      </c>
      <c r="N767" s="50" t="s">
        <v>22</v>
      </c>
      <c r="O767" s="50" t="s">
        <v>22</v>
      </c>
      <c r="P767" s="50" t="s">
        <v>22</v>
      </c>
      <c r="Q767" s="50"/>
      <c r="R767" s="50" t="s">
        <v>22</v>
      </c>
      <c r="S767" s="50" t="s">
        <v>22</v>
      </c>
      <c r="T767" s="50">
        <v>1.9</v>
      </c>
      <c r="U767" s="50">
        <v>1.9</v>
      </c>
      <c r="V767" s="9">
        <v>20200713</v>
      </c>
      <c r="W767" s="21" t="s">
        <v>1049</v>
      </c>
      <c r="X767" s="21">
        <v>2016</v>
      </c>
      <c r="Y767" s="9" t="s">
        <v>143</v>
      </c>
      <c r="Z767" s="9" t="s">
        <v>32</v>
      </c>
      <c r="AA767" s="58" t="s">
        <v>746</v>
      </c>
      <c r="AB767" s="50">
        <v>1.1520737327188939</v>
      </c>
      <c r="AC767" s="9" t="s">
        <v>514</v>
      </c>
      <c r="AD767" s="50">
        <v>21.2</v>
      </c>
      <c r="AE767" s="50">
        <v>1589.6</v>
      </c>
      <c r="AF767" s="50" t="s">
        <v>22</v>
      </c>
      <c r="AG767" s="50" t="s">
        <v>22</v>
      </c>
      <c r="AH767" s="50" t="s">
        <v>22</v>
      </c>
      <c r="AI767" s="50" t="s">
        <v>22</v>
      </c>
      <c r="AJ767" s="50" t="s">
        <v>22</v>
      </c>
      <c r="AK767" s="50" t="s">
        <v>22</v>
      </c>
      <c r="AL767" s="50" t="s">
        <v>22</v>
      </c>
      <c r="AM767" s="43" t="e">
        <f t="shared" si="384"/>
        <v>#VALUE!</v>
      </c>
      <c r="AN767" s="43" t="e">
        <f t="shared" si="385"/>
        <v>#VALUE!</v>
      </c>
      <c r="AO767" s="21" t="s">
        <v>1050</v>
      </c>
      <c r="AT767" s="2">
        <f t="shared" si="386"/>
        <v>2</v>
      </c>
      <c r="AU767" s="45">
        <f t="shared" si="387"/>
        <v>0.7471469690201068</v>
      </c>
      <c r="AV767" s="45" t="e">
        <f t="shared" si="388"/>
        <v>#VALUE!</v>
      </c>
      <c r="AW767" s="45" t="e">
        <f t="shared" si="389"/>
        <v>#VALUE!</v>
      </c>
      <c r="AX767" s="45" t="e">
        <f t="shared" si="390"/>
        <v>#VALUE!</v>
      </c>
      <c r="AY767" s="45" t="e">
        <f t="shared" si="391"/>
        <v>#VALUE!</v>
      </c>
      <c r="AZ767" s="45" t="e">
        <f t="shared" si="392"/>
        <v>#VALUE!</v>
      </c>
      <c r="BA767" s="45" t="e">
        <f t="shared" si="393"/>
        <v>#VALUE!</v>
      </c>
      <c r="BB767" s="45" t="e">
        <f t="shared" si="394"/>
        <v>#NUM!</v>
      </c>
      <c r="BC767" s="45">
        <f t="shared" si="395"/>
        <v>0.27875360095282892</v>
      </c>
      <c r="BD767" s="45">
        <f t="shared" si="396"/>
        <v>1.3263358609287514</v>
      </c>
      <c r="BE767" s="45" t="e">
        <f t="shared" si="397"/>
        <v>#VALUE!</v>
      </c>
      <c r="BF767" s="45" t="e">
        <f t="shared" si="398"/>
        <v>#VALUE!</v>
      </c>
      <c r="BG767" s="45" t="e">
        <f t="shared" si="399"/>
        <v>#VALUE!</v>
      </c>
      <c r="BH767" s="45">
        <f t="shared" si="400"/>
        <v>6.1480274823508062E-2</v>
      </c>
      <c r="BI767" s="43" t="e">
        <f t="shared" si="401"/>
        <v>#VALUE!</v>
      </c>
      <c r="BL767" s="20"/>
      <c r="BM767" s="50"/>
      <c r="BN767" s="50"/>
      <c r="BO767" s="50"/>
      <c r="BP767" s="50"/>
      <c r="BQ767" s="50"/>
      <c r="BR767" s="50"/>
      <c r="BU767" s="50"/>
      <c r="BV767" s="50"/>
      <c r="BW767" s="50"/>
      <c r="BX767" s="50"/>
      <c r="BY767" s="50"/>
      <c r="BZ767" s="50"/>
      <c r="CA767" s="50" t="s">
        <v>22</v>
      </c>
      <c r="CE767" s="50"/>
      <c r="CF767" s="50"/>
      <c r="CG767" s="50"/>
      <c r="CH767" s="50"/>
      <c r="CI767" s="50">
        <f t="shared" ref="CI767:CI792" si="417">IF(ISNUMBER(CG767),CG767,U767)</f>
        <v>1.9</v>
      </c>
      <c r="CJ767" s="50">
        <f t="shared" ref="CJ767:CJ792" si="418">LOG10(CI767)</f>
        <v>0.27875360095282892</v>
      </c>
      <c r="CL767" s="9" t="s">
        <v>1269</v>
      </c>
      <c r="CM767" s="9" t="s">
        <v>1285</v>
      </c>
      <c r="CN767" s="55" t="s">
        <v>1284</v>
      </c>
      <c r="CO767" s="9" t="s">
        <v>1284</v>
      </c>
    </row>
    <row r="768" spans="1:93" s="9" customFormat="1" x14ac:dyDescent="0.25">
      <c r="A768" s="9" t="s">
        <v>266</v>
      </c>
      <c r="B768" s="50">
        <v>2.4299999999999999E-2</v>
      </c>
      <c r="C768" s="50" t="s">
        <v>22</v>
      </c>
      <c r="D768" s="50" t="s">
        <v>22</v>
      </c>
      <c r="E768" s="50" t="s">
        <v>22</v>
      </c>
      <c r="F768" s="9" t="s">
        <v>22</v>
      </c>
      <c r="G768" s="9" t="s">
        <v>22</v>
      </c>
      <c r="H768" s="9" t="s">
        <v>22</v>
      </c>
      <c r="I768" s="9" t="s">
        <v>22</v>
      </c>
      <c r="J768" s="50">
        <v>1.4267569856054203</v>
      </c>
      <c r="K768" s="9">
        <v>532</v>
      </c>
      <c r="L768" s="50">
        <f t="shared" ref="L768:L780" si="419">IF((10^-12)*J768*K768^4=0,"",(10^-12)*J768*K768^4)</f>
        <v>0.11428692210885699</v>
      </c>
      <c r="M768" s="9" t="s">
        <v>23</v>
      </c>
      <c r="N768" s="50" t="s">
        <v>22</v>
      </c>
      <c r="O768" s="50" t="s">
        <v>22</v>
      </c>
      <c r="P768" s="50" t="s">
        <v>22</v>
      </c>
      <c r="Q768" s="50"/>
      <c r="R768" s="50" t="s">
        <v>22</v>
      </c>
      <c r="S768" s="50" t="s">
        <v>22</v>
      </c>
      <c r="T768" s="50">
        <v>5</v>
      </c>
      <c r="U768" s="50">
        <v>5</v>
      </c>
      <c r="V768" s="9">
        <v>20201128</v>
      </c>
      <c r="W768" s="21"/>
      <c r="X768" s="21">
        <v>2016</v>
      </c>
      <c r="Y768" s="21" t="s">
        <v>26</v>
      </c>
      <c r="Z768" s="9" t="s">
        <v>32</v>
      </c>
      <c r="AB768" s="50"/>
      <c r="AC768" s="9" t="s">
        <v>514</v>
      </c>
      <c r="AD768" s="50">
        <v>10.7</v>
      </c>
      <c r="AE768" s="50">
        <v>1592</v>
      </c>
      <c r="AF768" s="50">
        <v>21.2</v>
      </c>
      <c r="AG768" s="50" t="s">
        <v>22</v>
      </c>
      <c r="AH768" s="50" t="s">
        <v>22</v>
      </c>
      <c r="AI768" s="50" t="s">
        <v>22</v>
      </c>
      <c r="AJ768" s="50" t="s">
        <v>22</v>
      </c>
      <c r="AK768" s="50" t="s">
        <v>22</v>
      </c>
      <c r="AL768" s="50" t="s">
        <v>22</v>
      </c>
      <c r="AM768" s="43" t="e">
        <f t="shared" si="384"/>
        <v>#VALUE!</v>
      </c>
      <c r="AN768" s="43" t="e">
        <f t="shared" si="385"/>
        <v>#VALUE!</v>
      </c>
      <c r="AO768" s="21" t="s">
        <v>1180</v>
      </c>
      <c r="AT768" s="2">
        <f t="shared" si="386"/>
        <v>4</v>
      </c>
      <c r="AU768" s="45">
        <f t="shared" si="387"/>
        <v>-1.6143937264016879</v>
      </c>
      <c r="AV768" s="45" t="e">
        <f t="shared" si="388"/>
        <v>#VALUE!</v>
      </c>
      <c r="AW768" s="45" t="e">
        <f t="shared" si="389"/>
        <v>#VALUE!</v>
      </c>
      <c r="AX768" s="45" t="e">
        <f t="shared" si="390"/>
        <v>#VALUE!</v>
      </c>
      <c r="AY768" s="45" t="e">
        <f t="shared" si="391"/>
        <v>#VALUE!</v>
      </c>
      <c r="AZ768" s="45" t="e">
        <f t="shared" si="392"/>
        <v>#VALUE!</v>
      </c>
      <c r="BA768" s="45">
        <f t="shared" si="393"/>
        <v>0.15435000759384299</v>
      </c>
      <c r="BB768" s="45">
        <f t="shared" si="394"/>
        <v>-0.94200346322596429</v>
      </c>
      <c r="BC768" s="45">
        <f t="shared" si="395"/>
        <v>0.69897000433601886</v>
      </c>
      <c r="BD768" s="45">
        <f t="shared" si="396"/>
        <v>1.0293837776852097</v>
      </c>
      <c r="BE768" s="45">
        <f t="shared" si="397"/>
        <v>1.3263358609287514</v>
      </c>
      <c r="BF768" s="45" t="e">
        <f t="shared" si="398"/>
        <v>#VALUE!</v>
      </c>
      <c r="BG768" s="45" t="e">
        <f t="shared" si="399"/>
        <v>#VALUE!</v>
      </c>
      <c r="BH768" s="45" t="e">
        <f t="shared" si="400"/>
        <v>#NUM!</v>
      </c>
      <c r="BI768" s="43">
        <f t="shared" si="401"/>
        <v>1.3263358609287514</v>
      </c>
      <c r="BL768" s="20"/>
      <c r="BM768" s="50"/>
      <c r="BN768" s="50"/>
      <c r="BO768" s="50"/>
      <c r="BP768" s="50"/>
      <c r="BQ768" s="50"/>
      <c r="BR768" s="50"/>
      <c r="BU768" s="50"/>
      <c r="BV768" s="50"/>
      <c r="BW768" s="50"/>
      <c r="BX768" s="50"/>
      <c r="BY768" s="50"/>
      <c r="BZ768" s="50"/>
      <c r="CA768" s="50" t="s">
        <v>22</v>
      </c>
      <c r="CE768" s="50"/>
      <c r="CF768" s="50"/>
      <c r="CG768" s="50"/>
      <c r="CH768" s="50"/>
      <c r="CI768" s="50">
        <f t="shared" si="417"/>
        <v>5</v>
      </c>
      <c r="CJ768" s="50">
        <f t="shared" si="418"/>
        <v>0.69897000433601886</v>
      </c>
      <c r="CL768" s="9" t="s">
        <v>1269</v>
      </c>
      <c r="CM768" s="9" t="s">
        <v>1285</v>
      </c>
      <c r="CN768" s="55" t="s">
        <v>1284</v>
      </c>
      <c r="CO768" s="9" t="s">
        <v>1284</v>
      </c>
    </row>
    <row r="769" spans="1:93" s="9" customFormat="1" x14ac:dyDescent="0.25">
      <c r="A769" s="9" t="s">
        <v>266</v>
      </c>
      <c r="B769" s="50">
        <v>3.0899999999999997E-2</v>
      </c>
      <c r="C769" s="50" t="s">
        <v>22</v>
      </c>
      <c r="D769" s="50" t="s">
        <v>22</v>
      </c>
      <c r="E769" s="50" t="s">
        <v>22</v>
      </c>
      <c r="F769" s="9" t="s">
        <v>22</v>
      </c>
      <c r="G769" s="9" t="s">
        <v>22</v>
      </c>
      <c r="H769" s="9" t="s">
        <v>22</v>
      </c>
      <c r="I769" s="9" t="s">
        <v>22</v>
      </c>
      <c r="J769" s="50">
        <v>1.4100418410041857</v>
      </c>
      <c r="K769" s="9">
        <v>532</v>
      </c>
      <c r="L769" s="50">
        <f t="shared" si="419"/>
        <v>0.11294799582473652</v>
      </c>
      <c r="M769" s="9" t="s">
        <v>23</v>
      </c>
      <c r="N769" s="50" t="s">
        <v>22</v>
      </c>
      <c r="O769" s="50" t="s">
        <v>22</v>
      </c>
      <c r="P769" s="50" t="s">
        <v>22</v>
      </c>
      <c r="Q769" s="50"/>
      <c r="R769" s="50" t="s">
        <v>22</v>
      </c>
      <c r="S769" s="50" t="s">
        <v>22</v>
      </c>
      <c r="T769" s="50">
        <v>5</v>
      </c>
      <c r="U769" s="50">
        <v>5</v>
      </c>
      <c r="V769" s="9">
        <v>20201128</v>
      </c>
      <c r="W769" s="21"/>
      <c r="X769" s="21">
        <v>2016</v>
      </c>
      <c r="Y769" s="21" t="s">
        <v>26</v>
      </c>
      <c r="Z769" s="9" t="s">
        <v>32</v>
      </c>
      <c r="AB769" s="50"/>
      <c r="AC769" s="9" t="s">
        <v>514</v>
      </c>
      <c r="AD769" s="50">
        <v>10.199999999999999</v>
      </c>
      <c r="AE769" s="50">
        <v>1592</v>
      </c>
      <c r="AF769" s="50">
        <v>30.5</v>
      </c>
      <c r="AG769" s="50" t="s">
        <v>22</v>
      </c>
      <c r="AH769" s="50" t="s">
        <v>22</v>
      </c>
      <c r="AI769" s="50" t="s">
        <v>22</v>
      </c>
      <c r="AJ769" s="50" t="s">
        <v>22</v>
      </c>
      <c r="AK769" s="50" t="s">
        <v>22</v>
      </c>
      <c r="AL769" s="50" t="s">
        <v>22</v>
      </c>
      <c r="AM769" s="43" t="e">
        <f t="shared" si="384"/>
        <v>#VALUE!</v>
      </c>
      <c r="AN769" s="43" t="e">
        <f t="shared" si="385"/>
        <v>#VALUE!</v>
      </c>
      <c r="AO769" s="21" t="s">
        <v>1180</v>
      </c>
      <c r="AT769" s="2">
        <f t="shared" si="386"/>
        <v>4</v>
      </c>
      <c r="AU769" s="45">
        <f t="shared" si="387"/>
        <v>-1.5100415205751654</v>
      </c>
      <c r="AV769" s="45" t="e">
        <f t="shared" si="388"/>
        <v>#VALUE!</v>
      </c>
      <c r="AW769" s="45" t="e">
        <f t="shared" si="389"/>
        <v>#VALUE!</v>
      </c>
      <c r="AX769" s="45" t="e">
        <f t="shared" si="390"/>
        <v>#VALUE!</v>
      </c>
      <c r="AY769" s="45" t="e">
        <f t="shared" si="391"/>
        <v>#VALUE!</v>
      </c>
      <c r="AZ769" s="45" t="e">
        <f t="shared" si="392"/>
        <v>#VALUE!</v>
      </c>
      <c r="BA769" s="45">
        <f t="shared" si="393"/>
        <v>0.14923199992320144</v>
      </c>
      <c r="BB769" s="45">
        <f t="shared" si="394"/>
        <v>-0.94712147089660581</v>
      </c>
      <c r="BC769" s="45">
        <f t="shared" si="395"/>
        <v>0.69897000433601886</v>
      </c>
      <c r="BD769" s="45">
        <f t="shared" si="396"/>
        <v>1.0086001717619175</v>
      </c>
      <c r="BE769" s="45">
        <f t="shared" si="397"/>
        <v>1.4842998393467859</v>
      </c>
      <c r="BF769" s="45" t="e">
        <f t="shared" si="398"/>
        <v>#VALUE!</v>
      </c>
      <c r="BG769" s="45" t="e">
        <f t="shared" si="399"/>
        <v>#VALUE!</v>
      </c>
      <c r="BH769" s="45" t="e">
        <f t="shared" si="400"/>
        <v>#NUM!</v>
      </c>
      <c r="BI769" s="43">
        <f t="shared" si="401"/>
        <v>1.4842998393467859</v>
      </c>
      <c r="BL769" s="20"/>
      <c r="BM769" s="50"/>
      <c r="BN769" s="50"/>
      <c r="BO769" s="50"/>
      <c r="BP769" s="50"/>
      <c r="BQ769" s="50"/>
      <c r="BR769" s="50"/>
      <c r="BU769" s="50"/>
      <c r="BV769" s="50"/>
      <c r="BW769" s="50"/>
      <c r="BX769" s="50"/>
      <c r="BY769" s="50"/>
      <c r="BZ769" s="50"/>
      <c r="CA769" s="50" t="s">
        <v>22</v>
      </c>
      <c r="CE769" s="50"/>
      <c r="CF769" s="50"/>
      <c r="CG769" s="50"/>
      <c r="CH769" s="50"/>
      <c r="CI769" s="50">
        <f t="shared" si="417"/>
        <v>5</v>
      </c>
      <c r="CJ769" s="50">
        <f t="shared" si="418"/>
        <v>0.69897000433601886</v>
      </c>
      <c r="CL769" s="9" t="s">
        <v>1269</v>
      </c>
      <c r="CM769" s="9" t="s">
        <v>1285</v>
      </c>
      <c r="CN769" s="55" t="s">
        <v>1284</v>
      </c>
      <c r="CO769" s="9" t="s">
        <v>1284</v>
      </c>
    </row>
    <row r="770" spans="1:93" s="9" customFormat="1" x14ac:dyDescent="0.25">
      <c r="A770" s="9" t="s">
        <v>266</v>
      </c>
      <c r="B770" s="50">
        <v>4.4999999999999998E-2</v>
      </c>
      <c r="C770" s="50" t="s">
        <v>22</v>
      </c>
      <c r="D770" s="50" t="s">
        <v>22</v>
      </c>
      <c r="E770" s="50" t="s">
        <v>22</v>
      </c>
      <c r="F770" s="9" t="s">
        <v>22</v>
      </c>
      <c r="G770" s="9" t="s">
        <v>22</v>
      </c>
      <c r="H770" s="9" t="s">
        <v>22</v>
      </c>
      <c r="I770" s="9" t="s">
        <v>22</v>
      </c>
      <c r="J770" s="50">
        <v>1.3937138130686519</v>
      </c>
      <c r="K770" s="9">
        <v>532</v>
      </c>
      <c r="L770" s="50">
        <f t="shared" si="419"/>
        <v>0.11164007858607114</v>
      </c>
      <c r="M770" s="9" t="s">
        <v>45</v>
      </c>
      <c r="N770" s="50" t="s">
        <v>22</v>
      </c>
      <c r="O770" s="50" t="s">
        <v>22</v>
      </c>
      <c r="P770" s="50" t="s">
        <v>22</v>
      </c>
      <c r="Q770" s="50"/>
      <c r="R770" s="50" t="s">
        <v>22</v>
      </c>
      <c r="S770" s="50" t="s">
        <v>22</v>
      </c>
      <c r="T770" s="50">
        <v>5</v>
      </c>
      <c r="U770" s="50">
        <v>5</v>
      </c>
      <c r="V770" s="9">
        <v>20201128</v>
      </c>
      <c r="W770" s="21"/>
      <c r="X770" s="21">
        <v>2016</v>
      </c>
      <c r="Y770" s="21" t="s">
        <v>26</v>
      </c>
      <c r="Z770" s="9" t="s">
        <v>221</v>
      </c>
      <c r="AA770" s="9" t="s">
        <v>737</v>
      </c>
      <c r="AB770" s="50">
        <v>2.4299999999999999E-2</v>
      </c>
      <c r="AC770" s="9" t="s">
        <v>514</v>
      </c>
      <c r="AD770" s="50">
        <v>9.9</v>
      </c>
      <c r="AE770" s="50" t="s">
        <v>22</v>
      </c>
      <c r="AF770" s="50">
        <v>37.200000000000003</v>
      </c>
      <c r="AG770" s="50" t="s">
        <v>22</v>
      </c>
      <c r="AH770" s="50" t="s">
        <v>22</v>
      </c>
      <c r="AI770" s="50" t="s">
        <v>22</v>
      </c>
      <c r="AJ770" s="50" t="s">
        <v>22</v>
      </c>
      <c r="AK770" s="50" t="s">
        <v>22</v>
      </c>
      <c r="AL770" s="50" t="s">
        <v>22</v>
      </c>
      <c r="AM770" s="43" t="e">
        <f t="shared" ref="AM770:AM833" si="420">AL770/AI770</f>
        <v>#VALUE!</v>
      </c>
      <c r="AN770" s="43" t="e">
        <f t="shared" ref="AN770:AN833" si="421">AL770/AJ770</f>
        <v>#VALUE!</v>
      </c>
      <c r="AO770" s="21" t="s">
        <v>1180</v>
      </c>
      <c r="AT770" s="2">
        <f t="shared" ref="AT770:AT833" si="422">COUNTIF($AO$2:$AO$1400,AO770)</f>
        <v>4</v>
      </c>
      <c r="AU770" s="45">
        <f t="shared" ref="AU770:AU833" si="423">LOG10(B770)</f>
        <v>-1.3467874862246563</v>
      </c>
      <c r="AV770" s="45" t="e">
        <f t="shared" ref="AV770:AV833" si="424">LOG10(C770)</f>
        <v>#VALUE!</v>
      </c>
      <c r="AW770" s="45" t="e">
        <f t="shared" ref="AW770:AW833" si="425">LOG10(D770)</f>
        <v>#VALUE!</v>
      </c>
      <c r="AX770" s="45" t="e">
        <f t="shared" ref="AX770:AX833" si="426">LOG10(N770)</f>
        <v>#VALUE!</v>
      </c>
      <c r="AY770" s="45" t="e">
        <f t="shared" ref="AY770:AY833" si="427">LOG10(O770)</f>
        <v>#VALUE!</v>
      </c>
      <c r="AZ770" s="45" t="e">
        <f t="shared" ref="AZ770:AZ833" si="428">LOG10(P770)</f>
        <v>#VALUE!</v>
      </c>
      <c r="BA770" s="45">
        <f t="shared" ref="BA770:BA833" si="429">LOG10(J770)</f>
        <v>0.1441736043465856</v>
      </c>
      <c r="BB770" s="45">
        <f t="shared" ref="BB770:BB833" si="430">LOG10(L770)</f>
        <v>-0.95217986647322173</v>
      </c>
      <c r="BC770" s="45">
        <f t="shared" ref="BC770:BC833" si="431">LOG10(U770)</f>
        <v>0.69897000433601886</v>
      </c>
      <c r="BD770" s="45">
        <f t="shared" ref="BD770:BD833" si="432">LOG10(AD770)</f>
        <v>0.9956351945975499</v>
      </c>
      <c r="BE770" s="45">
        <f t="shared" ref="BE770:BE833" si="433">LOG10(AF770)</f>
        <v>1.5705429398818975</v>
      </c>
      <c r="BF770" s="45" t="e">
        <f t="shared" ref="BF770:BF833" si="434">LOG10(AM770)</f>
        <v>#VALUE!</v>
      </c>
      <c r="BG770" s="45" t="e">
        <f t="shared" ref="BG770:BG833" si="435">LOG10(AN770)</f>
        <v>#VALUE!</v>
      </c>
      <c r="BH770" s="45">
        <f t="shared" ref="BH770:BH833" si="436">LOG10(AB770)</f>
        <v>-1.6143937264016879</v>
      </c>
      <c r="BI770" s="43">
        <f t="shared" ref="BI770:BI833" si="437">LOG10(AF770)</f>
        <v>1.5705429398818975</v>
      </c>
      <c r="BL770" s="20"/>
      <c r="BM770" s="50"/>
      <c r="BN770" s="50"/>
      <c r="BO770" s="50"/>
      <c r="BP770" s="50"/>
      <c r="BQ770" s="50"/>
      <c r="BR770" s="50"/>
      <c r="BU770" s="50"/>
      <c r="BV770" s="50"/>
      <c r="BW770" s="50"/>
      <c r="BX770" s="50"/>
      <c r="BY770" s="50"/>
      <c r="BZ770" s="50"/>
      <c r="CA770" s="50" t="s">
        <v>22</v>
      </c>
      <c r="CE770" s="50"/>
      <c r="CF770" s="50"/>
      <c r="CG770" s="50"/>
      <c r="CH770" s="50"/>
      <c r="CI770" s="50">
        <f t="shared" si="417"/>
        <v>5</v>
      </c>
      <c r="CJ770" s="50">
        <f t="shared" si="418"/>
        <v>0.69897000433601886</v>
      </c>
      <c r="CL770" s="9" t="s">
        <v>1269</v>
      </c>
      <c r="CM770" s="9" t="s">
        <v>1285</v>
      </c>
      <c r="CN770" s="55" t="s">
        <v>1284</v>
      </c>
      <c r="CO770" s="9" t="s">
        <v>1284</v>
      </c>
    </row>
    <row r="771" spans="1:93" s="9" customFormat="1" x14ac:dyDescent="0.25">
      <c r="A771" s="9" t="s">
        <v>266</v>
      </c>
      <c r="B771" s="50">
        <v>6.59E-2</v>
      </c>
      <c r="C771" s="50" t="s">
        <v>22</v>
      </c>
      <c r="D771" s="50" t="s">
        <v>22</v>
      </c>
      <c r="E771" s="50" t="s">
        <v>22</v>
      </c>
      <c r="F771" s="9" t="s">
        <v>22</v>
      </c>
      <c r="G771" s="9" t="s">
        <v>22</v>
      </c>
      <c r="H771" s="9" t="s">
        <v>22</v>
      </c>
      <c r="I771" s="9" t="s">
        <v>22</v>
      </c>
      <c r="J771" s="50">
        <v>1.3654781199351713</v>
      </c>
      <c r="K771" s="9">
        <v>532</v>
      </c>
      <c r="L771" s="50">
        <f t="shared" si="419"/>
        <v>0.10937832658878453</v>
      </c>
      <c r="M771" s="9" t="s">
        <v>45</v>
      </c>
      <c r="N771" s="50" t="s">
        <v>22</v>
      </c>
      <c r="O771" s="50" t="s">
        <v>22</v>
      </c>
      <c r="P771" s="50" t="s">
        <v>22</v>
      </c>
      <c r="Q771" s="50"/>
      <c r="R771" s="50" t="s">
        <v>22</v>
      </c>
      <c r="S771" s="50" t="s">
        <v>22</v>
      </c>
      <c r="T771" s="50">
        <v>5</v>
      </c>
      <c r="U771" s="50">
        <v>5</v>
      </c>
      <c r="V771" s="9">
        <v>20201128</v>
      </c>
      <c r="W771" s="21"/>
      <c r="X771" s="21">
        <v>2016</v>
      </c>
      <c r="Y771" s="21" t="s">
        <v>26</v>
      </c>
      <c r="Z771" s="9" t="s">
        <v>221</v>
      </c>
      <c r="AA771" s="9" t="s">
        <v>737</v>
      </c>
      <c r="AB771" s="50">
        <v>3.0899999999999997E-2</v>
      </c>
      <c r="AC771" s="9" t="s">
        <v>514</v>
      </c>
      <c r="AD771" s="50">
        <v>9.3000000000000007</v>
      </c>
      <c r="AE771" s="50" t="s">
        <v>22</v>
      </c>
      <c r="AF771" s="50">
        <v>51</v>
      </c>
      <c r="AG771" s="50" t="s">
        <v>22</v>
      </c>
      <c r="AH771" s="50" t="s">
        <v>22</v>
      </c>
      <c r="AI771" s="50" t="s">
        <v>22</v>
      </c>
      <c r="AJ771" s="50" t="s">
        <v>22</v>
      </c>
      <c r="AK771" s="50" t="s">
        <v>22</v>
      </c>
      <c r="AL771" s="50" t="s">
        <v>22</v>
      </c>
      <c r="AM771" s="43" t="e">
        <f t="shared" si="420"/>
        <v>#VALUE!</v>
      </c>
      <c r="AN771" s="43" t="e">
        <f t="shared" si="421"/>
        <v>#VALUE!</v>
      </c>
      <c r="AO771" s="21" t="s">
        <v>1180</v>
      </c>
      <c r="AT771" s="2">
        <f t="shared" si="422"/>
        <v>4</v>
      </c>
      <c r="AU771" s="45">
        <f t="shared" si="423"/>
        <v>-1.1811145854059901</v>
      </c>
      <c r="AV771" s="45" t="e">
        <f t="shared" si="424"/>
        <v>#VALUE!</v>
      </c>
      <c r="AW771" s="45" t="e">
        <f t="shared" si="425"/>
        <v>#VALUE!</v>
      </c>
      <c r="AX771" s="45" t="e">
        <f t="shared" si="426"/>
        <v>#VALUE!</v>
      </c>
      <c r="AY771" s="45" t="e">
        <f t="shared" si="427"/>
        <v>#VALUE!</v>
      </c>
      <c r="AZ771" s="45" t="e">
        <f t="shared" si="428"/>
        <v>#VALUE!</v>
      </c>
      <c r="BA771" s="45">
        <f t="shared" si="429"/>
        <v>0.13528474551013492</v>
      </c>
      <c r="BB771" s="45">
        <f t="shared" si="430"/>
        <v>-0.96106872530967236</v>
      </c>
      <c r="BC771" s="45">
        <f t="shared" si="431"/>
        <v>0.69897000433601886</v>
      </c>
      <c r="BD771" s="45">
        <f t="shared" si="432"/>
        <v>0.96848294855393513</v>
      </c>
      <c r="BE771" s="45">
        <f t="shared" si="433"/>
        <v>1.7075701760979363</v>
      </c>
      <c r="BF771" s="45" t="e">
        <f t="shared" si="434"/>
        <v>#VALUE!</v>
      </c>
      <c r="BG771" s="45" t="e">
        <f t="shared" si="435"/>
        <v>#VALUE!</v>
      </c>
      <c r="BH771" s="45">
        <f t="shared" si="436"/>
        <v>-1.5100415205751654</v>
      </c>
      <c r="BI771" s="43">
        <f t="shared" si="437"/>
        <v>1.7075701760979363</v>
      </c>
      <c r="BL771" s="20"/>
      <c r="BM771" s="50"/>
      <c r="BN771" s="50"/>
      <c r="BO771" s="50"/>
      <c r="BP771" s="50"/>
      <c r="BQ771" s="50"/>
      <c r="BR771" s="50"/>
      <c r="BU771" s="50"/>
      <c r="BV771" s="50"/>
      <c r="BW771" s="50"/>
      <c r="BX771" s="50"/>
      <c r="BY771" s="50"/>
      <c r="BZ771" s="50"/>
      <c r="CA771" s="50" t="s">
        <v>22</v>
      </c>
      <c r="CE771" s="50"/>
      <c r="CF771" s="50"/>
      <c r="CG771" s="50"/>
      <c r="CH771" s="50"/>
      <c r="CI771" s="50">
        <f t="shared" si="417"/>
        <v>5</v>
      </c>
      <c r="CJ771" s="50">
        <f t="shared" si="418"/>
        <v>0.69897000433601886</v>
      </c>
      <c r="CL771" s="9" t="s">
        <v>1269</v>
      </c>
      <c r="CM771" s="9" t="s">
        <v>1285</v>
      </c>
      <c r="CN771" s="55" t="s">
        <v>1284</v>
      </c>
      <c r="CO771" s="9" t="s">
        <v>1284</v>
      </c>
    </row>
    <row r="772" spans="1:93" s="9" customFormat="1" x14ac:dyDescent="0.25">
      <c r="A772" s="9" t="s">
        <v>141</v>
      </c>
      <c r="B772" s="50">
        <v>1.5907678476752399E-2</v>
      </c>
      <c r="C772" s="50" t="s">
        <v>22</v>
      </c>
      <c r="D772" s="50" t="s">
        <v>22</v>
      </c>
      <c r="E772" s="50" t="s">
        <v>22</v>
      </c>
      <c r="F772" s="9" t="s">
        <v>22</v>
      </c>
      <c r="G772" s="9" t="s">
        <v>22</v>
      </c>
      <c r="H772" s="9" t="s">
        <v>22</v>
      </c>
      <c r="I772" s="9" t="s">
        <v>22</v>
      </c>
      <c r="J772" s="50">
        <v>1.7446808510638201</v>
      </c>
      <c r="K772" s="9">
        <v>514</v>
      </c>
      <c r="L772" s="50">
        <f t="shared" si="419"/>
        <v>0.12177789715131847</v>
      </c>
      <c r="M772" s="9" t="s">
        <v>23</v>
      </c>
      <c r="N772" s="50" t="s">
        <v>22</v>
      </c>
      <c r="O772" s="50" t="s">
        <v>22</v>
      </c>
      <c r="P772" s="50" t="s">
        <v>22</v>
      </c>
      <c r="Q772" s="50"/>
      <c r="R772" s="50" t="s">
        <v>22</v>
      </c>
      <c r="S772" s="50" t="s">
        <v>22</v>
      </c>
      <c r="T772" s="50" t="s">
        <v>22</v>
      </c>
      <c r="U772" s="50" t="s">
        <v>22</v>
      </c>
      <c r="V772" s="9">
        <v>20201127</v>
      </c>
      <c r="W772" s="21" t="s">
        <v>32</v>
      </c>
      <c r="X772" s="9">
        <v>2016</v>
      </c>
      <c r="Y772" s="21" t="s">
        <v>26</v>
      </c>
      <c r="Z772" s="9" t="s">
        <v>32</v>
      </c>
      <c r="AB772" s="50"/>
      <c r="AC772" s="9" t="s">
        <v>514</v>
      </c>
      <c r="AD772" s="50">
        <v>34</v>
      </c>
      <c r="AE772" s="50">
        <v>1572.58064516129</v>
      </c>
      <c r="AF772" s="50">
        <v>35.5404465245715</v>
      </c>
      <c r="AG772" s="50" t="s">
        <v>22</v>
      </c>
      <c r="AH772" s="50" t="s">
        <v>22</v>
      </c>
      <c r="AI772" s="50" t="s">
        <v>22</v>
      </c>
      <c r="AJ772" s="50" t="s">
        <v>22</v>
      </c>
      <c r="AK772" s="50" t="s">
        <v>22</v>
      </c>
      <c r="AL772" s="50" t="s">
        <v>22</v>
      </c>
      <c r="AM772" s="43" t="e">
        <f t="shared" si="420"/>
        <v>#VALUE!</v>
      </c>
      <c r="AN772" s="43" t="e">
        <f t="shared" si="421"/>
        <v>#VALUE!</v>
      </c>
      <c r="AO772" s="57" t="s">
        <v>1158</v>
      </c>
      <c r="AT772" s="2">
        <f t="shared" si="422"/>
        <v>9</v>
      </c>
      <c r="AU772" s="45">
        <f t="shared" si="423"/>
        <v>-1.7983931954823469</v>
      </c>
      <c r="AV772" s="45" t="e">
        <f t="shared" si="424"/>
        <v>#VALUE!</v>
      </c>
      <c r="AW772" s="45" t="e">
        <f t="shared" si="425"/>
        <v>#VALUE!</v>
      </c>
      <c r="AX772" s="45" t="e">
        <f t="shared" si="426"/>
        <v>#VALUE!</v>
      </c>
      <c r="AY772" s="45" t="e">
        <f t="shared" si="427"/>
        <v>#VALUE!</v>
      </c>
      <c r="AZ772" s="45" t="e">
        <f t="shared" si="428"/>
        <v>#VALUE!</v>
      </c>
      <c r="BA772" s="45">
        <f t="shared" si="429"/>
        <v>0.24171599444799682</v>
      </c>
      <c r="BB772" s="45">
        <f t="shared" si="430"/>
        <v>-0.91443152957090024</v>
      </c>
      <c r="BC772" s="45" t="e">
        <f t="shared" si="431"/>
        <v>#VALUE!</v>
      </c>
      <c r="BD772" s="45">
        <f t="shared" si="432"/>
        <v>1.5314789170422551</v>
      </c>
      <c r="BE772" s="45">
        <f t="shared" si="433"/>
        <v>1.5507228799110166</v>
      </c>
      <c r="BF772" s="45" t="e">
        <f t="shared" si="434"/>
        <v>#VALUE!</v>
      </c>
      <c r="BG772" s="45" t="e">
        <f t="shared" si="435"/>
        <v>#VALUE!</v>
      </c>
      <c r="BH772" s="45" t="e">
        <f t="shared" si="436"/>
        <v>#NUM!</v>
      </c>
      <c r="BI772" s="43">
        <f t="shared" si="437"/>
        <v>1.5507228799110166</v>
      </c>
      <c r="BL772" s="20"/>
      <c r="BM772" s="50"/>
      <c r="BN772" s="50"/>
      <c r="BO772" s="50"/>
      <c r="BP772" s="50"/>
      <c r="BQ772" s="50"/>
      <c r="BR772" s="50"/>
      <c r="BU772" s="50"/>
      <c r="BV772" s="50"/>
      <c r="BW772" s="50"/>
      <c r="BX772" s="50"/>
      <c r="BY772" s="50"/>
      <c r="BZ772" s="50"/>
      <c r="CA772" s="50" t="s">
        <v>22</v>
      </c>
      <c r="CE772" s="50"/>
      <c r="CF772" s="50"/>
      <c r="CG772" s="50"/>
      <c r="CH772" s="50"/>
      <c r="CI772" s="50" t="str">
        <f t="shared" si="417"/>
        <v>Not Reported/ Can not calculate</v>
      </c>
      <c r="CJ772" s="50" t="e">
        <f t="shared" si="418"/>
        <v>#VALUE!</v>
      </c>
      <c r="CL772" s="9" t="s">
        <v>1269</v>
      </c>
      <c r="CM772" s="9" t="s">
        <v>1284</v>
      </c>
      <c r="CN772" s="55" t="s">
        <v>1284</v>
      </c>
      <c r="CO772" s="9" t="s">
        <v>1284</v>
      </c>
    </row>
    <row r="773" spans="1:93" s="9" customFormat="1" x14ac:dyDescent="0.25">
      <c r="A773" s="9" t="s">
        <v>141</v>
      </c>
      <c r="B773" s="50">
        <v>1.3623706230838301E-2</v>
      </c>
      <c r="C773" s="50" t="s">
        <v>22</v>
      </c>
      <c r="D773" s="50" t="s">
        <v>22</v>
      </c>
      <c r="E773" s="50" t="s">
        <v>22</v>
      </c>
      <c r="F773" s="9" t="s">
        <v>22</v>
      </c>
      <c r="G773" s="9" t="s">
        <v>22</v>
      </c>
      <c r="H773" s="9" t="s">
        <v>22</v>
      </c>
      <c r="I773" s="9" t="s">
        <v>22</v>
      </c>
      <c r="J773" s="50">
        <v>1.9607201309328901</v>
      </c>
      <c r="K773" s="9">
        <v>514</v>
      </c>
      <c r="L773" s="50">
        <f t="shared" si="419"/>
        <v>0.13685733657343324</v>
      </c>
      <c r="M773" s="9" t="s">
        <v>23</v>
      </c>
      <c r="N773" s="50" t="s">
        <v>22</v>
      </c>
      <c r="O773" s="50" t="s">
        <v>22</v>
      </c>
      <c r="P773" s="50" t="s">
        <v>22</v>
      </c>
      <c r="Q773" s="50"/>
      <c r="R773" s="50" t="s">
        <v>22</v>
      </c>
      <c r="S773" s="50" t="s">
        <v>22</v>
      </c>
      <c r="T773" s="50" t="s">
        <v>22</v>
      </c>
      <c r="U773" s="50" t="s">
        <v>22</v>
      </c>
      <c r="V773" s="9">
        <v>20201127</v>
      </c>
      <c r="W773" s="21" t="s">
        <v>32</v>
      </c>
      <c r="X773" s="9">
        <v>2016</v>
      </c>
      <c r="Y773" s="21" t="s">
        <v>26</v>
      </c>
      <c r="Z773" s="9" t="s">
        <v>32</v>
      </c>
      <c r="AB773" s="50"/>
      <c r="AC773" s="9" t="s">
        <v>514</v>
      </c>
      <c r="AD773" s="50">
        <v>47</v>
      </c>
      <c r="AE773" s="50">
        <v>1572.58064516129</v>
      </c>
      <c r="AF773" s="50">
        <v>24.634747960280801</v>
      </c>
      <c r="AG773" s="50" t="s">
        <v>22</v>
      </c>
      <c r="AH773" s="50">
        <v>499.99999999999898</v>
      </c>
      <c r="AI773" s="50">
        <v>483.41968911917002</v>
      </c>
      <c r="AJ773" s="50">
        <v>412.95336787564702</v>
      </c>
      <c r="AK773" s="50">
        <v>323.83419689119103</v>
      </c>
      <c r="AL773" s="50">
        <v>259.58549222797899</v>
      </c>
      <c r="AM773" s="43">
        <f t="shared" si="420"/>
        <v>0.53697749196141531</v>
      </c>
      <c r="AN773" s="43">
        <f t="shared" si="421"/>
        <v>0.62860727728983723</v>
      </c>
      <c r="AO773" s="57" t="s">
        <v>1158</v>
      </c>
      <c r="AT773" s="2">
        <f t="shared" si="422"/>
        <v>9</v>
      </c>
      <c r="AU773" s="45">
        <f t="shared" si="423"/>
        <v>-1.8657047296741549</v>
      </c>
      <c r="AV773" s="45" t="e">
        <f t="shared" si="424"/>
        <v>#VALUE!</v>
      </c>
      <c r="AW773" s="45" t="e">
        <f t="shared" si="425"/>
        <v>#VALUE!</v>
      </c>
      <c r="AX773" s="45" t="e">
        <f t="shared" si="426"/>
        <v>#VALUE!</v>
      </c>
      <c r="AY773" s="45" t="e">
        <f t="shared" si="427"/>
        <v>#VALUE!</v>
      </c>
      <c r="AZ773" s="45" t="e">
        <f t="shared" si="428"/>
        <v>#VALUE!</v>
      </c>
      <c r="BA773" s="45">
        <f t="shared" si="429"/>
        <v>0.29241560781073683</v>
      </c>
      <c r="BB773" s="45">
        <f t="shared" si="430"/>
        <v>-0.86373191620816026</v>
      </c>
      <c r="BC773" s="45" t="e">
        <f t="shared" si="431"/>
        <v>#VALUE!</v>
      </c>
      <c r="BD773" s="45">
        <f t="shared" si="432"/>
        <v>1.6720978579357175</v>
      </c>
      <c r="BE773" s="45">
        <f t="shared" si="433"/>
        <v>1.3915481233383804</v>
      </c>
      <c r="BF773" s="45">
        <f t="shared" si="434"/>
        <v>-0.2700439178792538</v>
      </c>
      <c r="BG773" s="45">
        <f t="shared" si="435"/>
        <v>-0.20162059552886638</v>
      </c>
      <c r="BH773" s="45" t="e">
        <f t="shared" si="436"/>
        <v>#NUM!</v>
      </c>
      <c r="BI773" s="43">
        <f t="shared" si="437"/>
        <v>1.3915481233383804</v>
      </c>
      <c r="BL773" s="20"/>
      <c r="BM773" s="50"/>
      <c r="BN773" s="50"/>
      <c r="BO773" s="50"/>
      <c r="BP773" s="50"/>
      <c r="BQ773" s="50"/>
      <c r="BR773" s="50"/>
      <c r="BU773" s="50"/>
      <c r="BV773" s="50"/>
      <c r="BW773" s="50"/>
      <c r="BX773" s="50"/>
      <c r="BY773" s="50"/>
      <c r="BZ773" s="50"/>
      <c r="CA773" s="50" t="s">
        <v>22</v>
      </c>
      <c r="CE773" s="50"/>
      <c r="CF773" s="50"/>
      <c r="CG773" s="50"/>
      <c r="CH773" s="50"/>
      <c r="CI773" s="50" t="str">
        <f t="shared" si="417"/>
        <v>Not Reported/ Can not calculate</v>
      </c>
      <c r="CJ773" s="50" t="e">
        <f t="shared" si="418"/>
        <v>#VALUE!</v>
      </c>
      <c r="CL773" s="9" t="s">
        <v>1269</v>
      </c>
      <c r="CM773" s="9" t="s">
        <v>1284</v>
      </c>
      <c r="CN773" s="55" t="s">
        <v>1284</v>
      </c>
      <c r="CO773" s="9" t="s">
        <v>1284</v>
      </c>
    </row>
    <row r="774" spans="1:93" s="9" customFormat="1" x14ac:dyDescent="0.25">
      <c r="A774" s="9" t="s">
        <v>141</v>
      </c>
      <c r="B774" s="50">
        <v>1.0664853276780101E-2</v>
      </c>
      <c r="C774" s="50" t="s">
        <v>22</v>
      </c>
      <c r="D774" s="50" t="s">
        <v>22</v>
      </c>
      <c r="E774" s="50" t="s">
        <v>22</v>
      </c>
      <c r="F774" s="9" t="s">
        <v>22</v>
      </c>
      <c r="G774" s="9" t="s">
        <v>22</v>
      </c>
      <c r="H774" s="9" t="s">
        <v>22</v>
      </c>
      <c r="I774" s="9" t="s">
        <v>22</v>
      </c>
      <c r="J774" s="50">
        <v>2.0654664484451701</v>
      </c>
      <c r="K774" s="9">
        <v>514</v>
      </c>
      <c r="L774" s="50">
        <f t="shared" si="419"/>
        <v>0.14416857992961035</v>
      </c>
      <c r="M774" s="9" t="s">
        <v>23</v>
      </c>
      <c r="N774" s="50" t="s">
        <v>22</v>
      </c>
      <c r="O774" s="50" t="s">
        <v>22</v>
      </c>
      <c r="P774" s="50" t="s">
        <v>22</v>
      </c>
      <c r="Q774" s="50"/>
      <c r="R774" s="50" t="s">
        <v>22</v>
      </c>
      <c r="S774" s="50" t="s">
        <v>22</v>
      </c>
      <c r="T774" s="50" t="s">
        <v>22</v>
      </c>
      <c r="U774" s="50" t="s">
        <v>22</v>
      </c>
      <c r="V774" s="9">
        <v>20201127</v>
      </c>
      <c r="W774" s="21" t="s">
        <v>32</v>
      </c>
      <c r="X774" s="9">
        <v>2016</v>
      </c>
      <c r="Y774" s="21" t="s">
        <v>26</v>
      </c>
      <c r="Z774" s="9" t="s">
        <v>32</v>
      </c>
      <c r="AB774" s="50"/>
      <c r="AC774" s="9" t="s">
        <v>514</v>
      </c>
      <c r="AD774" s="50">
        <v>60</v>
      </c>
      <c r="AE774" s="50">
        <v>1572.58064516129</v>
      </c>
      <c r="AF774" s="50">
        <v>17.223452027069701</v>
      </c>
      <c r="AG774" s="50" t="s">
        <v>22</v>
      </c>
      <c r="AH774" s="50" t="s">
        <v>22</v>
      </c>
      <c r="AI774" s="50" t="s">
        <v>22</v>
      </c>
      <c r="AJ774" s="50" t="s">
        <v>22</v>
      </c>
      <c r="AK774" s="50" t="s">
        <v>22</v>
      </c>
      <c r="AL774" s="50" t="s">
        <v>22</v>
      </c>
      <c r="AM774" s="43" t="e">
        <f t="shared" si="420"/>
        <v>#VALUE!</v>
      </c>
      <c r="AN774" s="43" t="e">
        <f t="shared" si="421"/>
        <v>#VALUE!</v>
      </c>
      <c r="AO774" s="57" t="s">
        <v>1158</v>
      </c>
      <c r="AT774" s="2">
        <f t="shared" si="422"/>
        <v>9</v>
      </c>
      <c r="AU774" s="45">
        <f t="shared" si="423"/>
        <v>-1.9720451150409091</v>
      </c>
      <c r="AV774" s="45" t="e">
        <f t="shared" si="424"/>
        <v>#VALUE!</v>
      </c>
      <c r="AW774" s="45" t="e">
        <f t="shared" si="425"/>
        <v>#VALUE!</v>
      </c>
      <c r="AX774" s="45" t="e">
        <f t="shared" si="426"/>
        <v>#VALUE!</v>
      </c>
      <c r="AY774" s="45" t="e">
        <f t="shared" si="427"/>
        <v>#VALUE!</v>
      </c>
      <c r="AZ774" s="45" t="e">
        <f t="shared" si="428"/>
        <v>#VALUE!</v>
      </c>
      <c r="BA774" s="45">
        <f t="shared" si="429"/>
        <v>0.31501814466556094</v>
      </c>
      <c r="BB774" s="45">
        <f t="shared" si="430"/>
        <v>-0.8411293793533362</v>
      </c>
      <c r="BC774" s="45" t="e">
        <f t="shared" si="431"/>
        <v>#VALUE!</v>
      </c>
      <c r="BD774" s="45">
        <f t="shared" si="432"/>
        <v>1.7781512503836436</v>
      </c>
      <c r="BE774" s="45">
        <f t="shared" si="433"/>
        <v>1.2361201997342897</v>
      </c>
      <c r="BF774" s="45" t="e">
        <f t="shared" si="434"/>
        <v>#VALUE!</v>
      </c>
      <c r="BG774" s="45" t="e">
        <f t="shared" si="435"/>
        <v>#VALUE!</v>
      </c>
      <c r="BH774" s="45" t="e">
        <f t="shared" si="436"/>
        <v>#NUM!</v>
      </c>
      <c r="BI774" s="43">
        <f t="shared" si="437"/>
        <v>1.2361201997342897</v>
      </c>
      <c r="BL774" s="20"/>
      <c r="BM774" s="50"/>
      <c r="BN774" s="50"/>
      <c r="BO774" s="50"/>
      <c r="BP774" s="50"/>
      <c r="BQ774" s="50"/>
      <c r="BR774" s="50"/>
      <c r="BU774" s="50"/>
      <c r="BV774" s="50"/>
      <c r="BW774" s="50"/>
      <c r="BX774" s="50"/>
      <c r="BY774" s="50"/>
      <c r="BZ774" s="50"/>
      <c r="CA774" s="50" t="s">
        <v>22</v>
      </c>
      <c r="CE774" s="50"/>
      <c r="CF774" s="50"/>
      <c r="CG774" s="50"/>
      <c r="CH774" s="50"/>
      <c r="CI774" s="50" t="str">
        <f t="shared" si="417"/>
        <v>Not Reported/ Can not calculate</v>
      </c>
      <c r="CJ774" s="50" t="e">
        <f t="shared" si="418"/>
        <v>#VALUE!</v>
      </c>
      <c r="CL774" s="9" t="s">
        <v>1269</v>
      </c>
      <c r="CM774" s="9" t="s">
        <v>1284</v>
      </c>
      <c r="CN774" s="55" t="s">
        <v>1284</v>
      </c>
      <c r="CO774" s="9" t="s">
        <v>1284</v>
      </c>
    </row>
    <row r="775" spans="1:93" s="9" customFormat="1" x14ac:dyDescent="0.25">
      <c r="A775" s="9" t="s">
        <v>141</v>
      </c>
      <c r="B775" s="50">
        <v>2.3232129273184098E-2</v>
      </c>
      <c r="C775" s="50" t="s">
        <v>22</v>
      </c>
      <c r="D775" s="50" t="s">
        <v>22</v>
      </c>
      <c r="E775" s="50" t="s">
        <v>22</v>
      </c>
      <c r="F775" s="9" t="s">
        <v>22</v>
      </c>
      <c r="G775" s="9" t="s">
        <v>22</v>
      </c>
      <c r="H775" s="9" t="s">
        <v>22</v>
      </c>
      <c r="I775" s="9" t="s">
        <v>22</v>
      </c>
      <c r="J775" s="50">
        <v>4.3633387888707</v>
      </c>
      <c r="K775" s="9">
        <v>514</v>
      </c>
      <c r="L775" s="50">
        <f t="shared" si="419"/>
        <v>0.30455898105573787</v>
      </c>
      <c r="M775" s="9" t="s">
        <v>23</v>
      </c>
      <c r="N775" s="50" t="s">
        <v>22</v>
      </c>
      <c r="O775" s="50" t="s">
        <v>22</v>
      </c>
      <c r="P775" s="50" t="s">
        <v>22</v>
      </c>
      <c r="Q775" s="50"/>
      <c r="R775" s="50" t="s">
        <v>22</v>
      </c>
      <c r="S775" s="50" t="s">
        <v>22</v>
      </c>
      <c r="T775" s="50" t="s">
        <v>22</v>
      </c>
      <c r="U775" s="50" t="s">
        <v>22</v>
      </c>
      <c r="V775" s="9">
        <v>20201127</v>
      </c>
      <c r="W775" s="21" t="s">
        <v>1159</v>
      </c>
      <c r="X775" s="9">
        <v>2016</v>
      </c>
      <c r="Y775" s="21" t="s">
        <v>26</v>
      </c>
      <c r="Z775" s="9" t="s">
        <v>34</v>
      </c>
      <c r="AB775" s="50"/>
      <c r="AC775" s="9" t="s">
        <v>514</v>
      </c>
      <c r="AD775" s="50">
        <v>34</v>
      </c>
      <c r="AE775" s="50">
        <v>1562.9032258064501</v>
      </c>
      <c r="AF775" s="50">
        <v>52.512807539055103</v>
      </c>
      <c r="AG775" s="50" t="s">
        <v>22</v>
      </c>
      <c r="AH775" s="50" t="s">
        <v>22</v>
      </c>
      <c r="AI775" s="50" t="s">
        <v>22</v>
      </c>
      <c r="AJ775" s="50" t="s">
        <v>22</v>
      </c>
      <c r="AK775" s="50" t="s">
        <v>22</v>
      </c>
      <c r="AL775" s="50" t="s">
        <v>22</v>
      </c>
      <c r="AM775" s="43" t="e">
        <f t="shared" si="420"/>
        <v>#VALUE!</v>
      </c>
      <c r="AN775" s="43" t="e">
        <f t="shared" si="421"/>
        <v>#VALUE!</v>
      </c>
      <c r="AO775" s="57" t="s">
        <v>1158</v>
      </c>
      <c r="AT775" s="2">
        <f t="shared" si="422"/>
        <v>9</v>
      </c>
      <c r="AU775" s="45">
        <f t="shared" si="423"/>
        <v>-1.6339109843790056</v>
      </c>
      <c r="AV775" s="45" t="e">
        <f t="shared" si="424"/>
        <v>#VALUE!</v>
      </c>
      <c r="AW775" s="45" t="e">
        <f t="shared" si="425"/>
        <v>#VALUE!</v>
      </c>
      <c r="AX775" s="45" t="e">
        <f t="shared" si="426"/>
        <v>#VALUE!</v>
      </c>
      <c r="AY775" s="45" t="e">
        <f t="shared" si="427"/>
        <v>#VALUE!</v>
      </c>
      <c r="AZ775" s="45" t="e">
        <f t="shared" si="428"/>
        <v>#VALUE!</v>
      </c>
      <c r="BA775" s="45">
        <f t="shared" si="429"/>
        <v>0.63981893483528585</v>
      </c>
      <c r="BB775" s="45">
        <f t="shared" si="430"/>
        <v>-0.51632858918361124</v>
      </c>
      <c r="BC775" s="45" t="e">
        <f t="shared" si="431"/>
        <v>#VALUE!</v>
      </c>
      <c r="BD775" s="45">
        <f t="shared" si="432"/>
        <v>1.5314789170422551</v>
      </c>
      <c r="BE775" s="45">
        <f t="shared" si="433"/>
        <v>1.7202652379809162</v>
      </c>
      <c r="BF775" s="45" t="e">
        <f t="shared" si="434"/>
        <v>#VALUE!</v>
      </c>
      <c r="BG775" s="45" t="e">
        <f t="shared" si="435"/>
        <v>#VALUE!</v>
      </c>
      <c r="BH775" s="45" t="e">
        <f t="shared" si="436"/>
        <v>#NUM!</v>
      </c>
      <c r="BI775" s="43">
        <f t="shared" si="437"/>
        <v>1.7202652379809162</v>
      </c>
      <c r="BL775" s="20"/>
      <c r="BM775" s="50"/>
      <c r="BN775" s="50"/>
      <c r="BO775" s="50"/>
      <c r="BP775" s="50"/>
      <c r="BQ775" s="50"/>
      <c r="BR775" s="50"/>
      <c r="BU775" s="50"/>
      <c r="BV775" s="50"/>
      <c r="BW775" s="50"/>
      <c r="BX775" s="50"/>
      <c r="BY775" s="50"/>
      <c r="BZ775" s="50"/>
      <c r="CA775" s="50" t="s">
        <v>22</v>
      </c>
      <c r="CE775" s="50"/>
      <c r="CF775" s="50"/>
      <c r="CG775" s="50"/>
      <c r="CH775" s="50"/>
      <c r="CI775" s="50" t="str">
        <f t="shared" si="417"/>
        <v>Not Reported/ Can not calculate</v>
      </c>
      <c r="CJ775" s="50" t="e">
        <f t="shared" si="418"/>
        <v>#VALUE!</v>
      </c>
      <c r="CL775" s="9" t="s">
        <v>1269</v>
      </c>
      <c r="CM775" s="9" t="s">
        <v>1284</v>
      </c>
      <c r="CN775" s="55" t="s">
        <v>1284</v>
      </c>
      <c r="CO775" s="9" t="s">
        <v>1284</v>
      </c>
    </row>
    <row r="776" spans="1:93" s="9" customFormat="1" x14ac:dyDescent="0.25">
      <c r="A776" s="9" t="s">
        <v>141</v>
      </c>
      <c r="B776" s="50">
        <v>1.9434222355409002E-2</v>
      </c>
      <c r="C776" s="50" t="s">
        <v>22</v>
      </c>
      <c r="D776" s="50" t="s">
        <v>22</v>
      </c>
      <c r="E776" s="50" t="s">
        <v>22</v>
      </c>
      <c r="F776" s="9" t="s">
        <v>22</v>
      </c>
      <c r="G776" s="9" t="s">
        <v>22</v>
      </c>
      <c r="H776" s="9" t="s">
        <v>22</v>
      </c>
      <c r="I776" s="9" t="s">
        <v>22</v>
      </c>
      <c r="J776" s="50">
        <v>3.8985270049099801</v>
      </c>
      <c r="K776" s="9">
        <v>514</v>
      </c>
      <c r="L776" s="50">
        <f t="shared" si="419"/>
        <v>0.27211533866270354</v>
      </c>
      <c r="M776" s="9" t="s">
        <v>23</v>
      </c>
      <c r="N776" s="50" t="s">
        <v>22</v>
      </c>
      <c r="O776" s="50" t="s">
        <v>22</v>
      </c>
      <c r="P776" s="50" t="s">
        <v>22</v>
      </c>
      <c r="Q776" s="50"/>
      <c r="R776" s="50" t="s">
        <v>22</v>
      </c>
      <c r="S776" s="50" t="s">
        <v>22</v>
      </c>
      <c r="T776" s="50" t="s">
        <v>22</v>
      </c>
      <c r="U776" s="50" t="s">
        <v>22</v>
      </c>
      <c r="V776" s="9">
        <v>20201127</v>
      </c>
      <c r="W776" s="21" t="s">
        <v>1159</v>
      </c>
      <c r="X776" s="9">
        <v>2016</v>
      </c>
      <c r="Y776" s="21" t="s">
        <v>26</v>
      </c>
      <c r="Z776" s="9" t="s">
        <v>34</v>
      </c>
      <c r="AB776" s="50"/>
      <c r="AC776" s="9" t="s">
        <v>514</v>
      </c>
      <c r="AD776" s="50">
        <v>47</v>
      </c>
      <c r="AE776" s="50">
        <v>1562.9032258064501</v>
      </c>
      <c r="AF776" s="50">
        <v>40.712162418569299</v>
      </c>
      <c r="AG776" s="50" t="s">
        <v>22</v>
      </c>
      <c r="AH776" s="50">
        <v>745.59585492227905</v>
      </c>
      <c r="AI776" s="50">
        <v>727.97927461139795</v>
      </c>
      <c r="AJ776" s="50">
        <v>521.76165803108699</v>
      </c>
      <c r="AK776" s="50">
        <v>334.19689119170903</v>
      </c>
      <c r="AL776" s="50">
        <v>191.191709844559</v>
      </c>
      <c r="AM776" s="43">
        <f t="shared" si="420"/>
        <v>0.26263345195729493</v>
      </c>
      <c r="AN776" s="43">
        <f t="shared" si="421"/>
        <v>0.36643495531280995</v>
      </c>
      <c r="AO776" s="57" t="s">
        <v>1158</v>
      </c>
      <c r="AT776" s="2">
        <f t="shared" si="422"/>
        <v>9</v>
      </c>
      <c r="AU776" s="45">
        <f t="shared" si="423"/>
        <v>-1.7114328326252846</v>
      </c>
      <c r="AV776" s="45" t="e">
        <f t="shared" si="424"/>
        <v>#VALUE!</v>
      </c>
      <c r="AW776" s="45" t="e">
        <f t="shared" si="425"/>
        <v>#VALUE!</v>
      </c>
      <c r="AX776" s="45" t="e">
        <f t="shared" si="426"/>
        <v>#VALUE!</v>
      </c>
      <c r="AY776" s="45" t="e">
        <f t="shared" si="427"/>
        <v>#VALUE!</v>
      </c>
      <c r="AZ776" s="45" t="e">
        <f t="shared" si="428"/>
        <v>#VALUE!</v>
      </c>
      <c r="BA776" s="45">
        <f t="shared" si="429"/>
        <v>0.59090054690420402</v>
      </c>
      <c r="BB776" s="45">
        <f t="shared" si="430"/>
        <v>-0.56524697711469296</v>
      </c>
      <c r="BC776" s="45" t="e">
        <f t="shared" si="431"/>
        <v>#VALUE!</v>
      </c>
      <c r="BD776" s="45">
        <f t="shared" si="432"/>
        <v>1.6720978579357175</v>
      </c>
      <c r="BE776" s="45">
        <f t="shared" si="433"/>
        <v>1.6097241704587659</v>
      </c>
      <c r="BF776" s="45">
        <f t="shared" si="434"/>
        <v>-0.58064995808203912</v>
      </c>
      <c r="BG776" s="45">
        <f t="shared" si="435"/>
        <v>-0.43600310439455808</v>
      </c>
      <c r="BH776" s="45" t="e">
        <f t="shared" si="436"/>
        <v>#NUM!</v>
      </c>
      <c r="BI776" s="43">
        <f t="shared" si="437"/>
        <v>1.6097241704587659</v>
      </c>
      <c r="BL776" s="20"/>
      <c r="BM776" s="50"/>
      <c r="BN776" s="50"/>
      <c r="BO776" s="50"/>
      <c r="BP776" s="50"/>
      <c r="BQ776" s="50"/>
      <c r="BR776" s="50"/>
      <c r="BU776" s="50"/>
      <c r="BV776" s="50"/>
      <c r="BW776" s="50"/>
      <c r="BX776" s="50"/>
      <c r="BY776" s="50"/>
      <c r="BZ776" s="50"/>
      <c r="CA776" s="50" t="s">
        <v>22</v>
      </c>
      <c r="CE776" s="50"/>
      <c r="CF776" s="50"/>
      <c r="CG776" s="50"/>
      <c r="CH776" s="50"/>
      <c r="CI776" s="50" t="str">
        <f t="shared" si="417"/>
        <v>Not Reported/ Can not calculate</v>
      </c>
      <c r="CJ776" s="50" t="e">
        <f t="shared" si="418"/>
        <v>#VALUE!</v>
      </c>
      <c r="CL776" s="9" t="s">
        <v>1269</v>
      </c>
      <c r="CM776" s="9" t="s">
        <v>1284</v>
      </c>
      <c r="CN776" s="55" t="s">
        <v>1284</v>
      </c>
      <c r="CO776" s="9" t="s">
        <v>1284</v>
      </c>
    </row>
    <row r="777" spans="1:93" s="9" customFormat="1" x14ac:dyDescent="0.25">
      <c r="A777" s="9" t="s">
        <v>141</v>
      </c>
      <c r="B777" s="50">
        <v>1.8882990249187402E-2</v>
      </c>
      <c r="C777" s="50" t="s">
        <v>22</v>
      </c>
      <c r="D777" s="50" t="s">
        <v>22</v>
      </c>
      <c r="E777" s="50" t="s">
        <v>22</v>
      </c>
      <c r="F777" s="9" t="s">
        <v>22</v>
      </c>
      <c r="G777" s="9" t="s">
        <v>22</v>
      </c>
      <c r="H777" s="9" t="s">
        <v>22</v>
      </c>
      <c r="I777" s="9" t="s">
        <v>22</v>
      </c>
      <c r="J777" s="50">
        <v>4.0818330605564599</v>
      </c>
      <c r="K777" s="9">
        <v>514</v>
      </c>
      <c r="L777" s="50">
        <f t="shared" si="419"/>
        <v>0.28491001453601278</v>
      </c>
      <c r="M777" s="9" t="s">
        <v>23</v>
      </c>
      <c r="N777" s="50" t="s">
        <v>22</v>
      </c>
      <c r="O777" s="50" t="s">
        <v>22</v>
      </c>
      <c r="P777" s="50" t="s">
        <v>22</v>
      </c>
      <c r="Q777" s="50"/>
      <c r="R777" s="50" t="s">
        <v>22</v>
      </c>
      <c r="S777" s="50" t="s">
        <v>22</v>
      </c>
      <c r="T777" s="50" t="s">
        <v>22</v>
      </c>
      <c r="U777" s="50" t="s">
        <v>22</v>
      </c>
      <c r="V777" s="9">
        <v>20201127</v>
      </c>
      <c r="W777" s="21" t="s">
        <v>1159</v>
      </c>
      <c r="X777" s="9">
        <v>2016</v>
      </c>
      <c r="Y777" s="21" t="s">
        <v>26</v>
      </c>
      <c r="Z777" s="9" t="s">
        <v>34</v>
      </c>
      <c r="AB777" s="50"/>
      <c r="AC777" s="9" t="s">
        <v>514</v>
      </c>
      <c r="AD777" s="50">
        <v>60</v>
      </c>
      <c r="AE777" s="50">
        <v>1562.9032258064501</v>
      </c>
      <c r="AF777" s="50">
        <v>44.854847890709003</v>
      </c>
      <c r="AG777" s="50" t="s">
        <v>22</v>
      </c>
      <c r="AH777" s="50" t="s">
        <v>22</v>
      </c>
      <c r="AI777" s="50" t="s">
        <v>22</v>
      </c>
      <c r="AJ777" s="50" t="s">
        <v>22</v>
      </c>
      <c r="AK777" s="50" t="s">
        <v>22</v>
      </c>
      <c r="AL777" s="50" t="s">
        <v>22</v>
      </c>
      <c r="AM777" s="43" t="e">
        <f t="shared" si="420"/>
        <v>#VALUE!</v>
      </c>
      <c r="AN777" s="43" t="e">
        <f t="shared" si="421"/>
        <v>#VALUE!</v>
      </c>
      <c r="AO777" s="57" t="s">
        <v>1158</v>
      </c>
      <c r="AT777" s="2">
        <f t="shared" si="422"/>
        <v>9</v>
      </c>
      <c r="AU777" s="45">
        <f t="shared" si="423"/>
        <v>-1.7239292311242171</v>
      </c>
      <c r="AV777" s="45" t="e">
        <f t="shared" si="424"/>
        <v>#VALUE!</v>
      </c>
      <c r="AW777" s="45" t="e">
        <f t="shared" si="425"/>
        <v>#VALUE!</v>
      </c>
      <c r="AX777" s="45" t="e">
        <f t="shared" si="426"/>
        <v>#VALUE!</v>
      </c>
      <c r="AY777" s="45" t="e">
        <f t="shared" si="427"/>
        <v>#VALUE!</v>
      </c>
      <c r="AZ777" s="45" t="e">
        <f t="shared" si="428"/>
        <v>#VALUE!</v>
      </c>
      <c r="BA777" s="45">
        <f t="shared" si="429"/>
        <v>0.61085523889996907</v>
      </c>
      <c r="BB777" s="45">
        <f t="shared" si="430"/>
        <v>-0.54529228511892802</v>
      </c>
      <c r="BC777" s="45" t="e">
        <f t="shared" si="431"/>
        <v>#VALUE!</v>
      </c>
      <c r="BD777" s="45">
        <f t="shared" si="432"/>
        <v>1.7781512503836436</v>
      </c>
      <c r="BE777" s="45">
        <f t="shared" si="433"/>
        <v>1.6518093882586775</v>
      </c>
      <c r="BF777" s="45" t="e">
        <f t="shared" si="434"/>
        <v>#VALUE!</v>
      </c>
      <c r="BG777" s="45" t="e">
        <f t="shared" si="435"/>
        <v>#VALUE!</v>
      </c>
      <c r="BH777" s="45" t="e">
        <f t="shared" si="436"/>
        <v>#NUM!</v>
      </c>
      <c r="BI777" s="43">
        <f t="shared" si="437"/>
        <v>1.6518093882586775</v>
      </c>
      <c r="BL777" s="20"/>
      <c r="BM777" s="50"/>
      <c r="BN777" s="50"/>
      <c r="BO777" s="50"/>
      <c r="BP777" s="50"/>
      <c r="BQ777" s="50"/>
      <c r="BR777" s="50"/>
      <c r="BU777" s="50"/>
      <c r="BV777" s="50"/>
      <c r="BW777" s="50"/>
      <c r="BX777" s="50"/>
      <c r="BY777" s="50"/>
      <c r="BZ777" s="50"/>
      <c r="CA777" s="50" t="s">
        <v>22</v>
      </c>
      <c r="CE777" s="50"/>
      <c r="CF777" s="50"/>
      <c r="CG777" s="50"/>
      <c r="CH777" s="50"/>
      <c r="CI777" s="50" t="str">
        <f t="shared" si="417"/>
        <v>Not Reported/ Can not calculate</v>
      </c>
      <c r="CJ777" s="50" t="e">
        <f t="shared" si="418"/>
        <v>#VALUE!</v>
      </c>
      <c r="CL777" s="9" t="s">
        <v>1269</v>
      </c>
      <c r="CM777" s="9" t="s">
        <v>1284</v>
      </c>
      <c r="CN777" s="55" t="s">
        <v>1284</v>
      </c>
      <c r="CO777" s="9" t="s">
        <v>1284</v>
      </c>
    </row>
    <row r="778" spans="1:93" s="9" customFormat="1" x14ac:dyDescent="0.25">
      <c r="A778" s="9" t="s">
        <v>141</v>
      </c>
      <c r="B778" s="50">
        <v>3.2706046425854597E-2</v>
      </c>
      <c r="C778" s="50" t="s">
        <v>22</v>
      </c>
      <c r="D778" s="50" t="s">
        <v>22</v>
      </c>
      <c r="E778" s="50" t="s">
        <v>22</v>
      </c>
      <c r="F778" s="9" t="s">
        <v>22</v>
      </c>
      <c r="G778" s="9" t="s">
        <v>22</v>
      </c>
      <c r="H778" s="9" t="s">
        <v>22</v>
      </c>
      <c r="I778" s="9" t="s">
        <v>22</v>
      </c>
      <c r="J778" s="50">
        <v>7.4991816693944298</v>
      </c>
      <c r="K778" s="9">
        <v>514</v>
      </c>
      <c r="L778" s="50">
        <f t="shared" si="419"/>
        <v>0.52343932903127943</v>
      </c>
      <c r="M778" s="9" t="s">
        <v>23</v>
      </c>
      <c r="N778" s="50" t="s">
        <v>22</v>
      </c>
      <c r="O778" s="50" t="s">
        <v>22</v>
      </c>
      <c r="P778" s="50" t="s">
        <v>22</v>
      </c>
      <c r="Q778" s="50"/>
      <c r="R778" s="50" t="s">
        <v>22</v>
      </c>
      <c r="S778" s="50" t="s">
        <v>22</v>
      </c>
      <c r="T778" s="50" t="s">
        <v>22</v>
      </c>
      <c r="U778" s="50" t="s">
        <v>22</v>
      </c>
      <c r="V778" s="9">
        <v>20201127</v>
      </c>
      <c r="W778" s="21" t="s">
        <v>1160</v>
      </c>
      <c r="X778" s="9">
        <v>2016</v>
      </c>
      <c r="Y778" s="21" t="s">
        <v>26</v>
      </c>
      <c r="Z778" s="9" t="s">
        <v>34</v>
      </c>
      <c r="AB778" s="50"/>
      <c r="AC778" s="9" t="s">
        <v>514</v>
      </c>
      <c r="AD778" s="50">
        <v>34</v>
      </c>
      <c r="AE778" s="50">
        <v>1582.2580645161199</v>
      </c>
      <c r="AF778" s="50">
        <v>67.269622414774503</v>
      </c>
      <c r="AG778" s="50" t="s">
        <v>22</v>
      </c>
      <c r="AH778" s="50" t="s">
        <v>22</v>
      </c>
      <c r="AI778" s="50" t="s">
        <v>22</v>
      </c>
      <c r="AJ778" s="50" t="s">
        <v>22</v>
      </c>
      <c r="AK778" s="50" t="s">
        <v>22</v>
      </c>
      <c r="AL778" s="50" t="s">
        <v>22</v>
      </c>
      <c r="AM778" s="43" t="e">
        <f t="shared" si="420"/>
        <v>#VALUE!</v>
      </c>
      <c r="AN778" s="43" t="e">
        <f t="shared" si="421"/>
        <v>#VALUE!</v>
      </c>
      <c r="AO778" s="57" t="s">
        <v>1158</v>
      </c>
      <c r="AT778" s="2">
        <f t="shared" si="422"/>
        <v>9</v>
      </c>
      <c r="AU778" s="45">
        <f t="shared" si="423"/>
        <v>-1.4853719511122285</v>
      </c>
      <c r="AV778" s="45" t="e">
        <f t="shared" si="424"/>
        <v>#VALUE!</v>
      </c>
      <c r="AW778" s="45" t="e">
        <f t="shared" si="425"/>
        <v>#VALUE!</v>
      </c>
      <c r="AX778" s="45" t="e">
        <f t="shared" si="426"/>
        <v>#VALUE!</v>
      </c>
      <c r="AY778" s="45" t="e">
        <f t="shared" si="427"/>
        <v>#VALUE!</v>
      </c>
      <c r="AZ778" s="45" t="e">
        <f t="shared" si="428"/>
        <v>#VALUE!</v>
      </c>
      <c r="BA778" s="45">
        <f t="shared" si="429"/>
        <v>0.87501387461082414</v>
      </c>
      <c r="BB778" s="45">
        <f t="shared" si="430"/>
        <v>-0.28113364940807295</v>
      </c>
      <c r="BC778" s="45" t="e">
        <f t="shared" si="431"/>
        <v>#VALUE!</v>
      </c>
      <c r="BD778" s="45">
        <f t="shared" si="432"/>
        <v>1.5314789170422551</v>
      </c>
      <c r="BE778" s="45">
        <f t="shared" si="433"/>
        <v>1.8278189899893267</v>
      </c>
      <c r="BF778" s="45" t="e">
        <f t="shared" si="434"/>
        <v>#VALUE!</v>
      </c>
      <c r="BG778" s="45" t="e">
        <f t="shared" si="435"/>
        <v>#VALUE!</v>
      </c>
      <c r="BH778" s="45" t="e">
        <f t="shared" si="436"/>
        <v>#NUM!</v>
      </c>
      <c r="BI778" s="43">
        <f t="shared" si="437"/>
        <v>1.8278189899893267</v>
      </c>
      <c r="BL778" s="20"/>
      <c r="BM778" s="50"/>
      <c r="BN778" s="50"/>
      <c r="BO778" s="50"/>
      <c r="BP778" s="50"/>
      <c r="BQ778" s="50"/>
      <c r="BR778" s="50"/>
      <c r="BU778" s="50"/>
      <c r="BV778" s="50"/>
      <c r="BW778" s="50"/>
      <c r="BX778" s="50"/>
      <c r="BY778" s="50"/>
      <c r="BZ778" s="50"/>
      <c r="CA778" s="50" t="s">
        <v>22</v>
      </c>
      <c r="CE778" s="50"/>
      <c r="CF778" s="50"/>
      <c r="CG778" s="50"/>
      <c r="CH778" s="50"/>
      <c r="CI778" s="50" t="str">
        <f t="shared" si="417"/>
        <v>Not Reported/ Can not calculate</v>
      </c>
      <c r="CJ778" s="50" t="e">
        <f t="shared" si="418"/>
        <v>#VALUE!</v>
      </c>
      <c r="CL778" s="9" t="s">
        <v>1269</v>
      </c>
      <c r="CM778" s="9" t="s">
        <v>1284</v>
      </c>
      <c r="CN778" s="55" t="s">
        <v>1284</v>
      </c>
      <c r="CO778" s="9" t="s">
        <v>1284</v>
      </c>
    </row>
    <row r="779" spans="1:93" s="9" customFormat="1" x14ac:dyDescent="0.25">
      <c r="A779" s="9" t="s">
        <v>141</v>
      </c>
      <c r="B779" s="50">
        <v>2.7437426523132198E-2</v>
      </c>
      <c r="C779" s="50" t="s">
        <v>22</v>
      </c>
      <c r="D779" s="50" t="s">
        <v>22</v>
      </c>
      <c r="E779" s="50" t="s">
        <v>22</v>
      </c>
      <c r="F779" s="9" t="s">
        <v>22</v>
      </c>
      <c r="G779" s="9" t="s">
        <v>22</v>
      </c>
      <c r="H779" s="9" t="s">
        <v>22</v>
      </c>
      <c r="I779" s="9" t="s">
        <v>22</v>
      </c>
      <c r="J779" s="50">
        <v>6.2618657937806796</v>
      </c>
      <c r="K779" s="9">
        <v>514</v>
      </c>
      <c r="L779" s="50">
        <f t="shared" si="419"/>
        <v>0.43707526688644133</v>
      </c>
      <c r="M779" s="9" t="s">
        <v>23</v>
      </c>
      <c r="N779" s="50" t="s">
        <v>22</v>
      </c>
      <c r="O779" s="50" t="s">
        <v>22</v>
      </c>
      <c r="P779" s="50" t="s">
        <v>22</v>
      </c>
      <c r="Q779" s="50"/>
      <c r="R779" s="50" t="s">
        <v>22</v>
      </c>
      <c r="S779" s="50" t="s">
        <v>22</v>
      </c>
      <c r="T779" s="50" t="s">
        <v>22</v>
      </c>
      <c r="U779" s="50" t="s">
        <v>22</v>
      </c>
      <c r="V779" s="9">
        <v>20201127</v>
      </c>
      <c r="W779" s="21" t="s">
        <v>1160</v>
      </c>
      <c r="X779" s="9">
        <v>2016</v>
      </c>
      <c r="Y779" s="21" t="s">
        <v>26</v>
      </c>
      <c r="Z779" s="9" t="s">
        <v>34</v>
      </c>
      <c r="AB779" s="50"/>
      <c r="AC779" s="9" t="s">
        <v>514</v>
      </c>
      <c r="AD779" s="50">
        <v>47</v>
      </c>
      <c r="AE779" s="50">
        <v>1582.2580645161199</v>
      </c>
      <c r="AF779" s="50">
        <v>62.502688002023902</v>
      </c>
      <c r="AG779" s="50" t="s">
        <v>22</v>
      </c>
      <c r="AH779" s="50">
        <v>685.49222797927405</v>
      </c>
      <c r="AI779" s="50">
        <v>606.73575129533697</v>
      </c>
      <c r="AJ779" s="50">
        <v>455.440414507772</v>
      </c>
      <c r="AK779" s="50">
        <v>278.23834196891102</v>
      </c>
      <c r="AL779" s="50">
        <v>143.52331606217601</v>
      </c>
      <c r="AM779" s="43">
        <f t="shared" si="420"/>
        <v>0.23654995730145142</v>
      </c>
      <c r="AN779" s="43">
        <f t="shared" si="421"/>
        <v>0.31513083048919194</v>
      </c>
      <c r="AO779" s="57" t="s">
        <v>1158</v>
      </c>
      <c r="AT779" s="2">
        <f t="shared" si="422"/>
        <v>9</v>
      </c>
      <c r="AU779" s="45">
        <f t="shared" si="423"/>
        <v>-1.5616566254439979</v>
      </c>
      <c r="AV779" s="45" t="e">
        <f t="shared" si="424"/>
        <v>#VALUE!</v>
      </c>
      <c r="AW779" s="45" t="e">
        <f t="shared" si="425"/>
        <v>#VALUE!</v>
      </c>
      <c r="AX779" s="45" t="e">
        <f t="shared" si="426"/>
        <v>#VALUE!</v>
      </c>
      <c r="AY779" s="45" t="e">
        <f t="shared" si="427"/>
        <v>#VALUE!</v>
      </c>
      <c r="AZ779" s="45" t="e">
        <f t="shared" si="428"/>
        <v>#VALUE!</v>
      </c>
      <c r="BA779" s="45">
        <f t="shared" si="429"/>
        <v>0.7967037554487223</v>
      </c>
      <c r="BB779" s="45">
        <f t="shared" si="430"/>
        <v>-0.35944376857017479</v>
      </c>
      <c r="BC779" s="45" t="e">
        <f t="shared" si="431"/>
        <v>#VALUE!</v>
      </c>
      <c r="BD779" s="45">
        <f t="shared" si="432"/>
        <v>1.6720978579357175</v>
      </c>
      <c r="BE779" s="45">
        <f t="shared" si="433"/>
        <v>1.7958986950935727</v>
      </c>
      <c r="BF779" s="45">
        <f t="shared" si="434"/>
        <v>-0.62607712600791521</v>
      </c>
      <c r="BG779" s="45">
        <f t="shared" si="435"/>
        <v>-0.50150910600932375</v>
      </c>
      <c r="BH779" s="45" t="e">
        <f t="shared" si="436"/>
        <v>#NUM!</v>
      </c>
      <c r="BI779" s="43">
        <f t="shared" si="437"/>
        <v>1.7958986950935727</v>
      </c>
      <c r="BL779" s="20"/>
      <c r="BM779" s="50"/>
      <c r="BN779" s="50"/>
      <c r="BO779" s="50"/>
      <c r="BP779" s="50"/>
      <c r="BQ779" s="50"/>
      <c r="BR779" s="50"/>
      <c r="BU779" s="50"/>
      <c r="BV779" s="50"/>
      <c r="BW779" s="50"/>
      <c r="BX779" s="50"/>
      <c r="BY779" s="50"/>
      <c r="BZ779" s="50"/>
      <c r="CA779" s="50" t="s">
        <v>22</v>
      </c>
      <c r="CE779" s="50"/>
      <c r="CF779" s="50"/>
      <c r="CG779" s="50"/>
      <c r="CH779" s="50"/>
      <c r="CI779" s="50" t="str">
        <f t="shared" si="417"/>
        <v>Not Reported/ Can not calculate</v>
      </c>
      <c r="CJ779" s="50" t="e">
        <f t="shared" si="418"/>
        <v>#VALUE!</v>
      </c>
      <c r="CL779" s="9" t="s">
        <v>1269</v>
      </c>
      <c r="CM779" s="9" t="s">
        <v>1284</v>
      </c>
      <c r="CN779" s="55" t="s">
        <v>1284</v>
      </c>
      <c r="CO779" s="9" t="s">
        <v>1284</v>
      </c>
    </row>
    <row r="780" spans="1:93" s="9" customFormat="1" x14ac:dyDescent="0.25">
      <c r="A780" s="9" t="s">
        <v>141</v>
      </c>
      <c r="B780" s="50">
        <v>2.9124247942647698E-2</v>
      </c>
      <c r="C780" s="50" t="s">
        <v>22</v>
      </c>
      <c r="D780" s="50" t="s">
        <v>22</v>
      </c>
      <c r="E780" s="50" t="s">
        <v>22</v>
      </c>
      <c r="F780" s="9" t="s">
        <v>22</v>
      </c>
      <c r="G780" s="9" t="s">
        <v>22</v>
      </c>
      <c r="H780" s="9" t="s">
        <v>22</v>
      </c>
      <c r="I780" s="9" t="s">
        <v>22</v>
      </c>
      <c r="J780" s="50">
        <v>6.57610474631751</v>
      </c>
      <c r="K780" s="9">
        <v>514</v>
      </c>
      <c r="L780" s="50">
        <f t="shared" si="419"/>
        <v>0.45900899695497199</v>
      </c>
      <c r="M780" s="9" t="s">
        <v>23</v>
      </c>
      <c r="N780" s="50" t="s">
        <v>22</v>
      </c>
      <c r="O780" s="50" t="s">
        <v>22</v>
      </c>
      <c r="P780" s="50" t="s">
        <v>22</v>
      </c>
      <c r="Q780" s="50"/>
      <c r="R780" s="50" t="s">
        <v>22</v>
      </c>
      <c r="S780" s="50" t="s">
        <v>22</v>
      </c>
      <c r="T780" s="50" t="s">
        <v>22</v>
      </c>
      <c r="U780" s="50" t="s">
        <v>22</v>
      </c>
      <c r="V780" s="9">
        <v>20201127</v>
      </c>
      <c r="W780" s="21" t="s">
        <v>1160</v>
      </c>
      <c r="X780" s="9">
        <v>2016</v>
      </c>
      <c r="Y780" s="21" t="s">
        <v>26</v>
      </c>
      <c r="Z780" s="9" t="s">
        <v>34</v>
      </c>
      <c r="AB780" s="50"/>
      <c r="AC780" s="9" t="s">
        <v>514</v>
      </c>
      <c r="AD780" s="50">
        <v>60</v>
      </c>
      <c r="AE780" s="50">
        <v>1582.2580645161199</v>
      </c>
      <c r="AF780" s="50">
        <v>56.659287837581402</v>
      </c>
      <c r="AG780" s="50" t="s">
        <v>22</v>
      </c>
      <c r="AH780" s="50" t="s">
        <v>22</v>
      </c>
      <c r="AI780" s="50" t="s">
        <v>22</v>
      </c>
      <c r="AJ780" s="50" t="s">
        <v>22</v>
      </c>
      <c r="AK780" s="50" t="s">
        <v>22</v>
      </c>
      <c r="AL780" s="50" t="s">
        <v>22</v>
      </c>
      <c r="AM780" s="43" t="e">
        <f t="shared" si="420"/>
        <v>#VALUE!</v>
      </c>
      <c r="AN780" s="43" t="e">
        <f t="shared" si="421"/>
        <v>#VALUE!</v>
      </c>
      <c r="AO780" s="57" t="s">
        <v>1158</v>
      </c>
      <c r="AT780" s="2">
        <f t="shared" si="422"/>
        <v>9</v>
      </c>
      <c r="AU780" s="45">
        <f t="shared" si="423"/>
        <v>-1.5357452803376026</v>
      </c>
      <c r="AV780" s="45" t="e">
        <f t="shared" si="424"/>
        <v>#VALUE!</v>
      </c>
      <c r="AW780" s="45" t="e">
        <f t="shared" si="425"/>
        <v>#VALUE!</v>
      </c>
      <c r="AX780" s="45" t="e">
        <f t="shared" si="426"/>
        <v>#VALUE!</v>
      </c>
      <c r="AY780" s="45" t="e">
        <f t="shared" si="427"/>
        <v>#VALUE!</v>
      </c>
      <c r="AZ780" s="45" t="e">
        <f t="shared" si="428"/>
        <v>#VALUE!</v>
      </c>
      <c r="BA780" s="45">
        <f t="shared" si="429"/>
        <v>0.81796872216967598</v>
      </c>
      <c r="BB780" s="45">
        <f t="shared" si="430"/>
        <v>-0.33817880184922111</v>
      </c>
      <c r="BC780" s="45" t="e">
        <f t="shared" si="431"/>
        <v>#VALUE!</v>
      </c>
      <c r="BD780" s="45">
        <f t="shared" si="432"/>
        <v>1.7781512503836436</v>
      </c>
      <c r="BE780" s="45">
        <f t="shared" si="433"/>
        <v>1.7532711114807058</v>
      </c>
      <c r="BF780" s="45" t="e">
        <f t="shared" si="434"/>
        <v>#VALUE!</v>
      </c>
      <c r="BG780" s="45" t="e">
        <f t="shared" si="435"/>
        <v>#VALUE!</v>
      </c>
      <c r="BH780" s="45" t="e">
        <f t="shared" si="436"/>
        <v>#NUM!</v>
      </c>
      <c r="BI780" s="43">
        <f t="shared" si="437"/>
        <v>1.7532711114807058</v>
      </c>
      <c r="BL780" s="20"/>
      <c r="BM780" s="50"/>
      <c r="BN780" s="50"/>
      <c r="BO780" s="50"/>
      <c r="BP780" s="50"/>
      <c r="BQ780" s="50"/>
      <c r="BR780" s="50"/>
      <c r="BU780" s="50"/>
      <c r="BV780" s="50"/>
      <c r="BW780" s="50"/>
      <c r="BX780" s="50"/>
      <c r="BY780" s="50"/>
      <c r="BZ780" s="50"/>
      <c r="CA780" s="50" t="s">
        <v>22</v>
      </c>
      <c r="CE780" s="50"/>
      <c r="CF780" s="50"/>
      <c r="CG780" s="50"/>
      <c r="CH780" s="50"/>
      <c r="CI780" s="50" t="str">
        <f t="shared" si="417"/>
        <v>Not Reported/ Can not calculate</v>
      </c>
      <c r="CJ780" s="50" t="e">
        <f t="shared" si="418"/>
        <v>#VALUE!</v>
      </c>
      <c r="CL780" s="9" t="s">
        <v>1269</v>
      </c>
      <c r="CM780" s="9" t="s">
        <v>1284</v>
      </c>
      <c r="CN780" s="55" t="s">
        <v>1284</v>
      </c>
      <c r="CO780" s="9" t="s">
        <v>1284</v>
      </c>
    </row>
    <row r="781" spans="1:93" s="9" customFormat="1" x14ac:dyDescent="0.25">
      <c r="A781" s="9" t="s">
        <v>141</v>
      </c>
      <c r="B781" s="50">
        <v>4.9099999999999998E-2</v>
      </c>
      <c r="C781" s="50">
        <v>0.3</v>
      </c>
      <c r="D781" s="50">
        <f t="shared" ref="D781:D793" si="438">0.001*(B781*10^6)/(C781*0.001*100^3)</f>
        <v>0.16366666666666668</v>
      </c>
      <c r="E781" s="50" t="s">
        <v>22</v>
      </c>
      <c r="F781" s="9" t="s">
        <v>22</v>
      </c>
      <c r="G781" s="9" t="s">
        <v>22</v>
      </c>
      <c r="H781" s="9" t="s">
        <v>22</v>
      </c>
      <c r="I781" s="9" t="s">
        <v>22</v>
      </c>
      <c r="J781" s="50">
        <v>3.3</v>
      </c>
      <c r="K781" s="9" t="s">
        <v>22</v>
      </c>
      <c r="L781" s="50"/>
      <c r="M781" s="9" t="s">
        <v>23</v>
      </c>
      <c r="N781" s="50">
        <v>65</v>
      </c>
      <c r="O781" s="50">
        <f t="shared" ref="O781:O792" si="439">(N781/C781)*0.001</f>
        <v>0.2166666666666667</v>
      </c>
      <c r="P781" s="50">
        <v>0.7</v>
      </c>
      <c r="Q781" s="50"/>
      <c r="R781" s="50">
        <f t="shared" ref="R781:R792" si="440">N781*B781</f>
        <v>3.1915</v>
      </c>
      <c r="S781" s="50">
        <f t="shared" ref="S781:S792" si="441">O781*D781</f>
        <v>3.5461111111111117E-2</v>
      </c>
      <c r="T781" s="50">
        <v>15</v>
      </c>
      <c r="U781" s="50">
        <v>15</v>
      </c>
      <c r="V781" s="9">
        <v>20200713</v>
      </c>
      <c r="W781" s="21" t="s">
        <v>1053</v>
      </c>
      <c r="X781" s="21">
        <v>2016</v>
      </c>
      <c r="Y781" s="9" t="s">
        <v>76</v>
      </c>
      <c r="Z781" s="9" t="s">
        <v>32</v>
      </c>
      <c r="AB781" s="50"/>
      <c r="AC781" s="9" t="s">
        <v>514</v>
      </c>
      <c r="AD781" s="50" t="s">
        <v>22</v>
      </c>
      <c r="AE781" s="50">
        <v>1581.4</v>
      </c>
      <c r="AF781" s="50" t="s">
        <v>22</v>
      </c>
      <c r="AG781" s="50" t="s">
        <v>22</v>
      </c>
      <c r="AH781" s="50" t="s">
        <v>22</v>
      </c>
      <c r="AI781" s="50" t="s">
        <v>22</v>
      </c>
      <c r="AJ781" s="50" t="s">
        <v>22</v>
      </c>
      <c r="AK781" s="50" t="s">
        <v>22</v>
      </c>
      <c r="AL781" s="50" t="s">
        <v>22</v>
      </c>
      <c r="AM781" s="43" t="e">
        <f t="shared" si="420"/>
        <v>#VALUE!</v>
      </c>
      <c r="AN781" s="43" t="e">
        <f t="shared" si="421"/>
        <v>#VALUE!</v>
      </c>
      <c r="AO781" s="21" t="s">
        <v>1056</v>
      </c>
      <c r="AT781" s="2">
        <f t="shared" si="422"/>
        <v>12</v>
      </c>
      <c r="AU781" s="45">
        <f t="shared" si="423"/>
        <v>-1.3089185078770316</v>
      </c>
      <c r="AV781" s="45">
        <f t="shared" si="424"/>
        <v>-0.52287874528033762</v>
      </c>
      <c r="AW781" s="45">
        <f t="shared" si="425"/>
        <v>-0.78603976259669395</v>
      </c>
      <c r="AX781" s="45">
        <f t="shared" si="426"/>
        <v>1.8129133566428555</v>
      </c>
      <c r="AY781" s="45">
        <f t="shared" si="427"/>
        <v>-0.6642078980768068</v>
      </c>
      <c r="AZ781" s="45">
        <f t="shared" si="428"/>
        <v>-0.15490195998574319</v>
      </c>
      <c r="BA781" s="45">
        <f t="shared" si="429"/>
        <v>0.51851393987788741</v>
      </c>
      <c r="BB781" s="45" t="e">
        <f t="shared" si="430"/>
        <v>#NUM!</v>
      </c>
      <c r="BC781" s="45">
        <f t="shared" si="431"/>
        <v>1.1760912590556813</v>
      </c>
      <c r="BD781" s="45" t="e">
        <f t="shared" si="432"/>
        <v>#VALUE!</v>
      </c>
      <c r="BE781" s="45" t="e">
        <f t="shared" si="433"/>
        <v>#VALUE!</v>
      </c>
      <c r="BF781" s="45" t="e">
        <f t="shared" si="434"/>
        <v>#VALUE!</v>
      </c>
      <c r="BG781" s="45" t="e">
        <f t="shared" si="435"/>
        <v>#VALUE!</v>
      </c>
      <c r="BH781" s="45" t="e">
        <f t="shared" si="436"/>
        <v>#NUM!</v>
      </c>
      <c r="BI781" s="43" t="e">
        <f t="shared" si="437"/>
        <v>#VALUE!</v>
      </c>
      <c r="BL781" s="20"/>
      <c r="BM781" s="50"/>
      <c r="BN781" s="50"/>
      <c r="BO781" s="50"/>
      <c r="BP781" s="50"/>
      <c r="BQ781" s="50"/>
      <c r="BR781" s="50"/>
      <c r="BU781" s="50"/>
      <c r="BV781" s="50"/>
      <c r="BW781" s="50"/>
      <c r="BX781" s="50"/>
      <c r="BY781" s="50"/>
      <c r="BZ781" s="50"/>
      <c r="CA781" s="50" t="s">
        <v>22</v>
      </c>
      <c r="CE781" s="50"/>
      <c r="CF781" s="50"/>
      <c r="CG781" s="50"/>
      <c r="CH781" s="50"/>
      <c r="CI781" s="50">
        <f t="shared" si="417"/>
        <v>15</v>
      </c>
      <c r="CJ781" s="50">
        <f t="shared" si="418"/>
        <v>1.1760912590556813</v>
      </c>
      <c r="CL781" s="9" t="s">
        <v>1269</v>
      </c>
      <c r="CM781" s="9" t="s">
        <v>1285</v>
      </c>
      <c r="CN781" s="55" t="s">
        <v>1284</v>
      </c>
      <c r="CO781" s="9" t="s">
        <v>1284</v>
      </c>
    </row>
    <row r="782" spans="1:93" s="9" customFormat="1" x14ac:dyDescent="0.25">
      <c r="A782" s="9" t="s">
        <v>141</v>
      </c>
      <c r="B782" s="50">
        <v>8.6499999999999994E-2</v>
      </c>
      <c r="C782" s="50">
        <v>0.69</v>
      </c>
      <c r="D782" s="50">
        <f t="shared" si="438"/>
        <v>0.12536231884057972</v>
      </c>
      <c r="E782" s="50" t="s">
        <v>22</v>
      </c>
      <c r="F782" s="9" t="s">
        <v>22</v>
      </c>
      <c r="G782" s="9" t="s">
        <v>22</v>
      </c>
      <c r="H782" s="9" t="s">
        <v>22</v>
      </c>
      <c r="I782" s="9" t="s">
        <v>22</v>
      </c>
      <c r="J782" s="50">
        <v>3.3</v>
      </c>
      <c r="K782" s="9" t="s">
        <v>22</v>
      </c>
      <c r="L782" s="50"/>
      <c r="M782" s="9" t="s">
        <v>23</v>
      </c>
      <c r="N782" s="50">
        <v>107</v>
      </c>
      <c r="O782" s="50">
        <f t="shared" si="439"/>
        <v>0.15507246376811598</v>
      </c>
      <c r="P782" s="50">
        <v>0.8</v>
      </c>
      <c r="Q782" s="50"/>
      <c r="R782" s="50">
        <f t="shared" si="440"/>
        <v>9.2554999999999996</v>
      </c>
      <c r="S782" s="50">
        <f t="shared" si="441"/>
        <v>1.94402436462928E-2</v>
      </c>
      <c r="T782" s="50">
        <v>15</v>
      </c>
      <c r="U782" s="50">
        <v>15</v>
      </c>
      <c r="V782" s="9">
        <v>20200713</v>
      </c>
      <c r="W782" s="21" t="s">
        <v>1053</v>
      </c>
      <c r="X782" s="21">
        <v>2016</v>
      </c>
      <c r="Y782" s="9" t="s">
        <v>76</v>
      </c>
      <c r="Z782" s="9" t="s">
        <v>32</v>
      </c>
      <c r="AB782" s="50"/>
      <c r="AC782" s="9" t="s">
        <v>514</v>
      </c>
      <c r="AD782" s="50" t="s">
        <v>22</v>
      </c>
      <c r="AE782" s="50">
        <v>1581.4</v>
      </c>
      <c r="AF782" s="50" t="s">
        <v>22</v>
      </c>
      <c r="AG782" s="50" t="s">
        <v>22</v>
      </c>
      <c r="AH782" s="50" t="s">
        <v>22</v>
      </c>
      <c r="AI782" s="50" t="s">
        <v>22</v>
      </c>
      <c r="AJ782" s="50" t="s">
        <v>22</v>
      </c>
      <c r="AK782" s="50" t="s">
        <v>22</v>
      </c>
      <c r="AL782" s="50" t="s">
        <v>22</v>
      </c>
      <c r="AM782" s="43" t="e">
        <f t="shared" si="420"/>
        <v>#VALUE!</v>
      </c>
      <c r="AN782" s="43" t="e">
        <f t="shared" si="421"/>
        <v>#VALUE!</v>
      </c>
      <c r="AO782" s="21" t="s">
        <v>1056</v>
      </c>
      <c r="AT782" s="2">
        <f t="shared" si="422"/>
        <v>12</v>
      </c>
      <c r="AU782" s="45">
        <f t="shared" si="423"/>
        <v>-1.0629838925351858</v>
      </c>
      <c r="AV782" s="45">
        <f t="shared" si="424"/>
        <v>-0.16115090926274472</v>
      </c>
      <c r="AW782" s="45">
        <f t="shared" si="425"/>
        <v>-0.9018329832724411</v>
      </c>
      <c r="AX782" s="45">
        <f t="shared" si="426"/>
        <v>2.0293837776852097</v>
      </c>
      <c r="AY782" s="45">
        <f t="shared" si="427"/>
        <v>-0.80946531305204561</v>
      </c>
      <c r="AZ782" s="45">
        <f t="shared" si="428"/>
        <v>-9.6910013008056392E-2</v>
      </c>
      <c r="BA782" s="45">
        <f t="shared" si="429"/>
        <v>0.51851393987788741</v>
      </c>
      <c r="BB782" s="45" t="e">
        <f t="shared" si="430"/>
        <v>#NUM!</v>
      </c>
      <c r="BC782" s="45">
        <f t="shared" si="431"/>
        <v>1.1760912590556813</v>
      </c>
      <c r="BD782" s="45" t="e">
        <f t="shared" si="432"/>
        <v>#VALUE!</v>
      </c>
      <c r="BE782" s="45" t="e">
        <f t="shared" si="433"/>
        <v>#VALUE!</v>
      </c>
      <c r="BF782" s="45" t="e">
        <f t="shared" si="434"/>
        <v>#VALUE!</v>
      </c>
      <c r="BG782" s="45" t="e">
        <f t="shared" si="435"/>
        <v>#VALUE!</v>
      </c>
      <c r="BH782" s="45" t="e">
        <f t="shared" si="436"/>
        <v>#NUM!</v>
      </c>
      <c r="BI782" s="43" t="e">
        <f t="shared" si="437"/>
        <v>#VALUE!</v>
      </c>
      <c r="BL782" s="20"/>
      <c r="BM782" s="50"/>
      <c r="BN782" s="50"/>
      <c r="BO782" s="50"/>
      <c r="BP782" s="50"/>
      <c r="BQ782" s="50"/>
      <c r="BR782" s="50"/>
      <c r="BU782" s="50"/>
      <c r="BV782" s="50"/>
      <c r="BW782" s="50"/>
      <c r="BX782" s="50"/>
      <c r="BY782" s="50"/>
      <c r="BZ782" s="50"/>
      <c r="CA782" s="50" t="s">
        <v>22</v>
      </c>
      <c r="CE782" s="50"/>
      <c r="CF782" s="50"/>
      <c r="CG782" s="50"/>
      <c r="CH782" s="50"/>
      <c r="CI782" s="50">
        <f t="shared" si="417"/>
        <v>15</v>
      </c>
      <c r="CJ782" s="50">
        <f t="shared" si="418"/>
        <v>1.1760912590556813</v>
      </c>
      <c r="CL782" s="9" t="s">
        <v>1269</v>
      </c>
      <c r="CM782" s="9" t="s">
        <v>1285</v>
      </c>
      <c r="CN782" s="55" t="s">
        <v>1284</v>
      </c>
      <c r="CO782" s="9" t="s">
        <v>1284</v>
      </c>
    </row>
    <row r="783" spans="1:93" s="9" customFormat="1" x14ac:dyDescent="0.25">
      <c r="A783" s="9" t="s">
        <v>141</v>
      </c>
      <c r="B783" s="50">
        <v>9.1299999999999992E-2</v>
      </c>
      <c r="C783" s="50">
        <v>0.88</v>
      </c>
      <c r="D783" s="50">
        <f t="shared" si="438"/>
        <v>0.10374999999999998</v>
      </c>
      <c r="E783" s="50" t="s">
        <v>22</v>
      </c>
      <c r="F783" s="9" t="s">
        <v>22</v>
      </c>
      <c r="G783" s="9" t="s">
        <v>22</v>
      </c>
      <c r="H783" s="9" t="s">
        <v>22</v>
      </c>
      <c r="I783" s="9" t="s">
        <v>22</v>
      </c>
      <c r="J783" s="50">
        <v>3.3</v>
      </c>
      <c r="K783" s="9" t="s">
        <v>22</v>
      </c>
      <c r="L783" s="50"/>
      <c r="M783" s="9" t="s">
        <v>23</v>
      </c>
      <c r="N783" s="50">
        <v>115</v>
      </c>
      <c r="O783" s="50">
        <f t="shared" si="439"/>
        <v>0.13068181818181818</v>
      </c>
      <c r="P783" s="50">
        <v>1</v>
      </c>
      <c r="Q783" s="50"/>
      <c r="R783" s="50">
        <f t="shared" si="440"/>
        <v>10.499499999999999</v>
      </c>
      <c r="S783" s="50">
        <f t="shared" si="441"/>
        <v>1.3558238636363634E-2</v>
      </c>
      <c r="T783" s="50">
        <v>15</v>
      </c>
      <c r="U783" s="50">
        <v>15</v>
      </c>
      <c r="V783" s="9">
        <v>20200713</v>
      </c>
      <c r="W783" s="21" t="s">
        <v>1053</v>
      </c>
      <c r="X783" s="21">
        <v>2016</v>
      </c>
      <c r="Y783" s="9" t="s">
        <v>76</v>
      </c>
      <c r="Z783" s="9" t="s">
        <v>32</v>
      </c>
      <c r="AB783" s="50"/>
      <c r="AC783" s="9" t="s">
        <v>514</v>
      </c>
      <c r="AD783" s="50" t="s">
        <v>22</v>
      </c>
      <c r="AE783" s="50">
        <v>1581.4</v>
      </c>
      <c r="AF783" s="50" t="s">
        <v>22</v>
      </c>
      <c r="AG783" s="50" t="s">
        <v>22</v>
      </c>
      <c r="AH783" s="50" t="s">
        <v>22</v>
      </c>
      <c r="AI783" s="50" t="s">
        <v>22</v>
      </c>
      <c r="AJ783" s="50" t="s">
        <v>22</v>
      </c>
      <c r="AK783" s="50" t="s">
        <v>22</v>
      </c>
      <c r="AL783" s="50" t="s">
        <v>22</v>
      </c>
      <c r="AM783" s="43" t="e">
        <f t="shared" si="420"/>
        <v>#VALUE!</v>
      </c>
      <c r="AN783" s="43" t="e">
        <f t="shared" si="421"/>
        <v>#VALUE!</v>
      </c>
      <c r="AO783" s="21" t="s">
        <v>1056</v>
      </c>
      <c r="AT783" s="2">
        <f t="shared" si="422"/>
        <v>12</v>
      </c>
      <c r="AU783" s="45">
        <f t="shared" si="423"/>
        <v>-1.0395292224657011</v>
      </c>
      <c r="AV783" s="45">
        <f t="shared" si="424"/>
        <v>-5.551732784983137E-2</v>
      </c>
      <c r="AW783" s="45">
        <f t="shared" si="425"/>
        <v>-0.9840118946158698</v>
      </c>
      <c r="AX783" s="45">
        <f t="shared" si="426"/>
        <v>2.0606978403536118</v>
      </c>
      <c r="AY783" s="45">
        <f t="shared" si="427"/>
        <v>-0.88378483179655698</v>
      </c>
      <c r="AZ783" s="45">
        <f t="shared" si="428"/>
        <v>0</v>
      </c>
      <c r="BA783" s="45">
        <f t="shared" si="429"/>
        <v>0.51851393987788741</v>
      </c>
      <c r="BB783" s="45" t="e">
        <f t="shared" si="430"/>
        <v>#NUM!</v>
      </c>
      <c r="BC783" s="45">
        <f t="shared" si="431"/>
        <v>1.1760912590556813</v>
      </c>
      <c r="BD783" s="45" t="e">
        <f t="shared" si="432"/>
        <v>#VALUE!</v>
      </c>
      <c r="BE783" s="45" t="e">
        <f t="shared" si="433"/>
        <v>#VALUE!</v>
      </c>
      <c r="BF783" s="45" t="e">
        <f t="shared" si="434"/>
        <v>#VALUE!</v>
      </c>
      <c r="BG783" s="45" t="e">
        <f t="shared" si="435"/>
        <v>#VALUE!</v>
      </c>
      <c r="BH783" s="45" t="e">
        <f t="shared" si="436"/>
        <v>#NUM!</v>
      </c>
      <c r="BI783" s="43" t="e">
        <f t="shared" si="437"/>
        <v>#VALUE!</v>
      </c>
      <c r="BL783" s="20"/>
      <c r="BM783" s="50"/>
      <c r="BN783" s="50"/>
      <c r="BO783" s="50"/>
      <c r="BP783" s="50"/>
      <c r="BQ783" s="50"/>
      <c r="BR783" s="50"/>
      <c r="BU783" s="50"/>
      <c r="BV783" s="50"/>
      <c r="BW783" s="50"/>
      <c r="BX783" s="50"/>
      <c r="BY783" s="50"/>
      <c r="BZ783" s="50"/>
      <c r="CA783" s="50" t="s">
        <v>22</v>
      </c>
      <c r="CE783" s="50"/>
      <c r="CF783" s="50"/>
      <c r="CG783" s="50"/>
      <c r="CH783" s="50"/>
      <c r="CI783" s="50">
        <f t="shared" si="417"/>
        <v>15</v>
      </c>
      <c r="CJ783" s="50">
        <f t="shared" si="418"/>
        <v>1.1760912590556813</v>
      </c>
      <c r="CL783" s="9" t="s">
        <v>1269</v>
      </c>
      <c r="CM783" s="9" t="s">
        <v>1285</v>
      </c>
      <c r="CN783" s="55" t="s">
        <v>1284</v>
      </c>
      <c r="CO783" s="9" t="s">
        <v>1284</v>
      </c>
    </row>
    <row r="784" spans="1:93" s="9" customFormat="1" x14ac:dyDescent="0.25">
      <c r="A784" s="9" t="s">
        <v>141</v>
      </c>
      <c r="B784" s="50">
        <v>0.14099999999999999</v>
      </c>
      <c r="C784" s="50">
        <v>1.39</v>
      </c>
      <c r="D784" s="50">
        <f t="shared" si="438"/>
        <v>0.10143884892086331</v>
      </c>
      <c r="E784" s="50" t="s">
        <v>22</v>
      </c>
      <c r="F784" s="9" t="s">
        <v>22</v>
      </c>
      <c r="G784" s="9" t="s">
        <v>22</v>
      </c>
      <c r="H784" s="9" t="s">
        <v>22</v>
      </c>
      <c r="I784" s="9" t="s">
        <v>22</v>
      </c>
      <c r="J784" s="50">
        <v>3.3</v>
      </c>
      <c r="K784" s="9" t="s">
        <v>22</v>
      </c>
      <c r="L784" s="50"/>
      <c r="M784" s="9" t="s">
        <v>23</v>
      </c>
      <c r="N784" s="50">
        <v>121</v>
      </c>
      <c r="O784" s="50">
        <f t="shared" si="439"/>
        <v>8.7050359712230213E-2</v>
      </c>
      <c r="P784" s="50">
        <v>1.9</v>
      </c>
      <c r="Q784" s="50"/>
      <c r="R784" s="50">
        <f t="shared" si="440"/>
        <v>17.061</v>
      </c>
      <c r="S784" s="50">
        <f t="shared" si="441"/>
        <v>8.8302882873557264E-3</v>
      </c>
      <c r="T784" s="50">
        <v>15</v>
      </c>
      <c r="U784" s="50">
        <v>15</v>
      </c>
      <c r="V784" s="9">
        <v>20200713</v>
      </c>
      <c r="W784" s="21" t="s">
        <v>1053</v>
      </c>
      <c r="X784" s="21">
        <v>2016</v>
      </c>
      <c r="Y784" s="9" t="s">
        <v>76</v>
      </c>
      <c r="Z784" s="9" t="s">
        <v>32</v>
      </c>
      <c r="AB784" s="50"/>
      <c r="AC784" s="9" t="s">
        <v>514</v>
      </c>
      <c r="AD784" s="50" t="s">
        <v>22</v>
      </c>
      <c r="AE784" s="50">
        <v>1581.4</v>
      </c>
      <c r="AF784" s="50" t="s">
        <v>22</v>
      </c>
      <c r="AG784" s="50" t="s">
        <v>22</v>
      </c>
      <c r="AH784" s="50" t="s">
        <v>22</v>
      </c>
      <c r="AI784" s="50" t="s">
        <v>22</v>
      </c>
      <c r="AJ784" s="50" t="s">
        <v>22</v>
      </c>
      <c r="AK784" s="50" t="s">
        <v>22</v>
      </c>
      <c r="AL784" s="50" t="s">
        <v>22</v>
      </c>
      <c r="AM784" s="43" t="e">
        <f t="shared" si="420"/>
        <v>#VALUE!</v>
      </c>
      <c r="AN784" s="43" t="e">
        <f t="shared" si="421"/>
        <v>#VALUE!</v>
      </c>
      <c r="AO784" s="21" t="s">
        <v>1056</v>
      </c>
      <c r="AT784" s="2">
        <f t="shared" si="422"/>
        <v>12</v>
      </c>
      <c r="AU784" s="45">
        <f t="shared" si="423"/>
        <v>-0.8507808873446201</v>
      </c>
      <c r="AV784" s="45">
        <f t="shared" si="424"/>
        <v>0.14301480025409505</v>
      </c>
      <c r="AW784" s="45">
        <f t="shared" si="425"/>
        <v>-0.99379568759871517</v>
      </c>
      <c r="AX784" s="45">
        <f t="shared" si="426"/>
        <v>2.0827853703164503</v>
      </c>
      <c r="AY784" s="45">
        <f t="shared" si="427"/>
        <v>-1.0602294299376449</v>
      </c>
      <c r="AZ784" s="45">
        <f t="shared" si="428"/>
        <v>0.27875360095282892</v>
      </c>
      <c r="BA784" s="45">
        <f t="shared" si="429"/>
        <v>0.51851393987788741</v>
      </c>
      <c r="BB784" s="45" t="e">
        <f t="shared" si="430"/>
        <v>#NUM!</v>
      </c>
      <c r="BC784" s="45">
        <f t="shared" si="431"/>
        <v>1.1760912590556813</v>
      </c>
      <c r="BD784" s="45" t="e">
        <f t="shared" si="432"/>
        <v>#VALUE!</v>
      </c>
      <c r="BE784" s="45" t="e">
        <f t="shared" si="433"/>
        <v>#VALUE!</v>
      </c>
      <c r="BF784" s="45" t="e">
        <f t="shared" si="434"/>
        <v>#VALUE!</v>
      </c>
      <c r="BG784" s="45" t="e">
        <f t="shared" si="435"/>
        <v>#VALUE!</v>
      </c>
      <c r="BH784" s="45" t="e">
        <f t="shared" si="436"/>
        <v>#NUM!</v>
      </c>
      <c r="BI784" s="43" t="e">
        <f t="shared" si="437"/>
        <v>#VALUE!</v>
      </c>
      <c r="BL784" s="20"/>
      <c r="BM784" s="50"/>
      <c r="BN784" s="50"/>
      <c r="BO784" s="50"/>
      <c r="BP784" s="50"/>
      <c r="BQ784" s="50"/>
      <c r="BR784" s="50"/>
      <c r="BU784" s="50"/>
      <c r="BV784" s="50"/>
      <c r="BW784" s="50"/>
      <c r="BX784" s="50"/>
      <c r="BY784" s="50"/>
      <c r="BZ784" s="50"/>
      <c r="CA784" s="50" t="s">
        <v>22</v>
      </c>
      <c r="CE784" s="50"/>
      <c r="CF784" s="50"/>
      <c r="CG784" s="50"/>
      <c r="CH784" s="50"/>
      <c r="CI784" s="50">
        <f t="shared" si="417"/>
        <v>15</v>
      </c>
      <c r="CJ784" s="50">
        <f t="shared" si="418"/>
        <v>1.1760912590556813</v>
      </c>
      <c r="CL784" s="9" t="s">
        <v>1269</v>
      </c>
      <c r="CM784" s="9" t="s">
        <v>1285</v>
      </c>
      <c r="CN784" s="55" t="s">
        <v>1284</v>
      </c>
      <c r="CO784" s="9" t="s">
        <v>1284</v>
      </c>
    </row>
    <row r="785" spans="1:93" s="9" customFormat="1" x14ac:dyDescent="0.25">
      <c r="A785" s="9" t="s">
        <v>141</v>
      </c>
      <c r="B785" s="50">
        <v>6.6299999999999998E-2</v>
      </c>
      <c r="C785" s="50">
        <v>0.49</v>
      </c>
      <c r="D785" s="50">
        <f t="shared" si="438"/>
        <v>0.13530612244897958</v>
      </c>
      <c r="E785" s="50" t="s">
        <v>22</v>
      </c>
      <c r="F785" s="9" t="s">
        <v>22</v>
      </c>
      <c r="G785" s="9" t="s">
        <v>22</v>
      </c>
      <c r="H785" s="9" t="s">
        <v>22</v>
      </c>
      <c r="I785" s="9" t="s">
        <v>22</v>
      </c>
      <c r="J785" s="50">
        <v>3.3</v>
      </c>
      <c r="K785" s="9" t="s">
        <v>22</v>
      </c>
      <c r="L785" s="50"/>
      <c r="M785" s="9" t="s">
        <v>23</v>
      </c>
      <c r="N785" s="50">
        <v>87</v>
      </c>
      <c r="O785" s="50">
        <f t="shared" si="439"/>
        <v>0.17755102040816328</v>
      </c>
      <c r="P785" s="50">
        <v>1.2</v>
      </c>
      <c r="Q785" s="50"/>
      <c r="R785" s="50">
        <f t="shared" si="440"/>
        <v>5.7680999999999996</v>
      </c>
      <c r="S785" s="50">
        <f t="shared" si="441"/>
        <v>2.4023740108288213E-2</v>
      </c>
      <c r="T785" s="50">
        <v>15</v>
      </c>
      <c r="U785" s="50">
        <v>15</v>
      </c>
      <c r="V785" s="9">
        <v>20200713</v>
      </c>
      <c r="W785" s="21" t="s">
        <v>1054</v>
      </c>
      <c r="X785" s="21">
        <v>2016</v>
      </c>
      <c r="Y785" s="9" t="s">
        <v>76</v>
      </c>
      <c r="Z785" s="21" t="s">
        <v>1054</v>
      </c>
      <c r="AB785" s="50"/>
      <c r="AC785" s="9" t="s">
        <v>514</v>
      </c>
      <c r="AD785" s="50" t="s">
        <v>22</v>
      </c>
      <c r="AE785" s="50">
        <v>1581.4</v>
      </c>
      <c r="AF785" s="50" t="s">
        <v>22</v>
      </c>
      <c r="AG785" s="50" t="s">
        <v>22</v>
      </c>
      <c r="AH785" s="50" t="s">
        <v>22</v>
      </c>
      <c r="AI785" s="50" t="s">
        <v>22</v>
      </c>
      <c r="AJ785" s="50" t="s">
        <v>22</v>
      </c>
      <c r="AK785" s="50" t="s">
        <v>22</v>
      </c>
      <c r="AL785" s="50" t="s">
        <v>22</v>
      </c>
      <c r="AM785" s="43" t="e">
        <f t="shared" si="420"/>
        <v>#VALUE!</v>
      </c>
      <c r="AN785" s="43" t="e">
        <f t="shared" si="421"/>
        <v>#VALUE!</v>
      </c>
      <c r="AO785" s="21" t="s">
        <v>1056</v>
      </c>
      <c r="AT785" s="2">
        <f t="shared" si="422"/>
        <v>12</v>
      </c>
      <c r="AU785" s="45">
        <f t="shared" si="423"/>
        <v>-1.1784864715952268</v>
      </c>
      <c r="AV785" s="45">
        <f t="shared" si="424"/>
        <v>-0.30980391997148632</v>
      </c>
      <c r="AW785" s="45">
        <f t="shared" si="425"/>
        <v>-0.86868255162374053</v>
      </c>
      <c r="AX785" s="45">
        <f t="shared" si="426"/>
        <v>1.9395192526186185</v>
      </c>
      <c r="AY785" s="45">
        <f t="shared" si="427"/>
        <v>-0.75067682740989505</v>
      </c>
      <c r="AZ785" s="45">
        <f t="shared" si="428"/>
        <v>7.9181246047624818E-2</v>
      </c>
      <c r="BA785" s="45">
        <f t="shared" si="429"/>
        <v>0.51851393987788741</v>
      </c>
      <c r="BB785" s="45" t="e">
        <f t="shared" si="430"/>
        <v>#NUM!</v>
      </c>
      <c r="BC785" s="45">
        <f t="shared" si="431"/>
        <v>1.1760912590556813</v>
      </c>
      <c r="BD785" s="45" t="e">
        <f t="shared" si="432"/>
        <v>#VALUE!</v>
      </c>
      <c r="BE785" s="45" t="e">
        <f t="shared" si="433"/>
        <v>#VALUE!</v>
      </c>
      <c r="BF785" s="45" t="e">
        <f t="shared" si="434"/>
        <v>#VALUE!</v>
      </c>
      <c r="BG785" s="45" t="e">
        <f t="shared" si="435"/>
        <v>#VALUE!</v>
      </c>
      <c r="BH785" s="45" t="e">
        <f t="shared" si="436"/>
        <v>#NUM!</v>
      </c>
      <c r="BI785" s="43" t="e">
        <f t="shared" si="437"/>
        <v>#VALUE!</v>
      </c>
      <c r="BL785" s="20"/>
      <c r="BM785" s="50"/>
      <c r="BN785" s="50"/>
      <c r="BO785" s="50"/>
      <c r="BP785" s="50"/>
      <c r="BQ785" s="50"/>
      <c r="BR785" s="50"/>
      <c r="BU785" s="50"/>
      <c r="BV785" s="50"/>
      <c r="BW785" s="50"/>
      <c r="BX785" s="50"/>
      <c r="BY785" s="50"/>
      <c r="BZ785" s="50"/>
      <c r="CA785" s="50" t="s">
        <v>22</v>
      </c>
      <c r="CE785" s="50"/>
      <c r="CF785" s="50"/>
      <c r="CG785" s="50"/>
      <c r="CH785" s="50"/>
      <c r="CI785" s="50">
        <f t="shared" si="417"/>
        <v>15</v>
      </c>
      <c r="CJ785" s="50">
        <f t="shared" si="418"/>
        <v>1.1760912590556813</v>
      </c>
      <c r="CL785" s="9" t="s">
        <v>1269</v>
      </c>
      <c r="CM785" s="9" t="s">
        <v>1285</v>
      </c>
      <c r="CN785" s="55" t="s">
        <v>1284</v>
      </c>
      <c r="CO785" s="9" t="s">
        <v>1284</v>
      </c>
    </row>
    <row r="786" spans="1:93" s="9" customFormat="1" x14ac:dyDescent="0.25">
      <c r="A786" s="9" t="s">
        <v>141</v>
      </c>
      <c r="B786" s="50">
        <v>0.10099999999999999</v>
      </c>
      <c r="C786" s="50">
        <v>1</v>
      </c>
      <c r="D786" s="50">
        <f t="shared" si="438"/>
        <v>0.10099999999999999</v>
      </c>
      <c r="E786" s="50" t="s">
        <v>22</v>
      </c>
      <c r="F786" s="9" t="s">
        <v>22</v>
      </c>
      <c r="G786" s="9" t="s">
        <v>22</v>
      </c>
      <c r="H786" s="9" t="s">
        <v>22</v>
      </c>
      <c r="I786" s="9" t="s">
        <v>22</v>
      </c>
      <c r="J786" s="50">
        <v>3.3</v>
      </c>
      <c r="K786" s="9" t="s">
        <v>22</v>
      </c>
      <c r="L786" s="50"/>
      <c r="M786" s="9" t="s">
        <v>23</v>
      </c>
      <c r="N786" s="50">
        <v>132</v>
      </c>
      <c r="O786" s="50">
        <f t="shared" si="439"/>
        <v>0.13200000000000001</v>
      </c>
      <c r="P786" s="50">
        <v>1.3</v>
      </c>
      <c r="Q786" s="50"/>
      <c r="R786" s="50">
        <f t="shared" si="440"/>
        <v>13.331999999999999</v>
      </c>
      <c r="S786" s="50">
        <f t="shared" si="441"/>
        <v>1.3332E-2</v>
      </c>
      <c r="T786" s="50">
        <v>15</v>
      </c>
      <c r="U786" s="50">
        <v>15</v>
      </c>
      <c r="V786" s="9">
        <v>20200713</v>
      </c>
      <c r="W786" s="21" t="s">
        <v>1054</v>
      </c>
      <c r="X786" s="21">
        <v>2016</v>
      </c>
      <c r="Y786" s="9" t="s">
        <v>76</v>
      </c>
      <c r="Z786" s="21" t="s">
        <v>1054</v>
      </c>
      <c r="AB786" s="50"/>
      <c r="AC786" s="9" t="s">
        <v>514</v>
      </c>
      <c r="AD786" s="50" t="s">
        <v>22</v>
      </c>
      <c r="AE786" s="50">
        <v>1581.4</v>
      </c>
      <c r="AF786" s="50" t="s">
        <v>22</v>
      </c>
      <c r="AG786" s="50" t="s">
        <v>22</v>
      </c>
      <c r="AH786" s="50" t="s">
        <v>22</v>
      </c>
      <c r="AI786" s="50" t="s">
        <v>22</v>
      </c>
      <c r="AJ786" s="50" t="s">
        <v>22</v>
      </c>
      <c r="AK786" s="50" t="s">
        <v>22</v>
      </c>
      <c r="AL786" s="50" t="s">
        <v>22</v>
      </c>
      <c r="AM786" s="43" t="e">
        <f t="shared" si="420"/>
        <v>#VALUE!</v>
      </c>
      <c r="AN786" s="43" t="e">
        <f t="shared" si="421"/>
        <v>#VALUE!</v>
      </c>
      <c r="AO786" s="21" t="s">
        <v>1056</v>
      </c>
      <c r="AT786" s="2">
        <f t="shared" si="422"/>
        <v>12</v>
      </c>
      <c r="AU786" s="45">
        <f t="shared" si="423"/>
        <v>-0.99567862621735748</v>
      </c>
      <c r="AV786" s="45">
        <f t="shared" si="424"/>
        <v>0</v>
      </c>
      <c r="AW786" s="45">
        <f t="shared" si="425"/>
        <v>-0.99567862621735748</v>
      </c>
      <c r="AX786" s="45">
        <f t="shared" si="426"/>
        <v>2.12057393120585</v>
      </c>
      <c r="AY786" s="45">
        <f t="shared" si="427"/>
        <v>-0.87942606879415008</v>
      </c>
      <c r="AZ786" s="45">
        <f t="shared" si="428"/>
        <v>0.11394335230683679</v>
      </c>
      <c r="BA786" s="45">
        <f t="shared" si="429"/>
        <v>0.51851393987788741</v>
      </c>
      <c r="BB786" s="45" t="e">
        <f t="shared" si="430"/>
        <v>#NUM!</v>
      </c>
      <c r="BC786" s="45">
        <f t="shared" si="431"/>
        <v>1.1760912590556813</v>
      </c>
      <c r="BD786" s="45" t="e">
        <f t="shared" si="432"/>
        <v>#VALUE!</v>
      </c>
      <c r="BE786" s="45" t="e">
        <f t="shared" si="433"/>
        <v>#VALUE!</v>
      </c>
      <c r="BF786" s="45" t="e">
        <f t="shared" si="434"/>
        <v>#VALUE!</v>
      </c>
      <c r="BG786" s="45" t="e">
        <f t="shared" si="435"/>
        <v>#VALUE!</v>
      </c>
      <c r="BH786" s="45" t="e">
        <f t="shared" si="436"/>
        <v>#NUM!</v>
      </c>
      <c r="BI786" s="43" t="e">
        <f t="shared" si="437"/>
        <v>#VALUE!</v>
      </c>
      <c r="BL786" s="20"/>
      <c r="BM786" s="50"/>
      <c r="BN786" s="50"/>
      <c r="BO786" s="50"/>
      <c r="BP786" s="50"/>
      <c r="BQ786" s="50"/>
      <c r="BR786" s="50"/>
      <c r="BU786" s="50"/>
      <c r="BV786" s="50"/>
      <c r="BW786" s="50"/>
      <c r="BX786" s="50"/>
      <c r="BY786" s="50"/>
      <c r="BZ786" s="50"/>
      <c r="CA786" s="50" t="s">
        <v>22</v>
      </c>
      <c r="CE786" s="50"/>
      <c r="CF786" s="50"/>
      <c r="CG786" s="50"/>
      <c r="CH786" s="50"/>
      <c r="CI786" s="50">
        <f t="shared" si="417"/>
        <v>15</v>
      </c>
      <c r="CJ786" s="50">
        <f t="shared" si="418"/>
        <v>1.1760912590556813</v>
      </c>
      <c r="CL786" s="9" t="s">
        <v>1269</v>
      </c>
      <c r="CM786" s="9" t="s">
        <v>1285</v>
      </c>
      <c r="CN786" s="55" t="s">
        <v>1284</v>
      </c>
      <c r="CO786" s="9" t="s">
        <v>1284</v>
      </c>
    </row>
    <row r="787" spans="1:93" s="9" customFormat="1" x14ac:dyDescent="0.25">
      <c r="A787" s="9" t="s">
        <v>141</v>
      </c>
      <c r="B787" s="50">
        <v>0.14399999999999999</v>
      </c>
      <c r="C787" s="50">
        <v>1.5</v>
      </c>
      <c r="D787" s="50">
        <f t="shared" si="438"/>
        <v>9.6000000000000002E-2</v>
      </c>
      <c r="E787" s="50" t="s">
        <v>22</v>
      </c>
      <c r="F787" s="9" t="s">
        <v>22</v>
      </c>
      <c r="G787" s="9" t="s">
        <v>22</v>
      </c>
      <c r="H787" s="9" t="s">
        <v>22</v>
      </c>
      <c r="I787" s="9" t="s">
        <v>22</v>
      </c>
      <c r="J787" s="50">
        <v>3.3</v>
      </c>
      <c r="K787" s="9" t="s">
        <v>22</v>
      </c>
      <c r="L787" s="50"/>
      <c r="M787" s="9" t="s">
        <v>23</v>
      </c>
      <c r="N787" s="50">
        <v>169</v>
      </c>
      <c r="O787" s="50">
        <f t="shared" si="439"/>
        <v>0.11266666666666668</v>
      </c>
      <c r="P787" s="50">
        <v>1.7</v>
      </c>
      <c r="Q787" s="50"/>
      <c r="R787" s="50">
        <f t="shared" si="440"/>
        <v>24.335999999999999</v>
      </c>
      <c r="S787" s="50">
        <f t="shared" si="441"/>
        <v>1.0816000000000001E-2</v>
      </c>
      <c r="T787" s="50">
        <v>15</v>
      </c>
      <c r="U787" s="50">
        <v>15</v>
      </c>
      <c r="V787" s="9">
        <v>20200713</v>
      </c>
      <c r="W787" s="21" t="s">
        <v>1054</v>
      </c>
      <c r="X787" s="21">
        <v>2016</v>
      </c>
      <c r="Y787" s="9" t="s">
        <v>76</v>
      </c>
      <c r="Z787" s="21" t="s">
        <v>1054</v>
      </c>
      <c r="AB787" s="50"/>
      <c r="AC787" s="9" t="s">
        <v>514</v>
      </c>
      <c r="AD787" s="50" t="s">
        <v>22</v>
      </c>
      <c r="AE787" s="50">
        <v>1581.4</v>
      </c>
      <c r="AF787" s="50" t="s">
        <v>22</v>
      </c>
      <c r="AG787" s="50" t="s">
        <v>22</v>
      </c>
      <c r="AH787" s="50" t="s">
        <v>22</v>
      </c>
      <c r="AI787" s="50" t="s">
        <v>22</v>
      </c>
      <c r="AJ787" s="50" t="s">
        <v>22</v>
      </c>
      <c r="AK787" s="50" t="s">
        <v>22</v>
      </c>
      <c r="AL787" s="50" t="s">
        <v>22</v>
      </c>
      <c r="AM787" s="43" t="e">
        <f t="shared" si="420"/>
        <v>#VALUE!</v>
      </c>
      <c r="AN787" s="43" t="e">
        <f t="shared" si="421"/>
        <v>#VALUE!</v>
      </c>
      <c r="AO787" s="21" t="s">
        <v>1056</v>
      </c>
      <c r="AT787" s="2">
        <f t="shared" si="422"/>
        <v>12</v>
      </c>
      <c r="AU787" s="45">
        <f t="shared" si="423"/>
        <v>-0.84163750790475034</v>
      </c>
      <c r="AV787" s="45">
        <f t="shared" si="424"/>
        <v>0.17609125905568124</v>
      </c>
      <c r="AW787" s="45">
        <f t="shared" si="425"/>
        <v>-1.0177287669604316</v>
      </c>
      <c r="AX787" s="45">
        <f t="shared" si="426"/>
        <v>2.2278867046136734</v>
      </c>
      <c r="AY787" s="45">
        <f t="shared" si="427"/>
        <v>-0.94820455444200769</v>
      </c>
      <c r="AZ787" s="45">
        <f t="shared" si="428"/>
        <v>0.23044892137827391</v>
      </c>
      <c r="BA787" s="45">
        <f t="shared" si="429"/>
        <v>0.51851393987788741</v>
      </c>
      <c r="BB787" s="45" t="e">
        <f t="shared" si="430"/>
        <v>#NUM!</v>
      </c>
      <c r="BC787" s="45">
        <f t="shared" si="431"/>
        <v>1.1760912590556813</v>
      </c>
      <c r="BD787" s="45" t="e">
        <f t="shared" si="432"/>
        <v>#VALUE!</v>
      </c>
      <c r="BE787" s="45" t="e">
        <f t="shared" si="433"/>
        <v>#VALUE!</v>
      </c>
      <c r="BF787" s="45" t="e">
        <f t="shared" si="434"/>
        <v>#VALUE!</v>
      </c>
      <c r="BG787" s="45" t="e">
        <f t="shared" si="435"/>
        <v>#VALUE!</v>
      </c>
      <c r="BH787" s="45" t="e">
        <f t="shared" si="436"/>
        <v>#NUM!</v>
      </c>
      <c r="BI787" s="43" t="e">
        <f t="shared" si="437"/>
        <v>#VALUE!</v>
      </c>
      <c r="BL787" s="20"/>
      <c r="BM787" s="50"/>
      <c r="BN787" s="50"/>
      <c r="BO787" s="50"/>
      <c r="BP787" s="50"/>
      <c r="BQ787" s="50"/>
      <c r="BR787" s="50"/>
      <c r="BU787" s="50"/>
      <c r="BV787" s="50"/>
      <c r="BW787" s="50"/>
      <c r="BX787" s="50"/>
      <c r="BY787" s="50"/>
      <c r="BZ787" s="50"/>
      <c r="CA787" s="50" t="s">
        <v>22</v>
      </c>
      <c r="CE787" s="50"/>
      <c r="CF787" s="50"/>
      <c r="CG787" s="50"/>
      <c r="CH787" s="50"/>
      <c r="CI787" s="50">
        <f t="shared" si="417"/>
        <v>15</v>
      </c>
      <c r="CJ787" s="50">
        <f t="shared" si="418"/>
        <v>1.1760912590556813</v>
      </c>
      <c r="CL787" s="9" t="s">
        <v>1269</v>
      </c>
      <c r="CM787" s="9" t="s">
        <v>1285</v>
      </c>
      <c r="CN787" s="55" t="s">
        <v>1284</v>
      </c>
      <c r="CO787" s="9" t="s">
        <v>1284</v>
      </c>
    </row>
    <row r="788" spans="1:93" s="9" customFormat="1" x14ac:dyDescent="0.25">
      <c r="A788" s="9" t="s">
        <v>141</v>
      </c>
      <c r="B788" s="50">
        <v>0.215</v>
      </c>
      <c r="C788" s="50">
        <v>2.16</v>
      </c>
      <c r="D788" s="50">
        <f t="shared" si="438"/>
        <v>9.9537037037037035E-2</v>
      </c>
      <c r="E788" s="50" t="s">
        <v>22</v>
      </c>
      <c r="F788" s="9" t="s">
        <v>22</v>
      </c>
      <c r="G788" s="9" t="s">
        <v>22</v>
      </c>
      <c r="H788" s="9" t="s">
        <v>22</v>
      </c>
      <c r="I788" s="9" t="s">
        <v>22</v>
      </c>
      <c r="J788" s="50">
        <v>3.3</v>
      </c>
      <c r="K788" s="9" t="s">
        <v>22</v>
      </c>
      <c r="L788" s="50"/>
      <c r="M788" s="9" t="s">
        <v>23</v>
      </c>
      <c r="N788" s="50">
        <v>227</v>
      </c>
      <c r="O788" s="50">
        <f t="shared" si="439"/>
        <v>0.10509259259259258</v>
      </c>
      <c r="P788" s="50">
        <v>2</v>
      </c>
      <c r="Q788" s="50"/>
      <c r="R788" s="50">
        <f t="shared" si="440"/>
        <v>48.805</v>
      </c>
      <c r="S788" s="50">
        <f t="shared" si="441"/>
        <v>1.0460605281207132E-2</v>
      </c>
      <c r="T788" s="50">
        <v>15</v>
      </c>
      <c r="U788" s="50">
        <v>15</v>
      </c>
      <c r="V788" s="9">
        <v>20200713</v>
      </c>
      <c r="W788" s="21" t="s">
        <v>1054</v>
      </c>
      <c r="X788" s="21">
        <v>2016</v>
      </c>
      <c r="Y788" s="9" t="s">
        <v>76</v>
      </c>
      <c r="Z788" s="21" t="s">
        <v>1054</v>
      </c>
      <c r="AB788" s="50"/>
      <c r="AC788" s="9" t="s">
        <v>514</v>
      </c>
      <c r="AD788" s="50" t="s">
        <v>22</v>
      </c>
      <c r="AE788" s="50">
        <v>1581.4</v>
      </c>
      <c r="AF788" s="50" t="s">
        <v>22</v>
      </c>
      <c r="AG788" s="50" t="s">
        <v>22</v>
      </c>
      <c r="AH788" s="50" t="s">
        <v>22</v>
      </c>
      <c r="AI788" s="50" t="s">
        <v>22</v>
      </c>
      <c r="AJ788" s="50" t="s">
        <v>22</v>
      </c>
      <c r="AK788" s="50" t="s">
        <v>22</v>
      </c>
      <c r="AL788" s="50" t="s">
        <v>22</v>
      </c>
      <c r="AM788" s="43" t="e">
        <f t="shared" si="420"/>
        <v>#VALUE!</v>
      </c>
      <c r="AN788" s="43" t="e">
        <f t="shared" si="421"/>
        <v>#VALUE!</v>
      </c>
      <c r="AO788" s="21" t="s">
        <v>1056</v>
      </c>
      <c r="AT788" s="2">
        <f t="shared" si="422"/>
        <v>12</v>
      </c>
      <c r="AU788" s="45">
        <f t="shared" si="423"/>
        <v>-0.66756154008439472</v>
      </c>
      <c r="AV788" s="45">
        <f t="shared" si="424"/>
        <v>0.3344537511509309</v>
      </c>
      <c r="AW788" s="45">
        <f t="shared" si="425"/>
        <v>-1.0020152912353255</v>
      </c>
      <c r="AX788" s="45">
        <f t="shared" si="426"/>
        <v>2.3560258571931225</v>
      </c>
      <c r="AY788" s="45">
        <f t="shared" si="427"/>
        <v>-0.97842789395780816</v>
      </c>
      <c r="AZ788" s="45">
        <f t="shared" si="428"/>
        <v>0.3010299956639812</v>
      </c>
      <c r="BA788" s="45">
        <f t="shared" si="429"/>
        <v>0.51851393987788741</v>
      </c>
      <c r="BB788" s="45" t="e">
        <f t="shared" si="430"/>
        <v>#NUM!</v>
      </c>
      <c r="BC788" s="45">
        <f t="shared" si="431"/>
        <v>1.1760912590556813</v>
      </c>
      <c r="BD788" s="45" t="e">
        <f t="shared" si="432"/>
        <v>#VALUE!</v>
      </c>
      <c r="BE788" s="45" t="e">
        <f t="shared" si="433"/>
        <v>#VALUE!</v>
      </c>
      <c r="BF788" s="45" t="e">
        <f t="shared" si="434"/>
        <v>#VALUE!</v>
      </c>
      <c r="BG788" s="45" t="e">
        <f t="shared" si="435"/>
        <v>#VALUE!</v>
      </c>
      <c r="BH788" s="45" t="e">
        <f t="shared" si="436"/>
        <v>#NUM!</v>
      </c>
      <c r="BI788" s="43" t="e">
        <f t="shared" si="437"/>
        <v>#VALUE!</v>
      </c>
      <c r="BL788" s="20"/>
      <c r="BM788" s="50"/>
      <c r="BN788" s="50"/>
      <c r="BO788" s="50"/>
      <c r="BP788" s="50"/>
      <c r="BQ788" s="50"/>
      <c r="BR788" s="50"/>
      <c r="BU788" s="50"/>
      <c r="BV788" s="50"/>
      <c r="BW788" s="50"/>
      <c r="BX788" s="50"/>
      <c r="BY788" s="50"/>
      <c r="BZ788" s="50"/>
      <c r="CA788" s="50" t="s">
        <v>22</v>
      </c>
      <c r="CE788" s="50"/>
      <c r="CF788" s="50"/>
      <c r="CG788" s="50"/>
      <c r="CH788" s="50"/>
      <c r="CI788" s="50">
        <f t="shared" si="417"/>
        <v>15</v>
      </c>
      <c r="CJ788" s="50">
        <f t="shared" si="418"/>
        <v>1.1760912590556813</v>
      </c>
      <c r="CL788" s="9" t="s">
        <v>1269</v>
      </c>
      <c r="CM788" s="9" t="s">
        <v>1285</v>
      </c>
      <c r="CN788" s="55" t="s">
        <v>1284</v>
      </c>
      <c r="CO788" s="9" t="s">
        <v>1284</v>
      </c>
    </row>
    <row r="789" spans="1:93" s="9" customFormat="1" x14ac:dyDescent="0.25">
      <c r="A789" s="9" t="s">
        <v>141</v>
      </c>
      <c r="B789" s="50">
        <v>9.509999999999999E-2</v>
      </c>
      <c r="C789" s="50">
        <v>0.47</v>
      </c>
      <c r="D789" s="50">
        <f t="shared" si="438"/>
        <v>0.20234042553191489</v>
      </c>
      <c r="E789" s="50" t="s">
        <v>22</v>
      </c>
      <c r="F789" s="9" t="s">
        <v>22</v>
      </c>
      <c r="G789" s="9" t="s">
        <v>22</v>
      </c>
      <c r="H789" s="9" t="s">
        <v>22</v>
      </c>
      <c r="I789" s="9" t="s">
        <v>22</v>
      </c>
      <c r="J789" s="50">
        <v>4</v>
      </c>
      <c r="K789" s="9" t="s">
        <v>22</v>
      </c>
      <c r="L789" s="50"/>
      <c r="M789" s="9" t="s">
        <v>45</v>
      </c>
      <c r="N789" s="50">
        <v>142</v>
      </c>
      <c r="O789" s="50">
        <f t="shared" si="439"/>
        <v>0.30212765957446813</v>
      </c>
      <c r="P789" s="50">
        <v>1.4</v>
      </c>
      <c r="Q789" s="50"/>
      <c r="R789" s="50">
        <f t="shared" si="440"/>
        <v>13.504199999999999</v>
      </c>
      <c r="S789" s="50">
        <f t="shared" si="441"/>
        <v>6.1132639203259405E-2</v>
      </c>
      <c r="T789" s="50">
        <v>15</v>
      </c>
      <c r="U789" s="50">
        <v>15</v>
      </c>
      <c r="V789" s="9">
        <v>20200713</v>
      </c>
      <c r="W789" s="21" t="s">
        <v>1055</v>
      </c>
      <c r="X789" s="21">
        <v>2016</v>
      </c>
      <c r="Y789" s="9" t="s">
        <v>76</v>
      </c>
      <c r="Z789" s="21" t="s">
        <v>1055</v>
      </c>
      <c r="AA789" s="9" t="s">
        <v>737</v>
      </c>
      <c r="AB789" s="50">
        <v>6.6299999999999998E-2</v>
      </c>
      <c r="AC789" s="9" t="s">
        <v>514</v>
      </c>
      <c r="AD789" s="50" t="s">
        <v>22</v>
      </c>
      <c r="AE789" s="50">
        <v>1581.4</v>
      </c>
      <c r="AF789" s="50" t="s">
        <v>22</v>
      </c>
      <c r="AG789" s="50" t="s">
        <v>22</v>
      </c>
      <c r="AH789" s="50" t="s">
        <v>22</v>
      </c>
      <c r="AI789" s="50" t="s">
        <v>22</v>
      </c>
      <c r="AJ789" s="50" t="s">
        <v>22</v>
      </c>
      <c r="AK789" s="50" t="s">
        <v>22</v>
      </c>
      <c r="AL789" s="50" t="s">
        <v>22</v>
      </c>
      <c r="AM789" s="43" t="e">
        <f t="shared" si="420"/>
        <v>#VALUE!</v>
      </c>
      <c r="AN789" s="43" t="e">
        <f t="shared" si="421"/>
        <v>#VALUE!</v>
      </c>
      <c r="AO789" s="21" t="s">
        <v>1056</v>
      </c>
      <c r="AT789" s="2">
        <f t="shared" si="422"/>
        <v>12</v>
      </c>
      <c r="AU789" s="45">
        <f t="shared" si="423"/>
        <v>-1.0218194830625862</v>
      </c>
      <c r="AV789" s="45">
        <f t="shared" si="424"/>
        <v>-0.32790214206428259</v>
      </c>
      <c r="AW789" s="45">
        <f t="shared" si="425"/>
        <v>-0.69391734099830349</v>
      </c>
      <c r="AX789" s="45">
        <f t="shared" si="426"/>
        <v>2.1522883443830563</v>
      </c>
      <c r="AY789" s="45">
        <f t="shared" si="427"/>
        <v>-0.51980951355266092</v>
      </c>
      <c r="AZ789" s="45">
        <f t="shared" si="428"/>
        <v>0.14612803567823801</v>
      </c>
      <c r="BA789" s="45">
        <f t="shared" si="429"/>
        <v>0.6020599913279624</v>
      </c>
      <c r="BB789" s="45" t="e">
        <f t="shared" si="430"/>
        <v>#NUM!</v>
      </c>
      <c r="BC789" s="45">
        <f t="shared" si="431"/>
        <v>1.1760912590556813</v>
      </c>
      <c r="BD789" s="45" t="e">
        <f t="shared" si="432"/>
        <v>#VALUE!</v>
      </c>
      <c r="BE789" s="45" t="e">
        <f t="shared" si="433"/>
        <v>#VALUE!</v>
      </c>
      <c r="BF789" s="45" t="e">
        <f t="shared" si="434"/>
        <v>#VALUE!</v>
      </c>
      <c r="BG789" s="45" t="e">
        <f t="shared" si="435"/>
        <v>#VALUE!</v>
      </c>
      <c r="BH789" s="45">
        <f t="shared" si="436"/>
        <v>-1.1784864715952268</v>
      </c>
      <c r="BI789" s="43" t="e">
        <f t="shared" si="437"/>
        <v>#VALUE!</v>
      </c>
      <c r="BL789" s="20"/>
      <c r="BM789" s="50"/>
      <c r="BN789" s="50"/>
      <c r="BO789" s="50"/>
      <c r="BP789" s="50"/>
      <c r="BQ789" s="50"/>
      <c r="BR789" s="50"/>
      <c r="BU789" s="50"/>
      <c r="BV789" s="50"/>
      <c r="BW789" s="50"/>
      <c r="BX789" s="50"/>
      <c r="BY789" s="50"/>
      <c r="BZ789" s="50"/>
      <c r="CA789" s="50" t="s">
        <v>22</v>
      </c>
      <c r="CE789" s="50"/>
      <c r="CF789" s="50"/>
      <c r="CG789" s="50"/>
      <c r="CH789" s="50"/>
      <c r="CI789" s="50">
        <f t="shared" si="417"/>
        <v>15</v>
      </c>
      <c r="CJ789" s="50">
        <f t="shared" si="418"/>
        <v>1.1760912590556813</v>
      </c>
      <c r="CL789" s="9" t="s">
        <v>1269</v>
      </c>
      <c r="CM789" s="9" t="s">
        <v>1285</v>
      </c>
      <c r="CN789" s="55" t="s">
        <v>1284</v>
      </c>
      <c r="CO789" s="9" t="s">
        <v>1284</v>
      </c>
    </row>
    <row r="790" spans="1:93" s="9" customFormat="1" x14ac:dyDescent="0.25">
      <c r="A790" s="9" t="s">
        <v>141</v>
      </c>
      <c r="B790" s="50">
        <v>0.20499999999999999</v>
      </c>
      <c r="C790" s="50">
        <v>1.29</v>
      </c>
      <c r="D790" s="50">
        <f t="shared" si="438"/>
        <v>0.15891472868217052</v>
      </c>
      <c r="E790" s="50" t="s">
        <v>22</v>
      </c>
      <c r="F790" s="9" t="s">
        <v>22</v>
      </c>
      <c r="G790" s="9" t="s">
        <v>22</v>
      </c>
      <c r="H790" s="9" t="s">
        <v>22</v>
      </c>
      <c r="I790" s="9" t="s">
        <v>22</v>
      </c>
      <c r="J790" s="50">
        <v>4</v>
      </c>
      <c r="K790" s="9" t="s">
        <v>22</v>
      </c>
      <c r="L790" s="50"/>
      <c r="M790" s="9" t="s">
        <v>45</v>
      </c>
      <c r="N790" s="50">
        <v>156</v>
      </c>
      <c r="O790" s="50">
        <f t="shared" si="439"/>
        <v>0.12093023255813953</v>
      </c>
      <c r="P790" s="50">
        <v>1.9</v>
      </c>
      <c r="Q790" s="50"/>
      <c r="R790" s="50">
        <f t="shared" si="440"/>
        <v>31.979999999999997</v>
      </c>
      <c r="S790" s="50">
        <f t="shared" si="441"/>
        <v>1.9217595096448527E-2</v>
      </c>
      <c r="T790" s="50">
        <v>15</v>
      </c>
      <c r="U790" s="50">
        <v>15</v>
      </c>
      <c r="V790" s="9">
        <v>20200713</v>
      </c>
      <c r="W790" s="21" t="s">
        <v>1055</v>
      </c>
      <c r="X790" s="21">
        <v>2016</v>
      </c>
      <c r="Y790" s="9" t="s">
        <v>76</v>
      </c>
      <c r="Z790" s="21" t="s">
        <v>1055</v>
      </c>
      <c r="AA790" s="9" t="s">
        <v>737</v>
      </c>
      <c r="AB790" s="50">
        <v>0.10099999999999999</v>
      </c>
      <c r="AC790" s="9" t="s">
        <v>514</v>
      </c>
      <c r="AD790" s="50" t="s">
        <v>22</v>
      </c>
      <c r="AE790" s="50">
        <v>1581.4</v>
      </c>
      <c r="AF790" s="50" t="s">
        <v>22</v>
      </c>
      <c r="AG790" s="50" t="s">
        <v>22</v>
      </c>
      <c r="AH790" s="50" t="s">
        <v>22</v>
      </c>
      <c r="AI790" s="50" t="s">
        <v>22</v>
      </c>
      <c r="AJ790" s="50" t="s">
        <v>22</v>
      </c>
      <c r="AK790" s="50" t="s">
        <v>22</v>
      </c>
      <c r="AL790" s="50" t="s">
        <v>22</v>
      </c>
      <c r="AM790" s="43" t="e">
        <f t="shared" si="420"/>
        <v>#VALUE!</v>
      </c>
      <c r="AN790" s="43" t="e">
        <f t="shared" si="421"/>
        <v>#VALUE!</v>
      </c>
      <c r="AO790" s="21" t="s">
        <v>1056</v>
      </c>
      <c r="AT790" s="2">
        <f t="shared" si="422"/>
        <v>12</v>
      </c>
      <c r="AU790" s="45">
        <f t="shared" si="423"/>
        <v>-0.68824613894424569</v>
      </c>
      <c r="AV790" s="45">
        <f t="shared" si="424"/>
        <v>0.11058971029924898</v>
      </c>
      <c r="AW790" s="45">
        <f t="shared" si="425"/>
        <v>-0.79883584924349471</v>
      </c>
      <c r="AX790" s="45">
        <f t="shared" si="426"/>
        <v>2.1931245983544616</v>
      </c>
      <c r="AY790" s="45">
        <f t="shared" si="427"/>
        <v>-0.91746511194478741</v>
      </c>
      <c r="AZ790" s="45">
        <f t="shared" si="428"/>
        <v>0.27875360095282892</v>
      </c>
      <c r="BA790" s="45">
        <f t="shared" si="429"/>
        <v>0.6020599913279624</v>
      </c>
      <c r="BB790" s="45" t="e">
        <f t="shared" si="430"/>
        <v>#NUM!</v>
      </c>
      <c r="BC790" s="45">
        <f t="shared" si="431"/>
        <v>1.1760912590556813</v>
      </c>
      <c r="BD790" s="45" t="e">
        <f t="shared" si="432"/>
        <v>#VALUE!</v>
      </c>
      <c r="BE790" s="45" t="e">
        <f t="shared" si="433"/>
        <v>#VALUE!</v>
      </c>
      <c r="BF790" s="45" t="e">
        <f t="shared" si="434"/>
        <v>#VALUE!</v>
      </c>
      <c r="BG790" s="45" t="e">
        <f t="shared" si="435"/>
        <v>#VALUE!</v>
      </c>
      <c r="BH790" s="45">
        <f t="shared" si="436"/>
        <v>-0.99567862621735748</v>
      </c>
      <c r="BI790" s="43" t="e">
        <f t="shared" si="437"/>
        <v>#VALUE!</v>
      </c>
      <c r="BL790" s="20"/>
      <c r="BM790" s="50"/>
      <c r="BN790" s="50"/>
      <c r="BO790" s="50"/>
      <c r="BP790" s="50"/>
      <c r="BQ790" s="50"/>
      <c r="BR790" s="50"/>
      <c r="BU790" s="50"/>
      <c r="BV790" s="50"/>
      <c r="BW790" s="50"/>
      <c r="BX790" s="50"/>
      <c r="BY790" s="50"/>
      <c r="BZ790" s="50"/>
      <c r="CA790" s="50" t="s">
        <v>22</v>
      </c>
      <c r="CE790" s="50"/>
      <c r="CF790" s="50"/>
      <c r="CG790" s="50"/>
      <c r="CH790" s="50"/>
      <c r="CI790" s="50">
        <f t="shared" si="417"/>
        <v>15</v>
      </c>
      <c r="CJ790" s="50">
        <f t="shared" si="418"/>
        <v>1.1760912590556813</v>
      </c>
      <c r="CL790" s="9" t="s">
        <v>1269</v>
      </c>
      <c r="CM790" s="9" t="s">
        <v>1285</v>
      </c>
      <c r="CN790" s="55" t="s">
        <v>1284</v>
      </c>
      <c r="CO790" s="9" t="s">
        <v>1284</v>
      </c>
    </row>
    <row r="791" spans="1:93" s="9" customFormat="1" x14ac:dyDescent="0.25">
      <c r="A791" s="9" t="s">
        <v>141</v>
      </c>
      <c r="B791" s="50">
        <v>0.3</v>
      </c>
      <c r="C791" s="50">
        <v>1.22</v>
      </c>
      <c r="D791" s="50">
        <f t="shared" si="438"/>
        <v>0.24590163934426229</v>
      </c>
      <c r="E791" s="50" t="s">
        <v>22</v>
      </c>
      <c r="F791" s="9" t="s">
        <v>22</v>
      </c>
      <c r="G791" s="9" t="s">
        <v>22</v>
      </c>
      <c r="H791" s="9" t="s">
        <v>22</v>
      </c>
      <c r="I791" s="9" t="s">
        <v>22</v>
      </c>
      <c r="J791" s="50">
        <v>4</v>
      </c>
      <c r="K791" s="9" t="s">
        <v>22</v>
      </c>
      <c r="L791" s="50"/>
      <c r="M791" s="9" t="s">
        <v>45</v>
      </c>
      <c r="N791" s="50">
        <v>183</v>
      </c>
      <c r="O791" s="50">
        <f t="shared" si="439"/>
        <v>0.15</v>
      </c>
      <c r="P791" s="50">
        <v>2.4</v>
      </c>
      <c r="Q791" s="50"/>
      <c r="R791" s="50">
        <f t="shared" si="440"/>
        <v>54.9</v>
      </c>
      <c r="S791" s="50">
        <f t="shared" si="441"/>
        <v>3.6885245901639344E-2</v>
      </c>
      <c r="T791" s="50">
        <v>15</v>
      </c>
      <c r="U791" s="50">
        <v>15</v>
      </c>
      <c r="V791" s="9">
        <v>20200713</v>
      </c>
      <c r="W791" s="21" t="s">
        <v>1055</v>
      </c>
      <c r="X791" s="21">
        <v>2016</v>
      </c>
      <c r="Y791" s="9" t="s">
        <v>76</v>
      </c>
      <c r="Z791" s="21" t="s">
        <v>1055</v>
      </c>
      <c r="AA791" s="9" t="s">
        <v>737</v>
      </c>
      <c r="AB791" s="50">
        <v>0.14399999999999999</v>
      </c>
      <c r="AC791" s="9" t="s">
        <v>514</v>
      </c>
      <c r="AD791" s="50" t="s">
        <v>22</v>
      </c>
      <c r="AE791" s="50">
        <v>1581.4</v>
      </c>
      <c r="AF791" s="50" t="s">
        <v>22</v>
      </c>
      <c r="AG791" s="50" t="s">
        <v>22</v>
      </c>
      <c r="AH791" s="50" t="s">
        <v>22</v>
      </c>
      <c r="AI791" s="50" t="s">
        <v>22</v>
      </c>
      <c r="AJ791" s="50" t="s">
        <v>22</v>
      </c>
      <c r="AK791" s="50" t="s">
        <v>22</v>
      </c>
      <c r="AL791" s="50" t="s">
        <v>22</v>
      </c>
      <c r="AM791" s="43" t="e">
        <f t="shared" si="420"/>
        <v>#VALUE!</v>
      </c>
      <c r="AN791" s="43" t="e">
        <f t="shared" si="421"/>
        <v>#VALUE!</v>
      </c>
      <c r="AO791" s="21" t="s">
        <v>1056</v>
      </c>
      <c r="AT791" s="2">
        <f t="shared" si="422"/>
        <v>12</v>
      </c>
      <c r="AU791" s="45">
        <f t="shared" si="423"/>
        <v>-0.52287874528033762</v>
      </c>
      <c r="AV791" s="45">
        <f t="shared" si="424"/>
        <v>8.6359830674748214E-2</v>
      </c>
      <c r="AW791" s="45">
        <f t="shared" si="425"/>
        <v>-0.60923857595508579</v>
      </c>
      <c r="AX791" s="45">
        <f t="shared" si="426"/>
        <v>2.2624510897304293</v>
      </c>
      <c r="AY791" s="45">
        <f t="shared" si="427"/>
        <v>-0.82390874094431876</v>
      </c>
      <c r="AZ791" s="45">
        <f t="shared" si="428"/>
        <v>0.38021124171160603</v>
      </c>
      <c r="BA791" s="45">
        <f t="shared" si="429"/>
        <v>0.6020599913279624</v>
      </c>
      <c r="BB791" s="45" t="e">
        <f t="shared" si="430"/>
        <v>#NUM!</v>
      </c>
      <c r="BC791" s="45">
        <f t="shared" si="431"/>
        <v>1.1760912590556813</v>
      </c>
      <c r="BD791" s="45" t="e">
        <f t="shared" si="432"/>
        <v>#VALUE!</v>
      </c>
      <c r="BE791" s="45" t="e">
        <f t="shared" si="433"/>
        <v>#VALUE!</v>
      </c>
      <c r="BF791" s="45" t="e">
        <f t="shared" si="434"/>
        <v>#VALUE!</v>
      </c>
      <c r="BG791" s="45" t="e">
        <f t="shared" si="435"/>
        <v>#VALUE!</v>
      </c>
      <c r="BH791" s="45">
        <f t="shared" si="436"/>
        <v>-0.84163750790475034</v>
      </c>
      <c r="BI791" s="43" t="e">
        <f t="shared" si="437"/>
        <v>#VALUE!</v>
      </c>
      <c r="BL791" s="20"/>
      <c r="BM791" s="50"/>
      <c r="BN791" s="50"/>
      <c r="BO791" s="50"/>
      <c r="BP791" s="50"/>
      <c r="BQ791" s="50"/>
      <c r="BR791" s="50"/>
      <c r="BU791" s="50"/>
      <c r="BV791" s="50"/>
      <c r="BW791" s="50"/>
      <c r="BX791" s="50"/>
      <c r="BY791" s="50"/>
      <c r="BZ791" s="50"/>
      <c r="CA791" s="50" t="s">
        <v>22</v>
      </c>
      <c r="CE791" s="50"/>
      <c r="CF791" s="50"/>
      <c r="CG791" s="50"/>
      <c r="CH791" s="50"/>
      <c r="CI791" s="50">
        <f t="shared" si="417"/>
        <v>15</v>
      </c>
      <c r="CJ791" s="50">
        <f t="shared" si="418"/>
        <v>1.1760912590556813</v>
      </c>
      <c r="CL791" s="9" t="s">
        <v>1269</v>
      </c>
      <c r="CM791" s="9" t="s">
        <v>1285</v>
      </c>
      <c r="CN791" s="55" t="s">
        <v>1284</v>
      </c>
      <c r="CO791" s="9" t="s">
        <v>1284</v>
      </c>
    </row>
    <row r="792" spans="1:93" s="9" customFormat="1" x14ac:dyDescent="0.25">
      <c r="A792" s="9" t="s">
        <v>141</v>
      </c>
      <c r="B792" s="50">
        <v>0.499</v>
      </c>
      <c r="C792" s="50">
        <v>2.34</v>
      </c>
      <c r="D792" s="50">
        <f t="shared" si="438"/>
        <v>0.21324786324786324</v>
      </c>
      <c r="E792" s="50" t="s">
        <v>22</v>
      </c>
      <c r="F792" s="9" t="s">
        <v>22</v>
      </c>
      <c r="G792" s="9" t="s">
        <v>22</v>
      </c>
      <c r="H792" s="9" t="s">
        <v>22</v>
      </c>
      <c r="I792" s="9" t="s">
        <v>22</v>
      </c>
      <c r="J792" s="50">
        <v>4</v>
      </c>
      <c r="K792" s="9" t="s">
        <v>22</v>
      </c>
      <c r="L792" s="50"/>
      <c r="M792" s="9" t="s">
        <v>45</v>
      </c>
      <c r="N792" s="50">
        <v>243</v>
      </c>
      <c r="O792" s="50">
        <f t="shared" si="439"/>
        <v>0.10384615384615385</v>
      </c>
      <c r="P792" s="50">
        <v>2.5</v>
      </c>
      <c r="Q792" s="50"/>
      <c r="R792" s="50">
        <f t="shared" si="440"/>
        <v>121.25700000000001</v>
      </c>
      <c r="S792" s="50">
        <f t="shared" si="441"/>
        <v>2.2144970414201184E-2</v>
      </c>
      <c r="T792" s="50">
        <v>15</v>
      </c>
      <c r="U792" s="50">
        <v>15</v>
      </c>
      <c r="V792" s="9">
        <v>20200713</v>
      </c>
      <c r="W792" s="21" t="s">
        <v>1055</v>
      </c>
      <c r="X792" s="21">
        <v>2016</v>
      </c>
      <c r="Y792" s="9" t="s">
        <v>76</v>
      </c>
      <c r="Z792" s="21" t="s">
        <v>1055</v>
      </c>
      <c r="AA792" s="9" t="s">
        <v>737</v>
      </c>
      <c r="AB792" s="50">
        <v>0.215</v>
      </c>
      <c r="AC792" s="9" t="s">
        <v>514</v>
      </c>
      <c r="AD792" s="50" t="s">
        <v>22</v>
      </c>
      <c r="AE792" s="50">
        <v>1581.4</v>
      </c>
      <c r="AF792" s="50" t="s">
        <v>22</v>
      </c>
      <c r="AG792" s="50" t="s">
        <v>22</v>
      </c>
      <c r="AH792" s="50" t="s">
        <v>22</v>
      </c>
      <c r="AI792" s="50" t="s">
        <v>22</v>
      </c>
      <c r="AJ792" s="50" t="s">
        <v>22</v>
      </c>
      <c r="AK792" s="50" t="s">
        <v>22</v>
      </c>
      <c r="AL792" s="50" t="s">
        <v>22</v>
      </c>
      <c r="AM792" s="43" t="e">
        <f t="shared" si="420"/>
        <v>#VALUE!</v>
      </c>
      <c r="AN792" s="43" t="e">
        <f t="shared" si="421"/>
        <v>#VALUE!</v>
      </c>
      <c r="AO792" s="21" t="s">
        <v>1056</v>
      </c>
      <c r="AT792" s="2">
        <f t="shared" si="422"/>
        <v>12</v>
      </c>
      <c r="AU792" s="45">
        <f t="shared" si="423"/>
        <v>-0.30189945437661009</v>
      </c>
      <c r="AV792" s="45">
        <f t="shared" si="424"/>
        <v>0.36921585741014279</v>
      </c>
      <c r="AW792" s="45">
        <f t="shared" si="425"/>
        <v>-0.67111531178675299</v>
      </c>
      <c r="AX792" s="45">
        <f t="shared" si="426"/>
        <v>2.3856062735983121</v>
      </c>
      <c r="AY792" s="45">
        <f t="shared" si="427"/>
        <v>-0.98360958381183061</v>
      </c>
      <c r="AZ792" s="45">
        <f t="shared" si="428"/>
        <v>0.3979400086720376</v>
      </c>
      <c r="BA792" s="45">
        <f t="shared" si="429"/>
        <v>0.6020599913279624</v>
      </c>
      <c r="BB792" s="45" t="e">
        <f t="shared" si="430"/>
        <v>#NUM!</v>
      </c>
      <c r="BC792" s="45">
        <f t="shared" si="431"/>
        <v>1.1760912590556813</v>
      </c>
      <c r="BD792" s="45" t="e">
        <f t="shared" si="432"/>
        <v>#VALUE!</v>
      </c>
      <c r="BE792" s="45" t="e">
        <f t="shared" si="433"/>
        <v>#VALUE!</v>
      </c>
      <c r="BF792" s="45" t="e">
        <f t="shared" si="434"/>
        <v>#VALUE!</v>
      </c>
      <c r="BG792" s="45" t="e">
        <f t="shared" si="435"/>
        <v>#VALUE!</v>
      </c>
      <c r="BH792" s="45">
        <f t="shared" si="436"/>
        <v>-0.66756154008439472</v>
      </c>
      <c r="BI792" s="43" t="e">
        <f t="shared" si="437"/>
        <v>#VALUE!</v>
      </c>
      <c r="BL792" s="20"/>
      <c r="BM792" s="50"/>
      <c r="BN792" s="50"/>
      <c r="BO792" s="50"/>
      <c r="BP792" s="50"/>
      <c r="BQ792" s="50"/>
      <c r="BR792" s="50"/>
      <c r="BU792" s="50"/>
      <c r="BV792" s="50"/>
      <c r="BW792" s="50"/>
      <c r="BX792" s="50"/>
      <c r="BY792" s="50"/>
      <c r="BZ792" s="50"/>
      <c r="CA792" s="50" t="s">
        <v>22</v>
      </c>
      <c r="CE792" s="50"/>
      <c r="CF792" s="50"/>
      <c r="CG792" s="50"/>
      <c r="CH792" s="50"/>
      <c r="CI792" s="50">
        <f t="shared" si="417"/>
        <v>15</v>
      </c>
      <c r="CJ792" s="50">
        <f t="shared" si="418"/>
        <v>1.1760912590556813</v>
      </c>
      <c r="CL792" s="9" t="s">
        <v>1269</v>
      </c>
      <c r="CM792" s="9" t="s">
        <v>1285</v>
      </c>
      <c r="CN792" s="55" t="s">
        <v>1284</v>
      </c>
      <c r="CO792" s="9" t="s">
        <v>1284</v>
      </c>
    </row>
    <row r="793" spans="1:93" s="9" customFormat="1" x14ac:dyDescent="0.25">
      <c r="A793" s="9" t="s">
        <v>1267</v>
      </c>
      <c r="B793" s="50">
        <v>25</v>
      </c>
      <c r="C793" s="50" t="s">
        <v>22</v>
      </c>
      <c r="D793" s="50" t="e">
        <f t="shared" si="438"/>
        <v>#VALUE!</v>
      </c>
      <c r="E793" s="50" t="s">
        <v>22</v>
      </c>
      <c r="F793" s="9" t="s">
        <v>22</v>
      </c>
      <c r="G793" s="9" t="s">
        <v>22</v>
      </c>
      <c r="H793" s="9" t="s">
        <v>22</v>
      </c>
      <c r="I793" s="9" t="s">
        <v>22</v>
      </c>
      <c r="J793" s="50" t="s">
        <v>22</v>
      </c>
      <c r="K793" s="9" t="s">
        <v>22</v>
      </c>
      <c r="L793" s="50"/>
      <c r="M793" s="9" t="s">
        <v>23</v>
      </c>
      <c r="N793" s="50" t="s">
        <v>22</v>
      </c>
      <c r="O793" s="50" t="s">
        <v>22</v>
      </c>
      <c r="P793" s="50" t="s">
        <v>22</v>
      </c>
      <c r="Q793" s="50"/>
      <c r="R793" s="50" t="s">
        <v>22</v>
      </c>
      <c r="S793" s="50" t="s">
        <v>22</v>
      </c>
      <c r="T793" s="50">
        <v>2.8</v>
      </c>
      <c r="U793" s="50">
        <v>2.8</v>
      </c>
      <c r="V793" s="9">
        <v>20200520</v>
      </c>
      <c r="W793" s="9" t="s">
        <v>847</v>
      </c>
      <c r="X793" s="9">
        <v>2016</v>
      </c>
      <c r="Y793" s="9" t="s">
        <v>959</v>
      </c>
      <c r="AB793" s="50"/>
      <c r="AC793" s="9" t="s">
        <v>514</v>
      </c>
      <c r="AD793" s="50" t="s">
        <v>22</v>
      </c>
      <c r="AE793" s="50" t="s">
        <v>22</v>
      </c>
      <c r="AF793" s="50" t="s">
        <v>22</v>
      </c>
      <c r="AG793" s="50" t="s">
        <v>22</v>
      </c>
      <c r="AH793" s="50" t="s">
        <v>22</v>
      </c>
      <c r="AI793" s="50" t="s">
        <v>22</v>
      </c>
      <c r="AJ793" s="50" t="s">
        <v>22</v>
      </c>
      <c r="AK793" s="50" t="s">
        <v>22</v>
      </c>
      <c r="AL793" s="50" t="s">
        <v>22</v>
      </c>
      <c r="AM793" s="43" t="e">
        <f t="shared" si="420"/>
        <v>#VALUE!</v>
      </c>
      <c r="AN793" s="43" t="e">
        <f t="shared" si="421"/>
        <v>#VALUE!</v>
      </c>
      <c r="AO793" s="9" t="s">
        <v>848</v>
      </c>
      <c r="AT793" s="2">
        <f t="shared" si="422"/>
        <v>1</v>
      </c>
      <c r="AU793" s="45">
        <f t="shared" si="423"/>
        <v>1.3979400086720377</v>
      </c>
      <c r="AV793" s="45" t="e">
        <f t="shared" si="424"/>
        <v>#VALUE!</v>
      </c>
      <c r="AW793" s="45" t="e">
        <f t="shared" si="425"/>
        <v>#VALUE!</v>
      </c>
      <c r="AX793" s="45" t="e">
        <f t="shared" si="426"/>
        <v>#VALUE!</v>
      </c>
      <c r="AY793" s="45" t="e">
        <f t="shared" si="427"/>
        <v>#VALUE!</v>
      </c>
      <c r="AZ793" s="45" t="e">
        <f t="shared" si="428"/>
        <v>#VALUE!</v>
      </c>
      <c r="BA793" s="45" t="e">
        <f t="shared" si="429"/>
        <v>#VALUE!</v>
      </c>
      <c r="BB793" s="45" t="e">
        <f t="shared" si="430"/>
        <v>#NUM!</v>
      </c>
      <c r="BC793" s="45">
        <f t="shared" si="431"/>
        <v>0.44715803134221921</v>
      </c>
      <c r="BD793" s="45" t="e">
        <f t="shared" si="432"/>
        <v>#VALUE!</v>
      </c>
      <c r="BE793" s="45" t="e">
        <f t="shared" si="433"/>
        <v>#VALUE!</v>
      </c>
      <c r="BF793" s="45" t="e">
        <f t="shared" si="434"/>
        <v>#VALUE!</v>
      </c>
      <c r="BG793" s="45" t="e">
        <f t="shared" si="435"/>
        <v>#VALUE!</v>
      </c>
      <c r="BH793" s="45" t="e">
        <f t="shared" si="436"/>
        <v>#NUM!</v>
      </c>
      <c r="BI793" s="43" t="e">
        <f t="shared" si="437"/>
        <v>#VALUE!</v>
      </c>
      <c r="BJ793" s="9" t="s">
        <v>520</v>
      </c>
      <c r="BK793" s="9" t="s">
        <v>22</v>
      </c>
      <c r="BL793" s="9" t="s">
        <v>22</v>
      </c>
      <c r="BM793" s="50" t="s">
        <v>22</v>
      </c>
      <c r="BN793" s="50" t="s">
        <v>22</v>
      </c>
      <c r="BO793" s="43" t="s">
        <v>22</v>
      </c>
      <c r="BP793" s="50" t="s">
        <v>22</v>
      </c>
      <c r="BQ793" s="50" t="s">
        <v>22</v>
      </c>
      <c r="BR793" s="50" t="s">
        <v>22</v>
      </c>
      <c r="BS793" s="9" t="s">
        <v>522</v>
      </c>
      <c r="BT793" s="9" t="s">
        <v>871</v>
      </c>
      <c r="BU793" s="50" t="s">
        <v>22</v>
      </c>
      <c r="BV793" s="50">
        <v>5500000000000</v>
      </c>
      <c r="BW793" s="43" t="e">
        <f>BV793/(C793*1000000)</f>
        <v>#VALUE!</v>
      </c>
      <c r="BX793" s="50" t="s">
        <v>22</v>
      </c>
      <c r="BY793" s="50" t="s">
        <v>22</v>
      </c>
      <c r="BZ793" s="50" t="s">
        <v>22</v>
      </c>
      <c r="CA793" s="50" t="s">
        <v>22</v>
      </c>
      <c r="CC793" s="9" t="s">
        <v>1009</v>
      </c>
      <c r="CE793" s="50" t="e">
        <f>LOG10(BN793)</f>
        <v>#VALUE!</v>
      </c>
      <c r="CF793" s="50">
        <f>LOG10(BV793)</f>
        <v>12.740362689494244</v>
      </c>
      <c r="CG793" s="50" t="e">
        <f>AD793*1000</f>
        <v>#VALUE!</v>
      </c>
      <c r="CH793" s="50" t="e">
        <f>LOG10(CG793)</f>
        <v>#VALUE!</v>
      </c>
      <c r="CI793" s="42">
        <v>1000</v>
      </c>
      <c r="CJ793" s="50">
        <f t="shared" ref="CJ793:CJ794" si="442">LOG10(CI793)</f>
        <v>3</v>
      </c>
      <c r="CK793" s="9" t="s">
        <v>1270</v>
      </c>
      <c r="CL793" s="9" t="s">
        <v>407</v>
      </c>
      <c r="CM793" s="9" t="s">
        <v>1283</v>
      </c>
      <c r="CN793" s="55" t="s">
        <v>1284</v>
      </c>
      <c r="CO793" s="9" t="s">
        <v>1284</v>
      </c>
    </row>
    <row r="794" spans="1:93" s="9" customFormat="1" x14ac:dyDescent="0.25">
      <c r="A794" s="9" t="s">
        <v>141</v>
      </c>
      <c r="B794" s="50" t="s">
        <v>22</v>
      </c>
      <c r="C794" s="50">
        <v>0.69</v>
      </c>
      <c r="D794" s="50" t="s">
        <v>22</v>
      </c>
      <c r="E794" s="50" t="s">
        <v>22</v>
      </c>
      <c r="F794" s="9">
        <v>3.08</v>
      </c>
      <c r="G794" s="9" t="s">
        <v>52</v>
      </c>
      <c r="H794" s="9" t="s">
        <v>22</v>
      </c>
      <c r="I794" s="9" t="s">
        <v>22</v>
      </c>
      <c r="J794" s="50" t="s">
        <v>22</v>
      </c>
      <c r="K794" s="9" t="s">
        <v>22</v>
      </c>
      <c r="L794" s="50"/>
      <c r="M794" s="9" t="s">
        <v>23</v>
      </c>
      <c r="N794" s="50">
        <v>714.4</v>
      </c>
      <c r="O794" s="50">
        <f>0.001*(N794*10^6)/(C794*100^3)</f>
        <v>1.0353623188405796</v>
      </c>
      <c r="P794" s="50" t="s">
        <v>22</v>
      </c>
      <c r="Q794" s="50"/>
      <c r="R794" s="50" t="s">
        <v>22</v>
      </c>
      <c r="S794" s="50" t="s">
        <v>22</v>
      </c>
      <c r="T794" s="50" t="s">
        <v>22</v>
      </c>
      <c r="U794" s="50" t="s">
        <v>22</v>
      </c>
      <c r="V794" s="9">
        <v>20201127</v>
      </c>
      <c r="W794" s="21"/>
      <c r="X794" s="21">
        <v>2016</v>
      </c>
      <c r="Y794" s="21" t="s">
        <v>26</v>
      </c>
      <c r="Z794" s="9" t="s">
        <v>32</v>
      </c>
      <c r="AB794" s="50"/>
      <c r="AC794" s="9" t="s">
        <v>514</v>
      </c>
      <c r="AD794" s="50">
        <v>11.1</v>
      </c>
      <c r="AE794" s="50" t="s">
        <v>22</v>
      </c>
      <c r="AF794" s="50" t="s">
        <v>22</v>
      </c>
      <c r="AG794" s="50" t="s">
        <v>22</v>
      </c>
      <c r="AH794" s="50" t="s">
        <v>22</v>
      </c>
      <c r="AI794" s="50" t="s">
        <v>22</v>
      </c>
      <c r="AJ794" s="50" t="s">
        <v>22</v>
      </c>
      <c r="AK794" s="50" t="s">
        <v>22</v>
      </c>
      <c r="AL794" s="50" t="s">
        <v>22</v>
      </c>
      <c r="AM794" s="43" t="e">
        <f t="shared" si="420"/>
        <v>#VALUE!</v>
      </c>
      <c r="AN794" s="43" t="e">
        <f t="shared" si="421"/>
        <v>#VALUE!</v>
      </c>
      <c r="AO794" s="57" t="s">
        <v>1164</v>
      </c>
      <c r="AT794" s="2">
        <f t="shared" si="422"/>
        <v>1</v>
      </c>
      <c r="AU794" s="45" t="e">
        <f t="shared" si="423"/>
        <v>#VALUE!</v>
      </c>
      <c r="AV794" s="45">
        <f t="shared" si="424"/>
        <v>-0.16115090926274472</v>
      </c>
      <c r="AW794" s="45" t="e">
        <f t="shared" si="425"/>
        <v>#VALUE!</v>
      </c>
      <c r="AX794" s="45">
        <f t="shared" si="426"/>
        <v>2.8539414458804901</v>
      </c>
      <c r="AY794" s="45">
        <f t="shared" si="427"/>
        <v>1.5092355143234653E-2</v>
      </c>
      <c r="AZ794" s="45" t="e">
        <f t="shared" si="428"/>
        <v>#VALUE!</v>
      </c>
      <c r="BA794" s="45" t="e">
        <f t="shared" si="429"/>
        <v>#VALUE!</v>
      </c>
      <c r="BB794" s="45" t="e">
        <f t="shared" si="430"/>
        <v>#NUM!</v>
      </c>
      <c r="BC794" s="45" t="e">
        <f t="shared" si="431"/>
        <v>#VALUE!</v>
      </c>
      <c r="BD794" s="45">
        <f t="shared" si="432"/>
        <v>1.0453229787866574</v>
      </c>
      <c r="BE794" s="45" t="e">
        <f t="shared" si="433"/>
        <v>#VALUE!</v>
      </c>
      <c r="BF794" s="45" t="e">
        <f t="shared" si="434"/>
        <v>#VALUE!</v>
      </c>
      <c r="BG794" s="45" t="e">
        <f t="shared" si="435"/>
        <v>#VALUE!</v>
      </c>
      <c r="BH794" s="45" t="e">
        <f t="shared" si="436"/>
        <v>#NUM!</v>
      </c>
      <c r="BI794" s="43" t="e">
        <f t="shared" si="437"/>
        <v>#VALUE!</v>
      </c>
      <c r="BL794" s="20"/>
      <c r="BM794" s="50"/>
      <c r="BN794" s="50"/>
      <c r="BO794" s="50"/>
      <c r="BP794" s="50"/>
      <c r="BQ794" s="50"/>
      <c r="BR794" s="50"/>
      <c r="BU794" s="50"/>
      <c r="BV794" s="50"/>
      <c r="BW794" s="50"/>
      <c r="BX794" s="50"/>
      <c r="BY794" s="50"/>
      <c r="BZ794" s="50"/>
      <c r="CA794" s="50" t="s">
        <v>22</v>
      </c>
      <c r="CE794" s="50"/>
      <c r="CF794" s="50"/>
      <c r="CG794" s="50"/>
      <c r="CH794" s="50"/>
      <c r="CI794" s="50" t="str">
        <f t="shared" ref="CI794" si="443">IF(ISNUMBER(CG794),CG794,U794)</f>
        <v>Not Reported/ Can not calculate</v>
      </c>
      <c r="CJ794" s="50" t="e">
        <f t="shared" si="442"/>
        <v>#VALUE!</v>
      </c>
      <c r="CL794" s="9" t="s">
        <v>1269</v>
      </c>
      <c r="CM794" s="9" t="s">
        <v>1284</v>
      </c>
      <c r="CN794" s="55" t="s">
        <v>1284</v>
      </c>
      <c r="CO794" s="9" t="s">
        <v>1284</v>
      </c>
    </row>
    <row r="795" spans="1:93" s="9" customFormat="1" x14ac:dyDescent="0.25">
      <c r="A795" s="9" t="s">
        <v>141</v>
      </c>
      <c r="B795" s="50">
        <v>0.16551724137930998</v>
      </c>
      <c r="C795" s="50" t="s">
        <v>22</v>
      </c>
      <c r="D795" s="50" t="s">
        <v>22</v>
      </c>
      <c r="E795" s="50" t="s">
        <v>22</v>
      </c>
      <c r="F795" s="9" t="s">
        <v>22</v>
      </c>
      <c r="G795" s="9" t="s">
        <v>22</v>
      </c>
      <c r="H795" s="9" t="s">
        <v>22</v>
      </c>
      <c r="I795" s="9" t="s">
        <v>22</v>
      </c>
      <c r="J795" s="50" t="s">
        <v>22</v>
      </c>
      <c r="K795" s="9" t="s">
        <v>22</v>
      </c>
      <c r="L795" s="50"/>
      <c r="M795" s="9" t="s">
        <v>23</v>
      </c>
      <c r="N795" s="50">
        <v>257.142857142857</v>
      </c>
      <c r="O795" s="50" t="s">
        <v>22</v>
      </c>
      <c r="P795" s="50">
        <v>11.614173228346401</v>
      </c>
      <c r="Q795" s="50"/>
      <c r="R795" s="50">
        <f>N795*B795</f>
        <v>42.561576354679687</v>
      </c>
      <c r="S795" s="50" t="s">
        <v>22</v>
      </c>
      <c r="T795" s="50">
        <v>15</v>
      </c>
      <c r="U795" s="50">
        <v>15</v>
      </c>
      <c r="V795" s="9">
        <v>20201204</v>
      </c>
      <c r="W795" s="21"/>
      <c r="X795" s="21">
        <v>2016</v>
      </c>
      <c r="Y795" s="9" t="s">
        <v>76</v>
      </c>
      <c r="Z795" s="9" t="s">
        <v>32</v>
      </c>
      <c r="AB795" s="50"/>
      <c r="AC795" s="9" t="s">
        <v>514</v>
      </c>
      <c r="AD795" s="50">
        <v>13.5</v>
      </c>
      <c r="AE795" s="50" t="s">
        <v>22</v>
      </c>
      <c r="AF795" s="50" t="s">
        <v>22</v>
      </c>
      <c r="AG795" s="50" t="s">
        <v>22</v>
      </c>
      <c r="AH795" s="50" t="s">
        <v>22</v>
      </c>
      <c r="AI795" s="50" t="s">
        <v>22</v>
      </c>
      <c r="AJ795" s="50" t="s">
        <v>22</v>
      </c>
      <c r="AK795" s="50" t="s">
        <v>22</v>
      </c>
      <c r="AL795" s="50" t="s">
        <v>22</v>
      </c>
      <c r="AM795" s="43" t="e">
        <f t="shared" si="420"/>
        <v>#VALUE!</v>
      </c>
      <c r="AN795" s="43" t="e">
        <f t="shared" si="421"/>
        <v>#VALUE!</v>
      </c>
      <c r="AO795" s="21" t="s">
        <v>1196</v>
      </c>
      <c r="AT795" s="2">
        <f t="shared" si="422"/>
        <v>3</v>
      </c>
      <c r="AU795" s="45">
        <f t="shared" si="423"/>
        <v>-0.7811567605233698</v>
      </c>
      <c r="AV795" s="45" t="e">
        <f t="shared" si="424"/>
        <v>#VALUE!</v>
      </c>
      <c r="AW795" s="45" t="e">
        <f t="shared" si="425"/>
        <v>#VALUE!</v>
      </c>
      <c r="AX795" s="45">
        <f t="shared" si="426"/>
        <v>2.4101744650890491</v>
      </c>
      <c r="AY795" s="45" t="e">
        <f t="shared" si="427"/>
        <v>#VALUE!</v>
      </c>
      <c r="AZ795" s="45">
        <f t="shared" si="428"/>
        <v>1.0649882993582229</v>
      </c>
      <c r="BA795" s="45" t="e">
        <f t="shared" si="429"/>
        <v>#VALUE!</v>
      </c>
      <c r="BB795" s="45" t="e">
        <f t="shared" si="430"/>
        <v>#NUM!</v>
      </c>
      <c r="BC795" s="45">
        <f t="shared" si="431"/>
        <v>1.1760912590556813</v>
      </c>
      <c r="BD795" s="45">
        <f t="shared" si="432"/>
        <v>1.1303337684950061</v>
      </c>
      <c r="BE795" s="45" t="e">
        <f t="shared" si="433"/>
        <v>#VALUE!</v>
      </c>
      <c r="BF795" s="45" t="e">
        <f t="shared" si="434"/>
        <v>#VALUE!</v>
      </c>
      <c r="BG795" s="45" t="e">
        <f t="shared" si="435"/>
        <v>#VALUE!</v>
      </c>
      <c r="BH795" s="45" t="e">
        <f t="shared" si="436"/>
        <v>#NUM!</v>
      </c>
      <c r="BI795" s="43" t="e">
        <f t="shared" si="437"/>
        <v>#VALUE!</v>
      </c>
      <c r="BL795" s="20"/>
      <c r="BM795" s="50"/>
      <c r="BN795" s="50"/>
      <c r="BO795" s="50"/>
      <c r="BP795" s="50"/>
      <c r="BQ795" s="50"/>
      <c r="BR795" s="50"/>
      <c r="BU795" s="50"/>
      <c r="BV795" s="50"/>
      <c r="BW795" s="50"/>
      <c r="BX795" s="50"/>
      <c r="BY795" s="50"/>
      <c r="BZ795" s="50"/>
      <c r="CA795" s="50" t="s">
        <v>22</v>
      </c>
      <c r="CE795" s="50"/>
      <c r="CF795" s="50"/>
      <c r="CG795" s="50"/>
      <c r="CH795" s="50"/>
      <c r="CI795" s="50">
        <f t="shared" ref="CI795:CI797" si="444">IF(ISNUMBER(CG795),CG795,U795)</f>
        <v>15</v>
      </c>
      <c r="CJ795" s="50">
        <f t="shared" ref="CJ795:CJ797" si="445">LOG10(CI795)</f>
        <v>1.1760912590556813</v>
      </c>
      <c r="CL795" s="9" t="s">
        <v>1269</v>
      </c>
      <c r="CM795" s="9" t="s">
        <v>1285</v>
      </c>
      <c r="CN795" s="55" t="s">
        <v>1284</v>
      </c>
      <c r="CO795" s="9" t="s">
        <v>1284</v>
      </c>
    </row>
    <row r="796" spans="1:93" s="9" customFormat="1" x14ac:dyDescent="0.25">
      <c r="A796" s="9" t="s">
        <v>141</v>
      </c>
      <c r="B796" s="50">
        <v>1.18965517241379</v>
      </c>
      <c r="C796" s="50" t="s">
        <v>22</v>
      </c>
      <c r="D796" s="50" t="s">
        <v>22</v>
      </c>
      <c r="E796" s="50" t="s">
        <v>22</v>
      </c>
      <c r="F796" s="9" t="s">
        <v>22</v>
      </c>
      <c r="G796" s="9" t="s">
        <v>22</v>
      </c>
      <c r="H796" s="9" t="s">
        <v>22</v>
      </c>
      <c r="I796" s="9" t="s">
        <v>22</v>
      </c>
      <c r="J796" s="50" t="s">
        <v>22</v>
      </c>
      <c r="K796" s="9" t="s">
        <v>22</v>
      </c>
      <c r="L796" s="50"/>
      <c r="M796" s="9" t="s">
        <v>23</v>
      </c>
      <c r="N796" s="50">
        <v>2792.8571428571399</v>
      </c>
      <c r="O796" s="50" t="s">
        <v>22</v>
      </c>
      <c r="P796" s="50">
        <v>90.748031496062893</v>
      </c>
      <c r="Q796" s="50"/>
      <c r="R796" s="50">
        <f>N796*B796</f>
        <v>3322.5369458127957</v>
      </c>
      <c r="S796" s="50" t="s">
        <v>22</v>
      </c>
      <c r="T796" s="50">
        <v>15</v>
      </c>
      <c r="U796" s="50">
        <v>15</v>
      </c>
      <c r="V796" s="9">
        <v>20201204</v>
      </c>
      <c r="W796" s="21"/>
      <c r="X796" s="21">
        <v>2016</v>
      </c>
      <c r="Y796" s="9" t="s">
        <v>76</v>
      </c>
      <c r="Z796" s="9" t="s">
        <v>53</v>
      </c>
      <c r="AB796" s="50"/>
      <c r="AC796" s="9" t="s">
        <v>514</v>
      </c>
      <c r="AD796" s="50" t="s">
        <v>22</v>
      </c>
      <c r="AE796" s="50" t="s">
        <v>22</v>
      </c>
      <c r="AF796" s="50" t="s">
        <v>22</v>
      </c>
      <c r="AG796" s="50" t="s">
        <v>22</v>
      </c>
      <c r="AH796" s="50" t="s">
        <v>22</v>
      </c>
      <c r="AI796" s="50" t="s">
        <v>22</v>
      </c>
      <c r="AJ796" s="50" t="s">
        <v>22</v>
      </c>
      <c r="AK796" s="50" t="s">
        <v>22</v>
      </c>
      <c r="AL796" s="50" t="s">
        <v>22</v>
      </c>
      <c r="AM796" s="43" t="e">
        <f t="shared" si="420"/>
        <v>#VALUE!</v>
      </c>
      <c r="AN796" s="43" t="e">
        <f t="shared" si="421"/>
        <v>#VALUE!</v>
      </c>
      <c r="AO796" s="21" t="s">
        <v>1196</v>
      </c>
      <c r="AT796" s="2">
        <f t="shared" si="422"/>
        <v>3</v>
      </c>
      <c r="AU796" s="45">
        <f t="shared" si="423"/>
        <v>7.5421097174316915E-2</v>
      </c>
      <c r="AV796" s="45" t="e">
        <f t="shared" si="424"/>
        <v>#VALUE!</v>
      </c>
      <c r="AW796" s="45" t="e">
        <f t="shared" si="425"/>
        <v>#VALUE!</v>
      </c>
      <c r="AX796" s="45">
        <f t="shared" si="426"/>
        <v>3.4460487217176281</v>
      </c>
      <c r="AY796" s="45" t="e">
        <f t="shared" si="427"/>
        <v>#VALUE!</v>
      </c>
      <c r="AZ796" s="45">
        <f t="shared" si="428"/>
        <v>1.9578372131057284</v>
      </c>
      <c r="BA796" s="45" t="e">
        <f t="shared" si="429"/>
        <v>#VALUE!</v>
      </c>
      <c r="BB796" s="45" t="e">
        <f t="shared" si="430"/>
        <v>#NUM!</v>
      </c>
      <c r="BC796" s="45">
        <f t="shared" si="431"/>
        <v>1.1760912590556813</v>
      </c>
      <c r="BD796" s="45" t="e">
        <f t="shared" si="432"/>
        <v>#VALUE!</v>
      </c>
      <c r="BE796" s="45" t="e">
        <f t="shared" si="433"/>
        <v>#VALUE!</v>
      </c>
      <c r="BF796" s="45" t="e">
        <f t="shared" si="434"/>
        <v>#VALUE!</v>
      </c>
      <c r="BG796" s="45" t="e">
        <f t="shared" si="435"/>
        <v>#VALUE!</v>
      </c>
      <c r="BH796" s="45" t="e">
        <f t="shared" si="436"/>
        <v>#NUM!</v>
      </c>
      <c r="BI796" s="43" t="e">
        <f t="shared" si="437"/>
        <v>#VALUE!</v>
      </c>
      <c r="BL796" s="20"/>
      <c r="BM796" s="50"/>
      <c r="BN796" s="50"/>
      <c r="BO796" s="50"/>
      <c r="BP796" s="50"/>
      <c r="BQ796" s="50"/>
      <c r="BR796" s="50"/>
      <c r="BU796" s="50"/>
      <c r="BV796" s="50"/>
      <c r="BW796" s="50"/>
      <c r="BX796" s="50"/>
      <c r="BY796" s="50"/>
      <c r="BZ796" s="50"/>
      <c r="CA796" s="50" t="s">
        <v>22</v>
      </c>
      <c r="CE796" s="50"/>
      <c r="CF796" s="50"/>
      <c r="CG796" s="50"/>
      <c r="CH796" s="50"/>
      <c r="CI796" s="50">
        <f t="shared" si="444"/>
        <v>15</v>
      </c>
      <c r="CJ796" s="50">
        <f t="shared" si="445"/>
        <v>1.1760912590556813</v>
      </c>
      <c r="CL796" s="9" t="s">
        <v>1269</v>
      </c>
      <c r="CM796" s="9" t="s">
        <v>1285</v>
      </c>
      <c r="CN796" s="55" t="s">
        <v>1284</v>
      </c>
      <c r="CO796" s="9" t="s">
        <v>1284</v>
      </c>
    </row>
    <row r="797" spans="1:93" s="9" customFormat="1" x14ac:dyDescent="0.25">
      <c r="A797" s="9" t="s">
        <v>141</v>
      </c>
      <c r="B797" s="50">
        <v>0.49310344827586194</v>
      </c>
      <c r="C797" s="50" t="s">
        <v>22</v>
      </c>
      <c r="D797" s="50" t="s">
        <v>22</v>
      </c>
      <c r="E797" s="50" t="s">
        <v>22</v>
      </c>
      <c r="F797" s="9" t="s">
        <v>22</v>
      </c>
      <c r="G797" s="9" t="s">
        <v>22</v>
      </c>
      <c r="H797" s="9" t="s">
        <v>22</v>
      </c>
      <c r="I797" s="9" t="s">
        <v>22</v>
      </c>
      <c r="J797" s="50" t="s">
        <v>22</v>
      </c>
      <c r="K797" s="9" t="s">
        <v>22</v>
      </c>
      <c r="L797" s="50"/>
      <c r="M797" s="9" t="s">
        <v>23</v>
      </c>
      <c r="N797" s="50">
        <v>3442.8571428571399</v>
      </c>
      <c r="O797" s="50" t="s">
        <v>22</v>
      </c>
      <c r="P797" s="50">
        <v>263.18897637795197</v>
      </c>
      <c r="Q797" s="50"/>
      <c r="R797" s="50">
        <f>N797*B797</f>
        <v>1697.6847290640376</v>
      </c>
      <c r="S797" s="50" t="s">
        <v>22</v>
      </c>
      <c r="T797" s="50">
        <v>15</v>
      </c>
      <c r="U797" s="50">
        <v>15</v>
      </c>
      <c r="V797" s="9">
        <v>20201204</v>
      </c>
      <c r="W797" s="21"/>
      <c r="X797" s="21">
        <v>2016</v>
      </c>
      <c r="Y797" s="9" t="s">
        <v>76</v>
      </c>
      <c r="Z797" s="9" t="s">
        <v>243</v>
      </c>
      <c r="AB797" s="50"/>
      <c r="AC797" s="9" t="s">
        <v>514</v>
      </c>
      <c r="AD797" s="50" t="s">
        <v>22</v>
      </c>
      <c r="AE797" s="50" t="s">
        <v>22</v>
      </c>
      <c r="AF797" s="50" t="s">
        <v>22</v>
      </c>
      <c r="AG797" s="50" t="s">
        <v>22</v>
      </c>
      <c r="AH797" s="50" t="s">
        <v>22</v>
      </c>
      <c r="AI797" s="50" t="s">
        <v>22</v>
      </c>
      <c r="AJ797" s="50" t="s">
        <v>22</v>
      </c>
      <c r="AK797" s="50" t="s">
        <v>22</v>
      </c>
      <c r="AL797" s="50" t="s">
        <v>22</v>
      </c>
      <c r="AM797" s="43" t="e">
        <f t="shared" si="420"/>
        <v>#VALUE!</v>
      </c>
      <c r="AN797" s="43" t="e">
        <f t="shared" si="421"/>
        <v>#VALUE!</v>
      </c>
      <c r="AO797" s="21" t="s">
        <v>1196</v>
      </c>
      <c r="AT797" s="2">
        <f t="shared" si="422"/>
        <v>3</v>
      </c>
      <c r="AU797" s="45">
        <f t="shared" si="423"/>
        <v>-0.30706196043389439</v>
      </c>
      <c r="AV797" s="45" t="e">
        <f t="shared" si="424"/>
        <v>#VALUE!</v>
      </c>
      <c r="AW797" s="45" t="e">
        <f t="shared" si="425"/>
        <v>#VALUE!</v>
      </c>
      <c r="AX797" s="45">
        <f t="shared" si="426"/>
        <v>3.536919002560611</v>
      </c>
      <c r="AY797" s="45" t="e">
        <f t="shared" si="427"/>
        <v>#VALUE!</v>
      </c>
      <c r="AZ797" s="45">
        <f t="shared" si="428"/>
        <v>2.4202676949780639</v>
      </c>
      <c r="BA797" s="45" t="e">
        <f t="shared" si="429"/>
        <v>#VALUE!</v>
      </c>
      <c r="BB797" s="45" t="e">
        <f t="shared" si="430"/>
        <v>#NUM!</v>
      </c>
      <c r="BC797" s="45">
        <f t="shared" si="431"/>
        <v>1.1760912590556813</v>
      </c>
      <c r="BD797" s="45" t="e">
        <f t="shared" si="432"/>
        <v>#VALUE!</v>
      </c>
      <c r="BE797" s="45" t="e">
        <f t="shared" si="433"/>
        <v>#VALUE!</v>
      </c>
      <c r="BF797" s="45" t="e">
        <f t="shared" si="434"/>
        <v>#VALUE!</v>
      </c>
      <c r="BG797" s="45" t="e">
        <f t="shared" si="435"/>
        <v>#VALUE!</v>
      </c>
      <c r="BH797" s="45" t="e">
        <f t="shared" si="436"/>
        <v>#NUM!</v>
      </c>
      <c r="BI797" s="43" t="e">
        <f t="shared" si="437"/>
        <v>#VALUE!</v>
      </c>
      <c r="BL797" s="20"/>
      <c r="BM797" s="50"/>
      <c r="BN797" s="50"/>
      <c r="BO797" s="50"/>
      <c r="BP797" s="50"/>
      <c r="BQ797" s="50"/>
      <c r="BR797" s="50"/>
      <c r="BU797" s="50"/>
      <c r="BV797" s="50"/>
      <c r="BW797" s="50"/>
      <c r="BX797" s="50"/>
      <c r="BY797" s="50"/>
      <c r="BZ797" s="50"/>
      <c r="CA797" s="50" t="s">
        <v>22</v>
      </c>
      <c r="CE797" s="50"/>
      <c r="CF797" s="50"/>
      <c r="CG797" s="50"/>
      <c r="CH797" s="50"/>
      <c r="CI797" s="50">
        <f t="shared" si="444"/>
        <v>15</v>
      </c>
      <c r="CJ797" s="50">
        <f t="shared" si="445"/>
        <v>1.1760912590556813</v>
      </c>
      <c r="CL797" s="9" t="s">
        <v>1269</v>
      </c>
      <c r="CM797" s="9" t="s">
        <v>1285</v>
      </c>
      <c r="CN797" s="55" t="s">
        <v>1284</v>
      </c>
      <c r="CO797" s="9" t="s">
        <v>1284</v>
      </c>
    </row>
    <row r="798" spans="1:93" x14ac:dyDescent="0.25">
      <c r="A798" s="18" t="s">
        <v>266</v>
      </c>
      <c r="B798" s="41">
        <v>0.2</v>
      </c>
      <c r="C798" s="41">
        <v>0.57899999999999996</v>
      </c>
      <c r="D798" s="41">
        <f>0.001*(B798*10^6)/(C798*0.001*100^3)</f>
        <v>0.34542314335060448</v>
      </c>
      <c r="E798" s="41" t="s">
        <v>22</v>
      </c>
      <c r="F798" t="s">
        <v>22</v>
      </c>
      <c r="G798" t="s">
        <v>22</v>
      </c>
      <c r="H798" t="s">
        <v>22</v>
      </c>
      <c r="I798" t="s">
        <v>22</v>
      </c>
      <c r="J798" s="41">
        <v>7</v>
      </c>
      <c r="K798">
        <v>785</v>
      </c>
      <c r="L798" s="41">
        <f>IF((10^-12)*J798*K798^4=0,"",(10^-12)*J798*K798^4)</f>
        <v>2.658132754375</v>
      </c>
      <c r="M798" t="s">
        <v>23</v>
      </c>
      <c r="N798" s="41" t="s">
        <v>22</v>
      </c>
      <c r="O798" s="41" t="s">
        <v>22</v>
      </c>
      <c r="P798" s="41" t="s">
        <v>22</v>
      </c>
      <c r="R798" s="41" t="s">
        <v>22</v>
      </c>
      <c r="S798" s="41" t="s">
        <v>22</v>
      </c>
      <c r="T798" s="41" t="s">
        <v>22</v>
      </c>
      <c r="U798" s="41" t="s">
        <v>22</v>
      </c>
      <c r="V798">
        <v>20200510</v>
      </c>
      <c r="W798" s="21" t="s">
        <v>233</v>
      </c>
      <c r="X798">
        <v>2017</v>
      </c>
      <c r="Y798" s="18" t="s">
        <v>76</v>
      </c>
      <c r="Z798" s="18" t="s">
        <v>32</v>
      </c>
      <c r="AC798" t="s">
        <v>514</v>
      </c>
      <c r="AD798" s="41">
        <v>30</v>
      </c>
      <c r="AE798" s="41">
        <v>1583.9</v>
      </c>
      <c r="AF798" s="41" t="s">
        <v>22</v>
      </c>
      <c r="AG798" s="41">
        <v>104.21</v>
      </c>
      <c r="AH798" s="41">
        <v>1.6653618097920599</v>
      </c>
      <c r="AI798" s="41">
        <v>1.31122265530382</v>
      </c>
      <c r="AJ798" s="41">
        <v>1.0856846285591699</v>
      </c>
      <c r="AK798" s="41">
        <v>0.84059163728293695</v>
      </c>
      <c r="AL798" s="41">
        <v>1.0016791793078399</v>
      </c>
      <c r="AM798" s="43">
        <f t="shared" si="420"/>
        <v>0.76392760242214042</v>
      </c>
      <c r="AN798" s="43">
        <f t="shared" si="421"/>
        <v>0.9226244463248825</v>
      </c>
      <c r="AO798" s="19" t="s">
        <v>234</v>
      </c>
      <c r="AT798" s="2">
        <f t="shared" si="422"/>
        <v>6</v>
      </c>
      <c r="AU798" s="45">
        <f t="shared" si="423"/>
        <v>-0.69897000433601875</v>
      </c>
      <c r="AV798" s="45">
        <f t="shared" si="424"/>
        <v>-0.23732143627256383</v>
      </c>
      <c r="AW798" s="45">
        <f t="shared" si="425"/>
        <v>-0.461648568063455</v>
      </c>
      <c r="AX798" s="45" t="e">
        <f t="shared" si="426"/>
        <v>#VALUE!</v>
      </c>
      <c r="AY798" s="45" t="e">
        <f t="shared" si="427"/>
        <v>#VALUE!</v>
      </c>
      <c r="AZ798" s="45" t="e">
        <f t="shared" si="428"/>
        <v>#VALUE!</v>
      </c>
      <c r="BA798" s="45">
        <f t="shared" si="429"/>
        <v>0.84509804001425681</v>
      </c>
      <c r="BB798" s="45">
        <f t="shared" si="430"/>
        <v>0.42457666699526697</v>
      </c>
      <c r="BC798" s="45" t="e">
        <f t="shared" si="431"/>
        <v>#VALUE!</v>
      </c>
      <c r="BD798" s="45">
        <f t="shared" si="432"/>
        <v>1.4771212547196624</v>
      </c>
      <c r="BE798" s="45" t="e">
        <f t="shared" si="433"/>
        <v>#VALUE!</v>
      </c>
      <c r="BF798" s="45">
        <f t="shared" si="434"/>
        <v>-0.11694779765257804</v>
      </c>
      <c r="BG798" s="45">
        <f t="shared" si="435"/>
        <v>-3.4975042288620736E-2</v>
      </c>
      <c r="BH798" s="45" t="e">
        <f t="shared" si="436"/>
        <v>#NUM!</v>
      </c>
      <c r="BI798" s="43" t="e">
        <f t="shared" si="437"/>
        <v>#VALUE!</v>
      </c>
      <c r="BL798" s="20"/>
      <c r="CA798" s="41" t="s">
        <v>22</v>
      </c>
      <c r="CC798" t="s">
        <v>22</v>
      </c>
      <c r="CE798" s="41" t="s">
        <v>22</v>
      </c>
      <c r="CF798" s="41" t="s">
        <v>22</v>
      </c>
      <c r="CG798" s="41">
        <f t="shared" ref="CG798:CG803" si="446">AD798*1000</f>
        <v>30000</v>
      </c>
      <c r="CH798" s="41">
        <f t="shared" ref="CH798:CH803" si="447">LOG10(CG798)</f>
        <v>4.4771212547196626</v>
      </c>
      <c r="CI798" s="41">
        <f t="shared" ref="CI798:CI803" si="448">IF(ISNUMBER(CG798),CG798,U798)</f>
        <v>30000</v>
      </c>
      <c r="CJ798" s="41">
        <f t="shared" ref="CJ798:CJ803" si="449">LOG10(CI798)</f>
        <v>4.4771212547196626</v>
      </c>
      <c r="CL798" s="9" t="s">
        <v>1269</v>
      </c>
      <c r="CM798" s="18" t="s">
        <v>1283</v>
      </c>
      <c r="CN798" s="54" t="s">
        <v>1284</v>
      </c>
      <c r="CO798" s="18" t="s">
        <v>1284</v>
      </c>
    </row>
    <row r="799" spans="1:93" x14ac:dyDescent="0.25">
      <c r="A799" s="18" t="s">
        <v>315</v>
      </c>
      <c r="B799" s="41">
        <v>1.7861108017955209E-3</v>
      </c>
      <c r="C799" s="41" t="s">
        <v>22</v>
      </c>
      <c r="D799" s="41" t="s">
        <v>22</v>
      </c>
      <c r="E799" s="41" t="s">
        <v>22</v>
      </c>
      <c r="F799" t="s">
        <v>22</v>
      </c>
      <c r="G799" t="s">
        <v>22</v>
      </c>
      <c r="H799" t="s">
        <v>22</v>
      </c>
      <c r="I799" t="s">
        <v>22</v>
      </c>
      <c r="J799" s="41" t="s">
        <v>22</v>
      </c>
      <c r="K799">
        <v>785</v>
      </c>
      <c r="M799" t="s">
        <v>23</v>
      </c>
      <c r="N799" s="41" t="s">
        <v>22</v>
      </c>
      <c r="O799" s="41" t="s">
        <v>22</v>
      </c>
      <c r="P799" s="41" t="s">
        <v>22</v>
      </c>
      <c r="R799" s="41" t="s">
        <v>22</v>
      </c>
      <c r="S799" s="41" t="s">
        <v>22</v>
      </c>
      <c r="T799" s="41">
        <v>1.4</v>
      </c>
      <c r="U799" s="41">
        <v>1.4</v>
      </c>
      <c r="V799">
        <v>20200510</v>
      </c>
      <c r="W799" s="21" t="s">
        <v>644</v>
      </c>
      <c r="X799">
        <v>2017</v>
      </c>
      <c r="Y799" s="18" t="s">
        <v>328</v>
      </c>
      <c r="Z799" s="18" t="s">
        <v>32</v>
      </c>
      <c r="AC799" t="s">
        <v>285</v>
      </c>
      <c r="AD799" s="41" t="s">
        <v>22</v>
      </c>
      <c r="AE799" s="41" t="s">
        <v>22</v>
      </c>
      <c r="AF799" s="41" t="s">
        <v>22</v>
      </c>
      <c r="AG799" s="41" t="s">
        <v>22</v>
      </c>
      <c r="AH799" s="41">
        <v>9.8257658865958</v>
      </c>
      <c r="AI799" s="41">
        <v>1.1921636558879201</v>
      </c>
      <c r="AJ799" s="41">
        <v>5.5987568016202603E-2</v>
      </c>
      <c r="AK799" s="41">
        <v>1.4982094052055099E-3</v>
      </c>
      <c r="AL799" s="41">
        <v>5.5987568016202104E-4</v>
      </c>
      <c r="AM799" s="43">
        <f t="shared" si="420"/>
        <v>4.6962988461934555E-4</v>
      </c>
      <c r="AN799" s="43">
        <f t="shared" si="421"/>
        <v>9.99999999999991E-3</v>
      </c>
      <c r="AO799" s="19" t="s">
        <v>234</v>
      </c>
      <c r="AT799" s="2">
        <f t="shared" si="422"/>
        <v>6</v>
      </c>
      <c r="AU799" s="45">
        <f t="shared" si="423"/>
        <v>-2.7480916030534286</v>
      </c>
      <c r="AV799" s="45" t="e">
        <f t="shared" si="424"/>
        <v>#VALUE!</v>
      </c>
      <c r="AW799" s="45" t="e">
        <f t="shared" si="425"/>
        <v>#VALUE!</v>
      </c>
      <c r="AX799" s="45" t="e">
        <f t="shared" si="426"/>
        <v>#VALUE!</v>
      </c>
      <c r="AY799" s="45" t="e">
        <f t="shared" si="427"/>
        <v>#VALUE!</v>
      </c>
      <c r="AZ799" s="45" t="e">
        <f t="shared" si="428"/>
        <v>#VALUE!</v>
      </c>
      <c r="BA799" s="45" t="e">
        <f t="shared" si="429"/>
        <v>#VALUE!</v>
      </c>
      <c r="BB799" s="45" t="e">
        <f t="shared" si="430"/>
        <v>#NUM!</v>
      </c>
      <c r="BC799" s="45">
        <f t="shared" si="431"/>
        <v>0.14612803567823801</v>
      </c>
      <c r="BD799" s="45" t="e">
        <f t="shared" si="432"/>
        <v>#VALUE!</v>
      </c>
      <c r="BE799" s="45" t="e">
        <f t="shared" si="433"/>
        <v>#VALUE!</v>
      </c>
      <c r="BF799" s="45">
        <f t="shared" si="434"/>
        <v>-3.3282442748091641</v>
      </c>
      <c r="BG799" s="45">
        <f t="shared" si="435"/>
        <v>-2.000000000000004</v>
      </c>
      <c r="BH799" s="45" t="e">
        <f t="shared" si="436"/>
        <v>#NUM!</v>
      </c>
      <c r="BI799" s="43" t="e">
        <f t="shared" si="437"/>
        <v>#VALUE!</v>
      </c>
      <c r="BL799" s="20"/>
      <c r="CA799" s="41" t="s">
        <v>22</v>
      </c>
      <c r="CB799" s="18"/>
      <c r="CC799" t="s">
        <v>22</v>
      </c>
      <c r="CE799" s="41" t="s">
        <v>22</v>
      </c>
      <c r="CF799" s="41" t="s">
        <v>22</v>
      </c>
      <c r="CG799" s="41" t="e">
        <f t="shared" si="446"/>
        <v>#VALUE!</v>
      </c>
      <c r="CH799" s="41" t="e">
        <f t="shared" si="447"/>
        <v>#VALUE!</v>
      </c>
      <c r="CI799" s="41">
        <f t="shared" si="448"/>
        <v>1.4</v>
      </c>
      <c r="CJ799" s="41">
        <f t="shared" si="449"/>
        <v>0.14612803567823801</v>
      </c>
      <c r="CL799" s="9" t="s">
        <v>1269</v>
      </c>
      <c r="CM799" s="18" t="s">
        <v>1285</v>
      </c>
      <c r="CN799" s="54" t="s">
        <v>1284</v>
      </c>
      <c r="CO799" s="18" t="s">
        <v>1284</v>
      </c>
    </row>
    <row r="800" spans="1:93" x14ac:dyDescent="0.25">
      <c r="A800" s="18" t="s">
        <v>315</v>
      </c>
      <c r="B800" s="41">
        <v>4.8643285508484617E-2</v>
      </c>
      <c r="C800" s="41" t="s">
        <v>22</v>
      </c>
      <c r="D800" s="41" t="s">
        <v>22</v>
      </c>
      <c r="E800" s="41" t="s">
        <v>22</v>
      </c>
      <c r="F800" t="s">
        <v>22</v>
      </c>
      <c r="G800" t="s">
        <v>22</v>
      </c>
      <c r="H800" t="s">
        <v>22</v>
      </c>
      <c r="I800" t="s">
        <v>22</v>
      </c>
      <c r="J800" s="41" t="s">
        <v>22</v>
      </c>
      <c r="K800">
        <v>785</v>
      </c>
      <c r="M800" t="s">
        <v>23</v>
      </c>
      <c r="N800" s="41" t="s">
        <v>22</v>
      </c>
      <c r="O800" s="41" t="s">
        <v>22</v>
      </c>
      <c r="P800" s="41" t="s">
        <v>22</v>
      </c>
      <c r="R800" s="41" t="s">
        <v>22</v>
      </c>
      <c r="S800" s="41" t="s">
        <v>22</v>
      </c>
      <c r="T800" s="41">
        <v>1.4</v>
      </c>
      <c r="U800" s="41">
        <v>1.4</v>
      </c>
      <c r="V800">
        <v>20200510</v>
      </c>
      <c r="W800" s="21" t="s">
        <v>645</v>
      </c>
      <c r="X800">
        <v>2017</v>
      </c>
      <c r="Y800" t="s">
        <v>328</v>
      </c>
      <c r="Z800" t="s">
        <v>32</v>
      </c>
      <c r="AC800" t="s">
        <v>514</v>
      </c>
      <c r="AD800" s="41" t="s">
        <v>22</v>
      </c>
      <c r="AE800" s="41" t="s">
        <v>22</v>
      </c>
      <c r="AF800" s="41" t="s">
        <v>22</v>
      </c>
      <c r="AG800" s="41" t="s">
        <v>22</v>
      </c>
      <c r="AH800" s="41">
        <v>1.85001637517053E-3</v>
      </c>
      <c r="AI800" s="41">
        <v>2.8708815031355599E-4</v>
      </c>
      <c r="AJ800" s="41">
        <v>1.1921636558879201E-4</v>
      </c>
      <c r="AK800" s="41">
        <v>3.3629279074299198E-5</v>
      </c>
      <c r="AL800" s="41">
        <v>2.05578218976507E-5</v>
      </c>
      <c r="AM800" s="43">
        <f t="shared" si="420"/>
        <v>7.1608047476698591E-2</v>
      </c>
      <c r="AN800" s="43">
        <f t="shared" si="421"/>
        <v>0.17244127344529131</v>
      </c>
      <c r="AO800" s="19" t="s">
        <v>234</v>
      </c>
      <c r="AT800" s="2">
        <f t="shared" si="422"/>
        <v>6</v>
      </c>
      <c r="AU800" s="45">
        <f t="shared" si="423"/>
        <v>-1.3129770992366314</v>
      </c>
      <c r="AV800" s="45" t="e">
        <f t="shared" si="424"/>
        <v>#VALUE!</v>
      </c>
      <c r="AW800" s="45" t="e">
        <f t="shared" si="425"/>
        <v>#VALUE!</v>
      </c>
      <c r="AX800" s="45" t="e">
        <f t="shared" si="426"/>
        <v>#VALUE!</v>
      </c>
      <c r="AY800" s="45" t="e">
        <f t="shared" si="427"/>
        <v>#VALUE!</v>
      </c>
      <c r="AZ800" s="45" t="e">
        <f t="shared" si="428"/>
        <v>#VALUE!</v>
      </c>
      <c r="BA800" s="45" t="e">
        <f t="shared" si="429"/>
        <v>#VALUE!</v>
      </c>
      <c r="BB800" s="45" t="e">
        <f t="shared" si="430"/>
        <v>#NUM!</v>
      </c>
      <c r="BC800" s="45">
        <f t="shared" si="431"/>
        <v>0.14612803567823801</v>
      </c>
      <c r="BD800" s="45" t="e">
        <f t="shared" si="432"/>
        <v>#VALUE!</v>
      </c>
      <c r="BE800" s="45" t="e">
        <f t="shared" si="433"/>
        <v>#VALUE!</v>
      </c>
      <c r="BF800" s="45">
        <f t="shared" si="434"/>
        <v>-1.1450381679389399</v>
      </c>
      <c r="BG800" s="45">
        <f t="shared" si="435"/>
        <v>-0.76335877862596135</v>
      </c>
      <c r="BH800" s="45" t="e">
        <f t="shared" si="436"/>
        <v>#NUM!</v>
      </c>
      <c r="BI800" s="43" t="e">
        <f t="shared" si="437"/>
        <v>#VALUE!</v>
      </c>
      <c r="BL800" s="20"/>
      <c r="CA800" s="41" t="s">
        <v>22</v>
      </c>
      <c r="CC800" t="s">
        <v>22</v>
      </c>
      <c r="CE800" s="41" t="s">
        <v>22</v>
      </c>
      <c r="CF800" s="41" t="s">
        <v>22</v>
      </c>
      <c r="CG800" s="41" t="e">
        <f t="shared" si="446"/>
        <v>#VALUE!</v>
      </c>
      <c r="CH800" s="41" t="e">
        <f t="shared" si="447"/>
        <v>#VALUE!</v>
      </c>
      <c r="CI800" s="41">
        <f t="shared" si="448"/>
        <v>1.4</v>
      </c>
      <c r="CJ800" s="41">
        <f t="shared" si="449"/>
        <v>0.14612803567823801</v>
      </c>
      <c r="CL800" s="9" t="s">
        <v>1269</v>
      </c>
      <c r="CM800" s="18" t="s">
        <v>1285</v>
      </c>
      <c r="CN800" s="54" t="s">
        <v>1284</v>
      </c>
      <c r="CO800" s="18" t="s">
        <v>1284</v>
      </c>
    </row>
    <row r="801" spans="1:93" s="18" customFormat="1" x14ac:dyDescent="0.25">
      <c r="A801" s="18" t="s">
        <v>315</v>
      </c>
      <c r="B801" s="41">
        <v>6.2214716972634976E-2</v>
      </c>
      <c r="C801" s="41" t="s">
        <v>22</v>
      </c>
      <c r="D801" s="41" t="s">
        <v>22</v>
      </c>
      <c r="E801" s="41" t="s">
        <v>22</v>
      </c>
      <c r="F801" s="18" t="s">
        <v>22</v>
      </c>
      <c r="G801" s="18" t="s">
        <v>22</v>
      </c>
      <c r="H801" s="18" t="s">
        <v>22</v>
      </c>
      <c r="I801" s="18" t="s">
        <v>22</v>
      </c>
      <c r="J801" s="41" t="s">
        <v>22</v>
      </c>
      <c r="K801" s="18">
        <v>785</v>
      </c>
      <c r="L801" s="41"/>
      <c r="M801" s="18" t="s">
        <v>23</v>
      </c>
      <c r="N801" s="41" t="s">
        <v>22</v>
      </c>
      <c r="O801" s="41" t="s">
        <v>22</v>
      </c>
      <c r="P801" s="41" t="s">
        <v>22</v>
      </c>
      <c r="Q801" s="41"/>
      <c r="R801" s="41" t="s">
        <v>22</v>
      </c>
      <c r="S801" s="41" t="s">
        <v>22</v>
      </c>
      <c r="T801" s="41">
        <v>1.4</v>
      </c>
      <c r="U801" s="41">
        <v>1.4</v>
      </c>
      <c r="V801" s="18">
        <v>20200510</v>
      </c>
      <c r="W801" s="21" t="s">
        <v>646</v>
      </c>
      <c r="X801" s="18">
        <v>2017</v>
      </c>
      <c r="Y801" s="18" t="s">
        <v>328</v>
      </c>
      <c r="Z801" s="18" t="s">
        <v>32</v>
      </c>
      <c r="AB801" s="41"/>
      <c r="AC801" s="18" t="s">
        <v>287</v>
      </c>
      <c r="AD801" s="41" t="s">
        <v>22</v>
      </c>
      <c r="AE801" s="41" t="s">
        <v>22</v>
      </c>
      <c r="AF801" s="41" t="s">
        <v>22</v>
      </c>
      <c r="AG801" s="41" t="s">
        <v>22</v>
      </c>
      <c r="AH801" s="41">
        <v>2.3249424853505899E-4</v>
      </c>
      <c r="AI801" s="41">
        <v>1.03577917635949E-4</v>
      </c>
      <c r="AJ801" s="41">
        <v>5.6980360271539001E-5</v>
      </c>
      <c r="AK801" s="41">
        <v>2.2844340560854799E-5</v>
      </c>
      <c r="AL801" s="41">
        <v>1.60733673423259E-5</v>
      </c>
      <c r="AM801" s="43">
        <f t="shared" si="420"/>
        <v>0.15518141037378108</v>
      </c>
      <c r="AN801" s="43">
        <f t="shared" si="421"/>
        <v>0.28208609537968038</v>
      </c>
      <c r="AO801" s="19" t="s">
        <v>234</v>
      </c>
      <c r="AT801" s="2">
        <f t="shared" si="422"/>
        <v>6</v>
      </c>
      <c r="AU801" s="45">
        <f t="shared" si="423"/>
        <v>-1.2061068702290008</v>
      </c>
      <c r="AV801" s="45" t="e">
        <f t="shared" si="424"/>
        <v>#VALUE!</v>
      </c>
      <c r="AW801" s="45" t="e">
        <f t="shared" si="425"/>
        <v>#VALUE!</v>
      </c>
      <c r="AX801" s="45" t="e">
        <f t="shared" si="426"/>
        <v>#VALUE!</v>
      </c>
      <c r="AY801" s="45" t="e">
        <f t="shared" si="427"/>
        <v>#VALUE!</v>
      </c>
      <c r="AZ801" s="45" t="e">
        <f t="shared" si="428"/>
        <v>#VALUE!</v>
      </c>
      <c r="BA801" s="45" t="e">
        <f t="shared" si="429"/>
        <v>#VALUE!</v>
      </c>
      <c r="BB801" s="45" t="e">
        <f t="shared" si="430"/>
        <v>#NUM!</v>
      </c>
      <c r="BC801" s="45">
        <f t="shared" si="431"/>
        <v>0.14612803567823801</v>
      </c>
      <c r="BD801" s="45" t="e">
        <f t="shared" si="432"/>
        <v>#VALUE!</v>
      </c>
      <c r="BE801" s="45" t="e">
        <f t="shared" si="433"/>
        <v>#VALUE!</v>
      </c>
      <c r="BF801" s="45">
        <f t="shared" si="434"/>
        <v>-0.80916030534351602</v>
      </c>
      <c r="BG801" s="45">
        <f t="shared" si="435"/>
        <v>-0.54961832061069349</v>
      </c>
      <c r="BH801" s="45" t="e">
        <f t="shared" si="436"/>
        <v>#NUM!</v>
      </c>
      <c r="BI801" s="43" t="e">
        <f t="shared" si="437"/>
        <v>#VALUE!</v>
      </c>
      <c r="BL801" s="20"/>
      <c r="BM801" s="41"/>
      <c r="BN801" s="41"/>
      <c r="BO801" s="41"/>
      <c r="BP801" s="41"/>
      <c r="BQ801" s="41"/>
      <c r="BR801" s="41"/>
      <c r="BU801" s="41"/>
      <c r="BV801" s="41"/>
      <c r="BW801" s="41"/>
      <c r="BX801" s="41"/>
      <c r="BY801" s="41"/>
      <c r="BZ801" s="41"/>
      <c r="CA801" s="41" t="s">
        <v>22</v>
      </c>
      <c r="CC801" s="18" t="s">
        <v>22</v>
      </c>
      <c r="CE801" s="41" t="s">
        <v>22</v>
      </c>
      <c r="CF801" s="41" t="s">
        <v>22</v>
      </c>
      <c r="CG801" s="41" t="e">
        <f t="shared" si="446"/>
        <v>#VALUE!</v>
      </c>
      <c r="CH801" s="41" t="e">
        <f t="shared" si="447"/>
        <v>#VALUE!</v>
      </c>
      <c r="CI801" s="41">
        <f t="shared" si="448"/>
        <v>1.4</v>
      </c>
      <c r="CJ801" s="41">
        <f t="shared" si="449"/>
        <v>0.14612803567823801</v>
      </c>
      <c r="CL801" s="9" t="s">
        <v>1269</v>
      </c>
      <c r="CM801" s="18" t="s">
        <v>1285</v>
      </c>
      <c r="CN801" s="54" t="s">
        <v>1284</v>
      </c>
      <c r="CO801" s="18" t="s">
        <v>1284</v>
      </c>
    </row>
    <row r="802" spans="1:93" s="18" customFormat="1" x14ac:dyDescent="0.25">
      <c r="A802" s="18" t="s">
        <v>315</v>
      </c>
      <c r="B802" s="41">
        <v>5.0547968211912514E-2</v>
      </c>
      <c r="C802" s="41" t="s">
        <v>22</v>
      </c>
      <c r="D802" s="41" t="s">
        <v>22</v>
      </c>
      <c r="E802" s="41" t="s">
        <v>22</v>
      </c>
      <c r="F802" s="18" t="s">
        <v>22</v>
      </c>
      <c r="G802" s="18" t="s">
        <v>22</v>
      </c>
      <c r="H802" s="18" t="s">
        <v>22</v>
      </c>
      <c r="I802" s="18" t="s">
        <v>22</v>
      </c>
      <c r="J802" s="41" t="s">
        <v>22</v>
      </c>
      <c r="K802" s="18">
        <v>785</v>
      </c>
      <c r="L802" s="41"/>
      <c r="M802" s="18" t="s">
        <v>45</v>
      </c>
      <c r="N802" s="41" t="s">
        <v>22</v>
      </c>
      <c r="O802" s="41" t="s">
        <v>22</v>
      </c>
      <c r="P802" s="41" t="s">
        <v>22</v>
      </c>
      <c r="Q802" s="41"/>
      <c r="R802" s="41" t="s">
        <v>22</v>
      </c>
      <c r="S802" s="41" t="s">
        <v>22</v>
      </c>
      <c r="T802" s="41">
        <v>1.4</v>
      </c>
      <c r="U802" s="41">
        <v>1.4</v>
      </c>
      <c r="V802" s="18">
        <v>20200510</v>
      </c>
      <c r="W802" s="21" t="s">
        <v>647</v>
      </c>
      <c r="X802" s="18">
        <v>2017</v>
      </c>
      <c r="Y802" s="18" t="s">
        <v>328</v>
      </c>
      <c r="Z802" s="18" t="s">
        <v>124</v>
      </c>
      <c r="AA802" s="18" t="s">
        <v>737</v>
      </c>
      <c r="AB802" s="41">
        <v>1.7861108017955209E-3</v>
      </c>
      <c r="AC802" s="18" t="s">
        <v>285</v>
      </c>
      <c r="AD802" s="41" t="s">
        <v>22</v>
      </c>
      <c r="AE802" s="41" t="s">
        <v>22</v>
      </c>
      <c r="AF802" s="41" t="s">
        <v>22</v>
      </c>
      <c r="AG802" s="41" t="s">
        <v>22</v>
      </c>
      <c r="AH802" s="41">
        <v>2.00663847828878E-4</v>
      </c>
      <c r="AI802" s="41">
        <v>2.00663847828878E-4</v>
      </c>
      <c r="AJ802" s="41">
        <v>8.0799264483829704E-5</v>
      </c>
      <c r="AK802" s="41">
        <v>2.7432892707954899E-5</v>
      </c>
      <c r="AL802" s="41">
        <v>1.9783188827841601E-5</v>
      </c>
      <c r="AM802" s="43">
        <f t="shared" si="420"/>
        <v>9.8588704651533923E-2</v>
      </c>
      <c r="AN802" s="43">
        <f t="shared" si="421"/>
        <v>0.24484367468222185</v>
      </c>
      <c r="AO802" s="19" t="s">
        <v>234</v>
      </c>
      <c r="AT802" s="2">
        <f t="shared" si="422"/>
        <v>6</v>
      </c>
      <c r="AU802" s="45">
        <f t="shared" si="423"/>
        <v>-1.2962962962962954</v>
      </c>
      <c r="AV802" s="45" t="e">
        <f t="shared" si="424"/>
        <v>#VALUE!</v>
      </c>
      <c r="AW802" s="45" t="e">
        <f t="shared" si="425"/>
        <v>#VALUE!</v>
      </c>
      <c r="AX802" s="45" t="e">
        <f t="shared" si="426"/>
        <v>#VALUE!</v>
      </c>
      <c r="AY802" s="45" t="e">
        <f t="shared" si="427"/>
        <v>#VALUE!</v>
      </c>
      <c r="AZ802" s="45" t="e">
        <f t="shared" si="428"/>
        <v>#VALUE!</v>
      </c>
      <c r="BA802" s="45" t="e">
        <f t="shared" si="429"/>
        <v>#VALUE!</v>
      </c>
      <c r="BB802" s="45" t="e">
        <f t="shared" si="430"/>
        <v>#NUM!</v>
      </c>
      <c r="BC802" s="45">
        <f t="shared" si="431"/>
        <v>0.14612803567823801</v>
      </c>
      <c r="BD802" s="45" t="e">
        <f t="shared" si="432"/>
        <v>#VALUE!</v>
      </c>
      <c r="BE802" s="45" t="e">
        <f t="shared" si="433"/>
        <v>#VALUE!</v>
      </c>
      <c r="BF802" s="45">
        <f t="shared" si="434"/>
        <v>-1.0061728395061749</v>
      </c>
      <c r="BG802" s="45">
        <f t="shared" si="435"/>
        <v>-0.6111111111111126</v>
      </c>
      <c r="BH802" s="45">
        <f t="shared" si="436"/>
        <v>-2.7480916030534286</v>
      </c>
      <c r="BI802" s="43" t="e">
        <f t="shared" si="437"/>
        <v>#VALUE!</v>
      </c>
      <c r="BL802" s="20"/>
      <c r="BM802" s="41"/>
      <c r="BN802" s="41"/>
      <c r="BO802" s="41"/>
      <c r="BP802" s="41"/>
      <c r="BQ802" s="41"/>
      <c r="BR802" s="41"/>
      <c r="BU802" s="41"/>
      <c r="BV802" s="41"/>
      <c r="BW802" s="41"/>
      <c r="BX802" s="41"/>
      <c r="BY802" s="41"/>
      <c r="BZ802" s="41"/>
      <c r="CA802" s="41" t="s">
        <v>22</v>
      </c>
      <c r="CC802" s="18" t="s">
        <v>22</v>
      </c>
      <c r="CE802" s="41" t="s">
        <v>22</v>
      </c>
      <c r="CF802" s="41" t="s">
        <v>22</v>
      </c>
      <c r="CG802" s="41" t="e">
        <f t="shared" si="446"/>
        <v>#VALUE!</v>
      </c>
      <c r="CH802" s="41" t="e">
        <f t="shared" si="447"/>
        <v>#VALUE!</v>
      </c>
      <c r="CI802" s="41">
        <f t="shared" si="448"/>
        <v>1.4</v>
      </c>
      <c r="CJ802" s="41">
        <f t="shared" si="449"/>
        <v>0.14612803567823801</v>
      </c>
      <c r="CL802" s="9" t="s">
        <v>1269</v>
      </c>
      <c r="CM802" s="18" t="s">
        <v>1285</v>
      </c>
      <c r="CN802" s="54" t="s">
        <v>1284</v>
      </c>
      <c r="CO802" s="18" t="s">
        <v>1284</v>
      </c>
    </row>
    <row r="803" spans="1:93" s="18" customFormat="1" x14ac:dyDescent="0.25">
      <c r="A803" s="18" t="s">
        <v>315</v>
      </c>
      <c r="B803" s="41">
        <v>0.20644996558525572</v>
      </c>
      <c r="C803" s="41" t="s">
        <v>22</v>
      </c>
      <c r="D803" s="41" t="s">
        <v>22</v>
      </c>
      <c r="E803" s="41" t="s">
        <v>22</v>
      </c>
      <c r="F803" s="18" t="s">
        <v>22</v>
      </c>
      <c r="G803" s="18" t="s">
        <v>22</v>
      </c>
      <c r="H803" s="18" t="s">
        <v>22</v>
      </c>
      <c r="I803" s="18" t="s">
        <v>22</v>
      </c>
      <c r="J803" s="41" t="s">
        <v>22</v>
      </c>
      <c r="K803" s="18">
        <v>785</v>
      </c>
      <c r="L803" s="41"/>
      <c r="M803" s="18" t="s">
        <v>45</v>
      </c>
      <c r="N803" s="41" t="s">
        <v>22</v>
      </c>
      <c r="O803" s="41" t="s">
        <v>22</v>
      </c>
      <c r="P803" s="41" t="s">
        <v>22</v>
      </c>
      <c r="Q803" s="41"/>
      <c r="R803" s="41" t="s">
        <v>22</v>
      </c>
      <c r="S803" s="41" t="s">
        <v>22</v>
      </c>
      <c r="T803" s="41">
        <v>1.4</v>
      </c>
      <c r="U803" s="41">
        <v>1.4</v>
      </c>
      <c r="V803" s="18">
        <v>20200510</v>
      </c>
      <c r="W803" s="21" t="s">
        <v>648</v>
      </c>
      <c r="X803" s="18">
        <v>2017</v>
      </c>
      <c r="Y803" s="18" t="s">
        <v>328</v>
      </c>
      <c r="Z803" s="18" t="s">
        <v>124</v>
      </c>
      <c r="AA803" s="18" t="s">
        <v>737</v>
      </c>
      <c r="AB803" s="41">
        <v>4.8643285508484617E-2</v>
      </c>
      <c r="AC803" s="18" t="s">
        <v>514</v>
      </c>
      <c r="AD803" s="41" t="s">
        <v>22</v>
      </c>
      <c r="AE803" s="41" t="s">
        <v>22</v>
      </c>
      <c r="AF803" s="41" t="s">
        <v>22</v>
      </c>
      <c r="AG803" s="41" t="s">
        <v>22</v>
      </c>
      <c r="AH803" s="41">
        <v>1.31003817281088E-5</v>
      </c>
      <c r="AI803" s="41">
        <v>1.02883487892304E-5</v>
      </c>
      <c r="AJ803" s="41">
        <v>8.5526119068803703E-6</v>
      </c>
      <c r="AK803" s="41">
        <v>5.6635197554612897E-6</v>
      </c>
      <c r="AL803" s="41">
        <v>4.8437886495410397E-6</v>
      </c>
      <c r="AM803" s="43">
        <f t="shared" si="420"/>
        <v>0.47080330855534397</v>
      </c>
      <c r="AN803" s="43">
        <f t="shared" si="421"/>
        <v>0.56635197554612859</v>
      </c>
      <c r="AO803" s="19" t="s">
        <v>234</v>
      </c>
      <c r="AT803" s="2">
        <f t="shared" si="422"/>
        <v>6</v>
      </c>
      <c r="AU803" s="45">
        <f t="shared" si="423"/>
        <v>-0.68518518518518501</v>
      </c>
      <c r="AV803" s="45" t="e">
        <f t="shared" si="424"/>
        <v>#VALUE!</v>
      </c>
      <c r="AW803" s="45" t="e">
        <f t="shared" si="425"/>
        <v>#VALUE!</v>
      </c>
      <c r="AX803" s="45" t="e">
        <f t="shared" si="426"/>
        <v>#VALUE!</v>
      </c>
      <c r="AY803" s="45" t="e">
        <f t="shared" si="427"/>
        <v>#VALUE!</v>
      </c>
      <c r="AZ803" s="45" t="e">
        <f t="shared" si="428"/>
        <v>#VALUE!</v>
      </c>
      <c r="BA803" s="45" t="e">
        <f t="shared" si="429"/>
        <v>#VALUE!</v>
      </c>
      <c r="BB803" s="45" t="e">
        <f t="shared" si="430"/>
        <v>#NUM!</v>
      </c>
      <c r="BC803" s="45">
        <f t="shared" si="431"/>
        <v>0.14612803567823801</v>
      </c>
      <c r="BD803" s="45" t="e">
        <f t="shared" si="432"/>
        <v>#VALUE!</v>
      </c>
      <c r="BE803" s="45" t="e">
        <f t="shared" si="433"/>
        <v>#VALUE!</v>
      </c>
      <c r="BF803" s="45">
        <f t="shared" si="434"/>
        <v>-0.32716049382715834</v>
      </c>
      <c r="BG803" s="45">
        <f t="shared" si="435"/>
        <v>-0.24691358024691348</v>
      </c>
      <c r="BH803" s="45">
        <f t="shared" si="436"/>
        <v>-1.3129770992366314</v>
      </c>
      <c r="BI803" s="43" t="e">
        <f t="shared" si="437"/>
        <v>#VALUE!</v>
      </c>
      <c r="BL803" s="20"/>
      <c r="BM803" s="41"/>
      <c r="BN803" s="41"/>
      <c r="BO803" s="41"/>
      <c r="BP803" s="41"/>
      <c r="BQ803" s="41"/>
      <c r="BR803" s="41"/>
      <c r="BU803" s="41"/>
      <c r="BV803" s="41"/>
      <c r="BW803" s="41"/>
      <c r="BX803" s="41"/>
      <c r="BY803" s="41"/>
      <c r="BZ803" s="41"/>
      <c r="CA803" s="41" t="s">
        <v>22</v>
      </c>
      <c r="CC803" s="18" t="s">
        <v>22</v>
      </c>
      <c r="CE803" s="41" t="s">
        <v>22</v>
      </c>
      <c r="CF803" s="41" t="s">
        <v>22</v>
      </c>
      <c r="CG803" s="41" t="e">
        <f t="shared" si="446"/>
        <v>#VALUE!</v>
      </c>
      <c r="CH803" s="41" t="e">
        <f t="shared" si="447"/>
        <v>#VALUE!</v>
      </c>
      <c r="CI803" s="41">
        <f t="shared" si="448"/>
        <v>1.4</v>
      </c>
      <c r="CJ803" s="41">
        <f t="shared" si="449"/>
        <v>0.14612803567823801</v>
      </c>
      <c r="CL803" s="9" t="s">
        <v>1269</v>
      </c>
      <c r="CM803" s="18" t="s">
        <v>1285</v>
      </c>
      <c r="CN803" s="54" t="s">
        <v>1284</v>
      </c>
      <c r="CO803" s="18" t="s">
        <v>1284</v>
      </c>
    </row>
    <row r="804" spans="1:93" s="18" customFormat="1" x14ac:dyDescent="0.25">
      <c r="A804" s="18" t="s">
        <v>315</v>
      </c>
      <c r="B804" s="41">
        <v>1.74074074074074E-3</v>
      </c>
      <c r="C804" s="41" t="s">
        <v>22</v>
      </c>
      <c r="D804" s="41" t="s">
        <v>22</v>
      </c>
      <c r="E804" s="41" t="s">
        <v>22</v>
      </c>
      <c r="F804" s="18" t="s">
        <v>22</v>
      </c>
      <c r="G804" s="18" t="s">
        <v>22</v>
      </c>
      <c r="H804" s="18" t="s">
        <v>22</v>
      </c>
      <c r="I804" s="18" t="s">
        <v>22</v>
      </c>
      <c r="J804" s="41">
        <f>1.578^-1</f>
        <v>0.6337135614702154</v>
      </c>
      <c r="K804" s="18">
        <v>633</v>
      </c>
      <c r="L804" s="41">
        <f t="shared" ref="L804:L813" si="450">IF((10^-12)*J804*K804^4=0,"",(10^-12)*J804*K804^4)</f>
        <v>0.10174377358745247</v>
      </c>
      <c r="M804" s="18" t="s">
        <v>23</v>
      </c>
      <c r="N804" s="41">
        <v>105</v>
      </c>
      <c r="O804" s="41" t="s">
        <v>22</v>
      </c>
      <c r="P804" s="41" t="s">
        <v>22</v>
      </c>
      <c r="Q804" s="41"/>
      <c r="R804" s="41" t="s">
        <v>22</v>
      </c>
      <c r="S804" s="41" t="s">
        <v>22</v>
      </c>
      <c r="T804" s="41">
        <v>10</v>
      </c>
      <c r="U804" s="41">
        <v>10</v>
      </c>
      <c r="V804" s="18">
        <v>20210320</v>
      </c>
      <c r="W804" s="21" t="s">
        <v>1250</v>
      </c>
      <c r="X804" s="21">
        <v>2017</v>
      </c>
      <c r="Y804" s="18" t="s">
        <v>328</v>
      </c>
      <c r="Z804" s="18" t="s">
        <v>32</v>
      </c>
      <c r="AB804" s="41"/>
      <c r="AC804" s="18" t="s">
        <v>514</v>
      </c>
      <c r="AD804" s="41" t="s">
        <v>22</v>
      </c>
      <c r="AE804" s="41">
        <v>1562</v>
      </c>
      <c r="AF804" s="41" t="s">
        <v>22</v>
      </c>
      <c r="AG804" s="41" t="s">
        <v>22</v>
      </c>
      <c r="AH804" s="41">
        <v>1.00219298245614</v>
      </c>
      <c r="AI804" s="41" t="s">
        <v>22</v>
      </c>
      <c r="AJ804" s="41" t="s">
        <v>22</v>
      </c>
      <c r="AK804" s="41">
        <v>0.97258771929824495</v>
      </c>
      <c r="AL804" s="41">
        <v>0.820175438596491</v>
      </c>
      <c r="AM804" s="43" t="e">
        <f t="shared" si="420"/>
        <v>#VALUE!</v>
      </c>
      <c r="AN804" s="43" t="e">
        <f t="shared" si="421"/>
        <v>#VALUE!</v>
      </c>
      <c r="AO804" s="19" t="s">
        <v>311</v>
      </c>
      <c r="AT804" s="2">
        <f t="shared" si="422"/>
        <v>4</v>
      </c>
      <c r="AU804" s="45">
        <f t="shared" si="423"/>
        <v>-2.7592659062232698</v>
      </c>
      <c r="AV804" s="45" t="e">
        <f t="shared" si="424"/>
        <v>#VALUE!</v>
      </c>
      <c r="AW804" s="45" t="e">
        <f t="shared" si="425"/>
        <v>#VALUE!</v>
      </c>
      <c r="AX804" s="45">
        <f t="shared" si="426"/>
        <v>2.0211892990699383</v>
      </c>
      <c r="AY804" s="45" t="e">
        <f t="shared" si="427"/>
        <v>#VALUE!</v>
      </c>
      <c r="AZ804" s="45" t="e">
        <f t="shared" si="428"/>
        <v>#VALUE!</v>
      </c>
      <c r="BA804" s="45">
        <f t="shared" si="429"/>
        <v>-0.19810699887340155</v>
      </c>
      <c r="BB804" s="45">
        <f t="shared" si="430"/>
        <v>-0.99249215880398112</v>
      </c>
      <c r="BC804" s="45">
        <f t="shared" si="431"/>
        <v>1</v>
      </c>
      <c r="BD804" s="45" t="e">
        <f t="shared" si="432"/>
        <v>#VALUE!</v>
      </c>
      <c r="BE804" s="45" t="e">
        <f t="shared" si="433"/>
        <v>#VALUE!</v>
      </c>
      <c r="BF804" s="45" t="e">
        <f t="shared" si="434"/>
        <v>#VALUE!</v>
      </c>
      <c r="BG804" s="45" t="e">
        <f t="shared" si="435"/>
        <v>#VALUE!</v>
      </c>
      <c r="BH804" s="45" t="e">
        <f t="shared" si="436"/>
        <v>#NUM!</v>
      </c>
      <c r="BI804" s="43" t="e">
        <f t="shared" si="437"/>
        <v>#VALUE!</v>
      </c>
      <c r="BL804" s="20"/>
      <c r="BM804" s="41"/>
      <c r="BN804" s="41"/>
      <c r="BO804" s="41"/>
      <c r="BP804" s="41"/>
      <c r="BQ804" s="41"/>
      <c r="BR804" s="41"/>
      <c r="BU804" s="41"/>
      <c r="BV804" s="41"/>
      <c r="BW804" s="41"/>
      <c r="BX804" s="41"/>
      <c r="BY804" s="41"/>
      <c r="BZ804" s="41"/>
      <c r="CA804" s="41" t="s">
        <v>22</v>
      </c>
      <c r="CE804" s="41"/>
      <c r="CF804" s="41"/>
      <c r="CG804" s="41"/>
      <c r="CH804" s="41"/>
      <c r="CI804" s="41">
        <f t="shared" ref="CI804:CI807" si="451">IF(ISNUMBER(CG804),CG804,U804)</f>
        <v>10</v>
      </c>
      <c r="CJ804" s="41">
        <f t="shared" ref="CJ804:CJ807" si="452">LOG10(CI804)</f>
        <v>1</v>
      </c>
      <c r="CL804" s="9" t="s">
        <v>1269</v>
      </c>
      <c r="CM804" s="18" t="s">
        <v>1285</v>
      </c>
      <c r="CN804" s="54" t="s">
        <v>1284</v>
      </c>
      <c r="CO804" s="18" t="s">
        <v>1284</v>
      </c>
    </row>
    <row r="805" spans="1:93" x14ac:dyDescent="0.25">
      <c r="A805" s="18" t="s">
        <v>315</v>
      </c>
      <c r="B805" s="41">
        <v>2.3333333333333296E-3</v>
      </c>
      <c r="C805" s="41" t="s">
        <v>22</v>
      </c>
      <c r="D805" s="41" t="s">
        <v>22</v>
      </c>
      <c r="E805" s="41" t="s">
        <v>22</v>
      </c>
      <c r="F805" s="18" t="s">
        <v>22</v>
      </c>
      <c r="G805" s="18" t="s">
        <v>22</v>
      </c>
      <c r="H805" s="18" t="s">
        <v>22</v>
      </c>
      <c r="I805" s="18" t="s">
        <v>22</v>
      </c>
      <c r="J805" s="41">
        <f>0.432^-1</f>
        <v>2.3148148148148149</v>
      </c>
      <c r="K805" s="18">
        <v>633</v>
      </c>
      <c r="L805" s="41">
        <f t="shared" si="450"/>
        <v>0.37164739518750001</v>
      </c>
      <c r="M805" s="18" t="s">
        <v>23</v>
      </c>
      <c r="N805" s="41">
        <v>85</v>
      </c>
      <c r="O805" s="41" t="s">
        <v>22</v>
      </c>
      <c r="P805" s="41" t="s">
        <v>22</v>
      </c>
      <c r="R805" s="41" t="s">
        <v>22</v>
      </c>
      <c r="S805" s="41" t="s">
        <v>22</v>
      </c>
      <c r="T805" s="41">
        <v>42</v>
      </c>
      <c r="U805" s="41">
        <v>42</v>
      </c>
      <c r="V805" s="18">
        <v>20210320</v>
      </c>
      <c r="W805" s="21" t="s">
        <v>1251</v>
      </c>
      <c r="X805" s="21">
        <v>2017</v>
      </c>
      <c r="Y805" s="18" t="s">
        <v>328</v>
      </c>
      <c r="Z805" s="18" t="s">
        <v>32</v>
      </c>
      <c r="AA805" s="18"/>
      <c r="AC805" s="18" t="s">
        <v>514</v>
      </c>
      <c r="AD805" s="41" t="s">
        <v>22</v>
      </c>
      <c r="AE805" s="41">
        <v>1555</v>
      </c>
      <c r="AF805" s="41" t="s">
        <v>22</v>
      </c>
      <c r="AG805" s="41" t="s">
        <v>22</v>
      </c>
      <c r="AH805" s="41">
        <v>0.99780701754385903</v>
      </c>
      <c r="AI805" s="41" t="s">
        <v>22</v>
      </c>
      <c r="AJ805" s="41" t="s">
        <v>22</v>
      </c>
      <c r="AK805" s="41">
        <v>0.65131578947368396</v>
      </c>
      <c r="AL805" s="41">
        <v>0.375</v>
      </c>
      <c r="AM805" s="43" t="e">
        <f t="shared" si="420"/>
        <v>#VALUE!</v>
      </c>
      <c r="AN805" s="43" t="e">
        <f t="shared" si="421"/>
        <v>#VALUE!</v>
      </c>
      <c r="AO805" s="19" t="s">
        <v>311</v>
      </c>
      <c r="AP805" s="18"/>
      <c r="AQ805" s="18"/>
      <c r="AR805" s="18"/>
      <c r="AS805" s="18"/>
      <c r="AT805" s="2">
        <f t="shared" si="422"/>
        <v>4</v>
      </c>
      <c r="AU805" s="45">
        <f t="shared" si="423"/>
        <v>-2.6320232147054061</v>
      </c>
      <c r="AV805" s="45" t="e">
        <f t="shared" si="424"/>
        <v>#VALUE!</v>
      </c>
      <c r="AW805" s="45" t="e">
        <f t="shared" si="425"/>
        <v>#VALUE!</v>
      </c>
      <c r="AX805" s="45">
        <f t="shared" si="426"/>
        <v>1.9294189257142926</v>
      </c>
      <c r="AY805" s="45" t="e">
        <f t="shared" si="427"/>
        <v>#VALUE!</v>
      </c>
      <c r="AZ805" s="45" t="e">
        <f t="shared" si="428"/>
        <v>#VALUE!</v>
      </c>
      <c r="BA805" s="45">
        <f t="shared" si="429"/>
        <v>0.3645162531850879</v>
      </c>
      <c r="BB805" s="45">
        <f t="shared" si="430"/>
        <v>-0.42986890674549166</v>
      </c>
      <c r="BC805" s="45">
        <f t="shared" si="431"/>
        <v>1.6232492903979006</v>
      </c>
      <c r="BD805" s="45" t="e">
        <f t="shared" si="432"/>
        <v>#VALUE!</v>
      </c>
      <c r="BE805" s="45" t="e">
        <f t="shared" si="433"/>
        <v>#VALUE!</v>
      </c>
      <c r="BF805" s="45" t="e">
        <f t="shared" si="434"/>
        <v>#VALUE!</v>
      </c>
      <c r="BG805" s="45" t="e">
        <f t="shared" si="435"/>
        <v>#VALUE!</v>
      </c>
      <c r="BH805" s="45" t="e">
        <f t="shared" si="436"/>
        <v>#NUM!</v>
      </c>
      <c r="BI805" s="43" t="e">
        <f t="shared" si="437"/>
        <v>#VALUE!</v>
      </c>
      <c r="BJ805" s="18"/>
      <c r="BK805" s="18"/>
      <c r="BL805" s="20"/>
      <c r="BS805" s="18"/>
      <c r="BT805" s="18"/>
      <c r="CA805" s="41" t="s">
        <v>22</v>
      </c>
      <c r="CB805" s="18"/>
      <c r="CC805" s="18"/>
      <c r="CD805" s="18"/>
      <c r="CI805" s="41">
        <f t="shared" si="451"/>
        <v>42</v>
      </c>
      <c r="CJ805" s="41">
        <f t="shared" si="452"/>
        <v>1.6232492903979006</v>
      </c>
      <c r="CK805" s="18"/>
      <c r="CL805" s="9" t="s">
        <v>1269</v>
      </c>
      <c r="CM805" s="18" t="s">
        <v>1285</v>
      </c>
      <c r="CN805" s="54" t="s">
        <v>1284</v>
      </c>
      <c r="CO805" s="18" t="s">
        <v>1284</v>
      </c>
    </row>
    <row r="806" spans="1:93" x14ac:dyDescent="0.25">
      <c r="A806" s="18" t="s">
        <v>315</v>
      </c>
      <c r="B806" s="41">
        <v>4.3333333333333305E-3</v>
      </c>
      <c r="C806" s="41" t="s">
        <v>22</v>
      </c>
      <c r="D806" s="41" t="s">
        <v>22</v>
      </c>
      <c r="E806" s="41" t="s">
        <v>22</v>
      </c>
      <c r="F806" s="18" t="s">
        <v>22</v>
      </c>
      <c r="G806" s="18" t="s">
        <v>22</v>
      </c>
      <c r="H806" s="18" t="s">
        <v>22</v>
      </c>
      <c r="I806" s="18" t="s">
        <v>22</v>
      </c>
      <c r="J806" s="41">
        <f>0.045^-1</f>
        <v>22.222222222222221</v>
      </c>
      <c r="K806" s="18">
        <v>633</v>
      </c>
      <c r="L806" s="41">
        <f t="shared" si="450"/>
        <v>3.5678149937999999</v>
      </c>
      <c r="M806" s="18" t="s">
        <v>23</v>
      </c>
      <c r="N806" s="41">
        <v>122</v>
      </c>
      <c r="O806" s="41" t="s">
        <v>22</v>
      </c>
      <c r="P806" s="41" t="s">
        <v>22</v>
      </c>
      <c r="R806" s="41" t="s">
        <v>22</v>
      </c>
      <c r="S806" s="41" t="s">
        <v>22</v>
      </c>
      <c r="T806" s="41">
        <v>0.81</v>
      </c>
      <c r="U806" s="41">
        <v>0.81</v>
      </c>
      <c r="V806" s="18">
        <v>20210320</v>
      </c>
      <c r="W806" s="21" t="s">
        <v>1249</v>
      </c>
      <c r="X806" s="21">
        <v>2017</v>
      </c>
      <c r="Y806" s="18" t="s">
        <v>328</v>
      </c>
      <c r="Z806" s="18" t="s">
        <v>32</v>
      </c>
      <c r="AA806" s="18"/>
      <c r="AC806" s="18" t="s">
        <v>285</v>
      </c>
      <c r="AD806" s="41" t="s">
        <v>22</v>
      </c>
      <c r="AE806" s="41">
        <v>1566</v>
      </c>
      <c r="AF806" s="41" t="s">
        <v>22</v>
      </c>
      <c r="AG806" s="41" t="s">
        <v>22</v>
      </c>
      <c r="AH806" s="41">
        <v>1</v>
      </c>
      <c r="AI806" s="41" t="s">
        <v>22</v>
      </c>
      <c r="AJ806" s="41" t="s">
        <v>22</v>
      </c>
      <c r="AK806" s="41">
        <v>0.91118421052631504</v>
      </c>
      <c r="AL806" s="41">
        <v>0.84210526315789402</v>
      </c>
      <c r="AM806" s="43" t="e">
        <f t="shared" si="420"/>
        <v>#VALUE!</v>
      </c>
      <c r="AN806" s="43" t="e">
        <f t="shared" si="421"/>
        <v>#VALUE!</v>
      </c>
      <c r="AO806" s="19" t="s">
        <v>311</v>
      </c>
      <c r="AP806" s="18"/>
      <c r="AQ806" s="18"/>
      <c r="AR806" s="18"/>
      <c r="AS806" s="18"/>
      <c r="AT806" s="2">
        <f t="shared" si="422"/>
        <v>4</v>
      </c>
      <c r="AU806" s="45">
        <f t="shared" si="423"/>
        <v>-2.3631779024128261</v>
      </c>
      <c r="AV806" s="45" t="e">
        <f t="shared" si="424"/>
        <v>#VALUE!</v>
      </c>
      <c r="AW806" s="45" t="e">
        <f t="shared" si="425"/>
        <v>#VALUE!</v>
      </c>
      <c r="AX806" s="45">
        <f t="shared" si="426"/>
        <v>2.0863598306747484</v>
      </c>
      <c r="AY806" s="45" t="e">
        <f t="shared" si="427"/>
        <v>#VALUE!</v>
      </c>
      <c r="AZ806" s="45" t="e">
        <f t="shared" si="428"/>
        <v>#VALUE!</v>
      </c>
      <c r="BA806" s="45">
        <f t="shared" si="429"/>
        <v>1.3467874862246563</v>
      </c>
      <c r="BB806" s="45">
        <f t="shared" si="430"/>
        <v>0.55240232629407671</v>
      </c>
      <c r="BC806" s="45">
        <f t="shared" si="431"/>
        <v>-9.1514981121350217E-2</v>
      </c>
      <c r="BD806" s="45" t="e">
        <f t="shared" si="432"/>
        <v>#VALUE!</v>
      </c>
      <c r="BE806" s="45" t="e">
        <f t="shared" si="433"/>
        <v>#VALUE!</v>
      </c>
      <c r="BF806" s="45" t="e">
        <f t="shared" si="434"/>
        <v>#VALUE!</v>
      </c>
      <c r="BG806" s="45" t="e">
        <f t="shared" si="435"/>
        <v>#VALUE!</v>
      </c>
      <c r="BH806" s="45" t="e">
        <f t="shared" si="436"/>
        <v>#NUM!</v>
      </c>
      <c r="BI806" s="43" t="e">
        <f t="shared" si="437"/>
        <v>#VALUE!</v>
      </c>
      <c r="BJ806" s="18"/>
      <c r="BK806" s="18"/>
      <c r="BL806" s="20"/>
      <c r="BS806" s="18"/>
      <c r="BT806" s="18"/>
      <c r="CA806" s="41" t="s">
        <v>22</v>
      </c>
      <c r="CB806" s="18"/>
      <c r="CC806" s="18"/>
      <c r="CD806" s="18"/>
      <c r="CI806" s="41">
        <f t="shared" si="451"/>
        <v>0.81</v>
      </c>
      <c r="CJ806" s="41">
        <f t="shared" si="452"/>
        <v>-9.1514981121350217E-2</v>
      </c>
      <c r="CK806" s="18"/>
      <c r="CL806" s="9" t="s">
        <v>1269</v>
      </c>
      <c r="CM806" s="18" t="s">
        <v>1285</v>
      </c>
      <c r="CN806" s="54" t="s">
        <v>1284</v>
      </c>
      <c r="CO806" s="18" t="s">
        <v>1284</v>
      </c>
    </row>
    <row r="807" spans="1:93" x14ac:dyDescent="0.25">
      <c r="A807" s="18" t="s">
        <v>315</v>
      </c>
      <c r="B807" s="41">
        <v>1.94444444444444E-2</v>
      </c>
      <c r="C807" s="41" t="s">
        <v>22</v>
      </c>
      <c r="D807" s="41" t="s">
        <v>22</v>
      </c>
      <c r="E807" s="41" t="s">
        <v>22</v>
      </c>
      <c r="F807" s="18" t="s">
        <v>22</v>
      </c>
      <c r="G807" s="18" t="s">
        <v>22</v>
      </c>
      <c r="H807" s="18" t="s">
        <v>22</v>
      </c>
      <c r="I807" s="18" t="s">
        <v>22</v>
      </c>
      <c r="J807" s="41">
        <f>0.033^-1</f>
        <v>30.303030303030301</v>
      </c>
      <c r="K807" s="18">
        <v>633</v>
      </c>
      <c r="L807" s="41">
        <f t="shared" si="450"/>
        <v>4.8652022642727273</v>
      </c>
      <c r="M807" s="18" t="s">
        <v>23</v>
      </c>
      <c r="N807" s="41">
        <v>117</v>
      </c>
      <c r="O807" s="41" t="s">
        <v>22</v>
      </c>
      <c r="P807" s="41" t="s">
        <v>22</v>
      </c>
      <c r="R807" s="41" t="s">
        <v>22</v>
      </c>
      <c r="S807" s="41" t="s">
        <v>22</v>
      </c>
      <c r="T807" s="41">
        <v>0.87</v>
      </c>
      <c r="U807" s="41">
        <v>0.87</v>
      </c>
      <c r="V807" s="18">
        <v>20210320</v>
      </c>
      <c r="W807" s="21" t="s">
        <v>1248</v>
      </c>
      <c r="X807" s="21">
        <v>2017</v>
      </c>
      <c r="Y807" s="18" t="s">
        <v>328</v>
      </c>
      <c r="Z807" s="18" t="s">
        <v>32</v>
      </c>
      <c r="AA807" s="18"/>
      <c r="AC807" s="18" t="s">
        <v>285</v>
      </c>
      <c r="AD807" s="41" t="s">
        <v>22</v>
      </c>
      <c r="AE807" s="41">
        <v>1566</v>
      </c>
      <c r="AF807" s="41" t="s">
        <v>22</v>
      </c>
      <c r="AG807" s="41" t="s">
        <v>22</v>
      </c>
      <c r="AH807" s="41">
        <v>1</v>
      </c>
      <c r="AI807" s="41" t="s">
        <v>22</v>
      </c>
      <c r="AJ807" s="41" t="s">
        <v>22</v>
      </c>
      <c r="AK807" s="41">
        <v>0.89473684210526305</v>
      </c>
      <c r="AL807" s="41">
        <v>0.734649122807017</v>
      </c>
      <c r="AM807" s="43" t="e">
        <f t="shared" si="420"/>
        <v>#VALUE!</v>
      </c>
      <c r="AN807" s="43" t="e">
        <f t="shared" si="421"/>
        <v>#VALUE!</v>
      </c>
      <c r="AO807" s="19" t="s">
        <v>311</v>
      </c>
      <c r="AP807" s="18"/>
      <c r="AQ807" s="18"/>
      <c r="AR807" s="18"/>
      <c r="AS807" s="18"/>
      <c r="AT807" s="2">
        <f t="shared" si="422"/>
        <v>4</v>
      </c>
      <c r="AU807" s="45">
        <f t="shared" si="423"/>
        <v>-1.7112044607530315</v>
      </c>
      <c r="AV807" s="45" t="e">
        <f t="shared" si="424"/>
        <v>#VALUE!</v>
      </c>
      <c r="AW807" s="45" t="e">
        <f t="shared" si="425"/>
        <v>#VALUE!</v>
      </c>
      <c r="AX807" s="45">
        <f t="shared" si="426"/>
        <v>2.0681858617461617</v>
      </c>
      <c r="AY807" s="45" t="e">
        <f t="shared" si="427"/>
        <v>#VALUE!</v>
      </c>
      <c r="AZ807" s="45" t="e">
        <f t="shared" si="428"/>
        <v>#VALUE!</v>
      </c>
      <c r="BA807" s="45">
        <f t="shared" si="429"/>
        <v>1.4814860601221125</v>
      </c>
      <c r="BB807" s="45">
        <f t="shared" si="430"/>
        <v>0.68710090019153292</v>
      </c>
      <c r="BC807" s="45">
        <f t="shared" si="431"/>
        <v>-6.0480747381381476E-2</v>
      </c>
      <c r="BD807" s="45" t="e">
        <f t="shared" si="432"/>
        <v>#VALUE!</v>
      </c>
      <c r="BE807" s="45" t="e">
        <f t="shared" si="433"/>
        <v>#VALUE!</v>
      </c>
      <c r="BF807" s="45" t="e">
        <f t="shared" si="434"/>
        <v>#VALUE!</v>
      </c>
      <c r="BG807" s="45" t="e">
        <f t="shared" si="435"/>
        <v>#VALUE!</v>
      </c>
      <c r="BH807" s="45" t="e">
        <f t="shared" si="436"/>
        <v>#NUM!</v>
      </c>
      <c r="BI807" s="43" t="e">
        <f t="shared" si="437"/>
        <v>#VALUE!</v>
      </c>
      <c r="BJ807" s="18"/>
      <c r="BK807" s="18"/>
      <c r="BL807" s="20"/>
      <c r="BS807" s="18"/>
      <c r="BT807" s="18"/>
      <c r="CA807" s="41" t="s">
        <v>22</v>
      </c>
      <c r="CB807" s="18"/>
      <c r="CC807" s="18"/>
      <c r="CD807" s="18"/>
      <c r="CI807" s="41">
        <f t="shared" si="451"/>
        <v>0.87</v>
      </c>
      <c r="CJ807" s="41">
        <f t="shared" si="452"/>
        <v>-6.0480747381381476E-2</v>
      </c>
      <c r="CK807" s="18"/>
      <c r="CL807" s="9" t="s">
        <v>1269</v>
      </c>
      <c r="CM807" s="18" t="s">
        <v>1285</v>
      </c>
      <c r="CN807" s="54" t="s">
        <v>1284</v>
      </c>
      <c r="CO807" s="18" t="s">
        <v>1284</v>
      </c>
    </row>
    <row r="808" spans="1:93" s="9" customFormat="1" x14ac:dyDescent="0.25">
      <c r="A808" s="9" t="s">
        <v>141</v>
      </c>
      <c r="B808" s="50">
        <v>5.7299999999999997E-2</v>
      </c>
      <c r="C808" s="50">
        <v>3.59</v>
      </c>
      <c r="D808" s="50">
        <v>1.4999999999999999E-2</v>
      </c>
      <c r="E808" s="50" t="s">
        <v>22</v>
      </c>
      <c r="F808" s="9">
        <v>4.5</v>
      </c>
      <c r="G808" s="9" t="s">
        <v>52</v>
      </c>
      <c r="H808" s="9">
        <v>33.800000000000011</v>
      </c>
      <c r="I808" s="9" t="s">
        <v>82</v>
      </c>
      <c r="J808" s="50">
        <v>1.35</v>
      </c>
      <c r="K808" s="9">
        <v>785</v>
      </c>
      <c r="L808" s="50">
        <f t="shared" si="450"/>
        <v>0.51263988834375007</v>
      </c>
      <c r="M808" s="9" t="s">
        <v>23</v>
      </c>
      <c r="N808" s="50" t="s">
        <v>22</v>
      </c>
      <c r="O808" s="50" t="s">
        <v>22</v>
      </c>
      <c r="P808" s="50" t="s">
        <v>22</v>
      </c>
      <c r="Q808" s="50"/>
      <c r="R808" s="50" t="s">
        <v>22</v>
      </c>
      <c r="S808" s="50" t="s">
        <v>22</v>
      </c>
      <c r="T808" s="50" t="s">
        <v>22</v>
      </c>
      <c r="U808" s="50" t="s">
        <v>22</v>
      </c>
      <c r="V808" s="9">
        <v>20200713</v>
      </c>
      <c r="W808" s="21" t="s">
        <v>1042</v>
      </c>
      <c r="X808" s="9">
        <v>2017</v>
      </c>
      <c r="Y808" s="9" t="s">
        <v>76</v>
      </c>
      <c r="Z808" s="9" t="s">
        <v>204</v>
      </c>
      <c r="AB808" s="50"/>
      <c r="AC808" s="9" t="s">
        <v>514</v>
      </c>
      <c r="AD808" s="50" t="s">
        <v>22</v>
      </c>
      <c r="AE808" s="50">
        <v>1578.7</v>
      </c>
      <c r="AF808" s="50">
        <v>110</v>
      </c>
      <c r="AG808" s="50">
        <v>239</v>
      </c>
      <c r="AH808" s="50">
        <v>1.3683820421564642E-2</v>
      </c>
      <c r="AI808" s="50">
        <v>1.2813516350516554E-2</v>
      </c>
      <c r="AJ808" s="50">
        <v>1.1929306468580973E-2</v>
      </c>
      <c r="AK808" s="50">
        <v>8.3822828603484865E-3</v>
      </c>
      <c r="AL808" s="50">
        <v>7.0001598159922952E-3</v>
      </c>
      <c r="AM808" s="43">
        <f t="shared" si="420"/>
        <v>0.54631060081412364</v>
      </c>
      <c r="AN808" s="43">
        <f t="shared" si="421"/>
        <v>0.58680358614552264</v>
      </c>
      <c r="AO808" s="57" t="s">
        <v>139</v>
      </c>
      <c r="AT808" s="2">
        <f t="shared" si="422"/>
        <v>7</v>
      </c>
      <c r="AU808" s="45">
        <f t="shared" si="423"/>
        <v>-1.24184537803261</v>
      </c>
      <c r="AV808" s="45">
        <f t="shared" si="424"/>
        <v>0.55509444857831913</v>
      </c>
      <c r="AW808" s="45">
        <f t="shared" si="425"/>
        <v>-1.8239087409443189</v>
      </c>
      <c r="AX808" s="45" t="e">
        <f t="shared" si="426"/>
        <v>#VALUE!</v>
      </c>
      <c r="AY808" s="45" t="e">
        <f t="shared" si="427"/>
        <v>#VALUE!</v>
      </c>
      <c r="AZ808" s="45" t="e">
        <f t="shared" si="428"/>
        <v>#VALUE!</v>
      </c>
      <c r="BA808" s="45">
        <f t="shared" si="429"/>
        <v>0.13033376849500614</v>
      </c>
      <c r="BB808" s="45">
        <f t="shared" si="430"/>
        <v>-0.29018760452398368</v>
      </c>
      <c r="BC808" s="45" t="e">
        <f t="shared" si="431"/>
        <v>#VALUE!</v>
      </c>
      <c r="BD808" s="45" t="e">
        <f t="shared" si="432"/>
        <v>#VALUE!</v>
      </c>
      <c r="BE808" s="45">
        <f t="shared" si="433"/>
        <v>2.0413926851582249</v>
      </c>
      <c r="BF808" s="45">
        <f t="shared" si="434"/>
        <v>-0.26256037219197137</v>
      </c>
      <c r="BG808" s="45">
        <f t="shared" si="435"/>
        <v>-0.23150724070732898</v>
      </c>
      <c r="BH808" s="45" t="e">
        <f t="shared" si="436"/>
        <v>#NUM!</v>
      </c>
      <c r="BI808" s="43">
        <f t="shared" si="437"/>
        <v>2.0413926851582249</v>
      </c>
      <c r="BL808" s="20"/>
      <c r="BM808" s="50"/>
      <c r="BN808" s="50"/>
      <c r="BO808" s="50"/>
      <c r="BP808" s="50"/>
      <c r="BQ808" s="50"/>
      <c r="BR808" s="50"/>
      <c r="BU808" s="50"/>
      <c r="BV808" s="50"/>
      <c r="BW808" s="50"/>
      <c r="BX808" s="50"/>
      <c r="BY808" s="50"/>
      <c r="BZ808" s="50"/>
      <c r="CA808" s="50" t="s">
        <v>22</v>
      </c>
      <c r="CC808" s="9" t="s">
        <v>22</v>
      </c>
      <c r="CE808" s="50" t="s">
        <v>22</v>
      </c>
      <c r="CF808" s="50" t="s">
        <v>22</v>
      </c>
      <c r="CG808" s="50">
        <f>AD812*1000</f>
        <v>9850</v>
      </c>
      <c r="CH808" s="50">
        <f>LOG10(CG808)</f>
        <v>3.9934362304976116</v>
      </c>
      <c r="CI808" s="50">
        <f>IF(ISNUMBER(CG808),CG808,U808)</f>
        <v>9850</v>
      </c>
      <c r="CJ808" s="50">
        <f>LOG10(CI808)</f>
        <v>3.9934362304976116</v>
      </c>
      <c r="CL808" s="9" t="s">
        <v>1269</v>
      </c>
      <c r="CM808" s="9" t="s">
        <v>1283</v>
      </c>
      <c r="CN808" s="55" t="s">
        <v>1284</v>
      </c>
      <c r="CO808" s="9" t="s">
        <v>1284</v>
      </c>
    </row>
    <row r="809" spans="1:93" s="9" customFormat="1" x14ac:dyDescent="0.25">
      <c r="A809" s="9" t="s">
        <v>266</v>
      </c>
      <c r="B809" s="50">
        <v>8.5999999999999993E-2</v>
      </c>
      <c r="C809" s="50">
        <v>0.315</v>
      </c>
      <c r="D809" s="50">
        <v>0.2752</v>
      </c>
      <c r="E809" s="50" t="s">
        <v>22</v>
      </c>
      <c r="F809" s="9">
        <v>5.0999999999999996</v>
      </c>
      <c r="G809" s="9" t="s">
        <v>52</v>
      </c>
      <c r="H809" s="9">
        <v>26</v>
      </c>
      <c r="I809" s="9" t="s">
        <v>82</v>
      </c>
      <c r="J809" s="50">
        <v>3.57</v>
      </c>
      <c r="K809" s="9">
        <v>785</v>
      </c>
      <c r="L809" s="50">
        <f t="shared" si="450"/>
        <v>1.3556477047312501</v>
      </c>
      <c r="M809" s="9" t="s">
        <v>23</v>
      </c>
      <c r="N809" s="50" t="s">
        <v>22</v>
      </c>
      <c r="O809" s="50" t="s">
        <v>22</v>
      </c>
      <c r="P809" s="50" t="s">
        <v>22</v>
      </c>
      <c r="Q809" s="50"/>
      <c r="R809" s="50" t="s">
        <v>22</v>
      </c>
      <c r="S809" s="50" t="s">
        <v>22</v>
      </c>
      <c r="T809" s="50" t="s">
        <v>203</v>
      </c>
      <c r="U809" s="50">
        <f>0.9+(3.3-0.9)/2</f>
        <v>2.1</v>
      </c>
      <c r="V809" s="9">
        <v>20200713</v>
      </c>
      <c r="W809" s="21" t="s">
        <v>1043</v>
      </c>
      <c r="X809" s="9">
        <v>2017</v>
      </c>
      <c r="Y809" s="9" t="s">
        <v>76</v>
      </c>
      <c r="Z809" s="9" t="s">
        <v>204</v>
      </c>
      <c r="AB809" s="50"/>
      <c r="AC809" s="9" t="s">
        <v>514</v>
      </c>
      <c r="AD809" s="50" t="s">
        <v>22</v>
      </c>
      <c r="AE809" s="50">
        <v>1582.8</v>
      </c>
      <c r="AF809" s="50">
        <v>67</v>
      </c>
      <c r="AG809" s="50">
        <v>254.3</v>
      </c>
      <c r="AH809" s="50">
        <v>1.2167379285928294E-2</v>
      </c>
      <c r="AI809" s="50">
        <v>1.0710871159996378E-2</v>
      </c>
      <c r="AJ809" s="50">
        <v>8.996403645487306E-3</v>
      </c>
      <c r="AK809" s="50">
        <v>5.1812018582903024E-3</v>
      </c>
      <c r="AL809" s="50">
        <v>3.6535948460706875E-3</v>
      </c>
      <c r="AM809" s="43">
        <f t="shared" si="420"/>
        <v>0.34111089485571994</v>
      </c>
      <c r="AN809" s="43">
        <f t="shared" si="421"/>
        <v>0.40611726530338271</v>
      </c>
      <c r="AO809" s="57" t="s">
        <v>139</v>
      </c>
      <c r="AT809" s="2">
        <f t="shared" si="422"/>
        <v>7</v>
      </c>
      <c r="AU809" s="45">
        <f t="shared" si="423"/>
        <v>-1.0655015487564323</v>
      </c>
      <c r="AV809" s="45">
        <f t="shared" si="424"/>
        <v>-0.50168944621039946</v>
      </c>
      <c r="AW809" s="45">
        <f t="shared" si="425"/>
        <v>-0.56035157043652628</v>
      </c>
      <c r="AX809" s="45" t="e">
        <f t="shared" si="426"/>
        <v>#VALUE!</v>
      </c>
      <c r="AY809" s="45" t="e">
        <f t="shared" si="427"/>
        <v>#VALUE!</v>
      </c>
      <c r="AZ809" s="45" t="e">
        <f t="shared" si="428"/>
        <v>#VALUE!</v>
      </c>
      <c r="BA809" s="45">
        <f t="shared" si="429"/>
        <v>0.55266821611219319</v>
      </c>
      <c r="BB809" s="45">
        <f t="shared" si="430"/>
        <v>0.13214684309320338</v>
      </c>
      <c r="BC809" s="45">
        <f t="shared" si="431"/>
        <v>0.3222192947339193</v>
      </c>
      <c r="BD809" s="45" t="e">
        <f t="shared" si="432"/>
        <v>#VALUE!</v>
      </c>
      <c r="BE809" s="45">
        <f t="shared" si="433"/>
        <v>1.8260748027008264</v>
      </c>
      <c r="BF809" s="45">
        <f t="shared" si="434"/>
        <v>-0.4671044092934008</v>
      </c>
      <c r="BG809" s="45">
        <f t="shared" si="435"/>
        <v>-0.39134854691331489</v>
      </c>
      <c r="BH809" s="45" t="e">
        <f t="shared" si="436"/>
        <v>#NUM!</v>
      </c>
      <c r="BI809" s="43">
        <f t="shared" si="437"/>
        <v>1.8260748027008264</v>
      </c>
      <c r="BL809" s="20"/>
      <c r="BM809" s="50"/>
      <c r="BN809" s="50"/>
      <c r="BO809" s="50"/>
      <c r="BP809" s="50"/>
      <c r="BQ809" s="50"/>
      <c r="BR809" s="50"/>
      <c r="BU809" s="50"/>
      <c r="BV809" s="50"/>
      <c r="BW809" s="50"/>
      <c r="BX809" s="50"/>
      <c r="BY809" s="50"/>
      <c r="BZ809" s="50"/>
      <c r="CA809" s="50" t="s">
        <v>22</v>
      </c>
      <c r="CC809" s="9" t="s">
        <v>22</v>
      </c>
      <c r="CE809" s="50" t="s">
        <v>22</v>
      </c>
      <c r="CF809" s="50" t="s">
        <v>22</v>
      </c>
      <c r="CG809" s="50">
        <f>AD813*1000</f>
        <v>8200</v>
      </c>
      <c r="CH809" s="50">
        <f>LOG10(CG809)</f>
        <v>3.9138138523837167</v>
      </c>
      <c r="CI809" s="50">
        <f>IF(ISNUMBER(CG809),CG809,U809)</f>
        <v>8200</v>
      </c>
      <c r="CJ809" s="50">
        <f>LOG10(CI809)</f>
        <v>3.9138138523837167</v>
      </c>
      <c r="CL809" s="9" t="s">
        <v>1269</v>
      </c>
      <c r="CM809" s="9" t="s">
        <v>1283</v>
      </c>
      <c r="CN809" s="55" t="s">
        <v>1284</v>
      </c>
      <c r="CO809" s="9" t="s">
        <v>1284</v>
      </c>
    </row>
    <row r="810" spans="1:93" s="9" customFormat="1" x14ac:dyDescent="0.25">
      <c r="A810" s="9" t="s">
        <v>266</v>
      </c>
      <c r="B810" s="50">
        <v>2.3E-2</v>
      </c>
      <c r="C810" s="50">
        <v>0.214</v>
      </c>
      <c r="D810" s="50">
        <v>0.1075</v>
      </c>
      <c r="E810" s="50" t="s">
        <v>22</v>
      </c>
      <c r="F810" s="9">
        <v>6.7</v>
      </c>
      <c r="G810" s="9" t="s">
        <v>52</v>
      </c>
      <c r="H810" s="9">
        <v>30.18</v>
      </c>
      <c r="I810" s="9" t="s">
        <v>82</v>
      </c>
      <c r="J810" s="50">
        <f>0.05^-1</f>
        <v>20</v>
      </c>
      <c r="K810" s="9">
        <v>785</v>
      </c>
      <c r="L810" s="50">
        <f t="shared" si="450"/>
        <v>7.5946650124999993</v>
      </c>
      <c r="M810" s="9" t="s">
        <v>23</v>
      </c>
      <c r="N810" s="50" t="s">
        <v>22</v>
      </c>
      <c r="O810" s="50" t="s">
        <v>22</v>
      </c>
      <c r="P810" s="50" t="s">
        <v>22</v>
      </c>
      <c r="Q810" s="50"/>
      <c r="R810" s="50" t="s">
        <v>22</v>
      </c>
      <c r="S810" s="50" t="s">
        <v>22</v>
      </c>
      <c r="T810" s="50" t="s">
        <v>205</v>
      </c>
      <c r="U810" s="50">
        <f>0.9+(2.5-0.9)/2</f>
        <v>1.7000000000000002</v>
      </c>
      <c r="V810" s="9">
        <v>20200713</v>
      </c>
      <c r="W810" s="21" t="s">
        <v>1044</v>
      </c>
      <c r="X810" s="9">
        <v>2017</v>
      </c>
      <c r="Y810" s="9" t="s">
        <v>76</v>
      </c>
      <c r="Z810" s="9" t="s">
        <v>204</v>
      </c>
      <c r="AB810" s="50"/>
      <c r="AC810" s="9" t="s">
        <v>514</v>
      </c>
      <c r="AD810" s="50" t="s">
        <v>22</v>
      </c>
      <c r="AE810" s="50">
        <v>1576</v>
      </c>
      <c r="AF810" s="50">
        <v>30</v>
      </c>
      <c r="AG810" s="50" t="s">
        <v>22</v>
      </c>
      <c r="AH810" s="50">
        <v>3.0769983057617998E-2</v>
      </c>
      <c r="AI810" s="50">
        <v>2.4524575405930699E-2</v>
      </c>
      <c r="AJ810" s="50">
        <v>1.9723379834010311E-2</v>
      </c>
      <c r="AK810" s="50">
        <v>1.1604579764050748E-2</v>
      </c>
      <c r="AL810" s="50">
        <v>9.3246926721349838E-3</v>
      </c>
      <c r="AM810" s="43">
        <f t="shared" si="420"/>
        <v>0.38021831235781656</v>
      </c>
      <c r="AN810" s="43">
        <f t="shared" si="421"/>
        <v>0.47277356876004628</v>
      </c>
      <c r="AO810" s="57" t="s">
        <v>139</v>
      </c>
      <c r="AT810" s="2">
        <f t="shared" si="422"/>
        <v>7</v>
      </c>
      <c r="AU810" s="45">
        <f t="shared" si="423"/>
        <v>-1.6382721639824072</v>
      </c>
      <c r="AV810" s="45">
        <f t="shared" si="424"/>
        <v>-0.66958622665080914</v>
      </c>
      <c r="AW810" s="45">
        <f t="shared" si="425"/>
        <v>-0.96859153574837586</v>
      </c>
      <c r="AX810" s="45" t="e">
        <f t="shared" si="426"/>
        <v>#VALUE!</v>
      </c>
      <c r="AY810" s="45" t="e">
        <f t="shared" si="427"/>
        <v>#VALUE!</v>
      </c>
      <c r="AZ810" s="45" t="e">
        <f t="shared" si="428"/>
        <v>#VALUE!</v>
      </c>
      <c r="BA810" s="45">
        <f t="shared" si="429"/>
        <v>1.3010299956639813</v>
      </c>
      <c r="BB810" s="45">
        <f t="shared" si="430"/>
        <v>0.8805086226449913</v>
      </c>
      <c r="BC810" s="45">
        <f t="shared" si="431"/>
        <v>0.23044892137827397</v>
      </c>
      <c r="BD810" s="45" t="e">
        <f t="shared" si="432"/>
        <v>#VALUE!</v>
      </c>
      <c r="BE810" s="45">
        <f t="shared" si="433"/>
        <v>1.4771212547196624</v>
      </c>
      <c r="BF810" s="45">
        <f t="shared" si="434"/>
        <v>-0.41996697015224532</v>
      </c>
      <c r="BG810" s="45">
        <f t="shared" si="435"/>
        <v>-0.32534681144687511</v>
      </c>
      <c r="BH810" s="45" t="e">
        <f t="shared" si="436"/>
        <v>#NUM!</v>
      </c>
      <c r="BI810" s="43">
        <f t="shared" si="437"/>
        <v>1.4771212547196624</v>
      </c>
      <c r="BL810" s="20"/>
      <c r="BM810" s="50"/>
      <c r="BN810" s="50"/>
      <c r="BO810" s="50"/>
      <c r="BP810" s="50"/>
      <c r="BQ810" s="50"/>
      <c r="BR810" s="50"/>
      <c r="BU810" s="50"/>
      <c r="BV810" s="50"/>
      <c r="BW810" s="50"/>
      <c r="BX810" s="50"/>
      <c r="BY810" s="50"/>
      <c r="BZ810" s="50"/>
      <c r="CA810" s="50" t="s">
        <v>22</v>
      </c>
      <c r="CC810" s="9" t="s">
        <v>22</v>
      </c>
      <c r="CE810" s="50" t="s">
        <v>22</v>
      </c>
      <c r="CF810" s="50" t="s">
        <v>22</v>
      </c>
      <c r="CG810" s="50" t="e">
        <f>AD810*1000</f>
        <v>#VALUE!</v>
      </c>
      <c r="CH810" s="50" t="e">
        <f>LOG10(CG810)</f>
        <v>#VALUE!</v>
      </c>
      <c r="CI810" s="50">
        <f>IF(ISNUMBER(CG810),CG810,U810)</f>
        <v>1.7000000000000002</v>
      </c>
      <c r="CJ810" s="50">
        <f>LOG10(CI810)</f>
        <v>0.23044892137827397</v>
      </c>
      <c r="CL810" s="9" t="s">
        <v>1269</v>
      </c>
      <c r="CM810" s="9" t="s">
        <v>1285</v>
      </c>
      <c r="CN810" s="55" t="s">
        <v>1284</v>
      </c>
      <c r="CO810" s="9" t="s">
        <v>1284</v>
      </c>
    </row>
    <row r="811" spans="1:93" s="9" customFormat="1" x14ac:dyDescent="0.25">
      <c r="A811" s="9" t="s">
        <v>266</v>
      </c>
      <c r="B811" s="50">
        <v>7.1300000000000001E-3</v>
      </c>
      <c r="C811" s="50">
        <v>4.7E-2</v>
      </c>
      <c r="D811" s="50">
        <v>0.15290000000000001</v>
      </c>
      <c r="E811" s="50" t="s">
        <v>22</v>
      </c>
      <c r="F811" s="9">
        <v>7.7</v>
      </c>
      <c r="G811" s="9" t="s">
        <v>52</v>
      </c>
      <c r="H811" s="9">
        <v>26.9</v>
      </c>
      <c r="I811" s="9" t="s">
        <v>82</v>
      </c>
      <c r="J811" s="50">
        <f>0.06^-1</f>
        <v>16.666666666666668</v>
      </c>
      <c r="K811" s="9">
        <v>785</v>
      </c>
      <c r="L811" s="50">
        <f t="shared" si="450"/>
        <v>6.3288875104166671</v>
      </c>
      <c r="M811" s="9" t="s">
        <v>23</v>
      </c>
      <c r="N811" s="50" t="s">
        <v>22</v>
      </c>
      <c r="O811" s="50" t="s">
        <v>22</v>
      </c>
      <c r="P811" s="50" t="s">
        <v>22</v>
      </c>
      <c r="Q811" s="50"/>
      <c r="R811" s="50" t="s">
        <v>22</v>
      </c>
      <c r="S811" s="50" t="s">
        <v>22</v>
      </c>
      <c r="T811" s="50" t="s">
        <v>206</v>
      </c>
      <c r="U811" s="50">
        <f>0.9+(3-0.9)/2</f>
        <v>1.9500000000000002</v>
      </c>
      <c r="V811" s="9">
        <v>20200713</v>
      </c>
      <c r="W811" s="21" t="s">
        <v>1045</v>
      </c>
      <c r="X811" s="9">
        <v>2017</v>
      </c>
      <c r="Y811" s="9" t="s">
        <v>76</v>
      </c>
      <c r="Z811" s="9" t="s">
        <v>204</v>
      </c>
      <c r="AB811" s="50"/>
      <c r="AC811" s="9" t="s">
        <v>514</v>
      </c>
      <c r="AD811" s="50" t="s">
        <v>22</v>
      </c>
      <c r="AE811" s="50">
        <v>1585.3</v>
      </c>
      <c r="AF811" s="50">
        <v>7</v>
      </c>
      <c r="AG811" s="50">
        <v>285.10000000000002</v>
      </c>
      <c r="AH811" s="50">
        <v>2.0043516881858486E-2</v>
      </c>
      <c r="AI811" s="50">
        <v>1.7826465143003137E-2</v>
      </c>
      <c r="AJ811" s="50">
        <v>1.524212092058492E-2</v>
      </c>
      <c r="AK811" s="50">
        <v>9.213772793453541E-3</v>
      </c>
      <c r="AL811" s="50">
        <v>6.7648955983223421E-3</v>
      </c>
      <c r="AM811" s="43">
        <f t="shared" si="420"/>
        <v>0.37948609239434966</v>
      </c>
      <c r="AN811" s="43">
        <f t="shared" si="421"/>
        <v>0.44382902048665401</v>
      </c>
      <c r="AO811" s="57" t="s">
        <v>139</v>
      </c>
      <c r="AT811" s="2">
        <f t="shared" si="422"/>
        <v>7</v>
      </c>
      <c r="AU811" s="45">
        <f t="shared" si="423"/>
        <v>-2.1469104701481343</v>
      </c>
      <c r="AV811" s="45">
        <f t="shared" si="424"/>
        <v>-1.3279021420642825</v>
      </c>
      <c r="AW811" s="45">
        <f t="shared" si="425"/>
        <v>-0.8155925145876799</v>
      </c>
      <c r="AX811" s="45" t="e">
        <f t="shared" si="426"/>
        <v>#VALUE!</v>
      </c>
      <c r="AY811" s="45" t="e">
        <f t="shared" si="427"/>
        <v>#VALUE!</v>
      </c>
      <c r="AZ811" s="45" t="e">
        <f t="shared" si="428"/>
        <v>#VALUE!</v>
      </c>
      <c r="BA811" s="45">
        <f t="shared" si="429"/>
        <v>1.2218487496163564</v>
      </c>
      <c r="BB811" s="45">
        <f t="shared" si="430"/>
        <v>0.80132737659736653</v>
      </c>
      <c r="BC811" s="45">
        <f t="shared" si="431"/>
        <v>0.29003461136251807</v>
      </c>
      <c r="BD811" s="45" t="e">
        <f t="shared" si="432"/>
        <v>#VALUE!</v>
      </c>
      <c r="BE811" s="45">
        <f t="shared" si="433"/>
        <v>0.84509804001425681</v>
      </c>
      <c r="BF811" s="45">
        <f t="shared" si="434"/>
        <v>-0.42080413572915315</v>
      </c>
      <c r="BG811" s="45">
        <f t="shared" si="435"/>
        <v>-0.3527843041203268</v>
      </c>
      <c r="BH811" s="45" t="e">
        <f t="shared" si="436"/>
        <v>#NUM!</v>
      </c>
      <c r="BI811" s="43">
        <f t="shared" si="437"/>
        <v>0.84509804001425681</v>
      </c>
      <c r="BL811" s="20"/>
      <c r="BM811" s="50"/>
      <c r="BN811" s="50"/>
      <c r="BO811" s="50"/>
      <c r="BP811" s="50"/>
      <c r="BQ811" s="50"/>
      <c r="BR811" s="50"/>
      <c r="BU811" s="50"/>
      <c r="BV811" s="50"/>
      <c r="BW811" s="50"/>
      <c r="BX811" s="50"/>
      <c r="BY811" s="50"/>
      <c r="BZ811" s="50"/>
      <c r="CA811" s="50" t="s">
        <v>22</v>
      </c>
      <c r="CC811" s="9" t="s">
        <v>22</v>
      </c>
      <c r="CE811" s="50" t="s">
        <v>22</v>
      </c>
      <c r="CF811" s="50" t="s">
        <v>22</v>
      </c>
      <c r="CG811" s="50" t="e">
        <f>AD811*1000</f>
        <v>#VALUE!</v>
      </c>
      <c r="CH811" s="50" t="e">
        <f>LOG10(CG811)</f>
        <v>#VALUE!</v>
      </c>
      <c r="CI811" s="50">
        <f>IF(ISNUMBER(CG811),CG811,U811)</f>
        <v>1.9500000000000002</v>
      </c>
      <c r="CJ811" s="50">
        <f>LOG10(CI811)</f>
        <v>0.29003461136251807</v>
      </c>
      <c r="CL811" s="9" t="s">
        <v>1269</v>
      </c>
      <c r="CM811" s="9" t="s">
        <v>1285</v>
      </c>
      <c r="CN811" s="55" t="s">
        <v>1284</v>
      </c>
      <c r="CO811" s="9" t="s">
        <v>1284</v>
      </c>
    </row>
    <row r="812" spans="1:93" s="9" customFormat="1" x14ac:dyDescent="0.25">
      <c r="A812" s="9" t="s">
        <v>266</v>
      </c>
      <c r="B812" s="50" t="s">
        <v>22</v>
      </c>
      <c r="C812" s="50">
        <v>0.64432989690721665</v>
      </c>
      <c r="D812" s="50" t="s">
        <v>22</v>
      </c>
      <c r="E812" s="50" t="s">
        <v>22</v>
      </c>
      <c r="F812" s="9" t="s">
        <v>22</v>
      </c>
      <c r="G812" s="9" t="s">
        <v>22</v>
      </c>
      <c r="H812" s="9" t="s">
        <v>22</v>
      </c>
      <c r="I812" s="9" t="s">
        <v>22</v>
      </c>
      <c r="J812" s="50">
        <v>1.35</v>
      </c>
      <c r="K812" s="9">
        <v>785</v>
      </c>
      <c r="L812" s="50">
        <f t="shared" si="450"/>
        <v>0.51263988834375007</v>
      </c>
      <c r="M812" s="9" t="s">
        <v>23</v>
      </c>
      <c r="N812" s="50">
        <v>451.03092783505161</v>
      </c>
      <c r="O812" s="50">
        <v>0.7</v>
      </c>
      <c r="P812" s="50">
        <v>26.610824742268047</v>
      </c>
      <c r="Q812" s="50"/>
      <c r="R812" s="50" t="s">
        <v>22</v>
      </c>
      <c r="S812" s="50"/>
      <c r="T812" s="50" t="s">
        <v>22</v>
      </c>
      <c r="U812" s="50" t="s">
        <v>22</v>
      </c>
      <c r="V812" s="9">
        <v>20200713</v>
      </c>
      <c r="W812" s="21" t="s">
        <v>1046</v>
      </c>
      <c r="X812" s="9">
        <v>2017</v>
      </c>
      <c r="Y812" s="9" t="s">
        <v>76</v>
      </c>
      <c r="Z812" s="9" t="s">
        <v>204</v>
      </c>
      <c r="AB812" s="50"/>
      <c r="AC812" s="9" t="s">
        <v>514</v>
      </c>
      <c r="AD812" s="43">
        <v>9.85</v>
      </c>
      <c r="AE812" s="50">
        <v>1578.7</v>
      </c>
      <c r="AF812" s="50">
        <v>630</v>
      </c>
      <c r="AG812" s="50" t="s">
        <v>22</v>
      </c>
      <c r="AH812" s="50" t="s">
        <v>22</v>
      </c>
      <c r="AI812" s="50" t="s">
        <v>22</v>
      </c>
      <c r="AJ812" s="50" t="s">
        <v>22</v>
      </c>
      <c r="AK812" s="50" t="s">
        <v>22</v>
      </c>
      <c r="AL812" s="50" t="s">
        <v>22</v>
      </c>
      <c r="AM812" s="43" t="e">
        <f t="shared" si="420"/>
        <v>#VALUE!</v>
      </c>
      <c r="AN812" s="43" t="e">
        <f t="shared" si="421"/>
        <v>#VALUE!</v>
      </c>
      <c r="AO812" s="57" t="s">
        <v>139</v>
      </c>
      <c r="AT812" s="2">
        <f t="shared" si="422"/>
        <v>7</v>
      </c>
      <c r="AU812" s="45" t="e">
        <f t="shared" si="423"/>
        <v>#VALUE!</v>
      </c>
      <c r="AV812" s="45">
        <f t="shared" si="424"/>
        <v>-0.19089171692216952</v>
      </c>
      <c r="AW812" s="45" t="e">
        <f t="shared" si="425"/>
        <v>#VALUE!</v>
      </c>
      <c r="AX812" s="45">
        <f t="shared" si="426"/>
        <v>2.6542063230920871</v>
      </c>
      <c r="AY812" s="45">
        <f t="shared" si="427"/>
        <v>-0.15490195998574319</v>
      </c>
      <c r="AZ812" s="45">
        <f t="shared" si="428"/>
        <v>1.4250583347342314</v>
      </c>
      <c r="BA812" s="45">
        <f t="shared" si="429"/>
        <v>0.13033376849500614</v>
      </c>
      <c r="BB812" s="45">
        <f t="shared" si="430"/>
        <v>-0.29018760452398368</v>
      </c>
      <c r="BC812" s="45" t="e">
        <f t="shared" si="431"/>
        <v>#VALUE!</v>
      </c>
      <c r="BD812" s="45">
        <f t="shared" si="432"/>
        <v>0.99343623049761176</v>
      </c>
      <c r="BE812" s="45">
        <f t="shared" si="433"/>
        <v>2.7993405494535817</v>
      </c>
      <c r="BF812" s="45" t="e">
        <f t="shared" si="434"/>
        <v>#VALUE!</v>
      </c>
      <c r="BG812" s="45" t="e">
        <f t="shared" si="435"/>
        <v>#VALUE!</v>
      </c>
      <c r="BH812" s="45" t="e">
        <f t="shared" si="436"/>
        <v>#NUM!</v>
      </c>
      <c r="BI812" s="43">
        <f t="shared" si="437"/>
        <v>2.7993405494535817</v>
      </c>
      <c r="BL812" s="20"/>
      <c r="BM812" s="50"/>
      <c r="BN812" s="50"/>
      <c r="BO812" s="50"/>
      <c r="BP812" s="50"/>
      <c r="BQ812" s="50"/>
      <c r="BR812" s="50"/>
      <c r="BU812" s="50"/>
      <c r="BV812" s="50"/>
      <c r="BW812" s="50"/>
      <c r="BX812" s="50"/>
      <c r="BY812" s="50"/>
      <c r="BZ812" s="50"/>
      <c r="CA812" s="50" t="s">
        <v>22</v>
      </c>
      <c r="CE812" s="50"/>
      <c r="CF812" s="50"/>
      <c r="CG812" s="50"/>
      <c r="CH812" s="50"/>
      <c r="CI812" s="50" t="str">
        <f t="shared" ref="CI812:CI813" si="453">IF(ISNUMBER(CG812),CG812,U812)</f>
        <v>Not Reported/ Can not calculate</v>
      </c>
      <c r="CJ812" s="50" t="e">
        <f t="shared" ref="CJ812:CJ813" si="454">LOG10(CI812)</f>
        <v>#VALUE!</v>
      </c>
      <c r="CL812" s="9" t="s">
        <v>1269</v>
      </c>
      <c r="CM812" s="9" t="s">
        <v>1284</v>
      </c>
      <c r="CN812" s="55" t="s">
        <v>1284</v>
      </c>
      <c r="CO812" s="9" t="s">
        <v>1284</v>
      </c>
    </row>
    <row r="813" spans="1:93" s="9" customFormat="1" x14ac:dyDescent="0.25">
      <c r="A813" s="9" t="s">
        <v>266</v>
      </c>
      <c r="B813" s="50" t="s">
        <v>22</v>
      </c>
      <c r="C813" s="50">
        <v>0.634920634920635</v>
      </c>
      <c r="D813" s="50" t="s">
        <v>22</v>
      </c>
      <c r="E813" s="50" t="s">
        <v>22</v>
      </c>
      <c r="F813" s="9" t="s">
        <v>22</v>
      </c>
      <c r="G813" s="9" t="s">
        <v>22</v>
      </c>
      <c r="H813" s="9" t="s">
        <v>22</v>
      </c>
      <c r="I813" s="9" t="s">
        <v>22</v>
      </c>
      <c r="J813" s="50">
        <v>3.57</v>
      </c>
      <c r="K813" s="9">
        <v>785</v>
      </c>
      <c r="L813" s="50">
        <f t="shared" si="450"/>
        <v>1.3556477047312501</v>
      </c>
      <c r="M813" s="9" t="s">
        <v>23</v>
      </c>
      <c r="N813" s="50">
        <v>1079.3650793650795</v>
      </c>
      <c r="O813" s="50">
        <v>1.7</v>
      </c>
      <c r="P813" s="50">
        <v>49.523809523809533</v>
      </c>
      <c r="Q813" s="50"/>
      <c r="R813" s="50" t="s">
        <v>22</v>
      </c>
      <c r="S813" s="50"/>
      <c r="T813" s="50" t="s">
        <v>203</v>
      </c>
      <c r="U813" s="50">
        <f>0.9+(3.3-0.9)/2</f>
        <v>2.1</v>
      </c>
      <c r="V813" s="9">
        <v>20200713</v>
      </c>
      <c r="W813" s="21" t="s">
        <v>1047</v>
      </c>
      <c r="X813" s="9">
        <v>2017</v>
      </c>
      <c r="Y813" s="9" t="s">
        <v>76</v>
      </c>
      <c r="Z813" s="9" t="s">
        <v>204</v>
      </c>
      <c r="AB813" s="50"/>
      <c r="AC813" s="9" t="s">
        <v>514</v>
      </c>
      <c r="AD813" s="43">
        <v>8.1999999999999993</v>
      </c>
      <c r="AE813" s="50">
        <v>1582.8</v>
      </c>
      <c r="AF813" s="50">
        <v>770</v>
      </c>
      <c r="AG813" s="50" t="s">
        <v>22</v>
      </c>
      <c r="AH813" s="50" t="s">
        <v>22</v>
      </c>
      <c r="AI813" s="50" t="s">
        <v>22</v>
      </c>
      <c r="AJ813" s="50" t="s">
        <v>22</v>
      </c>
      <c r="AK813" s="50" t="s">
        <v>22</v>
      </c>
      <c r="AL813" s="50" t="s">
        <v>22</v>
      </c>
      <c r="AM813" s="43" t="e">
        <f t="shared" si="420"/>
        <v>#VALUE!</v>
      </c>
      <c r="AN813" s="43" t="e">
        <f t="shared" si="421"/>
        <v>#VALUE!</v>
      </c>
      <c r="AO813" s="57" t="s">
        <v>139</v>
      </c>
      <c r="AT813" s="2">
        <f t="shared" si="422"/>
        <v>7</v>
      </c>
      <c r="AU813" s="45" t="e">
        <f t="shared" si="423"/>
        <v>#VALUE!</v>
      </c>
      <c r="AV813" s="45">
        <f t="shared" si="424"/>
        <v>-0.19728055812561926</v>
      </c>
      <c r="AW813" s="45" t="e">
        <f t="shared" si="425"/>
        <v>#VALUE!</v>
      </c>
      <c r="AX813" s="45">
        <f t="shared" si="426"/>
        <v>3.0331683632526545</v>
      </c>
      <c r="AY813" s="45">
        <f t="shared" si="427"/>
        <v>0.23044892137827391</v>
      </c>
      <c r="AZ813" s="45">
        <f t="shared" si="428"/>
        <v>1.6948140445648612</v>
      </c>
      <c r="BA813" s="45">
        <f t="shared" si="429"/>
        <v>0.55266821611219319</v>
      </c>
      <c r="BB813" s="45">
        <f t="shared" si="430"/>
        <v>0.13214684309320338</v>
      </c>
      <c r="BC813" s="45">
        <f t="shared" si="431"/>
        <v>0.3222192947339193</v>
      </c>
      <c r="BD813" s="45">
        <f t="shared" si="432"/>
        <v>0.91381385238371671</v>
      </c>
      <c r="BE813" s="45">
        <f t="shared" si="433"/>
        <v>2.8864907251724818</v>
      </c>
      <c r="BF813" s="45" t="e">
        <f t="shared" si="434"/>
        <v>#VALUE!</v>
      </c>
      <c r="BG813" s="45" t="e">
        <f t="shared" si="435"/>
        <v>#VALUE!</v>
      </c>
      <c r="BH813" s="45" t="e">
        <f t="shared" si="436"/>
        <v>#NUM!</v>
      </c>
      <c r="BI813" s="43">
        <f t="shared" si="437"/>
        <v>2.8864907251724818</v>
      </c>
      <c r="BL813" s="20"/>
      <c r="BM813" s="50"/>
      <c r="BN813" s="50"/>
      <c r="BO813" s="50"/>
      <c r="BP813" s="50"/>
      <c r="BQ813" s="50"/>
      <c r="BR813" s="50"/>
      <c r="BU813" s="50"/>
      <c r="BV813" s="50"/>
      <c r="BW813" s="50"/>
      <c r="BX813" s="50"/>
      <c r="BY813" s="50"/>
      <c r="BZ813" s="50"/>
      <c r="CA813" s="50" t="s">
        <v>22</v>
      </c>
      <c r="CE813" s="50"/>
      <c r="CF813" s="50"/>
      <c r="CG813" s="50"/>
      <c r="CH813" s="50"/>
      <c r="CI813" s="50">
        <f t="shared" si="453"/>
        <v>2.1</v>
      </c>
      <c r="CJ813" s="50">
        <f t="shared" si="454"/>
        <v>0.3222192947339193</v>
      </c>
      <c r="CL813" s="9" t="s">
        <v>1269</v>
      </c>
      <c r="CM813" s="9" t="s">
        <v>1285</v>
      </c>
      <c r="CN813" s="55" t="s">
        <v>1284</v>
      </c>
      <c r="CO813" s="9" t="s">
        <v>1284</v>
      </c>
    </row>
    <row r="814" spans="1:93" x14ac:dyDescent="0.25">
      <c r="A814" t="s">
        <v>757</v>
      </c>
      <c r="B814" s="41" t="s">
        <v>22</v>
      </c>
      <c r="D814" s="41" t="s">
        <v>22</v>
      </c>
      <c r="E814" s="41" t="s">
        <v>22</v>
      </c>
      <c r="F814" t="s">
        <v>22</v>
      </c>
      <c r="G814" t="s">
        <v>22</v>
      </c>
      <c r="H814" t="s">
        <v>22</v>
      </c>
      <c r="I814" t="s">
        <v>22</v>
      </c>
      <c r="J814" s="41" t="s">
        <v>22</v>
      </c>
      <c r="K814" t="s">
        <v>22</v>
      </c>
      <c r="M814" t="s">
        <v>23</v>
      </c>
      <c r="N814" s="41" t="s">
        <v>22</v>
      </c>
      <c r="O814" s="41" t="s">
        <v>22</v>
      </c>
      <c r="P814" s="41" t="s">
        <v>22</v>
      </c>
      <c r="R814" s="41" t="s">
        <v>22</v>
      </c>
      <c r="S814" s="41" t="s">
        <v>22</v>
      </c>
      <c r="T814" s="41" t="s">
        <v>22</v>
      </c>
      <c r="U814" s="41" t="s">
        <v>22</v>
      </c>
      <c r="V814">
        <v>20200709</v>
      </c>
      <c r="W814" s="21"/>
      <c r="X814" s="18"/>
      <c r="Y814" t="s">
        <v>22</v>
      </c>
      <c r="Z814" t="s">
        <v>22</v>
      </c>
      <c r="AC814" t="s">
        <v>22</v>
      </c>
      <c r="AD814" s="41" t="s">
        <v>22</v>
      </c>
      <c r="AE814" s="41" t="s">
        <v>22</v>
      </c>
      <c r="AF814" s="41">
        <v>3320</v>
      </c>
      <c r="AG814" s="41" t="s">
        <v>22</v>
      </c>
      <c r="AH814" s="41" t="s">
        <v>22</v>
      </c>
      <c r="AI814" s="41" t="s">
        <v>22</v>
      </c>
      <c r="AJ814" s="41" t="s">
        <v>22</v>
      </c>
      <c r="AK814" s="41" t="s">
        <v>22</v>
      </c>
      <c r="AL814" s="41" t="s">
        <v>22</v>
      </c>
      <c r="AM814" s="43" t="e">
        <f t="shared" si="420"/>
        <v>#VALUE!</v>
      </c>
      <c r="AN814" s="43" t="e">
        <f t="shared" si="421"/>
        <v>#VALUE!</v>
      </c>
      <c r="AO814" s="3" t="s">
        <v>139</v>
      </c>
      <c r="AT814" s="2">
        <f t="shared" si="422"/>
        <v>7</v>
      </c>
      <c r="AU814" s="45" t="e">
        <f t="shared" si="423"/>
        <v>#VALUE!</v>
      </c>
      <c r="AV814" s="45" t="e">
        <f t="shared" si="424"/>
        <v>#NUM!</v>
      </c>
      <c r="AW814" s="45" t="e">
        <f t="shared" si="425"/>
        <v>#VALUE!</v>
      </c>
      <c r="AX814" s="45" t="e">
        <f t="shared" si="426"/>
        <v>#VALUE!</v>
      </c>
      <c r="AY814" s="45" t="e">
        <f t="shared" si="427"/>
        <v>#VALUE!</v>
      </c>
      <c r="AZ814" s="45" t="e">
        <f t="shared" si="428"/>
        <v>#VALUE!</v>
      </c>
      <c r="BA814" s="45" t="e">
        <f t="shared" si="429"/>
        <v>#VALUE!</v>
      </c>
      <c r="BB814" s="45" t="e">
        <f t="shared" si="430"/>
        <v>#NUM!</v>
      </c>
      <c r="BC814" s="45" t="e">
        <f t="shared" si="431"/>
        <v>#VALUE!</v>
      </c>
      <c r="BD814" s="45" t="e">
        <f t="shared" si="432"/>
        <v>#VALUE!</v>
      </c>
      <c r="BE814" s="45">
        <f t="shared" si="433"/>
        <v>3.5211380837040362</v>
      </c>
      <c r="BF814" s="45" t="e">
        <f t="shared" si="434"/>
        <v>#VALUE!</v>
      </c>
      <c r="BG814" s="45" t="e">
        <f t="shared" si="435"/>
        <v>#VALUE!</v>
      </c>
      <c r="BH814" s="45" t="e">
        <f t="shared" si="436"/>
        <v>#NUM!</v>
      </c>
      <c r="BI814" s="43">
        <f t="shared" si="437"/>
        <v>3.5211380837040362</v>
      </c>
      <c r="CA814" s="41" t="s">
        <v>22</v>
      </c>
      <c r="CC814" t="s">
        <v>22</v>
      </c>
      <c r="CE814" s="41" t="s">
        <v>22</v>
      </c>
      <c r="CF814" s="41" t="s">
        <v>22</v>
      </c>
      <c r="CG814" s="41" t="e">
        <f t="shared" ref="CG814:CG845" si="455">AD814*1000</f>
        <v>#VALUE!</v>
      </c>
      <c r="CH814" s="41" t="e">
        <f t="shared" ref="CH814:CH845" si="456">LOG10(CG814)</f>
        <v>#VALUE!</v>
      </c>
      <c r="CI814" s="41" t="str">
        <f t="shared" ref="CI814:CI845" si="457">IF(ISNUMBER(CG814),CG814,U814)</f>
        <v>Not Reported/ Can not calculate</v>
      </c>
      <c r="CJ814" s="41" t="e">
        <f t="shared" ref="CJ814:CJ845" si="458">LOG10(CI814)</f>
        <v>#VALUE!</v>
      </c>
      <c r="CL814" s="9" t="s">
        <v>1268</v>
      </c>
      <c r="CM814" s="18" t="s">
        <v>1284</v>
      </c>
      <c r="CN814" s="54" t="s">
        <v>1284</v>
      </c>
      <c r="CO814" s="18" t="s">
        <v>1284</v>
      </c>
    </row>
    <row r="815" spans="1:93" x14ac:dyDescent="0.25">
      <c r="A815" s="18" t="s">
        <v>266</v>
      </c>
      <c r="B815" s="41">
        <v>1.2</v>
      </c>
      <c r="C815" s="41" t="s">
        <v>22</v>
      </c>
      <c r="D815" s="41" t="s">
        <v>22</v>
      </c>
      <c r="E815" s="41" t="s">
        <v>22</v>
      </c>
      <c r="F815" s="18" t="s">
        <v>22</v>
      </c>
      <c r="G815" s="18" t="s">
        <v>22</v>
      </c>
      <c r="H815" s="18" t="s">
        <v>22</v>
      </c>
      <c r="I815" s="18" t="s">
        <v>22</v>
      </c>
      <c r="J815" s="41" t="s">
        <v>22</v>
      </c>
      <c r="K815" s="18" t="s">
        <v>22</v>
      </c>
      <c r="L815" s="41" t="e">
        <f t="shared" ref="L815:L825" si="459">IF((10^-12)*J815*K815^4=0,"",(10^-12)*J815*K815^4)</f>
        <v>#VALUE!</v>
      </c>
      <c r="M815" s="18" t="s">
        <v>23</v>
      </c>
      <c r="N815" s="41">
        <v>3700</v>
      </c>
      <c r="O815" s="41" t="s">
        <v>22</v>
      </c>
      <c r="P815" s="41">
        <v>33.6</v>
      </c>
      <c r="R815" s="41">
        <f>N815*B815</f>
        <v>4440</v>
      </c>
      <c r="S815" s="41" t="s">
        <v>22</v>
      </c>
      <c r="T815" s="41" t="s">
        <v>244</v>
      </c>
      <c r="U815" s="41">
        <v>1.5</v>
      </c>
      <c r="V815" s="18">
        <v>20200406</v>
      </c>
      <c r="W815" s="21" t="s">
        <v>245</v>
      </c>
      <c r="X815" s="18">
        <v>2017</v>
      </c>
      <c r="Y815" s="18" t="s">
        <v>76</v>
      </c>
      <c r="Z815" s="18" t="s">
        <v>657</v>
      </c>
      <c r="AA815" s="18"/>
      <c r="AC815" s="18" t="s">
        <v>269</v>
      </c>
      <c r="AD815" s="41">
        <v>10</v>
      </c>
      <c r="AF815" s="41" t="s">
        <v>22</v>
      </c>
      <c r="AG815" s="41" t="s">
        <v>22</v>
      </c>
      <c r="AH815" s="41" t="s">
        <v>22</v>
      </c>
      <c r="AI815" s="41" t="s">
        <v>22</v>
      </c>
      <c r="AJ815" s="41" t="s">
        <v>22</v>
      </c>
      <c r="AK815" s="41" t="s">
        <v>22</v>
      </c>
      <c r="AL815" s="41" t="s">
        <v>22</v>
      </c>
      <c r="AM815" s="43" t="e">
        <f t="shared" si="420"/>
        <v>#VALUE!</v>
      </c>
      <c r="AN815" s="43" t="e">
        <f t="shared" si="421"/>
        <v>#VALUE!</v>
      </c>
      <c r="AO815" s="19" t="s">
        <v>246</v>
      </c>
      <c r="AP815" s="18"/>
      <c r="AQ815" s="18"/>
      <c r="AR815" s="18"/>
      <c r="AS815" s="18"/>
      <c r="AT815" s="2">
        <f t="shared" si="422"/>
        <v>1</v>
      </c>
      <c r="AU815" s="45">
        <f t="shared" si="423"/>
        <v>7.9181246047624818E-2</v>
      </c>
      <c r="AV815" s="45" t="e">
        <f t="shared" si="424"/>
        <v>#VALUE!</v>
      </c>
      <c r="AW815" s="45" t="e">
        <f t="shared" si="425"/>
        <v>#VALUE!</v>
      </c>
      <c r="AX815" s="45">
        <f t="shared" si="426"/>
        <v>3.568201724066995</v>
      </c>
      <c r="AY815" s="45" t="e">
        <f t="shared" si="427"/>
        <v>#VALUE!</v>
      </c>
      <c r="AZ815" s="45">
        <f t="shared" si="428"/>
        <v>1.5263392773898441</v>
      </c>
      <c r="BA815" s="45" t="e">
        <f t="shared" si="429"/>
        <v>#VALUE!</v>
      </c>
      <c r="BB815" s="45" t="e">
        <f t="shared" si="430"/>
        <v>#VALUE!</v>
      </c>
      <c r="BC815" s="45">
        <f t="shared" si="431"/>
        <v>0.17609125905568124</v>
      </c>
      <c r="BD815" s="45">
        <f t="shared" si="432"/>
        <v>1</v>
      </c>
      <c r="BE815" s="45" t="e">
        <f t="shared" si="433"/>
        <v>#VALUE!</v>
      </c>
      <c r="BF815" s="45" t="e">
        <f t="shared" si="434"/>
        <v>#VALUE!</v>
      </c>
      <c r="BG815" s="45" t="e">
        <f t="shared" si="435"/>
        <v>#VALUE!</v>
      </c>
      <c r="BH815" s="45" t="e">
        <f t="shared" si="436"/>
        <v>#NUM!</v>
      </c>
      <c r="BI815" s="43" t="e">
        <f t="shared" si="437"/>
        <v>#VALUE!</v>
      </c>
      <c r="BJ815" s="18"/>
      <c r="BK815" s="18"/>
      <c r="BL815" s="20"/>
      <c r="BS815" s="18"/>
      <c r="BT815" s="18"/>
      <c r="CA815" s="41" t="s">
        <v>22</v>
      </c>
      <c r="CB815" s="18"/>
      <c r="CC815" s="18" t="s">
        <v>22</v>
      </c>
      <c r="CD815" s="18"/>
      <c r="CE815" s="41" t="s">
        <v>22</v>
      </c>
      <c r="CF815" s="41" t="s">
        <v>22</v>
      </c>
      <c r="CG815" s="41">
        <f t="shared" si="455"/>
        <v>10000</v>
      </c>
      <c r="CH815" s="41">
        <f t="shared" si="456"/>
        <v>4</v>
      </c>
      <c r="CI815" s="41">
        <f t="shared" si="457"/>
        <v>10000</v>
      </c>
      <c r="CJ815" s="41">
        <f t="shared" si="458"/>
        <v>4</v>
      </c>
      <c r="CK815" s="18"/>
      <c r="CL815" s="9" t="s">
        <v>1269</v>
      </c>
      <c r="CM815" s="18" t="s">
        <v>1283</v>
      </c>
      <c r="CN815" s="54" t="s">
        <v>1284</v>
      </c>
      <c r="CO815" s="18" t="s">
        <v>1284</v>
      </c>
    </row>
    <row r="816" spans="1:93" x14ac:dyDescent="0.25">
      <c r="A816" s="18" t="s">
        <v>266</v>
      </c>
      <c r="B816" s="41">
        <v>8.5</v>
      </c>
      <c r="C816" s="41">
        <v>1.5</v>
      </c>
      <c r="D816" s="41">
        <v>5.5</v>
      </c>
      <c r="E816" s="41" t="s">
        <v>22</v>
      </c>
      <c r="F816" s="18">
        <v>0.996</v>
      </c>
      <c r="G816" s="18" t="s">
        <v>78</v>
      </c>
      <c r="H816" s="18">
        <v>6.3</v>
      </c>
      <c r="I816" s="18" t="s">
        <v>82</v>
      </c>
      <c r="J816" s="41">
        <v>32</v>
      </c>
      <c r="K816" s="18">
        <v>785</v>
      </c>
      <c r="L816" s="41">
        <f t="shared" si="459"/>
        <v>12.151464020000001</v>
      </c>
      <c r="M816" s="18" t="s">
        <v>45</v>
      </c>
      <c r="N816" s="41">
        <v>2400</v>
      </c>
      <c r="O816" s="41">
        <v>1.62</v>
      </c>
      <c r="P816" s="41">
        <v>250</v>
      </c>
      <c r="R816" s="41">
        <f>N816*B816</f>
        <v>20400</v>
      </c>
      <c r="S816" s="41">
        <f>O816*D816</f>
        <v>8.91</v>
      </c>
      <c r="T816" s="41" t="s">
        <v>226</v>
      </c>
      <c r="U816" s="41">
        <f>1.5+(2.5-1.5)/2</f>
        <v>2</v>
      </c>
      <c r="V816" s="18">
        <v>20200510</v>
      </c>
      <c r="W816" s="21" t="s">
        <v>227</v>
      </c>
      <c r="X816" s="18">
        <v>2017</v>
      </c>
      <c r="Y816" s="18" t="s">
        <v>143</v>
      </c>
      <c r="Z816" s="18" t="s">
        <v>228</v>
      </c>
      <c r="AA816" s="18"/>
      <c r="AC816" s="18" t="s">
        <v>514</v>
      </c>
      <c r="AD816" s="41">
        <v>20</v>
      </c>
      <c r="AE816" s="41">
        <v>1590</v>
      </c>
      <c r="AF816" s="41" t="s">
        <v>22</v>
      </c>
      <c r="AG816" s="41" t="s">
        <v>22</v>
      </c>
      <c r="AH816" s="41" t="s">
        <v>22</v>
      </c>
      <c r="AI816" s="41" t="s">
        <v>22</v>
      </c>
      <c r="AJ816" s="41" t="s">
        <v>22</v>
      </c>
      <c r="AK816" s="41" t="s">
        <v>22</v>
      </c>
      <c r="AL816" s="41" t="s">
        <v>22</v>
      </c>
      <c r="AM816" s="43" t="e">
        <f t="shared" si="420"/>
        <v>#VALUE!</v>
      </c>
      <c r="AN816" s="43" t="e">
        <f t="shared" si="421"/>
        <v>#VALUE!</v>
      </c>
      <c r="AO816" s="19" t="s">
        <v>229</v>
      </c>
      <c r="AP816" s="18"/>
      <c r="AQ816" s="18"/>
      <c r="AR816" s="18"/>
      <c r="AS816" s="18"/>
      <c r="AT816" s="2">
        <f t="shared" si="422"/>
        <v>10</v>
      </c>
      <c r="AU816" s="45">
        <f t="shared" si="423"/>
        <v>0.92941892571429274</v>
      </c>
      <c r="AV816" s="45">
        <f t="shared" si="424"/>
        <v>0.17609125905568124</v>
      </c>
      <c r="AW816" s="45">
        <f t="shared" si="425"/>
        <v>0.74036268949424389</v>
      </c>
      <c r="AX816" s="45">
        <f t="shared" si="426"/>
        <v>3.3802112417116059</v>
      </c>
      <c r="AY816" s="45">
        <f t="shared" si="427"/>
        <v>0.20951501454263097</v>
      </c>
      <c r="AZ816" s="45">
        <f t="shared" si="428"/>
        <v>2.3979400086720375</v>
      </c>
      <c r="BA816" s="45">
        <f t="shared" si="429"/>
        <v>1.505149978319906</v>
      </c>
      <c r="BB816" s="45">
        <f t="shared" si="430"/>
        <v>1.0846286053009162</v>
      </c>
      <c r="BC816" s="45">
        <f t="shared" si="431"/>
        <v>0.3010299956639812</v>
      </c>
      <c r="BD816" s="45">
        <f t="shared" si="432"/>
        <v>1.3010299956639813</v>
      </c>
      <c r="BE816" s="45" t="e">
        <f t="shared" si="433"/>
        <v>#VALUE!</v>
      </c>
      <c r="BF816" s="45" t="e">
        <f t="shared" si="434"/>
        <v>#VALUE!</v>
      </c>
      <c r="BG816" s="45" t="e">
        <f t="shared" si="435"/>
        <v>#VALUE!</v>
      </c>
      <c r="BH816" s="45" t="e">
        <f t="shared" si="436"/>
        <v>#NUM!</v>
      </c>
      <c r="BI816" s="43" t="e">
        <f t="shared" si="437"/>
        <v>#VALUE!</v>
      </c>
      <c r="BJ816" s="18"/>
      <c r="BK816" s="18"/>
      <c r="BL816" s="20"/>
      <c r="BS816" s="18"/>
      <c r="BT816" s="18"/>
      <c r="CA816" s="41" t="s">
        <v>22</v>
      </c>
      <c r="CB816" s="18"/>
      <c r="CC816" s="18" t="s">
        <v>22</v>
      </c>
      <c r="CD816" s="18"/>
      <c r="CE816" s="41" t="s">
        <v>22</v>
      </c>
      <c r="CF816" s="41" t="s">
        <v>22</v>
      </c>
      <c r="CG816" s="41">
        <f t="shared" si="455"/>
        <v>20000</v>
      </c>
      <c r="CH816" s="41">
        <f t="shared" si="456"/>
        <v>4.3010299956639813</v>
      </c>
      <c r="CI816" s="41">
        <f t="shared" si="457"/>
        <v>20000</v>
      </c>
      <c r="CJ816" s="41">
        <f t="shared" si="458"/>
        <v>4.3010299956639813</v>
      </c>
      <c r="CK816" s="18"/>
      <c r="CL816" s="9" t="s">
        <v>1269</v>
      </c>
      <c r="CM816" s="18" t="s">
        <v>1283</v>
      </c>
      <c r="CN816" s="54" t="s">
        <v>1284</v>
      </c>
      <c r="CO816" s="18" t="s">
        <v>1284</v>
      </c>
    </row>
    <row r="817" spans="1:93" x14ac:dyDescent="0.25">
      <c r="A817" s="18" t="s">
        <v>266</v>
      </c>
      <c r="B817" s="41">
        <v>0.79974794969062402</v>
      </c>
      <c r="C817" s="41" t="s">
        <v>22</v>
      </c>
      <c r="D817" s="41" t="s">
        <v>22</v>
      </c>
      <c r="E817" s="41" t="s">
        <v>22</v>
      </c>
      <c r="F817" s="18" t="s">
        <v>22</v>
      </c>
      <c r="G817" s="18" t="s">
        <v>22</v>
      </c>
      <c r="H817" s="18" t="s">
        <v>22</v>
      </c>
      <c r="I817" s="18" t="s">
        <v>22</v>
      </c>
      <c r="J817" s="41">
        <v>5.0331125827814596</v>
      </c>
      <c r="K817" s="18">
        <v>785</v>
      </c>
      <c r="L817" s="41">
        <f t="shared" si="459"/>
        <v>1.9112402018211931</v>
      </c>
      <c r="M817" s="18" t="s">
        <v>45</v>
      </c>
      <c r="N817" s="41">
        <v>149.656949832804</v>
      </c>
      <c r="O817" s="41" t="s">
        <v>22</v>
      </c>
      <c r="P817" s="41" t="s">
        <v>22</v>
      </c>
      <c r="R817" s="41" t="s">
        <v>22</v>
      </c>
      <c r="S817" s="41" t="s">
        <v>22</v>
      </c>
      <c r="T817" s="41" t="s">
        <v>22</v>
      </c>
      <c r="U817" s="41" t="s">
        <v>22</v>
      </c>
      <c r="V817" s="18">
        <v>20200510</v>
      </c>
      <c r="W817" s="21"/>
      <c r="X817" s="18">
        <v>2017</v>
      </c>
      <c r="Y817" s="18" t="s">
        <v>143</v>
      </c>
      <c r="Z817" s="18" t="s">
        <v>228</v>
      </c>
      <c r="AA817" s="18"/>
      <c r="AC817" s="18" t="s">
        <v>514</v>
      </c>
      <c r="AD817" s="41" t="s">
        <v>22</v>
      </c>
      <c r="AE817" s="41" t="s">
        <v>22</v>
      </c>
      <c r="AF817" s="41" t="s">
        <v>22</v>
      </c>
      <c r="AG817" s="41" t="s">
        <v>22</v>
      </c>
      <c r="AH817" s="41" t="s">
        <v>22</v>
      </c>
      <c r="AI817" s="41" t="s">
        <v>22</v>
      </c>
      <c r="AJ817" s="41" t="s">
        <v>22</v>
      </c>
      <c r="AK817" s="41" t="s">
        <v>22</v>
      </c>
      <c r="AL817" s="41" t="s">
        <v>22</v>
      </c>
      <c r="AM817" s="43" t="e">
        <f t="shared" si="420"/>
        <v>#VALUE!</v>
      </c>
      <c r="AN817" s="43" t="e">
        <f t="shared" si="421"/>
        <v>#VALUE!</v>
      </c>
      <c r="AO817" s="19" t="s">
        <v>229</v>
      </c>
      <c r="AP817" s="18"/>
      <c r="AQ817" s="18"/>
      <c r="AR817" s="18"/>
      <c r="AS817" s="18"/>
      <c r="AT817" s="2">
        <f t="shared" si="422"/>
        <v>10</v>
      </c>
      <c r="AU817" s="45">
        <f t="shared" si="423"/>
        <v>-9.7046864640778857E-2</v>
      </c>
      <c r="AV817" s="45" t="e">
        <f t="shared" si="424"/>
        <v>#VALUE!</v>
      </c>
      <c r="AW817" s="45" t="e">
        <f t="shared" si="425"/>
        <v>#VALUE!</v>
      </c>
      <c r="AX817" s="45">
        <f t="shared" si="426"/>
        <v>2.1750968895955478</v>
      </c>
      <c r="AY817" s="45" t="e">
        <f t="shared" si="427"/>
        <v>#VALUE!</v>
      </c>
      <c r="AZ817" s="45" t="e">
        <f t="shared" si="428"/>
        <v>#VALUE!</v>
      </c>
      <c r="BA817" s="45">
        <f t="shared" si="429"/>
        <v>0.7018366449876221</v>
      </c>
      <c r="BB817" s="45">
        <f t="shared" si="430"/>
        <v>0.28131527196863232</v>
      </c>
      <c r="BC817" s="45" t="e">
        <f t="shared" si="431"/>
        <v>#VALUE!</v>
      </c>
      <c r="BD817" s="45" t="e">
        <f t="shared" si="432"/>
        <v>#VALUE!</v>
      </c>
      <c r="BE817" s="45" t="e">
        <f t="shared" si="433"/>
        <v>#VALUE!</v>
      </c>
      <c r="BF817" s="45" t="e">
        <f t="shared" si="434"/>
        <v>#VALUE!</v>
      </c>
      <c r="BG817" s="45" t="e">
        <f t="shared" si="435"/>
        <v>#VALUE!</v>
      </c>
      <c r="BH817" s="45" t="e">
        <f t="shared" si="436"/>
        <v>#NUM!</v>
      </c>
      <c r="BI817" s="43" t="e">
        <f t="shared" si="437"/>
        <v>#VALUE!</v>
      </c>
      <c r="BJ817" s="18"/>
      <c r="BK817" s="18"/>
      <c r="BL817" s="20"/>
      <c r="BS817" s="18"/>
      <c r="BT817" s="18"/>
      <c r="CA817" s="41" t="s">
        <v>22</v>
      </c>
      <c r="CB817" s="18"/>
      <c r="CC817" s="18" t="s">
        <v>22</v>
      </c>
      <c r="CD817" s="18"/>
      <c r="CE817" s="41" t="s">
        <v>22</v>
      </c>
      <c r="CF817" s="41" t="s">
        <v>22</v>
      </c>
      <c r="CG817" s="41" t="e">
        <f t="shared" si="455"/>
        <v>#VALUE!</v>
      </c>
      <c r="CH817" s="41" t="e">
        <f t="shared" si="456"/>
        <v>#VALUE!</v>
      </c>
      <c r="CI817" s="41" t="str">
        <f t="shared" si="457"/>
        <v>Not Reported/ Can not calculate</v>
      </c>
      <c r="CJ817" s="41" t="e">
        <f t="shared" si="458"/>
        <v>#VALUE!</v>
      </c>
      <c r="CK817" s="18"/>
      <c r="CL817" s="9" t="s">
        <v>1269</v>
      </c>
      <c r="CM817" s="18" t="s">
        <v>1284</v>
      </c>
      <c r="CN817" s="54" t="s">
        <v>1284</v>
      </c>
      <c r="CO817" s="18" t="s">
        <v>1284</v>
      </c>
    </row>
    <row r="818" spans="1:93" x14ac:dyDescent="0.25">
      <c r="A818" s="18" t="s">
        <v>266</v>
      </c>
      <c r="B818" s="41">
        <v>4.3606553152203302</v>
      </c>
      <c r="C818" s="41" t="s">
        <v>22</v>
      </c>
      <c r="D818" s="41" t="s">
        <v>22</v>
      </c>
      <c r="E818" s="41" t="s">
        <v>22</v>
      </c>
      <c r="F818" s="18" t="s">
        <v>22</v>
      </c>
      <c r="G818" s="18" t="s">
        <v>22</v>
      </c>
      <c r="H818" s="18" t="s">
        <v>22</v>
      </c>
      <c r="I818" s="18" t="s">
        <v>22</v>
      </c>
      <c r="J818" s="41">
        <v>9.3377483443708602</v>
      </c>
      <c r="K818" s="18">
        <v>785</v>
      </c>
      <c r="L818" s="41">
        <f t="shared" si="459"/>
        <v>3.5458535323261589</v>
      </c>
      <c r="M818" s="18" t="s">
        <v>45</v>
      </c>
      <c r="N818" s="41">
        <v>878.86725412218004</v>
      </c>
      <c r="O818" s="41" t="s">
        <v>22</v>
      </c>
      <c r="P818" s="41" t="s">
        <v>22</v>
      </c>
      <c r="R818" s="41" t="s">
        <v>22</v>
      </c>
      <c r="S818" s="41" t="s">
        <v>22</v>
      </c>
      <c r="T818" s="41" t="s">
        <v>22</v>
      </c>
      <c r="U818" s="41" t="s">
        <v>22</v>
      </c>
      <c r="V818" s="18">
        <v>20200510</v>
      </c>
      <c r="W818" s="21"/>
      <c r="X818" s="18">
        <v>2017</v>
      </c>
      <c r="Y818" s="18" t="s">
        <v>143</v>
      </c>
      <c r="Z818" s="18" t="s">
        <v>228</v>
      </c>
      <c r="AA818" s="18"/>
      <c r="AC818" s="18" t="s">
        <v>514</v>
      </c>
      <c r="AD818" s="41" t="s">
        <v>22</v>
      </c>
      <c r="AE818" s="41" t="s">
        <v>22</v>
      </c>
      <c r="AF818" s="41" t="s">
        <v>22</v>
      </c>
      <c r="AG818" s="41" t="s">
        <v>22</v>
      </c>
      <c r="AH818" s="41" t="s">
        <v>22</v>
      </c>
      <c r="AI818" s="41" t="s">
        <v>22</v>
      </c>
      <c r="AJ818" s="41" t="s">
        <v>22</v>
      </c>
      <c r="AK818" s="41" t="s">
        <v>22</v>
      </c>
      <c r="AL818" s="41" t="s">
        <v>22</v>
      </c>
      <c r="AM818" s="43" t="e">
        <f t="shared" si="420"/>
        <v>#VALUE!</v>
      </c>
      <c r="AN818" s="43" t="e">
        <f t="shared" si="421"/>
        <v>#VALUE!</v>
      </c>
      <c r="AO818" s="19" t="s">
        <v>229</v>
      </c>
      <c r="AP818" s="18"/>
      <c r="AQ818" s="18"/>
      <c r="AR818" s="18"/>
      <c r="AS818" s="18"/>
      <c r="AT818" s="2">
        <f t="shared" si="422"/>
        <v>10</v>
      </c>
      <c r="AU818" s="45">
        <f t="shared" si="423"/>
        <v>0.63955175954343235</v>
      </c>
      <c r="AV818" s="45" t="e">
        <f t="shared" si="424"/>
        <v>#VALUE!</v>
      </c>
      <c r="AW818" s="45" t="e">
        <f t="shared" si="425"/>
        <v>#VALUE!</v>
      </c>
      <c r="AX818" s="45">
        <f t="shared" si="426"/>
        <v>2.9439232833151143</v>
      </c>
      <c r="AY818" s="45" t="e">
        <f t="shared" si="427"/>
        <v>#VALUE!</v>
      </c>
      <c r="AZ818" s="45" t="e">
        <f t="shared" si="428"/>
        <v>#VALUE!</v>
      </c>
      <c r="BA818" s="45">
        <f t="shared" si="429"/>
        <v>0.97024216536221042</v>
      </c>
      <c r="BB818" s="45">
        <f t="shared" si="430"/>
        <v>0.54972079234322058</v>
      </c>
      <c r="BC818" s="45" t="e">
        <f t="shared" si="431"/>
        <v>#VALUE!</v>
      </c>
      <c r="BD818" s="45" t="e">
        <f t="shared" si="432"/>
        <v>#VALUE!</v>
      </c>
      <c r="BE818" s="45" t="e">
        <f t="shared" si="433"/>
        <v>#VALUE!</v>
      </c>
      <c r="BF818" s="45" t="e">
        <f t="shared" si="434"/>
        <v>#VALUE!</v>
      </c>
      <c r="BG818" s="45" t="e">
        <f t="shared" si="435"/>
        <v>#VALUE!</v>
      </c>
      <c r="BH818" s="45" t="e">
        <f t="shared" si="436"/>
        <v>#NUM!</v>
      </c>
      <c r="BI818" s="43" t="e">
        <f t="shared" si="437"/>
        <v>#VALUE!</v>
      </c>
      <c r="BJ818" s="18"/>
      <c r="BK818" s="18"/>
      <c r="BL818" s="20"/>
      <c r="BS818" s="18"/>
      <c r="BT818" s="18"/>
      <c r="CA818" s="41" t="s">
        <v>22</v>
      </c>
      <c r="CB818" s="18"/>
      <c r="CC818" s="18" t="s">
        <v>22</v>
      </c>
      <c r="CD818" s="18"/>
      <c r="CE818" s="41" t="s">
        <v>22</v>
      </c>
      <c r="CF818" s="41" t="s">
        <v>22</v>
      </c>
      <c r="CG818" s="41" t="e">
        <f t="shared" si="455"/>
        <v>#VALUE!</v>
      </c>
      <c r="CH818" s="41" t="e">
        <f t="shared" si="456"/>
        <v>#VALUE!</v>
      </c>
      <c r="CI818" s="41" t="str">
        <f t="shared" si="457"/>
        <v>Not Reported/ Can not calculate</v>
      </c>
      <c r="CJ818" s="41" t="e">
        <f t="shared" si="458"/>
        <v>#VALUE!</v>
      </c>
      <c r="CK818" s="18"/>
      <c r="CL818" s="9" t="s">
        <v>1269</v>
      </c>
      <c r="CM818" s="18" t="s">
        <v>1284</v>
      </c>
      <c r="CN818" s="54" t="s">
        <v>1284</v>
      </c>
      <c r="CO818" s="18" t="s">
        <v>1284</v>
      </c>
    </row>
    <row r="819" spans="1:93" x14ac:dyDescent="0.25">
      <c r="A819" s="18" t="s">
        <v>266</v>
      </c>
      <c r="B819" s="41">
        <v>2.38875061847836</v>
      </c>
      <c r="C819" s="41" t="s">
        <v>22</v>
      </c>
      <c r="D819" s="41" t="s">
        <v>22</v>
      </c>
      <c r="E819" s="41" t="s">
        <v>22</v>
      </c>
      <c r="F819" t="s">
        <v>22</v>
      </c>
      <c r="G819" t="s">
        <v>22</v>
      </c>
      <c r="H819" t="s">
        <v>22</v>
      </c>
      <c r="I819" t="s">
        <v>22</v>
      </c>
      <c r="J819" s="41">
        <v>10.3311258278145</v>
      </c>
      <c r="K819">
        <v>785</v>
      </c>
      <c r="L819" s="41">
        <f t="shared" si="459"/>
        <v>3.9230719932118938</v>
      </c>
      <c r="M819" t="s">
        <v>45</v>
      </c>
      <c r="N819" s="41">
        <v>1138.0626047688199</v>
      </c>
      <c r="O819" s="41" t="s">
        <v>22</v>
      </c>
      <c r="P819" s="41" t="s">
        <v>22</v>
      </c>
      <c r="R819" s="41" t="s">
        <v>22</v>
      </c>
      <c r="S819" s="41" t="s">
        <v>22</v>
      </c>
      <c r="T819" s="41" t="s">
        <v>22</v>
      </c>
      <c r="U819" s="41" t="s">
        <v>22</v>
      </c>
      <c r="V819">
        <v>20200510</v>
      </c>
      <c r="X819">
        <v>2017</v>
      </c>
      <c r="Y819" t="s">
        <v>143</v>
      </c>
      <c r="Z819" t="s">
        <v>228</v>
      </c>
      <c r="AC819" t="s">
        <v>514</v>
      </c>
      <c r="AD819" s="41" t="s">
        <v>22</v>
      </c>
      <c r="AE819" s="41" t="s">
        <v>22</v>
      </c>
      <c r="AF819" s="41" t="s">
        <v>22</v>
      </c>
      <c r="AG819" s="41" t="s">
        <v>22</v>
      </c>
      <c r="AH819" s="41" t="s">
        <v>22</v>
      </c>
      <c r="AI819" s="41" t="s">
        <v>22</v>
      </c>
      <c r="AJ819" s="41" t="s">
        <v>22</v>
      </c>
      <c r="AK819" s="41" t="s">
        <v>22</v>
      </c>
      <c r="AL819" s="41" t="s">
        <v>22</v>
      </c>
      <c r="AM819" s="43" t="e">
        <f t="shared" si="420"/>
        <v>#VALUE!</v>
      </c>
      <c r="AN819" s="43" t="e">
        <f t="shared" si="421"/>
        <v>#VALUE!</v>
      </c>
      <c r="AO819" s="3" t="s">
        <v>229</v>
      </c>
      <c r="AT819" s="2">
        <f t="shared" si="422"/>
        <v>10</v>
      </c>
      <c r="AU819" s="45">
        <f t="shared" si="423"/>
        <v>0.37817081250752943</v>
      </c>
      <c r="AV819" s="45" t="e">
        <f t="shared" si="424"/>
        <v>#VALUE!</v>
      </c>
      <c r="AW819" s="45" t="e">
        <f t="shared" si="425"/>
        <v>#VALUE!</v>
      </c>
      <c r="AX819" s="45">
        <f t="shared" si="426"/>
        <v>3.0561661532346194</v>
      </c>
      <c r="AY819" s="45" t="e">
        <f t="shared" si="427"/>
        <v>#VALUE!</v>
      </c>
      <c r="AZ819" s="45" t="e">
        <f t="shared" si="428"/>
        <v>#VALUE!</v>
      </c>
      <c r="BA819" s="45">
        <f t="shared" si="429"/>
        <v>1.0141476510612892</v>
      </c>
      <c r="BB819" s="45">
        <f t="shared" si="430"/>
        <v>0.59362627804229939</v>
      </c>
      <c r="BC819" s="45" t="e">
        <f t="shared" si="431"/>
        <v>#VALUE!</v>
      </c>
      <c r="BD819" s="45" t="e">
        <f t="shared" si="432"/>
        <v>#VALUE!</v>
      </c>
      <c r="BE819" s="45" t="e">
        <f t="shared" si="433"/>
        <v>#VALUE!</v>
      </c>
      <c r="BF819" s="45" t="e">
        <f t="shared" si="434"/>
        <v>#VALUE!</v>
      </c>
      <c r="BG819" s="45" t="e">
        <f t="shared" si="435"/>
        <v>#VALUE!</v>
      </c>
      <c r="BH819" s="45" t="e">
        <f t="shared" si="436"/>
        <v>#NUM!</v>
      </c>
      <c r="BI819" s="43" t="e">
        <f t="shared" si="437"/>
        <v>#VALUE!</v>
      </c>
      <c r="CA819" s="41" t="s">
        <v>22</v>
      </c>
      <c r="CC819" t="s">
        <v>22</v>
      </c>
      <c r="CE819" s="41" t="s">
        <v>22</v>
      </c>
      <c r="CF819" s="41" t="s">
        <v>22</v>
      </c>
      <c r="CG819" s="41" t="e">
        <f t="shared" si="455"/>
        <v>#VALUE!</v>
      </c>
      <c r="CH819" s="41" t="e">
        <f t="shared" si="456"/>
        <v>#VALUE!</v>
      </c>
      <c r="CI819" s="41" t="str">
        <f t="shared" si="457"/>
        <v>Not Reported/ Can not calculate</v>
      </c>
      <c r="CJ819" s="41" t="e">
        <f t="shared" si="458"/>
        <v>#VALUE!</v>
      </c>
      <c r="CL819" s="9" t="s">
        <v>1269</v>
      </c>
      <c r="CM819" s="18" t="s">
        <v>1284</v>
      </c>
      <c r="CN819" s="54" t="s">
        <v>1284</v>
      </c>
      <c r="CO819" s="18" t="s">
        <v>1284</v>
      </c>
    </row>
    <row r="820" spans="1:93" x14ac:dyDescent="0.25">
      <c r="A820" s="18" t="s">
        <v>266</v>
      </c>
      <c r="B820" s="41">
        <v>2.8918032666248901</v>
      </c>
      <c r="C820" s="41" t="s">
        <v>22</v>
      </c>
      <c r="D820" s="41" t="s">
        <v>22</v>
      </c>
      <c r="E820" s="41" t="s">
        <v>22</v>
      </c>
      <c r="F820" t="s">
        <v>22</v>
      </c>
      <c r="G820" t="s">
        <v>22</v>
      </c>
      <c r="H820" t="s">
        <v>22</v>
      </c>
      <c r="I820" t="s">
        <v>22</v>
      </c>
      <c r="J820" s="41">
        <v>15.8940397350993</v>
      </c>
      <c r="K820">
        <v>785</v>
      </c>
      <c r="L820" s="41">
        <f t="shared" si="459"/>
        <v>6.0354953741721715</v>
      </c>
      <c r="M820" t="s">
        <v>45</v>
      </c>
      <c r="N820" s="41">
        <v>654.904656122348</v>
      </c>
      <c r="O820" s="41" t="s">
        <v>22</v>
      </c>
      <c r="P820" s="41" t="s">
        <v>22</v>
      </c>
      <c r="R820" s="41" t="s">
        <v>22</v>
      </c>
      <c r="S820" s="41" t="s">
        <v>22</v>
      </c>
      <c r="T820" s="41" t="s">
        <v>22</v>
      </c>
      <c r="U820" s="41" t="s">
        <v>22</v>
      </c>
      <c r="V820">
        <v>20200510</v>
      </c>
      <c r="X820">
        <v>2017</v>
      </c>
      <c r="Y820" t="s">
        <v>143</v>
      </c>
      <c r="Z820" t="s">
        <v>228</v>
      </c>
      <c r="AC820" t="s">
        <v>514</v>
      </c>
      <c r="AD820" s="41" t="s">
        <v>22</v>
      </c>
      <c r="AE820" s="41" t="s">
        <v>22</v>
      </c>
      <c r="AF820" s="41" t="s">
        <v>22</v>
      </c>
      <c r="AG820" s="41" t="s">
        <v>22</v>
      </c>
      <c r="AH820" s="41" t="s">
        <v>22</v>
      </c>
      <c r="AI820" s="41" t="s">
        <v>22</v>
      </c>
      <c r="AJ820" s="41" t="s">
        <v>22</v>
      </c>
      <c r="AK820" s="41" t="s">
        <v>22</v>
      </c>
      <c r="AL820" s="41" t="s">
        <v>22</v>
      </c>
      <c r="AM820" s="43" t="e">
        <f t="shared" si="420"/>
        <v>#VALUE!</v>
      </c>
      <c r="AN820" s="43" t="e">
        <f t="shared" si="421"/>
        <v>#VALUE!</v>
      </c>
      <c r="AO820" s="19" t="s">
        <v>229</v>
      </c>
      <c r="AT820" s="2">
        <f t="shared" si="422"/>
        <v>10</v>
      </c>
      <c r="AU820" s="45">
        <f t="shared" si="423"/>
        <v>0.46116874397330282</v>
      </c>
      <c r="AV820" s="45" t="e">
        <f t="shared" si="424"/>
        <v>#VALUE!</v>
      </c>
      <c r="AW820" s="45" t="e">
        <f t="shared" si="425"/>
        <v>#VALUE!</v>
      </c>
      <c r="AX820" s="45">
        <f t="shared" si="426"/>
        <v>2.81617807810792</v>
      </c>
      <c r="AY820" s="45" t="e">
        <f t="shared" si="427"/>
        <v>#VALUE!</v>
      </c>
      <c r="AZ820" s="45" t="e">
        <f t="shared" si="428"/>
        <v>#VALUE!</v>
      </c>
      <c r="BA820" s="45">
        <f t="shared" si="429"/>
        <v>1.2012342944184355</v>
      </c>
      <c r="BB820" s="45">
        <f t="shared" si="430"/>
        <v>0.7807129213994457</v>
      </c>
      <c r="BC820" s="45" t="e">
        <f t="shared" si="431"/>
        <v>#VALUE!</v>
      </c>
      <c r="BD820" s="45" t="e">
        <f t="shared" si="432"/>
        <v>#VALUE!</v>
      </c>
      <c r="BE820" s="45" t="e">
        <f t="shared" si="433"/>
        <v>#VALUE!</v>
      </c>
      <c r="BF820" s="45" t="e">
        <f t="shared" si="434"/>
        <v>#VALUE!</v>
      </c>
      <c r="BG820" s="45" t="e">
        <f t="shared" si="435"/>
        <v>#VALUE!</v>
      </c>
      <c r="BH820" s="45" t="e">
        <f t="shared" si="436"/>
        <v>#NUM!</v>
      </c>
      <c r="BI820" s="43" t="e">
        <f t="shared" si="437"/>
        <v>#VALUE!</v>
      </c>
      <c r="CA820" s="41" t="s">
        <v>22</v>
      </c>
      <c r="CC820" t="s">
        <v>22</v>
      </c>
      <c r="CE820" s="41" t="s">
        <v>22</v>
      </c>
      <c r="CF820" s="41" t="s">
        <v>22</v>
      </c>
      <c r="CG820" s="41" t="e">
        <f t="shared" si="455"/>
        <v>#VALUE!</v>
      </c>
      <c r="CH820" s="41" t="e">
        <f t="shared" si="456"/>
        <v>#VALUE!</v>
      </c>
      <c r="CI820" s="41" t="str">
        <f t="shared" si="457"/>
        <v>Not Reported/ Can not calculate</v>
      </c>
      <c r="CJ820" s="41" t="e">
        <f t="shared" si="458"/>
        <v>#VALUE!</v>
      </c>
      <c r="CL820" s="9" t="s">
        <v>1269</v>
      </c>
      <c r="CM820" s="18" t="s">
        <v>1284</v>
      </c>
      <c r="CN820" s="54" t="s">
        <v>1284</v>
      </c>
      <c r="CO820" s="18" t="s">
        <v>1284</v>
      </c>
    </row>
    <row r="821" spans="1:93" x14ac:dyDescent="0.25">
      <c r="A821" t="s">
        <v>266</v>
      </c>
      <c r="B821" s="41">
        <v>4.2021981054520801</v>
      </c>
      <c r="C821" s="41" t="s">
        <v>22</v>
      </c>
      <c r="D821" s="41" t="s">
        <v>22</v>
      </c>
      <c r="E821" s="41" t="s">
        <v>22</v>
      </c>
      <c r="F821" t="s">
        <v>22</v>
      </c>
      <c r="G821" t="s">
        <v>22</v>
      </c>
      <c r="H821" t="s">
        <v>22</v>
      </c>
      <c r="I821" t="s">
        <v>22</v>
      </c>
      <c r="J821" s="41">
        <v>16.556291390728401</v>
      </c>
      <c r="K821">
        <v>785</v>
      </c>
      <c r="L821" s="41">
        <f t="shared" si="459"/>
        <v>6.2869743480959981</v>
      </c>
      <c r="M821" t="s">
        <v>45</v>
      </c>
      <c r="N821" s="41">
        <v>767.79091559331107</v>
      </c>
      <c r="O821" s="41" t="s">
        <v>22</v>
      </c>
      <c r="P821" s="41" t="s">
        <v>22</v>
      </c>
      <c r="R821" s="41" t="s">
        <v>22</v>
      </c>
      <c r="S821" s="41" t="s">
        <v>22</v>
      </c>
      <c r="T821" s="41" t="s">
        <v>22</v>
      </c>
      <c r="U821" s="41" t="s">
        <v>22</v>
      </c>
      <c r="V821">
        <v>20200510</v>
      </c>
      <c r="X821">
        <v>2017</v>
      </c>
      <c r="Y821" t="s">
        <v>143</v>
      </c>
      <c r="Z821" t="s">
        <v>228</v>
      </c>
      <c r="AC821" t="s">
        <v>514</v>
      </c>
      <c r="AD821" s="41" t="s">
        <v>22</v>
      </c>
      <c r="AE821" s="41" t="s">
        <v>22</v>
      </c>
      <c r="AF821" s="41" t="s">
        <v>22</v>
      </c>
      <c r="AG821" s="41" t="s">
        <v>22</v>
      </c>
      <c r="AH821" s="41" t="s">
        <v>22</v>
      </c>
      <c r="AI821" s="41" t="s">
        <v>22</v>
      </c>
      <c r="AJ821" s="41" t="s">
        <v>22</v>
      </c>
      <c r="AK821" s="41" t="s">
        <v>22</v>
      </c>
      <c r="AL821" s="41" t="s">
        <v>22</v>
      </c>
      <c r="AM821" s="43" t="e">
        <f t="shared" si="420"/>
        <v>#VALUE!</v>
      </c>
      <c r="AN821" s="43" t="e">
        <f t="shared" si="421"/>
        <v>#VALUE!</v>
      </c>
      <c r="AO821" s="3" t="s">
        <v>229</v>
      </c>
      <c r="AT821" s="2">
        <f t="shared" si="422"/>
        <v>10</v>
      </c>
      <c r="AU821" s="45">
        <f t="shared" si="423"/>
        <v>0.62347652262410536</v>
      </c>
      <c r="AV821" s="45" t="e">
        <f t="shared" si="424"/>
        <v>#VALUE!</v>
      </c>
      <c r="AW821" s="45" t="e">
        <f t="shared" si="425"/>
        <v>#VALUE!</v>
      </c>
      <c r="AX821" s="45">
        <f t="shared" si="426"/>
        <v>2.8852429692934511</v>
      </c>
      <c r="AY821" s="45" t="e">
        <f t="shared" si="427"/>
        <v>#VALUE!</v>
      </c>
      <c r="AZ821" s="45" t="e">
        <f t="shared" si="428"/>
        <v>#VALUE!</v>
      </c>
      <c r="BA821" s="45">
        <f t="shared" si="429"/>
        <v>1.2189630613788662</v>
      </c>
      <c r="BB821" s="45">
        <f t="shared" si="430"/>
        <v>0.79844168835987639</v>
      </c>
      <c r="BC821" s="45" t="e">
        <f t="shared" si="431"/>
        <v>#VALUE!</v>
      </c>
      <c r="BD821" s="45" t="e">
        <f t="shared" si="432"/>
        <v>#VALUE!</v>
      </c>
      <c r="BE821" s="45" t="e">
        <f t="shared" si="433"/>
        <v>#VALUE!</v>
      </c>
      <c r="BF821" s="45" t="e">
        <f t="shared" si="434"/>
        <v>#VALUE!</v>
      </c>
      <c r="BG821" s="45" t="e">
        <f t="shared" si="435"/>
        <v>#VALUE!</v>
      </c>
      <c r="BH821" s="45" t="e">
        <f t="shared" si="436"/>
        <v>#NUM!</v>
      </c>
      <c r="BI821" s="43" t="e">
        <f t="shared" si="437"/>
        <v>#VALUE!</v>
      </c>
      <c r="CA821" s="41" t="s">
        <v>22</v>
      </c>
      <c r="CC821" t="s">
        <v>22</v>
      </c>
      <c r="CE821" s="41" t="s">
        <v>22</v>
      </c>
      <c r="CF821" s="41" t="s">
        <v>22</v>
      </c>
      <c r="CG821" s="41" t="e">
        <f t="shared" si="455"/>
        <v>#VALUE!</v>
      </c>
      <c r="CH821" s="41" t="e">
        <f t="shared" si="456"/>
        <v>#VALUE!</v>
      </c>
      <c r="CI821" s="41" t="str">
        <f t="shared" si="457"/>
        <v>Not Reported/ Can not calculate</v>
      </c>
      <c r="CJ821" s="41" t="e">
        <f t="shared" si="458"/>
        <v>#VALUE!</v>
      </c>
      <c r="CL821" s="9" t="s">
        <v>1269</v>
      </c>
      <c r="CM821" s="18" t="s">
        <v>1284</v>
      </c>
      <c r="CN821" s="54" t="s">
        <v>1284</v>
      </c>
      <c r="CO821" s="18" t="s">
        <v>1284</v>
      </c>
    </row>
    <row r="822" spans="1:93" x14ac:dyDescent="0.25">
      <c r="A822" t="s">
        <v>266</v>
      </c>
      <c r="B822" s="41">
        <v>3.3451792128470599</v>
      </c>
      <c r="C822" s="41" t="s">
        <v>22</v>
      </c>
      <c r="D822" s="41" t="s">
        <v>22</v>
      </c>
      <c r="E822" s="41" t="s">
        <v>22</v>
      </c>
      <c r="F822" t="s">
        <v>22</v>
      </c>
      <c r="G822" t="s">
        <v>22</v>
      </c>
      <c r="H822" t="s">
        <v>22</v>
      </c>
      <c r="I822" t="s">
        <v>22</v>
      </c>
      <c r="J822" s="41">
        <v>18.3443708609271</v>
      </c>
      <c r="K822">
        <v>785</v>
      </c>
      <c r="L822" s="41">
        <f t="shared" si="459"/>
        <v>6.9659675776903773</v>
      </c>
      <c r="M822" t="s">
        <v>45</v>
      </c>
      <c r="N822" s="41">
        <v>1105.3149342814199</v>
      </c>
      <c r="O822" s="41" t="s">
        <v>22</v>
      </c>
      <c r="P822" s="41" t="s">
        <v>22</v>
      </c>
      <c r="R822" s="41" t="s">
        <v>22</v>
      </c>
      <c r="S822" s="41" t="s">
        <v>22</v>
      </c>
      <c r="T822" s="41" t="s">
        <v>22</v>
      </c>
      <c r="U822" s="41" t="s">
        <v>22</v>
      </c>
      <c r="V822">
        <v>20200510</v>
      </c>
      <c r="X822">
        <v>2017</v>
      </c>
      <c r="Y822" t="s">
        <v>143</v>
      </c>
      <c r="Z822" t="s">
        <v>228</v>
      </c>
      <c r="AC822" t="s">
        <v>514</v>
      </c>
      <c r="AD822" s="41" t="s">
        <v>22</v>
      </c>
      <c r="AE822" s="41" t="s">
        <v>22</v>
      </c>
      <c r="AF822" s="41" t="s">
        <v>22</v>
      </c>
      <c r="AG822" s="41" t="s">
        <v>22</v>
      </c>
      <c r="AH822" s="41" t="s">
        <v>22</v>
      </c>
      <c r="AI822" s="41" t="s">
        <v>22</v>
      </c>
      <c r="AJ822" s="41" t="s">
        <v>22</v>
      </c>
      <c r="AK822" s="41" t="s">
        <v>22</v>
      </c>
      <c r="AL822" s="41" t="s">
        <v>22</v>
      </c>
      <c r="AM822" s="43" t="e">
        <f t="shared" si="420"/>
        <v>#VALUE!</v>
      </c>
      <c r="AN822" s="43" t="e">
        <f t="shared" si="421"/>
        <v>#VALUE!</v>
      </c>
      <c r="AO822" s="3" t="s">
        <v>229</v>
      </c>
      <c r="AT822" s="2">
        <f t="shared" si="422"/>
        <v>10</v>
      </c>
      <c r="AU822" s="45">
        <f t="shared" si="423"/>
        <v>0.52441938938805266</v>
      </c>
      <c r="AV822" s="45" t="e">
        <f t="shared" si="424"/>
        <v>#VALUE!</v>
      </c>
      <c r="AW822" s="45" t="e">
        <f t="shared" si="425"/>
        <v>#VALUE!</v>
      </c>
      <c r="AX822" s="45">
        <f t="shared" si="426"/>
        <v>3.0434860379608439</v>
      </c>
      <c r="AY822" s="45" t="e">
        <f t="shared" si="427"/>
        <v>#VALUE!</v>
      </c>
      <c r="AZ822" s="45" t="e">
        <f t="shared" si="428"/>
        <v>#VALUE!</v>
      </c>
      <c r="BA822" s="45">
        <f t="shared" si="429"/>
        <v>1.2635028217712778</v>
      </c>
      <c r="BB822" s="45">
        <f t="shared" si="430"/>
        <v>0.84298144875228809</v>
      </c>
      <c r="BC822" s="45" t="e">
        <f t="shared" si="431"/>
        <v>#VALUE!</v>
      </c>
      <c r="BD822" s="45" t="e">
        <f t="shared" si="432"/>
        <v>#VALUE!</v>
      </c>
      <c r="BE822" s="45" t="e">
        <f t="shared" si="433"/>
        <v>#VALUE!</v>
      </c>
      <c r="BF822" s="45" t="e">
        <f t="shared" si="434"/>
        <v>#VALUE!</v>
      </c>
      <c r="BG822" s="45" t="e">
        <f t="shared" si="435"/>
        <v>#VALUE!</v>
      </c>
      <c r="BH822" s="45" t="e">
        <f t="shared" si="436"/>
        <v>#NUM!</v>
      </c>
      <c r="BI822" s="43" t="e">
        <f t="shared" si="437"/>
        <v>#VALUE!</v>
      </c>
      <c r="CA822" s="41" t="s">
        <v>22</v>
      </c>
      <c r="CC822" t="s">
        <v>22</v>
      </c>
      <c r="CE822" s="41" t="s">
        <v>22</v>
      </c>
      <c r="CF822" s="41" t="s">
        <v>22</v>
      </c>
      <c r="CG822" s="41" t="e">
        <f t="shared" si="455"/>
        <v>#VALUE!</v>
      </c>
      <c r="CH822" s="41" t="e">
        <f t="shared" si="456"/>
        <v>#VALUE!</v>
      </c>
      <c r="CI822" s="41" t="str">
        <f t="shared" si="457"/>
        <v>Not Reported/ Can not calculate</v>
      </c>
      <c r="CJ822" s="41" t="e">
        <f t="shared" si="458"/>
        <v>#VALUE!</v>
      </c>
      <c r="CL822" s="9" t="s">
        <v>1269</v>
      </c>
      <c r="CM822" s="18" t="s">
        <v>1284</v>
      </c>
      <c r="CN822" s="54" t="s">
        <v>1284</v>
      </c>
      <c r="CO822" s="18" t="s">
        <v>1284</v>
      </c>
    </row>
    <row r="823" spans="1:93" x14ac:dyDescent="0.25">
      <c r="A823" s="18" t="s">
        <v>266</v>
      </c>
      <c r="B823" s="41">
        <v>5.03473474609783</v>
      </c>
      <c r="C823" s="41" t="s">
        <v>22</v>
      </c>
      <c r="D823" s="41" t="s">
        <v>22</v>
      </c>
      <c r="E823" s="41" t="s">
        <v>22</v>
      </c>
      <c r="F823" t="s">
        <v>22</v>
      </c>
      <c r="G823" t="s">
        <v>22</v>
      </c>
      <c r="H823" t="s">
        <v>22</v>
      </c>
      <c r="I823" t="s">
        <v>22</v>
      </c>
      <c r="J823" s="41">
        <v>24.966887417218501</v>
      </c>
      <c r="K823">
        <v>785</v>
      </c>
      <c r="L823" s="41">
        <f t="shared" si="459"/>
        <v>9.4807573169287913</v>
      </c>
      <c r="M823" t="s">
        <v>45</v>
      </c>
      <c r="N823" s="41">
        <v>998.37671851563607</v>
      </c>
      <c r="O823" s="41" t="s">
        <v>22</v>
      </c>
      <c r="P823" s="41" t="s">
        <v>22</v>
      </c>
      <c r="R823" s="41" t="s">
        <v>22</v>
      </c>
      <c r="S823" s="41" t="s">
        <v>22</v>
      </c>
      <c r="T823" s="41" t="s">
        <v>22</v>
      </c>
      <c r="U823" s="41" t="s">
        <v>22</v>
      </c>
      <c r="V823">
        <v>20200510</v>
      </c>
      <c r="W823" s="21"/>
      <c r="X823" s="18">
        <v>2017</v>
      </c>
      <c r="Y823" s="18" t="s">
        <v>143</v>
      </c>
      <c r="Z823" s="18" t="s">
        <v>228</v>
      </c>
      <c r="AC823" t="s">
        <v>514</v>
      </c>
      <c r="AD823" s="41" t="s">
        <v>22</v>
      </c>
      <c r="AE823" s="41" t="s">
        <v>22</v>
      </c>
      <c r="AF823" s="41" t="s">
        <v>22</v>
      </c>
      <c r="AG823" s="41" t="s">
        <v>22</v>
      </c>
      <c r="AH823" s="41" t="s">
        <v>22</v>
      </c>
      <c r="AI823" s="41" t="s">
        <v>22</v>
      </c>
      <c r="AJ823" s="41" t="s">
        <v>22</v>
      </c>
      <c r="AK823" s="41" t="s">
        <v>22</v>
      </c>
      <c r="AL823" s="41" t="s">
        <v>22</v>
      </c>
      <c r="AM823" s="43" t="e">
        <f t="shared" si="420"/>
        <v>#VALUE!</v>
      </c>
      <c r="AN823" s="43" t="e">
        <f t="shared" si="421"/>
        <v>#VALUE!</v>
      </c>
      <c r="AO823" s="19" t="s">
        <v>229</v>
      </c>
      <c r="AT823" s="2">
        <f t="shared" si="422"/>
        <v>10</v>
      </c>
      <c r="AU823" s="45">
        <f t="shared" si="423"/>
        <v>0.70197659478227603</v>
      </c>
      <c r="AV823" s="45" t="e">
        <f t="shared" si="424"/>
        <v>#VALUE!</v>
      </c>
      <c r="AW823" s="45" t="e">
        <f t="shared" si="425"/>
        <v>#VALUE!</v>
      </c>
      <c r="AX823" s="45">
        <f t="shared" si="426"/>
        <v>2.9992944449965218</v>
      </c>
      <c r="AY823" s="45" t="e">
        <f t="shared" si="427"/>
        <v>#VALUE!</v>
      </c>
      <c r="AZ823" s="45" t="e">
        <f t="shared" si="428"/>
        <v>#VALUE!</v>
      </c>
      <c r="BA823" s="45">
        <f t="shared" si="429"/>
        <v>1.3973644029126226</v>
      </c>
      <c r="BB823" s="45">
        <f t="shared" si="430"/>
        <v>0.97684302989363281</v>
      </c>
      <c r="BC823" s="45" t="e">
        <f t="shared" si="431"/>
        <v>#VALUE!</v>
      </c>
      <c r="BD823" s="45" t="e">
        <f t="shared" si="432"/>
        <v>#VALUE!</v>
      </c>
      <c r="BE823" s="45" t="e">
        <f t="shared" si="433"/>
        <v>#VALUE!</v>
      </c>
      <c r="BF823" s="45" t="e">
        <f t="shared" si="434"/>
        <v>#VALUE!</v>
      </c>
      <c r="BG823" s="45" t="e">
        <f t="shared" si="435"/>
        <v>#VALUE!</v>
      </c>
      <c r="BH823" s="45" t="e">
        <f t="shared" si="436"/>
        <v>#NUM!</v>
      </c>
      <c r="BI823" s="43" t="e">
        <f t="shared" si="437"/>
        <v>#VALUE!</v>
      </c>
      <c r="BL823" s="20"/>
      <c r="CA823" s="41" t="s">
        <v>22</v>
      </c>
      <c r="CC823" t="s">
        <v>22</v>
      </c>
      <c r="CE823" s="41" t="s">
        <v>22</v>
      </c>
      <c r="CF823" s="41" t="s">
        <v>22</v>
      </c>
      <c r="CG823" s="41" t="e">
        <f t="shared" si="455"/>
        <v>#VALUE!</v>
      </c>
      <c r="CH823" s="41" t="e">
        <f t="shared" si="456"/>
        <v>#VALUE!</v>
      </c>
      <c r="CI823" s="41" t="str">
        <f t="shared" si="457"/>
        <v>Not Reported/ Can not calculate</v>
      </c>
      <c r="CJ823" s="41" t="e">
        <f t="shared" si="458"/>
        <v>#VALUE!</v>
      </c>
      <c r="CL823" s="9" t="s">
        <v>1269</v>
      </c>
      <c r="CM823" s="18" t="s">
        <v>1284</v>
      </c>
      <c r="CN823" s="54" t="s">
        <v>1284</v>
      </c>
      <c r="CO823" s="18" t="s">
        <v>1284</v>
      </c>
    </row>
    <row r="824" spans="1:93" x14ac:dyDescent="0.25">
      <c r="A824" s="18" t="s">
        <v>266</v>
      </c>
      <c r="B824" s="41">
        <v>6.7664677403256297</v>
      </c>
      <c r="C824" s="41" t="s">
        <v>22</v>
      </c>
      <c r="D824" s="41" t="s">
        <v>22</v>
      </c>
      <c r="E824" s="41" t="s">
        <v>22</v>
      </c>
      <c r="F824" t="s">
        <v>22</v>
      </c>
      <c r="G824" t="s">
        <v>22</v>
      </c>
      <c r="H824" t="s">
        <v>22</v>
      </c>
      <c r="I824" t="s">
        <v>22</v>
      </c>
      <c r="J824" s="41">
        <v>25.4304635761589</v>
      </c>
      <c r="K824">
        <v>785</v>
      </c>
      <c r="L824" s="41">
        <f t="shared" si="459"/>
        <v>9.6567925986754819</v>
      </c>
      <c r="M824" t="s">
        <v>45</v>
      </c>
      <c r="N824" s="41">
        <v>1641.9624149864301</v>
      </c>
      <c r="O824" s="41" t="s">
        <v>22</v>
      </c>
      <c r="P824" s="41" t="s">
        <v>22</v>
      </c>
      <c r="R824" s="41" t="s">
        <v>22</v>
      </c>
      <c r="S824" s="41" t="s">
        <v>22</v>
      </c>
      <c r="T824" s="41" t="s">
        <v>22</v>
      </c>
      <c r="U824" s="41" t="s">
        <v>22</v>
      </c>
      <c r="V824">
        <v>20200510</v>
      </c>
      <c r="W824" s="21"/>
      <c r="X824" s="18">
        <v>2017</v>
      </c>
      <c r="Y824" s="18" t="s">
        <v>143</v>
      </c>
      <c r="Z824" s="18" t="s">
        <v>228</v>
      </c>
      <c r="AC824" t="s">
        <v>514</v>
      </c>
      <c r="AD824" s="41" t="s">
        <v>22</v>
      </c>
      <c r="AE824" s="41" t="s">
        <v>22</v>
      </c>
      <c r="AF824" s="41" t="s">
        <v>22</v>
      </c>
      <c r="AG824" s="41" t="s">
        <v>22</v>
      </c>
      <c r="AH824" s="41" t="s">
        <v>22</v>
      </c>
      <c r="AI824" s="41" t="s">
        <v>22</v>
      </c>
      <c r="AJ824" s="41" t="s">
        <v>22</v>
      </c>
      <c r="AK824" s="41" t="s">
        <v>22</v>
      </c>
      <c r="AL824" s="41" t="s">
        <v>22</v>
      </c>
      <c r="AM824" s="43" t="e">
        <f t="shared" si="420"/>
        <v>#VALUE!</v>
      </c>
      <c r="AN824" s="43" t="e">
        <f t="shared" si="421"/>
        <v>#VALUE!</v>
      </c>
      <c r="AO824" s="19" t="s">
        <v>229</v>
      </c>
      <c r="AT824" s="2">
        <f t="shared" si="422"/>
        <v>10</v>
      </c>
      <c r="AU824" s="45">
        <f t="shared" si="423"/>
        <v>0.83036201562476331</v>
      </c>
      <c r="AV824" s="45" t="e">
        <f t="shared" si="424"/>
        <v>#VALUE!</v>
      </c>
      <c r="AW824" s="45" t="e">
        <f t="shared" si="425"/>
        <v>#VALUE!</v>
      </c>
      <c r="AX824" s="45">
        <f t="shared" si="426"/>
        <v>3.2153632117658746</v>
      </c>
      <c r="AY824" s="45" t="e">
        <f t="shared" si="427"/>
        <v>#VALUE!</v>
      </c>
      <c r="AZ824" s="45" t="e">
        <f t="shared" si="428"/>
        <v>#VALUE!</v>
      </c>
      <c r="BA824" s="45">
        <f t="shared" si="429"/>
        <v>1.4053542770743608</v>
      </c>
      <c r="BB824" s="45">
        <f t="shared" si="430"/>
        <v>0.98483290405537083</v>
      </c>
      <c r="BC824" s="45" t="e">
        <f t="shared" si="431"/>
        <v>#VALUE!</v>
      </c>
      <c r="BD824" s="45" t="e">
        <f t="shared" si="432"/>
        <v>#VALUE!</v>
      </c>
      <c r="BE824" s="45" t="e">
        <f t="shared" si="433"/>
        <v>#VALUE!</v>
      </c>
      <c r="BF824" s="45" t="e">
        <f t="shared" si="434"/>
        <v>#VALUE!</v>
      </c>
      <c r="BG824" s="45" t="e">
        <f t="shared" si="435"/>
        <v>#VALUE!</v>
      </c>
      <c r="BH824" s="45" t="e">
        <f t="shared" si="436"/>
        <v>#NUM!</v>
      </c>
      <c r="BI824" s="43" t="e">
        <f t="shared" si="437"/>
        <v>#VALUE!</v>
      </c>
      <c r="BL824" s="20"/>
      <c r="CA824" s="41" t="s">
        <v>22</v>
      </c>
      <c r="CC824" t="s">
        <v>22</v>
      </c>
      <c r="CE824" s="41" t="s">
        <v>22</v>
      </c>
      <c r="CF824" s="41" t="s">
        <v>22</v>
      </c>
      <c r="CG824" s="41" t="e">
        <f t="shared" si="455"/>
        <v>#VALUE!</v>
      </c>
      <c r="CH824" s="41" t="e">
        <f t="shared" si="456"/>
        <v>#VALUE!</v>
      </c>
      <c r="CI824" s="41" t="str">
        <f t="shared" si="457"/>
        <v>Not Reported/ Can not calculate</v>
      </c>
      <c r="CJ824" s="41" t="e">
        <f t="shared" si="458"/>
        <v>#VALUE!</v>
      </c>
      <c r="CL824" s="9" t="s">
        <v>1269</v>
      </c>
      <c r="CM824" s="18" t="s">
        <v>1284</v>
      </c>
      <c r="CN824" s="54" t="s">
        <v>1284</v>
      </c>
      <c r="CO824" s="18" t="s">
        <v>1284</v>
      </c>
    </row>
    <row r="825" spans="1:93" x14ac:dyDescent="0.25">
      <c r="A825" t="s">
        <v>266</v>
      </c>
      <c r="B825" s="41">
        <v>6.3319698052916804</v>
      </c>
      <c r="C825" s="41" t="s">
        <v>22</v>
      </c>
      <c r="D825" s="41" t="s">
        <v>22</v>
      </c>
      <c r="E825" s="41" t="s">
        <v>22</v>
      </c>
      <c r="F825" t="s">
        <v>22</v>
      </c>
      <c r="G825" t="s">
        <v>22</v>
      </c>
      <c r="H825" t="s">
        <v>22</v>
      </c>
      <c r="I825" t="s">
        <v>22</v>
      </c>
      <c r="J825" s="41">
        <v>27.350993377483402</v>
      </c>
      <c r="K825">
        <v>785</v>
      </c>
      <c r="L825" s="41">
        <f t="shared" si="459"/>
        <v>10.386081623054618</v>
      </c>
      <c r="M825" t="s">
        <v>45</v>
      </c>
      <c r="N825" s="41">
        <v>1258.43579909655</v>
      </c>
      <c r="O825" s="41" t="s">
        <v>22</v>
      </c>
      <c r="P825" s="41" t="s">
        <v>22</v>
      </c>
      <c r="R825" s="41" t="s">
        <v>22</v>
      </c>
      <c r="S825" s="41" t="s">
        <v>22</v>
      </c>
      <c r="T825" s="41" t="s">
        <v>22</v>
      </c>
      <c r="U825" s="41" t="s">
        <v>22</v>
      </c>
      <c r="V825">
        <v>20200510</v>
      </c>
      <c r="W825" s="21"/>
      <c r="X825" s="18">
        <v>2017</v>
      </c>
      <c r="Y825" t="s">
        <v>143</v>
      </c>
      <c r="Z825" t="s">
        <v>228</v>
      </c>
      <c r="AC825" t="s">
        <v>514</v>
      </c>
      <c r="AD825" s="41" t="s">
        <v>22</v>
      </c>
      <c r="AE825" s="41" t="s">
        <v>22</v>
      </c>
      <c r="AF825" s="41" t="s">
        <v>22</v>
      </c>
      <c r="AG825" s="41" t="s">
        <v>22</v>
      </c>
      <c r="AH825" s="41" t="s">
        <v>22</v>
      </c>
      <c r="AI825" s="41" t="s">
        <v>22</v>
      </c>
      <c r="AJ825" s="41" t="s">
        <v>22</v>
      </c>
      <c r="AK825" s="41" t="s">
        <v>22</v>
      </c>
      <c r="AL825" s="41" t="s">
        <v>22</v>
      </c>
      <c r="AM825" s="43" t="e">
        <f t="shared" si="420"/>
        <v>#VALUE!</v>
      </c>
      <c r="AN825" s="43" t="e">
        <f t="shared" si="421"/>
        <v>#VALUE!</v>
      </c>
      <c r="AO825" s="19" t="s">
        <v>229</v>
      </c>
      <c r="AT825" s="2">
        <f t="shared" si="422"/>
        <v>10</v>
      </c>
      <c r="AU825" s="45">
        <f t="shared" si="423"/>
        <v>0.80153883521330127</v>
      </c>
      <c r="AV825" s="45" t="e">
        <f t="shared" si="424"/>
        <v>#VALUE!</v>
      </c>
      <c r="AW825" s="45" t="e">
        <f t="shared" si="425"/>
        <v>#VALUE!</v>
      </c>
      <c r="AX825" s="45">
        <f t="shared" si="426"/>
        <v>3.09983106429494</v>
      </c>
      <c r="AY825" s="45" t="e">
        <f t="shared" si="427"/>
        <v>#VALUE!</v>
      </c>
      <c r="AZ825" s="45" t="e">
        <f t="shared" si="428"/>
        <v>#VALUE!</v>
      </c>
      <c r="BA825" s="45">
        <f t="shared" si="429"/>
        <v>1.436973104363231</v>
      </c>
      <c r="BB825" s="45">
        <f t="shared" si="430"/>
        <v>1.0164517313442409</v>
      </c>
      <c r="BC825" s="45" t="e">
        <f t="shared" si="431"/>
        <v>#VALUE!</v>
      </c>
      <c r="BD825" s="45" t="e">
        <f t="shared" si="432"/>
        <v>#VALUE!</v>
      </c>
      <c r="BE825" s="45" t="e">
        <f t="shared" si="433"/>
        <v>#VALUE!</v>
      </c>
      <c r="BF825" s="45" t="e">
        <f t="shared" si="434"/>
        <v>#VALUE!</v>
      </c>
      <c r="BG825" s="45" t="e">
        <f t="shared" si="435"/>
        <v>#VALUE!</v>
      </c>
      <c r="BH825" s="45" t="e">
        <f t="shared" si="436"/>
        <v>#NUM!</v>
      </c>
      <c r="BI825" s="43" t="e">
        <f t="shared" si="437"/>
        <v>#VALUE!</v>
      </c>
      <c r="BL825" s="20"/>
      <c r="CA825" s="41" t="s">
        <v>22</v>
      </c>
      <c r="CC825" t="s">
        <v>22</v>
      </c>
      <c r="CE825" s="41" t="s">
        <v>22</v>
      </c>
      <c r="CF825" s="41" t="s">
        <v>22</v>
      </c>
      <c r="CG825" s="41" t="e">
        <f t="shared" si="455"/>
        <v>#VALUE!</v>
      </c>
      <c r="CH825" s="41" t="e">
        <f t="shared" si="456"/>
        <v>#VALUE!</v>
      </c>
      <c r="CI825" s="41" t="str">
        <f t="shared" si="457"/>
        <v>Not Reported/ Can not calculate</v>
      </c>
      <c r="CJ825" s="41" t="e">
        <f t="shared" si="458"/>
        <v>#VALUE!</v>
      </c>
      <c r="CL825" s="9" t="s">
        <v>1269</v>
      </c>
      <c r="CM825" s="18" t="s">
        <v>1284</v>
      </c>
      <c r="CN825" s="54" t="s">
        <v>1284</v>
      </c>
      <c r="CO825" s="18" t="s">
        <v>1284</v>
      </c>
    </row>
    <row r="826" spans="1:93" x14ac:dyDescent="0.25">
      <c r="A826" t="s">
        <v>315</v>
      </c>
      <c r="B826" s="41">
        <v>0.58399999999999996</v>
      </c>
      <c r="C826" s="41" t="s">
        <v>22</v>
      </c>
      <c r="D826" s="41" t="s">
        <v>22</v>
      </c>
      <c r="E826" s="41" t="s">
        <v>22</v>
      </c>
      <c r="F826" t="s">
        <v>22</v>
      </c>
      <c r="G826" t="s">
        <v>22</v>
      </c>
      <c r="H826" t="s">
        <v>22</v>
      </c>
      <c r="I826" t="s">
        <v>22</v>
      </c>
      <c r="J826" s="41" t="s">
        <v>22</v>
      </c>
      <c r="K826" t="s">
        <v>22</v>
      </c>
      <c r="L826" s="41" t="s">
        <v>22</v>
      </c>
      <c r="M826" t="s">
        <v>45</v>
      </c>
      <c r="N826" s="41" t="s">
        <v>22</v>
      </c>
      <c r="O826" s="41" t="s">
        <v>22</v>
      </c>
      <c r="P826" s="41" t="s">
        <v>22</v>
      </c>
      <c r="R826" s="41" t="s">
        <v>22</v>
      </c>
      <c r="S826" s="41" t="s">
        <v>22</v>
      </c>
      <c r="T826" s="41">
        <v>1.29</v>
      </c>
      <c r="U826" s="41">
        <v>1.29</v>
      </c>
      <c r="V826">
        <v>20200512</v>
      </c>
      <c r="W826" s="21" t="s">
        <v>530</v>
      </c>
      <c r="X826" s="6">
        <v>2017</v>
      </c>
      <c r="Y826" t="s">
        <v>328</v>
      </c>
      <c r="Z826" t="s">
        <v>531</v>
      </c>
      <c r="AC826" t="s">
        <v>285</v>
      </c>
      <c r="AD826" s="41" t="s">
        <v>22</v>
      </c>
      <c r="AE826" s="41" t="s">
        <v>22</v>
      </c>
      <c r="AG826" s="41" t="s">
        <v>22</v>
      </c>
      <c r="AH826" s="41" t="s">
        <v>22</v>
      </c>
      <c r="AI826" s="41" t="s">
        <v>22</v>
      </c>
      <c r="AJ826" s="41" t="s">
        <v>22</v>
      </c>
      <c r="AK826" s="41" t="s">
        <v>22</v>
      </c>
      <c r="AL826" s="41" t="s">
        <v>22</v>
      </c>
      <c r="AM826" s="43" t="e">
        <f t="shared" si="420"/>
        <v>#VALUE!</v>
      </c>
      <c r="AN826" s="43" t="e">
        <f t="shared" si="421"/>
        <v>#VALUE!</v>
      </c>
      <c r="AO826" s="11" t="s">
        <v>532</v>
      </c>
      <c r="AT826" s="2">
        <f t="shared" si="422"/>
        <v>11</v>
      </c>
      <c r="AU826" s="45">
        <f t="shared" si="423"/>
        <v>-0.23358715288760054</v>
      </c>
      <c r="AV826" s="45" t="e">
        <f t="shared" si="424"/>
        <v>#VALUE!</v>
      </c>
      <c r="AW826" s="45" t="e">
        <f t="shared" si="425"/>
        <v>#VALUE!</v>
      </c>
      <c r="AX826" s="45" t="e">
        <f t="shared" si="426"/>
        <v>#VALUE!</v>
      </c>
      <c r="AY826" s="45" t="e">
        <f t="shared" si="427"/>
        <v>#VALUE!</v>
      </c>
      <c r="AZ826" s="45" t="e">
        <f t="shared" si="428"/>
        <v>#VALUE!</v>
      </c>
      <c r="BA826" s="45" t="e">
        <f t="shared" si="429"/>
        <v>#VALUE!</v>
      </c>
      <c r="BB826" s="45" t="e">
        <f t="shared" si="430"/>
        <v>#VALUE!</v>
      </c>
      <c r="BC826" s="45">
        <f t="shared" si="431"/>
        <v>0.11058971029924898</v>
      </c>
      <c r="BD826" s="45" t="e">
        <f t="shared" si="432"/>
        <v>#VALUE!</v>
      </c>
      <c r="BE826" s="45" t="e">
        <f t="shared" si="433"/>
        <v>#NUM!</v>
      </c>
      <c r="BF826" s="45" t="e">
        <f t="shared" si="434"/>
        <v>#VALUE!</v>
      </c>
      <c r="BG826" s="45" t="e">
        <f t="shared" si="435"/>
        <v>#VALUE!</v>
      </c>
      <c r="BH826" s="45" t="e">
        <f t="shared" si="436"/>
        <v>#NUM!</v>
      </c>
      <c r="BI826" s="43" t="e">
        <f t="shared" si="437"/>
        <v>#NUM!</v>
      </c>
      <c r="BL826" s="20"/>
      <c r="CA826" s="41" t="s">
        <v>22</v>
      </c>
      <c r="CC826" t="s">
        <v>22</v>
      </c>
      <c r="CE826" s="41" t="s">
        <v>22</v>
      </c>
      <c r="CF826" s="41" t="s">
        <v>22</v>
      </c>
      <c r="CG826" s="41" t="e">
        <f t="shared" si="455"/>
        <v>#VALUE!</v>
      </c>
      <c r="CH826" s="41" t="e">
        <f t="shared" si="456"/>
        <v>#VALUE!</v>
      </c>
      <c r="CI826" s="41">
        <f t="shared" si="457"/>
        <v>1.29</v>
      </c>
      <c r="CJ826" s="41">
        <f t="shared" si="458"/>
        <v>0.11058971029924898</v>
      </c>
      <c r="CL826" s="9" t="s">
        <v>1269</v>
      </c>
      <c r="CM826" s="18" t="s">
        <v>1285</v>
      </c>
      <c r="CN826" s="54" t="s">
        <v>1284</v>
      </c>
      <c r="CO826" s="18" t="s">
        <v>1284</v>
      </c>
    </row>
    <row r="827" spans="1:93" x14ac:dyDescent="0.25">
      <c r="A827" t="s">
        <v>315</v>
      </c>
      <c r="B827" s="41">
        <v>0.19020449633640099</v>
      </c>
      <c r="C827" s="41" t="s">
        <v>22</v>
      </c>
      <c r="D827" s="41" t="s">
        <v>22</v>
      </c>
      <c r="E827" s="41" t="s">
        <v>22</v>
      </c>
      <c r="F827" t="s">
        <v>22</v>
      </c>
      <c r="G827" t="s">
        <v>22</v>
      </c>
      <c r="H827" t="s">
        <v>22</v>
      </c>
      <c r="I827" t="s">
        <v>22</v>
      </c>
      <c r="J827" s="41" t="s">
        <v>22</v>
      </c>
      <c r="K827" t="s">
        <v>22</v>
      </c>
      <c r="L827" s="41" t="s">
        <v>22</v>
      </c>
      <c r="M827" t="s">
        <v>45</v>
      </c>
      <c r="N827" s="41" t="s">
        <v>22</v>
      </c>
      <c r="O827" s="41" t="s">
        <v>22</v>
      </c>
      <c r="P827" s="41" t="s">
        <v>22</v>
      </c>
      <c r="R827" s="41" t="s">
        <v>22</v>
      </c>
      <c r="S827" s="41" t="s">
        <v>22</v>
      </c>
      <c r="T827" s="41">
        <v>1.28</v>
      </c>
      <c r="U827" s="41">
        <v>1.28</v>
      </c>
      <c r="V827">
        <v>20200512</v>
      </c>
      <c r="W827" s="21"/>
      <c r="X827" s="6">
        <v>2017</v>
      </c>
      <c r="Y827" t="s">
        <v>328</v>
      </c>
      <c r="Z827" t="s">
        <v>531</v>
      </c>
      <c r="AC827" t="s">
        <v>285</v>
      </c>
      <c r="AD827" s="41" t="s">
        <v>22</v>
      </c>
      <c r="AE827" s="41" t="s">
        <v>22</v>
      </c>
      <c r="AF827" s="41">
        <v>4.6485623003194902</v>
      </c>
      <c r="AG827" s="41" t="s">
        <v>22</v>
      </c>
      <c r="AH827" s="41" t="s">
        <v>22</v>
      </c>
      <c r="AI827" s="41" t="s">
        <v>22</v>
      </c>
      <c r="AJ827" s="41" t="s">
        <v>22</v>
      </c>
      <c r="AK827" s="41" t="s">
        <v>22</v>
      </c>
      <c r="AL827" s="41" t="s">
        <v>22</v>
      </c>
      <c r="AM827" s="43" t="e">
        <f t="shared" si="420"/>
        <v>#VALUE!</v>
      </c>
      <c r="AN827" s="43" t="e">
        <f t="shared" si="421"/>
        <v>#VALUE!</v>
      </c>
      <c r="AO827" s="11" t="s">
        <v>532</v>
      </c>
      <c r="AT827" s="2">
        <f t="shared" si="422"/>
        <v>11</v>
      </c>
      <c r="AU827" s="45">
        <f t="shared" si="423"/>
        <v>-0.72077922077922141</v>
      </c>
      <c r="AV827" s="45" t="e">
        <f t="shared" si="424"/>
        <v>#VALUE!</v>
      </c>
      <c r="AW827" s="45" t="e">
        <f t="shared" si="425"/>
        <v>#VALUE!</v>
      </c>
      <c r="AX827" s="45" t="e">
        <f t="shared" si="426"/>
        <v>#VALUE!</v>
      </c>
      <c r="AY827" s="45" t="e">
        <f t="shared" si="427"/>
        <v>#VALUE!</v>
      </c>
      <c r="AZ827" s="45" t="e">
        <f t="shared" si="428"/>
        <v>#VALUE!</v>
      </c>
      <c r="BA827" s="45" t="e">
        <f t="shared" si="429"/>
        <v>#VALUE!</v>
      </c>
      <c r="BB827" s="45" t="e">
        <f t="shared" si="430"/>
        <v>#VALUE!</v>
      </c>
      <c r="BC827" s="45">
        <f t="shared" si="431"/>
        <v>0.10720996964786837</v>
      </c>
      <c r="BD827" s="45" t="e">
        <f t="shared" si="432"/>
        <v>#VALUE!</v>
      </c>
      <c r="BE827" s="45">
        <f t="shared" si="433"/>
        <v>0.66731865577547778</v>
      </c>
      <c r="BF827" s="45" t="e">
        <f t="shared" si="434"/>
        <v>#VALUE!</v>
      </c>
      <c r="BG827" s="45" t="e">
        <f t="shared" si="435"/>
        <v>#VALUE!</v>
      </c>
      <c r="BH827" s="45" t="e">
        <f t="shared" si="436"/>
        <v>#NUM!</v>
      </c>
      <c r="BI827" s="43">
        <f t="shared" si="437"/>
        <v>0.66731865577547778</v>
      </c>
      <c r="BL827" s="20"/>
      <c r="CA827" s="41" t="s">
        <v>22</v>
      </c>
      <c r="CC827" t="s">
        <v>22</v>
      </c>
      <c r="CE827" s="41" t="s">
        <v>22</v>
      </c>
      <c r="CF827" s="41" t="s">
        <v>22</v>
      </c>
      <c r="CG827" s="41" t="e">
        <f t="shared" si="455"/>
        <v>#VALUE!</v>
      </c>
      <c r="CH827" s="41" t="e">
        <f t="shared" si="456"/>
        <v>#VALUE!</v>
      </c>
      <c r="CI827" s="41">
        <f t="shared" si="457"/>
        <v>1.28</v>
      </c>
      <c r="CJ827" s="41">
        <f t="shared" si="458"/>
        <v>0.10720996964786837</v>
      </c>
      <c r="CL827" s="9" t="s">
        <v>1269</v>
      </c>
      <c r="CM827" s="18" t="s">
        <v>1285</v>
      </c>
      <c r="CN827" s="54" t="s">
        <v>1284</v>
      </c>
      <c r="CO827" s="18" t="s">
        <v>1284</v>
      </c>
    </row>
    <row r="828" spans="1:93" x14ac:dyDescent="0.25">
      <c r="A828" t="s">
        <v>315</v>
      </c>
      <c r="B828" s="41">
        <v>0.13186510050769798</v>
      </c>
      <c r="C828" s="41" t="s">
        <v>22</v>
      </c>
      <c r="D828" s="41" t="s">
        <v>22</v>
      </c>
      <c r="E828" s="41" t="s">
        <v>22</v>
      </c>
      <c r="F828" t="s">
        <v>22</v>
      </c>
      <c r="G828" t="s">
        <v>22</v>
      </c>
      <c r="H828" t="s">
        <v>22</v>
      </c>
      <c r="I828" t="s">
        <v>22</v>
      </c>
      <c r="J828" s="41" t="s">
        <v>22</v>
      </c>
      <c r="K828" t="s">
        <v>22</v>
      </c>
      <c r="L828" s="41" t="s">
        <v>22</v>
      </c>
      <c r="M828" t="s">
        <v>45</v>
      </c>
      <c r="N828" s="41" t="s">
        <v>22</v>
      </c>
      <c r="O828" s="41" t="s">
        <v>22</v>
      </c>
      <c r="P828" s="41" t="s">
        <v>22</v>
      </c>
      <c r="R828" s="41" t="s">
        <v>22</v>
      </c>
      <c r="S828" s="41" t="s">
        <v>22</v>
      </c>
      <c r="T828" s="41">
        <v>1.28</v>
      </c>
      <c r="U828" s="41">
        <v>1.28</v>
      </c>
      <c r="V828">
        <v>20200512</v>
      </c>
      <c r="W828" s="21"/>
      <c r="X828" s="6">
        <v>2017</v>
      </c>
      <c r="Y828" t="s">
        <v>328</v>
      </c>
      <c r="Z828" t="s">
        <v>531</v>
      </c>
      <c r="AC828" t="s">
        <v>285</v>
      </c>
      <c r="AD828" s="41" t="s">
        <v>22</v>
      </c>
      <c r="AE828" s="41" t="s">
        <v>22</v>
      </c>
      <c r="AF828" s="41">
        <v>2.8338658146964799</v>
      </c>
      <c r="AG828" s="41" t="s">
        <v>22</v>
      </c>
      <c r="AH828" s="41" t="s">
        <v>22</v>
      </c>
      <c r="AI828" s="41" t="s">
        <v>22</v>
      </c>
      <c r="AJ828" s="41" t="s">
        <v>22</v>
      </c>
      <c r="AK828" s="41" t="s">
        <v>22</v>
      </c>
      <c r="AL828" s="41" t="s">
        <v>22</v>
      </c>
      <c r="AM828" s="43" t="e">
        <f t="shared" si="420"/>
        <v>#VALUE!</v>
      </c>
      <c r="AN828" s="43" t="e">
        <f t="shared" si="421"/>
        <v>#VALUE!</v>
      </c>
      <c r="AO828" s="11" t="s">
        <v>532</v>
      </c>
      <c r="AT828" s="2">
        <f t="shared" si="422"/>
        <v>11</v>
      </c>
      <c r="AU828" s="45">
        <f t="shared" si="423"/>
        <v>-0.87987012987013036</v>
      </c>
      <c r="AV828" s="45" t="e">
        <f t="shared" si="424"/>
        <v>#VALUE!</v>
      </c>
      <c r="AW828" s="45" t="e">
        <f t="shared" si="425"/>
        <v>#VALUE!</v>
      </c>
      <c r="AX828" s="45" t="e">
        <f t="shared" si="426"/>
        <v>#VALUE!</v>
      </c>
      <c r="AY828" s="45" t="e">
        <f t="shared" si="427"/>
        <v>#VALUE!</v>
      </c>
      <c r="AZ828" s="45" t="e">
        <f t="shared" si="428"/>
        <v>#VALUE!</v>
      </c>
      <c r="BA828" s="45" t="e">
        <f t="shared" si="429"/>
        <v>#VALUE!</v>
      </c>
      <c r="BB828" s="45" t="e">
        <f t="shared" si="430"/>
        <v>#VALUE!</v>
      </c>
      <c r="BC828" s="45">
        <f t="shared" si="431"/>
        <v>0.10720996964786837</v>
      </c>
      <c r="BD828" s="45" t="e">
        <f t="shared" si="432"/>
        <v>#VALUE!</v>
      </c>
      <c r="BE828" s="45">
        <f t="shared" si="433"/>
        <v>0.45237928228527702</v>
      </c>
      <c r="BF828" s="45" t="e">
        <f t="shared" si="434"/>
        <v>#VALUE!</v>
      </c>
      <c r="BG828" s="45" t="e">
        <f t="shared" si="435"/>
        <v>#VALUE!</v>
      </c>
      <c r="BH828" s="45" t="e">
        <f t="shared" si="436"/>
        <v>#NUM!</v>
      </c>
      <c r="BI828" s="43">
        <f t="shared" si="437"/>
        <v>0.45237928228527702</v>
      </c>
      <c r="BL828" s="20"/>
      <c r="CA828" s="41" t="s">
        <v>22</v>
      </c>
      <c r="CC828" t="s">
        <v>22</v>
      </c>
      <c r="CE828" s="41" t="s">
        <v>22</v>
      </c>
      <c r="CF828" s="41" t="s">
        <v>22</v>
      </c>
      <c r="CG828" s="41" t="e">
        <f t="shared" si="455"/>
        <v>#VALUE!</v>
      </c>
      <c r="CH828" s="41" t="e">
        <f t="shared" si="456"/>
        <v>#VALUE!</v>
      </c>
      <c r="CI828" s="41">
        <f t="shared" si="457"/>
        <v>1.28</v>
      </c>
      <c r="CJ828" s="41">
        <f t="shared" si="458"/>
        <v>0.10720996964786837</v>
      </c>
      <c r="CL828" s="9" t="s">
        <v>1269</v>
      </c>
      <c r="CM828" s="18" t="s">
        <v>1285</v>
      </c>
      <c r="CN828" s="54" t="s">
        <v>1284</v>
      </c>
      <c r="CO828" s="18" t="s">
        <v>1284</v>
      </c>
    </row>
    <row r="829" spans="1:93" x14ac:dyDescent="0.25">
      <c r="A829" t="s">
        <v>315</v>
      </c>
      <c r="B829" s="41">
        <v>0.103808703308664</v>
      </c>
      <c r="C829" s="41" t="s">
        <v>22</v>
      </c>
      <c r="D829" s="41" t="s">
        <v>22</v>
      </c>
      <c r="E829" s="41" t="s">
        <v>22</v>
      </c>
      <c r="F829" t="s">
        <v>22</v>
      </c>
      <c r="G829" t="s">
        <v>22</v>
      </c>
      <c r="H829" t="s">
        <v>22</v>
      </c>
      <c r="I829" t="s">
        <v>22</v>
      </c>
      <c r="J829" s="41" t="s">
        <v>22</v>
      </c>
      <c r="K829" t="s">
        <v>22</v>
      </c>
      <c r="L829" s="41" t="s">
        <v>22</v>
      </c>
      <c r="M829" t="s">
        <v>45</v>
      </c>
      <c r="N829" s="41" t="s">
        <v>22</v>
      </c>
      <c r="O829" s="41" t="s">
        <v>22</v>
      </c>
      <c r="P829" s="41" t="s">
        <v>22</v>
      </c>
      <c r="R829" s="41" t="s">
        <v>22</v>
      </c>
      <c r="S829" s="41" t="s">
        <v>22</v>
      </c>
      <c r="T829" s="41">
        <v>1.28</v>
      </c>
      <c r="U829" s="41">
        <v>1.28</v>
      </c>
      <c r="V829">
        <v>20200512</v>
      </c>
      <c r="W829" s="21"/>
      <c r="X829" s="6">
        <v>2017</v>
      </c>
      <c r="Y829" t="s">
        <v>328</v>
      </c>
      <c r="Z829" t="s">
        <v>531</v>
      </c>
      <c r="AC829" t="s">
        <v>285</v>
      </c>
      <c r="AD829" s="41" t="s">
        <v>22</v>
      </c>
      <c r="AE829" s="41" t="s">
        <v>22</v>
      </c>
      <c r="AF829" s="41">
        <v>2.3865814696485601</v>
      </c>
      <c r="AG829" s="41" t="s">
        <v>22</v>
      </c>
      <c r="AH829" s="41" t="s">
        <v>22</v>
      </c>
      <c r="AI829" s="41" t="s">
        <v>22</v>
      </c>
      <c r="AJ829" s="41" t="s">
        <v>22</v>
      </c>
      <c r="AK829" s="41" t="s">
        <v>22</v>
      </c>
      <c r="AL829" s="41" t="s">
        <v>22</v>
      </c>
      <c r="AM829" s="43" t="e">
        <f t="shared" si="420"/>
        <v>#VALUE!</v>
      </c>
      <c r="AN829" s="43" t="e">
        <f t="shared" si="421"/>
        <v>#VALUE!</v>
      </c>
      <c r="AO829" s="11" t="s">
        <v>532</v>
      </c>
      <c r="AT829" s="2">
        <f t="shared" si="422"/>
        <v>11</v>
      </c>
      <c r="AU829" s="45">
        <f t="shared" si="423"/>
        <v>-0.98376623376623429</v>
      </c>
      <c r="AV829" s="45" t="e">
        <f t="shared" si="424"/>
        <v>#VALUE!</v>
      </c>
      <c r="AW829" s="45" t="e">
        <f t="shared" si="425"/>
        <v>#VALUE!</v>
      </c>
      <c r="AX829" s="45" t="e">
        <f t="shared" si="426"/>
        <v>#VALUE!</v>
      </c>
      <c r="AY829" s="45" t="e">
        <f t="shared" si="427"/>
        <v>#VALUE!</v>
      </c>
      <c r="AZ829" s="45" t="e">
        <f t="shared" si="428"/>
        <v>#VALUE!</v>
      </c>
      <c r="BA829" s="45" t="e">
        <f t="shared" si="429"/>
        <v>#VALUE!</v>
      </c>
      <c r="BB829" s="45" t="e">
        <f t="shared" si="430"/>
        <v>#VALUE!</v>
      </c>
      <c r="BC829" s="45">
        <f t="shared" si="431"/>
        <v>0.10720996964786837</v>
      </c>
      <c r="BD829" s="45" t="e">
        <f t="shared" si="432"/>
        <v>#VALUE!</v>
      </c>
      <c r="BE829" s="45">
        <f t="shared" si="433"/>
        <v>0.37777626426894989</v>
      </c>
      <c r="BF829" s="45" t="e">
        <f t="shared" si="434"/>
        <v>#VALUE!</v>
      </c>
      <c r="BG829" s="45" t="e">
        <f t="shared" si="435"/>
        <v>#VALUE!</v>
      </c>
      <c r="BH829" s="45" t="e">
        <f t="shared" si="436"/>
        <v>#NUM!</v>
      </c>
      <c r="BI829" s="43">
        <f t="shared" si="437"/>
        <v>0.37777626426894989</v>
      </c>
      <c r="BL829" s="20"/>
      <c r="CA829" s="41" t="s">
        <v>22</v>
      </c>
      <c r="CC829" t="s">
        <v>22</v>
      </c>
      <c r="CE829" s="41" t="s">
        <v>22</v>
      </c>
      <c r="CF829" s="41" t="s">
        <v>22</v>
      </c>
      <c r="CG829" s="41" t="e">
        <f t="shared" si="455"/>
        <v>#VALUE!</v>
      </c>
      <c r="CH829" s="41" t="e">
        <f t="shared" si="456"/>
        <v>#VALUE!</v>
      </c>
      <c r="CI829" s="41">
        <f t="shared" si="457"/>
        <v>1.28</v>
      </c>
      <c r="CJ829" s="41">
        <f t="shared" si="458"/>
        <v>0.10720996964786837</v>
      </c>
      <c r="CL829" s="9" t="s">
        <v>1269</v>
      </c>
      <c r="CM829" s="18" t="s">
        <v>1285</v>
      </c>
      <c r="CN829" s="54" t="s">
        <v>1284</v>
      </c>
      <c r="CO829" s="18" t="s">
        <v>1284</v>
      </c>
    </row>
    <row r="830" spans="1:93" x14ac:dyDescent="0.25">
      <c r="A830" t="s">
        <v>315</v>
      </c>
      <c r="B830" s="41">
        <v>6.6287031618264399E-3</v>
      </c>
      <c r="C830" s="41" t="s">
        <v>22</v>
      </c>
      <c r="D830" s="41" t="s">
        <v>22</v>
      </c>
      <c r="E830" s="41" t="s">
        <v>22</v>
      </c>
      <c r="F830" t="s">
        <v>22</v>
      </c>
      <c r="G830" t="s">
        <v>22</v>
      </c>
      <c r="H830" t="s">
        <v>22</v>
      </c>
      <c r="I830" t="s">
        <v>22</v>
      </c>
      <c r="J830" s="41" t="s">
        <v>22</v>
      </c>
      <c r="K830" t="s">
        <v>22</v>
      </c>
      <c r="L830" s="41" t="s">
        <v>22</v>
      </c>
      <c r="M830" t="s">
        <v>45</v>
      </c>
      <c r="N830" s="41" t="s">
        <v>22</v>
      </c>
      <c r="O830" s="41" t="s">
        <v>22</v>
      </c>
      <c r="P830" s="41" t="s">
        <v>22</v>
      </c>
      <c r="R830" s="41" t="s">
        <v>22</v>
      </c>
      <c r="S830" s="41" t="s">
        <v>22</v>
      </c>
      <c r="T830" s="41">
        <v>1.28</v>
      </c>
      <c r="U830" s="41">
        <v>1.28</v>
      </c>
      <c r="V830">
        <v>20200512</v>
      </c>
      <c r="W830" s="21"/>
      <c r="X830" s="6">
        <v>2017</v>
      </c>
      <c r="Y830" t="s">
        <v>328</v>
      </c>
      <c r="Z830" t="s">
        <v>531</v>
      </c>
      <c r="AC830" t="s">
        <v>285</v>
      </c>
      <c r="AD830" s="41" t="s">
        <v>22</v>
      </c>
      <c r="AE830" s="41" t="s">
        <v>22</v>
      </c>
      <c r="AF830" s="41">
        <v>2.8083067092651701</v>
      </c>
      <c r="AG830" s="41" t="s">
        <v>22</v>
      </c>
      <c r="AH830" s="41" t="s">
        <v>22</v>
      </c>
      <c r="AI830" s="41" t="s">
        <v>22</v>
      </c>
      <c r="AJ830" s="41" t="s">
        <v>22</v>
      </c>
      <c r="AK830" s="41" t="s">
        <v>22</v>
      </c>
      <c r="AL830" s="41" t="s">
        <v>22</v>
      </c>
      <c r="AM830" s="43" t="e">
        <f t="shared" si="420"/>
        <v>#VALUE!</v>
      </c>
      <c r="AN830" s="43" t="e">
        <f t="shared" si="421"/>
        <v>#VALUE!</v>
      </c>
      <c r="AO830" s="11" t="s">
        <v>532</v>
      </c>
      <c r="AT830" s="2">
        <f t="shared" si="422"/>
        <v>11</v>
      </c>
      <c r="AU830" s="45">
        <f t="shared" si="423"/>
        <v>-2.1785714285714288</v>
      </c>
      <c r="AV830" s="45" t="e">
        <f t="shared" si="424"/>
        <v>#VALUE!</v>
      </c>
      <c r="AW830" s="45" t="e">
        <f t="shared" si="425"/>
        <v>#VALUE!</v>
      </c>
      <c r="AX830" s="45" t="e">
        <f t="shared" si="426"/>
        <v>#VALUE!</v>
      </c>
      <c r="AY830" s="45" t="e">
        <f t="shared" si="427"/>
        <v>#VALUE!</v>
      </c>
      <c r="AZ830" s="45" t="e">
        <f t="shared" si="428"/>
        <v>#VALUE!</v>
      </c>
      <c r="BA830" s="45" t="e">
        <f t="shared" si="429"/>
        <v>#VALUE!</v>
      </c>
      <c r="BB830" s="45" t="e">
        <f t="shared" si="430"/>
        <v>#VALUE!</v>
      </c>
      <c r="BC830" s="45">
        <f t="shared" si="431"/>
        <v>0.10720996964786837</v>
      </c>
      <c r="BD830" s="45" t="e">
        <f t="shared" si="432"/>
        <v>#VALUE!</v>
      </c>
      <c r="BE830" s="45">
        <f t="shared" si="433"/>
        <v>0.44844453752732255</v>
      </c>
      <c r="BF830" s="45" t="e">
        <f t="shared" si="434"/>
        <v>#VALUE!</v>
      </c>
      <c r="BG830" s="45" t="e">
        <f t="shared" si="435"/>
        <v>#VALUE!</v>
      </c>
      <c r="BH830" s="45" t="e">
        <f t="shared" si="436"/>
        <v>#NUM!</v>
      </c>
      <c r="BI830" s="43">
        <f t="shared" si="437"/>
        <v>0.44844453752732255</v>
      </c>
      <c r="BL830" s="20"/>
      <c r="CA830" s="41" t="s">
        <v>22</v>
      </c>
      <c r="CC830" t="s">
        <v>22</v>
      </c>
      <c r="CE830" s="41" t="s">
        <v>22</v>
      </c>
      <c r="CF830" s="41" t="s">
        <v>22</v>
      </c>
      <c r="CG830" s="41" t="e">
        <f t="shared" si="455"/>
        <v>#VALUE!</v>
      </c>
      <c r="CH830" s="41" t="e">
        <f t="shared" si="456"/>
        <v>#VALUE!</v>
      </c>
      <c r="CI830" s="41">
        <f t="shared" si="457"/>
        <v>1.28</v>
      </c>
      <c r="CJ830" s="41">
        <f t="shared" si="458"/>
        <v>0.10720996964786837</v>
      </c>
      <c r="CL830" s="9" t="s">
        <v>1269</v>
      </c>
      <c r="CM830" s="18" t="s">
        <v>1285</v>
      </c>
      <c r="CN830" s="54" t="s">
        <v>1284</v>
      </c>
      <c r="CO830" s="18" t="s">
        <v>1284</v>
      </c>
    </row>
    <row r="831" spans="1:93" x14ac:dyDescent="0.25">
      <c r="A831" t="s">
        <v>315</v>
      </c>
      <c r="B831" s="41">
        <v>1.0695984852697399E-2</v>
      </c>
      <c r="C831" s="41" t="s">
        <v>22</v>
      </c>
      <c r="D831" s="41" t="s">
        <v>22</v>
      </c>
      <c r="E831" s="41" t="s">
        <v>22</v>
      </c>
      <c r="F831" t="s">
        <v>22</v>
      </c>
      <c r="G831" t="s">
        <v>22</v>
      </c>
      <c r="H831" t="s">
        <v>22</v>
      </c>
      <c r="I831" t="s">
        <v>22</v>
      </c>
      <c r="J831" s="41" t="s">
        <v>22</v>
      </c>
      <c r="K831" t="s">
        <v>22</v>
      </c>
      <c r="L831" s="41" t="s">
        <v>22</v>
      </c>
      <c r="M831" t="s">
        <v>45</v>
      </c>
      <c r="N831" s="41" t="s">
        <v>22</v>
      </c>
      <c r="O831" s="41" t="s">
        <v>22</v>
      </c>
      <c r="P831" s="41" t="s">
        <v>22</v>
      </c>
      <c r="R831" s="41" t="s">
        <v>22</v>
      </c>
      <c r="S831" s="41" t="s">
        <v>22</v>
      </c>
      <c r="T831" s="41">
        <v>1</v>
      </c>
      <c r="U831" s="41">
        <v>1</v>
      </c>
      <c r="V831">
        <v>20200512</v>
      </c>
      <c r="X831" s="6">
        <v>2017</v>
      </c>
      <c r="Y831" t="s">
        <v>328</v>
      </c>
      <c r="Z831" t="s">
        <v>531</v>
      </c>
      <c r="AC831" t="s">
        <v>285</v>
      </c>
      <c r="AD831" s="41" t="s">
        <v>22</v>
      </c>
      <c r="AE831" s="41" t="s">
        <v>22</v>
      </c>
      <c r="AF831" s="41">
        <v>2.0926517571884902</v>
      </c>
      <c r="AG831" s="41" t="s">
        <v>22</v>
      </c>
      <c r="AH831" s="41" t="s">
        <v>22</v>
      </c>
      <c r="AI831" s="41" t="s">
        <v>22</v>
      </c>
      <c r="AJ831" s="41" t="s">
        <v>22</v>
      </c>
      <c r="AK831" s="41" t="s">
        <v>22</v>
      </c>
      <c r="AL831" s="41" t="s">
        <v>22</v>
      </c>
      <c r="AM831" s="43" t="e">
        <f t="shared" si="420"/>
        <v>#VALUE!</v>
      </c>
      <c r="AN831" s="43" t="e">
        <f t="shared" si="421"/>
        <v>#VALUE!</v>
      </c>
      <c r="AO831" s="11" t="s">
        <v>532</v>
      </c>
      <c r="AT831" s="2">
        <f t="shared" si="422"/>
        <v>11</v>
      </c>
      <c r="AU831" s="45">
        <f t="shared" si="423"/>
        <v>-1.9707792207792241</v>
      </c>
      <c r="AV831" s="45" t="e">
        <f t="shared" si="424"/>
        <v>#VALUE!</v>
      </c>
      <c r="AW831" s="45" t="e">
        <f t="shared" si="425"/>
        <v>#VALUE!</v>
      </c>
      <c r="AX831" s="45" t="e">
        <f t="shared" si="426"/>
        <v>#VALUE!</v>
      </c>
      <c r="AY831" s="45" t="e">
        <f t="shared" si="427"/>
        <v>#VALUE!</v>
      </c>
      <c r="AZ831" s="45" t="e">
        <f t="shared" si="428"/>
        <v>#VALUE!</v>
      </c>
      <c r="BA831" s="45" t="e">
        <f t="shared" si="429"/>
        <v>#VALUE!</v>
      </c>
      <c r="BB831" s="45" t="e">
        <f t="shared" si="430"/>
        <v>#VALUE!</v>
      </c>
      <c r="BC831" s="45">
        <f t="shared" si="431"/>
        <v>0</v>
      </c>
      <c r="BD831" s="45" t="e">
        <f t="shared" si="432"/>
        <v>#VALUE!</v>
      </c>
      <c r="BE831" s="45">
        <f t="shared" si="433"/>
        <v>0.32069696244533286</v>
      </c>
      <c r="BF831" s="45" t="e">
        <f t="shared" si="434"/>
        <v>#VALUE!</v>
      </c>
      <c r="BG831" s="45" t="e">
        <f t="shared" si="435"/>
        <v>#VALUE!</v>
      </c>
      <c r="BH831" s="45" t="e">
        <f t="shared" si="436"/>
        <v>#NUM!</v>
      </c>
      <c r="BI831" s="43">
        <f t="shared" si="437"/>
        <v>0.32069696244533286</v>
      </c>
      <c r="CA831" s="41" t="s">
        <v>22</v>
      </c>
      <c r="CC831" t="s">
        <v>22</v>
      </c>
      <c r="CE831" s="41" t="s">
        <v>22</v>
      </c>
      <c r="CF831" s="41" t="s">
        <v>22</v>
      </c>
      <c r="CG831" s="41" t="e">
        <f t="shared" si="455"/>
        <v>#VALUE!</v>
      </c>
      <c r="CH831" s="41" t="e">
        <f t="shared" si="456"/>
        <v>#VALUE!</v>
      </c>
      <c r="CI831" s="41">
        <f t="shared" si="457"/>
        <v>1</v>
      </c>
      <c r="CJ831" s="41">
        <f t="shared" si="458"/>
        <v>0</v>
      </c>
      <c r="CL831" s="9" t="s">
        <v>1269</v>
      </c>
      <c r="CM831" s="18" t="s">
        <v>1285</v>
      </c>
      <c r="CN831" s="54" t="s">
        <v>1284</v>
      </c>
      <c r="CO831" s="18" t="s">
        <v>1284</v>
      </c>
    </row>
    <row r="832" spans="1:93" x14ac:dyDescent="0.25">
      <c r="A832" t="s">
        <v>315</v>
      </c>
      <c r="B832" s="41">
        <v>0.10226811702720599</v>
      </c>
      <c r="C832" s="41" t="s">
        <v>22</v>
      </c>
      <c r="D832" s="41" t="s">
        <v>22</v>
      </c>
      <c r="E832" s="41" t="s">
        <v>22</v>
      </c>
      <c r="F832" t="s">
        <v>22</v>
      </c>
      <c r="G832" t="s">
        <v>22</v>
      </c>
      <c r="H832" t="s">
        <v>22</v>
      </c>
      <c r="I832" t="s">
        <v>22</v>
      </c>
      <c r="J832" s="41" t="s">
        <v>22</v>
      </c>
      <c r="K832" t="s">
        <v>22</v>
      </c>
      <c r="L832" s="41" t="s">
        <v>22</v>
      </c>
      <c r="M832" t="s">
        <v>45</v>
      </c>
      <c r="N832" s="41" t="s">
        <v>22</v>
      </c>
      <c r="O832" s="41" t="s">
        <v>22</v>
      </c>
      <c r="P832" s="41" t="s">
        <v>22</v>
      </c>
      <c r="R832" s="41" t="s">
        <v>22</v>
      </c>
      <c r="S832" s="41" t="s">
        <v>22</v>
      </c>
      <c r="T832" s="41">
        <v>1</v>
      </c>
      <c r="U832" s="41">
        <v>1</v>
      </c>
      <c r="V832">
        <v>20200512</v>
      </c>
      <c r="X832" s="6">
        <v>2017</v>
      </c>
      <c r="Y832" t="s">
        <v>328</v>
      </c>
      <c r="Z832" t="s">
        <v>531</v>
      </c>
      <c r="AC832" t="s">
        <v>285</v>
      </c>
      <c r="AD832" s="41" t="s">
        <v>22</v>
      </c>
      <c r="AE832" s="41" t="s">
        <v>22</v>
      </c>
      <c r="AF832" s="41">
        <v>1.9392971246006301</v>
      </c>
      <c r="AG832" s="41" t="s">
        <v>22</v>
      </c>
      <c r="AH832" s="41" t="s">
        <v>22</v>
      </c>
      <c r="AI832" s="41" t="s">
        <v>22</v>
      </c>
      <c r="AJ832" s="41" t="s">
        <v>22</v>
      </c>
      <c r="AK832" s="41" t="s">
        <v>22</v>
      </c>
      <c r="AL832" s="41" t="s">
        <v>22</v>
      </c>
      <c r="AM832" s="43" t="e">
        <f t="shared" si="420"/>
        <v>#VALUE!</v>
      </c>
      <c r="AN832" s="43" t="e">
        <f t="shared" si="421"/>
        <v>#VALUE!</v>
      </c>
      <c r="AO832" s="11" t="s">
        <v>532</v>
      </c>
      <c r="AT832" s="2">
        <f t="shared" si="422"/>
        <v>11</v>
      </c>
      <c r="AU832" s="45">
        <f t="shared" si="423"/>
        <v>-0.99025974025974162</v>
      </c>
      <c r="AV832" s="45" t="e">
        <f t="shared" si="424"/>
        <v>#VALUE!</v>
      </c>
      <c r="AW832" s="45" t="e">
        <f t="shared" si="425"/>
        <v>#VALUE!</v>
      </c>
      <c r="AX832" s="45" t="e">
        <f t="shared" si="426"/>
        <v>#VALUE!</v>
      </c>
      <c r="AY832" s="45" t="e">
        <f t="shared" si="427"/>
        <v>#VALUE!</v>
      </c>
      <c r="AZ832" s="45" t="e">
        <f t="shared" si="428"/>
        <v>#VALUE!</v>
      </c>
      <c r="BA832" s="45" t="e">
        <f t="shared" si="429"/>
        <v>#VALUE!</v>
      </c>
      <c r="BB832" s="45" t="e">
        <f t="shared" si="430"/>
        <v>#VALUE!</v>
      </c>
      <c r="BC832" s="45">
        <f t="shared" si="431"/>
        <v>0</v>
      </c>
      <c r="BD832" s="45" t="e">
        <f t="shared" si="432"/>
        <v>#VALUE!</v>
      </c>
      <c r="BE832" s="45">
        <f t="shared" si="433"/>
        <v>0.28764435352880713</v>
      </c>
      <c r="BF832" s="45" t="e">
        <f t="shared" si="434"/>
        <v>#VALUE!</v>
      </c>
      <c r="BG832" s="45" t="e">
        <f t="shared" si="435"/>
        <v>#VALUE!</v>
      </c>
      <c r="BH832" s="45" t="e">
        <f t="shared" si="436"/>
        <v>#NUM!</v>
      </c>
      <c r="BI832" s="43">
        <f t="shared" si="437"/>
        <v>0.28764435352880713</v>
      </c>
      <c r="CA832" s="41" t="s">
        <v>22</v>
      </c>
      <c r="CC832" t="s">
        <v>22</v>
      </c>
      <c r="CE832" s="41" t="s">
        <v>22</v>
      </c>
      <c r="CF832" s="41" t="s">
        <v>22</v>
      </c>
      <c r="CG832" s="41" t="e">
        <f t="shared" si="455"/>
        <v>#VALUE!</v>
      </c>
      <c r="CH832" s="41" t="e">
        <f t="shared" si="456"/>
        <v>#VALUE!</v>
      </c>
      <c r="CI832" s="41">
        <f t="shared" si="457"/>
        <v>1</v>
      </c>
      <c r="CJ832" s="41">
        <f t="shared" si="458"/>
        <v>0</v>
      </c>
      <c r="CL832" s="9" t="s">
        <v>1269</v>
      </c>
      <c r="CM832" s="18" t="s">
        <v>1285</v>
      </c>
      <c r="CN832" s="54" t="s">
        <v>1284</v>
      </c>
      <c r="CO832" s="18" t="s">
        <v>1284</v>
      </c>
    </row>
    <row r="833" spans="1:93" x14ac:dyDescent="0.25">
      <c r="A833" t="s">
        <v>315</v>
      </c>
      <c r="B833" s="41">
        <v>0.13088296259281998</v>
      </c>
      <c r="C833" s="41" t="s">
        <v>22</v>
      </c>
      <c r="D833" s="41" t="s">
        <v>22</v>
      </c>
      <c r="E833" s="41" t="s">
        <v>22</v>
      </c>
      <c r="F833" t="s">
        <v>22</v>
      </c>
      <c r="G833" t="s">
        <v>22</v>
      </c>
      <c r="H833" t="s">
        <v>22</v>
      </c>
      <c r="I833" t="s">
        <v>22</v>
      </c>
      <c r="J833" s="41" t="s">
        <v>22</v>
      </c>
      <c r="K833" t="s">
        <v>22</v>
      </c>
      <c r="L833" s="41" t="s">
        <v>22</v>
      </c>
      <c r="M833" t="s">
        <v>45</v>
      </c>
      <c r="N833" s="41" t="s">
        <v>22</v>
      </c>
      <c r="O833" s="41" t="s">
        <v>22</v>
      </c>
      <c r="P833" s="41" t="s">
        <v>22</v>
      </c>
      <c r="R833" s="41" t="s">
        <v>22</v>
      </c>
      <c r="S833" s="41" t="s">
        <v>22</v>
      </c>
      <c r="T833" s="41">
        <v>1</v>
      </c>
      <c r="U833" s="41">
        <v>1</v>
      </c>
      <c r="V833">
        <v>20200512</v>
      </c>
      <c r="X833" s="6">
        <v>2017</v>
      </c>
      <c r="Y833" t="s">
        <v>328</v>
      </c>
      <c r="Z833" t="s">
        <v>531</v>
      </c>
      <c r="AC833" t="s">
        <v>285</v>
      </c>
      <c r="AD833" s="41" t="s">
        <v>22</v>
      </c>
      <c r="AE833" s="41" t="s">
        <v>22</v>
      </c>
      <c r="AF833" s="41">
        <v>1.38977635782747</v>
      </c>
      <c r="AG833" s="41" t="s">
        <v>22</v>
      </c>
      <c r="AH833" s="41" t="s">
        <v>22</v>
      </c>
      <c r="AI833" s="41" t="s">
        <v>22</v>
      </c>
      <c r="AJ833" s="41" t="s">
        <v>22</v>
      </c>
      <c r="AK833" s="41" t="s">
        <v>22</v>
      </c>
      <c r="AL833" s="41" t="s">
        <v>22</v>
      </c>
      <c r="AM833" s="43" t="e">
        <f t="shared" si="420"/>
        <v>#VALUE!</v>
      </c>
      <c r="AN833" s="43" t="e">
        <f t="shared" si="421"/>
        <v>#VALUE!</v>
      </c>
      <c r="AO833" s="11" t="s">
        <v>532</v>
      </c>
      <c r="AT833" s="2">
        <f t="shared" si="422"/>
        <v>11</v>
      </c>
      <c r="AU833" s="45">
        <f t="shared" si="423"/>
        <v>-0.88311688311688474</v>
      </c>
      <c r="AV833" s="45" t="e">
        <f t="shared" si="424"/>
        <v>#VALUE!</v>
      </c>
      <c r="AW833" s="45" t="e">
        <f t="shared" si="425"/>
        <v>#VALUE!</v>
      </c>
      <c r="AX833" s="45" t="e">
        <f t="shared" si="426"/>
        <v>#VALUE!</v>
      </c>
      <c r="AY833" s="45" t="e">
        <f t="shared" si="427"/>
        <v>#VALUE!</v>
      </c>
      <c r="AZ833" s="45" t="e">
        <f t="shared" si="428"/>
        <v>#VALUE!</v>
      </c>
      <c r="BA833" s="45" t="e">
        <f t="shared" si="429"/>
        <v>#VALUE!</v>
      </c>
      <c r="BB833" s="45" t="e">
        <f t="shared" si="430"/>
        <v>#VALUE!</v>
      </c>
      <c r="BC833" s="45">
        <f t="shared" si="431"/>
        <v>0</v>
      </c>
      <c r="BD833" s="45" t="e">
        <f t="shared" si="432"/>
        <v>#VALUE!</v>
      </c>
      <c r="BE833" s="45">
        <f t="shared" si="433"/>
        <v>0.14294491940818696</v>
      </c>
      <c r="BF833" s="45" t="e">
        <f t="shared" si="434"/>
        <v>#VALUE!</v>
      </c>
      <c r="BG833" s="45" t="e">
        <f t="shared" si="435"/>
        <v>#VALUE!</v>
      </c>
      <c r="BH833" s="45" t="e">
        <f t="shared" si="436"/>
        <v>#NUM!</v>
      </c>
      <c r="BI833" s="43">
        <f t="shared" si="437"/>
        <v>0.14294491940818696</v>
      </c>
      <c r="CA833" s="41" t="s">
        <v>22</v>
      </c>
      <c r="CC833" t="s">
        <v>22</v>
      </c>
      <c r="CE833" s="41" t="s">
        <v>22</v>
      </c>
      <c r="CF833" s="41" t="s">
        <v>22</v>
      </c>
      <c r="CG833" s="41" t="e">
        <f t="shared" si="455"/>
        <v>#VALUE!</v>
      </c>
      <c r="CH833" s="41" t="e">
        <f t="shared" si="456"/>
        <v>#VALUE!</v>
      </c>
      <c r="CI833" s="41">
        <f t="shared" si="457"/>
        <v>1</v>
      </c>
      <c r="CJ833" s="41">
        <f t="shared" si="458"/>
        <v>0</v>
      </c>
      <c r="CL833" s="9" t="s">
        <v>1269</v>
      </c>
      <c r="CM833" s="18" t="s">
        <v>1285</v>
      </c>
      <c r="CN833" s="54" t="s">
        <v>1284</v>
      </c>
      <c r="CO833" s="18" t="s">
        <v>1284</v>
      </c>
    </row>
    <row r="834" spans="1:93" x14ac:dyDescent="0.25">
      <c r="A834" t="s">
        <v>315</v>
      </c>
      <c r="B834" s="41">
        <v>2.1277572448139999E-3</v>
      </c>
      <c r="C834" s="41" t="s">
        <v>22</v>
      </c>
      <c r="D834" s="41" t="s">
        <v>22</v>
      </c>
      <c r="E834" s="41" t="s">
        <v>22</v>
      </c>
      <c r="F834" t="s">
        <v>22</v>
      </c>
      <c r="G834" t="s">
        <v>22</v>
      </c>
      <c r="H834" t="s">
        <v>22</v>
      </c>
      <c r="I834" t="s">
        <v>22</v>
      </c>
      <c r="J834" s="41" t="s">
        <v>22</v>
      </c>
      <c r="K834" t="s">
        <v>22</v>
      </c>
      <c r="L834" s="41" t="s">
        <v>22</v>
      </c>
      <c r="M834" t="s">
        <v>45</v>
      </c>
      <c r="N834" s="41" t="s">
        <v>22</v>
      </c>
      <c r="O834" s="41" t="s">
        <v>22</v>
      </c>
      <c r="P834" s="41" t="s">
        <v>22</v>
      </c>
      <c r="R834" s="41" t="s">
        <v>22</v>
      </c>
      <c r="S834" s="41" t="s">
        <v>22</v>
      </c>
      <c r="T834" s="41">
        <v>1.3</v>
      </c>
      <c r="U834" s="41">
        <v>1.3</v>
      </c>
      <c r="V834">
        <v>20200512</v>
      </c>
      <c r="X834" s="6">
        <v>2017</v>
      </c>
      <c r="Y834" t="s">
        <v>328</v>
      </c>
      <c r="Z834" t="s">
        <v>531</v>
      </c>
      <c r="AC834" t="s">
        <v>285</v>
      </c>
      <c r="AD834" s="41" t="s">
        <v>22</v>
      </c>
      <c r="AE834" s="41" t="s">
        <v>22</v>
      </c>
      <c r="AF834" s="41">
        <v>2.7316293929712399</v>
      </c>
      <c r="AG834" s="41" t="s">
        <v>22</v>
      </c>
      <c r="AH834" s="41" t="s">
        <v>22</v>
      </c>
      <c r="AI834" s="41" t="s">
        <v>22</v>
      </c>
      <c r="AJ834" s="41" t="s">
        <v>22</v>
      </c>
      <c r="AK834" s="41" t="s">
        <v>22</v>
      </c>
      <c r="AL834" s="41" t="s">
        <v>22</v>
      </c>
      <c r="AM834" s="43" t="e">
        <f t="shared" ref="AM834:AM897" si="460">AL834/AI834</f>
        <v>#VALUE!</v>
      </c>
      <c r="AN834" s="43" t="e">
        <f t="shared" ref="AN834:AN897" si="461">AL834/AJ834</f>
        <v>#VALUE!</v>
      </c>
      <c r="AO834" s="11" t="s">
        <v>532</v>
      </c>
      <c r="AT834" s="2">
        <f t="shared" ref="AT834:AT897" si="462">COUNTIF($AO$2:$AO$1400,AO834)</f>
        <v>11</v>
      </c>
      <c r="AU834" s="45">
        <f t="shared" ref="AU834:AU897" si="463">LOG10(B834)</f>
        <v>-2.6720779220779223</v>
      </c>
      <c r="AV834" s="45" t="e">
        <f t="shared" ref="AV834:AV897" si="464">LOG10(C834)</f>
        <v>#VALUE!</v>
      </c>
      <c r="AW834" s="45" t="e">
        <f t="shared" ref="AW834:AW897" si="465">LOG10(D834)</f>
        <v>#VALUE!</v>
      </c>
      <c r="AX834" s="45" t="e">
        <f t="shared" ref="AX834:AX897" si="466">LOG10(N834)</f>
        <v>#VALUE!</v>
      </c>
      <c r="AY834" s="45" t="e">
        <f t="shared" ref="AY834:AY897" si="467">LOG10(O834)</f>
        <v>#VALUE!</v>
      </c>
      <c r="AZ834" s="45" t="e">
        <f t="shared" ref="AZ834:AZ897" si="468">LOG10(P834)</f>
        <v>#VALUE!</v>
      </c>
      <c r="BA834" s="45" t="e">
        <f t="shared" ref="BA834:BA897" si="469">LOG10(J834)</f>
        <v>#VALUE!</v>
      </c>
      <c r="BB834" s="45" t="e">
        <f t="shared" ref="BB834:BB897" si="470">LOG10(L834)</f>
        <v>#VALUE!</v>
      </c>
      <c r="BC834" s="45">
        <f t="shared" ref="BC834:BC897" si="471">LOG10(U834)</f>
        <v>0.11394335230683679</v>
      </c>
      <c r="BD834" s="45" t="e">
        <f t="shared" ref="BD834:BD897" si="472">LOG10(AD834)</f>
        <v>#VALUE!</v>
      </c>
      <c r="BE834" s="45">
        <f t="shared" ref="BE834:BE897" si="473">LOG10(AF834)</f>
        <v>0.4364217771817232</v>
      </c>
      <c r="BF834" s="45" t="e">
        <f t="shared" ref="BF834:BF897" si="474">LOG10(AM834)</f>
        <v>#VALUE!</v>
      </c>
      <c r="BG834" s="45" t="e">
        <f t="shared" ref="BG834:BG897" si="475">LOG10(AN834)</f>
        <v>#VALUE!</v>
      </c>
      <c r="BH834" s="45" t="e">
        <f t="shared" ref="BH834:BH897" si="476">LOG10(AB834)</f>
        <v>#NUM!</v>
      </c>
      <c r="BI834" s="43">
        <f t="shared" ref="BI834:BI897" si="477">LOG10(AF834)</f>
        <v>0.4364217771817232</v>
      </c>
      <c r="CA834" s="41" t="s">
        <v>22</v>
      </c>
      <c r="CC834" t="s">
        <v>22</v>
      </c>
      <c r="CE834" s="41" t="s">
        <v>22</v>
      </c>
      <c r="CF834" s="41" t="s">
        <v>22</v>
      </c>
      <c r="CG834" s="41" t="e">
        <f t="shared" si="455"/>
        <v>#VALUE!</v>
      </c>
      <c r="CH834" s="41" t="e">
        <f t="shared" si="456"/>
        <v>#VALUE!</v>
      </c>
      <c r="CI834" s="41">
        <f t="shared" si="457"/>
        <v>1.3</v>
      </c>
      <c r="CJ834" s="41">
        <f t="shared" si="458"/>
        <v>0.11394335230683679</v>
      </c>
      <c r="CL834" s="9" t="s">
        <v>1269</v>
      </c>
      <c r="CM834" s="18" t="s">
        <v>1285</v>
      </c>
      <c r="CN834" s="54" t="s">
        <v>1284</v>
      </c>
      <c r="CO834" s="18" t="s">
        <v>1284</v>
      </c>
    </row>
    <row r="835" spans="1:93" x14ac:dyDescent="0.25">
      <c r="A835" t="s">
        <v>315</v>
      </c>
      <c r="B835" s="41">
        <v>0.104587677602903</v>
      </c>
      <c r="C835" s="41" t="s">
        <v>22</v>
      </c>
      <c r="D835" s="41" t="s">
        <v>22</v>
      </c>
      <c r="E835" s="41" t="s">
        <v>22</v>
      </c>
      <c r="F835" t="s">
        <v>22</v>
      </c>
      <c r="G835" t="s">
        <v>22</v>
      </c>
      <c r="H835" t="s">
        <v>22</v>
      </c>
      <c r="I835" t="s">
        <v>22</v>
      </c>
      <c r="J835" s="41" t="s">
        <v>22</v>
      </c>
      <c r="K835" t="s">
        <v>22</v>
      </c>
      <c r="L835" s="41" t="s">
        <v>22</v>
      </c>
      <c r="M835" t="s">
        <v>45</v>
      </c>
      <c r="N835" s="41" t="s">
        <v>22</v>
      </c>
      <c r="O835" s="41" t="s">
        <v>22</v>
      </c>
      <c r="P835" s="41" t="s">
        <v>22</v>
      </c>
      <c r="R835" s="41" t="s">
        <v>22</v>
      </c>
      <c r="S835" s="41" t="s">
        <v>22</v>
      </c>
      <c r="T835" s="41">
        <v>1.3</v>
      </c>
      <c r="U835" s="41">
        <v>1.3</v>
      </c>
      <c r="V835">
        <v>20200512</v>
      </c>
      <c r="X835" s="6">
        <v>2017</v>
      </c>
      <c r="Y835" t="s">
        <v>328</v>
      </c>
      <c r="Z835" t="s">
        <v>531</v>
      </c>
      <c r="AC835" t="s">
        <v>285</v>
      </c>
      <c r="AD835" s="41" t="s">
        <v>22</v>
      </c>
      <c r="AE835" s="41" t="s">
        <v>22</v>
      </c>
      <c r="AF835" s="41">
        <v>2.9105431309904102</v>
      </c>
      <c r="AG835" s="41" t="s">
        <v>22</v>
      </c>
      <c r="AH835" s="41" t="s">
        <v>22</v>
      </c>
      <c r="AI835" s="41" t="s">
        <v>22</v>
      </c>
      <c r="AJ835" s="41" t="s">
        <v>22</v>
      </c>
      <c r="AK835" s="41" t="s">
        <v>22</v>
      </c>
      <c r="AL835" s="41" t="s">
        <v>22</v>
      </c>
      <c r="AM835" s="43" t="e">
        <f t="shared" si="460"/>
        <v>#VALUE!</v>
      </c>
      <c r="AN835" s="43" t="e">
        <f t="shared" si="461"/>
        <v>#VALUE!</v>
      </c>
      <c r="AO835" s="11" t="s">
        <v>532</v>
      </c>
      <c r="AT835" s="2">
        <f t="shared" si="462"/>
        <v>11</v>
      </c>
      <c r="AU835" s="45">
        <f t="shared" si="463"/>
        <v>-0.98051948051948334</v>
      </c>
      <c r="AV835" s="45" t="e">
        <f t="shared" si="464"/>
        <v>#VALUE!</v>
      </c>
      <c r="AW835" s="45" t="e">
        <f t="shared" si="465"/>
        <v>#VALUE!</v>
      </c>
      <c r="AX835" s="45" t="e">
        <f t="shared" si="466"/>
        <v>#VALUE!</v>
      </c>
      <c r="AY835" s="45" t="e">
        <f t="shared" si="467"/>
        <v>#VALUE!</v>
      </c>
      <c r="AZ835" s="45" t="e">
        <f t="shared" si="468"/>
        <v>#VALUE!</v>
      </c>
      <c r="BA835" s="45" t="e">
        <f t="shared" si="469"/>
        <v>#VALUE!</v>
      </c>
      <c r="BB835" s="45" t="e">
        <f t="shared" si="470"/>
        <v>#VALUE!</v>
      </c>
      <c r="BC835" s="45">
        <f t="shared" si="471"/>
        <v>0.11394335230683679</v>
      </c>
      <c r="BD835" s="45" t="e">
        <f t="shared" si="472"/>
        <v>#VALUE!</v>
      </c>
      <c r="BE835" s="45">
        <f t="shared" si="473"/>
        <v>0.46397403942654897</v>
      </c>
      <c r="BF835" s="45" t="e">
        <f t="shared" si="474"/>
        <v>#VALUE!</v>
      </c>
      <c r="BG835" s="45" t="e">
        <f t="shared" si="475"/>
        <v>#VALUE!</v>
      </c>
      <c r="BH835" s="45" t="e">
        <f t="shared" si="476"/>
        <v>#NUM!</v>
      </c>
      <c r="BI835" s="43">
        <f t="shared" si="477"/>
        <v>0.46397403942654897</v>
      </c>
      <c r="CA835" s="41" t="s">
        <v>22</v>
      </c>
      <c r="CC835" t="s">
        <v>22</v>
      </c>
      <c r="CE835" s="41" t="s">
        <v>22</v>
      </c>
      <c r="CF835" s="41" t="s">
        <v>22</v>
      </c>
      <c r="CG835" s="41" t="e">
        <f t="shared" si="455"/>
        <v>#VALUE!</v>
      </c>
      <c r="CH835" s="41" t="e">
        <f t="shared" si="456"/>
        <v>#VALUE!</v>
      </c>
      <c r="CI835" s="41">
        <f t="shared" si="457"/>
        <v>1.3</v>
      </c>
      <c r="CJ835" s="41">
        <f t="shared" si="458"/>
        <v>0.11394335230683679</v>
      </c>
      <c r="CL835" s="9" t="s">
        <v>1269</v>
      </c>
      <c r="CM835" s="18" t="s">
        <v>1285</v>
      </c>
      <c r="CN835" s="54" t="s">
        <v>1284</v>
      </c>
      <c r="CO835" s="18" t="s">
        <v>1284</v>
      </c>
    </row>
    <row r="836" spans="1:93" s="2" customFormat="1" x14ac:dyDescent="0.25">
      <c r="A836" t="s">
        <v>315</v>
      </c>
      <c r="B836" s="41">
        <v>0.11965258287320699</v>
      </c>
      <c r="C836" s="41" t="s">
        <v>22</v>
      </c>
      <c r="D836" s="41" t="s">
        <v>22</v>
      </c>
      <c r="E836" s="41" t="s">
        <v>22</v>
      </c>
      <c r="F836" t="s">
        <v>22</v>
      </c>
      <c r="G836" t="s">
        <v>22</v>
      </c>
      <c r="H836" t="s">
        <v>22</v>
      </c>
      <c r="I836" t="s">
        <v>22</v>
      </c>
      <c r="J836" s="41" t="s">
        <v>22</v>
      </c>
      <c r="K836" t="s">
        <v>22</v>
      </c>
      <c r="L836" s="41" t="s">
        <v>22</v>
      </c>
      <c r="M836" t="s">
        <v>45</v>
      </c>
      <c r="N836" s="41" t="s">
        <v>22</v>
      </c>
      <c r="O836" s="41" t="s">
        <v>22</v>
      </c>
      <c r="P836" s="41" t="s">
        <v>22</v>
      </c>
      <c r="Q836" s="41"/>
      <c r="R836" s="41" t="s">
        <v>22</v>
      </c>
      <c r="S836" s="41" t="s">
        <v>22</v>
      </c>
      <c r="T836" s="41">
        <v>1.3</v>
      </c>
      <c r="U836" s="41">
        <v>1.3</v>
      </c>
      <c r="V836">
        <v>20200512</v>
      </c>
      <c r="W836" s="21"/>
      <c r="X836" s="6">
        <v>2017</v>
      </c>
      <c r="Y836" t="s">
        <v>328</v>
      </c>
      <c r="Z836" t="s">
        <v>531</v>
      </c>
      <c r="AA836"/>
      <c r="AB836" s="41"/>
      <c r="AC836" t="s">
        <v>285</v>
      </c>
      <c r="AD836" s="41" t="s">
        <v>22</v>
      </c>
      <c r="AE836" s="41" t="s">
        <v>22</v>
      </c>
      <c r="AF836" s="41">
        <v>3.4984025559105398</v>
      </c>
      <c r="AG836" s="41" t="s">
        <v>22</v>
      </c>
      <c r="AH836" s="41" t="s">
        <v>22</v>
      </c>
      <c r="AI836" s="41" t="s">
        <v>22</v>
      </c>
      <c r="AJ836" s="41" t="s">
        <v>22</v>
      </c>
      <c r="AK836" s="41" t="s">
        <v>22</v>
      </c>
      <c r="AL836" s="41" t="s">
        <v>22</v>
      </c>
      <c r="AM836" s="43" t="e">
        <f t="shared" si="460"/>
        <v>#VALUE!</v>
      </c>
      <c r="AN836" s="43" t="e">
        <f t="shared" si="461"/>
        <v>#VALUE!</v>
      </c>
      <c r="AO836" s="11" t="s">
        <v>532</v>
      </c>
      <c r="AP836"/>
      <c r="AQ836"/>
      <c r="AR836"/>
      <c r="AS836"/>
      <c r="AT836" s="2">
        <f t="shared" si="462"/>
        <v>11</v>
      </c>
      <c r="AU836" s="45">
        <f t="shared" si="463"/>
        <v>-0.92207792207792283</v>
      </c>
      <c r="AV836" s="45" t="e">
        <f t="shared" si="464"/>
        <v>#VALUE!</v>
      </c>
      <c r="AW836" s="45" t="e">
        <f t="shared" si="465"/>
        <v>#VALUE!</v>
      </c>
      <c r="AX836" s="45" t="e">
        <f t="shared" si="466"/>
        <v>#VALUE!</v>
      </c>
      <c r="AY836" s="45" t="e">
        <f t="shared" si="467"/>
        <v>#VALUE!</v>
      </c>
      <c r="AZ836" s="45" t="e">
        <f t="shared" si="468"/>
        <v>#VALUE!</v>
      </c>
      <c r="BA836" s="45" t="e">
        <f t="shared" si="469"/>
        <v>#VALUE!</v>
      </c>
      <c r="BB836" s="45" t="e">
        <f t="shared" si="470"/>
        <v>#VALUE!</v>
      </c>
      <c r="BC836" s="45">
        <f t="shared" si="471"/>
        <v>0.11394335230683679</v>
      </c>
      <c r="BD836" s="45" t="e">
        <f t="shared" si="472"/>
        <v>#VALUE!</v>
      </c>
      <c r="BE836" s="45">
        <f t="shared" si="473"/>
        <v>0.54386978162968824</v>
      </c>
      <c r="BF836" s="45" t="e">
        <f t="shared" si="474"/>
        <v>#VALUE!</v>
      </c>
      <c r="BG836" s="45" t="e">
        <f t="shared" si="475"/>
        <v>#VALUE!</v>
      </c>
      <c r="BH836" s="45" t="e">
        <f t="shared" si="476"/>
        <v>#NUM!</v>
      </c>
      <c r="BI836" s="43">
        <f t="shared" si="477"/>
        <v>0.54386978162968824</v>
      </c>
      <c r="BJ836"/>
      <c r="BK836"/>
      <c r="BL836" s="7"/>
      <c r="BM836" s="41"/>
      <c r="BN836" s="41"/>
      <c r="BO836" s="41"/>
      <c r="BP836" s="41"/>
      <c r="BQ836" s="41"/>
      <c r="BR836" s="41"/>
      <c r="BS836"/>
      <c r="BT836"/>
      <c r="BU836" s="41"/>
      <c r="BV836" s="41"/>
      <c r="BW836" s="41"/>
      <c r="BX836" s="41"/>
      <c r="BY836" s="41"/>
      <c r="BZ836" s="41"/>
      <c r="CA836" s="41" t="s">
        <v>22</v>
      </c>
      <c r="CB836"/>
      <c r="CC836" t="s">
        <v>22</v>
      </c>
      <c r="CD836"/>
      <c r="CE836" s="41" t="s">
        <v>22</v>
      </c>
      <c r="CF836" s="41" t="s">
        <v>22</v>
      </c>
      <c r="CG836" s="41" t="e">
        <f t="shared" si="455"/>
        <v>#VALUE!</v>
      </c>
      <c r="CH836" s="41" t="e">
        <f t="shared" si="456"/>
        <v>#VALUE!</v>
      </c>
      <c r="CI836" s="41">
        <f t="shared" si="457"/>
        <v>1.3</v>
      </c>
      <c r="CJ836" s="41">
        <f t="shared" si="458"/>
        <v>0.11394335230683679</v>
      </c>
      <c r="CK836"/>
      <c r="CL836" s="9" t="s">
        <v>1269</v>
      </c>
      <c r="CM836" s="18" t="s">
        <v>1285</v>
      </c>
      <c r="CN836" s="54" t="s">
        <v>1284</v>
      </c>
      <c r="CO836" s="18" t="s">
        <v>1284</v>
      </c>
    </row>
    <row r="837" spans="1:93" s="2" customFormat="1" x14ac:dyDescent="0.25">
      <c r="A837" s="18" t="s">
        <v>266</v>
      </c>
      <c r="B837" s="41">
        <v>0.19</v>
      </c>
      <c r="C837" s="41">
        <v>0.218</v>
      </c>
      <c r="D837" s="41">
        <f>0.001*(B837*10^6)/(C837*0.001*100^3)</f>
        <v>0.87155963302752293</v>
      </c>
      <c r="E837" s="41" t="s">
        <v>22</v>
      </c>
      <c r="F837" s="18">
        <v>2.86</v>
      </c>
      <c r="G837" s="18" t="s">
        <v>52</v>
      </c>
      <c r="H837" s="18" t="s">
        <v>22</v>
      </c>
      <c r="I837" s="18" t="s">
        <v>22</v>
      </c>
      <c r="J837" s="41">
        <f>0.0688^-1</f>
        <v>14.534883720930232</v>
      </c>
      <c r="K837" s="18">
        <v>633</v>
      </c>
      <c r="L837" s="41">
        <f t="shared" ref="L837:L848" si="478">IF((10^-12)*J837*K837^4=0,"",(10^-12)*J837*K837^4)</f>
        <v>2.3335999232703486</v>
      </c>
      <c r="M837" s="18" t="s">
        <v>23</v>
      </c>
      <c r="N837" s="41">
        <v>196.2</v>
      </c>
      <c r="O837" s="41">
        <v>0.9</v>
      </c>
      <c r="P837" s="41">
        <v>7.27</v>
      </c>
      <c r="Q837" s="41"/>
      <c r="R837" s="41">
        <f t="shared" ref="R837:R843" si="479">N837*B837</f>
        <v>37.277999999999999</v>
      </c>
      <c r="S837" s="41">
        <f>O837*D837</f>
        <v>0.7844036697247706</v>
      </c>
      <c r="T837" s="41" t="s">
        <v>133</v>
      </c>
      <c r="U837" s="41">
        <v>9</v>
      </c>
      <c r="V837" s="18">
        <v>20200510</v>
      </c>
      <c r="W837" s="21" t="s">
        <v>250</v>
      </c>
      <c r="X837" s="18">
        <v>2017</v>
      </c>
      <c r="Y837" s="18" t="s">
        <v>76</v>
      </c>
      <c r="Z837" s="18" t="s">
        <v>251</v>
      </c>
      <c r="AA837" s="18"/>
      <c r="AB837" s="41"/>
      <c r="AC837" s="18" t="s">
        <v>514</v>
      </c>
      <c r="AD837" s="41">
        <v>10</v>
      </c>
      <c r="AE837" s="41">
        <v>1586.5</v>
      </c>
      <c r="AF837" s="41" t="s">
        <v>22</v>
      </c>
      <c r="AG837" s="41" t="s">
        <v>22</v>
      </c>
      <c r="AH837" s="41" t="s">
        <v>22</v>
      </c>
      <c r="AI837" s="41" t="s">
        <v>22</v>
      </c>
      <c r="AJ837" s="41" t="s">
        <v>22</v>
      </c>
      <c r="AK837" s="41" t="s">
        <v>22</v>
      </c>
      <c r="AL837" s="41" t="s">
        <v>22</v>
      </c>
      <c r="AM837" s="43" t="e">
        <f t="shared" si="460"/>
        <v>#VALUE!</v>
      </c>
      <c r="AN837" s="43" t="e">
        <f t="shared" si="461"/>
        <v>#VALUE!</v>
      </c>
      <c r="AO837" s="19" t="s">
        <v>252</v>
      </c>
      <c r="AP837" s="18"/>
      <c r="AQ837" s="18"/>
      <c r="AR837" s="18"/>
      <c r="AS837" s="18"/>
      <c r="AT837" s="2">
        <f t="shared" si="462"/>
        <v>3</v>
      </c>
      <c r="AU837" s="45">
        <f t="shared" si="463"/>
        <v>-0.72124639904717103</v>
      </c>
      <c r="AV837" s="45">
        <f t="shared" si="464"/>
        <v>-0.66154350639539516</v>
      </c>
      <c r="AW837" s="45">
        <f t="shared" si="465"/>
        <v>-5.970289265177587E-2</v>
      </c>
      <c r="AX837" s="45">
        <f t="shared" si="466"/>
        <v>2.2926990030439298</v>
      </c>
      <c r="AY837" s="45">
        <f t="shared" si="467"/>
        <v>-4.5757490560675115E-2</v>
      </c>
      <c r="AZ837" s="45">
        <f t="shared" si="468"/>
        <v>0.86153441085903781</v>
      </c>
      <c r="BA837" s="45">
        <f t="shared" si="469"/>
        <v>1.1624115617644886</v>
      </c>
      <c r="BB837" s="45">
        <f t="shared" si="470"/>
        <v>0.36802640183390906</v>
      </c>
      <c r="BC837" s="45">
        <f t="shared" si="471"/>
        <v>0.95424250943932487</v>
      </c>
      <c r="BD837" s="45">
        <f t="shared" si="472"/>
        <v>1</v>
      </c>
      <c r="BE837" s="45" t="e">
        <f t="shared" si="473"/>
        <v>#VALUE!</v>
      </c>
      <c r="BF837" s="45" t="e">
        <f t="shared" si="474"/>
        <v>#VALUE!</v>
      </c>
      <c r="BG837" s="45" t="e">
        <f t="shared" si="475"/>
        <v>#VALUE!</v>
      </c>
      <c r="BH837" s="45" t="e">
        <f t="shared" si="476"/>
        <v>#NUM!</v>
      </c>
      <c r="BI837" s="43" t="e">
        <f t="shared" si="477"/>
        <v>#VALUE!</v>
      </c>
      <c r="BJ837" s="18"/>
      <c r="BK837" s="18"/>
      <c r="BL837" s="20"/>
      <c r="BM837" s="41"/>
      <c r="BN837" s="41"/>
      <c r="BO837" s="41"/>
      <c r="BP837" s="41"/>
      <c r="BQ837" s="41"/>
      <c r="BR837" s="41"/>
      <c r="BS837" s="18"/>
      <c r="BT837" s="18"/>
      <c r="BU837" s="41"/>
      <c r="BV837" s="41"/>
      <c r="BW837" s="41"/>
      <c r="BX837" s="41"/>
      <c r="BY837" s="41"/>
      <c r="BZ837" s="41"/>
      <c r="CA837" s="41" t="s">
        <v>22</v>
      </c>
      <c r="CB837" s="18"/>
      <c r="CC837" s="18" t="s">
        <v>22</v>
      </c>
      <c r="CD837" s="18"/>
      <c r="CE837" s="41" t="s">
        <v>22</v>
      </c>
      <c r="CF837" s="41" t="s">
        <v>22</v>
      </c>
      <c r="CG837" s="41">
        <f t="shared" si="455"/>
        <v>10000</v>
      </c>
      <c r="CH837" s="41">
        <f t="shared" si="456"/>
        <v>4</v>
      </c>
      <c r="CI837" s="41">
        <f t="shared" si="457"/>
        <v>10000</v>
      </c>
      <c r="CJ837" s="41">
        <f t="shared" si="458"/>
        <v>4</v>
      </c>
      <c r="CK837" s="18"/>
      <c r="CL837" s="9" t="s">
        <v>1269</v>
      </c>
      <c r="CM837" s="18" t="s">
        <v>1283</v>
      </c>
      <c r="CN837" s="54" t="s">
        <v>1284</v>
      </c>
      <c r="CO837" s="18" t="s">
        <v>1284</v>
      </c>
    </row>
    <row r="838" spans="1:93" s="2" customFormat="1" x14ac:dyDescent="0.25">
      <c r="A838" s="18" t="s">
        <v>266</v>
      </c>
      <c r="B838" s="41">
        <v>3.3000000000000002E-2</v>
      </c>
      <c r="C838" s="41">
        <v>0.155</v>
      </c>
      <c r="D838" s="41">
        <f>0.001*(B838*10^6)/(C838*0.001*100^3)</f>
        <v>0.2129032258064516</v>
      </c>
      <c r="E838" s="41" t="s">
        <v>22</v>
      </c>
      <c r="F838" s="18">
        <v>3.67</v>
      </c>
      <c r="G838" s="18" t="s">
        <v>52</v>
      </c>
      <c r="H838" s="18" t="s">
        <v>22</v>
      </c>
      <c r="I838" s="18" t="s">
        <v>22</v>
      </c>
      <c r="J838" s="41">
        <f>0.1423^-1</f>
        <v>7.0274068868587483</v>
      </c>
      <c r="K838" s="18">
        <v>633</v>
      </c>
      <c r="L838" s="41">
        <f t="shared" si="478"/>
        <v>1.1282619446310611</v>
      </c>
      <c r="M838" s="18" t="s">
        <v>23</v>
      </c>
      <c r="N838" s="41">
        <v>93</v>
      </c>
      <c r="O838" s="41">
        <v>0.6</v>
      </c>
      <c r="P838" s="41">
        <v>3.5</v>
      </c>
      <c r="Q838" s="41"/>
      <c r="R838" s="41">
        <f t="shared" si="479"/>
        <v>3.069</v>
      </c>
      <c r="S838" s="41">
        <f>O838*D838</f>
        <v>0.12774193548387094</v>
      </c>
      <c r="T838" s="41" t="s">
        <v>133</v>
      </c>
      <c r="U838" s="41">
        <v>9</v>
      </c>
      <c r="V838" s="18">
        <v>20200510</v>
      </c>
      <c r="W838" s="21" t="s">
        <v>253</v>
      </c>
      <c r="X838" s="18">
        <v>2017</v>
      </c>
      <c r="Y838" s="18" t="s">
        <v>76</v>
      </c>
      <c r="Z838" s="18" t="s">
        <v>254</v>
      </c>
      <c r="AA838" s="18"/>
      <c r="AB838" s="41"/>
      <c r="AC838" s="18" t="s">
        <v>514</v>
      </c>
      <c r="AD838" s="41">
        <v>10</v>
      </c>
      <c r="AE838" s="41">
        <v>1577.9</v>
      </c>
      <c r="AF838" s="41" t="s">
        <v>22</v>
      </c>
      <c r="AG838" s="41" t="s">
        <v>22</v>
      </c>
      <c r="AH838" s="41" t="s">
        <v>22</v>
      </c>
      <c r="AI838" s="41" t="s">
        <v>22</v>
      </c>
      <c r="AJ838" s="41" t="s">
        <v>22</v>
      </c>
      <c r="AK838" s="41" t="s">
        <v>22</v>
      </c>
      <c r="AL838" s="41" t="s">
        <v>22</v>
      </c>
      <c r="AM838" s="43" t="e">
        <f t="shared" si="460"/>
        <v>#VALUE!</v>
      </c>
      <c r="AN838" s="43" t="e">
        <f t="shared" si="461"/>
        <v>#VALUE!</v>
      </c>
      <c r="AO838" s="19" t="s">
        <v>252</v>
      </c>
      <c r="AP838" s="18"/>
      <c r="AQ838" s="18"/>
      <c r="AR838" s="18"/>
      <c r="AS838" s="18"/>
      <c r="AT838" s="2">
        <f t="shared" si="462"/>
        <v>3</v>
      </c>
      <c r="AU838" s="45">
        <f t="shared" si="463"/>
        <v>-1.4814860601221125</v>
      </c>
      <c r="AV838" s="45">
        <f t="shared" si="464"/>
        <v>-0.8096683018297085</v>
      </c>
      <c r="AW838" s="45">
        <f t="shared" si="465"/>
        <v>-0.67181775829240398</v>
      </c>
      <c r="AX838" s="45">
        <f t="shared" si="466"/>
        <v>1.968482948553935</v>
      </c>
      <c r="AY838" s="45">
        <f t="shared" si="467"/>
        <v>-0.22184874961635639</v>
      </c>
      <c r="AZ838" s="45">
        <f t="shared" si="468"/>
        <v>0.54406804435027567</v>
      </c>
      <c r="BA838" s="45">
        <f t="shared" si="469"/>
        <v>0.84679509991571567</v>
      </c>
      <c r="BB838" s="45">
        <f t="shared" si="470"/>
        <v>5.2409939985136066E-2</v>
      </c>
      <c r="BC838" s="45">
        <f t="shared" si="471"/>
        <v>0.95424250943932487</v>
      </c>
      <c r="BD838" s="45">
        <f t="shared" si="472"/>
        <v>1</v>
      </c>
      <c r="BE838" s="45" t="e">
        <f t="shared" si="473"/>
        <v>#VALUE!</v>
      </c>
      <c r="BF838" s="45" t="e">
        <f t="shared" si="474"/>
        <v>#VALUE!</v>
      </c>
      <c r="BG838" s="45" t="e">
        <f t="shared" si="475"/>
        <v>#VALUE!</v>
      </c>
      <c r="BH838" s="45" t="e">
        <f t="shared" si="476"/>
        <v>#NUM!</v>
      </c>
      <c r="BI838" s="43" t="e">
        <f t="shared" si="477"/>
        <v>#VALUE!</v>
      </c>
      <c r="BJ838" s="18"/>
      <c r="BK838" s="18"/>
      <c r="BL838" s="20"/>
      <c r="BM838" s="41"/>
      <c r="BN838" s="41"/>
      <c r="BO838" s="41"/>
      <c r="BP838" s="41"/>
      <c r="BQ838" s="41"/>
      <c r="BR838" s="41"/>
      <c r="BS838" s="18"/>
      <c r="BT838" s="18"/>
      <c r="BU838" s="41"/>
      <c r="BV838" s="41"/>
      <c r="BW838" s="41"/>
      <c r="BX838" s="41"/>
      <c r="BY838" s="41"/>
      <c r="BZ838" s="41"/>
      <c r="CA838" s="41" t="s">
        <v>22</v>
      </c>
      <c r="CB838" s="18"/>
      <c r="CC838" s="18" t="s">
        <v>22</v>
      </c>
      <c r="CD838" s="18"/>
      <c r="CE838" s="41" t="s">
        <v>22</v>
      </c>
      <c r="CF838" s="41" t="s">
        <v>22</v>
      </c>
      <c r="CG838" s="41">
        <f t="shared" si="455"/>
        <v>10000</v>
      </c>
      <c r="CH838" s="41">
        <f t="shared" si="456"/>
        <v>4</v>
      </c>
      <c r="CI838" s="41">
        <f t="shared" si="457"/>
        <v>10000</v>
      </c>
      <c r="CJ838" s="41">
        <f t="shared" si="458"/>
        <v>4</v>
      </c>
      <c r="CK838" s="18"/>
      <c r="CL838" s="9" t="s">
        <v>1269</v>
      </c>
      <c r="CM838" s="18" t="s">
        <v>1283</v>
      </c>
      <c r="CN838" s="54" t="s">
        <v>1284</v>
      </c>
      <c r="CO838" s="18" t="s">
        <v>1284</v>
      </c>
    </row>
    <row r="839" spans="1:93" s="2" customFormat="1" x14ac:dyDescent="0.25">
      <c r="A839" s="18" t="s">
        <v>266</v>
      </c>
      <c r="B839" s="41">
        <v>3.5000000000000003E-2</v>
      </c>
      <c r="C839" s="41">
        <f>(0.01*B839*10^6)/(D839*(1000)*0.001*100^2)</f>
        <v>0.13461538461538464</v>
      </c>
      <c r="D839" s="41">
        <v>0.26</v>
      </c>
      <c r="E839" s="41" t="s">
        <v>22</v>
      </c>
      <c r="F839" s="18">
        <v>3.57</v>
      </c>
      <c r="G839" s="18" t="s">
        <v>52</v>
      </c>
      <c r="H839" s="18" t="s">
        <v>22</v>
      </c>
      <c r="I839" s="18" t="s">
        <v>22</v>
      </c>
      <c r="J839" s="41">
        <f>0.1625^-1</f>
        <v>6.1538461538461533</v>
      </c>
      <c r="K839" s="18">
        <v>633</v>
      </c>
      <c r="L839" s="41">
        <f t="shared" si="478"/>
        <v>0.98801030597538453</v>
      </c>
      <c r="M839" s="18" t="s">
        <v>23</v>
      </c>
      <c r="N839" s="41">
        <f>(O839*1000)*(C839*100^3)*10^-6</f>
        <v>79.42307692307692</v>
      </c>
      <c r="O839" s="41">
        <v>0.59</v>
      </c>
      <c r="P839" s="41">
        <f>(21.3*1000)*(C839*100^3)*10^-9</f>
        <v>2.8673076923076928</v>
      </c>
      <c r="Q839" s="41"/>
      <c r="R839" s="41">
        <f t="shared" si="479"/>
        <v>2.7798076923076924</v>
      </c>
      <c r="S839" s="41">
        <f>O839*D839</f>
        <v>0.15340000000000001</v>
      </c>
      <c r="T839" s="41" t="s">
        <v>133</v>
      </c>
      <c r="U839" s="41">
        <v>9</v>
      </c>
      <c r="V839" s="18">
        <v>20200510</v>
      </c>
      <c r="W839" s="21" t="s">
        <v>253</v>
      </c>
      <c r="X839" s="18">
        <v>2017</v>
      </c>
      <c r="Y839" s="18" t="s">
        <v>76</v>
      </c>
      <c r="Z839" s="18" t="s">
        <v>254</v>
      </c>
      <c r="AA839" s="18"/>
      <c r="AB839" s="41"/>
      <c r="AC839" s="18" t="s">
        <v>514</v>
      </c>
      <c r="AD839" s="41">
        <v>10</v>
      </c>
      <c r="AE839" s="41">
        <v>1577.9</v>
      </c>
      <c r="AF839" s="41" t="s">
        <v>22</v>
      </c>
      <c r="AG839" s="41" t="s">
        <v>22</v>
      </c>
      <c r="AH839" s="41" t="s">
        <v>22</v>
      </c>
      <c r="AI839" s="41" t="s">
        <v>22</v>
      </c>
      <c r="AJ839" s="41" t="s">
        <v>22</v>
      </c>
      <c r="AK839" s="41" t="s">
        <v>22</v>
      </c>
      <c r="AL839" s="41" t="s">
        <v>22</v>
      </c>
      <c r="AM839" s="43" t="e">
        <f t="shared" si="460"/>
        <v>#VALUE!</v>
      </c>
      <c r="AN839" s="43" t="e">
        <f t="shared" si="461"/>
        <v>#VALUE!</v>
      </c>
      <c r="AO839" s="19" t="s">
        <v>252</v>
      </c>
      <c r="AP839" s="18"/>
      <c r="AQ839" s="18"/>
      <c r="AR839" s="18"/>
      <c r="AS839" s="18"/>
      <c r="AT839" s="2">
        <f t="shared" si="462"/>
        <v>3</v>
      </c>
      <c r="AU839" s="45">
        <f t="shared" si="463"/>
        <v>-1.4559319556497243</v>
      </c>
      <c r="AV839" s="45">
        <f t="shared" si="464"/>
        <v>-0.8709053036205423</v>
      </c>
      <c r="AW839" s="45">
        <f t="shared" si="465"/>
        <v>-0.58502665202918203</v>
      </c>
      <c r="AX839" s="45">
        <f t="shared" si="466"/>
        <v>1.8999467080216019</v>
      </c>
      <c r="AY839" s="45">
        <f t="shared" si="467"/>
        <v>-0.22914798835785583</v>
      </c>
      <c r="AZ839" s="45">
        <f t="shared" si="468"/>
        <v>0.45747429981819548</v>
      </c>
      <c r="BA839" s="45">
        <f t="shared" si="469"/>
        <v>0.78914663468510682</v>
      </c>
      <c r="BB839" s="45">
        <f t="shared" si="470"/>
        <v>-5.2385252454728122E-3</v>
      </c>
      <c r="BC839" s="45">
        <f t="shared" si="471"/>
        <v>0.95424250943932487</v>
      </c>
      <c r="BD839" s="45">
        <f t="shared" si="472"/>
        <v>1</v>
      </c>
      <c r="BE839" s="45" t="e">
        <f t="shared" si="473"/>
        <v>#VALUE!</v>
      </c>
      <c r="BF839" s="45" t="e">
        <f t="shared" si="474"/>
        <v>#VALUE!</v>
      </c>
      <c r="BG839" s="45" t="e">
        <f t="shared" si="475"/>
        <v>#VALUE!</v>
      </c>
      <c r="BH839" s="45" t="e">
        <f t="shared" si="476"/>
        <v>#NUM!</v>
      </c>
      <c r="BI839" s="43" t="e">
        <f t="shared" si="477"/>
        <v>#VALUE!</v>
      </c>
      <c r="BJ839" s="18"/>
      <c r="BK839" s="18"/>
      <c r="BL839" s="20"/>
      <c r="BM839" s="41"/>
      <c r="BN839" s="41"/>
      <c r="BO839" s="41"/>
      <c r="BP839" s="41"/>
      <c r="BQ839" s="41"/>
      <c r="BR839" s="41"/>
      <c r="BS839" s="18"/>
      <c r="BT839" s="18"/>
      <c r="BU839" s="41"/>
      <c r="BV839" s="41"/>
      <c r="BW839" s="41"/>
      <c r="BX839" s="41"/>
      <c r="BY839" s="41"/>
      <c r="BZ839" s="41"/>
      <c r="CA839" s="41" t="s">
        <v>22</v>
      </c>
      <c r="CB839" s="18"/>
      <c r="CC839" s="18" t="s">
        <v>22</v>
      </c>
      <c r="CD839" s="18"/>
      <c r="CE839" s="41" t="s">
        <v>22</v>
      </c>
      <c r="CF839" s="41" t="s">
        <v>22</v>
      </c>
      <c r="CG839" s="41">
        <f t="shared" si="455"/>
        <v>10000</v>
      </c>
      <c r="CH839" s="41">
        <f t="shared" si="456"/>
        <v>4</v>
      </c>
      <c r="CI839" s="41">
        <f t="shared" si="457"/>
        <v>10000</v>
      </c>
      <c r="CJ839" s="41">
        <f t="shared" si="458"/>
        <v>4</v>
      </c>
      <c r="CK839" s="18"/>
      <c r="CL839" s="9" t="s">
        <v>1269</v>
      </c>
      <c r="CM839" s="18" t="s">
        <v>1283</v>
      </c>
      <c r="CN839" s="54" t="s">
        <v>1284</v>
      </c>
      <c r="CO839" s="18" t="s">
        <v>1284</v>
      </c>
    </row>
    <row r="840" spans="1:93" s="2" customFormat="1" x14ac:dyDescent="0.25">
      <c r="A840" s="18" t="s">
        <v>266</v>
      </c>
      <c r="B840" s="41">
        <v>0.45</v>
      </c>
      <c r="C840" s="41" t="s">
        <v>22</v>
      </c>
      <c r="D840" s="41" t="s">
        <v>22</v>
      </c>
      <c r="E840" s="41" t="s">
        <v>22</v>
      </c>
      <c r="F840" s="18" t="s">
        <v>22</v>
      </c>
      <c r="G840" s="18" t="s">
        <v>22</v>
      </c>
      <c r="H840" s="18" t="s">
        <v>22</v>
      </c>
      <c r="I840" s="18" t="s">
        <v>22</v>
      </c>
      <c r="J840" s="41">
        <v>20</v>
      </c>
      <c r="K840" s="18">
        <v>633</v>
      </c>
      <c r="L840" s="41">
        <f t="shared" si="478"/>
        <v>3.2110334944199996</v>
      </c>
      <c r="M840" s="18" t="s">
        <v>23</v>
      </c>
      <c r="N840" s="41">
        <v>900</v>
      </c>
      <c r="O840" s="41" t="s">
        <v>22</v>
      </c>
      <c r="P840" s="41">
        <v>30</v>
      </c>
      <c r="Q840" s="41"/>
      <c r="R840" s="41">
        <f t="shared" si="479"/>
        <v>405</v>
      </c>
      <c r="S840" s="41" t="s">
        <v>22</v>
      </c>
      <c r="T840" s="41" t="s">
        <v>215</v>
      </c>
      <c r="U840" s="41">
        <f>0.9+(2-0.9)/2</f>
        <v>1.4500000000000002</v>
      </c>
      <c r="V840" s="18">
        <v>20200510</v>
      </c>
      <c r="W840" s="21" t="s">
        <v>216</v>
      </c>
      <c r="X840" s="18">
        <v>2017</v>
      </c>
      <c r="Y840" s="18" t="s">
        <v>76</v>
      </c>
      <c r="Z840" s="18" t="s">
        <v>32</v>
      </c>
      <c r="AA840" s="18"/>
      <c r="AB840" s="41"/>
      <c r="AC840" s="18" t="s">
        <v>514</v>
      </c>
      <c r="AD840" s="41">
        <v>28</v>
      </c>
      <c r="AE840" s="41">
        <v>1582.3</v>
      </c>
      <c r="AF840" s="41" t="s">
        <v>22</v>
      </c>
      <c r="AG840" s="41" t="s">
        <v>22</v>
      </c>
      <c r="AH840" s="41" t="s">
        <v>22</v>
      </c>
      <c r="AI840" s="41" t="s">
        <v>22</v>
      </c>
      <c r="AJ840" s="41" t="s">
        <v>22</v>
      </c>
      <c r="AK840" s="41" t="s">
        <v>22</v>
      </c>
      <c r="AL840" s="41" t="s">
        <v>22</v>
      </c>
      <c r="AM840" s="43" t="e">
        <f t="shared" si="460"/>
        <v>#VALUE!</v>
      </c>
      <c r="AN840" s="43" t="e">
        <f t="shared" si="461"/>
        <v>#VALUE!</v>
      </c>
      <c r="AO840" s="5" t="s">
        <v>217</v>
      </c>
      <c r="AP840" s="18"/>
      <c r="AQ840" s="18"/>
      <c r="AR840" s="18"/>
      <c r="AS840" s="18"/>
      <c r="AT840" s="2">
        <f t="shared" si="462"/>
        <v>4</v>
      </c>
      <c r="AU840" s="45">
        <f t="shared" si="463"/>
        <v>-0.34678748622465633</v>
      </c>
      <c r="AV840" s="45" t="e">
        <f t="shared" si="464"/>
        <v>#VALUE!</v>
      </c>
      <c r="AW840" s="45" t="e">
        <f t="shared" si="465"/>
        <v>#VALUE!</v>
      </c>
      <c r="AX840" s="45">
        <f t="shared" si="466"/>
        <v>2.9542425094393248</v>
      </c>
      <c r="AY840" s="45" t="e">
        <f t="shared" si="467"/>
        <v>#VALUE!</v>
      </c>
      <c r="AZ840" s="45">
        <f t="shared" si="468"/>
        <v>1.4771212547196624</v>
      </c>
      <c r="BA840" s="45">
        <f t="shared" si="469"/>
        <v>1.3010299956639813</v>
      </c>
      <c r="BB840" s="45">
        <f t="shared" si="470"/>
        <v>0.50664483573340158</v>
      </c>
      <c r="BC840" s="45">
        <f t="shared" si="471"/>
        <v>0.16136800223497494</v>
      </c>
      <c r="BD840" s="45">
        <f t="shared" si="472"/>
        <v>1.4471580313422192</v>
      </c>
      <c r="BE840" s="45" t="e">
        <f t="shared" si="473"/>
        <v>#VALUE!</v>
      </c>
      <c r="BF840" s="45" t="e">
        <f t="shared" si="474"/>
        <v>#VALUE!</v>
      </c>
      <c r="BG840" s="45" t="e">
        <f t="shared" si="475"/>
        <v>#VALUE!</v>
      </c>
      <c r="BH840" s="45" t="e">
        <f t="shared" si="476"/>
        <v>#NUM!</v>
      </c>
      <c r="BI840" s="43" t="e">
        <f t="shared" si="477"/>
        <v>#VALUE!</v>
      </c>
      <c r="BJ840" s="18"/>
      <c r="BK840" s="18"/>
      <c r="BL840" s="20"/>
      <c r="BM840" s="41"/>
      <c r="BN840" s="41"/>
      <c r="BO840" s="41"/>
      <c r="BP840" s="41"/>
      <c r="BQ840" s="41"/>
      <c r="BR840" s="41"/>
      <c r="BS840" s="18"/>
      <c r="BT840" s="18"/>
      <c r="BU840" s="41"/>
      <c r="BV840" s="41"/>
      <c r="BW840" s="41"/>
      <c r="BX840" s="41"/>
      <c r="BY840" s="41"/>
      <c r="BZ840" s="41"/>
      <c r="CA840" s="41" t="s">
        <v>22</v>
      </c>
      <c r="CB840" s="18"/>
      <c r="CC840" s="18" t="s">
        <v>22</v>
      </c>
      <c r="CD840" s="18"/>
      <c r="CE840" s="41" t="s">
        <v>22</v>
      </c>
      <c r="CF840" s="41" t="s">
        <v>22</v>
      </c>
      <c r="CG840" s="41">
        <f t="shared" si="455"/>
        <v>28000</v>
      </c>
      <c r="CH840" s="41">
        <f t="shared" si="456"/>
        <v>4.4471580313422194</v>
      </c>
      <c r="CI840" s="41">
        <f t="shared" si="457"/>
        <v>28000</v>
      </c>
      <c r="CJ840" s="41">
        <f t="shared" si="458"/>
        <v>4.4471580313422194</v>
      </c>
      <c r="CK840" s="18"/>
      <c r="CL840" s="9" t="s">
        <v>1269</v>
      </c>
      <c r="CM840" s="18" t="s">
        <v>1283</v>
      </c>
      <c r="CN840" s="54" t="s">
        <v>1284</v>
      </c>
      <c r="CO840" s="18" t="s">
        <v>1284</v>
      </c>
    </row>
    <row r="841" spans="1:93" s="2" customFormat="1" x14ac:dyDescent="0.25">
      <c r="A841" s="18" t="s">
        <v>266</v>
      </c>
      <c r="B841" s="41">
        <v>0.85</v>
      </c>
      <c r="C841" s="41" t="s">
        <v>22</v>
      </c>
      <c r="D841" s="41" t="s">
        <v>22</v>
      </c>
      <c r="E841" s="41" t="s">
        <v>22</v>
      </c>
      <c r="F841" t="s">
        <v>22</v>
      </c>
      <c r="G841" t="s">
        <v>22</v>
      </c>
      <c r="H841" t="s">
        <v>22</v>
      </c>
      <c r="I841" t="s">
        <v>22</v>
      </c>
      <c r="J841" s="41" t="s">
        <v>22</v>
      </c>
      <c r="K841" t="s">
        <v>22</v>
      </c>
      <c r="L841" s="41" t="e">
        <f t="shared" si="478"/>
        <v>#VALUE!</v>
      </c>
      <c r="M841" t="s">
        <v>45</v>
      </c>
      <c r="N841" s="41">
        <v>1400</v>
      </c>
      <c r="O841" s="41" t="s">
        <v>22</v>
      </c>
      <c r="P841" s="41">
        <v>43</v>
      </c>
      <c r="Q841" s="41"/>
      <c r="R841" s="41">
        <f t="shared" si="479"/>
        <v>1190</v>
      </c>
      <c r="S841" s="41" t="s">
        <v>22</v>
      </c>
      <c r="T841" s="41" t="s">
        <v>215</v>
      </c>
      <c r="U841" s="41">
        <f>0.9+(2-0.9)/2</f>
        <v>1.4500000000000002</v>
      </c>
      <c r="V841">
        <v>20200510</v>
      </c>
      <c r="W841" s="16" t="s">
        <v>218</v>
      </c>
      <c r="X841" s="18">
        <v>2017</v>
      </c>
      <c r="Y841" s="18" t="s">
        <v>76</v>
      </c>
      <c r="Z841" s="18" t="s">
        <v>219</v>
      </c>
      <c r="AA841" s="18" t="s">
        <v>737</v>
      </c>
      <c r="AB841" s="41">
        <v>0.45</v>
      </c>
      <c r="AC841" s="18" t="s">
        <v>514</v>
      </c>
      <c r="AD841" s="41" t="s">
        <v>22</v>
      </c>
      <c r="AE841" s="41">
        <v>1594.8</v>
      </c>
      <c r="AF841" s="41" t="s">
        <v>22</v>
      </c>
      <c r="AG841" s="41" t="s">
        <v>22</v>
      </c>
      <c r="AH841" s="41" t="s">
        <v>22</v>
      </c>
      <c r="AI841" s="41" t="s">
        <v>22</v>
      </c>
      <c r="AJ841" s="41" t="s">
        <v>22</v>
      </c>
      <c r="AK841" s="41" t="s">
        <v>22</v>
      </c>
      <c r="AL841" s="41" t="s">
        <v>22</v>
      </c>
      <c r="AM841" s="43" t="e">
        <f t="shared" si="460"/>
        <v>#VALUE!</v>
      </c>
      <c r="AN841" s="43" t="e">
        <f t="shared" si="461"/>
        <v>#VALUE!</v>
      </c>
      <c r="AO841" s="5" t="s">
        <v>217</v>
      </c>
      <c r="AP841"/>
      <c r="AQ841"/>
      <c r="AR841"/>
      <c r="AS841"/>
      <c r="AT841" s="2">
        <f t="shared" si="462"/>
        <v>4</v>
      </c>
      <c r="AU841" s="45">
        <f t="shared" si="463"/>
        <v>-7.0581074285707285E-2</v>
      </c>
      <c r="AV841" s="45" t="e">
        <f t="shared" si="464"/>
        <v>#VALUE!</v>
      </c>
      <c r="AW841" s="45" t="e">
        <f t="shared" si="465"/>
        <v>#VALUE!</v>
      </c>
      <c r="AX841" s="45">
        <f t="shared" si="466"/>
        <v>3.1461280356782382</v>
      </c>
      <c r="AY841" s="45" t="e">
        <f t="shared" si="467"/>
        <v>#VALUE!</v>
      </c>
      <c r="AZ841" s="45">
        <f t="shared" si="468"/>
        <v>1.6334684555795864</v>
      </c>
      <c r="BA841" s="45" t="e">
        <f t="shared" si="469"/>
        <v>#VALUE!</v>
      </c>
      <c r="BB841" s="45" t="e">
        <f t="shared" si="470"/>
        <v>#VALUE!</v>
      </c>
      <c r="BC841" s="45">
        <f t="shared" si="471"/>
        <v>0.16136800223497494</v>
      </c>
      <c r="BD841" s="45" t="e">
        <f t="shared" si="472"/>
        <v>#VALUE!</v>
      </c>
      <c r="BE841" s="45" t="e">
        <f t="shared" si="473"/>
        <v>#VALUE!</v>
      </c>
      <c r="BF841" s="45" t="e">
        <f t="shared" si="474"/>
        <v>#VALUE!</v>
      </c>
      <c r="BG841" s="45" t="e">
        <f t="shared" si="475"/>
        <v>#VALUE!</v>
      </c>
      <c r="BH841" s="45">
        <f t="shared" si="476"/>
        <v>-0.34678748622465633</v>
      </c>
      <c r="BI841" s="43" t="e">
        <f t="shared" si="477"/>
        <v>#VALUE!</v>
      </c>
      <c r="BJ841"/>
      <c r="BK841"/>
      <c r="BL841" s="7"/>
      <c r="BM841" s="41"/>
      <c r="BN841" s="41"/>
      <c r="BO841" s="41"/>
      <c r="BP841" s="41"/>
      <c r="BQ841" s="41"/>
      <c r="BR841" s="41"/>
      <c r="BS841"/>
      <c r="BT841"/>
      <c r="BU841" s="41"/>
      <c r="BV841" s="41"/>
      <c r="BW841" s="41"/>
      <c r="BX841" s="41"/>
      <c r="BY841" s="41"/>
      <c r="BZ841" s="41"/>
      <c r="CA841" s="41" t="s">
        <v>22</v>
      </c>
      <c r="CB841"/>
      <c r="CC841" t="s">
        <v>22</v>
      </c>
      <c r="CD841"/>
      <c r="CE841" s="41" t="s">
        <v>22</v>
      </c>
      <c r="CF841" s="41" t="s">
        <v>22</v>
      </c>
      <c r="CG841" s="41" t="e">
        <f t="shared" si="455"/>
        <v>#VALUE!</v>
      </c>
      <c r="CH841" s="41" t="e">
        <f t="shared" si="456"/>
        <v>#VALUE!</v>
      </c>
      <c r="CI841" s="41">
        <f t="shared" si="457"/>
        <v>1.4500000000000002</v>
      </c>
      <c r="CJ841" s="41">
        <f t="shared" si="458"/>
        <v>0.16136800223497494</v>
      </c>
      <c r="CK841"/>
      <c r="CL841" s="9" t="s">
        <v>1269</v>
      </c>
      <c r="CM841" s="18" t="s">
        <v>1285</v>
      </c>
      <c r="CN841" s="54" t="s">
        <v>1284</v>
      </c>
      <c r="CO841" s="18" t="s">
        <v>1284</v>
      </c>
    </row>
    <row r="842" spans="1:93" s="2" customFormat="1" x14ac:dyDescent="0.25">
      <c r="A842" s="18" t="s">
        <v>266</v>
      </c>
      <c r="B842" s="41">
        <v>3.6</v>
      </c>
      <c r="C842" s="41" t="s">
        <v>22</v>
      </c>
      <c r="D842" s="41" t="s">
        <v>22</v>
      </c>
      <c r="E842" s="41" t="s">
        <v>22</v>
      </c>
      <c r="F842" t="s">
        <v>22</v>
      </c>
      <c r="G842" t="s">
        <v>22</v>
      </c>
      <c r="H842" t="s">
        <v>22</v>
      </c>
      <c r="I842" t="s">
        <v>22</v>
      </c>
      <c r="J842" s="41" t="s">
        <v>22</v>
      </c>
      <c r="K842" t="s">
        <v>22</v>
      </c>
      <c r="L842" s="41" t="e">
        <f t="shared" si="478"/>
        <v>#VALUE!</v>
      </c>
      <c r="M842" t="s">
        <v>45</v>
      </c>
      <c r="N842" s="41">
        <v>1700</v>
      </c>
      <c r="O842" s="41" t="s">
        <v>22</v>
      </c>
      <c r="P842" s="41">
        <v>60</v>
      </c>
      <c r="Q842" s="41"/>
      <c r="R842" s="41">
        <f t="shared" si="479"/>
        <v>6120</v>
      </c>
      <c r="S842" s="41" t="s">
        <v>22</v>
      </c>
      <c r="T842" s="41" t="s">
        <v>215</v>
      </c>
      <c r="U842" s="41">
        <f>0.9+(2-0.9)/2</f>
        <v>1.4500000000000002</v>
      </c>
      <c r="V842">
        <v>20200510</v>
      </c>
      <c r="W842" s="16" t="s">
        <v>220</v>
      </c>
      <c r="X842" s="18">
        <v>2017</v>
      </c>
      <c r="Y842" s="18" t="s">
        <v>76</v>
      </c>
      <c r="Z842" s="18" t="s">
        <v>221</v>
      </c>
      <c r="AA842" s="18" t="s">
        <v>268</v>
      </c>
      <c r="AB842" s="41">
        <v>0.45</v>
      </c>
      <c r="AC842" s="18" t="s">
        <v>514</v>
      </c>
      <c r="AD842" s="41" t="s">
        <v>22</v>
      </c>
      <c r="AE842" s="41" t="s">
        <v>22</v>
      </c>
      <c r="AF842" s="41" t="s">
        <v>22</v>
      </c>
      <c r="AG842" s="41" t="s">
        <v>22</v>
      </c>
      <c r="AH842" s="41" t="s">
        <v>22</v>
      </c>
      <c r="AI842" s="41" t="s">
        <v>22</v>
      </c>
      <c r="AJ842" s="41" t="s">
        <v>22</v>
      </c>
      <c r="AK842" s="41" t="s">
        <v>22</v>
      </c>
      <c r="AL842" s="41" t="s">
        <v>22</v>
      </c>
      <c r="AM842" s="43" t="e">
        <f t="shared" si="460"/>
        <v>#VALUE!</v>
      </c>
      <c r="AN842" s="43" t="e">
        <f t="shared" si="461"/>
        <v>#VALUE!</v>
      </c>
      <c r="AO842" s="5" t="s">
        <v>217</v>
      </c>
      <c r="AP842"/>
      <c r="AQ842"/>
      <c r="AR842"/>
      <c r="AS842"/>
      <c r="AT842" s="2">
        <f t="shared" si="462"/>
        <v>4</v>
      </c>
      <c r="AU842" s="45">
        <f t="shared" si="463"/>
        <v>0.55630250076728727</v>
      </c>
      <c r="AV842" s="45" t="e">
        <f t="shared" si="464"/>
        <v>#VALUE!</v>
      </c>
      <c r="AW842" s="45" t="e">
        <f t="shared" si="465"/>
        <v>#VALUE!</v>
      </c>
      <c r="AX842" s="45">
        <f t="shared" si="466"/>
        <v>3.2304489213782741</v>
      </c>
      <c r="AY842" s="45" t="e">
        <f t="shared" si="467"/>
        <v>#VALUE!</v>
      </c>
      <c r="AZ842" s="45">
        <f t="shared" si="468"/>
        <v>1.7781512503836436</v>
      </c>
      <c r="BA842" s="45" t="e">
        <f t="shared" si="469"/>
        <v>#VALUE!</v>
      </c>
      <c r="BB842" s="45" t="e">
        <f t="shared" si="470"/>
        <v>#VALUE!</v>
      </c>
      <c r="BC842" s="45">
        <f t="shared" si="471"/>
        <v>0.16136800223497494</v>
      </c>
      <c r="BD842" s="45" t="e">
        <f t="shared" si="472"/>
        <v>#VALUE!</v>
      </c>
      <c r="BE842" s="45" t="e">
        <f t="shared" si="473"/>
        <v>#VALUE!</v>
      </c>
      <c r="BF842" s="45" t="e">
        <f t="shared" si="474"/>
        <v>#VALUE!</v>
      </c>
      <c r="BG842" s="45" t="e">
        <f t="shared" si="475"/>
        <v>#VALUE!</v>
      </c>
      <c r="BH842" s="45">
        <f t="shared" si="476"/>
        <v>-0.34678748622465633</v>
      </c>
      <c r="BI842" s="43" t="e">
        <f t="shared" si="477"/>
        <v>#VALUE!</v>
      </c>
      <c r="BJ842"/>
      <c r="BK842"/>
      <c r="BL842" s="7"/>
      <c r="BM842" s="41"/>
      <c r="BN842" s="41"/>
      <c r="BO842" s="41"/>
      <c r="BP842" s="41"/>
      <c r="BQ842" s="41"/>
      <c r="BR842" s="41"/>
      <c r="BS842"/>
      <c r="BT842"/>
      <c r="BU842" s="41"/>
      <c r="BV842" s="41"/>
      <c r="BW842" s="41"/>
      <c r="BX842" s="41"/>
      <c r="BY842" s="41"/>
      <c r="BZ842" s="41"/>
      <c r="CA842" s="41" t="s">
        <v>22</v>
      </c>
      <c r="CB842"/>
      <c r="CC842" t="s">
        <v>22</v>
      </c>
      <c r="CD842"/>
      <c r="CE842" s="41" t="s">
        <v>22</v>
      </c>
      <c r="CF842" s="41" t="s">
        <v>22</v>
      </c>
      <c r="CG842" s="41" t="e">
        <f t="shared" si="455"/>
        <v>#VALUE!</v>
      </c>
      <c r="CH842" s="41" t="e">
        <f t="shared" si="456"/>
        <v>#VALUE!</v>
      </c>
      <c r="CI842" s="41">
        <f t="shared" si="457"/>
        <v>1.4500000000000002</v>
      </c>
      <c r="CJ842" s="41">
        <f t="shared" si="458"/>
        <v>0.16136800223497494</v>
      </c>
      <c r="CK842"/>
      <c r="CL842" s="9" t="s">
        <v>1269</v>
      </c>
      <c r="CM842" s="18" t="s">
        <v>1285</v>
      </c>
      <c r="CN842" s="54" t="s">
        <v>1284</v>
      </c>
      <c r="CO842" s="18" t="s">
        <v>1284</v>
      </c>
    </row>
    <row r="843" spans="1:93" s="2" customFormat="1" x14ac:dyDescent="0.25">
      <c r="A843" t="s">
        <v>266</v>
      </c>
      <c r="B843" s="41">
        <v>4.3</v>
      </c>
      <c r="C843" s="41" t="s">
        <v>22</v>
      </c>
      <c r="D843" s="41" t="s">
        <v>22</v>
      </c>
      <c r="E843" s="41" t="s">
        <v>22</v>
      </c>
      <c r="F843" t="s">
        <v>22</v>
      </c>
      <c r="G843" t="s">
        <v>22</v>
      </c>
      <c r="H843" t="s">
        <v>22</v>
      </c>
      <c r="I843" t="s">
        <v>22</v>
      </c>
      <c r="J843" s="41" t="s">
        <v>22</v>
      </c>
      <c r="K843" t="s">
        <v>22</v>
      </c>
      <c r="L843" s="41" t="e">
        <f t="shared" si="478"/>
        <v>#VALUE!</v>
      </c>
      <c r="M843" t="s">
        <v>45</v>
      </c>
      <c r="N843" s="41">
        <v>2000</v>
      </c>
      <c r="O843" s="41" t="s">
        <v>22</v>
      </c>
      <c r="P843" s="41">
        <v>78</v>
      </c>
      <c r="Q843" s="41"/>
      <c r="R843" s="41">
        <f t="shared" si="479"/>
        <v>8600</v>
      </c>
      <c r="S843" s="41" t="s">
        <v>22</v>
      </c>
      <c r="T843" s="41" t="s">
        <v>215</v>
      </c>
      <c r="U843" s="41">
        <f>0.9+(2-0.9)/2</f>
        <v>1.4500000000000002</v>
      </c>
      <c r="V843">
        <v>20200510</v>
      </c>
      <c r="W843" s="16" t="s">
        <v>222</v>
      </c>
      <c r="X843" s="18">
        <v>2017</v>
      </c>
      <c r="Y843" s="18" t="s">
        <v>76</v>
      </c>
      <c r="Z843" s="18" t="s">
        <v>221</v>
      </c>
      <c r="AA843" s="18" t="s">
        <v>746</v>
      </c>
      <c r="AB843" s="41">
        <v>0.45</v>
      </c>
      <c r="AC843" s="18" t="s">
        <v>514</v>
      </c>
      <c r="AD843" s="41">
        <v>25</v>
      </c>
      <c r="AE843" s="41">
        <v>1580.9</v>
      </c>
      <c r="AF843" s="41" t="s">
        <v>22</v>
      </c>
      <c r="AG843" s="41" t="s">
        <v>22</v>
      </c>
      <c r="AH843" s="41" t="s">
        <v>22</v>
      </c>
      <c r="AI843" s="41" t="s">
        <v>22</v>
      </c>
      <c r="AJ843" s="41" t="s">
        <v>22</v>
      </c>
      <c r="AK843" s="41" t="s">
        <v>22</v>
      </c>
      <c r="AL843" s="41" t="s">
        <v>22</v>
      </c>
      <c r="AM843" s="43" t="e">
        <f t="shared" si="460"/>
        <v>#VALUE!</v>
      </c>
      <c r="AN843" s="43" t="e">
        <f t="shared" si="461"/>
        <v>#VALUE!</v>
      </c>
      <c r="AO843" s="5" t="s">
        <v>217</v>
      </c>
      <c r="AP843"/>
      <c r="AQ843"/>
      <c r="AR843"/>
      <c r="AS843"/>
      <c r="AT843" s="2">
        <f t="shared" si="462"/>
        <v>4</v>
      </c>
      <c r="AU843" s="45">
        <f t="shared" si="463"/>
        <v>0.63346845557958653</v>
      </c>
      <c r="AV843" s="45" t="e">
        <f t="shared" si="464"/>
        <v>#VALUE!</v>
      </c>
      <c r="AW843" s="45" t="e">
        <f t="shared" si="465"/>
        <v>#VALUE!</v>
      </c>
      <c r="AX843" s="45">
        <f t="shared" si="466"/>
        <v>3.3010299956639813</v>
      </c>
      <c r="AY843" s="45" t="e">
        <f t="shared" si="467"/>
        <v>#VALUE!</v>
      </c>
      <c r="AZ843" s="45">
        <f t="shared" si="468"/>
        <v>1.8920946026904804</v>
      </c>
      <c r="BA843" s="45" t="e">
        <f t="shared" si="469"/>
        <v>#VALUE!</v>
      </c>
      <c r="BB843" s="45" t="e">
        <f t="shared" si="470"/>
        <v>#VALUE!</v>
      </c>
      <c r="BC843" s="45">
        <f t="shared" si="471"/>
        <v>0.16136800223497494</v>
      </c>
      <c r="BD843" s="45">
        <f t="shared" si="472"/>
        <v>1.3979400086720377</v>
      </c>
      <c r="BE843" s="45" t="e">
        <f t="shared" si="473"/>
        <v>#VALUE!</v>
      </c>
      <c r="BF843" s="45" t="e">
        <f t="shared" si="474"/>
        <v>#VALUE!</v>
      </c>
      <c r="BG843" s="45" t="e">
        <f t="shared" si="475"/>
        <v>#VALUE!</v>
      </c>
      <c r="BH843" s="45">
        <f t="shared" si="476"/>
        <v>-0.34678748622465633</v>
      </c>
      <c r="BI843" s="43" t="e">
        <f t="shared" si="477"/>
        <v>#VALUE!</v>
      </c>
      <c r="BJ843"/>
      <c r="BK843"/>
      <c r="BL843" s="7"/>
      <c r="BM843" s="41"/>
      <c r="BN843" s="41"/>
      <c r="BO843" s="41"/>
      <c r="BP843" s="41"/>
      <c r="BQ843" s="41"/>
      <c r="BR843" s="41"/>
      <c r="BS843"/>
      <c r="BT843"/>
      <c r="BU843" s="41"/>
      <c r="BV843" s="41"/>
      <c r="BW843" s="41"/>
      <c r="BX843" s="41"/>
      <c r="BY843" s="41"/>
      <c r="BZ843" s="41"/>
      <c r="CA843" s="41" t="s">
        <v>22</v>
      </c>
      <c r="CB843"/>
      <c r="CC843" t="s">
        <v>22</v>
      </c>
      <c r="CD843"/>
      <c r="CE843" s="41" t="s">
        <v>22</v>
      </c>
      <c r="CF843" s="41" t="s">
        <v>22</v>
      </c>
      <c r="CG843" s="41">
        <f t="shared" si="455"/>
        <v>25000</v>
      </c>
      <c r="CH843" s="41">
        <f t="shared" si="456"/>
        <v>4.3979400086720375</v>
      </c>
      <c r="CI843" s="41">
        <f t="shared" si="457"/>
        <v>25000</v>
      </c>
      <c r="CJ843" s="41">
        <f t="shared" si="458"/>
        <v>4.3979400086720375</v>
      </c>
      <c r="CK843"/>
      <c r="CL843" s="9" t="s">
        <v>1269</v>
      </c>
      <c r="CM843" s="18" t="s">
        <v>1283</v>
      </c>
      <c r="CN843" s="54" t="s">
        <v>1284</v>
      </c>
      <c r="CO843" s="18" t="s">
        <v>1284</v>
      </c>
    </row>
    <row r="844" spans="1:93" s="2" customFormat="1" x14ac:dyDescent="0.25">
      <c r="A844" t="s">
        <v>266</v>
      </c>
      <c r="B844" s="41">
        <v>0.56999999999999995</v>
      </c>
      <c r="C844" s="41">
        <v>0.38</v>
      </c>
      <c r="D844" s="41">
        <f>0.001*(B844*10^6)/(C844*0.001*100^3)</f>
        <v>1.5</v>
      </c>
      <c r="E844" s="41" t="s">
        <v>22</v>
      </c>
      <c r="F844">
        <v>0.82</v>
      </c>
      <c r="G844" t="s">
        <v>78</v>
      </c>
      <c r="H844">
        <v>23</v>
      </c>
      <c r="I844" t="s">
        <v>82</v>
      </c>
      <c r="J844" s="41">
        <v>18.5</v>
      </c>
      <c r="K844">
        <v>785</v>
      </c>
      <c r="L844" s="41">
        <f t="shared" si="478"/>
        <v>7.0250651365625005</v>
      </c>
      <c r="M844" t="s">
        <v>45</v>
      </c>
      <c r="N844" s="41" t="s">
        <v>22</v>
      </c>
      <c r="O844" s="41" t="s">
        <v>22</v>
      </c>
      <c r="P844" s="41" t="s">
        <v>22</v>
      </c>
      <c r="Q844" s="41"/>
      <c r="R844" s="41" t="s">
        <v>22</v>
      </c>
      <c r="S844" s="41" t="s">
        <v>22</v>
      </c>
      <c r="T844" s="41" t="s">
        <v>22</v>
      </c>
      <c r="U844" s="41" t="s">
        <v>22</v>
      </c>
      <c r="V844">
        <v>20200510</v>
      </c>
      <c r="W844" s="16" t="s">
        <v>649</v>
      </c>
      <c r="X844" s="18">
        <v>2017</v>
      </c>
      <c r="Y844" s="18" t="s">
        <v>76</v>
      </c>
      <c r="Z844" s="18" t="s">
        <v>235</v>
      </c>
      <c r="AA844" s="18"/>
      <c r="AB844" s="41"/>
      <c r="AC844" s="18" t="s">
        <v>514</v>
      </c>
      <c r="AD844" s="41" t="s">
        <v>22</v>
      </c>
      <c r="AE844" s="41" t="s">
        <v>22</v>
      </c>
      <c r="AF844" s="41" t="s">
        <v>22</v>
      </c>
      <c r="AG844" s="41">
        <v>114</v>
      </c>
      <c r="AH844" s="41">
        <v>1.3715263244912499</v>
      </c>
      <c r="AI844" s="41">
        <v>1.3715263244912499</v>
      </c>
      <c r="AJ844" s="41">
        <v>1.1198188001321701</v>
      </c>
      <c r="AK844" s="41">
        <v>0.85589765739572898</v>
      </c>
      <c r="AL844" s="41">
        <v>0.999999999999998</v>
      </c>
      <c r="AM844" s="43">
        <f t="shared" si="460"/>
        <v>0.72911469662890738</v>
      </c>
      <c r="AN844" s="43">
        <f t="shared" si="461"/>
        <v>0.89300161765632968</v>
      </c>
      <c r="AO844" s="3" t="s">
        <v>236</v>
      </c>
      <c r="AP844"/>
      <c r="AQ844"/>
      <c r="AR844"/>
      <c r="AS844"/>
      <c r="AT844" s="2">
        <f t="shared" si="462"/>
        <v>1</v>
      </c>
      <c r="AU844" s="45">
        <f t="shared" si="463"/>
        <v>-0.24412514432750865</v>
      </c>
      <c r="AV844" s="45">
        <f t="shared" si="464"/>
        <v>-0.42021640338318983</v>
      </c>
      <c r="AW844" s="45">
        <f t="shared" si="465"/>
        <v>0.17609125905568124</v>
      </c>
      <c r="AX844" s="45" t="e">
        <f t="shared" si="466"/>
        <v>#VALUE!</v>
      </c>
      <c r="AY844" s="45" t="e">
        <f t="shared" si="467"/>
        <v>#VALUE!</v>
      </c>
      <c r="AZ844" s="45" t="e">
        <f t="shared" si="468"/>
        <v>#VALUE!</v>
      </c>
      <c r="BA844" s="45">
        <f t="shared" si="469"/>
        <v>1.2671717284030137</v>
      </c>
      <c r="BB844" s="45">
        <f t="shared" si="470"/>
        <v>0.846650355384024</v>
      </c>
      <c r="BC844" s="45" t="e">
        <f t="shared" si="471"/>
        <v>#VALUE!</v>
      </c>
      <c r="BD844" s="45" t="e">
        <f t="shared" si="472"/>
        <v>#VALUE!</v>
      </c>
      <c r="BE844" s="45" t="e">
        <f t="shared" si="473"/>
        <v>#VALUE!</v>
      </c>
      <c r="BF844" s="45">
        <f t="shared" si="474"/>
        <v>-0.13720414768358372</v>
      </c>
      <c r="BG844" s="45">
        <f t="shared" si="475"/>
        <v>-4.9147754394117317E-2</v>
      </c>
      <c r="BH844" s="45" t="e">
        <f t="shared" si="476"/>
        <v>#NUM!</v>
      </c>
      <c r="BI844" s="43" t="e">
        <f t="shared" si="477"/>
        <v>#VALUE!</v>
      </c>
      <c r="BJ844"/>
      <c r="BK844"/>
      <c r="BL844" s="7"/>
      <c r="BM844" s="41"/>
      <c r="BN844" s="41"/>
      <c r="BO844" s="41"/>
      <c r="BP844" s="41"/>
      <c r="BQ844" s="41"/>
      <c r="BR844" s="41"/>
      <c r="BS844"/>
      <c r="BT844"/>
      <c r="BU844" s="41"/>
      <c r="BV844" s="41"/>
      <c r="BW844" s="41"/>
      <c r="BX844" s="41"/>
      <c r="BY844" s="41"/>
      <c r="BZ844" s="41"/>
      <c r="CA844" s="41" t="s">
        <v>22</v>
      </c>
      <c r="CB844"/>
      <c r="CC844" s="18" t="s">
        <v>22</v>
      </c>
      <c r="CD844" s="18"/>
      <c r="CE844" s="41" t="s">
        <v>22</v>
      </c>
      <c r="CF844" s="41" t="s">
        <v>22</v>
      </c>
      <c r="CG844" s="41" t="e">
        <f t="shared" si="455"/>
        <v>#VALUE!</v>
      </c>
      <c r="CH844" s="41" t="e">
        <f t="shared" si="456"/>
        <v>#VALUE!</v>
      </c>
      <c r="CI844" s="41" t="str">
        <f t="shared" si="457"/>
        <v>Not Reported/ Can not calculate</v>
      </c>
      <c r="CJ844" s="41" t="e">
        <f t="shared" si="458"/>
        <v>#VALUE!</v>
      </c>
      <c r="CK844" s="18"/>
      <c r="CL844" s="9" t="s">
        <v>1269</v>
      </c>
      <c r="CM844" s="18" t="s">
        <v>1284</v>
      </c>
      <c r="CN844" s="54" t="s">
        <v>1284</v>
      </c>
      <c r="CO844" s="18" t="s">
        <v>1284</v>
      </c>
    </row>
    <row r="845" spans="1:93" s="2" customFormat="1" x14ac:dyDescent="0.25">
      <c r="A845" t="s">
        <v>141</v>
      </c>
      <c r="B845" s="41">
        <v>0.16500000000000001</v>
      </c>
      <c r="C845" s="41">
        <v>1.38</v>
      </c>
      <c r="D845" s="41">
        <f>0.001*(B845*10^6)/(C845*0.001*100^3)</f>
        <v>0.11956521739130435</v>
      </c>
      <c r="E845" s="41">
        <v>1.58</v>
      </c>
      <c r="F845">
        <v>1.9</v>
      </c>
      <c r="G845" t="s">
        <v>52</v>
      </c>
      <c r="H845" t="s">
        <v>22</v>
      </c>
      <c r="I845" t="s">
        <v>22</v>
      </c>
      <c r="J845" s="41">
        <v>4.45</v>
      </c>
      <c r="K845">
        <v>532</v>
      </c>
      <c r="L845" s="41">
        <f t="shared" si="478"/>
        <v>0.35645650136320001</v>
      </c>
      <c r="M845" t="s">
        <v>23</v>
      </c>
      <c r="N845" s="41">
        <v>765</v>
      </c>
      <c r="O845" s="41">
        <v>0.55400000000000005</v>
      </c>
      <c r="P845" s="41">
        <v>17.899999999999999</v>
      </c>
      <c r="Q845" s="41"/>
      <c r="R845" s="41">
        <f>N845*B845</f>
        <v>126.22500000000001</v>
      </c>
      <c r="S845" s="41">
        <f>O845*D845</f>
        <v>6.623913043478262E-2</v>
      </c>
      <c r="T845" s="41" t="s">
        <v>99</v>
      </c>
      <c r="U845" s="41">
        <v>11.5</v>
      </c>
      <c r="V845">
        <v>20200507</v>
      </c>
      <c r="W845" s="16" t="s">
        <v>100</v>
      </c>
      <c r="X845" s="18">
        <v>2017</v>
      </c>
      <c r="Y845" s="18" t="s">
        <v>76</v>
      </c>
      <c r="Z845" s="18"/>
      <c r="AA845" s="18"/>
      <c r="AB845" s="41"/>
      <c r="AC845" s="18" t="s">
        <v>514</v>
      </c>
      <c r="AD845" s="41" t="s">
        <v>22</v>
      </c>
      <c r="AE845" s="41">
        <v>1575.758</v>
      </c>
      <c r="AF845" s="41" t="s">
        <v>22</v>
      </c>
      <c r="AG845" s="41" t="s">
        <v>22</v>
      </c>
      <c r="AH845" s="41" t="s">
        <v>22</v>
      </c>
      <c r="AI845" s="41" t="s">
        <v>22</v>
      </c>
      <c r="AJ845" s="41" t="s">
        <v>22</v>
      </c>
      <c r="AK845" s="41" t="s">
        <v>22</v>
      </c>
      <c r="AL845" s="41" t="s">
        <v>22</v>
      </c>
      <c r="AM845" s="43" t="e">
        <f t="shared" si="460"/>
        <v>#VALUE!</v>
      </c>
      <c r="AN845" s="43" t="e">
        <f t="shared" si="461"/>
        <v>#VALUE!</v>
      </c>
      <c r="AO845" s="3" t="s">
        <v>101</v>
      </c>
      <c r="AP845"/>
      <c r="AQ845"/>
      <c r="AR845"/>
      <c r="AS845"/>
      <c r="AT845" s="2">
        <f t="shared" si="462"/>
        <v>2</v>
      </c>
      <c r="AU845" s="45">
        <f t="shared" si="463"/>
        <v>-0.78251605578609373</v>
      </c>
      <c r="AV845" s="45">
        <f t="shared" si="464"/>
        <v>0.13987908640123647</v>
      </c>
      <c r="AW845" s="45">
        <f t="shared" si="465"/>
        <v>-0.92239514218733021</v>
      </c>
      <c r="AX845" s="45">
        <f t="shared" si="466"/>
        <v>2.8836614351536176</v>
      </c>
      <c r="AY845" s="45">
        <f t="shared" si="467"/>
        <v>-0.25649023527157022</v>
      </c>
      <c r="AZ845" s="45">
        <f t="shared" si="468"/>
        <v>1.2528530309798931</v>
      </c>
      <c r="BA845" s="45">
        <f t="shared" si="469"/>
        <v>0.64836001098093166</v>
      </c>
      <c r="BB845" s="45">
        <f t="shared" si="470"/>
        <v>-0.44799345983887567</v>
      </c>
      <c r="BC845" s="45">
        <f t="shared" si="471"/>
        <v>1.0606978403536116</v>
      </c>
      <c r="BD845" s="45" t="e">
        <f t="shared" si="472"/>
        <v>#VALUE!</v>
      </c>
      <c r="BE845" s="45" t="e">
        <f t="shared" si="473"/>
        <v>#VALUE!</v>
      </c>
      <c r="BF845" s="45" t="e">
        <f t="shared" si="474"/>
        <v>#VALUE!</v>
      </c>
      <c r="BG845" s="45" t="e">
        <f t="shared" si="475"/>
        <v>#VALUE!</v>
      </c>
      <c r="BH845" s="45" t="e">
        <f t="shared" si="476"/>
        <v>#NUM!</v>
      </c>
      <c r="BI845" s="43" t="e">
        <f t="shared" si="477"/>
        <v>#VALUE!</v>
      </c>
      <c r="BJ845"/>
      <c r="BK845"/>
      <c r="BL845" s="7"/>
      <c r="BM845" s="41"/>
      <c r="BN845" s="41"/>
      <c r="BO845" s="41"/>
      <c r="BP845" s="41"/>
      <c r="BQ845" s="41"/>
      <c r="BR845" s="41"/>
      <c r="BS845"/>
      <c r="BT845"/>
      <c r="BU845" s="41"/>
      <c r="BV845" s="41"/>
      <c r="BW845" s="41"/>
      <c r="BX845" s="41"/>
      <c r="BY845" s="41"/>
      <c r="BZ845" s="41"/>
      <c r="CA845" s="41" t="s">
        <v>22</v>
      </c>
      <c r="CB845"/>
      <c r="CC845" s="18" t="s">
        <v>22</v>
      </c>
      <c r="CD845" s="18"/>
      <c r="CE845" s="41" t="s">
        <v>22</v>
      </c>
      <c r="CF845" s="41" t="s">
        <v>22</v>
      </c>
      <c r="CG845" s="41" t="e">
        <f t="shared" si="455"/>
        <v>#VALUE!</v>
      </c>
      <c r="CH845" s="41" t="e">
        <f t="shared" si="456"/>
        <v>#VALUE!</v>
      </c>
      <c r="CI845" s="41">
        <f t="shared" si="457"/>
        <v>11.5</v>
      </c>
      <c r="CJ845" s="41">
        <f t="shared" si="458"/>
        <v>1.0606978403536116</v>
      </c>
      <c r="CK845" s="18"/>
      <c r="CL845" s="9" t="s">
        <v>1269</v>
      </c>
      <c r="CM845" s="18" t="s">
        <v>1285</v>
      </c>
      <c r="CN845" s="54" t="s">
        <v>1284</v>
      </c>
      <c r="CO845" s="18" t="s">
        <v>1284</v>
      </c>
    </row>
    <row r="846" spans="1:93" s="2" customFormat="1" x14ac:dyDescent="0.25">
      <c r="A846" t="s">
        <v>141</v>
      </c>
      <c r="B846" s="41">
        <v>6.5000000000000002E-2</v>
      </c>
      <c r="C846" s="41">
        <v>0.66</v>
      </c>
      <c r="D846" s="41">
        <f>0.001*(B846*10^6)/(C846*0.001*100^3)</f>
        <v>9.8484848484848481E-2</v>
      </c>
      <c r="E846" s="41">
        <v>1.5</v>
      </c>
      <c r="F846">
        <v>1.44</v>
      </c>
      <c r="G846" t="s">
        <v>52</v>
      </c>
      <c r="H846" t="s">
        <v>22</v>
      </c>
      <c r="I846" t="s">
        <v>22</v>
      </c>
      <c r="J846" s="41">
        <v>4.45</v>
      </c>
      <c r="K846">
        <v>532</v>
      </c>
      <c r="L846" s="41">
        <f t="shared" si="478"/>
        <v>0.35645650136320001</v>
      </c>
      <c r="M846" t="s">
        <v>23</v>
      </c>
      <c r="N846" s="41">
        <v>331</v>
      </c>
      <c r="O846" s="41">
        <v>0.502</v>
      </c>
      <c r="P846" s="41">
        <v>2.843</v>
      </c>
      <c r="Q846" s="41"/>
      <c r="R846" s="41">
        <f>N846*B846</f>
        <v>21.515000000000001</v>
      </c>
      <c r="S846" s="41">
        <f>O846*D846</f>
        <v>4.9439393939393936E-2</v>
      </c>
      <c r="T846" s="41" t="s">
        <v>99</v>
      </c>
      <c r="U846" s="41">
        <v>11.5</v>
      </c>
      <c r="V846">
        <v>20200507</v>
      </c>
      <c r="W846" s="16" t="s">
        <v>102</v>
      </c>
      <c r="X846" s="18">
        <v>2017</v>
      </c>
      <c r="Y846" s="18" t="s">
        <v>76</v>
      </c>
      <c r="Z846" s="18"/>
      <c r="AA846" s="18"/>
      <c r="AB846" s="41"/>
      <c r="AC846" s="18" t="s">
        <v>514</v>
      </c>
      <c r="AD846" s="41" t="s">
        <v>22</v>
      </c>
      <c r="AE846" s="41">
        <v>1585.65</v>
      </c>
      <c r="AF846" s="41" t="s">
        <v>22</v>
      </c>
      <c r="AG846" s="41" t="s">
        <v>22</v>
      </c>
      <c r="AH846" s="41" t="s">
        <v>22</v>
      </c>
      <c r="AI846" s="41" t="s">
        <v>22</v>
      </c>
      <c r="AJ846" s="41" t="s">
        <v>22</v>
      </c>
      <c r="AK846" s="41" t="s">
        <v>22</v>
      </c>
      <c r="AL846" s="41" t="s">
        <v>22</v>
      </c>
      <c r="AM846" s="43" t="e">
        <f t="shared" si="460"/>
        <v>#VALUE!</v>
      </c>
      <c r="AN846" s="43" t="e">
        <f t="shared" si="461"/>
        <v>#VALUE!</v>
      </c>
      <c r="AO846" s="3" t="s">
        <v>101</v>
      </c>
      <c r="AP846"/>
      <c r="AQ846"/>
      <c r="AR846"/>
      <c r="AS846"/>
      <c r="AT846" s="2">
        <f t="shared" si="462"/>
        <v>2</v>
      </c>
      <c r="AU846" s="45">
        <f t="shared" si="463"/>
        <v>-1.1870866433571443</v>
      </c>
      <c r="AV846" s="45">
        <f t="shared" si="464"/>
        <v>-0.18045606445813131</v>
      </c>
      <c r="AW846" s="45">
        <f t="shared" si="465"/>
        <v>-1.0066305788990131</v>
      </c>
      <c r="AX846" s="45">
        <f t="shared" si="466"/>
        <v>2.5198279937757189</v>
      </c>
      <c r="AY846" s="45">
        <f t="shared" si="467"/>
        <v>-0.29929628285498067</v>
      </c>
      <c r="AZ846" s="45">
        <f t="shared" si="468"/>
        <v>0.45377685969044212</v>
      </c>
      <c r="BA846" s="45">
        <f t="shared" si="469"/>
        <v>0.64836001098093166</v>
      </c>
      <c r="BB846" s="45">
        <f t="shared" si="470"/>
        <v>-0.44799345983887567</v>
      </c>
      <c r="BC846" s="45">
        <f t="shared" si="471"/>
        <v>1.0606978403536116</v>
      </c>
      <c r="BD846" s="45" t="e">
        <f t="shared" si="472"/>
        <v>#VALUE!</v>
      </c>
      <c r="BE846" s="45" t="e">
        <f t="shared" si="473"/>
        <v>#VALUE!</v>
      </c>
      <c r="BF846" s="45" t="e">
        <f t="shared" si="474"/>
        <v>#VALUE!</v>
      </c>
      <c r="BG846" s="45" t="e">
        <f t="shared" si="475"/>
        <v>#VALUE!</v>
      </c>
      <c r="BH846" s="45" t="e">
        <f t="shared" si="476"/>
        <v>#NUM!</v>
      </c>
      <c r="BI846" s="43" t="e">
        <f t="shared" si="477"/>
        <v>#VALUE!</v>
      </c>
      <c r="BJ846"/>
      <c r="BK846"/>
      <c r="BL846" s="7"/>
      <c r="BM846" s="41"/>
      <c r="BN846" s="41"/>
      <c r="BO846" s="41"/>
      <c r="BP846" s="41"/>
      <c r="BQ846" s="41"/>
      <c r="BR846" s="41"/>
      <c r="BS846"/>
      <c r="BT846"/>
      <c r="BU846" s="41"/>
      <c r="BV846" s="41"/>
      <c r="BW846" s="41"/>
      <c r="BX846" s="41"/>
      <c r="BY846" s="41"/>
      <c r="BZ846" s="41"/>
      <c r="CA846" s="41" t="s">
        <v>22</v>
      </c>
      <c r="CB846"/>
      <c r="CC846" s="18" t="s">
        <v>22</v>
      </c>
      <c r="CD846" s="18"/>
      <c r="CE846" s="41" t="s">
        <v>22</v>
      </c>
      <c r="CF846" s="41" t="s">
        <v>22</v>
      </c>
      <c r="CG846" s="41" t="e">
        <f t="shared" ref="CG846:CG869" si="480">AD846*1000</f>
        <v>#VALUE!</v>
      </c>
      <c r="CH846" s="41" t="e">
        <f t="shared" ref="CH846:CH876" si="481">LOG10(CG846)</f>
        <v>#VALUE!</v>
      </c>
      <c r="CI846" s="41">
        <f t="shared" ref="CI846:CI876" si="482">IF(ISNUMBER(CG846),CG846,U846)</f>
        <v>11.5</v>
      </c>
      <c r="CJ846" s="41">
        <f t="shared" ref="CJ846:CJ876" si="483">LOG10(CI846)</f>
        <v>1.0606978403536116</v>
      </c>
      <c r="CK846" s="18"/>
      <c r="CL846" s="9" t="s">
        <v>1269</v>
      </c>
      <c r="CM846" s="18" t="s">
        <v>1285</v>
      </c>
      <c r="CN846" s="54" t="s">
        <v>1284</v>
      </c>
      <c r="CO846" s="18" t="s">
        <v>1284</v>
      </c>
    </row>
    <row r="847" spans="1:93" s="2" customFormat="1" x14ac:dyDescent="0.25">
      <c r="A847" t="s">
        <v>266</v>
      </c>
      <c r="B847" s="41">
        <v>0.46789999999999998</v>
      </c>
      <c r="C847" s="41" t="s">
        <v>22</v>
      </c>
      <c r="D847" s="41" t="s">
        <v>22</v>
      </c>
      <c r="E847" s="41" t="s">
        <v>22</v>
      </c>
      <c r="F847" t="s">
        <v>22</v>
      </c>
      <c r="G847" t="s">
        <v>22</v>
      </c>
      <c r="H847" t="s">
        <v>22</v>
      </c>
      <c r="I847" t="s">
        <v>22</v>
      </c>
      <c r="J847" s="41">
        <v>1.79</v>
      </c>
      <c r="K847">
        <v>514</v>
      </c>
      <c r="L847" s="41">
        <f t="shared" si="478"/>
        <v>0.12494115228464001</v>
      </c>
      <c r="M847" t="s">
        <v>45</v>
      </c>
      <c r="N847" s="41">
        <v>380</v>
      </c>
      <c r="O847" s="41" t="s">
        <v>22</v>
      </c>
      <c r="P847" s="41">
        <v>20.66</v>
      </c>
      <c r="Q847" s="41"/>
      <c r="R847" s="41">
        <f>N847*B847</f>
        <v>177.80199999999999</v>
      </c>
      <c r="S847" s="41" t="s">
        <v>22</v>
      </c>
      <c r="T847" s="41" t="s">
        <v>22</v>
      </c>
      <c r="U847" s="41" t="s">
        <v>22</v>
      </c>
      <c r="V847">
        <v>20200510</v>
      </c>
      <c r="W847" s="16" t="s">
        <v>230</v>
      </c>
      <c r="X847" s="18">
        <v>2017</v>
      </c>
      <c r="Y847" s="18" t="s">
        <v>76</v>
      </c>
      <c r="Z847" s="18" t="s">
        <v>228</v>
      </c>
      <c r="AA847" s="18"/>
      <c r="AB847" s="41"/>
      <c r="AC847" s="18" t="s">
        <v>514</v>
      </c>
      <c r="AD847" s="41">
        <v>6.5</v>
      </c>
      <c r="AE847" s="41">
        <v>1603.4</v>
      </c>
      <c r="AF847" s="41" t="s">
        <v>22</v>
      </c>
      <c r="AG847" s="41" t="s">
        <v>22</v>
      </c>
      <c r="AH847" s="41" t="s">
        <v>22</v>
      </c>
      <c r="AI847" s="41" t="s">
        <v>22</v>
      </c>
      <c r="AJ847" s="41" t="s">
        <v>22</v>
      </c>
      <c r="AK847" s="41" t="s">
        <v>22</v>
      </c>
      <c r="AL847" s="41" t="s">
        <v>22</v>
      </c>
      <c r="AM847" s="43" t="e">
        <f t="shared" si="460"/>
        <v>#VALUE!</v>
      </c>
      <c r="AN847" s="43" t="e">
        <f t="shared" si="461"/>
        <v>#VALUE!</v>
      </c>
      <c r="AO847" s="3" t="s">
        <v>231</v>
      </c>
      <c r="AP847"/>
      <c r="AQ847"/>
      <c r="AR847"/>
      <c r="AS847"/>
      <c r="AT847" s="2">
        <f t="shared" si="462"/>
        <v>2</v>
      </c>
      <c r="AU847" s="45">
        <f t="shared" si="463"/>
        <v>-0.32984695480781978</v>
      </c>
      <c r="AV847" s="45" t="e">
        <f t="shared" si="464"/>
        <v>#VALUE!</v>
      </c>
      <c r="AW847" s="45" t="e">
        <f t="shared" si="465"/>
        <v>#VALUE!</v>
      </c>
      <c r="AX847" s="45">
        <f t="shared" si="466"/>
        <v>2.5797835966168101</v>
      </c>
      <c r="AY847" s="45" t="e">
        <f t="shared" si="467"/>
        <v>#VALUE!</v>
      </c>
      <c r="AZ847" s="45">
        <f t="shared" si="468"/>
        <v>1.3151303171836017</v>
      </c>
      <c r="BA847" s="45">
        <f t="shared" si="469"/>
        <v>0.2528530309798932</v>
      </c>
      <c r="BB847" s="45">
        <f t="shared" si="470"/>
        <v>-0.90329449303900389</v>
      </c>
      <c r="BC847" s="45" t="e">
        <f t="shared" si="471"/>
        <v>#VALUE!</v>
      </c>
      <c r="BD847" s="45">
        <f t="shared" si="472"/>
        <v>0.81291335664285558</v>
      </c>
      <c r="BE847" s="45" t="e">
        <f t="shared" si="473"/>
        <v>#VALUE!</v>
      </c>
      <c r="BF847" s="45" t="e">
        <f t="shared" si="474"/>
        <v>#VALUE!</v>
      </c>
      <c r="BG847" s="45" t="e">
        <f t="shared" si="475"/>
        <v>#VALUE!</v>
      </c>
      <c r="BH847" s="45" t="e">
        <f t="shared" si="476"/>
        <v>#NUM!</v>
      </c>
      <c r="BI847" s="43" t="e">
        <f t="shared" si="477"/>
        <v>#VALUE!</v>
      </c>
      <c r="BJ847"/>
      <c r="BK847"/>
      <c r="BL847" s="7"/>
      <c r="BM847" s="41"/>
      <c r="BN847" s="41"/>
      <c r="BO847" s="41"/>
      <c r="BP847" s="41"/>
      <c r="BQ847" s="41"/>
      <c r="BR847" s="41"/>
      <c r="BS847"/>
      <c r="BT847"/>
      <c r="BU847" s="41"/>
      <c r="BV847" s="41"/>
      <c r="BW847" s="41"/>
      <c r="BX847" s="41"/>
      <c r="BY847" s="41"/>
      <c r="BZ847" s="41"/>
      <c r="CA847" s="41" t="s">
        <v>22</v>
      </c>
      <c r="CB847"/>
      <c r="CC847" s="18" t="s">
        <v>22</v>
      </c>
      <c r="CD847" s="18"/>
      <c r="CE847" s="41" t="s">
        <v>22</v>
      </c>
      <c r="CF847" s="41" t="s">
        <v>22</v>
      </c>
      <c r="CG847" s="41">
        <f t="shared" si="480"/>
        <v>6500</v>
      </c>
      <c r="CH847" s="41">
        <f t="shared" si="481"/>
        <v>3.8129133566428557</v>
      </c>
      <c r="CI847" s="41">
        <f t="shared" si="482"/>
        <v>6500</v>
      </c>
      <c r="CJ847" s="41">
        <f t="shared" si="483"/>
        <v>3.8129133566428557</v>
      </c>
      <c r="CK847" s="18"/>
      <c r="CL847" s="9" t="s">
        <v>1269</v>
      </c>
      <c r="CM847" s="18" t="s">
        <v>1283</v>
      </c>
      <c r="CN847" s="54" t="s">
        <v>1284</v>
      </c>
      <c r="CO847" s="18" t="s">
        <v>1284</v>
      </c>
    </row>
    <row r="848" spans="1:93" s="2" customFormat="1" x14ac:dyDescent="0.25">
      <c r="A848" t="s">
        <v>266</v>
      </c>
      <c r="B848" s="41">
        <v>0.2369</v>
      </c>
      <c r="C848" s="41" t="s">
        <v>22</v>
      </c>
      <c r="D848" s="41" t="s">
        <v>22</v>
      </c>
      <c r="E848" s="41" t="s">
        <v>22</v>
      </c>
      <c r="F848" t="s">
        <v>22</v>
      </c>
      <c r="G848" t="s">
        <v>22</v>
      </c>
      <c r="H848" t="s">
        <v>22</v>
      </c>
      <c r="I848" t="s">
        <v>22</v>
      </c>
      <c r="J848" s="41">
        <v>5.88</v>
      </c>
      <c r="K848">
        <v>514</v>
      </c>
      <c r="L848" s="41">
        <f t="shared" si="478"/>
        <v>0.41042121532608</v>
      </c>
      <c r="M848" t="s">
        <v>23</v>
      </c>
      <c r="N848" s="41">
        <v>320</v>
      </c>
      <c r="O848" s="41" t="s">
        <v>22</v>
      </c>
      <c r="P848" s="41">
        <v>8.41</v>
      </c>
      <c r="Q848" s="41"/>
      <c r="R848" s="41">
        <f>N848*B848</f>
        <v>75.807999999999993</v>
      </c>
      <c r="S848" s="41" t="s">
        <v>22</v>
      </c>
      <c r="T848" s="41" t="s">
        <v>22</v>
      </c>
      <c r="U848" s="41" t="s">
        <v>22</v>
      </c>
      <c r="V848">
        <v>20200510</v>
      </c>
      <c r="W848" s="16" t="s">
        <v>232</v>
      </c>
      <c r="X848" s="18">
        <v>2017</v>
      </c>
      <c r="Y848" s="18" t="s">
        <v>76</v>
      </c>
      <c r="Z848" s="18" t="s">
        <v>32</v>
      </c>
      <c r="AA848" s="18"/>
      <c r="AB848" s="41"/>
      <c r="AC848" s="18" t="s">
        <v>514</v>
      </c>
      <c r="AD848" s="41">
        <v>8</v>
      </c>
      <c r="AE848" s="41">
        <v>1580.9</v>
      </c>
      <c r="AF848" s="41" t="s">
        <v>22</v>
      </c>
      <c r="AG848" s="41" t="s">
        <v>22</v>
      </c>
      <c r="AH848" s="41" t="s">
        <v>22</v>
      </c>
      <c r="AI848" s="41" t="s">
        <v>22</v>
      </c>
      <c r="AJ848" s="41" t="s">
        <v>22</v>
      </c>
      <c r="AK848" s="41" t="s">
        <v>22</v>
      </c>
      <c r="AL848" s="41" t="s">
        <v>22</v>
      </c>
      <c r="AM848" s="43" t="e">
        <f t="shared" si="460"/>
        <v>#VALUE!</v>
      </c>
      <c r="AN848" s="43" t="e">
        <f t="shared" si="461"/>
        <v>#VALUE!</v>
      </c>
      <c r="AO848" s="3" t="s">
        <v>231</v>
      </c>
      <c r="AP848"/>
      <c r="AQ848"/>
      <c r="AR848"/>
      <c r="AS848"/>
      <c r="AT848" s="2">
        <f t="shared" si="462"/>
        <v>2</v>
      </c>
      <c r="AU848" s="45">
        <f t="shared" si="463"/>
        <v>-0.62543493927723492</v>
      </c>
      <c r="AV848" s="45" t="e">
        <f t="shared" si="464"/>
        <v>#VALUE!</v>
      </c>
      <c r="AW848" s="45" t="e">
        <f t="shared" si="465"/>
        <v>#VALUE!</v>
      </c>
      <c r="AX848" s="45">
        <f t="shared" si="466"/>
        <v>2.5051499783199058</v>
      </c>
      <c r="AY848" s="45" t="e">
        <f t="shared" si="467"/>
        <v>#VALUE!</v>
      </c>
      <c r="AZ848" s="45">
        <f t="shared" si="468"/>
        <v>0.92479599579791216</v>
      </c>
      <c r="BA848" s="45">
        <f t="shared" si="469"/>
        <v>0.76937732607613851</v>
      </c>
      <c r="BB848" s="45">
        <f t="shared" si="470"/>
        <v>-0.38677019794275858</v>
      </c>
      <c r="BC848" s="45" t="e">
        <f t="shared" si="471"/>
        <v>#VALUE!</v>
      </c>
      <c r="BD848" s="45">
        <f t="shared" si="472"/>
        <v>0.90308998699194354</v>
      </c>
      <c r="BE848" s="45" t="e">
        <f t="shared" si="473"/>
        <v>#VALUE!</v>
      </c>
      <c r="BF848" s="45" t="e">
        <f t="shared" si="474"/>
        <v>#VALUE!</v>
      </c>
      <c r="BG848" s="45" t="e">
        <f t="shared" si="475"/>
        <v>#VALUE!</v>
      </c>
      <c r="BH848" s="45" t="e">
        <f t="shared" si="476"/>
        <v>#NUM!</v>
      </c>
      <c r="BI848" s="43" t="e">
        <f t="shared" si="477"/>
        <v>#VALUE!</v>
      </c>
      <c r="BJ848"/>
      <c r="BK848"/>
      <c r="BL848" s="7"/>
      <c r="BM848" s="41"/>
      <c r="BN848" s="41"/>
      <c r="BO848" s="41"/>
      <c r="BP848" s="41"/>
      <c r="BQ848" s="41"/>
      <c r="BR848" s="41"/>
      <c r="BS848"/>
      <c r="BT848"/>
      <c r="BU848" s="41"/>
      <c r="BV848" s="41"/>
      <c r="BW848" s="41"/>
      <c r="BX848" s="41"/>
      <c r="BY848" s="41"/>
      <c r="BZ848" s="41"/>
      <c r="CA848" s="41" t="s">
        <v>22</v>
      </c>
      <c r="CB848"/>
      <c r="CC848" s="18" t="s">
        <v>22</v>
      </c>
      <c r="CD848" s="18"/>
      <c r="CE848" s="41" t="s">
        <v>22</v>
      </c>
      <c r="CF848" s="41" t="s">
        <v>22</v>
      </c>
      <c r="CG848" s="41">
        <f t="shared" si="480"/>
        <v>8000</v>
      </c>
      <c r="CH848" s="41">
        <f t="shared" si="481"/>
        <v>3.9030899869919438</v>
      </c>
      <c r="CI848" s="41">
        <f t="shared" si="482"/>
        <v>8000</v>
      </c>
      <c r="CJ848" s="41">
        <f t="shared" si="483"/>
        <v>3.9030899869919438</v>
      </c>
      <c r="CK848" s="18"/>
      <c r="CL848" s="9" t="s">
        <v>1269</v>
      </c>
      <c r="CM848" s="18" t="s">
        <v>1283</v>
      </c>
      <c r="CN848" s="54" t="s">
        <v>1284</v>
      </c>
      <c r="CO848" s="18" t="s">
        <v>1284</v>
      </c>
    </row>
    <row r="849" spans="1:93" s="2" customFormat="1" x14ac:dyDescent="0.25">
      <c r="A849" t="s">
        <v>266</v>
      </c>
      <c r="B849" s="41">
        <v>2.2222222222222223E-2</v>
      </c>
      <c r="C849" s="41" t="s">
        <v>22</v>
      </c>
      <c r="D849" s="41" t="s">
        <v>22</v>
      </c>
      <c r="E849" s="41" t="s">
        <v>22</v>
      </c>
      <c r="F849" t="s">
        <v>22</v>
      </c>
      <c r="G849" t="s">
        <v>22</v>
      </c>
      <c r="H849" t="s">
        <v>22</v>
      </c>
      <c r="I849" t="s">
        <v>22</v>
      </c>
      <c r="J849" s="41" t="s">
        <v>22</v>
      </c>
      <c r="K849" t="s">
        <v>22</v>
      </c>
      <c r="L849" s="41" t="s">
        <v>22</v>
      </c>
      <c r="M849" t="s">
        <v>23</v>
      </c>
      <c r="N849" s="41" t="s">
        <v>22</v>
      </c>
      <c r="O849" s="41" t="s">
        <v>22</v>
      </c>
      <c r="P849" s="41" t="s">
        <v>22</v>
      </c>
      <c r="Q849" s="41"/>
      <c r="R849" s="41" t="s">
        <v>22</v>
      </c>
      <c r="S849" s="41" t="s">
        <v>22</v>
      </c>
      <c r="T849" s="41">
        <v>1.4</v>
      </c>
      <c r="U849" s="41">
        <v>1.4</v>
      </c>
      <c r="V849">
        <v>20200512</v>
      </c>
      <c r="W849" s="16"/>
      <c r="X849" s="6">
        <v>2017</v>
      </c>
      <c r="Y849" s="18" t="s">
        <v>59</v>
      </c>
      <c r="Z849" s="18" t="s">
        <v>568</v>
      </c>
      <c r="AA849" s="18"/>
      <c r="AB849" s="41"/>
      <c r="AC849" s="18" t="s">
        <v>285</v>
      </c>
      <c r="AD849" s="41" t="s">
        <v>22</v>
      </c>
      <c r="AE849" s="41" t="s">
        <v>22</v>
      </c>
      <c r="AF849" s="41" t="s">
        <v>22</v>
      </c>
      <c r="AG849" s="41" t="s">
        <v>22</v>
      </c>
      <c r="AH849" s="41" t="s">
        <v>22</v>
      </c>
      <c r="AI849" s="41" t="s">
        <v>22</v>
      </c>
      <c r="AJ849" s="41" t="s">
        <v>22</v>
      </c>
      <c r="AK849" s="41" t="s">
        <v>22</v>
      </c>
      <c r="AL849" s="41" t="s">
        <v>22</v>
      </c>
      <c r="AM849" s="43" t="e">
        <f t="shared" si="460"/>
        <v>#VALUE!</v>
      </c>
      <c r="AN849" s="43" t="e">
        <f t="shared" si="461"/>
        <v>#VALUE!</v>
      </c>
      <c r="AO849" s="3" t="s">
        <v>569</v>
      </c>
      <c r="AP849"/>
      <c r="AQ849"/>
      <c r="AR849"/>
      <c r="AS849"/>
      <c r="AT849" s="2">
        <f t="shared" si="462"/>
        <v>2</v>
      </c>
      <c r="AU849" s="45">
        <f t="shared" si="463"/>
        <v>-1.6532125137753437</v>
      </c>
      <c r="AV849" s="45" t="e">
        <f t="shared" si="464"/>
        <v>#VALUE!</v>
      </c>
      <c r="AW849" s="45" t="e">
        <f t="shared" si="465"/>
        <v>#VALUE!</v>
      </c>
      <c r="AX849" s="45" t="e">
        <f t="shared" si="466"/>
        <v>#VALUE!</v>
      </c>
      <c r="AY849" s="45" t="e">
        <f t="shared" si="467"/>
        <v>#VALUE!</v>
      </c>
      <c r="AZ849" s="45" t="e">
        <f t="shared" si="468"/>
        <v>#VALUE!</v>
      </c>
      <c r="BA849" s="45" t="e">
        <f t="shared" si="469"/>
        <v>#VALUE!</v>
      </c>
      <c r="BB849" s="45" t="e">
        <f t="shared" si="470"/>
        <v>#VALUE!</v>
      </c>
      <c r="BC849" s="45">
        <f t="shared" si="471"/>
        <v>0.14612803567823801</v>
      </c>
      <c r="BD849" s="45" t="e">
        <f t="shared" si="472"/>
        <v>#VALUE!</v>
      </c>
      <c r="BE849" s="45" t="e">
        <f t="shared" si="473"/>
        <v>#VALUE!</v>
      </c>
      <c r="BF849" s="45" t="e">
        <f t="shared" si="474"/>
        <v>#VALUE!</v>
      </c>
      <c r="BG849" s="45" t="e">
        <f t="shared" si="475"/>
        <v>#VALUE!</v>
      </c>
      <c r="BH849" s="45" t="e">
        <f t="shared" si="476"/>
        <v>#NUM!</v>
      </c>
      <c r="BI849" s="43" t="e">
        <f t="shared" si="477"/>
        <v>#VALUE!</v>
      </c>
      <c r="BJ849"/>
      <c r="BK849"/>
      <c r="BL849" s="7"/>
      <c r="BM849" s="41"/>
      <c r="BN849" s="41"/>
      <c r="BO849" s="41"/>
      <c r="BP849" s="41"/>
      <c r="BQ849" s="41"/>
      <c r="BR849" s="41"/>
      <c r="BS849"/>
      <c r="BT849"/>
      <c r="BU849" s="41"/>
      <c r="BV849" s="41"/>
      <c r="BW849" s="41"/>
      <c r="BX849" s="41"/>
      <c r="BY849" s="41"/>
      <c r="BZ849" s="41"/>
      <c r="CA849" s="41" t="s">
        <v>22</v>
      </c>
      <c r="CB849"/>
      <c r="CC849" s="18" t="s">
        <v>22</v>
      </c>
      <c r="CD849" s="18"/>
      <c r="CE849" s="41" t="s">
        <v>22</v>
      </c>
      <c r="CF849" s="41" t="s">
        <v>22</v>
      </c>
      <c r="CG849" s="41" t="e">
        <f t="shared" si="480"/>
        <v>#VALUE!</v>
      </c>
      <c r="CH849" s="41" t="e">
        <f t="shared" si="481"/>
        <v>#VALUE!</v>
      </c>
      <c r="CI849" s="41">
        <f t="shared" si="482"/>
        <v>1.4</v>
      </c>
      <c r="CJ849" s="41">
        <f t="shared" si="483"/>
        <v>0.14612803567823801</v>
      </c>
      <c r="CK849" s="18"/>
      <c r="CL849" s="9" t="s">
        <v>1269</v>
      </c>
      <c r="CM849" s="18" t="s">
        <v>1285</v>
      </c>
      <c r="CN849" s="54" t="s">
        <v>1284</v>
      </c>
      <c r="CO849" s="18" t="s">
        <v>1284</v>
      </c>
    </row>
    <row r="850" spans="1:93" s="2" customFormat="1" x14ac:dyDescent="0.25">
      <c r="A850" t="s">
        <v>266</v>
      </c>
      <c r="B850" s="41">
        <v>0.19047619047619044</v>
      </c>
      <c r="C850" s="41" t="s">
        <v>22</v>
      </c>
      <c r="D850" s="41" t="s">
        <v>22</v>
      </c>
      <c r="E850" s="41" t="s">
        <v>22</v>
      </c>
      <c r="F850" t="s">
        <v>22</v>
      </c>
      <c r="G850" t="s">
        <v>22</v>
      </c>
      <c r="H850" t="s">
        <v>22</v>
      </c>
      <c r="I850" t="s">
        <v>22</v>
      </c>
      <c r="J850" s="41" t="s">
        <v>22</v>
      </c>
      <c r="K850" t="s">
        <v>22</v>
      </c>
      <c r="L850" s="41" t="s">
        <v>22</v>
      </c>
      <c r="M850" t="s">
        <v>45</v>
      </c>
      <c r="N850" s="41" t="s">
        <v>22</v>
      </c>
      <c r="O850" s="41" t="s">
        <v>22</v>
      </c>
      <c r="P850" s="41" t="s">
        <v>22</v>
      </c>
      <c r="Q850" s="41"/>
      <c r="R850" s="41" t="s">
        <v>22</v>
      </c>
      <c r="S850" s="41" t="s">
        <v>22</v>
      </c>
      <c r="T850" s="41">
        <v>1.4</v>
      </c>
      <c r="U850" s="41">
        <v>1.4</v>
      </c>
      <c r="V850">
        <v>20200512</v>
      </c>
      <c r="W850" s="16"/>
      <c r="X850" s="6">
        <v>2017</v>
      </c>
      <c r="Y850" s="18" t="s">
        <v>59</v>
      </c>
      <c r="Z850" s="18" t="s">
        <v>124</v>
      </c>
      <c r="AA850" s="18" t="s">
        <v>737</v>
      </c>
      <c r="AB850" s="41">
        <v>2.2222222222222223E-2</v>
      </c>
      <c r="AC850" s="18" t="s">
        <v>285</v>
      </c>
      <c r="AD850" s="41" t="s">
        <v>22</v>
      </c>
      <c r="AE850" s="41" t="s">
        <v>22</v>
      </c>
      <c r="AF850" s="41" t="s">
        <v>22</v>
      </c>
      <c r="AG850" s="41" t="s">
        <v>22</v>
      </c>
      <c r="AH850" s="41" t="s">
        <v>22</v>
      </c>
      <c r="AI850" s="41" t="s">
        <v>22</v>
      </c>
      <c r="AJ850" s="41" t="s">
        <v>22</v>
      </c>
      <c r="AK850" s="41" t="s">
        <v>22</v>
      </c>
      <c r="AL850" s="41" t="s">
        <v>22</v>
      </c>
      <c r="AM850" s="43" t="e">
        <f t="shared" si="460"/>
        <v>#VALUE!</v>
      </c>
      <c r="AN850" s="43" t="e">
        <f t="shared" si="461"/>
        <v>#VALUE!</v>
      </c>
      <c r="AO850" s="3" t="s">
        <v>569</v>
      </c>
      <c r="AP850"/>
      <c r="AQ850"/>
      <c r="AR850"/>
      <c r="AS850"/>
      <c r="AT850" s="2">
        <f t="shared" si="462"/>
        <v>2</v>
      </c>
      <c r="AU850" s="45">
        <f t="shared" si="463"/>
        <v>-0.72015930340595702</v>
      </c>
      <c r="AV850" s="45" t="e">
        <f t="shared" si="464"/>
        <v>#VALUE!</v>
      </c>
      <c r="AW850" s="45" t="e">
        <f t="shared" si="465"/>
        <v>#VALUE!</v>
      </c>
      <c r="AX850" s="45" t="e">
        <f t="shared" si="466"/>
        <v>#VALUE!</v>
      </c>
      <c r="AY850" s="45" t="e">
        <f t="shared" si="467"/>
        <v>#VALUE!</v>
      </c>
      <c r="AZ850" s="45" t="e">
        <f t="shared" si="468"/>
        <v>#VALUE!</v>
      </c>
      <c r="BA850" s="45" t="e">
        <f t="shared" si="469"/>
        <v>#VALUE!</v>
      </c>
      <c r="BB850" s="45" t="e">
        <f t="shared" si="470"/>
        <v>#VALUE!</v>
      </c>
      <c r="BC850" s="45">
        <f t="shared" si="471"/>
        <v>0.14612803567823801</v>
      </c>
      <c r="BD850" s="45" t="e">
        <f t="shared" si="472"/>
        <v>#VALUE!</v>
      </c>
      <c r="BE850" s="45" t="e">
        <f t="shared" si="473"/>
        <v>#VALUE!</v>
      </c>
      <c r="BF850" s="45" t="e">
        <f t="shared" si="474"/>
        <v>#VALUE!</v>
      </c>
      <c r="BG850" s="45" t="e">
        <f t="shared" si="475"/>
        <v>#VALUE!</v>
      </c>
      <c r="BH850" s="45">
        <f t="shared" si="476"/>
        <v>-1.6532125137753437</v>
      </c>
      <c r="BI850" s="43" t="e">
        <f t="shared" si="477"/>
        <v>#VALUE!</v>
      </c>
      <c r="BJ850"/>
      <c r="BK850"/>
      <c r="BL850" s="7"/>
      <c r="BM850" s="41"/>
      <c r="BN850" s="41"/>
      <c r="BO850" s="41"/>
      <c r="BP850" s="41"/>
      <c r="BQ850" s="41"/>
      <c r="BR850" s="41"/>
      <c r="BS850"/>
      <c r="BT850"/>
      <c r="BU850" s="41"/>
      <c r="BV850" s="41"/>
      <c r="BW850" s="41"/>
      <c r="BX850" s="41"/>
      <c r="BY850" s="41"/>
      <c r="BZ850" s="41"/>
      <c r="CA850" s="41" t="s">
        <v>22</v>
      </c>
      <c r="CB850"/>
      <c r="CC850" s="18" t="s">
        <v>22</v>
      </c>
      <c r="CD850" s="18"/>
      <c r="CE850" s="41" t="s">
        <v>22</v>
      </c>
      <c r="CF850" s="41" t="s">
        <v>22</v>
      </c>
      <c r="CG850" s="41" t="e">
        <f t="shared" si="480"/>
        <v>#VALUE!</v>
      </c>
      <c r="CH850" s="41" t="e">
        <f t="shared" si="481"/>
        <v>#VALUE!</v>
      </c>
      <c r="CI850" s="41">
        <f t="shared" si="482"/>
        <v>1.4</v>
      </c>
      <c r="CJ850" s="41">
        <f t="shared" si="483"/>
        <v>0.14612803567823801</v>
      </c>
      <c r="CK850" s="18"/>
      <c r="CL850" s="9" t="s">
        <v>1269</v>
      </c>
      <c r="CM850" s="18" t="s">
        <v>1285</v>
      </c>
      <c r="CN850" s="54" t="s">
        <v>1284</v>
      </c>
      <c r="CO850" s="18" t="s">
        <v>1284</v>
      </c>
    </row>
    <row r="851" spans="1:93" s="2" customFormat="1" x14ac:dyDescent="0.25">
      <c r="A851" t="s">
        <v>141</v>
      </c>
      <c r="B851" s="41">
        <v>1.0255102829750999E-2</v>
      </c>
      <c r="C851" s="41" t="s">
        <v>22</v>
      </c>
      <c r="D851" s="41" t="s">
        <v>22</v>
      </c>
      <c r="E851" s="41" t="s">
        <v>22</v>
      </c>
      <c r="F851">
        <v>0.56399999999999995</v>
      </c>
      <c r="G851" t="s">
        <v>78</v>
      </c>
      <c r="H851">
        <v>19.2</v>
      </c>
      <c r="I851" t="s">
        <v>82</v>
      </c>
      <c r="J851" s="41" t="s">
        <v>22</v>
      </c>
      <c r="K851" t="s">
        <v>22</v>
      </c>
      <c r="L851" s="41" t="s">
        <v>22</v>
      </c>
      <c r="M851" t="s">
        <v>23</v>
      </c>
      <c r="N851" s="41">
        <v>202.425373134328</v>
      </c>
      <c r="O851" s="41" t="s">
        <v>22</v>
      </c>
      <c r="P851" s="41" t="s">
        <v>22</v>
      </c>
      <c r="Q851" s="41"/>
      <c r="R851" s="41">
        <f t="shared" ref="R851:R864" si="484">N851*B851</f>
        <v>2.0758930168432488</v>
      </c>
      <c r="S851" s="41" t="s">
        <v>22</v>
      </c>
      <c r="T851" s="41">
        <v>10</v>
      </c>
      <c r="U851" s="41">
        <v>10</v>
      </c>
      <c r="V851">
        <v>20200512</v>
      </c>
      <c r="W851" s="16"/>
      <c r="X851" s="6">
        <v>2017</v>
      </c>
      <c r="Y851" t="s">
        <v>26</v>
      </c>
      <c r="Z851" t="s">
        <v>254</v>
      </c>
      <c r="AA851"/>
      <c r="AB851" s="41"/>
      <c r="AC851" t="s">
        <v>514</v>
      </c>
      <c r="AD851" s="41" t="s">
        <v>22</v>
      </c>
      <c r="AE851" s="41" t="s">
        <v>22</v>
      </c>
      <c r="AF851" s="41" t="s">
        <v>22</v>
      </c>
      <c r="AG851" s="41" t="s">
        <v>22</v>
      </c>
      <c r="AH851" s="41" t="s">
        <v>22</v>
      </c>
      <c r="AI851" s="41" t="s">
        <v>22</v>
      </c>
      <c r="AJ851" s="41" t="s">
        <v>22</v>
      </c>
      <c r="AK851" s="41" t="s">
        <v>22</v>
      </c>
      <c r="AL851" s="41" t="s">
        <v>22</v>
      </c>
      <c r="AM851" s="43" t="e">
        <f t="shared" si="460"/>
        <v>#VALUE!</v>
      </c>
      <c r="AN851" s="43" t="e">
        <f t="shared" si="461"/>
        <v>#VALUE!</v>
      </c>
      <c r="AO851" s="3" t="s">
        <v>592</v>
      </c>
      <c r="AP851"/>
      <c r="AQ851"/>
      <c r="AR851"/>
      <c r="AS851"/>
      <c r="AT851" s="2">
        <f t="shared" si="462"/>
        <v>8</v>
      </c>
      <c r="AU851" s="45">
        <f t="shared" si="463"/>
        <v>-1.9890599805253044</v>
      </c>
      <c r="AV851" s="45" t="e">
        <f t="shared" si="464"/>
        <v>#VALUE!</v>
      </c>
      <c r="AW851" s="45" t="e">
        <f t="shared" si="465"/>
        <v>#VALUE!</v>
      </c>
      <c r="AX851" s="45">
        <f t="shared" si="466"/>
        <v>2.3062649484917777</v>
      </c>
      <c r="AY851" s="45" t="e">
        <f t="shared" si="467"/>
        <v>#VALUE!</v>
      </c>
      <c r="AZ851" s="45" t="e">
        <f t="shared" si="468"/>
        <v>#VALUE!</v>
      </c>
      <c r="BA851" s="45" t="e">
        <f t="shared" si="469"/>
        <v>#VALUE!</v>
      </c>
      <c r="BB851" s="45" t="e">
        <f t="shared" si="470"/>
        <v>#VALUE!</v>
      </c>
      <c r="BC851" s="45">
        <f t="shared" si="471"/>
        <v>1</v>
      </c>
      <c r="BD851" s="45" t="e">
        <f t="shared" si="472"/>
        <v>#VALUE!</v>
      </c>
      <c r="BE851" s="45" t="e">
        <f t="shared" si="473"/>
        <v>#VALUE!</v>
      </c>
      <c r="BF851" s="45" t="e">
        <f t="shared" si="474"/>
        <v>#VALUE!</v>
      </c>
      <c r="BG851" s="45" t="e">
        <f t="shared" si="475"/>
        <v>#VALUE!</v>
      </c>
      <c r="BH851" s="45" t="e">
        <f t="shared" si="476"/>
        <v>#NUM!</v>
      </c>
      <c r="BI851" s="43" t="e">
        <f t="shared" si="477"/>
        <v>#VALUE!</v>
      </c>
      <c r="BJ851"/>
      <c r="BK851"/>
      <c r="BL851" s="7"/>
      <c r="BM851" s="41"/>
      <c r="BN851" s="41"/>
      <c r="BO851" s="41"/>
      <c r="BP851" s="41"/>
      <c r="BQ851" s="41"/>
      <c r="BR851" s="41"/>
      <c r="BS851"/>
      <c r="BT851"/>
      <c r="BU851" s="41"/>
      <c r="BV851" s="41"/>
      <c r="BW851" s="41"/>
      <c r="BX851" s="41"/>
      <c r="BY851" s="41"/>
      <c r="BZ851" s="41"/>
      <c r="CA851" s="41" t="s">
        <v>22</v>
      </c>
      <c r="CB851"/>
      <c r="CC851" s="18" t="s">
        <v>22</v>
      </c>
      <c r="CD851" s="18"/>
      <c r="CE851" s="41" t="s">
        <v>22</v>
      </c>
      <c r="CF851" s="41" t="s">
        <v>22</v>
      </c>
      <c r="CG851" s="41" t="e">
        <f t="shared" si="480"/>
        <v>#VALUE!</v>
      </c>
      <c r="CH851" s="41" t="e">
        <f t="shared" si="481"/>
        <v>#VALUE!</v>
      </c>
      <c r="CI851" s="41">
        <f t="shared" si="482"/>
        <v>10</v>
      </c>
      <c r="CJ851" s="41">
        <f t="shared" si="483"/>
        <v>1</v>
      </c>
      <c r="CK851" s="18"/>
      <c r="CL851" s="9" t="s">
        <v>1269</v>
      </c>
      <c r="CM851" s="18" t="s">
        <v>1285</v>
      </c>
      <c r="CN851" s="54" t="s">
        <v>1284</v>
      </c>
      <c r="CO851" s="18" t="s">
        <v>1284</v>
      </c>
    </row>
    <row r="852" spans="1:93" s="2" customFormat="1" x14ac:dyDescent="0.25">
      <c r="A852" t="s">
        <v>141</v>
      </c>
      <c r="B852" s="41">
        <v>1.4199126333694098E-2</v>
      </c>
      <c r="C852" s="41" t="s">
        <v>22</v>
      </c>
      <c r="D852" s="41" t="s">
        <v>22</v>
      </c>
      <c r="E852" s="41" t="s">
        <v>22</v>
      </c>
      <c r="F852">
        <v>0.56999999999999995</v>
      </c>
      <c r="G852" t="s">
        <v>78</v>
      </c>
      <c r="H852">
        <v>17.43</v>
      </c>
      <c r="I852" t="s">
        <v>82</v>
      </c>
      <c r="J852" s="41" t="s">
        <v>22</v>
      </c>
      <c r="K852" t="s">
        <v>22</v>
      </c>
      <c r="L852" s="41" t="s">
        <v>22</v>
      </c>
      <c r="M852" t="s">
        <v>23</v>
      </c>
      <c r="N852" s="41">
        <v>220.33582089552201</v>
      </c>
      <c r="O852" s="41" t="s">
        <v>22</v>
      </c>
      <c r="P852" s="41" t="s">
        <v>22</v>
      </c>
      <c r="Q852" s="41"/>
      <c r="R852" s="41">
        <f t="shared" si="484"/>
        <v>3.1285761567337129</v>
      </c>
      <c r="S852" s="41" t="s">
        <v>22</v>
      </c>
      <c r="T852" s="41">
        <v>10</v>
      </c>
      <c r="U852" s="41">
        <v>10</v>
      </c>
      <c r="V852">
        <v>20200512</v>
      </c>
      <c r="W852" s="16"/>
      <c r="X852" s="6">
        <v>2017</v>
      </c>
      <c r="Y852" t="s">
        <v>26</v>
      </c>
      <c r="Z852" t="s">
        <v>591</v>
      </c>
      <c r="AA852"/>
      <c r="AB852" s="41"/>
      <c r="AC852" t="s">
        <v>514</v>
      </c>
      <c r="AD852" s="41" t="s">
        <v>22</v>
      </c>
      <c r="AE852" s="41" t="s">
        <v>22</v>
      </c>
      <c r="AF852" s="41" t="s">
        <v>22</v>
      </c>
      <c r="AG852" s="41" t="s">
        <v>22</v>
      </c>
      <c r="AH852" s="41" t="s">
        <v>22</v>
      </c>
      <c r="AI852" s="41" t="s">
        <v>22</v>
      </c>
      <c r="AJ852" s="41" t="s">
        <v>22</v>
      </c>
      <c r="AK852" s="41" t="s">
        <v>22</v>
      </c>
      <c r="AL852" s="41" t="s">
        <v>22</v>
      </c>
      <c r="AM852" s="43" t="e">
        <f t="shared" si="460"/>
        <v>#VALUE!</v>
      </c>
      <c r="AN852" s="43" t="e">
        <f t="shared" si="461"/>
        <v>#VALUE!</v>
      </c>
      <c r="AO852" s="3" t="s">
        <v>592</v>
      </c>
      <c r="AP852"/>
      <c r="AQ852"/>
      <c r="AR852"/>
      <c r="AS852"/>
      <c r="AT852" s="2">
        <f t="shared" si="462"/>
        <v>8</v>
      </c>
      <c r="AU852" s="45">
        <f t="shared" si="463"/>
        <v>-1.8477383767527518</v>
      </c>
      <c r="AV852" s="45" t="e">
        <f t="shared" si="464"/>
        <v>#VALUE!</v>
      </c>
      <c r="AW852" s="45" t="e">
        <f t="shared" si="465"/>
        <v>#VALUE!</v>
      </c>
      <c r="AX852" s="45">
        <f t="shared" si="466"/>
        <v>2.3430851079207442</v>
      </c>
      <c r="AY852" s="45" t="e">
        <f t="shared" si="467"/>
        <v>#VALUE!</v>
      </c>
      <c r="AZ852" s="45" t="e">
        <f t="shared" si="468"/>
        <v>#VALUE!</v>
      </c>
      <c r="BA852" s="45" t="e">
        <f t="shared" si="469"/>
        <v>#VALUE!</v>
      </c>
      <c r="BB852" s="45" t="e">
        <f t="shared" si="470"/>
        <v>#VALUE!</v>
      </c>
      <c r="BC852" s="45">
        <f t="shared" si="471"/>
        <v>1</v>
      </c>
      <c r="BD852" s="45" t="e">
        <f t="shared" si="472"/>
        <v>#VALUE!</v>
      </c>
      <c r="BE852" s="45" t="e">
        <f t="shared" si="473"/>
        <v>#VALUE!</v>
      </c>
      <c r="BF852" s="45" t="e">
        <f t="shared" si="474"/>
        <v>#VALUE!</v>
      </c>
      <c r="BG852" s="45" t="e">
        <f t="shared" si="475"/>
        <v>#VALUE!</v>
      </c>
      <c r="BH852" s="45" t="e">
        <f t="shared" si="476"/>
        <v>#NUM!</v>
      </c>
      <c r="BI852" s="43" t="e">
        <f t="shared" si="477"/>
        <v>#VALUE!</v>
      </c>
      <c r="BJ852"/>
      <c r="BK852"/>
      <c r="BL852" s="7"/>
      <c r="BM852" s="41"/>
      <c r="BN852" s="41"/>
      <c r="BO852" s="41"/>
      <c r="BP852" s="41"/>
      <c r="BQ852" s="41"/>
      <c r="BR852" s="41"/>
      <c r="BS852"/>
      <c r="BT852"/>
      <c r="BU852" s="41"/>
      <c r="BV852" s="41"/>
      <c r="BW852" s="41"/>
      <c r="BX852" s="41"/>
      <c r="BY852" s="41"/>
      <c r="BZ852" s="41"/>
      <c r="CA852" s="41" t="s">
        <v>22</v>
      </c>
      <c r="CB852"/>
      <c r="CC852" s="18" t="s">
        <v>22</v>
      </c>
      <c r="CD852" s="18"/>
      <c r="CE852" s="41" t="s">
        <v>22</v>
      </c>
      <c r="CF852" s="41" t="s">
        <v>22</v>
      </c>
      <c r="CG852" s="41" t="e">
        <f t="shared" si="480"/>
        <v>#VALUE!</v>
      </c>
      <c r="CH852" s="41" t="e">
        <f t="shared" si="481"/>
        <v>#VALUE!</v>
      </c>
      <c r="CI852" s="41">
        <f t="shared" si="482"/>
        <v>10</v>
      </c>
      <c r="CJ852" s="41">
        <f t="shared" si="483"/>
        <v>1</v>
      </c>
      <c r="CK852" s="18"/>
      <c r="CL852" s="9" t="s">
        <v>1269</v>
      </c>
      <c r="CM852" s="18" t="s">
        <v>1285</v>
      </c>
      <c r="CN852" s="54" t="s">
        <v>1284</v>
      </c>
      <c r="CO852" s="18" t="s">
        <v>1284</v>
      </c>
    </row>
    <row r="853" spans="1:93" s="2" customFormat="1" x14ac:dyDescent="0.25">
      <c r="A853" t="s">
        <v>141</v>
      </c>
      <c r="B853" s="41">
        <v>2.0160313901345199E-2</v>
      </c>
      <c r="C853" s="41" t="s">
        <v>22</v>
      </c>
      <c r="D853" s="41" t="s">
        <v>22</v>
      </c>
      <c r="E853" s="41" t="s">
        <v>22</v>
      </c>
      <c r="F853">
        <v>0.57199999999999995</v>
      </c>
      <c r="G853" t="s">
        <v>78</v>
      </c>
      <c r="H853">
        <v>16.64</v>
      </c>
      <c r="I853" t="s">
        <v>82</v>
      </c>
      <c r="J853" s="41" t="s">
        <v>22</v>
      </c>
      <c r="K853" t="s">
        <v>22</v>
      </c>
      <c r="L853" s="41" t="s">
        <v>22</v>
      </c>
      <c r="M853" t="s">
        <v>23</v>
      </c>
      <c r="N853" s="41">
        <v>482.27611940298499</v>
      </c>
      <c r="O853" s="41" t="s">
        <v>22</v>
      </c>
      <c r="P853" s="41" t="s">
        <v>22</v>
      </c>
      <c r="Q853" s="41"/>
      <c r="R853" s="41">
        <f t="shared" si="484"/>
        <v>9.7228379542868151</v>
      </c>
      <c r="S853" s="41" t="s">
        <v>22</v>
      </c>
      <c r="T853" s="41">
        <v>10</v>
      </c>
      <c r="U853" s="41">
        <v>10</v>
      </c>
      <c r="V853">
        <v>20200512</v>
      </c>
      <c r="W853" s="16"/>
      <c r="X853" s="6">
        <v>2017</v>
      </c>
      <c r="Y853" s="18" t="s">
        <v>26</v>
      </c>
      <c r="Z853" s="18" t="s">
        <v>591</v>
      </c>
      <c r="AA853"/>
      <c r="AB853" s="41"/>
      <c r="AC853" t="s">
        <v>514</v>
      </c>
      <c r="AD853" s="41" t="s">
        <v>22</v>
      </c>
      <c r="AE853" s="41" t="s">
        <v>22</v>
      </c>
      <c r="AF853" s="41" t="s">
        <v>22</v>
      </c>
      <c r="AG853" s="41" t="s">
        <v>22</v>
      </c>
      <c r="AH853" s="41" t="s">
        <v>22</v>
      </c>
      <c r="AI853" s="41" t="s">
        <v>22</v>
      </c>
      <c r="AJ853" s="41" t="s">
        <v>22</v>
      </c>
      <c r="AK853" s="41" t="s">
        <v>22</v>
      </c>
      <c r="AL853" s="41" t="s">
        <v>22</v>
      </c>
      <c r="AM853" s="43" t="e">
        <f t="shared" si="460"/>
        <v>#VALUE!</v>
      </c>
      <c r="AN853" s="43" t="e">
        <f t="shared" si="461"/>
        <v>#VALUE!</v>
      </c>
      <c r="AO853" s="3" t="s">
        <v>592</v>
      </c>
      <c r="AP853"/>
      <c r="AQ853"/>
      <c r="AR853"/>
      <c r="AS853"/>
      <c r="AT853" s="2">
        <f t="shared" si="462"/>
        <v>8</v>
      </c>
      <c r="AU853" s="45">
        <f t="shared" si="463"/>
        <v>-1.695502710095522</v>
      </c>
      <c r="AV853" s="45" t="e">
        <f t="shared" si="464"/>
        <v>#VALUE!</v>
      </c>
      <c r="AW853" s="45" t="e">
        <f t="shared" si="465"/>
        <v>#VALUE!</v>
      </c>
      <c r="AX853" s="45">
        <f t="shared" si="466"/>
        <v>2.6832957577371914</v>
      </c>
      <c r="AY853" s="45" t="e">
        <f t="shared" si="467"/>
        <v>#VALUE!</v>
      </c>
      <c r="AZ853" s="45" t="e">
        <f t="shared" si="468"/>
        <v>#VALUE!</v>
      </c>
      <c r="BA853" s="45" t="e">
        <f t="shared" si="469"/>
        <v>#VALUE!</v>
      </c>
      <c r="BB853" s="45" t="e">
        <f t="shared" si="470"/>
        <v>#VALUE!</v>
      </c>
      <c r="BC853" s="45">
        <f t="shared" si="471"/>
        <v>1</v>
      </c>
      <c r="BD853" s="45" t="e">
        <f t="shared" si="472"/>
        <v>#VALUE!</v>
      </c>
      <c r="BE853" s="45" t="e">
        <f t="shared" si="473"/>
        <v>#VALUE!</v>
      </c>
      <c r="BF853" s="45" t="e">
        <f t="shared" si="474"/>
        <v>#VALUE!</v>
      </c>
      <c r="BG853" s="45" t="e">
        <f t="shared" si="475"/>
        <v>#VALUE!</v>
      </c>
      <c r="BH853" s="45" t="e">
        <f t="shared" si="476"/>
        <v>#NUM!</v>
      </c>
      <c r="BI853" s="43" t="e">
        <f t="shared" si="477"/>
        <v>#VALUE!</v>
      </c>
      <c r="BJ853"/>
      <c r="BK853"/>
      <c r="BL853" s="7"/>
      <c r="BM853" s="41"/>
      <c r="BN853" s="41"/>
      <c r="BO853" s="41"/>
      <c r="BP853" s="41"/>
      <c r="BQ853" s="41"/>
      <c r="BR853" s="41"/>
      <c r="BS853"/>
      <c r="BT853"/>
      <c r="BU853" s="41"/>
      <c r="BV853" s="41"/>
      <c r="BW853" s="41"/>
      <c r="BX853" s="41"/>
      <c r="BY853" s="41"/>
      <c r="BZ853" s="41"/>
      <c r="CA853" s="41" t="s">
        <v>22</v>
      </c>
      <c r="CB853"/>
      <c r="CC853" s="18" t="s">
        <v>22</v>
      </c>
      <c r="CD853" s="18"/>
      <c r="CE853" s="41" t="s">
        <v>22</v>
      </c>
      <c r="CF853" s="41" t="s">
        <v>22</v>
      </c>
      <c r="CG853" s="41" t="e">
        <f t="shared" si="480"/>
        <v>#VALUE!</v>
      </c>
      <c r="CH853" s="41" t="e">
        <f t="shared" si="481"/>
        <v>#VALUE!</v>
      </c>
      <c r="CI853" s="41">
        <f t="shared" si="482"/>
        <v>10</v>
      </c>
      <c r="CJ853" s="41">
        <f t="shared" si="483"/>
        <v>1</v>
      </c>
      <c r="CK853" s="18"/>
      <c r="CL853" s="9" t="s">
        <v>1269</v>
      </c>
      <c r="CM853" s="18" t="s">
        <v>1285</v>
      </c>
      <c r="CN853" s="54" t="s">
        <v>1284</v>
      </c>
      <c r="CO853" s="18" t="s">
        <v>1284</v>
      </c>
    </row>
    <row r="854" spans="1:93" s="2" customFormat="1" x14ac:dyDescent="0.25">
      <c r="A854" t="s">
        <v>141</v>
      </c>
      <c r="B854" s="41">
        <v>1.3397440853564199E-2</v>
      </c>
      <c r="C854" s="41" t="s">
        <v>22</v>
      </c>
      <c r="D854" s="41" t="s">
        <v>22</v>
      </c>
      <c r="E854" s="41" t="s">
        <v>22</v>
      </c>
      <c r="F854">
        <v>0.58199999999999996</v>
      </c>
      <c r="G854" t="s">
        <v>78</v>
      </c>
      <c r="H854">
        <v>16.32</v>
      </c>
      <c r="I854" t="s">
        <v>82</v>
      </c>
      <c r="J854" s="41" t="s">
        <v>22</v>
      </c>
      <c r="K854" t="s">
        <v>22</v>
      </c>
      <c r="L854" s="41" t="s">
        <v>22</v>
      </c>
      <c r="M854" t="s">
        <v>23</v>
      </c>
      <c r="N854" s="41">
        <v>301.49253731343202</v>
      </c>
      <c r="O854" s="41" t="s">
        <v>22</v>
      </c>
      <c r="P854" s="41" t="s">
        <v>22</v>
      </c>
      <c r="Q854" s="41"/>
      <c r="R854" s="41">
        <f t="shared" si="484"/>
        <v>4.0392284364477025</v>
      </c>
      <c r="S854" s="41" t="s">
        <v>22</v>
      </c>
      <c r="T854" s="41">
        <v>10</v>
      </c>
      <c r="U854" s="41">
        <v>10</v>
      </c>
      <c r="V854">
        <v>20200512</v>
      </c>
      <c r="W854" s="16"/>
      <c r="X854" s="6">
        <v>2017</v>
      </c>
      <c r="Y854" s="18" t="s">
        <v>26</v>
      </c>
      <c r="Z854" s="18" t="s">
        <v>591</v>
      </c>
      <c r="AA854"/>
      <c r="AB854" s="41"/>
      <c r="AC854" t="s">
        <v>514</v>
      </c>
      <c r="AD854" s="41" t="s">
        <v>22</v>
      </c>
      <c r="AE854" s="41" t="s">
        <v>22</v>
      </c>
      <c r="AF854" s="41" t="s">
        <v>22</v>
      </c>
      <c r="AG854" s="41" t="s">
        <v>22</v>
      </c>
      <c r="AH854" s="41" t="s">
        <v>22</v>
      </c>
      <c r="AI854" s="41" t="s">
        <v>22</v>
      </c>
      <c r="AJ854" s="41" t="s">
        <v>22</v>
      </c>
      <c r="AK854" s="41" t="s">
        <v>22</v>
      </c>
      <c r="AL854" s="41" t="s">
        <v>22</v>
      </c>
      <c r="AM854" s="43" t="e">
        <f t="shared" si="460"/>
        <v>#VALUE!</v>
      </c>
      <c r="AN854" s="43" t="e">
        <f t="shared" si="461"/>
        <v>#VALUE!</v>
      </c>
      <c r="AO854" s="3" t="s">
        <v>592</v>
      </c>
      <c r="AP854"/>
      <c r="AQ854"/>
      <c r="AR854"/>
      <c r="AS854"/>
      <c r="AT854" s="2">
        <f t="shared" si="462"/>
        <v>8</v>
      </c>
      <c r="AU854" s="45">
        <f t="shared" si="463"/>
        <v>-1.8729781515843986</v>
      </c>
      <c r="AV854" s="45" t="e">
        <f t="shared" si="464"/>
        <v>#VALUE!</v>
      </c>
      <c r="AW854" s="45" t="e">
        <f t="shared" si="465"/>
        <v>#VALUE!</v>
      </c>
      <c r="AX854" s="45">
        <f t="shared" si="466"/>
        <v>2.4792765667457961</v>
      </c>
      <c r="AY854" s="45" t="e">
        <f t="shared" si="467"/>
        <v>#VALUE!</v>
      </c>
      <c r="AZ854" s="45" t="e">
        <f t="shared" si="468"/>
        <v>#VALUE!</v>
      </c>
      <c r="BA854" s="45" t="e">
        <f t="shared" si="469"/>
        <v>#VALUE!</v>
      </c>
      <c r="BB854" s="45" t="e">
        <f t="shared" si="470"/>
        <v>#VALUE!</v>
      </c>
      <c r="BC854" s="45">
        <f t="shared" si="471"/>
        <v>1</v>
      </c>
      <c r="BD854" s="45" t="e">
        <f t="shared" si="472"/>
        <v>#VALUE!</v>
      </c>
      <c r="BE854" s="45" t="e">
        <f t="shared" si="473"/>
        <v>#VALUE!</v>
      </c>
      <c r="BF854" s="45" t="e">
        <f t="shared" si="474"/>
        <v>#VALUE!</v>
      </c>
      <c r="BG854" s="45" t="e">
        <f t="shared" si="475"/>
        <v>#VALUE!</v>
      </c>
      <c r="BH854" s="45" t="e">
        <f t="shared" si="476"/>
        <v>#NUM!</v>
      </c>
      <c r="BI854" s="43" t="e">
        <f t="shared" si="477"/>
        <v>#VALUE!</v>
      </c>
      <c r="BJ854"/>
      <c r="BK854"/>
      <c r="BL854" s="7"/>
      <c r="BM854" s="41"/>
      <c r="BN854" s="41"/>
      <c r="BO854" s="41"/>
      <c r="BP854" s="41"/>
      <c r="BQ854" s="41"/>
      <c r="BR854" s="41"/>
      <c r="BS854"/>
      <c r="BT854"/>
      <c r="BU854" s="41"/>
      <c r="BV854" s="41"/>
      <c r="BW854" s="41"/>
      <c r="BX854" s="41"/>
      <c r="BY854" s="41"/>
      <c r="BZ854" s="41"/>
      <c r="CA854" s="41" t="s">
        <v>22</v>
      </c>
      <c r="CB854"/>
      <c r="CC854" s="18" t="s">
        <v>22</v>
      </c>
      <c r="CD854" s="18"/>
      <c r="CE854" s="41" t="s">
        <v>22</v>
      </c>
      <c r="CF854" s="41" t="s">
        <v>22</v>
      </c>
      <c r="CG854" s="41" t="e">
        <f t="shared" si="480"/>
        <v>#VALUE!</v>
      </c>
      <c r="CH854" s="41" t="e">
        <f t="shared" si="481"/>
        <v>#VALUE!</v>
      </c>
      <c r="CI854" s="41">
        <f t="shared" si="482"/>
        <v>10</v>
      </c>
      <c r="CJ854" s="41">
        <f t="shared" si="483"/>
        <v>1</v>
      </c>
      <c r="CK854" s="18"/>
      <c r="CL854" s="9" t="s">
        <v>1269</v>
      </c>
      <c r="CM854" s="18" t="s">
        <v>1285</v>
      </c>
      <c r="CN854" s="54" t="s">
        <v>1284</v>
      </c>
      <c r="CO854" s="18" t="s">
        <v>1284</v>
      </c>
    </row>
    <row r="855" spans="1:93" s="2" customFormat="1" x14ac:dyDescent="0.25">
      <c r="A855" t="s">
        <v>141</v>
      </c>
      <c r="B855" s="41">
        <v>1.4962076697077402E-2</v>
      </c>
      <c r="C855" s="41" t="s">
        <v>22</v>
      </c>
      <c r="D855" s="41" t="s">
        <v>22</v>
      </c>
      <c r="E855" s="41" t="s">
        <v>22</v>
      </c>
      <c r="F855">
        <v>0.55700000000000005</v>
      </c>
      <c r="G855" t="s">
        <v>78</v>
      </c>
      <c r="H855">
        <v>19.27</v>
      </c>
      <c r="I855" t="s">
        <v>82</v>
      </c>
      <c r="J855" s="41" t="s">
        <v>22</v>
      </c>
      <c r="K855" t="s">
        <v>22</v>
      </c>
      <c r="L855" s="41" t="s">
        <v>22</v>
      </c>
      <c r="M855" t="s">
        <v>23</v>
      </c>
      <c r="N855" s="41">
        <v>272.947761194029</v>
      </c>
      <c r="O855" s="41" t="s">
        <v>22</v>
      </c>
      <c r="P855" s="41" t="s">
        <v>22</v>
      </c>
      <c r="Q855" s="41"/>
      <c r="R855" s="41">
        <f t="shared" si="484"/>
        <v>4.0838653372806286</v>
      </c>
      <c r="S855" s="41" t="s">
        <v>22</v>
      </c>
      <c r="T855" s="41">
        <v>10</v>
      </c>
      <c r="U855" s="41">
        <v>10</v>
      </c>
      <c r="V855">
        <v>20200512</v>
      </c>
      <c r="W855" s="16"/>
      <c r="X855" s="6">
        <v>2017</v>
      </c>
      <c r="Y855" s="18" t="s">
        <v>26</v>
      </c>
      <c r="Z855" s="18" t="s">
        <v>594</v>
      </c>
      <c r="AA855"/>
      <c r="AB855" s="41"/>
      <c r="AC855" t="s">
        <v>514</v>
      </c>
      <c r="AD855" s="41" t="s">
        <v>22</v>
      </c>
      <c r="AE855" s="41" t="s">
        <v>22</v>
      </c>
      <c r="AF855" s="41" t="s">
        <v>22</v>
      </c>
      <c r="AG855" s="41" t="s">
        <v>22</v>
      </c>
      <c r="AH855" s="41" t="s">
        <v>22</v>
      </c>
      <c r="AI855" s="41" t="s">
        <v>22</v>
      </c>
      <c r="AJ855" s="41" t="s">
        <v>22</v>
      </c>
      <c r="AK855" s="41" t="s">
        <v>22</v>
      </c>
      <c r="AL855" s="41" t="s">
        <v>22</v>
      </c>
      <c r="AM855" s="43" t="e">
        <f t="shared" si="460"/>
        <v>#VALUE!</v>
      </c>
      <c r="AN855" s="43" t="e">
        <f t="shared" si="461"/>
        <v>#VALUE!</v>
      </c>
      <c r="AO855" s="3" t="s">
        <v>592</v>
      </c>
      <c r="AP855"/>
      <c r="AQ855"/>
      <c r="AR855"/>
      <c r="AS855"/>
      <c r="AT855" s="2">
        <f t="shared" si="462"/>
        <v>8</v>
      </c>
      <c r="AU855" s="45">
        <f t="shared" si="463"/>
        <v>-1.8250081233507114</v>
      </c>
      <c r="AV855" s="45" t="e">
        <f t="shared" si="464"/>
        <v>#VALUE!</v>
      </c>
      <c r="AW855" s="45" t="e">
        <f t="shared" si="465"/>
        <v>#VALUE!</v>
      </c>
      <c r="AX855" s="45">
        <f t="shared" si="466"/>
        <v>2.4360795364325396</v>
      </c>
      <c r="AY855" s="45" t="e">
        <f t="shared" si="467"/>
        <v>#VALUE!</v>
      </c>
      <c r="AZ855" s="45" t="e">
        <f t="shared" si="468"/>
        <v>#VALUE!</v>
      </c>
      <c r="BA855" s="45" t="e">
        <f t="shared" si="469"/>
        <v>#VALUE!</v>
      </c>
      <c r="BB855" s="45" t="e">
        <f t="shared" si="470"/>
        <v>#VALUE!</v>
      </c>
      <c r="BC855" s="45">
        <f t="shared" si="471"/>
        <v>1</v>
      </c>
      <c r="BD855" s="45" t="e">
        <f t="shared" si="472"/>
        <v>#VALUE!</v>
      </c>
      <c r="BE855" s="45" t="e">
        <f t="shared" si="473"/>
        <v>#VALUE!</v>
      </c>
      <c r="BF855" s="45" t="e">
        <f t="shared" si="474"/>
        <v>#VALUE!</v>
      </c>
      <c r="BG855" s="45" t="e">
        <f t="shared" si="475"/>
        <v>#VALUE!</v>
      </c>
      <c r="BH855" s="45" t="e">
        <f t="shared" si="476"/>
        <v>#NUM!</v>
      </c>
      <c r="BI855" s="43" t="e">
        <f t="shared" si="477"/>
        <v>#VALUE!</v>
      </c>
      <c r="BJ855"/>
      <c r="BK855"/>
      <c r="BL855" s="7"/>
      <c r="BM855" s="41"/>
      <c r="BN855" s="41"/>
      <c r="BO855" s="41"/>
      <c r="BP855" s="41"/>
      <c r="BQ855" s="41"/>
      <c r="BR855" s="41"/>
      <c r="BS855"/>
      <c r="BT855"/>
      <c r="BU855" s="41"/>
      <c r="BV855" s="41"/>
      <c r="BW855" s="41"/>
      <c r="BX855" s="41"/>
      <c r="BY855" s="41"/>
      <c r="BZ855" s="41"/>
      <c r="CA855" s="41" t="s">
        <v>22</v>
      </c>
      <c r="CB855"/>
      <c r="CC855" s="18" t="s">
        <v>22</v>
      </c>
      <c r="CD855" s="18"/>
      <c r="CE855" s="41" t="s">
        <v>22</v>
      </c>
      <c r="CF855" s="41" t="s">
        <v>22</v>
      </c>
      <c r="CG855" s="41" t="e">
        <f t="shared" si="480"/>
        <v>#VALUE!</v>
      </c>
      <c r="CH855" s="41" t="e">
        <f t="shared" si="481"/>
        <v>#VALUE!</v>
      </c>
      <c r="CI855" s="41">
        <f t="shared" si="482"/>
        <v>10</v>
      </c>
      <c r="CJ855" s="41">
        <f t="shared" si="483"/>
        <v>1</v>
      </c>
      <c r="CK855" s="18"/>
      <c r="CL855" s="9" t="s">
        <v>1269</v>
      </c>
      <c r="CM855" s="18" t="s">
        <v>1285</v>
      </c>
      <c r="CN855" s="54" t="s">
        <v>1284</v>
      </c>
      <c r="CO855" s="18" t="s">
        <v>1284</v>
      </c>
    </row>
    <row r="856" spans="1:93" s="2" customFormat="1" x14ac:dyDescent="0.25">
      <c r="A856" t="s">
        <v>141</v>
      </c>
      <c r="B856" s="41">
        <v>2.0561195299211299E-2</v>
      </c>
      <c r="C856" s="41" t="s">
        <v>22</v>
      </c>
      <c r="D856" s="41" t="s">
        <v>22</v>
      </c>
      <c r="E856" s="41" t="s">
        <v>22</v>
      </c>
      <c r="F856">
        <v>0.57299999999999995</v>
      </c>
      <c r="G856" t="s">
        <v>78</v>
      </c>
      <c r="H856">
        <v>17.21</v>
      </c>
      <c r="I856" t="s">
        <v>82</v>
      </c>
      <c r="J856" s="41" t="s">
        <v>22</v>
      </c>
      <c r="K856" t="s">
        <v>22</v>
      </c>
      <c r="L856" s="41" t="s">
        <v>22</v>
      </c>
      <c r="M856" t="s">
        <v>23</v>
      </c>
      <c r="N856" s="41">
        <v>387.12686567164099</v>
      </c>
      <c r="O856" s="41" t="s">
        <v>22</v>
      </c>
      <c r="P856" s="41" t="s">
        <v>22</v>
      </c>
      <c r="Q856" s="41"/>
      <c r="R856" s="41">
        <f t="shared" si="484"/>
        <v>7.9597910906461484</v>
      </c>
      <c r="S856" s="41" t="s">
        <v>22</v>
      </c>
      <c r="T856" s="41">
        <v>10</v>
      </c>
      <c r="U856" s="41">
        <v>10</v>
      </c>
      <c r="V856">
        <v>20200512</v>
      </c>
      <c r="W856" s="16"/>
      <c r="X856" s="6">
        <v>2017</v>
      </c>
      <c r="Y856" s="18" t="s">
        <v>26</v>
      </c>
      <c r="Z856" s="18" t="s">
        <v>593</v>
      </c>
      <c r="AA856"/>
      <c r="AB856" s="41"/>
      <c r="AC856" t="s">
        <v>514</v>
      </c>
      <c r="AD856" s="41" t="s">
        <v>22</v>
      </c>
      <c r="AE856" s="41" t="s">
        <v>22</v>
      </c>
      <c r="AF856" s="41" t="s">
        <v>22</v>
      </c>
      <c r="AG856" s="41" t="s">
        <v>22</v>
      </c>
      <c r="AH856" s="41" t="s">
        <v>22</v>
      </c>
      <c r="AI856" s="41" t="s">
        <v>22</v>
      </c>
      <c r="AJ856" s="41" t="s">
        <v>22</v>
      </c>
      <c r="AK856" s="41" t="s">
        <v>22</v>
      </c>
      <c r="AL856" s="41" t="s">
        <v>22</v>
      </c>
      <c r="AM856" s="43" t="e">
        <f t="shared" si="460"/>
        <v>#VALUE!</v>
      </c>
      <c r="AN856" s="43" t="e">
        <f t="shared" si="461"/>
        <v>#VALUE!</v>
      </c>
      <c r="AO856" s="3" t="s">
        <v>592</v>
      </c>
      <c r="AP856"/>
      <c r="AQ856"/>
      <c r="AR856"/>
      <c r="AS856"/>
      <c r="AT856" s="2">
        <f t="shared" si="462"/>
        <v>8</v>
      </c>
      <c r="AU856" s="45">
        <f t="shared" si="463"/>
        <v>-1.6869516417797561</v>
      </c>
      <c r="AV856" s="45" t="e">
        <f t="shared" si="464"/>
        <v>#VALUE!</v>
      </c>
      <c r="AW856" s="45" t="e">
        <f t="shared" si="465"/>
        <v>#VALUE!</v>
      </c>
      <c r="AX856" s="45">
        <f t="shared" si="466"/>
        <v>2.5878533113553406</v>
      </c>
      <c r="AY856" s="45" t="e">
        <f t="shared" si="467"/>
        <v>#VALUE!</v>
      </c>
      <c r="AZ856" s="45" t="e">
        <f t="shared" si="468"/>
        <v>#VALUE!</v>
      </c>
      <c r="BA856" s="45" t="e">
        <f t="shared" si="469"/>
        <v>#VALUE!</v>
      </c>
      <c r="BB856" s="45" t="e">
        <f t="shared" si="470"/>
        <v>#VALUE!</v>
      </c>
      <c r="BC856" s="45">
        <f t="shared" si="471"/>
        <v>1</v>
      </c>
      <c r="BD856" s="45" t="e">
        <f t="shared" si="472"/>
        <v>#VALUE!</v>
      </c>
      <c r="BE856" s="45" t="e">
        <f t="shared" si="473"/>
        <v>#VALUE!</v>
      </c>
      <c r="BF856" s="45" t="e">
        <f t="shared" si="474"/>
        <v>#VALUE!</v>
      </c>
      <c r="BG856" s="45" t="e">
        <f t="shared" si="475"/>
        <v>#VALUE!</v>
      </c>
      <c r="BH856" s="45" t="e">
        <f t="shared" si="476"/>
        <v>#NUM!</v>
      </c>
      <c r="BI856" s="43" t="e">
        <f t="shared" si="477"/>
        <v>#VALUE!</v>
      </c>
      <c r="BJ856"/>
      <c r="BK856"/>
      <c r="BL856" s="7"/>
      <c r="BM856" s="41"/>
      <c r="BN856" s="41"/>
      <c r="BO856" s="41"/>
      <c r="BP856" s="41"/>
      <c r="BQ856" s="41"/>
      <c r="BR856" s="41"/>
      <c r="BS856"/>
      <c r="BT856"/>
      <c r="BU856" s="41"/>
      <c r="BV856" s="41"/>
      <c r="BW856" s="41"/>
      <c r="BX856" s="41"/>
      <c r="BY856" s="41"/>
      <c r="BZ856" s="41"/>
      <c r="CA856" s="41" t="s">
        <v>22</v>
      </c>
      <c r="CB856"/>
      <c r="CC856" s="18" t="s">
        <v>22</v>
      </c>
      <c r="CD856" s="18"/>
      <c r="CE856" s="41" t="s">
        <v>22</v>
      </c>
      <c r="CF856" s="41" t="s">
        <v>22</v>
      </c>
      <c r="CG856" s="41" t="e">
        <f t="shared" si="480"/>
        <v>#VALUE!</v>
      </c>
      <c r="CH856" s="41" t="e">
        <f t="shared" si="481"/>
        <v>#VALUE!</v>
      </c>
      <c r="CI856" s="41">
        <f t="shared" si="482"/>
        <v>10</v>
      </c>
      <c r="CJ856" s="41">
        <f t="shared" si="483"/>
        <v>1</v>
      </c>
      <c r="CK856" s="18"/>
      <c r="CL856" s="9" t="s">
        <v>1269</v>
      </c>
      <c r="CM856" s="18" t="s">
        <v>1285</v>
      </c>
      <c r="CN856" s="54" t="s">
        <v>1284</v>
      </c>
      <c r="CO856" s="18" t="s">
        <v>1284</v>
      </c>
    </row>
    <row r="857" spans="1:93" s="2" customFormat="1" x14ac:dyDescent="0.25">
      <c r="A857" t="s">
        <v>141</v>
      </c>
      <c r="B857" s="41">
        <v>1.8324107004793502E-2</v>
      </c>
      <c r="C857" s="41" t="s">
        <v>22</v>
      </c>
      <c r="D857" s="41" t="s">
        <v>22</v>
      </c>
      <c r="E857" s="41" t="s">
        <v>22</v>
      </c>
      <c r="F857">
        <v>0.58499999999999996</v>
      </c>
      <c r="G857" t="s">
        <v>78</v>
      </c>
      <c r="H857">
        <v>15.96</v>
      </c>
      <c r="I857" t="s">
        <v>82</v>
      </c>
      <c r="J857" s="41" t="s">
        <v>22</v>
      </c>
      <c r="K857" t="s">
        <v>22</v>
      </c>
      <c r="L857" s="41" t="s">
        <v>22</v>
      </c>
      <c r="M857" t="s">
        <v>23</v>
      </c>
      <c r="N857" s="41">
        <v>417.350746268656</v>
      </c>
      <c r="O857" s="41" t="s">
        <v>22</v>
      </c>
      <c r="P857" s="41" t="s">
        <v>22</v>
      </c>
      <c r="Q857" s="41"/>
      <c r="R857" s="41">
        <f t="shared" si="484"/>
        <v>7.6475797331572748</v>
      </c>
      <c r="S857" s="41" t="s">
        <v>22</v>
      </c>
      <c r="T857" s="41">
        <v>10</v>
      </c>
      <c r="U857" s="41">
        <v>10</v>
      </c>
      <c r="V857">
        <v>20200512</v>
      </c>
      <c r="W857" s="16"/>
      <c r="X857" s="6">
        <v>2017</v>
      </c>
      <c r="Y857" s="18" t="s">
        <v>26</v>
      </c>
      <c r="Z857" s="18" t="s">
        <v>593</v>
      </c>
      <c r="AA857"/>
      <c r="AB857" s="41"/>
      <c r="AC857" t="s">
        <v>514</v>
      </c>
      <c r="AD857" s="41" t="s">
        <v>22</v>
      </c>
      <c r="AE857" s="41" t="s">
        <v>22</v>
      </c>
      <c r="AF857" s="41" t="s">
        <v>22</v>
      </c>
      <c r="AG857" s="41" t="s">
        <v>22</v>
      </c>
      <c r="AH857" s="41" t="s">
        <v>22</v>
      </c>
      <c r="AI857" s="41" t="s">
        <v>22</v>
      </c>
      <c r="AJ857" s="41" t="s">
        <v>22</v>
      </c>
      <c r="AK857" s="41" t="s">
        <v>22</v>
      </c>
      <c r="AL857" s="41" t="s">
        <v>22</v>
      </c>
      <c r="AM857" s="43" t="e">
        <f t="shared" si="460"/>
        <v>#VALUE!</v>
      </c>
      <c r="AN857" s="43" t="e">
        <f t="shared" si="461"/>
        <v>#VALUE!</v>
      </c>
      <c r="AO857" s="3" t="s">
        <v>592</v>
      </c>
      <c r="AP857"/>
      <c r="AQ857"/>
      <c r="AR857"/>
      <c r="AS857"/>
      <c r="AT857" s="2">
        <f t="shared" si="462"/>
        <v>8</v>
      </c>
      <c r="AU857" s="45">
        <f t="shared" si="463"/>
        <v>-1.7369771807981769</v>
      </c>
      <c r="AV857" s="45" t="e">
        <f t="shared" si="464"/>
        <v>#VALUE!</v>
      </c>
      <c r="AW857" s="45" t="e">
        <f t="shared" si="465"/>
        <v>#VALUE!</v>
      </c>
      <c r="AX857" s="45">
        <f t="shared" si="466"/>
        <v>2.6205011944038588</v>
      </c>
      <c r="AY857" s="45" t="e">
        <f t="shared" si="467"/>
        <v>#VALUE!</v>
      </c>
      <c r="AZ857" s="45" t="e">
        <f t="shared" si="468"/>
        <v>#VALUE!</v>
      </c>
      <c r="BA857" s="45" t="e">
        <f t="shared" si="469"/>
        <v>#VALUE!</v>
      </c>
      <c r="BB857" s="45" t="e">
        <f t="shared" si="470"/>
        <v>#VALUE!</v>
      </c>
      <c r="BC857" s="45">
        <f t="shared" si="471"/>
        <v>1</v>
      </c>
      <c r="BD857" s="45" t="e">
        <f t="shared" si="472"/>
        <v>#VALUE!</v>
      </c>
      <c r="BE857" s="45" t="e">
        <f t="shared" si="473"/>
        <v>#VALUE!</v>
      </c>
      <c r="BF857" s="45" t="e">
        <f t="shared" si="474"/>
        <v>#VALUE!</v>
      </c>
      <c r="BG857" s="45" t="e">
        <f t="shared" si="475"/>
        <v>#VALUE!</v>
      </c>
      <c r="BH857" s="45" t="e">
        <f t="shared" si="476"/>
        <v>#NUM!</v>
      </c>
      <c r="BI857" s="43" t="e">
        <f t="shared" si="477"/>
        <v>#VALUE!</v>
      </c>
      <c r="BJ857"/>
      <c r="BK857"/>
      <c r="BL857" s="7"/>
      <c r="BM857" s="41"/>
      <c r="BN857" s="41"/>
      <c r="BO857" s="41"/>
      <c r="BP857" s="41"/>
      <c r="BQ857" s="41"/>
      <c r="BR857" s="41"/>
      <c r="BS857"/>
      <c r="BT857"/>
      <c r="BU857" s="41"/>
      <c r="BV857" s="41"/>
      <c r="BW857" s="41"/>
      <c r="BX857" s="41"/>
      <c r="BY857" s="41"/>
      <c r="BZ857" s="41"/>
      <c r="CA857" s="41" t="s">
        <v>22</v>
      </c>
      <c r="CB857"/>
      <c r="CC857" s="18" t="s">
        <v>22</v>
      </c>
      <c r="CD857" s="18"/>
      <c r="CE857" s="41" t="s">
        <v>22</v>
      </c>
      <c r="CF857" s="41" t="s">
        <v>22</v>
      </c>
      <c r="CG857" s="41" t="e">
        <f t="shared" si="480"/>
        <v>#VALUE!</v>
      </c>
      <c r="CH857" s="41" t="e">
        <f t="shared" si="481"/>
        <v>#VALUE!</v>
      </c>
      <c r="CI857" s="41">
        <f t="shared" si="482"/>
        <v>10</v>
      </c>
      <c r="CJ857" s="41">
        <f t="shared" si="483"/>
        <v>1</v>
      </c>
      <c r="CK857" s="18"/>
      <c r="CL857" s="9" t="s">
        <v>1269</v>
      </c>
      <c r="CM857" s="18" t="s">
        <v>1285</v>
      </c>
      <c r="CN857" s="54" t="s">
        <v>1284</v>
      </c>
      <c r="CO857" s="18" t="s">
        <v>1284</v>
      </c>
    </row>
    <row r="858" spans="1:93" s="2" customFormat="1" x14ac:dyDescent="0.25">
      <c r="A858" t="s">
        <v>141</v>
      </c>
      <c r="B858" s="41">
        <v>1.5880160816452701E-2</v>
      </c>
      <c r="C858" s="41" t="s">
        <v>22</v>
      </c>
      <c r="D858" s="41" t="s">
        <v>22</v>
      </c>
      <c r="E858" s="41" t="s">
        <v>22</v>
      </c>
      <c r="F858">
        <v>0.57499999999999996</v>
      </c>
      <c r="G858" t="s">
        <v>78</v>
      </c>
      <c r="H858">
        <v>16.989999999999998</v>
      </c>
      <c r="I858" t="s">
        <v>82</v>
      </c>
      <c r="J858" s="41" t="s">
        <v>22</v>
      </c>
      <c r="K858" t="s">
        <v>22</v>
      </c>
      <c r="L858" s="41" t="s">
        <v>22</v>
      </c>
      <c r="M858" t="s">
        <v>23</v>
      </c>
      <c r="N858" s="41">
        <v>260.63432835820799</v>
      </c>
      <c r="O858" s="41" t="s">
        <v>22</v>
      </c>
      <c r="P858" s="41" t="s">
        <v>22</v>
      </c>
      <c r="Q858" s="41"/>
      <c r="R858" s="41">
        <f t="shared" si="484"/>
        <v>4.1389150486164814</v>
      </c>
      <c r="S858" s="41" t="s">
        <v>22</v>
      </c>
      <c r="T858" s="41">
        <v>10</v>
      </c>
      <c r="U858" s="41">
        <v>10</v>
      </c>
      <c r="V858">
        <v>20200512</v>
      </c>
      <c r="W858" s="16"/>
      <c r="X858" s="6">
        <v>2017</v>
      </c>
      <c r="Y858" t="s">
        <v>26</v>
      </c>
      <c r="Z858" t="s">
        <v>593</v>
      </c>
      <c r="AA858"/>
      <c r="AB858" s="41"/>
      <c r="AC858" s="18" t="s">
        <v>514</v>
      </c>
      <c r="AD858" s="41" t="s">
        <v>22</v>
      </c>
      <c r="AE858" s="41" t="s">
        <v>22</v>
      </c>
      <c r="AF858" s="41" t="s">
        <v>22</v>
      </c>
      <c r="AG858" s="41" t="s">
        <v>22</v>
      </c>
      <c r="AH858" s="41" t="s">
        <v>22</v>
      </c>
      <c r="AI858" s="41" t="s">
        <v>22</v>
      </c>
      <c r="AJ858" s="41" t="s">
        <v>22</v>
      </c>
      <c r="AK858" s="41" t="s">
        <v>22</v>
      </c>
      <c r="AL858" s="41" t="s">
        <v>22</v>
      </c>
      <c r="AM858" s="43" t="e">
        <f t="shared" si="460"/>
        <v>#VALUE!</v>
      </c>
      <c r="AN858" s="43" t="e">
        <f t="shared" si="461"/>
        <v>#VALUE!</v>
      </c>
      <c r="AO858" s="3" t="s">
        <v>592</v>
      </c>
      <c r="AP858"/>
      <c r="AQ858"/>
      <c r="AR858"/>
      <c r="AS858"/>
      <c r="AT858" s="2">
        <f t="shared" si="462"/>
        <v>8</v>
      </c>
      <c r="AU858" s="45">
        <f t="shared" si="463"/>
        <v>-1.799145103839378</v>
      </c>
      <c r="AV858" s="45" t="e">
        <f t="shared" si="464"/>
        <v>#VALUE!</v>
      </c>
      <c r="AW858" s="45" t="e">
        <f t="shared" si="465"/>
        <v>#VALUE!</v>
      </c>
      <c r="AX858" s="45">
        <f t="shared" si="466"/>
        <v>2.4160316164214102</v>
      </c>
      <c r="AY858" s="45" t="e">
        <f t="shared" si="467"/>
        <v>#VALUE!</v>
      </c>
      <c r="AZ858" s="45" t="e">
        <f t="shared" si="468"/>
        <v>#VALUE!</v>
      </c>
      <c r="BA858" s="45" t="e">
        <f t="shared" si="469"/>
        <v>#VALUE!</v>
      </c>
      <c r="BB858" s="45" t="e">
        <f t="shared" si="470"/>
        <v>#VALUE!</v>
      </c>
      <c r="BC858" s="45">
        <f t="shared" si="471"/>
        <v>1</v>
      </c>
      <c r="BD858" s="45" t="e">
        <f t="shared" si="472"/>
        <v>#VALUE!</v>
      </c>
      <c r="BE858" s="45" t="e">
        <f t="shared" si="473"/>
        <v>#VALUE!</v>
      </c>
      <c r="BF858" s="45" t="e">
        <f t="shared" si="474"/>
        <v>#VALUE!</v>
      </c>
      <c r="BG858" s="45" t="e">
        <f t="shared" si="475"/>
        <v>#VALUE!</v>
      </c>
      <c r="BH858" s="45" t="e">
        <f t="shared" si="476"/>
        <v>#NUM!</v>
      </c>
      <c r="BI858" s="43" t="e">
        <f t="shared" si="477"/>
        <v>#VALUE!</v>
      </c>
      <c r="BJ858"/>
      <c r="BK858"/>
      <c r="BL858" s="7"/>
      <c r="BM858" s="41"/>
      <c r="BN858" s="41"/>
      <c r="BO858" s="41"/>
      <c r="BP858" s="41"/>
      <c r="BQ858" s="41"/>
      <c r="BR858" s="41"/>
      <c r="BS858"/>
      <c r="BT858"/>
      <c r="BU858" s="41"/>
      <c r="BV858" s="41"/>
      <c r="BW858" s="41"/>
      <c r="BX858" s="41"/>
      <c r="BY858" s="41"/>
      <c r="BZ858" s="41"/>
      <c r="CA858" s="41" t="s">
        <v>22</v>
      </c>
      <c r="CB858"/>
      <c r="CC858" s="18" t="s">
        <v>22</v>
      </c>
      <c r="CD858" s="18"/>
      <c r="CE858" s="41" t="s">
        <v>22</v>
      </c>
      <c r="CF858" s="41" t="s">
        <v>22</v>
      </c>
      <c r="CG858" s="41" t="e">
        <f t="shared" si="480"/>
        <v>#VALUE!</v>
      </c>
      <c r="CH858" s="41" t="e">
        <f t="shared" si="481"/>
        <v>#VALUE!</v>
      </c>
      <c r="CI858" s="41">
        <f t="shared" si="482"/>
        <v>10</v>
      </c>
      <c r="CJ858" s="41">
        <f t="shared" si="483"/>
        <v>1</v>
      </c>
      <c r="CK858" s="18"/>
      <c r="CL858" s="9" t="s">
        <v>1269</v>
      </c>
      <c r="CM858" s="18" t="s">
        <v>1285</v>
      </c>
      <c r="CN858" s="54" t="s">
        <v>1284</v>
      </c>
      <c r="CO858" s="18" t="s">
        <v>1284</v>
      </c>
    </row>
    <row r="859" spans="1:93" s="2" customFormat="1" x14ac:dyDescent="0.25">
      <c r="A859" t="s">
        <v>141</v>
      </c>
      <c r="B859" s="41">
        <v>0.25706940874035988</v>
      </c>
      <c r="C859" s="41">
        <v>0.91</v>
      </c>
      <c r="D859" s="41">
        <f>0.001*(B859*10^6)/(C859*0.001*100^3)</f>
        <v>0.28249385575863728</v>
      </c>
      <c r="E859" s="41" t="s">
        <v>22</v>
      </c>
      <c r="F859" t="s">
        <v>22</v>
      </c>
      <c r="G859" t="s">
        <v>22</v>
      </c>
      <c r="H859" t="s">
        <v>22</v>
      </c>
      <c r="I859" t="s">
        <v>22</v>
      </c>
      <c r="J859" s="41" t="s">
        <v>22</v>
      </c>
      <c r="K859">
        <v>785</v>
      </c>
      <c r="L859" s="41" t="e">
        <f>IF((10^-12)*J859*K859^4=0,"",(10^-12)*J859*K859^4)</f>
        <v>#VALUE!</v>
      </c>
      <c r="M859" t="s">
        <v>23</v>
      </c>
      <c r="N859" s="41">
        <v>391</v>
      </c>
      <c r="O859" s="41">
        <f>(N859/C859)*0.001</f>
        <v>0.42967032967032964</v>
      </c>
      <c r="P859" s="41">
        <v>6.98</v>
      </c>
      <c r="Q859" s="41"/>
      <c r="R859" s="41">
        <f t="shared" si="484"/>
        <v>100.51413881748071</v>
      </c>
      <c r="S859" s="41">
        <f>O859*D859</f>
        <v>0.12137922813365623</v>
      </c>
      <c r="T859" s="41" t="s">
        <v>83</v>
      </c>
      <c r="U859" s="41">
        <v>5.5</v>
      </c>
      <c r="V859">
        <v>20200507</v>
      </c>
      <c r="W859" s="16" t="s">
        <v>94</v>
      </c>
      <c r="X859" s="18">
        <v>2017</v>
      </c>
      <c r="Y859" t="s">
        <v>76</v>
      </c>
      <c r="Z859" t="s">
        <v>95</v>
      </c>
      <c r="AA859"/>
      <c r="AB859" s="41"/>
      <c r="AC859" s="18" t="s">
        <v>514</v>
      </c>
      <c r="AD859" s="41" t="s">
        <v>22</v>
      </c>
      <c r="AE859" s="41">
        <v>1583</v>
      </c>
      <c r="AF859" s="41" t="s">
        <v>22</v>
      </c>
      <c r="AG859" s="41">
        <v>247</v>
      </c>
      <c r="AH859" s="41">
        <f>1.1576*10^-3</f>
        <v>1.1575999999999999E-3</v>
      </c>
      <c r="AI859" s="41">
        <f>1.1576*10^-3</f>
        <v>1.1575999999999999E-3</v>
      </c>
      <c r="AJ859" s="41">
        <f>8.9272*10^-4</f>
        <v>8.9271999999999995E-4</v>
      </c>
      <c r="AK859" s="41">
        <f>4.9272*10^-4</f>
        <v>4.9271999999999999E-4</v>
      </c>
      <c r="AL859" s="41">
        <f>3.8675*10^-4</f>
        <v>3.8675000000000005E-4</v>
      </c>
      <c r="AM859" s="43">
        <f t="shared" si="460"/>
        <v>0.3340964063579821</v>
      </c>
      <c r="AN859" s="43">
        <f t="shared" si="461"/>
        <v>0.43322654359709661</v>
      </c>
      <c r="AO859" s="3" t="s">
        <v>96</v>
      </c>
      <c r="AP859"/>
      <c r="AQ859"/>
      <c r="AR859"/>
      <c r="AS859"/>
      <c r="AT859" s="2">
        <f t="shared" si="462"/>
        <v>4</v>
      </c>
      <c r="AU859" s="45">
        <f t="shared" si="463"/>
        <v>-0.58994960132570773</v>
      </c>
      <c r="AV859" s="45">
        <f t="shared" si="464"/>
        <v>-4.0958607678906384E-2</v>
      </c>
      <c r="AW859" s="45">
        <f t="shared" si="465"/>
        <v>-0.54899099364680126</v>
      </c>
      <c r="AX859" s="45">
        <f t="shared" si="466"/>
        <v>2.5921767573958667</v>
      </c>
      <c r="AY859" s="45">
        <f t="shared" si="467"/>
        <v>-0.36686463492522681</v>
      </c>
      <c r="AZ859" s="45">
        <f t="shared" si="468"/>
        <v>0.84385542262316116</v>
      </c>
      <c r="BA859" s="45" t="e">
        <f t="shared" si="469"/>
        <v>#VALUE!</v>
      </c>
      <c r="BB859" s="45" t="e">
        <f t="shared" si="470"/>
        <v>#VALUE!</v>
      </c>
      <c r="BC859" s="45">
        <f t="shared" si="471"/>
        <v>0.74036268949424389</v>
      </c>
      <c r="BD859" s="45" t="e">
        <f t="shared" si="472"/>
        <v>#VALUE!</v>
      </c>
      <c r="BE859" s="45" t="e">
        <f t="shared" si="473"/>
        <v>#VALUE!</v>
      </c>
      <c r="BF859" s="45">
        <f t="shared" si="474"/>
        <v>-0.47612819573957582</v>
      </c>
      <c r="BG859" s="45">
        <f t="shared" si="475"/>
        <v>-0.36328494220232199</v>
      </c>
      <c r="BH859" s="45" t="e">
        <f t="shared" si="476"/>
        <v>#NUM!</v>
      </c>
      <c r="BI859" s="43" t="e">
        <f t="shared" si="477"/>
        <v>#VALUE!</v>
      </c>
      <c r="BJ859"/>
      <c r="BK859"/>
      <c r="BL859" s="7"/>
      <c r="BM859" s="41"/>
      <c r="BN859" s="41"/>
      <c r="BO859" s="41"/>
      <c r="BP859" s="41"/>
      <c r="BQ859" s="41"/>
      <c r="BR859" s="41"/>
      <c r="BS859"/>
      <c r="BT859"/>
      <c r="BU859" s="41"/>
      <c r="BV859" s="41"/>
      <c r="BW859" s="41"/>
      <c r="BX859" s="41"/>
      <c r="BY859" s="41"/>
      <c r="BZ859" s="41"/>
      <c r="CA859" s="41" t="s">
        <v>22</v>
      </c>
      <c r="CB859"/>
      <c r="CC859" s="18" t="s">
        <v>22</v>
      </c>
      <c r="CD859" s="18"/>
      <c r="CE859" s="41" t="s">
        <v>22</v>
      </c>
      <c r="CF859" s="41" t="s">
        <v>22</v>
      </c>
      <c r="CG859" s="41" t="e">
        <f t="shared" si="480"/>
        <v>#VALUE!</v>
      </c>
      <c r="CH859" s="41" t="e">
        <f t="shared" si="481"/>
        <v>#VALUE!</v>
      </c>
      <c r="CI859" s="41">
        <f t="shared" si="482"/>
        <v>5.5</v>
      </c>
      <c r="CJ859" s="41">
        <f t="shared" si="483"/>
        <v>0.74036268949424389</v>
      </c>
      <c r="CK859" s="18"/>
      <c r="CL859" s="9" t="s">
        <v>1269</v>
      </c>
      <c r="CM859" s="18" t="s">
        <v>1285</v>
      </c>
      <c r="CN859" s="54" t="s">
        <v>1284</v>
      </c>
      <c r="CO859" s="18" t="s">
        <v>1284</v>
      </c>
    </row>
    <row r="860" spans="1:93" x14ac:dyDescent="0.25">
      <c r="A860" s="18" t="s">
        <v>141</v>
      </c>
      <c r="B860" s="41">
        <v>1.1848341232227488</v>
      </c>
      <c r="C860" s="41" t="s">
        <v>22</v>
      </c>
      <c r="D860" s="41" t="s">
        <v>22</v>
      </c>
      <c r="E860" s="41" t="s">
        <v>22</v>
      </c>
      <c r="F860" t="s">
        <v>22</v>
      </c>
      <c r="G860" t="s">
        <v>22</v>
      </c>
      <c r="H860" t="s">
        <v>22</v>
      </c>
      <c r="I860" t="s">
        <v>22</v>
      </c>
      <c r="J860" s="41" t="s">
        <v>22</v>
      </c>
      <c r="K860">
        <v>785</v>
      </c>
      <c r="L860" s="41" t="e">
        <f>IF((10^-12)*J860*K860^4=0,"",(10^-12)*J860*K860^4)</f>
        <v>#VALUE!</v>
      </c>
      <c r="M860" t="s">
        <v>45</v>
      </c>
      <c r="N860" s="41">
        <v>489</v>
      </c>
      <c r="O860" s="41" t="s">
        <v>22</v>
      </c>
      <c r="P860" s="41">
        <v>13</v>
      </c>
      <c r="R860" s="41">
        <f t="shared" si="484"/>
        <v>579.38388625592415</v>
      </c>
      <c r="S860" s="41" t="s">
        <v>22</v>
      </c>
      <c r="T860" s="41" t="s">
        <v>83</v>
      </c>
      <c r="U860" s="41">
        <v>5.5</v>
      </c>
      <c r="V860">
        <v>20200507</v>
      </c>
      <c r="W860" s="21" t="s">
        <v>97</v>
      </c>
      <c r="X860" s="18">
        <v>2017</v>
      </c>
      <c r="Y860" s="18" t="s">
        <v>76</v>
      </c>
      <c r="Z860" s="18" t="s">
        <v>98</v>
      </c>
      <c r="AA860" t="s">
        <v>894</v>
      </c>
      <c r="AB860" s="41">
        <v>0.25706940874035988</v>
      </c>
      <c r="AC860" s="18" t="s">
        <v>514</v>
      </c>
      <c r="AD860" s="41" t="s">
        <v>22</v>
      </c>
      <c r="AE860" s="41">
        <v>1587</v>
      </c>
      <c r="AF860" s="41" t="s">
        <v>22</v>
      </c>
      <c r="AG860" s="41">
        <v>46</v>
      </c>
      <c r="AH860" s="41">
        <f>7.1523*10^-5</f>
        <v>7.1523000000000013E-5</v>
      </c>
      <c r="AI860" s="41">
        <f>7.1523*10^-5</f>
        <v>7.1523000000000013E-5</v>
      </c>
      <c r="AJ860" s="41">
        <f>6.6225*10^-5</f>
        <v>6.6224999999999997E-5</v>
      </c>
      <c r="AK860" s="41">
        <f>6.0927*10^-5</f>
        <v>6.0927000000000001E-5</v>
      </c>
      <c r="AL860" s="41">
        <f>8.2119*10^-5</f>
        <v>8.2119000000000004E-5</v>
      </c>
      <c r="AM860" s="43">
        <f t="shared" si="460"/>
        <v>1.1481481481481479</v>
      </c>
      <c r="AN860" s="43">
        <f t="shared" si="461"/>
        <v>1.2400000000000002</v>
      </c>
      <c r="AO860" s="19" t="s">
        <v>96</v>
      </c>
      <c r="AT860" s="2">
        <f t="shared" si="462"/>
        <v>4</v>
      </c>
      <c r="AU860" s="45">
        <f t="shared" si="463"/>
        <v>7.3657553374344958E-2</v>
      </c>
      <c r="AV860" s="45" t="e">
        <f t="shared" si="464"/>
        <v>#VALUE!</v>
      </c>
      <c r="AW860" s="45" t="e">
        <f t="shared" si="465"/>
        <v>#VALUE!</v>
      </c>
      <c r="AX860" s="45">
        <f t="shared" si="466"/>
        <v>2.6893088591236203</v>
      </c>
      <c r="AY860" s="45" t="e">
        <f t="shared" si="467"/>
        <v>#VALUE!</v>
      </c>
      <c r="AZ860" s="45">
        <f t="shared" si="468"/>
        <v>1.1139433523068367</v>
      </c>
      <c r="BA860" s="45" t="e">
        <f t="shared" si="469"/>
        <v>#VALUE!</v>
      </c>
      <c r="BB860" s="45" t="e">
        <f t="shared" si="470"/>
        <v>#VALUE!</v>
      </c>
      <c r="BC860" s="45">
        <f t="shared" si="471"/>
        <v>0.74036268949424389</v>
      </c>
      <c r="BD860" s="45" t="e">
        <f t="shared" si="472"/>
        <v>#VALUE!</v>
      </c>
      <c r="BE860" s="45" t="e">
        <f t="shared" si="473"/>
        <v>#VALUE!</v>
      </c>
      <c r="BF860" s="45">
        <f t="shared" si="474"/>
        <v>5.9997929675285278E-2</v>
      </c>
      <c r="BG860" s="45">
        <f t="shared" si="475"/>
        <v>9.3421685162235146E-2</v>
      </c>
      <c r="BH860" s="45">
        <f t="shared" si="476"/>
        <v>-0.58994960132570773</v>
      </c>
      <c r="BI860" s="43" t="e">
        <f t="shared" si="477"/>
        <v>#VALUE!</v>
      </c>
      <c r="BL860" s="20"/>
      <c r="CA860" s="41" t="s">
        <v>22</v>
      </c>
      <c r="CC860" s="18" t="s">
        <v>22</v>
      </c>
      <c r="CD860" s="18"/>
      <c r="CE860" s="41" t="s">
        <v>22</v>
      </c>
      <c r="CF860" s="41" t="s">
        <v>22</v>
      </c>
      <c r="CG860" s="41" t="e">
        <f t="shared" si="480"/>
        <v>#VALUE!</v>
      </c>
      <c r="CH860" s="41" t="e">
        <f t="shared" si="481"/>
        <v>#VALUE!</v>
      </c>
      <c r="CI860" s="41">
        <f t="shared" si="482"/>
        <v>5.5</v>
      </c>
      <c r="CJ860" s="41">
        <f t="shared" si="483"/>
        <v>0.74036268949424389</v>
      </c>
      <c r="CK860" s="18"/>
      <c r="CL860" s="9" t="s">
        <v>1269</v>
      </c>
      <c r="CM860" s="18" t="s">
        <v>1285</v>
      </c>
      <c r="CN860" s="54" t="s">
        <v>1284</v>
      </c>
      <c r="CO860" s="18" t="s">
        <v>1284</v>
      </c>
    </row>
    <row r="861" spans="1:93" x14ac:dyDescent="0.25">
      <c r="A861" s="18" t="s">
        <v>141</v>
      </c>
      <c r="B861" s="41">
        <v>0.1</v>
      </c>
      <c r="C861" s="41">
        <v>0.67</v>
      </c>
      <c r="D861" s="41">
        <f>0.001*(B861*10^6)/(C861*0.001*100^3)</f>
        <v>0.14925373134328357</v>
      </c>
      <c r="E861" s="41" t="s">
        <v>22</v>
      </c>
      <c r="F861" t="s">
        <v>22</v>
      </c>
      <c r="G861" t="s">
        <v>22</v>
      </c>
      <c r="H861" t="s">
        <v>22</v>
      </c>
      <c r="I861" t="s">
        <v>22</v>
      </c>
      <c r="J861" s="41" t="s">
        <v>22</v>
      </c>
      <c r="K861">
        <v>785</v>
      </c>
      <c r="L861" s="41" t="e">
        <f>IF((10^-12)*J861*K861^4=0,"",(10^-12)*J861*K861^4)</f>
        <v>#VALUE!</v>
      </c>
      <c r="M861" t="s">
        <v>23</v>
      </c>
      <c r="N861" s="41">
        <v>116</v>
      </c>
      <c r="O861" s="41">
        <f>(N861/C861)*0.001</f>
        <v>0.17313432835820894</v>
      </c>
      <c r="P861" s="41">
        <v>2.6</v>
      </c>
      <c r="R861" s="41">
        <f t="shared" si="484"/>
        <v>11.600000000000001</v>
      </c>
      <c r="S861" s="41">
        <f>O861*D861</f>
        <v>2.5840944531075959E-2</v>
      </c>
      <c r="T861" s="41" t="s">
        <v>83</v>
      </c>
      <c r="U861" s="41">
        <v>5.5</v>
      </c>
      <c r="V861">
        <v>20200507</v>
      </c>
      <c r="W861" s="21" t="s">
        <v>613</v>
      </c>
      <c r="X861">
        <v>2017</v>
      </c>
      <c r="Y861" s="18" t="s">
        <v>76</v>
      </c>
      <c r="Z861" s="18" t="s">
        <v>32</v>
      </c>
      <c r="AC861" t="s">
        <v>514</v>
      </c>
      <c r="AD861" s="41" t="s">
        <v>22</v>
      </c>
      <c r="AE861" s="41">
        <v>1583</v>
      </c>
      <c r="AF861" s="41" t="s">
        <v>22</v>
      </c>
      <c r="AG861" s="41">
        <v>124</v>
      </c>
      <c r="AH861" s="41">
        <f>1.2026*10^-3</f>
        <v>1.2025999999999998E-3</v>
      </c>
      <c r="AI861" s="41">
        <f>1.2026*10^-3</f>
        <v>1.2025999999999998E-3</v>
      </c>
      <c r="AJ861" s="41">
        <f>1.0728*10^-3</f>
        <v>1.0728000000000001E-3</v>
      </c>
      <c r="AK861" s="41">
        <f>8.7152*10^-4</f>
        <v>8.7151999999999998E-4</v>
      </c>
      <c r="AL861" s="41">
        <f>9.457*10^-4</f>
        <v>9.4570000000000016E-4</v>
      </c>
      <c r="AM861" s="43">
        <f t="shared" si="460"/>
        <v>0.78637951105937165</v>
      </c>
      <c r="AN861" s="43">
        <f t="shared" si="461"/>
        <v>0.88152498135719626</v>
      </c>
      <c r="AO861" s="19" t="s">
        <v>96</v>
      </c>
      <c r="AT861" s="2">
        <f t="shared" si="462"/>
        <v>4</v>
      </c>
      <c r="AU861" s="45">
        <f t="shared" si="463"/>
        <v>-1</v>
      </c>
      <c r="AV861" s="45">
        <f t="shared" si="464"/>
        <v>-0.17392519729917355</v>
      </c>
      <c r="AW861" s="45">
        <f t="shared" si="465"/>
        <v>-0.82607480270082645</v>
      </c>
      <c r="AX861" s="45">
        <f t="shared" si="466"/>
        <v>2.0644579892269186</v>
      </c>
      <c r="AY861" s="45">
        <f t="shared" si="467"/>
        <v>-0.76161681347390797</v>
      </c>
      <c r="AZ861" s="45">
        <f t="shared" si="468"/>
        <v>0.41497334797081797</v>
      </c>
      <c r="BA861" s="45" t="e">
        <f t="shared" si="469"/>
        <v>#VALUE!</v>
      </c>
      <c r="BB861" s="45" t="e">
        <f t="shared" si="470"/>
        <v>#VALUE!</v>
      </c>
      <c r="BC861" s="45">
        <f t="shared" si="471"/>
        <v>0.74036268949424389</v>
      </c>
      <c r="BD861" s="45" t="e">
        <f t="shared" si="472"/>
        <v>#VALUE!</v>
      </c>
      <c r="BE861" s="45" t="e">
        <f t="shared" si="473"/>
        <v>#VALUE!</v>
      </c>
      <c r="BF861" s="45">
        <f t="shared" si="474"/>
        <v>-0.10436781047319275</v>
      </c>
      <c r="BG861" s="45">
        <f t="shared" si="475"/>
        <v>-5.4765375807255011E-2</v>
      </c>
      <c r="BH861" s="45" t="e">
        <f t="shared" si="476"/>
        <v>#NUM!</v>
      </c>
      <c r="BI861" s="43" t="e">
        <f t="shared" si="477"/>
        <v>#VALUE!</v>
      </c>
      <c r="BL861" s="20"/>
      <c r="CA861" s="41" t="s">
        <v>22</v>
      </c>
      <c r="CC861" s="18" t="s">
        <v>22</v>
      </c>
      <c r="CD861" s="18"/>
      <c r="CE861" s="41" t="s">
        <v>22</v>
      </c>
      <c r="CF861" s="41" t="s">
        <v>22</v>
      </c>
      <c r="CG861" s="41" t="e">
        <f t="shared" si="480"/>
        <v>#VALUE!</v>
      </c>
      <c r="CH861" s="41" t="e">
        <f t="shared" si="481"/>
        <v>#VALUE!</v>
      </c>
      <c r="CI861" s="41">
        <f t="shared" si="482"/>
        <v>5.5</v>
      </c>
      <c r="CJ861" s="41">
        <f t="shared" si="483"/>
        <v>0.74036268949424389</v>
      </c>
      <c r="CK861" s="18"/>
      <c r="CL861" s="9" t="s">
        <v>1269</v>
      </c>
      <c r="CM861" s="18" t="s">
        <v>1285</v>
      </c>
      <c r="CN861" s="54" t="s">
        <v>1284</v>
      </c>
      <c r="CO861" s="18" t="s">
        <v>1284</v>
      </c>
    </row>
    <row r="862" spans="1:93" x14ac:dyDescent="0.25">
      <c r="A862" t="s">
        <v>141</v>
      </c>
      <c r="B862" s="41">
        <f>(10^-6)*(0.000293887530562347*0.01)^-1</f>
        <v>0.34026622296173065</v>
      </c>
      <c r="C862" s="41" t="s">
        <v>22</v>
      </c>
      <c r="D862" s="41" t="s">
        <v>22</v>
      </c>
      <c r="E862" s="41" t="s">
        <v>22</v>
      </c>
      <c r="F862" t="s">
        <v>22</v>
      </c>
      <c r="G862" t="s">
        <v>22</v>
      </c>
      <c r="H862" t="s">
        <v>22</v>
      </c>
      <c r="I862" t="s">
        <v>22</v>
      </c>
      <c r="J862" s="41" t="s">
        <v>22</v>
      </c>
      <c r="K862">
        <v>782</v>
      </c>
      <c r="L862" s="41" t="e">
        <f>IF((10^-12)*J862*K862^4=0,"",(10^-12)*J862*K862^4)</f>
        <v>#VALUE!</v>
      </c>
      <c r="M862" t="s">
        <v>45</v>
      </c>
      <c r="N862" s="41">
        <v>154</v>
      </c>
      <c r="O862" s="41" t="s">
        <v>22</v>
      </c>
      <c r="P862" s="41" t="s">
        <v>22</v>
      </c>
      <c r="R862" s="41">
        <f t="shared" si="484"/>
        <v>52.400998336106518</v>
      </c>
      <c r="S862" s="41" t="s">
        <v>22</v>
      </c>
      <c r="T862" s="41" t="s">
        <v>83</v>
      </c>
      <c r="U862" s="41">
        <v>5.5</v>
      </c>
      <c r="V862">
        <v>20200507</v>
      </c>
      <c r="W862" s="21" t="s">
        <v>614</v>
      </c>
      <c r="X862">
        <v>2017</v>
      </c>
      <c r="Y862" t="s">
        <v>76</v>
      </c>
      <c r="Z862" t="s">
        <v>570</v>
      </c>
      <c r="AA862" t="s">
        <v>894</v>
      </c>
      <c r="AB862" s="41">
        <v>0.1</v>
      </c>
      <c r="AC862" t="s">
        <v>514</v>
      </c>
      <c r="AD862" s="41" t="s">
        <v>22</v>
      </c>
      <c r="AE862" s="41" t="s">
        <v>22</v>
      </c>
      <c r="AF862" s="41" t="s">
        <v>22</v>
      </c>
      <c r="AG862" s="41">
        <v>65</v>
      </c>
      <c r="AH862" s="41">
        <f>2.755*10^-4</f>
        <v>2.7550000000000003E-4</v>
      </c>
      <c r="AI862" s="41">
        <f>2.755*10^-4</f>
        <v>2.7550000000000003E-4</v>
      </c>
      <c r="AJ862" s="41">
        <f>2.543*10^-4</f>
        <v>2.543E-4</v>
      </c>
      <c r="AK862" s="41">
        <f>2.3576*10^-4</f>
        <v>2.3576000000000003E-4</v>
      </c>
      <c r="AL862" s="41">
        <f>2.9669*10^-4</f>
        <v>2.9669000000000001E-4</v>
      </c>
      <c r="AM862" s="43">
        <f t="shared" si="460"/>
        <v>1.0769147005444646</v>
      </c>
      <c r="AN862" s="43">
        <f t="shared" si="461"/>
        <v>1.1666928824223359</v>
      </c>
      <c r="AO862" s="19" t="s">
        <v>96</v>
      </c>
      <c r="AT862" s="2">
        <f t="shared" si="462"/>
        <v>4</v>
      </c>
      <c r="AU862" s="45">
        <f t="shared" si="463"/>
        <v>-0.46818115965937868</v>
      </c>
      <c r="AV862" s="45" t="e">
        <f t="shared" si="464"/>
        <v>#VALUE!</v>
      </c>
      <c r="AW862" s="45" t="e">
        <f t="shared" si="465"/>
        <v>#VALUE!</v>
      </c>
      <c r="AX862" s="45">
        <f t="shared" si="466"/>
        <v>2.1875207208364631</v>
      </c>
      <c r="AY862" s="45" t="e">
        <f t="shared" si="467"/>
        <v>#VALUE!</v>
      </c>
      <c r="AZ862" s="45" t="e">
        <f t="shared" si="468"/>
        <v>#VALUE!</v>
      </c>
      <c r="BA862" s="45" t="e">
        <f t="shared" si="469"/>
        <v>#VALUE!</v>
      </c>
      <c r="BB862" s="45" t="e">
        <f t="shared" si="470"/>
        <v>#VALUE!</v>
      </c>
      <c r="BC862" s="45">
        <f t="shared" si="471"/>
        <v>0.74036268949424389</v>
      </c>
      <c r="BD862" s="45" t="e">
        <f t="shared" si="472"/>
        <v>#VALUE!</v>
      </c>
      <c r="BE862" s="45" t="e">
        <f t="shared" si="473"/>
        <v>#VALUE!</v>
      </c>
      <c r="BF862" s="45">
        <f t="shared" si="474"/>
        <v>3.2181305387183737E-2</v>
      </c>
      <c r="BG862" s="45">
        <f t="shared" si="475"/>
        <v>6.6956548399278754E-2</v>
      </c>
      <c r="BH862" s="45">
        <f t="shared" si="476"/>
        <v>-1</v>
      </c>
      <c r="BI862" s="43" t="e">
        <f t="shared" si="477"/>
        <v>#VALUE!</v>
      </c>
      <c r="BL862" s="20"/>
      <c r="CA862" s="41" t="s">
        <v>22</v>
      </c>
      <c r="CC862" s="18" t="s">
        <v>22</v>
      </c>
      <c r="CD862" s="18"/>
      <c r="CE862" s="41" t="s">
        <v>22</v>
      </c>
      <c r="CF862" s="41" t="s">
        <v>22</v>
      </c>
      <c r="CG862" s="41" t="e">
        <f t="shared" si="480"/>
        <v>#VALUE!</v>
      </c>
      <c r="CH862" s="41" t="e">
        <f t="shared" si="481"/>
        <v>#VALUE!</v>
      </c>
      <c r="CI862" s="41">
        <f t="shared" si="482"/>
        <v>5.5</v>
      </c>
      <c r="CJ862" s="41">
        <f t="shared" si="483"/>
        <v>0.74036268949424389</v>
      </c>
      <c r="CK862" s="18"/>
      <c r="CL862" s="9" t="s">
        <v>1269</v>
      </c>
      <c r="CM862" s="18" t="s">
        <v>1285</v>
      </c>
      <c r="CN862" s="54" t="s">
        <v>1284</v>
      </c>
      <c r="CO862" s="18" t="s">
        <v>1284</v>
      </c>
    </row>
    <row r="863" spans="1:93" x14ac:dyDescent="0.25">
      <c r="A863" s="2" t="s">
        <v>141</v>
      </c>
      <c r="B863" s="41" t="s">
        <v>22</v>
      </c>
      <c r="C863" s="41" t="s">
        <v>22</v>
      </c>
      <c r="D863" s="41" t="s">
        <v>22</v>
      </c>
      <c r="E863" s="41" t="s">
        <v>22</v>
      </c>
      <c r="F863" t="s">
        <v>22</v>
      </c>
      <c r="G863" t="s">
        <v>22</v>
      </c>
      <c r="H863" t="s">
        <v>22</v>
      </c>
      <c r="I863" t="s">
        <v>22</v>
      </c>
      <c r="J863" s="41" t="s">
        <v>22</v>
      </c>
      <c r="K863" t="s">
        <v>22</v>
      </c>
      <c r="L863" s="41" t="s">
        <v>22</v>
      </c>
      <c r="M863" t="s">
        <v>45</v>
      </c>
      <c r="N863" s="41" t="s">
        <v>22</v>
      </c>
      <c r="O863" s="41" t="s">
        <v>22</v>
      </c>
      <c r="P863" s="41" t="s">
        <v>22</v>
      </c>
      <c r="R863" s="41" t="e">
        <f t="shared" si="484"/>
        <v>#VALUE!</v>
      </c>
      <c r="S863" s="41" t="s">
        <v>22</v>
      </c>
      <c r="T863" s="41" t="s">
        <v>878</v>
      </c>
      <c r="U863" s="41" t="s">
        <v>22</v>
      </c>
      <c r="V863">
        <v>20200521</v>
      </c>
      <c r="W863" s="9" t="s">
        <v>863</v>
      </c>
      <c r="X863">
        <v>2017</v>
      </c>
      <c r="Y863" s="6" t="s">
        <v>452</v>
      </c>
      <c r="Z863" s="6" t="s">
        <v>32</v>
      </c>
      <c r="AC863" t="s">
        <v>514</v>
      </c>
      <c r="AD863" s="41">
        <v>900</v>
      </c>
      <c r="AE863" s="41" t="s">
        <v>22</v>
      </c>
      <c r="AF863" s="41" t="s">
        <v>22</v>
      </c>
      <c r="AG863" s="41" t="s">
        <v>22</v>
      </c>
      <c r="AH863" s="41" t="s">
        <v>22</v>
      </c>
      <c r="AI863" s="41" t="s">
        <v>22</v>
      </c>
      <c r="AJ863" s="41" t="s">
        <v>22</v>
      </c>
      <c r="AK863" s="41" t="s">
        <v>22</v>
      </c>
      <c r="AL863" s="41" t="s">
        <v>22</v>
      </c>
      <c r="AM863" s="43" t="e">
        <f t="shared" si="460"/>
        <v>#VALUE!</v>
      </c>
      <c r="AN863" s="43" t="e">
        <f t="shared" si="461"/>
        <v>#VALUE!</v>
      </c>
      <c r="AO863" s="10" t="s">
        <v>879</v>
      </c>
      <c r="AT863" s="2">
        <f t="shared" si="462"/>
        <v>2</v>
      </c>
      <c r="AU863" s="45" t="e">
        <f t="shared" si="463"/>
        <v>#VALUE!</v>
      </c>
      <c r="AV863" s="45" t="e">
        <f t="shared" si="464"/>
        <v>#VALUE!</v>
      </c>
      <c r="AW863" s="45" t="e">
        <f t="shared" si="465"/>
        <v>#VALUE!</v>
      </c>
      <c r="AX863" s="45" t="e">
        <f t="shared" si="466"/>
        <v>#VALUE!</v>
      </c>
      <c r="AY863" s="45" t="e">
        <f t="shared" si="467"/>
        <v>#VALUE!</v>
      </c>
      <c r="AZ863" s="45" t="e">
        <f t="shared" si="468"/>
        <v>#VALUE!</v>
      </c>
      <c r="BA863" s="45" t="e">
        <f t="shared" si="469"/>
        <v>#VALUE!</v>
      </c>
      <c r="BB863" s="45" t="e">
        <f t="shared" si="470"/>
        <v>#VALUE!</v>
      </c>
      <c r="BC863" s="45" t="e">
        <f t="shared" si="471"/>
        <v>#VALUE!</v>
      </c>
      <c r="BD863" s="45">
        <f t="shared" si="472"/>
        <v>2.9542425094393248</v>
      </c>
      <c r="BE863" s="45" t="e">
        <f t="shared" si="473"/>
        <v>#VALUE!</v>
      </c>
      <c r="BF863" s="45" t="e">
        <f t="shared" si="474"/>
        <v>#VALUE!</v>
      </c>
      <c r="BG863" s="45" t="e">
        <f t="shared" si="475"/>
        <v>#VALUE!</v>
      </c>
      <c r="BH863" s="45" t="e">
        <f t="shared" si="476"/>
        <v>#NUM!</v>
      </c>
      <c r="BI863" s="43" t="e">
        <f t="shared" si="477"/>
        <v>#VALUE!</v>
      </c>
      <c r="BJ863" t="s">
        <v>528</v>
      </c>
      <c r="BK863" t="s">
        <v>521</v>
      </c>
      <c r="BL863" s="18" t="s">
        <v>974</v>
      </c>
      <c r="BM863" s="41">
        <v>2900</v>
      </c>
      <c r="BN863" s="41">
        <v>4558511.9502863856</v>
      </c>
      <c r="BO863" s="41" t="s">
        <v>22</v>
      </c>
      <c r="BP863" s="41">
        <v>1729090.7397638015</v>
      </c>
      <c r="BQ863" s="41" t="s">
        <v>22</v>
      </c>
      <c r="BR863" s="41">
        <v>530</v>
      </c>
      <c r="BS863" t="s">
        <v>22</v>
      </c>
      <c r="BT863" t="s">
        <v>22</v>
      </c>
      <c r="BU863" s="41" t="s">
        <v>22</v>
      </c>
      <c r="BV863" s="41" t="s">
        <v>22</v>
      </c>
      <c r="BW863" s="43" t="e">
        <f t="shared" ref="BW863:BW870" si="485">BV863/(C863*1000000)</f>
        <v>#VALUE!</v>
      </c>
      <c r="BX863" s="41" t="s">
        <v>22</v>
      </c>
      <c r="BY863" s="41" t="s">
        <v>22</v>
      </c>
      <c r="BZ863" s="41" t="s">
        <v>22</v>
      </c>
      <c r="CA863" s="41" t="s">
        <v>22</v>
      </c>
      <c r="CC863" s="18" t="s">
        <v>1008</v>
      </c>
      <c r="CD863" s="18"/>
      <c r="CE863" s="41">
        <f t="shared" ref="CE863:CE870" si="486">LOG10(BN863)</f>
        <v>6.6588230976541354</v>
      </c>
      <c r="CF863" s="41" t="e">
        <f t="shared" ref="CF863:CF870" si="487">LOG10(BV863)</f>
        <v>#VALUE!</v>
      </c>
      <c r="CG863" s="41">
        <f t="shared" si="480"/>
        <v>900000</v>
      </c>
      <c r="CH863" s="41">
        <f t="shared" si="481"/>
        <v>5.9542425094393252</v>
      </c>
      <c r="CI863" s="41">
        <f t="shared" si="482"/>
        <v>900000</v>
      </c>
      <c r="CJ863" s="41">
        <f t="shared" si="483"/>
        <v>5.9542425094393252</v>
      </c>
      <c r="CK863" s="18"/>
      <c r="CL863" s="9" t="s">
        <v>1269</v>
      </c>
      <c r="CM863" s="18" t="s">
        <v>1283</v>
      </c>
      <c r="CN863" s="54" t="s">
        <v>1284</v>
      </c>
      <c r="CO863" s="18" t="s">
        <v>1284</v>
      </c>
    </row>
    <row r="864" spans="1:93" x14ac:dyDescent="0.25">
      <c r="A864" s="2" t="s">
        <v>141</v>
      </c>
      <c r="B864" s="41" t="s">
        <v>22</v>
      </c>
      <c r="C864" s="41" t="s">
        <v>22</v>
      </c>
      <c r="D864" s="41" t="s">
        <v>22</v>
      </c>
      <c r="E864" s="41" t="s">
        <v>22</v>
      </c>
      <c r="F864" t="s">
        <v>22</v>
      </c>
      <c r="G864" t="s">
        <v>22</v>
      </c>
      <c r="H864" t="s">
        <v>22</v>
      </c>
      <c r="I864" t="s">
        <v>22</v>
      </c>
      <c r="J864" s="41" t="s">
        <v>22</v>
      </c>
      <c r="K864" t="s">
        <v>22</v>
      </c>
      <c r="L864" s="41" t="s">
        <v>22</v>
      </c>
      <c r="M864" t="s">
        <v>45</v>
      </c>
      <c r="N864" s="41" t="s">
        <v>22</v>
      </c>
      <c r="O864" s="41" t="s">
        <v>22</v>
      </c>
      <c r="P864" s="41" t="s">
        <v>22</v>
      </c>
      <c r="R864" s="41" t="e">
        <f t="shared" si="484"/>
        <v>#VALUE!</v>
      </c>
      <c r="S864" s="41" t="s">
        <v>22</v>
      </c>
      <c r="T864" s="41" t="s">
        <v>878</v>
      </c>
      <c r="U864" s="41" t="s">
        <v>22</v>
      </c>
      <c r="V864">
        <v>20200521</v>
      </c>
      <c r="W864" s="9" t="s">
        <v>863</v>
      </c>
      <c r="X864">
        <v>2017</v>
      </c>
      <c r="Y864" s="6" t="s">
        <v>452</v>
      </c>
      <c r="Z864" s="6" t="s">
        <v>32</v>
      </c>
      <c r="AC864" t="s">
        <v>514</v>
      </c>
      <c r="AD864" s="41">
        <v>6000</v>
      </c>
      <c r="AE864" s="41" t="s">
        <v>22</v>
      </c>
      <c r="AF864" s="41" t="s">
        <v>22</v>
      </c>
      <c r="AG864" s="41" t="s">
        <v>22</v>
      </c>
      <c r="AH864" s="41" t="s">
        <v>22</v>
      </c>
      <c r="AI864" s="41" t="s">
        <v>22</v>
      </c>
      <c r="AJ864" s="41" t="s">
        <v>22</v>
      </c>
      <c r="AK864" s="41" t="s">
        <v>22</v>
      </c>
      <c r="AL864" s="41" t="s">
        <v>22</v>
      </c>
      <c r="AM864" s="43" t="e">
        <f t="shared" si="460"/>
        <v>#VALUE!</v>
      </c>
      <c r="AN864" s="43" t="e">
        <f t="shared" si="461"/>
        <v>#VALUE!</v>
      </c>
      <c r="AO864" s="10" t="s">
        <v>879</v>
      </c>
      <c r="AT864" s="2">
        <f t="shared" si="462"/>
        <v>2</v>
      </c>
      <c r="AU864" s="45" t="e">
        <f t="shared" si="463"/>
        <v>#VALUE!</v>
      </c>
      <c r="AV864" s="45" t="e">
        <f t="shared" si="464"/>
        <v>#VALUE!</v>
      </c>
      <c r="AW864" s="45" t="e">
        <f t="shared" si="465"/>
        <v>#VALUE!</v>
      </c>
      <c r="AX864" s="45" t="e">
        <f t="shared" si="466"/>
        <v>#VALUE!</v>
      </c>
      <c r="AY864" s="45" t="e">
        <f t="shared" si="467"/>
        <v>#VALUE!</v>
      </c>
      <c r="AZ864" s="45" t="e">
        <f t="shared" si="468"/>
        <v>#VALUE!</v>
      </c>
      <c r="BA864" s="45" t="e">
        <f t="shared" si="469"/>
        <v>#VALUE!</v>
      </c>
      <c r="BB864" s="45" t="e">
        <f t="shared" si="470"/>
        <v>#VALUE!</v>
      </c>
      <c r="BC864" s="45" t="e">
        <f t="shared" si="471"/>
        <v>#VALUE!</v>
      </c>
      <c r="BD864" s="45">
        <f t="shared" si="472"/>
        <v>3.7781512503836434</v>
      </c>
      <c r="BE864" s="45" t="e">
        <f t="shared" si="473"/>
        <v>#VALUE!</v>
      </c>
      <c r="BF864" s="45" t="e">
        <f t="shared" si="474"/>
        <v>#VALUE!</v>
      </c>
      <c r="BG864" s="45" t="e">
        <f t="shared" si="475"/>
        <v>#VALUE!</v>
      </c>
      <c r="BH864" s="45" t="e">
        <f t="shared" si="476"/>
        <v>#NUM!</v>
      </c>
      <c r="BI864" s="43" t="e">
        <f t="shared" si="477"/>
        <v>#VALUE!</v>
      </c>
      <c r="BJ864" t="s">
        <v>528</v>
      </c>
      <c r="BK864" t="s">
        <v>521</v>
      </c>
      <c r="BL864" s="18" t="s">
        <v>974</v>
      </c>
      <c r="BM864" s="41">
        <v>45500</v>
      </c>
      <c r="BN864" s="41">
        <v>1609233.3134847197</v>
      </c>
      <c r="BO864" s="41" t="s">
        <v>22</v>
      </c>
      <c r="BP864" s="41">
        <v>1273239.5447351628</v>
      </c>
      <c r="BQ864" s="41" t="s">
        <v>22</v>
      </c>
      <c r="BR864" s="41">
        <v>530</v>
      </c>
      <c r="BS864" t="s">
        <v>22</v>
      </c>
      <c r="BT864" t="s">
        <v>22</v>
      </c>
      <c r="BU864" s="41" t="s">
        <v>22</v>
      </c>
      <c r="BV864" s="41" t="s">
        <v>22</v>
      </c>
      <c r="BW864" s="43" t="e">
        <f t="shared" si="485"/>
        <v>#VALUE!</v>
      </c>
      <c r="BX864" s="41" t="s">
        <v>22</v>
      </c>
      <c r="BY864" s="41" t="s">
        <v>22</v>
      </c>
      <c r="BZ864" s="41" t="s">
        <v>22</v>
      </c>
      <c r="CA864" s="41" t="s">
        <v>22</v>
      </c>
      <c r="CC864" s="18" t="s">
        <v>1008</v>
      </c>
      <c r="CD864" s="18"/>
      <c r="CE864" s="41">
        <f t="shared" si="486"/>
        <v>6.2066190145236542</v>
      </c>
      <c r="CF864" s="41" t="e">
        <f t="shared" si="487"/>
        <v>#VALUE!</v>
      </c>
      <c r="CG864" s="41">
        <f t="shared" si="480"/>
        <v>6000000</v>
      </c>
      <c r="CH864" s="41">
        <f t="shared" si="481"/>
        <v>6.7781512503836439</v>
      </c>
      <c r="CI864" s="41">
        <f t="shared" si="482"/>
        <v>6000000</v>
      </c>
      <c r="CJ864" s="41">
        <f t="shared" si="483"/>
        <v>6.7781512503836439</v>
      </c>
      <c r="CK864" s="18"/>
      <c r="CL864" s="9" t="s">
        <v>1269</v>
      </c>
      <c r="CM864" s="18" t="s">
        <v>1283</v>
      </c>
      <c r="CN864" s="54" t="s">
        <v>1284</v>
      </c>
      <c r="CO864" s="18" t="s">
        <v>1284</v>
      </c>
    </row>
    <row r="865" spans="1:93" x14ac:dyDescent="0.25">
      <c r="A865" t="s">
        <v>141</v>
      </c>
      <c r="B865" s="41">
        <v>9.0909090909090912E-2</v>
      </c>
      <c r="C865" s="43">
        <v>0.55000000000000004</v>
      </c>
      <c r="D865" s="41">
        <f t="shared" ref="D865:D870" si="488">0.001*(B865*10^6)/(C865*0.001*100^3)</f>
        <v>0.16528925619834714</v>
      </c>
      <c r="E865" s="41" t="s">
        <v>22</v>
      </c>
      <c r="F865" t="s">
        <v>22</v>
      </c>
      <c r="G865" t="s">
        <v>22</v>
      </c>
      <c r="H865" t="s">
        <v>22</v>
      </c>
      <c r="I865" t="s">
        <v>22</v>
      </c>
      <c r="J865" s="41" t="s">
        <v>22</v>
      </c>
      <c r="K865" t="s">
        <v>22</v>
      </c>
      <c r="M865" t="s">
        <v>23</v>
      </c>
      <c r="N865" s="41" t="s">
        <v>22</v>
      </c>
      <c r="O865" s="41" t="s">
        <v>22</v>
      </c>
      <c r="P865" s="41" t="s">
        <v>22</v>
      </c>
      <c r="R865" s="41" t="s">
        <v>22</v>
      </c>
      <c r="S865" s="41" t="s">
        <v>22</v>
      </c>
      <c r="T865" s="41">
        <v>20</v>
      </c>
      <c r="U865" s="41">
        <v>20</v>
      </c>
      <c r="V865">
        <v>20200520</v>
      </c>
      <c r="W865" s="9" t="s">
        <v>841</v>
      </c>
      <c r="X865">
        <v>2017</v>
      </c>
      <c r="Y865" t="s">
        <v>819</v>
      </c>
      <c r="Z865" t="s">
        <v>32</v>
      </c>
      <c r="AA865" t="s">
        <v>22</v>
      </c>
      <c r="AB865" s="41" t="s">
        <v>22</v>
      </c>
      <c r="AC865" t="s">
        <v>514</v>
      </c>
      <c r="AD865" s="41">
        <v>54</v>
      </c>
      <c r="AE865" s="41" t="s">
        <v>22</v>
      </c>
      <c r="AF865" s="41" t="s">
        <v>22</v>
      </c>
      <c r="AG865" s="41">
        <v>-8.9999999999999998E-4</v>
      </c>
      <c r="AH865" s="41" t="s">
        <v>22</v>
      </c>
      <c r="AI865" s="41" t="s">
        <v>22</v>
      </c>
      <c r="AJ865" s="41" t="s">
        <v>22</v>
      </c>
      <c r="AK865" s="41" t="s">
        <v>22</v>
      </c>
      <c r="AM865" s="43" t="e">
        <f t="shared" si="460"/>
        <v>#VALUE!</v>
      </c>
      <c r="AN865" s="43" t="e">
        <f t="shared" si="461"/>
        <v>#VALUE!</v>
      </c>
      <c r="AO865" s="18" t="s">
        <v>842</v>
      </c>
      <c r="AT865" s="2">
        <f t="shared" si="462"/>
        <v>6</v>
      </c>
      <c r="AU865" s="45">
        <f t="shared" si="463"/>
        <v>-1.0413926851582249</v>
      </c>
      <c r="AV865" s="45">
        <f t="shared" si="464"/>
        <v>-0.25963731050575611</v>
      </c>
      <c r="AW865" s="45">
        <f t="shared" si="465"/>
        <v>-0.7817553746524688</v>
      </c>
      <c r="AX865" s="45" t="e">
        <f t="shared" si="466"/>
        <v>#VALUE!</v>
      </c>
      <c r="AY865" s="45" t="e">
        <f t="shared" si="467"/>
        <v>#VALUE!</v>
      </c>
      <c r="AZ865" s="45" t="e">
        <f t="shared" si="468"/>
        <v>#VALUE!</v>
      </c>
      <c r="BA865" s="45" t="e">
        <f t="shared" si="469"/>
        <v>#VALUE!</v>
      </c>
      <c r="BB865" s="45" t="e">
        <f t="shared" si="470"/>
        <v>#NUM!</v>
      </c>
      <c r="BC865" s="45">
        <f t="shared" si="471"/>
        <v>1.3010299956639813</v>
      </c>
      <c r="BD865" s="45">
        <f t="shared" si="472"/>
        <v>1.7323937598229686</v>
      </c>
      <c r="BE865" s="45" t="e">
        <f t="shared" si="473"/>
        <v>#VALUE!</v>
      </c>
      <c r="BF865" s="45" t="e">
        <f t="shared" si="474"/>
        <v>#VALUE!</v>
      </c>
      <c r="BG865" s="45" t="e">
        <f t="shared" si="475"/>
        <v>#VALUE!</v>
      </c>
      <c r="BH865" s="45" t="e">
        <f t="shared" si="476"/>
        <v>#VALUE!</v>
      </c>
      <c r="BI865" s="43" t="e">
        <f t="shared" si="477"/>
        <v>#VALUE!</v>
      </c>
      <c r="BJ865" t="s">
        <v>520</v>
      </c>
      <c r="BK865" t="s">
        <v>22</v>
      </c>
      <c r="BL865" s="18" t="s">
        <v>22</v>
      </c>
      <c r="BM865" s="41" t="s">
        <v>22</v>
      </c>
      <c r="BN865" s="41" t="s">
        <v>22</v>
      </c>
      <c r="BO865" s="43" t="e">
        <f t="shared" ref="BO865:BO870" si="489">BN865/(C865*1000000)</f>
        <v>#VALUE!</v>
      </c>
      <c r="BP865" s="41" t="s">
        <v>22</v>
      </c>
      <c r="BQ865" s="41" t="s">
        <v>22</v>
      </c>
      <c r="BR865" s="41" t="s">
        <v>22</v>
      </c>
      <c r="BS865" t="s">
        <v>522</v>
      </c>
      <c r="BT865" t="s">
        <v>974</v>
      </c>
      <c r="BU865" s="41" t="s">
        <v>22</v>
      </c>
      <c r="BV865" s="41">
        <v>190000000</v>
      </c>
      <c r="BW865" s="43">
        <f t="shared" si="485"/>
        <v>345.45454545454544</v>
      </c>
      <c r="BX865" s="41" t="s">
        <v>22</v>
      </c>
      <c r="BY865" s="41" t="s">
        <v>22</v>
      </c>
      <c r="BZ865" s="41">
        <v>5000</v>
      </c>
      <c r="CA865" s="41">
        <v>5000</v>
      </c>
      <c r="CC865" s="18" t="s">
        <v>1008</v>
      </c>
      <c r="CD865" s="18"/>
      <c r="CE865" s="41" t="e">
        <f t="shared" si="486"/>
        <v>#VALUE!</v>
      </c>
      <c r="CF865" s="41">
        <f t="shared" si="487"/>
        <v>8.2787536009528289</v>
      </c>
      <c r="CG865" s="41">
        <f t="shared" si="480"/>
        <v>54000</v>
      </c>
      <c r="CH865" s="41">
        <f t="shared" si="481"/>
        <v>4.7323937598229682</v>
      </c>
      <c r="CI865" s="41">
        <f t="shared" si="482"/>
        <v>54000</v>
      </c>
      <c r="CJ865" s="41">
        <f t="shared" si="483"/>
        <v>4.7323937598229682</v>
      </c>
      <c r="CK865" s="18"/>
      <c r="CL865" s="9" t="s">
        <v>1269</v>
      </c>
      <c r="CM865" s="18" t="s">
        <v>1283</v>
      </c>
      <c r="CN865" s="54">
        <v>3.6989700043360187</v>
      </c>
      <c r="CO865" s="18" t="s">
        <v>1283</v>
      </c>
    </row>
    <row r="866" spans="1:93" x14ac:dyDescent="0.25">
      <c r="A866" t="s">
        <v>1267</v>
      </c>
      <c r="B866" s="41">
        <v>1.3333333333333335</v>
      </c>
      <c r="C866" s="41">
        <v>3.2</v>
      </c>
      <c r="D866" s="41">
        <f t="shared" si="488"/>
        <v>0.41666666666666674</v>
      </c>
      <c r="E866" s="41" t="s">
        <v>22</v>
      </c>
      <c r="F866" t="s">
        <v>22</v>
      </c>
      <c r="G866" t="s">
        <v>22</v>
      </c>
      <c r="H866" t="s">
        <v>22</v>
      </c>
      <c r="I866" t="s">
        <v>22</v>
      </c>
      <c r="J866" s="41" t="s">
        <v>22</v>
      </c>
      <c r="K866" t="s">
        <v>22</v>
      </c>
      <c r="M866" t="s">
        <v>23</v>
      </c>
      <c r="N866" s="41" t="s">
        <v>22</v>
      </c>
      <c r="O866" s="41" t="s">
        <v>22</v>
      </c>
      <c r="P866" s="41" t="s">
        <v>22</v>
      </c>
      <c r="R866" s="41" t="s">
        <v>22</v>
      </c>
      <c r="S866" s="41" t="s">
        <v>22</v>
      </c>
      <c r="T866" s="41" t="s">
        <v>22</v>
      </c>
      <c r="U866" s="41" t="s">
        <v>22</v>
      </c>
      <c r="V866">
        <v>20200520</v>
      </c>
      <c r="W866" s="9" t="s">
        <v>843</v>
      </c>
      <c r="X866">
        <v>2017</v>
      </c>
      <c r="Y866" t="s">
        <v>959</v>
      </c>
      <c r="Z866" t="s">
        <v>979</v>
      </c>
      <c r="AA866" t="s">
        <v>22</v>
      </c>
      <c r="AB866" s="41" t="s">
        <v>22</v>
      </c>
      <c r="AC866" t="s">
        <v>514</v>
      </c>
      <c r="AD866" s="41">
        <v>69</v>
      </c>
      <c r="AE866" s="41" t="s">
        <v>22</v>
      </c>
      <c r="AF866" s="41" t="s">
        <v>22</v>
      </c>
      <c r="AG866" s="41">
        <v>-4.0000000000000002E-4</v>
      </c>
      <c r="AH866" s="41" t="s">
        <v>22</v>
      </c>
      <c r="AI866" s="41" t="s">
        <v>22</v>
      </c>
      <c r="AJ866" s="41" t="s">
        <v>22</v>
      </c>
      <c r="AK866" s="41" t="s">
        <v>22</v>
      </c>
      <c r="AM866" s="43" t="e">
        <f t="shared" si="460"/>
        <v>#VALUE!</v>
      </c>
      <c r="AN866" s="43" t="e">
        <f t="shared" si="461"/>
        <v>#VALUE!</v>
      </c>
      <c r="AO866" s="18" t="s">
        <v>842</v>
      </c>
      <c r="AT866" s="2">
        <f t="shared" si="462"/>
        <v>6</v>
      </c>
      <c r="AU866" s="45">
        <f t="shared" si="463"/>
        <v>0.1249387366083</v>
      </c>
      <c r="AV866" s="45">
        <f t="shared" si="464"/>
        <v>0.50514997831990605</v>
      </c>
      <c r="AW866" s="45">
        <f t="shared" si="465"/>
        <v>-0.38021124171160592</v>
      </c>
      <c r="AX866" s="45" t="e">
        <f t="shared" si="466"/>
        <v>#VALUE!</v>
      </c>
      <c r="AY866" s="45" t="e">
        <f t="shared" si="467"/>
        <v>#VALUE!</v>
      </c>
      <c r="AZ866" s="45" t="e">
        <f t="shared" si="468"/>
        <v>#VALUE!</v>
      </c>
      <c r="BA866" s="45" t="e">
        <f t="shared" si="469"/>
        <v>#VALUE!</v>
      </c>
      <c r="BB866" s="45" t="e">
        <f t="shared" si="470"/>
        <v>#NUM!</v>
      </c>
      <c r="BC866" s="45" t="e">
        <f t="shared" si="471"/>
        <v>#VALUE!</v>
      </c>
      <c r="BD866" s="45">
        <f t="shared" si="472"/>
        <v>1.8388490907372552</v>
      </c>
      <c r="BE866" s="45" t="e">
        <f t="shared" si="473"/>
        <v>#VALUE!</v>
      </c>
      <c r="BF866" s="45" t="e">
        <f t="shared" si="474"/>
        <v>#VALUE!</v>
      </c>
      <c r="BG866" s="45" t="e">
        <f t="shared" si="475"/>
        <v>#VALUE!</v>
      </c>
      <c r="BH866" s="45" t="e">
        <f t="shared" si="476"/>
        <v>#VALUE!</v>
      </c>
      <c r="BI866" s="43" t="e">
        <f t="shared" si="477"/>
        <v>#VALUE!</v>
      </c>
      <c r="BJ866" t="s">
        <v>520</v>
      </c>
      <c r="BK866" t="s">
        <v>22</v>
      </c>
      <c r="BL866" s="18" t="s">
        <v>22</v>
      </c>
      <c r="BM866" s="41" t="s">
        <v>22</v>
      </c>
      <c r="BN866" s="41" t="s">
        <v>22</v>
      </c>
      <c r="BO866" s="43" t="e">
        <f t="shared" si="489"/>
        <v>#VALUE!</v>
      </c>
      <c r="BP866" s="41" t="s">
        <v>22</v>
      </c>
      <c r="BQ866" s="41" t="s">
        <v>22</v>
      </c>
      <c r="BR866" s="41" t="s">
        <v>22</v>
      </c>
      <c r="BS866" t="s">
        <v>522</v>
      </c>
      <c r="BT866" t="s">
        <v>974</v>
      </c>
      <c r="BU866" s="41" t="s">
        <v>22</v>
      </c>
      <c r="BV866" s="41">
        <v>180000000</v>
      </c>
      <c r="BW866" s="43">
        <f t="shared" si="485"/>
        <v>56.25</v>
      </c>
      <c r="BX866" s="41" t="s">
        <v>22</v>
      </c>
      <c r="BY866" s="41" t="s">
        <v>22</v>
      </c>
      <c r="BZ866" s="41">
        <v>5000</v>
      </c>
      <c r="CA866" s="41">
        <v>5000</v>
      </c>
      <c r="CC866" s="18" t="s">
        <v>1008</v>
      </c>
      <c r="CD866" s="18"/>
      <c r="CE866" s="41" t="e">
        <f t="shared" si="486"/>
        <v>#VALUE!</v>
      </c>
      <c r="CF866" s="41">
        <f t="shared" si="487"/>
        <v>8.2552725051033065</v>
      </c>
      <c r="CG866" s="41">
        <f t="shared" si="480"/>
        <v>69000</v>
      </c>
      <c r="CH866" s="41">
        <f t="shared" si="481"/>
        <v>4.8388490907372557</v>
      </c>
      <c r="CI866" s="41">
        <f t="shared" si="482"/>
        <v>69000</v>
      </c>
      <c r="CJ866" s="41">
        <f t="shared" si="483"/>
        <v>4.8388490907372557</v>
      </c>
      <c r="CK866" s="18"/>
      <c r="CL866" s="9" t="s">
        <v>407</v>
      </c>
      <c r="CM866" s="18" t="s">
        <v>1283</v>
      </c>
      <c r="CN866" s="54">
        <v>3.6989700043360187</v>
      </c>
      <c r="CO866" s="18" t="s">
        <v>1283</v>
      </c>
    </row>
    <row r="867" spans="1:93" x14ac:dyDescent="0.25">
      <c r="A867" t="s">
        <v>1267</v>
      </c>
      <c r="B867" s="41">
        <v>6.2500000000000009</v>
      </c>
      <c r="C867" s="41">
        <v>5.2</v>
      </c>
      <c r="D867" s="41">
        <f t="shared" si="488"/>
        <v>1.2019230769230769</v>
      </c>
      <c r="E867" s="41" t="s">
        <v>22</v>
      </c>
      <c r="F867" t="s">
        <v>22</v>
      </c>
      <c r="G867" t="s">
        <v>22</v>
      </c>
      <c r="H867" t="s">
        <v>22</v>
      </c>
      <c r="I867" t="s">
        <v>22</v>
      </c>
      <c r="J867" s="41" t="s">
        <v>22</v>
      </c>
      <c r="K867" t="s">
        <v>22</v>
      </c>
      <c r="M867" t="s">
        <v>23</v>
      </c>
      <c r="N867" s="41" t="s">
        <v>22</v>
      </c>
      <c r="O867" s="41" t="s">
        <v>22</v>
      </c>
      <c r="P867" s="41" t="s">
        <v>22</v>
      </c>
      <c r="R867" s="41" t="s">
        <v>22</v>
      </c>
      <c r="S867" s="41" t="s">
        <v>22</v>
      </c>
      <c r="T867" s="41" t="s">
        <v>22</v>
      </c>
      <c r="U867" s="41" t="s">
        <v>22</v>
      </c>
      <c r="V867">
        <v>20200520</v>
      </c>
      <c r="W867" s="9" t="s">
        <v>844</v>
      </c>
      <c r="X867">
        <v>2017</v>
      </c>
      <c r="Y867" t="s">
        <v>959</v>
      </c>
      <c r="Z867" t="s">
        <v>979</v>
      </c>
      <c r="AA867" t="s">
        <v>22</v>
      </c>
      <c r="AB867" s="41" t="s">
        <v>22</v>
      </c>
      <c r="AC867" t="s">
        <v>514</v>
      </c>
      <c r="AD867" s="41">
        <v>100</v>
      </c>
      <c r="AE867" s="41" t="s">
        <v>22</v>
      </c>
      <c r="AF867" s="41" t="s">
        <v>22</v>
      </c>
      <c r="AG867" s="41">
        <v>1.6999999999999999E-3</v>
      </c>
      <c r="AH867" s="41" t="s">
        <v>22</v>
      </c>
      <c r="AI867" s="41" t="s">
        <v>22</v>
      </c>
      <c r="AJ867" s="41" t="s">
        <v>22</v>
      </c>
      <c r="AK867" s="41" t="s">
        <v>22</v>
      </c>
      <c r="AM867" s="43" t="e">
        <f t="shared" si="460"/>
        <v>#VALUE!</v>
      </c>
      <c r="AN867" s="43" t="e">
        <f t="shared" si="461"/>
        <v>#VALUE!</v>
      </c>
      <c r="AO867" s="18" t="s">
        <v>842</v>
      </c>
      <c r="AT867" s="2">
        <f t="shared" si="462"/>
        <v>6</v>
      </c>
      <c r="AU867" s="45">
        <f t="shared" si="463"/>
        <v>0.79588001734407532</v>
      </c>
      <c r="AV867" s="45">
        <f t="shared" si="464"/>
        <v>0.71600334363479923</v>
      </c>
      <c r="AW867" s="45">
        <f t="shared" si="465"/>
        <v>7.9876673709276036E-2</v>
      </c>
      <c r="AX867" s="45" t="e">
        <f t="shared" si="466"/>
        <v>#VALUE!</v>
      </c>
      <c r="AY867" s="45" t="e">
        <f t="shared" si="467"/>
        <v>#VALUE!</v>
      </c>
      <c r="AZ867" s="45" t="e">
        <f t="shared" si="468"/>
        <v>#VALUE!</v>
      </c>
      <c r="BA867" s="45" t="e">
        <f t="shared" si="469"/>
        <v>#VALUE!</v>
      </c>
      <c r="BB867" s="45" t="e">
        <f t="shared" si="470"/>
        <v>#NUM!</v>
      </c>
      <c r="BC867" s="45" t="e">
        <f t="shared" si="471"/>
        <v>#VALUE!</v>
      </c>
      <c r="BD867" s="45">
        <f t="shared" si="472"/>
        <v>2</v>
      </c>
      <c r="BE867" s="45" t="e">
        <f t="shared" si="473"/>
        <v>#VALUE!</v>
      </c>
      <c r="BF867" s="45" t="e">
        <f t="shared" si="474"/>
        <v>#VALUE!</v>
      </c>
      <c r="BG867" s="45" t="e">
        <f t="shared" si="475"/>
        <v>#VALUE!</v>
      </c>
      <c r="BH867" s="45" t="e">
        <f t="shared" si="476"/>
        <v>#VALUE!</v>
      </c>
      <c r="BI867" s="43" t="e">
        <f t="shared" si="477"/>
        <v>#VALUE!</v>
      </c>
      <c r="BJ867" t="s">
        <v>520</v>
      </c>
      <c r="BK867" t="s">
        <v>521</v>
      </c>
      <c r="BL867" s="18" t="s">
        <v>974</v>
      </c>
      <c r="BM867" s="41" t="s">
        <v>22</v>
      </c>
      <c r="BN867" s="41">
        <v>480000000</v>
      </c>
      <c r="BO867" s="43">
        <f t="shared" si="489"/>
        <v>92.307692307692307</v>
      </c>
      <c r="BP867" s="41" t="s">
        <v>22</v>
      </c>
      <c r="BQ867" s="41" t="s">
        <v>22</v>
      </c>
      <c r="BR867" s="41" t="s">
        <v>22</v>
      </c>
      <c r="BS867" t="s">
        <v>522</v>
      </c>
      <c r="BT867" t="s">
        <v>974</v>
      </c>
      <c r="BU867" s="41" t="s">
        <v>22</v>
      </c>
      <c r="BV867" s="41">
        <v>630000000</v>
      </c>
      <c r="BW867" s="43">
        <f t="shared" si="485"/>
        <v>121.15384615384616</v>
      </c>
      <c r="BX867" s="41" t="s">
        <v>22</v>
      </c>
      <c r="BY867" s="41" t="s">
        <v>22</v>
      </c>
      <c r="BZ867" s="41">
        <v>5000</v>
      </c>
      <c r="CA867" s="41">
        <v>5000</v>
      </c>
      <c r="CC867" s="18" t="s">
        <v>1008</v>
      </c>
      <c r="CD867" s="18"/>
      <c r="CE867" s="41">
        <f t="shared" si="486"/>
        <v>8.6812412373755876</v>
      </c>
      <c r="CF867" s="41">
        <f t="shared" si="487"/>
        <v>8.7993405494535821</v>
      </c>
      <c r="CG867" s="41">
        <f t="shared" si="480"/>
        <v>100000</v>
      </c>
      <c r="CH867" s="41">
        <f t="shared" si="481"/>
        <v>5</v>
      </c>
      <c r="CI867" s="41">
        <f t="shared" si="482"/>
        <v>100000</v>
      </c>
      <c r="CJ867" s="41">
        <f t="shared" si="483"/>
        <v>5</v>
      </c>
      <c r="CK867" s="18"/>
      <c r="CL867" s="9" t="s">
        <v>407</v>
      </c>
      <c r="CM867" s="18" t="s">
        <v>1283</v>
      </c>
      <c r="CN867" s="54">
        <v>3.6989700043360187</v>
      </c>
      <c r="CO867" s="18" t="s">
        <v>1283</v>
      </c>
    </row>
    <row r="868" spans="1:93" x14ac:dyDescent="0.25">
      <c r="A868" t="s">
        <v>1267</v>
      </c>
      <c r="B868" s="41">
        <v>3.225806451612903</v>
      </c>
      <c r="C868" s="41">
        <v>3.4</v>
      </c>
      <c r="D868" s="41">
        <f t="shared" si="488"/>
        <v>0.94876660341555974</v>
      </c>
      <c r="E868" s="41" t="s">
        <v>22</v>
      </c>
      <c r="F868" t="s">
        <v>22</v>
      </c>
      <c r="G868" t="s">
        <v>22</v>
      </c>
      <c r="H868" t="s">
        <v>22</v>
      </c>
      <c r="I868" t="s">
        <v>22</v>
      </c>
      <c r="J868" s="41" t="s">
        <v>22</v>
      </c>
      <c r="K868" t="s">
        <v>22</v>
      </c>
      <c r="M868" t="s">
        <v>23</v>
      </c>
      <c r="N868" s="41" t="s">
        <v>22</v>
      </c>
      <c r="O868" s="41" t="s">
        <v>22</v>
      </c>
      <c r="P868" s="41" t="s">
        <v>22</v>
      </c>
      <c r="R868" s="41" t="s">
        <v>22</v>
      </c>
      <c r="S868" s="41" t="s">
        <v>22</v>
      </c>
      <c r="T868" s="41" t="s">
        <v>22</v>
      </c>
      <c r="U868" s="41" t="s">
        <v>22</v>
      </c>
      <c r="V868">
        <v>20200520</v>
      </c>
      <c r="W868" s="9" t="s">
        <v>845</v>
      </c>
      <c r="X868">
        <v>2017</v>
      </c>
      <c r="Y868" t="s">
        <v>959</v>
      </c>
      <c r="Z868" t="s">
        <v>979</v>
      </c>
      <c r="AA868" t="s">
        <v>22</v>
      </c>
      <c r="AB868" s="41" t="s">
        <v>22</v>
      </c>
      <c r="AC868" t="s">
        <v>514</v>
      </c>
      <c r="AD868" s="41">
        <v>47</v>
      </c>
      <c r="AE868" s="41" t="s">
        <v>22</v>
      </c>
      <c r="AF868" s="41" t="s">
        <v>22</v>
      </c>
      <c r="AG868" s="41">
        <v>2.8E-3</v>
      </c>
      <c r="AH868" s="41" t="s">
        <v>22</v>
      </c>
      <c r="AI868" s="41" t="s">
        <v>22</v>
      </c>
      <c r="AJ868" s="41" t="s">
        <v>22</v>
      </c>
      <c r="AK868" s="41" t="s">
        <v>22</v>
      </c>
      <c r="AM868" s="43" t="e">
        <f t="shared" si="460"/>
        <v>#VALUE!</v>
      </c>
      <c r="AN868" s="43" t="e">
        <f t="shared" si="461"/>
        <v>#VALUE!</v>
      </c>
      <c r="AO868" s="18" t="s">
        <v>842</v>
      </c>
      <c r="AT868" s="2">
        <f t="shared" si="462"/>
        <v>6</v>
      </c>
      <c r="AU868" s="45">
        <f t="shared" si="463"/>
        <v>0.50863830616572725</v>
      </c>
      <c r="AV868" s="45">
        <f t="shared" si="464"/>
        <v>0.53147891704225514</v>
      </c>
      <c r="AW868" s="45">
        <f t="shared" si="465"/>
        <v>-2.284061087652782E-2</v>
      </c>
      <c r="AX868" s="45" t="e">
        <f t="shared" si="466"/>
        <v>#VALUE!</v>
      </c>
      <c r="AY868" s="45" t="e">
        <f t="shared" si="467"/>
        <v>#VALUE!</v>
      </c>
      <c r="AZ868" s="45" t="e">
        <f t="shared" si="468"/>
        <v>#VALUE!</v>
      </c>
      <c r="BA868" s="45" t="e">
        <f t="shared" si="469"/>
        <v>#VALUE!</v>
      </c>
      <c r="BB868" s="45" t="e">
        <f t="shared" si="470"/>
        <v>#NUM!</v>
      </c>
      <c r="BC868" s="45" t="e">
        <f t="shared" si="471"/>
        <v>#VALUE!</v>
      </c>
      <c r="BD868" s="45">
        <f t="shared" si="472"/>
        <v>1.6720978579357175</v>
      </c>
      <c r="BE868" s="45" t="e">
        <f t="shared" si="473"/>
        <v>#VALUE!</v>
      </c>
      <c r="BF868" s="45" t="e">
        <f t="shared" si="474"/>
        <v>#VALUE!</v>
      </c>
      <c r="BG868" s="45" t="e">
        <f t="shared" si="475"/>
        <v>#VALUE!</v>
      </c>
      <c r="BH868" s="45" t="e">
        <f t="shared" si="476"/>
        <v>#VALUE!</v>
      </c>
      <c r="BI868" s="43" t="e">
        <f t="shared" si="477"/>
        <v>#VALUE!</v>
      </c>
      <c r="BJ868" t="s">
        <v>520</v>
      </c>
      <c r="BK868" t="s">
        <v>22</v>
      </c>
      <c r="BL868" s="18" t="s">
        <v>22</v>
      </c>
      <c r="BM868" s="41" t="s">
        <v>22</v>
      </c>
      <c r="BN868" s="41" t="s">
        <v>22</v>
      </c>
      <c r="BO868" s="43" t="e">
        <f t="shared" si="489"/>
        <v>#VALUE!</v>
      </c>
      <c r="BP868" s="41" t="s">
        <v>22</v>
      </c>
      <c r="BQ868" s="41" t="s">
        <v>22</v>
      </c>
      <c r="BR868" s="41" t="s">
        <v>22</v>
      </c>
      <c r="BS868" t="s">
        <v>522</v>
      </c>
      <c r="BT868" t="s">
        <v>974</v>
      </c>
      <c r="BU868" s="41" t="s">
        <v>22</v>
      </c>
      <c r="BV868" s="41">
        <v>180000000</v>
      </c>
      <c r="BW868" s="43">
        <f t="shared" si="485"/>
        <v>52.941176470588232</v>
      </c>
      <c r="BX868" s="41" t="s">
        <v>22</v>
      </c>
      <c r="BY868" s="41" t="s">
        <v>22</v>
      </c>
      <c r="BZ868" s="41">
        <v>5000</v>
      </c>
      <c r="CA868" s="41">
        <v>5000</v>
      </c>
      <c r="CC868" t="s">
        <v>1008</v>
      </c>
      <c r="CE868" s="41" t="e">
        <f t="shared" si="486"/>
        <v>#VALUE!</v>
      </c>
      <c r="CF868" s="41">
        <f t="shared" si="487"/>
        <v>8.2552725051033065</v>
      </c>
      <c r="CG868" s="41">
        <f t="shared" si="480"/>
        <v>47000</v>
      </c>
      <c r="CH868" s="41">
        <f t="shared" si="481"/>
        <v>4.6720978579357171</v>
      </c>
      <c r="CI868" s="41">
        <f t="shared" si="482"/>
        <v>47000</v>
      </c>
      <c r="CJ868" s="41">
        <f t="shared" si="483"/>
        <v>4.6720978579357171</v>
      </c>
      <c r="CL868" s="9" t="s">
        <v>407</v>
      </c>
      <c r="CM868" s="18" t="s">
        <v>1283</v>
      </c>
      <c r="CN868" s="54">
        <v>3.6989700043360187</v>
      </c>
      <c r="CO868" s="18" t="s">
        <v>1283</v>
      </c>
    </row>
    <row r="869" spans="1:93" x14ac:dyDescent="0.25">
      <c r="A869" t="s">
        <v>1267</v>
      </c>
      <c r="B869" s="41">
        <v>3.0303030303030303</v>
      </c>
      <c r="C869" s="41">
        <v>1.6</v>
      </c>
      <c r="D869" s="41">
        <f t="shared" si="488"/>
        <v>1.893939393939394</v>
      </c>
      <c r="E869" s="41" t="s">
        <v>22</v>
      </c>
      <c r="F869" t="s">
        <v>22</v>
      </c>
      <c r="G869" t="s">
        <v>22</v>
      </c>
      <c r="H869" t="s">
        <v>22</v>
      </c>
      <c r="I869" t="s">
        <v>22</v>
      </c>
      <c r="J869" s="41" t="s">
        <v>22</v>
      </c>
      <c r="K869" t="s">
        <v>22</v>
      </c>
      <c r="M869" t="s">
        <v>23</v>
      </c>
      <c r="N869" s="41" t="s">
        <v>22</v>
      </c>
      <c r="O869" s="41" t="s">
        <v>22</v>
      </c>
      <c r="P869" s="41" t="s">
        <v>22</v>
      </c>
      <c r="R869" s="41" t="s">
        <v>22</v>
      </c>
      <c r="S869" s="41" t="s">
        <v>22</v>
      </c>
      <c r="T869" s="41" t="s">
        <v>22</v>
      </c>
      <c r="U869" s="41" t="s">
        <v>22</v>
      </c>
      <c r="V869">
        <v>20200520</v>
      </c>
      <c r="W869" s="9" t="s">
        <v>846</v>
      </c>
      <c r="X869">
        <v>2017</v>
      </c>
      <c r="Y869" t="s">
        <v>959</v>
      </c>
      <c r="Z869" t="s">
        <v>979</v>
      </c>
      <c r="AA869" t="s">
        <v>22</v>
      </c>
      <c r="AB869" s="41" t="s">
        <v>22</v>
      </c>
      <c r="AC869" t="s">
        <v>514</v>
      </c>
      <c r="AD869" s="41">
        <v>50</v>
      </c>
      <c r="AE869" s="41" t="s">
        <v>22</v>
      </c>
      <c r="AF869" s="41" t="s">
        <v>22</v>
      </c>
      <c r="AG869" s="41">
        <v>3.0000000000000001E-3</v>
      </c>
      <c r="AH869" s="41" t="s">
        <v>22</v>
      </c>
      <c r="AI869" s="41" t="s">
        <v>22</v>
      </c>
      <c r="AJ869" s="41" t="s">
        <v>22</v>
      </c>
      <c r="AK869" s="41" t="s">
        <v>22</v>
      </c>
      <c r="AM869" s="43" t="e">
        <f t="shared" si="460"/>
        <v>#VALUE!</v>
      </c>
      <c r="AN869" s="43" t="e">
        <f t="shared" si="461"/>
        <v>#VALUE!</v>
      </c>
      <c r="AO869" s="18" t="s">
        <v>842</v>
      </c>
      <c r="AT869" s="2">
        <f t="shared" si="462"/>
        <v>6</v>
      </c>
      <c r="AU869" s="45">
        <f t="shared" si="463"/>
        <v>0.48148606012211254</v>
      </c>
      <c r="AV869" s="45">
        <f t="shared" si="464"/>
        <v>0.20411998265592479</v>
      </c>
      <c r="AW869" s="45">
        <f t="shared" si="465"/>
        <v>0.27736607746618774</v>
      </c>
      <c r="AX869" s="45" t="e">
        <f t="shared" si="466"/>
        <v>#VALUE!</v>
      </c>
      <c r="AY869" s="45" t="e">
        <f t="shared" si="467"/>
        <v>#VALUE!</v>
      </c>
      <c r="AZ869" s="45" t="e">
        <f t="shared" si="468"/>
        <v>#VALUE!</v>
      </c>
      <c r="BA869" s="45" t="e">
        <f t="shared" si="469"/>
        <v>#VALUE!</v>
      </c>
      <c r="BB869" s="45" t="e">
        <f t="shared" si="470"/>
        <v>#NUM!</v>
      </c>
      <c r="BC869" s="45" t="e">
        <f t="shared" si="471"/>
        <v>#VALUE!</v>
      </c>
      <c r="BD869" s="45">
        <f t="shared" si="472"/>
        <v>1.6989700043360187</v>
      </c>
      <c r="BE869" s="45" t="e">
        <f t="shared" si="473"/>
        <v>#VALUE!</v>
      </c>
      <c r="BF869" s="45" t="e">
        <f t="shared" si="474"/>
        <v>#VALUE!</v>
      </c>
      <c r="BG869" s="45" t="e">
        <f t="shared" si="475"/>
        <v>#VALUE!</v>
      </c>
      <c r="BH869" s="45" t="e">
        <f t="shared" si="476"/>
        <v>#VALUE!</v>
      </c>
      <c r="BI869" s="43" t="e">
        <f t="shared" si="477"/>
        <v>#VALUE!</v>
      </c>
      <c r="BJ869" t="s">
        <v>520</v>
      </c>
      <c r="BK869" t="s">
        <v>22</v>
      </c>
      <c r="BL869" s="18" t="s">
        <v>22</v>
      </c>
      <c r="BM869" s="41" t="s">
        <v>22</v>
      </c>
      <c r="BN869" s="41" t="s">
        <v>22</v>
      </c>
      <c r="BO869" s="43" t="e">
        <f t="shared" si="489"/>
        <v>#VALUE!</v>
      </c>
      <c r="BP869" s="41" t="s">
        <v>22</v>
      </c>
      <c r="BQ869" s="41" t="s">
        <v>22</v>
      </c>
      <c r="BR869" s="41" t="s">
        <v>22</v>
      </c>
      <c r="BS869" t="s">
        <v>522</v>
      </c>
      <c r="BT869" t="s">
        <v>974</v>
      </c>
      <c r="BU869" s="41" t="s">
        <v>22</v>
      </c>
      <c r="BV869" s="41">
        <v>130000000</v>
      </c>
      <c r="BW869" s="43">
        <f t="shared" si="485"/>
        <v>81.25</v>
      </c>
      <c r="BX869" s="41" t="s">
        <v>22</v>
      </c>
      <c r="BY869" s="41" t="s">
        <v>22</v>
      </c>
      <c r="BZ869" s="41">
        <v>5000</v>
      </c>
      <c r="CA869" s="41">
        <v>5000</v>
      </c>
      <c r="CC869" t="s">
        <v>1008</v>
      </c>
      <c r="CE869" s="41" t="e">
        <f t="shared" si="486"/>
        <v>#VALUE!</v>
      </c>
      <c r="CF869" s="41">
        <f t="shared" si="487"/>
        <v>8.1139433523068369</v>
      </c>
      <c r="CG869" s="41">
        <f t="shared" si="480"/>
        <v>50000</v>
      </c>
      <c r="CH869" s="41">
        <f t="shared" si="481"/>
        <v>4.6989700043360187</v>
      </c>
      <c r="CI869" s="41">
        <f t="shared" si="482"/>
        <v>50000</v>
      </c>
      <c r="CJ869" s="41">
        <f t="shared" si="483"/>
        <v>4.6989700043360187</v>
      </c>
      <c r="CL869" s="9" t="s">
        <v>407</v>
      </c>
      <c r="CM869" s="18" t="s">
        <v>1283</v>
      </c>
      <c r="CN869" s="54">
        <v>3.6989700043360187</v>
      </c>
      <c r="CO869" s="18" t="s">
        <v>1283</v>
      </c>
    </row>
    <row r="870" spans="1:93" x14ac:dyDescent="0.25">
      <c r="A870" t="s">
        <v>407</v>
      </c>
      <c r="B870" s="41">
        <v>62.500000000000007</v>
      </c>
      <c r="C870" s="41">
        <v>8.9</v>
      </c>
      <c r="D870" s="41">
        <f t="shared" si="488"/>
        <v>7.02247191011236</v>
      </c>
      <c r="E870" s="41" t="s">
        <v>22</v>
      </c>
      <c r="F870" t="s">
        <v>22</v>
      </c>
      <c r="G870" t="s">
        <v>22</v>
      </c>
      <c r="H870" t="s">
        <v>22</v>
      </c>
      <c r="I870" t="s">
        <v>22</v>
      </c>
      <c r="J870" s="41" t="s">
        <v>22</v>
      </c>
      <c r="K870" t="s">
        <v>22</v>
      </c>
      <c r="M870" t="s">
        <v>23</v>
      </c>
      <c r="N870" s="41" t="s">
        <v>22</v>
      </c>
      <c r="O870" s="41" t="s">
        <v>22</v>
      </c>
      <c r="P870" s="41" t="s">
        <v>22</v>
      </c>
      <c r="R870" s="41" t="s">
        <v>22</v>
      </c>
      <c r="S870" s="41" t="s">
        <v>22</v>
      </c>
      <c r="T870" s="41" t="s">
        <v>22</v>
      </c>
      <c r="U870" s="41" t="s">
        <v>22</v>
      </c>
      <c r="V870">
        <v>20200520</v>
      </c>
      <c r="W870" s="9" t="s">
        <v>837</v>
      </c>
      <c r="X870">
        <v>2017</v>
      </c>
      <c r="Y870" t="s">
        <v>407</v>
      </c>
      <c r="Z870" t="s">
        <v>32</v>
      </c>
      <c r="AA870" t="s">
        <v>22</v>
      </c>
      <c r="AB870" s="41" t="s">
        <v>22</v>
      </c>
      <c r="AC870" t="s">
        <v>514</v>
      </c>
      <c r="AD870" s="41">
        <v>50</v>
      </c>
      <c r="AE870" s="41" t="s">
        <v>22</v>
      </c>
      <c r="AF870" s="41" t="s">
        <v>22</v>
      </c>
      <c r="AG870" s="41">
        <v>3.3E-3</v>
      </c>
      <c r="AH870" s="41" t="s">
        <v>22</v>
      </c>
      <c r="AI870" s="41" t="s">
        <v>22</v>
      </c>
      <c r="AJ870" s="41" t="s">
        <v>22</v>
      </c>
      <c r="AK870" s="41" t="s">
        <v>22</v>
      </c>
      <c r="AM870" s="43" t="e">
        <f t="shared" si="460"/>
        <v>#VALUE!</v>
      </c>
      <c r="AN870" s="43" t="e">
        <f t="shared" si="461"/>
        <v>#VALUE!</v>
      </c>
      <c r="AO870" s="18" t="s">
        <v>842</v>
      </c>
      <c r="AT870" s="2">
        <f t="shared" si="462"/>
        <v>6</v>
      </c>
      <c r="AU870" s="45">
        <f t="shared" si="463"/>
        <v>1.7958800173440752</v>
      </c>
      <c r="AV870" s="45">
        <f t="shared" si="464"/>
        <v>0.9493900066449128</v>
      </c>
      <c r="AW870" s="45">
        <f t="shared" si="465"/>
        <v>0.84649001069916252</v>
      </c>
      <c r="AX870" s="45" t="e">
        <f t="shared" si="466"/>
        <v>#VALUE!</v>
      </c>
      <c r="AY870" s="45" t="e">
        <f t="shared" si="467"/>
        <v>#VALUE!</v>
      </c>
      <c r="AZ870" s="45" t="e">
        <f t="shared" si="468"/>
        <v>#VALUE!</v>
      </c>
      <c r="BA870" s="45" t="e">
        <f t="shared" si="469"/>
        <v>#VALUE!</v>
      </c>
      <c r="BB870" s="45" t="e">
        <f t="shared" si="470"/>
        <v>#NUM!</v>
      </c>
      <c r="BC870" s="45" t="e">
        <f t="shared" si="471"/>
        <v>#VALUE!</v>
      </c>
      <c r="BD870" s="45">
        <f t="shared" si="472"/>
        <v>1.6989700043360187</v>
      </c>
      <c r="BE870" s="45" t="e">
        <f t="shared" si="473"/>
        <v>#VALUE!</v>
      </c>
      <c r="BF870" s="45" t="e">
        <f t="shared" si="474"/>
        <v>#VALUE!</v>
      </c>
      <c r="BG870" s="45" t="e">
        <f t="shared" si="475"/>
        <v>#VALUE!</v>
      </c>
      <c r="BH870" s="45" t="e">
        <f t="shared" si="476"/>
        <v>#VALUE!</v>
      </c>
      <c r="BI870" s="43" t="e">
        <f t="shared" si="477"/>
        <v>#VALUE!</v>
      </c>
      <c r="BJ870" t="s">
        <v>520</v>
      </c>
      <c r="BK870" t="s">
        <v>521</v>
      </c>
      <c r="BL870" s="2" t="s">
        <v>974</v>
      </c>
      <c r="BM870" s="41" t="s">
        <v>22</v>
      </c>
      <c r="BN870" s="41">
        <v>390000000</v>
      </c>
      <c r="BO870" s="43">
        <f t="shared" si="489"/>
        <v>43.820224719101127</v>
      </c>
      <c r="BP870" s="41" t="s">
        <v>22</v>
      </c>
      <c r="BQ870" s="41" t="s">
        <v>22</v>
      </c>
      <c r="BR870" s="41" t="s">
        <v>22</v>
      </c>
      <c r="BS870" t="s">
        <v>522</v>
      </c>
      <c r="BT870" t="s">
        <v>974</v>
      </c>
      <c r="BU870" s="41" t="s">
        <v>22</v>
      </c>
      <c r="BV870" s="41">
        <v>490000000</v>
      </c>
      <c r="BW870" s="43">
        <f t="shared" si="485"/>
        <v>55.056179775280896</v>
      </c>
      <c r="BX870" s="41" t="s">
        <v>22</v>
      </c>
      <c r="BY870" s="41" t="s">
        <v>22</v>
      </c>
      <c r="BZ870" s="41">
        <v>5000</v>
      </c>
      <c r="CA870" s="41">
        <v>5000</v>
      </c>
      <c r="CC870" t="s">
        <v>1008</v>
      </c>
      <c r="CE870" s="41">
        <f t="shared" si="486"/>
        <v>8.5910646070264995</v>
      </c>
      <c r="CF870" s="41">
        <f t="shared" si="487"/>
        <v>8.6901960800285138</v>
      </c>
      <c r="CG870" s="41">
        <v>50000</v>
      </c>
      <c r="CH870" s="41">
        <f t="shared" si="481"/>
        <v>4.6989700043360187</v>
      </c>
      <c r="CI870" s="41">
        <f t="shared" si="482"/>
        <v>50000</v>
      </c>
      <c r="CJ870" s="41">
        <f t="shared" si="483"/>
        <v>4.6989700043360187</v>
      </c>
      <c r="CL870" s="9" t="s">
        <v>407</v>
      </c>
      <c r="CM870" s="18" t="s">
        <v>1283</v>
      </c>
      <c r="CN870" s="54">
        <v>3.6989700043360187</v>
      </c>
      <c r="CO870" s="18" t="s">
        <v>1283</v>
      </c>
    </row>
    <row r="871" spans="1:93" x14ac:dyDescent="0.25">
      <c r="A871" t="s">
        <v>266</v>
      </c>
      <c r="B871" s="41">
        <v>0.21</v>
      </c>
      <c r="C871" s="41" t="s">
        <v>22</v>
      </c>
      <c r="D871" s="41" t="s">
        <v>22</v>
      </c>
      <c r="E871" s="41" t="s">
        <v>22</v>
      </c>
      <c r="F871" t="s">
        <v>22</v>
      </c>
      <c r="G871" t="s">
        <v>22</v>
      </c>
      <c r="H871" t="s">
        <v>22</v>
      </c>
      <c r="I871" t="s">
        <v>22</v>
      </c>
      <c r="J871" s="41">
        <v>11.170960187353636</v>
      </c>
      <c r="K871">
        <v>514</v>
      </c>
      <c r="L871" s="41">
        <f t="shared" ref="L871:L876" si="490">IF((10^-12)*J871*K871^4=0,"",(10^-12)*J871*K871^4)</f>
        <v>0.77972773068927437</v>
      </c>
      <c r="M871" t="s">
        <v>23</v>
      </c>
      <c r="N871" s="41" t="s">
        <v>22</v>
      </c>
      <c r="O871" s="41">
        <v>1.6</v>
      </c>
      <c r="P871" s="41" t="s">
        <v>22</v>
      </c>
      <c r="R871" s="41" t="s">
        <v>22</v>
      </c>
      <c r="S871" s="41" t="s">
        <v>22</v>
      </c>
      <c r="T871" s="41" t="s">
        <v>22</v>
      </c>
      <c r="U871" s="41" t="s">
        <v>22</v>
      </c>
      <c r="V871">
        <v>20200510</v>
      </c>
      <c r="W871" s="21" t="s">
        <v>32</v>
      </c>
      <c r="X871">
        <v>2017</v>
      </c>
      <c r="Y871" t="s">
        <v>76</v>
      </c>
      <c r="Z871" t="s">
        <v>32</v>
      </c>
      <c r="AC871" t="s">
        <v>514</v>
      </c>
      <c r="AD871" s="41">
        <v>30</v>
      </c>
      <c r="AE871" s="41">
        <v>1579.4</v>
      </c>
      <c r="AF871" s="41" t="s">
        <v>22</v>
      </c>
      <c r="AG871" s="41" t="s">
        <v>22</v>
      </c>
      <c r="AH871" s="41" t="s">
        <v>22</v>
      </c>
      <c r="AI871" s="41" t="s">
        <v>22</v>
      </c>
      <c r="AJ871" s="41" t="s">
        <v>22</v>
      </c>
      <c r="AK871" s="41" t="s">
        <v>22</v>
      </c>
      <c r="AL871" s="41" t="s">
        <v>22</v>
      </c>
      <c r="AM871" s="43" t="e">
        <f t="shared" si="460"/>
        <v>#VALUE!</v>
      </c>
      <c r="AN871" s="43" t="e">
        <f t="shared" si="461"/>
        <v>#VALUE!</v>
      </c>
      <c r="AO871" s="3" t="s">
        <v>242</v>
      </c>
      <c r="AT871" s="2">
        <f t="shared" si="462"/>
        <v>6</v>
      </c>
      <c r="AU871" s="45">
        <f t="shared" si="463"/>
        <v>-0.6777807052660807</v>
      </c>
      <c r="AV871" s="45" t="e">
        <f t="shared" si="464"/>
        <v>#VALUE!</v>
      </c>
      <c r="AW871" s="45" t="e">
        <f t="shared" si="465"/>
        <v>#VALUE!</v>
      </c>
      <c r="AX871" s="45" t="e">
        <f t="shared" si="466"/>
        <v>#VALUE!</v>
      </c>
      <c r="AY871" s="45">
        <f t="shared" si="467"/>
        <v>0.20411998265592479</v>
      </c>
      <c r="AZ871" s="45" t="e">
        <f t="shared" si="468"/>
        <v>#VALUE!</v>
      </c>
      <c r="BA871" s="45">
        <f t="shared" si="469"/>
        <v>1.0480905040150903</v>
      </c>
      <c r="BB871" s="45">
        <f t="shared" si="470"/>
        <v>-0.10805702000380682</v>
      </c>
      <c r="BC871" s="45" t="e">
        <f t="shared" si="471"/>
        <v>#VALUE!</v>
      </c>
      <c r="BD871" s="45">
        <f t="shared" si="472"/>
        <v>1.4771212547196624</v>
      </c>
      <c r="BE871" s="45" t="e">
        <f t="shared" si="473"/>
        <v>#VALUE!</v>
      </c>
      <c r="BF871" s="45" t="e">
        <f t="shared" si="474"/>
        <v>#VALUE!</v>
      </c>
      <c r="BG871" s="45" t="e">
        <f t="shared" si="475"/>
        <v>#VALUE!</v>
      </c>
      <c r="BH871" s="45" t="e">
        <f t="shared" si="476"/>
        <v>#NUM!</v>
      </c>
      <c r="BI871" s="43" t="e">
        <f t="shared" si="477"/>
        <v>#VALUE!</v>
      </c>
      <c r="CA871" s="41" t="s">
        <v>22</v>
      </c>
      <c r="CC871" t="s">
        <v>22</v>
      </c>
      <c r="CE871" s="41" t="s">
        <v>22</v>
      </c>
      <c r="CF871" s="41" t="s">
        <v>22</v>
      </c>
      <c r="CG871" s="41">
        <f t="shared" ref="CG871:CG876" si="491">AD871*1000</f>
        <v>30000</v>
      </c>
      <c r="CH871" s="41">
        <f t="shared" si="481"/>
        <v>4.4771212547196626</v>
      </c>
      <c r="CI871" s="41">
        <f t="shared" si="482"/>
        <v>30000</v>
      </c>
      <c r="CJ871" s="41">
        <f t="shared" si="483"/>
        <v>4.4771212547196626</v>
      </c>
      <c r="CL871" s="9" t="s">
        <v>1269</v>
      </c>
      <c r="CM871" s="18" t="s">
        <v>1283</v>
      </c>
      <c r="CN871" s="54" t="s">
        <v>1284</v>
      </c>
      <c r="CO871" s="18" t="s">
        <v>1284</v>
      </c>
    </row>
    <row r="872" spans="1:93" x14ac:dyDescent="0.25">
      <c r="A872" t="s">
        <v>266</v>
      </c>
      <c r="B872" s="41">
        <v>0.2</v>
      </c>
      <c r="C872" s="41" t="s">
        <v>22</v>
      </c>
      <c r="D872" s="41" t="s">
        <v>22</v>
      </c>
      <c r="E872" s="41" t="s">
        <v>22</v>
      </c>
      <c r="F872" t="s">
        <v>22</v>
      </c>
      <c r="G872" t="s">
        <v>22</v>
      </c>
      <c r="H872" t="s">
        <v>22</v>
      </c>
      <c r="I872" t="s">
        <v>22</v>
      </c>
      <c r="J872" s="41">
        <v>5.6183745583039117</v>
      </c>
      <c r="K872">
        <v>514</v>
      </c>
      <c r="L872" s="41">
        <f t="shared" si="490"/>
        <v>0.39215988339731617</v>
      </c>
      <c r="M872" t="s">
        <v>45</v>
      </c>
      <c r="N872" s="41" t="s">
        <v>22</v>
      </c>
      <c r="O872" s="41">
        <v>2.1</v>
      </c>
      <c r="P872" s="41" t="s">
        <v>22</v>
      </c>
      <c r="R872" s="41" t="s">
        <v>22</v>
      </c>
      <c r="S872" s="41" t="s">
        <v>22</v>
      </c>
      <c r="T872" s="41" t="s">
        <v>22</v>
      </c>
      <c r="U872" s="41" t="s">
        <v>22</v>
      </c>
      <c r="V872">
        <v>20200510</v>
      </c>
      <c r="W872" s="21" t="s">
        <v>653</v>
      </c>
      <c r="X872">
        <v>2017</v>
      </c>
      <c r="Y872" t="s">
        <v>76</v>
      </c>
      <c r="Z872" t="s">
        <v>243</v>
      </c>
      <c r="AC872" t="s">
        <v>514</v>
      </c>
      <c r="AD872" s="41" t="s">
        <v>22</v>
      </c>
      <c r="AE872" s="41">
        <v>1579.4</v>
      </c>
      <c r="AF872" s="41" t="s">
        <v>22</v>
      </c>
      <c r="AG872" s="41" t="s">
        <v>22</v>
      </c>
      <c r="AH872" s="41" t="s">
        <v>22</v>
      </c>
      <c r="AI872" s="41" t="s">
        <v>22</v>
      </c>
      <c r="AJ872" s="41" t="s">
        <v>22</v>
      </c>
      <c r="AK872" s="41" t="s">
        <v>22</v>
      </c>
      <c r="AL872" s="41" t="s">
        <v>22</v>
      </c>
      <c r="AM872" s="43" t="e">
        <f t="shared" si="460"/>
        <v>#VALUE!</v>
      </c>
      <c r="AN872" s="43" t="e">
        <f t="shared" si="461"/>
        <v>#VALUE!</v>
      </c>
      <c r="AO872" s="3" t="s">
        <v>242</v>
      </c>
      <c r="AT872" s="2">
        <f t="shared" si="462"/>
        <v>6</v>
      </c>
      <c r="AU872" s="45">
        <f t="shared" si="463"/>
        <v>-0.69897000433601875</v>
      </c>
      <c r="AV872" s="45" t="e">
        <f t="shared" si="464"/>
        <v>#VALUE!</v>
      </c>
      <c r="AW872" s="45" t="e">
        <f t="shared" si="465"/>
        <v>#VALUE!</v>
      </c>
      <c r="AX872" s="45" t="e">
        <f t="shared" si="466"/>
        <v>#VALUE!</v>
      </c>
      <c r="AY872" s="45">
        <f t="shared" si="467"/>
        <v>0.3222192947339193</v>
      </c>
      <c r="AZ872" s="45" t="e">
        <f t="shared" si="468"/>
        <v>#VALUE!</v>
      </c>
      <c r="BA872" s="45">
        <f t="shared" si="469"/>
        <v>0.74961068879616322</v>
      </c>
      <c r="BB872" s="45">
        <f t="shared" si="470"/>
        <v>-0.40653683522273398</v>
      </c>
      <c r="BC872" s="45" t="e">
        <f t="shared" si="471"/>
        <v>#VALUE!</v>
      </c>
      <c r="BD872" s="45" t="e">
        <f t="shared" si="472"/>
        <v>#VALUE!</v>
      </c>
      <c r="BE872" s="45" t="e">
        <f t="shared" si="473"/>
        <v>#VALUE!</v>
      </c>
      <c r="BF872" s="45" t="e">
        <f t="shared" si="474"/>
        <v>#VALUE!</v>
      </c>
      <c r="BG872" s="45" t="e">
        <f t="shared" si="475"/>
        <v>#VALUE!</v>
      </c>
      <c r="BH872" s="45" t="e">
        <f t="shared" si="476"/>
        <v>#NUM!</v>
      </c>
      <c r="BI872" s="43" t="e">
        <f t="shared" si="477"/>
        <v>#VALUE!</v>
      </c>
      <c r="CA872" s="41" t="s">
        <v>22</v>
      </c>
      <c r="CC872" t="s">
        <v>22</v>
      </c>
      <c r="CE872" s="41" t="s">
        <v>22</v>
      </c>
      <c r="CF872" s="41" t="s">
        <v>22</v>
      </c>
      <c r="CG872" s="41" t="e">
        <f t="shared" si="491"/>
        <v>#VALUE!</v>
      </c>
      <c r="CH872" s="41" t="e">
        <f t="shared" si="481"/>
        <v>#VALUE!</v>
      </c>
      <c r="CI872" s="41" t="str">
        <f t="shared" si="482"/>
        <v>Not Reported/ Can not calculate</v>
      </c>
      <c r="CJ872" s="41" t="e">
        <f t="shared" si="483"/>
        <v>#VALUE!</v>
      </c>
      <c r="CL872" s="9" t="s">
        <v>1269</v>
      </c>
      <c r="CM872" s="18" t="s">
        <v>1284</v>
      </c>
      <c r="CN872" s="54" t="s">
        <v>1284</v>
      </c>
      <c r="CO872" s="18" t="s">
        <v>1284</v>
      </c>
    </row>
    <row r="873" spans="1:93" x14ac:dyDescent="0.25">
      <c r="A873" t="s">
        <v>266</v>
      </c>
      <c r="B873" s="41">
        <v>0.189</v>
      </c>
      <c r="C873" s="41" t="s">
        <v>22</v>
      </c>
      <c r="D873" s="41" t="s">
        <v>22</v>
      </c>
      <c r="E873" s="41" t="s">
        <v>22</v>
      </c>
      <c r="F873" t="s">
        <v>22</v>
      </c>
      <c r="G873" t="s">
        <v>22</v>
      </c>
      <c r="H873" t="s">
        <v>22</v>
      </c>
      <c r="I873" t="s">
        <v>22</v>
      </c>
      <c r="J873" s="41">
        <v>5.167930660888417</v>
      </c>
      <c r="K873">
        <v>514</v>
      </c>
      <c r="L873" s="41">
        <f t="shared" si="490"/>
        <v>0.36071911268073736</v>
      </c>
      <c r="M873" t="s">
        <v>45</v>
      </c>
      <c r="N873" s="41" t="s">
        <v>22</v>
      </c>
      <c r="O873" s="41">
        <v>2.4</v>
      </c>
      <c r="P873" s="41" t="s">
        <v>22</v>
      </c>
      <c r="R873" s="41" t="s">
        <v>22</v>
      </c>
      <c r="S873" s="41" t="s">
        <v>22</v>
      </c>
      <c r="T873" s="41" t="s">
        <v>22</v>
      </c>
      <c r="U873" s="41" t="s">
        <v>22</v>
      </c>
      <c r="V873">
        <v>20200510</v>
      </c>
      <c r="W873" s="21" t="s">
        <v>654</v>
      </c>
      <c r="X873">
        <v>2017</v>
      </c>
      <c r="Y873" t="s">
        <v>76</v>
      </c>
      <c r="Z873" t="s">
        <v>243</v>
      </c>
      <c r="AC873" t="s">
        <v>514</v>
      </c>
      <c r="AD873" s="41" t="s">
        <v>22</v>
      </c>
      <c r="AE873" s="41">
        <v>1579.4</v>
      </c>
      <c r="AF873" s="41" t="s">
        <v>22</v>
      </c>
      <c r="AG873" s="41" t="s">
        <v>22</v>
      </c>
      <c r="AH873" s="41" t="s">
        <v>22</v>
      </c>
      <c r="AI873" s="41" t="s">
        <v>22</v>
      </c>
      <c r="AJ873" s="41" t="s">
        <v>22</v>
      </c>
      <c r="AK873" s="41" t="s">
        <v>22</v>
      </c>
      <c r="AL873" s="41" t="s">
        <v>22</v>
      </c>
      <c r="AM873" s="43" t="e">
        <f t="shared" si="460"/>
        <v>#VALUE!</v>
      </c>
      <c r="AN873" s="43" t="e">
        <f t="shared" si="461"/>
        <v>#VALUE!</v>
      </c>
      <c r="AO873" s="19" t="s">
        <v>242</v>
      </c>
      <c r="AT873" s="2">
        <f t="shared" si="462"/>
        <v>6</v>
      </c>
      <c r="AU873" s="45">
        <f t="shared" si="463"/>
        <v>-0.72353819582675583</v>
      </c>
      <c r="AV873" s="45" t="e">
        <f t="shared" si="464"/>
        <v>#VALUE!</v>
      </c>
      <c r="AW873" s="45" t="e">
        <f t="shared" si="465"/>
        <v>#VALUE!</v>
      </c>
      <c r="AX873" s="45" t="e">
        <f t="shared" si="466"/>
        <v>#VALUE!</v>
      </c>
      <c r="AY873" s="45">
        <f t="shared" si="467"/>
        <v>0.38021124171160603</v>
      </c>
      <c r="AZ873" s="45" t="e">
        <f t="shared" si="468"/>
        <v>#VALUE!</v>
      </c>
      <c r="BA873" s="45">
        <f t="shared" si="469"/>
        <v>0.71331667801420262</v>
      </c>
      <c r="BB873" s="45">
        <f t="shared" si="470"/>
        <v>-0.44283084600469447</v>
      </c>
      <c r="BC873" s="45" t="e">
        <f t="shared" si="471"/>
        <v>#VALUE!</v>
      </c>
      <c r="BD873" s="45" t="e">
        <f t="shared" si="472"/>
        <v>#VALUE!</v>
      </c>
      <c r="BE873" s="45" t="e">
        <f t="shared" si="473"/>
        <v>#VALUE!</v>
      </c>
      <c r="BF873" s="45" t="e">
        <f t="shared" si="474"/>
        <v>#VALUE!</v>
      </c>
      <c r="BG873" s="45" t="e">
        <f t="shared" si="475"/>
        <v>#VALUE!</v>
      </c>
      <c r="BH873" s="45" t="e">
        <f t="shared" si="476"/>
        <v>#NUM!</v>
      </c>
      <c r="BI873" s="43" t="e">
        <f t="shared" si="477"/>
        <v>#VALUE!</v>
      </c>
      <c r="CA873" s="41" t="s">
        <v>22</v>
      </c>
      <c r="CC873" t="s">
        <v>22</v>
      </c>
      <c r="CE873" s="41" t="s">
        <v>22</v>
      </c>
      <c r="CF873" s="41" t="s">
        <v>22</v>
      </c>
      <c r="CG873" s="41" t="e">
        <f t="shared" si="491"/>
        <v>#VALUE!</v>
      </c>
      <c r="CH873" s="41" t="e">
        <f t="shared" si="481"/>
        <v>#VALUE!</v>
      </c>
      <c r="CI873" s="41" t="str">
        <f t="shared" si="482"/>
        <v>Not Reported/ Can not calculate</v>
      </c>
      <c r="CJ873" s="41" t="e">
        <f t="shared" si="483"/>
        <v>#VALUE!</v>
      </c>
      <c r="CL873" s="9" t="s">
        <v>1269</v>
      </c>
      <c r="CM873" s="18" t="s">
        <v>1284</v>
      </c>
      <c r="CN873" s="54" t="s">
        <v>1284</v>
      </c>
      <c r="CO873" s="18" t="s">
        <v>1284</v>
      </c>
    </row>
    <row r="874" spans="1:93" x14ac:dyDescent="0.25">
      <c r="A874" s="18" t="s">
        <v>266</v>
      </c>
      <c r="B874" s="41">
        <v>0.13900000000000001</v>
      </c>
      <c r="C874" s="41" t="s">
        <v>22</v>
      </c>
      <c r="D874" s="41" t="s">
        <v>22</v>
      </c>
      <c r="E874" s="41" t="s">
        <v>22</v>
      </c>
      <c r="F874" t="s">
        <v>22</v>
      </c>
      <c r="G874" t="s">
        <v>22</v>
      </c>
      <c r="H874" t="s">
        <v>22</v>
      </c>
      <c r="I874" t="s">
        <v>22</v>
      </c>
      <c r="J874" s="41">
        <v>3.314801945795693</v>
      </c>
      <c r="K874">
        <v>514</v>
      </c>
      <c r="L874" s="41">
        <f t="shared" si="490"/>
        <v>0.23137160597937467</v>
      </c>
      <c r="M874" t="s">
        <v>45</v>
      </c>
      <c r="N874" s="41" t="s">
        <v>22</v>
      </c>
      <c r="O874" s="41">
        <v>3.4</v>
      </c>
      <c r="P874" s="41" t="s">
        <v>22</v>
      </c>
      <c r="R874" s="41" t="s">
        <v>22</v>
      </c>
      <c r="S874" s="41" t="s">
        <v>22</v>
      </c>
      <c r="T874" s="41" t="s">
        <v>22</v>
      </c>
      <c r="U874" s="41" t="s">
        <v>22</v>
      </c>
      <c r="V874">
        <v>20200510</v>
      </c>
      <c r="W874" s="21" t="s">
        <v>655</v>
      </c>
      <c r="X874" s="18">
        <v>2017</v>
      </c>
      <c r="Y874" s="18" t="s">
        <v>76</v>
      </c>
      <c r="Z874" t="s">
        <v>243</v>
      </c>
      <c r="AC874" t="s">
        <v>514</v>
      </c>
      <c r="AD874" s="41" t="s">
        <v>22</v>
      </c>
      <c r="AE874" s="41">
        <v>1579.4</v>
      </c>
      <c r="AF874" s="41" t="s">
        <v>22</v>
      </c>
      <c r="AG874" s="41" t="s">
        <v>22</v>
      </c>
      <c r="AH874" s="41" t="s">
        <v>22</v>
      </c>
      <c r="AI874" s="41" t="s">
        <v>22</v>
      </c>
      <c r="AJ874" s="41" t="s">
        <v>22</v>
      </c>
      <c r="AK874" s="41" t="s">
        <v>22</v>
      </c>
      <c r="AL874" s="41" t="s">
        <v>22</v>
      </c>
      <c r="AM874" s="43" t="e">
        <f t="shared" si="460"/>
        <v>#VALUE!</v>
      </c>
      <c r="AN874" s="43" t="e">
        <f t="shared" si="461"/>
        <v>#VALUE!</v>
      </c>
      <c r="AO874" s="19" t="s">
        <v>242</v>
      </c>
      <c r="AT874" s="2">
        <f t="shared" si="462"/>
        <v>6</v>
      </c>
      <c r="AU874" s="45">
        <f t="shared" si="463"/>
        <v>-0.85698519974590492</v>
      </c>
      <c r="AV874" s="45" t="e">
        <f t="shared" si="464"/>
        <v>#VALUE!</v>
      </c>
      <c r="AW874" s="45" t="e">
        <f t="shared" si="465"/>
        <v>#VALUE!</v>
      </c>
      <c r="AX874" s="45" t="e">
        <f t="shared" si="466"/>
        <v>#VALUE!</v>
      </c>
      <c r="AY874" s="45">
        <f t="shared" si="467"/>
        <v>0.53147891704225514</v>
      </c>
      <c r="AZ874" s="45" t="e">
        <f t="shared" si="468"/>
        <v>#VALUE!</v>
      </c>
      <c r="BA874" s="45">
        <f t="shared" si="469"/>
        <v>0.52045758510350892</v>
      </c>
      <c r="BB874" s="45">
        <f t="shared" si="470"/>
        <v>-0.63568993891538816</v>
      </c>
      <c r="BC874" s="45" t="e">
        <f t="shared" si="471"/>
        <v>#VALUE!</v>
      </c>
      <c r="BD874" s="45" t="e">
        <f t="shared" si="472"/>
        <v>#VALUE!</v>
      </c>
      <c r="BE874" s="45" t="e">
        <f t="shared" si="473"/>
        <v>#VALUE!</v>
      </c>
      <c r="BF874" s="45" t="e">
        <f t="shared" si="474"/>
        <v>#VALUE!</v>
      </c>
      <c r="BG874" s="45" t="e">
        <f t="shared" si="475"/>
        <v>#VALUE!</v>
      </c>
      <c r="BH874" s="45" t="e">
        <f t="shared" si="476"/>
        <v>#NUM!</v>
      </c>
      <c r="BI874" s="43" t="e">
        <f t="shared" si="477"/>
        <v>#VALUE!</v>
      </c>
      <c r="CA874" s="41" t="s">
        <v>22</v>
      </c>
      <c r="CC874" t="s">
        <v>22</v>
      </c>
      <c r="CE874" s="41" t="s">
        <v>22</v>
      </c>
      <c r="CF874" s="41" t="s">
        <v>22</v>
      </c>
      <c r="CG874" s="41" t="e">
        <f t="shared" si="491"/>
        <v>#VALUE!</v>
      </c>
      <c r="CH874" s="41" t="e">
        <f t="shared" si="481"/>
        <v>#VALUE!</v>
      </c>
      <c r="CI874" s="41" t="str">
        <f t="shared" si="482"/>
        <v>Not Reported/ Can not calculate</v>
      </c>
      <c r="CJ874" s="41" t="e">
        <f t="shared" si="483"/>
        <v>#VALUE!</v>
      </c>
      <c r="CL874" s="9" t="s">
        <v>1269</v>
      </c>
      <c r="CM874" s="18" t="s">
        <v>1284</v>
      </c>
      <c r="CN874" s="54" t="s">
        <v>1284</v>
      </c>
      <c r="CO874" s="18" t="s">
        <v>1284</v>
      </c>
    </row>
    <row r="875" spans="1:93" x14ac:dyDescent="0.25">
      <c r="A875" s="18" t="s">
        <v>266</v>
      </c>
      <c r="B875" s="41">
        <v>0.14199999999999999</v>
      </c>
      <c r="C875" s="41" t="s">
        <v>22</v>
      </c>
      <c r="D875" s="41" t="s">
        <v>22</v>
      </c>
      <c r="E875" s="41" t="s">
        <v>22</v>
      </c>
      <c r="F875" t="s">
        <v>22</v>
      </c>
      <c r="G875" t="s">
        <v>22</v>
      </c>
      <c r="H875" t="s">
        <v>22</v>
      </c>
      <c r="I875" t="s">
        <v>22</v>
      </c>
      <c r="J875" s="41">
        <v>2.7684271619268723</v>
      </c>
      <c r="K875">
        <v>514</v>
      </c>
      <c r="L875" s="41">
        <f t="shared" si="490"/>
        <v>0.19323490481968664</v>
      </c>
      <c r="M875" t="s">
        <v>45</v>
      </c>
      <c r="N875" s="41" t="s">
        <v>22</v>
      </c>
      <c r="O875" s="41">
        <v>3.7</v>
      </c>
      <c r="P875" s="41" t="s">
        <v>22</v>
      </c>
      <c r="R875" s="41" t="s">
        <v>22</v>
      </c>
      <c r="S875" s="41" t="s">
        <v>22</v>
      </c>
      <c r="T875" s="41" t="s">
        <v>22</v>
      </c>
      <c r="U875" s="41" t="s">
        <v>22</v>
      </c>
      <c r="V875">
        <v>20200510</v>
      </c>
      <c r="W875" s="21" t="s">
        <v>656</v>
      </c>
      <c r="X875" s="18">
        <v>2017</v>
      </c>
      <c r="Y875" s="18" t="s">
        <v>76</v>
      </c>
      <c r="Z875" t="s">
        <v>243</v>
      </c>
      <c r="AC875" t="s">
        <v>514</v>
      </c>
      <c r="AD875" s="41" t="s">
        <v>22</v>
      </c>
      <c r="AE875" s="41">
        <v>1579.4</v>
      </c>
      <c r="AF875" s="41" t="s">
        <v>22</v>
      </c>
      <c r="AG875" s="41" t="s">
        <v>22</v>
      </c>
      <c r="AH875" s="41" t="s">
        <v>22</v>
      </c>
      <c r="AI875" s="41" t="s">
        <v>22</v>
      </c>
      <c r="AJ875" s="41" t="s">
        <v>22</v>
      </c>
      <c r="AK875" s="41" t="s">
        <v>22</v>
      </c>
      <c r="AL875" s="41" t="s">
        <v>22</v>
      </c>
      <c r="AM875" s="43" t="e">
        <f t="shared" si="460"/>
        <v>#VALUE!</v>
      </c>
      <c r="AN875" s="43" t="e">
        <f t="shared" si="461"/>
        <v>#VALUE!</v>
      </c>
      <c r="AO875" s="19" t="s">
        <v>242</v>
      </c>
      <c r="AT875" s="2">
        <f t="shared" si="462"/>
        <v>6</v>
      </c>
      <c r="AU875" s="45">
        <f t="shared" si="463"/>
        <v>-0.8477116556169435</v>
      </c>
      <c r="AV875" s="45" t="e">
        <f t="shared" si="464"/>
        <v>#VALUE!</v>
      </c>
      <c r="AW875" s="45" t="e">
        <f t="shared" si="465"/>
        <v>#VALUE!</v>
      </c>
      <c r="AX875" s="45" t="e">
        <f t="shared" si="466"/>
        <v>#VALUE!</v>
      </c>
      <c r="AY875" s="45">
        <f t="shared" si="467"/>
        <v>0.56820172406699498</v>
      </c>
      <c r="AZ875" s="45" t="e">
        <f t="shared" si="468"/>
        <v>#VALUE!</v>
      </c>
      <c r="BA875" s="45">
        <f t="shared" si="469"/>
        <v>0.44223310159208551</v>
      </c>
      <c r="BB875" s="45">
        <f t="shared" si="470"/>
        <v>-0.71391442242681158</v>
      </c>
      <c r="BC875" s="45" t="e">
        <f t="shared" si="471"/>
        <v>#VALUE!</v>
      </c>
      <c r="BD875" s="45" t="e">
        <f t="shared" si="472"/>
        <v>#VALUE!</v>
      </c>
      <c r="BE875" s="45" t="e">
        <f t="shared" si="473"/>
        <v>#VALUE!</v>
      </c>
      <c r="BF875" s="45" t="e">
        <f t="shared" si="474"/>
        <v>#VALUE!</v>
      </c>
      <c r="BG875" s="45" t="e">
        <f t="shared" si="475"/>
        <v>#VALUE!</v>
      </c>
      <c r="BH875" s="45" t="e">
        <f t="shared" si="476"/>
        <v>#NUM!</v>
      </c>
      <c r="BI875" s="43" t="e">
        <f t="shared" si="477"/>
        <v>#VALUE!</v>
      </c>
      <c r="CA875" s="41" t="s">
        <v>22</v>
      </c>
      <c r="CC875" t="s">
        <v>22</v>
      </c>
      <c r="CE875" s="41" t="s">
        <v>22</v>
      </c>
      <c r="CF875" s="41" t="s">
        <v>22</v>
      </c>
      <c r="CG875" s="41" t="e">
        <f t="shared" si="491"/>
        <v>#VALUE!</v>
      </c>
      <c r="CH875" s="41" t="e">
        <f t="shared" si="481"/>
        <v>#VALUE!</v>
      </c>
      <c r="CI875" s="41" t="str">
        <f t="shared" si="482"/>
        <v>Not Reported/ Can not calculate</v>
      </c>
      <c r="CJ875" s="41" t="e">
        <f t="shared" si="483"/>
        <v>#VALUE!</v>
      </c>
      <c r="CL875" s="9" t="s">
        <v>1269</v>
      </c>
      <c r="CM875" s="18" t="s">
        <v>1284</v>
      </c>
      <c r="CN875" s="54" t="s">
        <v>1284</v>
      </c>
      <c r="CO875" s="18" t="s">
        <v>1284</v>
      </c>
    </row>
    <row r="876" spans="1:93" x14ac:dyDescent="0.25">
      <c r="A876" s="18" t="s">
        <v>375</v>
      </c>
      <c r="B876" s="41" t="s">
        <v>22</v>
      </c>
      <c r="C876" s="41" t="s">
        <v>22</v>
      </c>
      <c r="D876" s="41" t="s">
        <v>22</v>
      </c>
      <c r="E876" s="41" t="s">
        <v>22</v>
      </c>
      <c r="F876" s="41" t="s">
        <v>22</v>
      </c>
      <c r="G876" s="41" t="s">
        <v>22</v>
      </c>
      <c r="H876" s="41" t="s">
        <v>22</v>
      </c>
      <c r="I876" s="41" t="s">
        <v>22</v>
      </c>
      <c r="J876" s="41" t="s">
        <v>22</v>
      </c>
      <c r="K876" s="41" t="s">
        <v>22</v>
      </c>
      <c r="L876" s="41" t="e">
        <f t="shared" si="490"/>
        <v>#VALUE!</v>
      </c>
      <c r="M876" t="s">
        <v>23</v>
      </c>
      <c r="N876" s="41" t="s">
        <v>22</v>
      </c>
      <c r="O876" s="41">
        <v>3.7</v>
      </c>
      <c r="P876" s="41" t="s">
        <v>22</v>
      </c>
      <c r="R876" s="41" t="s">
        <v>22</v>
      </c>
      <c r="S876" s="41" t="s">
        <v>22</v>
      </c>
      <c r="T876" s="41" t="s">
        <v>22</v>
      </c>
      <c r="U876" s="41" t="s">
        <v>22</v>
      </c>
      <c r="V876">
        <v>20191229</v>
      </c>
      <c r="W876" s="9" t="s">
        <v>382</v>
      </c>
      <c r="X876" s="18">
        <v>2017</v>
      </c>
      <c r="Y876" s="18"/>
      <c r="AD876" s="41" t="s">
        <v>22</v>
      </c>
      <c r="AE876" s="41" t="s">
        <v>22</v>
      </c>
      <c r="AF876" s="41" t="s">
        <v>22</v>
      </c>
      <c r="AG876" s="41" t="s">
        <v>22</v>
      </c>
      <c r="AH876" s="41" t="s">
        <v>22</v>
      </c>
      <c r="AI876" s="41" t="s">
        <v>22</v>
      </c>
      <c r="AJ876" s="41" t="s">
        <v>22</v>
      </c>
      <c r="AK876" s="41" t="s">
        <v>22</v>
      </c>
      <c r="AL876" s="41" t="s">
        <v>22</v>
      </c>
      <c r="AM876" s="43" t="e">
        <f t="shared" si="460"/>
        <v>#VALUE!</v>
      </c>
      <c r="AN876" s="43" t="e">
        <f t="shared" si="461"/>
        <v>#VALUE!</v>
      </c>
      <c r="AO876" s="19" t="s">
        <v>242</v>
      </c>
      <c r="AT876" s="2">
        <f t="shared" si="462"/>
        <v>6</v>
      </c>
      <c r="AU876" s="45" t="e">
        <f t="shared" si="463"/>
        <v>#VALUE!</v>
      </c>
      <c r="AV876" s="45" t="e">
        <f t="shared" si="464"/>
        <v>#VALUE!</v>
      </c>
      <c r="AW876" s="45" t="e">
        <f t="shared" si="465"/>
        <v>#VALUE!</v>
      </c>
      <c r="AX876" s="45" t="e">
        <f t="shared" si="466"/>
        <v>#VALUE!</v>
      </c>
      <c r="AY876" s="45">
        <f t="shared" si="467"/>
        <v>0.56820172406699498</v>
      </c>
      <c r="AZ876" s="45" t="e">
        <f t="shared" si="468"/>
        <v>#VALUE!</v>
      </c>
      <c r="BA876" s="45" t="e">
        <f t="shared" si="469"/>
        <v>#VALUE!</v>
      </c>
      <c r="BB876" s="45" t="e">
        <f t="shared" si="470"/>
        <v>#VALUE!</v>
      </c>
      <c r="BC876" s="45" t="e">
        <f t="shared" si="471"/>
        <v>#VALUE!</v>
      </c>
      <c r="BD876" s="45" t="e">
        <f t="shared" si="472"/>
        <v>#VALUE!</v>
      </c>
      <c r="BE876" s="45" t="e">
        <f t="shared" si="473"/>
        <v>#VALUE!</v>
      </c>
      <c r="BF876" s="45" t="e">
        <f t="shared" si="474"/>
        <v>#VALUE!</v>
      </c>
      <c r="BG876" s="45" t="e">
        <f t="shared" si="475"/>
        <v>#VALUE!</v>
      </c>
      <c r="BH876" s="45" t="e">
        <f t="shared" si="476"/>
        <v>#NUM!</v>
      </c>
      <c r="BI876" s="43" t="e">
        <f t="shared" si="477"/>
        <v>#VALUE!</v>
      </c>
      <c r="CA876" s="41" t="s">
        <v>22</v>
      </c>
      <c r="CC876" t="s">
        <v>22</v>
      </c>
      <c r="CE876" s="41" t="s">
        <v>22</v>
      </c>
      <c r="CF876" s="41" t="s">
        <v>22</v>
      </c>
      <c r="CG876" s="41" t="e">
        <f t="shared" si="491"/>
        <v>#VALUE!</v>
      </c>
      <c r="CH876" s="41" t="e">
        <f t="shared" si="481"/>
        <v>#VALUE!</v>
      </c>
      <c r="CI876" s="41" t="str">
        <f t="shared" si="482"/>
        <v>Not Reported/ Can not calculate</v>
      </c>
      <c r="CJ876" s="41" t="e">
        <f t="shared" si="483"/>
        <v>#VALUE!</v>
      </c>
      <c r="CL876" s="9" t="s">
        <v>1268</v>
      </c>
      <c r="CM876" s="18" t="s">
        <v>1284</v>
      </c>
      <c r="CN876" s="54" t="s">
        <v>1284</v>
      </c>
      <c r="CO876" s="18" t="s">
        <v>1284</v>
      </c>
    </row>
    <row r="877" spans="1:93" s="9" customFormat="1" x14ac:dyDescent="0.25">
      <c r="A877" s="9" t="s">
        <v>141</v>
      </c>
      <c r="B877" s="50" t="s">
        <v>22</v>
      </c>
      <c r="C877" s="50">
        <v>0.38</v>
      </c>
      <c r="D877" s="50" t="s">
        <v>22</v>
      </c>
      <c r="E877" s="50" t="s">
        <v>22</v>
      </c>
      <c r="F877" s="9" t="s">
        <v>22</v>
      </c>
      <c r="G877" s="9" t="s">
        <v>22</v>
      </c>
      <c r="H877" s="9" t="s">
        <v>22</v>
      </c>
      <c r="I877" s="9" t="s">
        <v>22</v>
      </c>
      <c r="J877" s="50" t="s">
        <v>22</v>
      </c>
      <c r="K877" s="9" t="s">
        <v>22</v>
      </c>
      <c r="L877" s="50"/>
      <c r="M877" s="9" t="s">
        <v>23</v>
      </c>
      <c r="N877" s="50">
        <v>45.32</v>
      </c>
      <c r="O877" s="50">
        <f t="shared" ref="O877:O884" si="492">0.001*N877/C877</f>
        <v>0.11926315789473683</v>
      </c>
      <c r="P877" s="50">
        <v>1.1100000000000001</v>
      </c>
      <c r="Q877" s="50"/>
      <c r="R877" s="50" t="s">
        <v>22</v>
      </c>
      <c r="S877" s="50" t="s">
        <v>22</v>
      </c>
      <c r="T877" s="50" t="s">
        <v>22</v>
      </c>
      <c r="U877" s="50" t="s">
        <v>22</v>
      </c>
      <c r="V877" s="9">
        <v>20210320</v>
      </c>
      <c r="W877" s="21" t="s">
        <v>1076</v>
      </c>
      <c r="X877" s="21">
        <v>2017</v>
      </c>
      <c r="Y877" s="9" t="s">
        <v>76</v>
      </c>
      <c r="Z877" s="9" t="s">
        <v>32</v>
      </c>
      <c r="AB877" s="50"/>
      <c r="AC877" s="9" t="s">
        <v>514</v>
      </c>
      <c r="AD877" s="50" t="s">
        <v>22</v>
      </c>
      <c r="AE877" s="50" t="s">
        <v>22</v>
      </c>
      <c r="AF877" s="50" t="s">
        <v>22</v>
      </c>
      <c r="AG877" s="50" t="s">
        <v>22</v>
      </c>
      <c r="AH877" s="50" t="s">
        <v>22</v>
      </c>
      <c r="AI877" s="50" t="s">
        <v>22</v>
      </c>
      <c r="AJ877" s="50" t="s">
        <v>22</v>
      </c>
      <c r="AK877" s="50" t="s">
        <v>22</v>
      </c>
      <c r="AL877" s="50" t="s">
        <v>22</v>
      </c>
      <c r="AM877" s="43" t="e">
        <f t="shared" si="460"/>
        <v>#VALUE!</v>
      </c>
      <c r="AN877" s="43" t="e">
        <f t="shared" si="461"/>
        <v>#VALUE!</v>
      </c>
      <c r="AO877" s="9" t="s">
        <v>1242</v>
      </c>
      <c r="AT877" s="2">
        <f t="shared" si="462"/>
        <v>8</v>
      </c>
      <c r="AU877" s="45" t="e">
        <f t="shared" si="463"/>
        <v>#VALUE!</v>
      </c>
      <c r="AV877" s="45">
        <f t="shared" si="464"/>
        <v>-0.42021640338318983</v>
      </c>
      <c r="AW877" s="45" t="e">
        <f t="shared" si="465"/>
        <v>#VALUE!</v>
      </c>
      <c r="AX877" s="45">
        <f t="shared" si="466"/>
        <v>1.6562899011913597</v>
      </c>
      <c r="AY877" s="45">
        <f t="shared" si="467"/>
        <v>-0.92349369542545057</v>
      </c>
      <c r="AZ877" s="45">
        <f t="shared" si="468"/>
        <v>4.5322978786657475E-2</v>
      </c>
      <c r="BA877" s="45" t="e">
        <f t="shared" si="469"/>
        <v>#VALUE!</v>
      </c>
      <c r="BB877" s="45" t="e">
        <f t="shared" si="470"/>
        <v>#NUM!</v>
      </c>
      <c r="BC877" s="45" t="e">
        <f t="shared" si="471"/>
        <v>#VALUE!</v>
      </c>
      <c r="BD877" s="45" t="e">
        <f t="shared" si="472"/>
        <v>#VALUE!</v>
      </c>
      <c r="BE877" s="45" t="e">
        <f t="shared" si="473"/>
        <v>#VALUE!</v>
      </c>
      <c r="BF877" s="45" t="e">
        <f t="shared" si="474"/>
        <v>#VALUE!</v>
      </c>
      <c r="BG877" s="45" t="e">
        <f t="shared" si="475"/>
        <v>#VALUE!</v>
      </c>
      <c r="BH877" s="45" t="e">
        <f t="shared" si="476"/>
        <v>#NUM!</v>
      </c>
      <c r="BI877" s="43" t="e">
        <f t="shared" si="477"/>
        <v>#VALUE!</v>
      </c>
      <c r="BL877" s="20"/>
      <c r="BM877" s="50"/>
      <c r="BN877" s="50"/>
      <c r="BO877" s="50"/>
      <c r="BP877" s="50"/>
      <c r="BQ877" s="50"/>
      <c r="BR877" s="50"/>
      <c r="BU877" s="50"/>
      <c r="BV877" s="50"/>
      <c r="BW877" s="50"/>
      <c r="BX877" s="50"/>
      <c r="BY877" s="50"/>
      <c r="BZ877" s="50"/>
      <c r="CA877" s="50" t="s">
        <v>22</v>
      </c>
      <c r="CE877" s="50"/>
      <c r="CF877" s="50"/>
      <c r="CG877" s="50"/>
      <c r="CH877" s="50"/>
      <c r="CI877" s="50" t="str">
        <f t="shared" ref="CI877:CI888" si="493">IF(ISNUMBER(CG877),CG877,U877)</f>
        <v>Not Reported/ Can not calculate</v>
      </c>
      <c r="CJ877" s="50" t="e">
        <f t="shared" ref="CJ877:CJ888" si="494">LOG10(CI877)</f>
        <v>#VALUE!</v>
      </c>
      <c r="CL877" s="9" t="s">
        <v>1269</v>
      </c>
      <c r="CM877" s="9" t="s">
        <v>1284</v>
      </c>
      <c r="CN877" s="55" t="s">
        <v>1284</v>
      </c>
      <c r="CO877" s="9" t="s">
        <v>1284</v>
      </c>
    </row>
    <row r="878" spans="1:93" s="9" customFormat="1" x14ac:dyDescent="0.25">
      <c r="A878" s="9" t="s">
        <v>141</v>
      </c>
      <c r="B878" s="50" t="s">
        <v>22</v>
      </c>
      <c r="C878" s="50">
        <v>0.5</v>
      </c>
      <c r="D878" s="50" t="s">
        <v>22</v>
      </c>
      <c r="E878" s="50" t="s">
        <v>22</v>
      </c>
      <c r="F878" s="9" t="s">
        <v>22</v>
      </c>
      <c r="G878" s="9" t="s">
        <v>22</v>
      </c>
      <c r="H878" s="9" t="s">
        <v>22</v>
      </c>
      <c r="I878" s="9" t="s">
        <v>22</v>
      </c>
      <c r="J878" s="50" t="s">
        <v>22</v>
      </c>
      <c r="K878" s="9" t="s">
        <v>22</v>
      </c>
      <c r="L878" s="50"/>
      <c r="M878" s="9" t="s">
        <v>23</v>
      </c>
      <c r="N878" s="50">
        <v>25.26</v>
      </c>
      <c r="O878" s="50">
        <f t="shared" si="492"/>
        <v>5.0520000000000002E-2</v>
      </c>
      <c r="P878" s="50">
        <v>0.2</v>
      </c>
      <c r="Q878" s="50"/>
      <c r="R878" s="50" t="s">
        <v>22</v>
      </c>
      <c r="S878" s="50" t="s">
        <v>22</v>
      </c>
      <c r="T878" s="50" t="s">
        <v>22</v>
      </c>
      <c r="U878" s="50" t="s">
        <v>22</v>
      </c>
      <c r="V878" s="9">
        <v>20210320</v>
      </c>
      <c r="W878" s="21" t="s">
        <v>1076</v>
      </c>
      <c r="X878" s="21">
        <v>2017</v>
      </c>
      <c r="Y878" s="9" t="s">
        <v>76</v>
      </c>
      <c r="Z878" s="9" t="s">
        <v>32</v>
      </c>
      <c r="AB878" s="50"/>
      <c r="AC878" s="9" t="s">
        <v>514</v>
      </c>
      <c r="AD878" s="50" t="s">
        <v>22</v>
      </c>
      <c r="AE878" s="50" t="s">
        <v>22</v>
      </c>
      <c r="AF878" s="50" t="s">
        <v>22</v>
      </c>
      <c r="AG878" s="50" t="s">
        <v>22</v>
      </c>
      <c r="AH878" s="50" t="s">
        <v>22</v>
      </c>
      <c r="AI878" s="50" t="s">
        <v>22</v>
      </c>
      <c r="AJ878" s="50" t="s">
        <v>22</v>
      </c>
      <c r="AK878" s="50" t="s">
        <v>22</v>
      </c>
      <c r="AL878" s="50" t="s">
        <v>22</v>
      </c>
      <c r="AM878" s="43" t="e">
        <f t="shared" si="460"/>
        <v>#VALUE!</v>
      </c>
      <c r="AN878" s="43" t="e">
        <f t="shared" si="461"/>
        <v>#VALUE!</v>
      </c>
      <c r="AO878" s="9" t="s">
        <v>1242</v>
      </c>
      <c r="AT878" s="2">
        <f t="shared" si="462"/>
        <v>8</v>
      </c>
      <c r="AU878" s="45" t="e">
        <f t="shared" si="463"/>
        <v>#VALUE!</v>
      </c>
      <c r="AV878" s="45">
        <f t="shared" si="464"/>
        <v>-0.3010299956639812</v>
      </c>
      <c r="AW878" s="45" t="e">
        <f t="shared" si="465"/>
        <v>#VALUE!</v>
      </c>
      <c r="AX878" s="45">
        <f t="shared" si="466"/>
        <v>1.4024333462193119</v>
      </c>
      <c r="AY878" s="45">
        <f t="shared" si="467"/>
        <v>-1.2965366581167068</v>
      </c>
      <c r="AZ878" s="45">
        <f t="shared" si="468"/>
        <v>-0.69897000433601875</v>
      </c>
      <c r="BA878" s="45" t="e">
        <f t="shared" si="469"/>
        <v>#VALUE!</v>
      </c>
      <c r="BB878" s="45" t="e">
        <f t="shared" si="470"/>
        <v>#NUM!</v>
      </c>
      <c r="BC878" s="45" t="e">
        <f t="shared" si="471"/>
        <v>#VALUE!</v>
      </c>
      <c r="BD878" s="45" t="e">
        <f t="shared" si="472"/>
        <v>#VALUE!</v>
      </c>
      <c r="BE878" s="45" t="e">
        <f t="shared" si="473"/>
        <v>#VALUE!</v>
      </c>
      <c r="BF878" s="45" t="e">
        <f t="shared" si="474"/>
        <v>#VALUE!</v>
      </c>
      <c r="BG878" s="45" t="e">
        <f t="shared" si="475"/>
        <v>#VALUE!</v>
      </c>
      <c r="BH878" s="45" t="e">
        <f t="shared" si="476"/>
        <v>#NUM!</v>
      </c>
      <c r="BI878" s="43" t="e">
        <f t="shared" si="477"/>
        <v>#VALUE!</v>
      </c>
      <c r="BL878" s="20"/>
      <c r="BM878" s="50"/>
      <c r="BN878" s="50"/>
      <c r="BO878" s="50"/>
      <c r="BP878" s="50"/>
      <c r="BQ878" s="50"/>
      <c r="BR878" s="50"/>
      <c r="BU878" s="50"/>
      <c r="BV878" s="50"/>
      <c r="BW878" s="50"/>
      <c r="BX878" s="50"/>
      <c r="BY878" s="50"/>
      <c r="BZ878" s="50"/>
      <c r="CA878" s="50" t="s">
        <v>22</v>
      </c>
      <c r="CE878" s="50"/>
      <c r="CF878" s="50"/>
      <c r="CG878" s="50"/>
      <c r="CH878" s="50"/>
      <c r="CI878" s="50" t="str">
        <f t="shared" si="493"/>
        <v>Not Reported/ Can not calculate</v>
      </c>
      <c r="CJ878" s="50" t="e">
        <f t="shared" si="494"/>
        <v>#VALUE!</v>
      </c>
      <c r="CL878" s="9" t="s">
        <v>1269</v>
      </c>
      <c r="CM878" s="9" t="s">
        <v>1284</v>
      </c>
      <c r="CN878" s="55" t="s">
        <v>1284</v>
      </c>
      <c r="CO878" s="9" t="s">
        <v>1284</v>
      </c>
    </row>
    <row r="879" spans="1:93" s="9" customFormat="1" x14ac:dyDescent="0.25">
      <c r="A879" s="9" t="s">
        <v>141</v>
      </c>
      <c r="B879" s="50" t="s">
        <v>22</v>
      </c>
      <c r="C879" s="50">
        <v>0.51</v>
      </c>
      <c r="D879" s="50" t="s">
        <v>22</v>
      </c>
      <c r="E879" s="50" t="s">
        <v>22</v>
      </c>
      <c r="F879" s="9" t="s">
        <v>22</v>
      </c>
      <c r="G879" s="9" t="s">
        <v>22</v>
      </c>
      <c r="H879" s="9" t="s">
        <v>22</v>
      </c>
      <c r="I879" s="9" t="s">
        <v>22</v>
      </c>
      <c r="J879" s="50" t="s">
        <v>22</v>
      </c>
      <c r="K879" s="9" t="s">
        <v>22</v>
      </c>
      <c r="L879" s="50"/>
      <c r="M879" s="9" t="s">
        <v>23</v>
      </c>
      <c r="N879" s="50">
        <v>20.36</v>
      </c>
      <c r="O879" s="50">
        <f t="shared" si="492"/>
        <v>3.9921568627450978E-2</v>
      </c>
      <c r="P879" s="50">
        <v>0.32</v>
      </c>
      <c r="Q879" s="50"/>
      <c r="R879" s="50" t="s">
        <v>22</v>
      </c>
      <c r="S879" s="50" t="s">
        <v>22</v>
      </c>
      <c r="T879" s="50" t="s">
        <v>22</v>
      </c>
      <c r="U879" s="50" t="s">
        <v>22</v>
      </c>
      <c r="V879" s="9">
        <v>20210320</v>
      </c>
      <c r="W879" s="21" t="s">
        <v>1076</v>
      </c>
      <c r="X879" s="21">
        <v>2017</v>
      </c>
      <c r="Y879" s="9" t="s">
        <v>76</v>
      </c>
      <c r="Z879" s="9" t="s">
        <v>32</v>
      </c>
      <c r="AB879" s="50"/>
      <c r="AC879" s="9" t="s">
        <v>514</v>
      </c>
      <c r="AD879" s="50" t="s">
        <v>22</v>
      </c>
      <c r="AE879" s="50" t="s">
        <v>22</v>
      </c>
      <c r="AF879" s="50" t="s">
        <v>22</v>
      </c>
      <c r="AG879" s="50" t="s">
        <v>22</v>
      </c>
      <c r="AH879" s="50" t="s">
        <v>22</v>
      </c>
      <c r="AI879" s="50" t="s">
        <v>22</v>
      </c>
      <c r="AJ879" s="50" t="s">
        <v>22</v>
      </c>
      <c r="AK879" s="50" t="s">
        <v>22</v>
      </c>
      <c r="AL879" s="50" t="s">
        <v>22</v>
      </c>
      <c r="AM879" s="43" t="e">
        <f t="shared" si="460"/>
        <v>#VALUE!</v>
      </c>
      <c r="AN879" s="43" t="e">
        <f t="shared" si="461"/>
        <v>#VALUE!</v>
      </c>
      <c r="AO879" s="9" t="s">
        <v>1242</v>
      </c>
      <c r="AT879" s="2">
        <f t="shared" si="462"/>
        <v>8</v>
      </c>
      <c r="AU879" s="45" t="e">
        <f t="shared" si="463"/>
        <v>#VALUE!</v>
      </c>
      <c r="AV879" s="45">
        <f t="shared" si="464"/>
        <v>-0.29242982390206362</v>
      </c>
      <c r="AW879" s="45" t="e">
        <f t="shared" si="465"/>
        <v>#VALUE!</v>
      </c>
      <c r="AX879" s="45">
        <f t="shared" si="466"/>
        <v>1.308777773664721</v>
      </c>
      <c r="AY879" s="45">
        <f t="shared" si="467"/>
        <v>-1.3987924024332152</v>
      </c>
      <c r="AZ879" s="45">
        <f t="shared" si="468"/>
        <v>-0.49485002168009401</v>
      </c>
      <c r="BA879" s="45" t="e">
        <f t="shared" si="469"/>
        <v>#VALUE!</v>
      </c>
      <c r="BB879" s="45" t="e">
        <f t="shared" si="470"/>
        <v>#NUM!</v>
      </c>
      <c r="BC879" s="45" t="e">
        <f t="shared" si="471"/>
        <v>#VALUE!</v>
      </c>
      <c r="BD879" s="45" t="e">
        <f t="shared" si="472"/>
        <v>#VALUE!</v>
      </c>
      <c r="BE879" s="45" t="e">
        <f t="shared" si="473"/>
        <v>#VALUE!</v>
      </c>
      <c r="BF879" s="45" t="e">
        <f t="shared" si="474"/>
        <v>#VALUE!</v>
      </c>
      <c r="BG879" s="45" t="e">
        <f t="shared" si="475"/>
        <v>#VALUE!</v>
      </c>
      <c r="BH879" s="45" t="e">
        <f t="shared" si="476"/>
        <v>#NUM!</v>
      </c>
      <c r="BI879" s="43" t="e">
        <f t="shared" si="477"/>
        <v>#VALUE!</v>
      </c>
      <c r="BL879" s="20"/>
      <c r="BM879" s="50"/>
      <c r="BN879" s="50"/>
      <c r="BO879" s="50"/>
      <c r="BP879" s="50"/>
      <c r="BQ879" s="50"/>
      <c r="BR879" s="50"/>
      <c r="BU879" s="50"/>
      <c r="BV879" s="50"/>
      <c r="BW879" s="50"/>
      <c r="BX879" s="50"/>
      <c r="BY879" s="50"/>
      <c r="BZ879" s="50"/>
      <c r="CA879" s="50" t="s">
        <v>22</v>
      </c>
      <c r="CE879" s="50"/>
      <c r="CF879" s="50"/>
      <c r="CG879" s="50"/>
      <c r="CH879" s="50"/>
      <c r="CI879" s="50" t="str">
        <f t="shared" si="493"/>
        <v>Not Reported/ Can not calculate</v>
      </c>
      <c r="CJ879" s="50" t="e">
        <f t="shared" si="494"/>
        <v>#VALUE!</v>
      </c>
      <c r="CL879" s="9" t="s">
        <v>1269</v>
      </c>
      <c r="CM879" s="9" t="s">
        <v>1284</v>
      </c>
      <c r="CN879" s="55" t="s">
        <v>1284</v>
      </c>
      <c r="CO879" s="9" t="s">
        <v>1284</v>
      </c>
    </row>
    <row r="880" spans="1:93" s="9" customFormat="1" x14ac:dyDescent="0.25">
      <c r="A880" s="9" t="s">
        <v>141</v>
      </c>
      <c r="B880" s="50" t="s">
        <v>22</v>
      </c>
      <c r="C880" s="50">
        <v>0.47</v>
      </c>
      <c r="D880" s="50" t="s">
        <v>22</v>
      </c>
      <c r="E880" s="50" t="s">
        <v>22</v>
      </c>
      <c r="F880" s="9" t="s">
        <v>22</v>
      </c>
      <c r="G880" s="9" t="s">
        <v>22</v>
      </c>
      <c r="H880" s="9" t="s">
        <v>22</v>
      </c>
      <c r="I880" s="9" t="s">
        <v>22</v>
      </c>
      <c r="J880" s="50" t="s">
        <v>22</v>
      </c>
      <c r="K880" s="9" t="s">
        <v>22</v>
      </c>
      <c r="L880" s="50"/>
      <c r="M880" s="9" t="s">
        <v>23</v>
      </c>
      <c r="N880" s="50">
        <v>29.8</v>
      </c>
      <c r="O880" s="50">
        <f t="shared" si="492"/>
        <v>6.3404255319148936E-2</v>
      </c>
      <c r="P880" s="50">
        <v>0.57999999999999996</v>
      </c>
      <c r="Q880" s="50"/>
      <c r="R880" s="50" t="s">
        <v>22</v>
      </c>
      <c r="S880" s="50" t="s">
        <v>22</v>
      </c>
      <c r="T880" s="50" t="s">
        <v>22</v>
      </c>
      <c r="U880" s="50" t="s">
        <v>22</v>
      </c>
      <c r="V880" s="9">
        <v>20210320</v>
      </c>
      <c r="W880" s="21" t="s">
        <v>1076</v>
      </c>
      <c r="X880" s="21">
        <v>2017</v>
      </c>
      <c r="Y880" s="9" t="s">
        <v>76</v>
      </c>
      <c r="Z880" s="9" t="s">
        <v>32</v>
      </c>
      <c r="AB880" s="50"/>
      <c r="AC880" s="9" t="s">
        <v>514</v>
      </c>
      <c r="AD880" s="50" t="s">
        <v>22</v>
      </c>
      <c r="AE880" s="50" t="s">
        <v>22</v>
      </c>
      <c r="AF880" s="50" t="s">
        <v>22</v>
      </c>
      <c r="AG880" s="50" t="s">
        <v>22</v>
      </c>
      <c r="AH880" s="50" t="s">
        <v>22</v>
      </c>
      <c r="AI880" s="50" t="s">
        <v>22</v>
      </c>
      <c r="AJ880" s="50" t="s">
        <v>22</v>
      </c>
      <c r="AK880" s="50" t="s">
        <v>22</v>
      </c>
      <c r="AL880" s="50" t="s">
        <v>22</v>
      </c>
      <c r="AM880" s="43" t="e">
        <f t="shared" si="460"/>
        <v>#VALUE!</v>
      </c>
      <c r="AN880" s="43" t="e">
        <f t="shared" si="461"/>
        <v>#VALUE!</v>
      </c>
      <c r="AO880" s="9" t="s">
        <v>1242</v>
      </c>
      <c r="AT880" s="2">
        <f t="shared" si="462"/>
        <v>8</v>
      </c>
      <c r="AU880" s="45" t="e">
        <f t="shared" si="463"/>
        <v>#VALUE!</v>
      </c>
      <c r="AV880" s="45">
        <f t="shared" si="464"/>
        <v>-0.32790214206428259</v>
      </c>
      <c r="AW880" s="45" t="e">
        <f t="shared" si="465"/>
        <v>#VALUE!</v>
      </c>
      <c r="AX880" s="45">
        <f t="shared" si="466"/>
        <v>1.4742162640762553</v>
      </c>
      <c r="AY880" s="45">
        <f t="shared" si="467"/>
        <v>-1.1978815938594622</v>
      </c>
      <c r="AZ880" s="45">
        <f t="shared" si="468"/>
        <v>-0.23657200643706275</v>
      </c>
      <c r="BA880" s="45" t="e">
        <f t="shared" si="469"/>
        <v>#VALUE!</v>
      </c>
      <c r="BB880" s="45" t="e">
        <f t="shared" si="470"/>
        <v>#NUM!</v>
      </c>
      <c r="BC880" s="45" t="e">
        <f t="shared" si="471"/>
        <v>#VALUE!</v>
      </c>
      <c r="BD880" s="45" t="e">
        <f t="shared" si="472"/>
        <v>#VALUE!</v>
      </c>
      <c r="BE880" s="45" t="e">
        <f t="shared" si="473"/>
        <v>#VALUE!</v>
      </c>
      <c r="BF880" s="45" t="e">
        <f t="shared" si="474"/>
        <v>#VALUE!</v>
      </c>
      <c r="BG880" s="45" t="e">
        <f t="shared" si="475"/>
        <v>#VALUE!</v>
      </c>
      <c r="BH880" s="45" t="e">
        <f t="shared" si="476"/>
        <v>#NUM!</v>
      </c>
      <c r="BI880" s="43" t="e">
        <f t="shared" si="477"/>
        <v>#VALUE!</v>
      </c>
      <c r="BL880" s="20"/>
      <c r="BM880" s="50"/>
      <c r="BN880" s="50"/>
      <c r="BO880" s="50"/>
      <c r="BP880" s="50"/>
      <c r="BQ880" s="50"/>
      <c r="BR880" s="50"/>
      <c r="BU880" s="50"/>
      <c r="BV880" s="50"/>
      <c r="BW880" s="50"/>
      <c r="BX880" s="50"/>
      <c r="BY880" s="50"/>
      <c r="BZ880" s="50"/>
      <c r="CA880" s="50" t="s">
        <v>22</v>
      </c>
      <c r="CE880" s="50"/>
      <c r="CF880" s="50"/>
      <c r="CG880" s="50"/>
      <c r="CH880" s="50"/>
      <c r="CI880" s="50" t="str">
        <f t="shared" si="493"/>
        <v>Not Reported/ Can not calculate</v>
      </c>
      <c r="CJ880" s="50" t="e">
        <f t="shared" si="494"/>
        <v>#VALUE!</v>
      </c>
      <c r="CL880" s="9" t="s">
        <v>1269</v>
      </c>
      <c r="CM880" s="9" t="s">
        <v>1284</v>
      </c>
      <c r="CN880" s="55" t="s">
        <v>1284</v>
      </c>
      <c r="CO880" s="9" t="s">
        <v>1284</v>
      </c>
    </row>
    <row r="881" spans="1:93" s="9" customFormat="1" x14ac:dyDescent="0.25">
      <c r="A881" s="9" t="s">
        <v>141</v>
      </c>
      <c r="B881" s="50" t="s">
        <v>22</v>
      </c>
      <c r="C881" s="50">
        <v>0.57999999999999996</v>
      </c>
      <c r="D881" s="50" t="s">
        <v>22</v>
      </c>
      <c r="E881" s="50" t="s">
        <v>22</v>
      </c>
      <c r="F881" s="9" t="s">
        <v>22</v>
      </c>
      <c r="G881" s="9" t="s">
        <v>22</v>
      </c>
      <c r="H881" s="9" t="s">
        <v>22</v>
      </c>
      <c r="I881" s="9" t="s">
        <v>22</v>
      </c>
      <c r="J881" s="50" t="s">
        <v>22</v>
      </c>
      <c r="K881" s="9" t="s">
        <v>22</v>
      </c>
      <c r="L881" s="50"/>
      <c r="M881" s="9" t="s">
        <v>45</v>
      </c>
      <c r="N881" s="50">
        <v>97.76</v>
      </c>
      <c r="O881" s="50">
        <f t="shared" si="492"/>
        <v>0.16855172413793107</v>
      </c>
      <c r="P881" s="50">
        <v>2.98</v>
      </c>
      <c r="Q881" s="50"/>
      <c r="R881" s="50" t="s">
        <v>22</v>
      </c>
      <c r="S881" s="50" t="s">
        <v>22</v>
      </c>
      <c r="T881" s="50" t="s">
        <v>22</v>
      </c>
      <c r="U881" s="50" t="s">
        <v>22</v>
      </c>
      <c r="V881" s="9">
        <v>20210320</v>
      </c>
      <c r="W881" s="21" t="s">
        <v>1076</v>
      </c>
      <c r="X881" s="21">
        <v>2017</v>
      </c>
      <c r="Y881" s="9" t="s">
        <v>76</v>
      </c>
      <c r="Z881" s="9" t="s">
        <v>124</v>
      </c>
      <c r="AB881" s="50"/>
      <c r="AC881" s="9" t="s">
        <v>514</v>
      </c>
      <c r="AD881" s="50" t="s">
        <v>22</v>
      </c>
      <c r="AE881" s="50" t="s">
        <v>22</v>
      </c>
      <c r="AF881" s="50" t="s">
        <v>22</v>
      </c>
      <c r="AG881" s="50" t="s">
        <v>22</v>
      </c>
      <c r="AH881" s="50" t="s">
        <v>22</v>
      </c>
      <c r="AI881" s="50" t="s">
        <v>22</v>
      </c>
      <c r="AJ881" s="50" t="s">
        <v>22</v>
      </c>
      <c r="AK881" s="50" t="s">
        <v>22</v>
      </c>
      <c r="AL881" s="50" t="s">
        <v>22</v>
      </c>
      <c r="AM881" s="43" t="e">
        <f t="shared" si="460"/>
        <v>#VALUE!</v>
      </c>
      <c r="AN881" s="43" t="e">
        <f t="shared" si="461"/>
        <v>#VALUE!</v>
      </c>
      <c r="AO881" s="9" t="s">
        <v>1242</v>
      </c>
      <c r="AT881" s="2">
        <f t="shared" si="462"/>
        <v>8</v>
      </c>
      <c r="AU881" s="45" t="e">
        <f t="shared" si="463"/>
        <v>#VALUE!</v>
      </c>
      <c r="AV881" s="45">
        <f t="shared" si="464"/>
        <v>-0.23657200643706275</v>
      </c>
      <c r="AW881" s="45" t="e">
        <f t="shared" si="465"/>
        <v>#VALUE!</v>
      </c>
      <c r="AX881" s="45">
        <f t="shared" si="466"/>
        <v>1.990161192898479</v>
      </c>
      <c r="AY881" s="45">
        <f t="shared" si="467"/>
        <v>-0.77326680066445819</v>
      </c>
      <c r="AZ881" s="45">
        <f t="shared" si="468"/>
        <v>0.47421626407625522</v>
      </c>
      <c r="BA881" s="45" t="e">
        <f t="shared" si="469"/>
        <v>#VALUE!</v>
      </c>
      <c r="BB881" s="45" t="e">
        <f t="shared" si="470"/>
        <v>#NUM!</v>
      </c>
      <c r="BC881" s="45" t="e">
        <f t="shared" si="471"/>
        <v>#VALUE!</v>
      </c>
      <c r="BD881" s="45" t="e">
        <f t="shared" si="472"/>
        <v>#VALUE!</v>
      </c>
      <c r="BE881" s="45" t="e">
        <f t="shared" si="473"/>
        <v>#VALUE!</v>
      </c>
      <c r="BF881" s="45" t="e">
        <f t="shared" si="474"/>
        <v>#VALUE!</v>
      </c>
      <c r="BG881" s="45" t="e">
        <f t="shared" si="475"/>
        <v>#VALUE!</v>
      </c>
      <c r="BH881" s="45" t="e">
        <f t="shared" si="476"/>
        <v>#NUM!</v>
      </c>
      <c r="BI881" s="43" t="e">
        <f t="shared" si="477"/>
        <v>#VALUE!</v>
      </c>
      <c r="BL881" s="20"/>
      <c r="BM881" s="50"/>
      <c r="BN881" s="50"/>
      <c r="BO881" s="50"/>
      <c r="BP881" s="50"/>
      <c r="BQ881" s="50"/>
      <c r="BR881" s="50"/>
      <c r="BU881" s="50"/>
      <c r="BV881" s="50"/>
      <c r="BW881" s="50"/>
      <c r="BX881" s="50"/>
      <c r="BY881" s="50"/>
      <c r="BZ881" s="50"/>
      <c r="CA881" s="50" t="s">
        <v>22</v>
      </c>
      <c r="CE881" s="50"/>
      <c r="CF881" s="50"/>
      <c r="CG881" s="50"/>
      <c r="CH881" s="50"/>
      <c r="CI881" s="50" t="str">
        <f t="shared" si="493"/>
        <v>Not Reported/ Can not calculate</v>
      </c>
      <c r="CJ881" s="50" t="e">
        <f t="shared" si="494"/>
        <v>#VALUE!</v>
      </c>
      <c r="CL881" s="9" t="s">
        <v>1269</v>
      </c>
      <c r="CM881" s="9" t="s">
        <v>1284</v>
      </c>
      <c r="CN881" s="55" t="s">
        <v>1284</v>
      </c>
      <c r="CO881" s="9" t="s">
        <v>1284</v>
      </c>
    </row>
    <row r="882" spans="1:93" s="9" customFormat="1" x14ac:dyDescent="0.25">
      <c r="A882" s="9" t="s">
        <v>141</v>
      </c>
      <c r="B882" s="50" t="s">
        <v>22</v>
      </c>
      <c r="C882" s="50">
        <v>0.48</v>
      </c>
      <c r="D882" s="50" t="s">
        <v>22</v>
      </c>
      <c r="E882" s="50" t="s">
        <v>22</v>
      </c>
      <c r="F882" s="9" t="s">
        <v>22</v>
      </c>
      <c r="G882" s="9" t="s">
        <v>22</v>
      </c>
      <c r="H882" s="9" t="s">
        <v>22</v>
      </c>
      <c r="I882" s="9" t="s">
        <v>22</v>
      </c>
      <c r="J882" s="50" t="s">
        <v>22</v>
      </c>
      <c r="K882" s="9" t="s">
        <v>22</v>
      </c>
      <c r="L882" s="50"/>
      <c r="M882" s="9" t="s">
        <v>45</v>
      </c>
      <c r="N882" s="50">
        <v>63.88</v>
      </c>
      <c r="O882" s="50">
        <f t="shared" si="492"/>
        <v>0.13308333333333336</v>
      </c>
      <c r="P882" s="50">
        <v>1.2</v>
      </c>
      <c r="Q882" s="50"/>
      <c r="R882" s="50" t="s">
        <v>22</v>
      </c>
      <c r="S882" s="50" t="s">
        <v>22</v>
      </c>
      <c r="T882" s="50" t="s">
        <v>22</v>
      </c>
      <c r="U882" s="50" t="s">
        <v>22</v>
      </c>
      <c r="V882" s="9">
        <v>20210320</v>
      </c>
      <c r="W882" s="21" t="s">
        <v>1076</v>
      </c>
      <c r="X882" s="21">
        <v>2017</v>
      </c>
      <c r="Y882" s="9" t="s">
        <v>76</v>
      </c>
      <c r="Z882" s="9" t="s">
        <v>124</v>
      </c>
      <c r="AB882" s="50"/>
      <c r="AC882" s="9" t="s">
        <v>514</v>
      </c>
      <c r="AD882" s="50" t="s">
        <v>22</v>
      </c>
      <c r="AE882" s="50" t="s">
        <v>22</v>
      </c>
      <c r="AF882" s="50" t="s">
        <v>22</v>
      </c>
      <c r="AG882" s="50" t="s">
        <v>22</v>
      </c>
      <c r="AH882" s="50" t="s">
        <v>22</v>
      </c>
      <c r="AI882" s="50" t="s">
        <v>22</v>
      </c>
      <c r="AJ882" s="50" t="s">
        <v>22</v>
      </c>
      <c r="AK882" s="50" t="s">
        <v>22</v>
      </c>
      <c r="AL882" s="50" t="s">
        <v>22</v>
      </c>
      <c r="AM882" s="43" t="e">
        <f t="shared" si="460"/>
        <v>#VALUE!</v>
      </c>
      <c r="AN882" s="43" t="e">
        <f t="shared" si="461"/>
        <v>#VALUE!</v>
      </c>
      <c r="AO882" s="9" t="s">
        <v>1242</v>
      </c>
      <c r="AT882" s="2">
        <f t="shared" si="462"/>
        <v>8</v>
      </c>
      <c r="AU882" s="45" t="e">
        <f t="shared" si="463"/>
        <v>#VALUE!</v>
      </c>
      <c r="AV882" s="45">
        <f t="shared" si="464"/>
        <v>-0.31875876262441277</v>
      </c>
      <c r="AW882" s="45" t="e">
        <f t="shared" si="465"/>
        <v>#VALUE!</v>
      </c>
      <c r="AX882" s="45">
        <f t="shared" si="466"/>
        <v>1.8053649074664453</v>
      </c>
      <c r="AY882" s="45">
        <f t="shared" si="467"/>
        <v>-0.87587632990914177</v>
      </c>
      <c r="AZ882" s="45">
        <f t="shared" si="468"/>
        <v>7.9181246047624818E-2</v>
      </c>
      <c r="BA882" s="45" t="e">
        <f t="shared" si="469"/>
        <v>#VALUE!</v>
      </c>
      <c r="BB882" s="45" t="e">
        <f t="shared" si="470"/>
        <v>#NUM!</v>
      </c>
      <c r="BC882" s="45" t="e">
        <f t="shared" si="471"/>
        <v>#VALUE!</v>
      </c>
      <c r="BD882" s="45" t="e">
        <f t="shared" si="472"/>
        <v>#VALUE!</v>
      </c>
      <c r="BE882" s="45" t="e">
        <f t="shared" si="473"/>
        <v>#VALUE!</v>
      </c>
      <c r="BF882" s="45" t="e">
        <f t="shared" si="474"/>
        <v>#VALUE!</v>
      </c>
      <c r="BG882" s="45" t="e">
        <f t="shared" si="475"/>
        <v>#VALUE!</v>
      </c>
      <c r="BH882" s="45" t="e">
        <f t="shared" si="476"/>
        <v>#NUM!</v>
      </c>
      <c r="BI882" s="43" t="e">
        <f t="shared" si="477"/>
        <v>#VALUE!</v>
      </c>
      <c r="BL882" s="20"/>
      <c r="BM882" s="50"/>
      <c r="BN882" s="50"/>
      <c r="BO882" s="50"/>
      <c r="BP882" s="50"/>
      <c r="BQ882" s="50"/>
      <c r="BR882" s="50"/>
      <c r="BU882" s="50"/>
      <c r="BV882" s="50"/>
      <c r="BW882" s="50"/>
      <c r="BX882" s="50"/>
      <c r="BY882" s="50"/>
      <c r="BZ882" s="50"/>
      <c r="CA882" s="50" t="s">
        <v>22</v>
      </c>
      <c r="CE882" s="50"/>
      <c r="CF882" s="50"/>
      <c r="CG882" s="50"/>
      <c r="CH882" s="50"/>
      <c r="CI882" s="50" t="str">
        <f t="shared" si="493"/>
        <v>Not Reported/ Can not calculate</v>
      </c>
      <c r="CJ882" s="50" t="e">
        <f t="shared" si="494"/>
        <v>#VALUE!</v>
      </c>
      <c r="CL882" s="9" t="s">
        <v>1269</v>
      </c>
      <c r="CM882" s="9" t="s">
        <v>1284</v>
      </c>
      <c r="CN882" s="55" t="s">
        <v>1284</v>
      </c>
      <c r="CO882" s="9" t="s">
        <v>1284</v>
      </c>
    </row>
    <row r="883" spans="1:93" s="9" customFormat="1" x14ac:dyDescent="0.25">
      <c r="A883" s="9" t="s">
        <v>141</v>
      </c>
      <c r="B883" s="50" t="s">
        <v>22</v>
      </c>
      <c r="C883" s="50">
        <v>0.44</v>
      </c>
      <c r="D883" s="50" t="s">
        <v>22</v>
      </c>
      <c r="E883" s="50" t="s">
        <v>22</v>
      </c>
      <c r="F883" s="9" t="s">
        <v>22</v>
      </c>
      <c r="G883" s="9" t="s">
        <v>22</v>
      </c>
      <c r="H883" s="9" t="s">
        <v>22</v>
      </c>
      <c r="I883" s="9" t="s">
        <v>22</v>
      </c>
      <c r="J883" s="50" t="s">
        <v>22</v>
      </c>
      <c r="K883" s="9" t="s">
        <v>22</v>
      </c>
      <c r="L883" s="50"/>
      <c r="M883" s="9" t="s">
        <v>45</v>
      </c>
      <c r="N883" s="50">
        <v>72.239999999999995</v>
      </c>
      <c r="O883" s="50">
        <f t="shared" si="492"/>
        <v>0.16418181818181818</v>
      </c>
      <c r="P883" s="50">
        <v>3.16</v>
      </c>
      <c r="Q883" s="50"/>
      <c r="R883" s="50" t="s">
        <v>22</v>
      </c>
      <c r="S883" s="50" t="s">
        <v>22</v>
      </c>
      <c r="T883" s="50" t="s">
        <v>22</v>
      </c>
      <c r="U883" s="50" t="s">
        <v>22</v>
      </c>
      <c r="V883" s="9">
        <v>20210320</v>
      </c>
      <c r="W883" s="21" t="s">
        <v>1076</v>
      </c>
      <c r="X883" s="21">
        <v>2017</v>
      </c>
      <c r="Y883" s="9" t="s">
        <v>76</v>
      </c>
      <c r="Z883" s="9" t="s">
        <v>124</v>
      </c>
      <c r="AB883" s="50"/>
      <c r="AC883" s="9" t="s">
        <v>514</v>
      </c>
      <c r="AD883" s="50" t="s">
        <v>22</v>
      </c>
      <c r="AE883" s="50" t="s">
        <v>22</v>
      </c>
      <c r="AF883" s="50" t="s">
        <v>22</v>
      </c>
      <c r="AG883" s="50" t="s">
        <v>22</v>
      </c>
      <c r="AH883" s="50" t="s">
        <v>22</v>
      </c>
      <c r="AI883" s="50" t="s">
        <v>22</v>
      </c>
      <c r="AJ883" s="50" t="s">
        <v>22</v>
      </c>
      <c r="AK883" s="50" t="s">
        <v>22</v>
      </c>
      <c r="AL883" s="50" t="s">
        <v>22</v>
      </c>
      <c r="AM883" s="43" t="e">
        <f t="shared" si="460"/>
        <v>#VALUE!</v>
      </c>
      <c r="AN883" s="43" t="e">
        <f t="shared" si="461"/>
        <v>#VALUE!</v>
      </c>
      <c r="AO883" s="9" t="s">
        <v>1242</v>
      </c>
      <c r="AT883" s="2">
        <f t="shared" si="462"/>
        <v>8</v>
      </c>
      <c r="AU883" s="45" t="e">
        <f t="shared" si="463"/>
        <v>#VALUE!</v>
      </c>
      <c r="AV883" s="45">
        <f t="shared" si="464"/>
        <v>-0.35654732351381258</v>
      </c>
      <c r="AW883" s="45" t="e">
        <f t="shared" si="465"/>
        <v>#VALUE!</v>
      </c>
      <c r="AX883" s="45">
        <f t="shared" si="466"/>
        <v>1.8587777373054493</v>
      </c>
      <c r="AY883" s="45">
        <f t="shared" si="467"/>
        <v>-0.78467493918073805</v>
      </c>
      <c r="AZ883" s="45">
        <f t="shared" si="468"/>
        <v>0.49968708261840383</v>
      </c>
      <c r="BA883" s="45" t="e">
        <f t="shared" si="469"/>
        <v>#VALUE!</v>
      </c>
      <c r="BB883" s="45" t="e">
        <f t="shared" si="470"/>
        <v>#NUM!</v>
      </c>
      <c r="BC883" s="45" t="e">
        <f t="shared" si="471"/>
        <v>#VALUE!</v>
      </c>
      <c r="BD883" s="45" t="e">
        <f t="shared" si="472"/>
        <v>#VALUE!</v>
      </c>
      <c r="BE883" s="45" t="e">
        <f t="shared" si="473"/>
        <v>#VALUE!</v>
      </c>
      <c r="BF883" s="45" t="e">
        <f t="shared" si="474"/>
        <v>#VALUE!</v>
      </c>
      <c r="BG883" s="45" t="e">
        <f t="shared" si="475"/>
        <v>#VALUE!</v>
      </c>
      <c r="BH883" s="45" t="e">
        <f t="shared" si="476"/>
        <v>#NUM!</v>
      </c>
      <c r="BI883" s="43" t="e">
        <f t="shared" si="477"/>
        <v>#VALUE!</v>
      </c>
      <c r="BL883" s="20"/>
      <c r="BM883" s="50"/>
      <c r="BN883" s="50"/>
      <c r="BO883" s="50"/>
      <c r="BP883" s="50"/>
      <c r="BQ883" s="50"/>
      <c r="BR883" s="50"/>
      <c r="BU883" s="50"/>
      <c r="BV883" s="50"/>
      <c r="BW883" s="50"/>
      <c r="BX883" s="50"/>
      <c r="BY883" s="50"/>
      <c r="BZ883" s="50"/>
      <c r="CA883" s="50" t="s">
        <v>22</v>
      </c>
      <c r="CE883" s="50"/>
      <c r="CF883" s="50"/>
      <c r="CG883" s="50"/>
      <c r="CH883" s="50"/>
      <c r="CI883" s="50" t="str">
        <f t="shared" si="493"/>
        <v>Not Reported/ Can not calculate</v>
      </c>
      <c r="CJ883" s="50" t="e">
        <f t="shared" si="494"/>
        <v>#VALUE!</v>
      </c>
      <c r="CL883" s="9" t="s">
        <v>1269</v>
      </c>
      <c r="CM883" s="9" t="s">
        <v>1284</v>
      </c>
      <c r="CN883" s="55" t="s">
        <v>1284</v>
      </c>
      <c r="CO883" s="9" t="s">
        <v>1284</v>
      </c>
    </row>
    <row r="884" spans="1:93" s="9" customFormat="1" x14ac:dyDescent="0.25">
      <c r="A884" s="9" t="s">
        <v>141</v>
      </c>
      <c r="B884" s="50" t="s">
        <v>22</v>
      </c>
      <c r="C884" s="50">
        <v>0.37</v>
      </c>
      <c r="D884" s="50" t="s">
        <v>22</v>
      </c>
      <c r="E884" s="50" t="s">
        <v>22</v>
      </c>
      <c r="F884" s="9" t="s">
        <v>22</v>
      </c>
      <c r="G884" s="9" t="s">
        <v>22</v>
      </c>
      <c r="H884" s="9" t="s">
        <v>22</v>
      </c>
      <c r="I884" s="9" t="s">
        <v>22</v>
      </c>
      <c r="J884" s="50" t="s">
        <v>22</v>
      </c>
      <c r="K884" s="9" t="s">
        <v>22</v>
      </c>
      <c r="L884" s="50"/>
      <c r="M884" s="9" t="s">
        <v>45</v>
      </c>
      <c r="N884" s="50">
        <v>85.84</v>
      </c>
      <c r="O884" s="50">
        <f t="shared" si="492"/>
        <v>0.23200000000000001</v>
      </c>
      <c r="P884" s="50">
        <v>3.91</v>
      </c>
      <c r="Q884" s="50"/>
      <c r="R884" s="50" t="s">
        <v>22</v>
      </c>
      <c r="S884" s="50" t="s">
        <v>22</v>
      </c>
      <c r="T884" s="50" t="s">
        <v>22</v>
      </c>
      <c r="U884" s="50" t="s">
        <v>22</v>
      </c>
      <c r="V884" s="9">
        <v>20210320</v>
      </c>
      <c r="W884" s="21" t="s">
        <v>1076</v>
      </c>
      <c r="X884" s="21">
        <v>2017</v>
      </c>
      <c r="Y884" s="9" t="s">
        <v>76</v>
      </c>
      <c r="Z884" s="9" t="s">
        <v>124</v>
      </c>
      <c r="AB884" s="50"/>
      <c r="AC884" s="9" t="s">
        <v>514</v>
      </c>
      <c r="AD884" s="50" t="s">
        <v>22</v>
      </c>
      <c r="AE884" s="50" t="s">
        <v>22</v>
      </c>
      <c r="AF884" s="50" t="s">
        <v>22</v>
      </c>
      <c r="AG884" s="50" t="s">
        <v>22</v>
      </c>
      <c r="AH884" s="50" t="s">
        <v>22</v>
      </c>
      <c r="AI884" s="50" t="s">
        <v>22</v>
      </c>
      <c r="AJ884" s="50" t="s">
        <v>22</v>
      </c>
      <c r="AK884" s="50" t="s">
        <v>22</v>
      </c>
      <c r="AL884" s="50" t="s">
        <v>22</v>
      </c>
      <c r="AM884" s="43" t="e">
        <f t="shared" si="460"/>
        <v>#VALUE!</v>
      </c>
      <c r="AN884" s="43" t="e">
        <f t="shared" si="461"/>
        <v>#VALUE!</v>
      </c>
      <c r="AO884" s="9" t="s">
        <v>1242</v>
      </c>
      <c r="AT884" s="2">
        <f t="shared" si="462"/>
        <v>8</v>
      </c>
      <c r="AU884" s="45" t="e">
        <f t="shared" si="463"/>
        <v>#VALUE!</v>
      </c>
      <c r="AV884" s="45">
        <f t="shared" si="464"/>
        <v>-0.43179827593300502</v>
      </c>
      <c r="AW884" s="45" t="e">
        <f t="shared" si="465"/>
        <v>#VALUE!</v>
      </c>
      <c r="AX884" s="45">
        <f t="shared" si="466"/>
        <v>1.9336897089578946</v>
      </c>
      <c r="AY884" s="45">
        <f t="shared" si="467"/>
        <v>-0.63451201510910027</v>
      </c>
      <c r="AZ884" s="45">
        <f t="shared" si="468"/>
        <v>0.59217675739586684</v>
      </c>
      <c r="BA884" s="45" t="e">
        <f t="shared" si="469"/>
        <v>#VALUE!</v>
      </c>
      <c r="BB884" s="45" t="e">
        <f t="shared" si="470"/>
        <v>#NUM!</v>
      </c>
      <c r="BC884" s="45" t="e">
        <f t="shared" si="471"/>
        <v>#VALUE!</v>
      </c>
      <c r="BD884" s="45" t="e">
        <f t="shared" si="472"/>
        <v>#VALUE!</v>
      </c>
      <c r="BE884" s="45" t="e">
        <f t="shared" si="473"/>
        <v>#VALUE!</v>
      </c>
      <c r="BF884" s="45" t="e">
        <f t="shared" si="474"/>
        <v>#VALUE!</v>
      </c>
      <c r="BG884" s="45" t="e">
        <f t="shared" si="475"/>
        <v>#VALUE!</v>
      </c>
      <c r="BH884" s="45" t="e">
        <f t="shared" si="476"/>
        <v>#NUM!</v>
      </c>
      <c r="BI884" s="43" t="e">
        <f t="shared" si="477"/>
        <v>#VALUE!</v>
      </c>
      <c r="BL884" s="20"/>
      <c r="BM884" s="50"/>
      <c r="BN884" s="50"/>
      <c r="BO884" s="50"/>
      <c r="BP884" s="50"/>
      <c r="BQ884" s="50"/>
      <c r="BR884" s="50"/>
      <c r="BU884" s="50"/>
      <c r="BV884" s="50"/>
      <c r="BW884" s="50"/>
      <c r="BX884" s="50"/>
      <c r="BY884" s="50"/>
      <c r="BZ884" s="50"/>
      <c r="CA884" s="50" t="s">
        <v>22</v>
      </c>
      <c r="CE884" s="50"/>
      <c r="CF884" s="50"/>
      <c r="CG884" s="50"/>
      <c r="CH884" s="50"/>
      <c r="CI884" s="50" t="str">
        <f t="shared" si="493"/>
        <v>Not Reported/ Can not calculate</v>
      </c>
      <c r="CJ884" s="50" t="e">
        <f t="shared" si="494"/>
        <v>#VALUE!</v>
      </c>
      <c r="CL884" s="9" t="s">
        <v>1269</v>
      </c>
      <c r="CM884" s="9" t="s">
        <v>1284</v>
      </c>
      <c r="CN884" s="55" t="s">
        <v>1284</v>
      </c>
      <c r="CO884" s="9" t="s">
        <v>1284</v>
      </c>
    </row>
    <row r="885" spans="1:93" s="2" customFormat="1" x14ac:dyDescent="0.25">
      <c r="A885" s="9" t="s">
        <v>266</v>
      </c>
      <c r="B885" s="50">
        <v>0.66071428571428503</v>
      </c>
      <c r="C885" s="50">
        <v>0.54</v>
      </c>
      <c r="D885" s="50">
        <f>0.001*(B885*10^6)/(C885*0.001*100^3)</f>
        <v>1.2235449735449722</v>
      </c>
      <c r="E885" s="50" t="s">
        <v>22</v>
      </c>
      <c r="F885" s="9">
        <v>26.96</v>
      </c>
      <c r="G885" s="9" t="s">
        <v>52</v>
      </c>
      <c r="H885" s="9" t="s">
        <v>22</v>
      </c>
      <c r="I885" s="9" t="s">
        <v>22</v>
      </c>
      <c r="J885" s="50" t="s">
        <v>22</v>
      </c>
      <c r="K885" s="9" t="s">
        <v>22</v>
      </c>
      <c r="L885" s="50" t="e">
        <f t="shared" ref="L885:L899" si="495">IF((10^-12)*J885*K885^4=0,"",(10^-12)*J885*K885^4)</f>
        <v>#VALUE!</v>
      </c>
      <c r="M885" s="9" t="s">
        <v>45</v>
      </c>
      <c r="N885" s="50">
        <v>164</v>
      </c>
      <c r="O885" s="50">
        <v>0.31</v>
      </c>
      <c r="P885" s="50">
        <v>9.68</v>
      </c>
      <c r="Q885" s="50"/>
      <c r="R885" s="50">
        <f>N885*B885</f>
        <v>108.35714285714275</v>
      </c>
      <c r="S885" s="50">
        <f>O885*D885</f>
        <v>0.37929894179894136</v>
      </c>
      <c r="T885" s="50">
        <v>1.8</v>
      </c>
      <c r="U885" s="50">
        <v>1.8</v>
      </c>
      <c r="V885" s="9">
        <v>20200716</v>
      </c>
      <c r="W885" s="21"/>
      <c r="X885" s="21">
        <v>2017</v>
      </c>
      <c r="Y885" s="9" t="s">
        <v>143</v>
      </c>
      <c r="Z885" s="9" t="s">
        <v>32</v>
      </c>
      <c r="AA885" s="9"/>
      <c r="AB885" s="50"/>
      <c r="AC885" s="9" t="s">
        <v>514</v>
      </c>
      <c r="AD885" s="50" t="s">
        <v>22</v>
      </c>
      <c r="AE885" s="50" t="s">
        <v>22</v>
      </c>
      <c r="AF885" s="50" t="s">
        <v>22</v>
      </c>
      <c r="AG885" s="50" t="s">
        <v>22</v>
      </c>
      <c r="AH885" s="50" t="s">
        <v>22</v>
      </c>
      <c r="AI885" s="50" t="s">
        <v>22</v>
      </c>
      <c r="AJ885" s="50" t="s">
        <v>22</v>
      </c>
      <c r="AK885" s="50" t="s">
        <v>22</v>
      </c>
      <c r="AL885" s="50" t="s">
        <v>22</v>
      </c>
      <c r="AM885" s="43" t="e">
        <f t="shared" si="460"/>
        <v>#VALUE!</v>
      </c>
      <c r="AN885" s="43" t="e">
        <f t="shared" si="461"/>
        <v>#VALUE!</v>
      </c>
      <c r="AO885" s="21" t="s">
        <v>1070</v>
      </c>
      <c r="AP885" s="9"/>
      <c r="AQ885" s="9"/>
      <c r="AR885" s="9"/>
      <c r="AS885" s="9"/>
      <c r="AT885" s="2">
        <f t="shared" si="462"/>
        <v>4</v>
      </c>
      <c r="AU885" s="45">
        <f t="shared" si="463"/>
        <v>-0.17998630293920587</v>
      </c>
      <c r="AV885" s="45">
        <f t="shared" si="464"/>
        <v>-0.26760624017703144</v>
      </c>
      <c r="AW885" s="45">
        <f t="shared" si="465"/>
        <v>8.7619937237825588E-2</v>
      </c>
      <c r="AX885" s="45">
        <f t="shared" si="466"/>
        <v>2.214843848047698</v>
      </c>
      <c r="AY885" s="45">
        <f t="shared" si="467"/>
        <v>-0.50863830616572736</v>
      </c>
      <c r="AZ885" s="45">
        <f t="shared" si="468"/>
        <v>0.98587535730839371</v>
      </c>
      <c r="BA885" s="45" t="e">
        <f t="shared" si="469"/>
        <v>#VALUE!</v>
      </c>
      <c r="BB885" s="45" t="e">
        <f t="shared" si="470"/>
        <v>#VALUE!</v>
      </c>
      <c r="BC885" s="45">
        <f t="shared" si="471"/>
        <v>0.25527250510330607</v>
      </c>
      <c r="BD885" s="45" t="e">
        <f t="shared" si="472"/>
        <v>#VALUE!</v>
      </c>
      <c r="BE885" s="45" t="e">
        <f t="shared" si="473"/>
        <v>#VALUE!</v>
      </c>
      <c r="BF885" s="45" t="e">
        <f t="shared" si="474"/>
        <v>#VALUE!</v>
      </c>
      <c r="BG885" s="45" t="e">
        <f t="shared" si="475"/>
        <v>#VALUE!</v>
      </c>
      <c r="BH885" s="45" t="e">
        <f t="shared" si="476"/>
        <v>#NUM!</v>
      </c>
      <c r="BI885" s="43" t="e">
        <f t="shared" si="477"/>
        <v>#VALUE!</v>
      </c>
      <c r="BJ885" s="9"/>
      <c r="BK885" s="9"/>
      <c r="BL885" s="20"/>
      <c r="BM885" s="50"/>
      <c r="BN885" s="50"/>
      <c r="BO885" s="50"/>
      <c r="BP885" s="50"/>
      <c r="BQ885" s="50"/>
      <c r="BR885" s="50"/>
      <c r="BS885" s="9"/>
      <c r="BT885" s="9"/>
      <c r="BU885" s="50"/>
      <c r="BV885" s="50"/>
      <c r="BW885" s="50"/>
      <c r="BX885" s="50"/>
      <c r="BY885" s="50"/>
      <c r="BZ885" s="50"/>
      <c r="CA885" s="50" t="s">
        <v>22</v>
      </c>
      <c r="CB885" s="9"/>
      <c r="CC885" s="9"/>
      <c r="CD885" s="9"/>
      <c r="CE885" s="50"/>
      <c r="CF885" s="50"/>
      <c r="CG885" s="50"/>
      <c r="CH885" s="50"/>
      <c r="CI885" s="50">
        <f t="shared" si="493"/>
        <v>1.8</v>
      </c>
      <c r="CJ885" s="50">
        <f t="shared" si="494"/>
        <v>0.25527250510330607</v>
      </c>
      <c r="CK885" s="9"/>
      <c r="CL885" s="9" t="s">
        <v>1269</v>
      </c>
      <c r="CM885" s="9" t="s">
        <v>1285</v>
      </c>
      <c r="CN885" s="55" t="s">
        <v>1284</v>
      </c>
      <c r="CO885" s="9" t="s">
        <v>1284</v>
      </c>
    </row>
    <row r="886" spans="1:93" s="2" customFormat="1" x14ac:dyDescent="0.25">
      <c r="A886" s="9" t="s">
        <v>266</v>
      </c>
      <c r="B886" s="50">
        <v>1.1096938775510199</v>
      </c>
      <c r="C886" s="50">
        <v>0.82</v>
      </c>
      <c r="D886" s="50">
        <f>0.001*(B886*10^6)/(C886*0.001*100^3)</f>
        <v>1.3532852165256342</v>
      </c>
      <c r="E886" s="50" t="s">
        <v>22</v>
      </c>
      <c r="F886" s="9">
        <v>18.82</v>
      </c>
      <c r="G886" s="9" t="s">
        <v>52</v>
      </c>
      <c r="H886" s="9" t="s">
        <v>22</v>
      </c>
      <c r="I886" s="9" t="s">
        <v>22</v>
      </c>
      <c r="J886" s="50" t="s">
        <v>22</v>
      </c>
      <c r="K886" s="9" t="s">
        <v>22</v>
      </c>
      <c r="L886" s="50" t="e">
        <f t="shared" si="495"/>
        <v>#VALUE!</v>
      </c>
      <c r="M886" s="9" t="s">
        <v>45</v>
      </c>
      <c r="N886" s="50">
        <v>275</v>
      </c>
      <c r="O886" s="50">
        <v>0.34</v>
      </c>
      <c r="P886" s="50">
        <v>11.7</v>
      </c>
      <c r="Q886" s="50"/>
      <c r="R886" s="50">
        <f>N886*B886</f>
        <v>305.16581632653049</v>
      </c>
      <c r="S886" s="50">
        <f>O886*D886</f>
        <v>0.46011697361871567</v>
      </c>
      <c r="T886" s="50">
        <v>1.8</v>
      </c>
      <c r="U886" s="50">
        <v>1.8</v>
      </c>
      <c r="V886" s="9">
        <v>20200716</v>
      </c>
      <c r="W886" s="21"/>
      <c r="X886" s="21">
        <v>2017</v>
      </c>
      <c r="Y886" s="9" t="s">
        <v>143</v>
      </c>
      <c r="Z886" s="9" t="s">
        <v>32</v>
      </c>
      <c r="AA886" s="9"/>
      <c r="AB886" s="50"/>
      <c r="AC886" s="9" t="s">
        <v>514</v>
      </c>
      <c r="AD886" s="50" t="s">
        <v>22</v>
      </c>
      <c r="AE886" s="50" t="s">
        <v>22</v>
      </c>
      <c r="AF886" s="50" t="s">
        <v>22</v>
      </c>
      <c r="AG886" s="50" t="s">
        <v>22</v>
      </c>
      <c r="AH886" s="50" t="s">
        <v>22</v>
      </c>
      <c r="AI886" s="50" t="s">
        <v>22</v>
      </c>
      <c r="AJ886" s="50" t="s">
        <v>22</v>
      </c>
      <c r="AK886" s="50" t="s">
        <v>22</v>
      </c>
      <c r="AL886" s="50" t="s">
        <v>22</v>
      </c>
      <c r="AM886" s="43" t="e">
        <f t="shared" si="460"/>
        <v>#VALUE!</v>
      </c>
      <c r="AN886" s="43" t="e">
        <f t="shared" si="461"/>
        <v>#VALUE!</v>
      </c>
      <c r="AO886" s="21" t="s">
        <v>1070</v>
      </c>
      <c r="AP886" s="9"/>
      <c r="AQ886" s="9"/>
      <c r="AR886" s="9"/>
      <c r="AS886" s="9"/>
      <c r="AT886" s="2">
        <f t="shared" si="462"/>
        <v>4</v>
      </c>
      <c r="AU886" s="45">
        <f t="shared" si="463"/>
        <v>4.5203189934179877E-2</v>
      </c>
      <c r="AV886" s="45">
        <f t="shared" si="464"/>
        <v>-8.6186147616283335E-2</v>
      </c>
      <c r="AW886" s="45">
        <f t="shared" si="465"/>
        <v>0.13138933755046323</v>
      </c>
      <c r="AX886" s="45">
        <f t="shared" si="466"/>
        <v>2.4393326938302629</v>
      </c>
      <c r="AY886" s="45">
        <f t="shared" si="467"/>
        <v>-0.46852108295774486</v>
      </c>
      <c r="AZ886" s="45">
        <f t="shared" si="468"/>
        <v>1.0681858617461617</v>
      </c>
      <c r="BA886" s="45" t="e">
        <f t="shared" si="469"/>
        <v>#VALUE!</v>
      </c>
      <c r="BB886" s="45" t="e">
        <f t="shared" si="470"/>
        <v>#VALUE!</v>
      </c>
      <c r="BC886" s="45">
        <f t="shared" si="471"/>
        <v>0.25527250510330607</v>
      </c>
      <c r="BD886" s="45" t="e">
        <f t="shared" si="472"/>
        <v>#VALUE!</v>
      </c>
      <c r="BE886" s="45" t="e">
        <f t="shared" si="473"/>
        <v>#VALUE!</v>
      </c>
      <c r="BF886" s="45" t="e">
        <f t="shared" si="474"/>
        <v>#VALUE!</v>
      </c>
      <c r="BG886" s="45" t="e">
        <f t="shared" si="475"/>
        <v>#VALUE!</v>
      </c>
      <c r="BH886" s="45" t="e">
        <f t="shared" si="476"/>
        <v>#NUM!</v>
      </c>
      <c r="BI886" s="43" t="e">
        <f t="shared" si="477"/>
        <v>#VALUE!</v>
      </c>
      <c r="BJ886" s="9"/>
      <c r="BK886" s="9"/>
      <c r="BL886" s="20"/>
      <c r="BM886" s="50"/>
      <c r="BN886" s="50"/>
      <c r="BO886" s="50"/>
      <c r="BP886" s="50"/>
      <c r="BQ886" s="50"/>
      <c r="BR886" s="50"/>
      <c r="BS886" s="9"/>
      <c r="BT886" s="9"/>
      <c r="BU886" s="50"/>
      <c r="BV886" s="50"/>
      <c r="BW886" s="50"/>
      <c r="BX886" s="50"/>
      <c r="BY886" s="50"/>
      <c r="BZ886" s="50"/>
      <c r="CA886" s="50" t="s">
        <v>22</v>
      </c>
      <c r="CB886" s="9"/>
      <c r="CC886" s="9"/>
      <c r="CD886" s="9"/>
      <c r="CE886" s="50"/>
      <c r="CF886" s="50"/>
      <c r="CG886" s="50"/>
      <c r="CH886" s="50"/>
      <c r="CI886" s="50">
        <f t="shared" si="493"/>
        <v>1.8</v>
      </c>
      <c r="CJ886" s="50">
        <f t="shared" si="494"/>
        <v>0.25527250510330607</v>
      </c>
      <c r="CK886" s="9"/>
      <c r="CL886" s="9" t="s">
        <v>1269</v>
      </c>
      <c r="CM886" s="9" t="s">
        <v>1285</v>
      </c>
      <c r="CN886" s="55" t="s">
        <v>1284</v>
      </c>
      <c r="CO886" s="9" t="s">
        <v>1284</v>
      </c>
    </row>
    <row r="887" spans="1:93" s="2" customFormat="1" x14ac:dyDescent="0.25">
      <c r="A887" s="9" t="s">
        <v>266</v>
      </c>
      <c r="B887" s="50">
        <v>0.96428571428571397</v>
      </c>
      <c r="C887" s="50">
        <v>0.52</v>
      </c>
      <c r="D887" s="50">
        <f>0.001*(B887*10^6)/(C887*0.001*100^3)</f>
        <v>1.8543956043956034</v>
      </c>
      <c r="E887" s="50" t="s">
        <v>22</v>
      </c>
      <c r="F887" s="9">
        <v>22.76</v>
      </c>
      <c r="G887" s="9" t="s">
        <v>52</v>
      </c>
      <c r="H887" s="9" t="s">
        <v>22</v>
      </c>
      <c r="I887" s="9" t="s">
        <v>22</v>
      </c>
      <c r="J887" s="50" t="s">
        <v>22</v>
      </c>
      <c r="K887" s="9" t="s">
        <v>22</v>
      </c>
      <c r="L887" s="50" t="e">
        <f t="shared" si="495"/>
        <v>#VALUE!</v>
      </c>
      <c r="M887" s="9" t="s">
        <v>45</v>
      </c>
      <c r="N887" s="50">
        <v>228</v>
      </c>
      <c r="O887" s="50">
        <v>0.45</v>
      </c>
      <c r="P887" s="50">
        <v>18.059999999999999</v>
      </c>
      <c r="Q887" s="50"/>
      <c r="R887" s="50">
        <f>N887*B887</f>
        <v>219.85714285714278</v>
      </c>
      <c r="S887" s="50">
        <f>O887*D887</f>
        <v>0.83447802197802157</v>
      </c>
      <c r="T887" s="50">
        <v>1.8</v>
      </c>
      <c r="U887" s="50">
        <v>1.8</v>
      </c>
      <c r="V887" s="9">
        <v>20200716</v>
      </c>
      <c r="W887" s="21"/>
      <c r="X887" s="21">
        <v>2017</v>
      </c>
      <c r="Y887" s="9" t="s">
        <v>143</v>
      </c>
      <c r="Z887" s="9" t="s">
        <v>32</v>
      </c>
      <c r="AA887" s="9"/>
      <c r="AB887" s="50"/>
      <c r="AC887" s="9" t="s">
        <v>514</v>
      </c>
      <c r="AD887" s="50" t="s">
        <v>22</v>
      </c>
      <c r="AE887" s="50" t="s">
        <v>22</v>
      </c>
      <c r="AF887" s="50" t="s">
        <v>22</v>
      </c>
      <c r="AG887" s="50" t="s">
        <v>22</v>
      </c>
      <c r="AH887" s="50" t="s">
        <v>22</v>
      </c>
      <c r="AI887" s="50" t="s">
        <v>22</v>
      </c>
      <c r="AJ887" s="50" t="s">
        <v>22</v>
      </c>
      <c r="AK887" s="50" t="s">
        <v>22</v>
      </c>
      <c r="AL887" s="50" t="s">
        <v>22</v>
      </c>
      <c r="AM887" s="43" t="e">
        <f t="shared" si="460"/>
        <v>#VALUE!</v>
      </c>
      <c r="AN887" s="43" t="e">
        <f t="shared" si="461"/>
        <v>#VALUE!</v>
      </c>
      <c r="AO887" s="21" t="s">
        <v>1070</v>
      </c>
      <c r="AP887" s="9"/>
      <c r="AQ887" s="9"/>
      <c r="AR887" s="9"/>
      <c r="AS887" s="9"/>
      <c r="AT887" s="2">
        <f t="shared" si="462"/>
        <v>4</v>
      </c>
      <c r="AU887" s="45">
        <f t="shared" si="463"/>
        <v>-1.5794267183232052E-2</v>
      </c>
      <c r="AV887" s="45">
        <f t="shared" si="464"/>
        <v>-0.28399665636520083</v>
      </c>
      <c r="AW887" s="45">
        <f t="shared" si="465"/>
        <v>0.2682023891819687</v>
      </c>
      <c r="AX887" s="45">
        <f t="shared" si="466"/>
        <v>2.357934847000454</v>
      </c>
      <c r="AY887" s="45">
        <f t="shared" si="467"/>
        <v>-0.34678748622465633</v>
      </c>
      <c r="AZ887" s="45">
        <f t="shared" si="468"/>
        <v>1.256717745977487</v>
      </c>
      <c r="BA887" s="45" t="e">
        <f t="shared" si="469"/>
        <v>#VALUE!</v>
      </c>
      <c r="BB887" s="45" t="e">
        <f t="shared" si="470"/>
        <v>#VALUE!</v>
      </c>
      <c r="BC887" s="45">
        <f t="shared" si="471"/>
        <v>0.25527250510330607</v>
      </c>
      <c r="BD887" s="45" t="e">
        <f t="shared" si="472"/>
        <v>#VALUE!</v>
      </c>
      <c r="BE887" s="45" t="e">
        <f t="shared" si="473"/>
        <v>#VALUE!</v>
      </c>
      <c r="BF887" s="45" t="e">
        <f t="shared" si="474"/>
        <v>#VALUE!</v>
      </c>
      <c r="BG887" s="45" t="e">
        <f t="shared" si="475"/>
        <v>#VALUE!</v>
      </c>
      <c r="BH887" s="45" t="e">
        <f t="shared" si="476"/>
        <v>#NUM!</v>
      </c>
      <c r="BI887" s="43" t="e">
        <f t="shared" si="477"/>
        <v>#VALUE!</v>
      </c>
      <c r="BJ887" s="9"/>
      <c r="BK887" s="9"/>
      <c r="BL887" s="20"/>
      <c r="BM887" s="50"/>
      <c r="BN887" s="50"/>
      <c r="BO887" s="50"/>
      <c r="BP887" s="50"/>
      <c r="BQ887" s="50"/>
      <c r="BR887" s="50"/>
      <c r="BS887" s="9"/>
      <c r="BT887" s="9"/>
      <c r="BU887" s="50"/>
      <c r="BV887" s="50"/>
      <c r="BW887" s="50"/>
      <c r="BX887" s="50"/>
      <c r="BY887" s="50"/>
      <c r="BZ887" s="50"/>
      <c r="CA887" s="50" t="s">
        <v>22</v>
      </c>
      <c r="CB887" s="9"/>
      <c r="CC887" s="9"/>
      <c r="CD887" s="9"/>
      <c r="CE887" s="50"/>
      <c r="CF887" s="50"/>
      <c r="CG887" s="50"/>
      <c r="CH887" s="50"/>
      <c r="CI887" s="50">
        <f t="shared" si="493"/>
        <v>1.8</v>
      </c>
      <c r="CJ887" s="50">
        <f t="shared" si="494"/>
        <v>0.25527250510330607</v>
      </c>
      <c r="CK887" s="9"/>
      <c r="CL887" s="9" t="s">
        <v>1269</v>
      </c>
      <c r="CM887" s="9" t="s">
        <v>1285</v>
      </c>
      <c r="CN887" s="55" t="s">
        <v>1284</v>
      </c>
      <c r="CO887" s="9" t="s">
        <v>1284</v>
      </c>
    </row>
    <row r="888" spans="1:93" s="9" customFormat="1" x14ac:dyDescent="0.25">
      <c r="A888" s="9" t="s">
        <v>266</v>
      </c>
      <c r="B888" s="50">
        <v>0.82397959183673397</v>
      </c>
      <c r="C888" s="50">
        <v>0.55000000000000004</v>
      </c>
      <c r="D888" s="50">
        <f>0.001*(B888*10^6)/(C888*0.001*100^3)</f>
        <v>1.4981447124304255</v>
      </c>
      <c r="E888" s="50" t="s">
        <v>22</v>
      </c>
      <c r="F888" s="9">
        <v>15.87</v>
      </c>
      <c r="G888" s="9" t="s">
        <v>52</v>
      </c>
      <c r="H888" s="9" t="s">
        <v>22</v>
      </c>
      <c r="I888" s="9" t="s">
        <v>22</v>
      </c>
      <c r="J888" s="50" t="s">
        <v>22</v>
      </c>
      <c r="K888" s="9" t="s">
        <v>22</v>
      </c>
      <c r="L888" s="50" t="e">
        <f t="shared" si="495"/>
        <v>#VALUE!</v>
      </c>
      <c r="M888" s="9" t="s">
        <v>45</v>
      </c>
      <c r="N888" s="50">
        <v>103</v>
      </c>
      <c r="O888" s="50">
        <v>0.2</v>
      </c>
      <c r="P888" s="50">
        <v>9.8000000000000007</v>
      </c>
      <c r="Q888" s="50"/>
      <c r="R888" s="50">
        <f>N888*B888</f>
        <v>84.869897959183604</v>
      </c>
      <c r="S888" s="50">
        <f>O888*D888</f>
        <v>0.29962894248608513</v>
      </c>
      <c r="T888" s="50">
        <v>1.8</v>
      </c>
      <c r="U888" s="50">
        <v>1.8</v>
      </c>
      <c r="V888" s="9">
        <v>20200716</v>
      </c>
      <c r="W888" s="21"/>
      <c r="X888" s="21">
        <v>2017</v>
      </c>
      <c r="Y888" s="9" t="s">
        <v>143</v>
      </c>
      <c r="Z888" s="9" t="s">
        <v>32</v>
      </c>
      <c r="AB888" s="50"/>
      <c r="AC888" s="9" t="s">
        <v>514</v>
      </c>
      <c r="AD888" s="50" t="s">
        <v>22</v>
      </c>
      <c r="AE888" s="50" t="s">
        <v>22</v>
      </c>
      <c r="AF888" s="50" t="s">
        <v>22</v>
      </c>
      <c r="AG888" s="50" t="s">
        <v>22</v>
      </c>
      <c r="AH888" s="50" t="s">
        <v>22</v>
      </c>
      <c r="AI888" s="50" t="s">
        <v>22</v>
      </c>
      <c r="AJ888" s="50" t="s">
        <v>22</v>
      </c>
      <c r="AK888" s="50" t="s">
        <v>22</v>
      </c>
      <c r="AL888" s="50" t="s">
        <v>22</v>
      </c>
      <c r="AM888" s="43" t="e">
        <f t="shared" si="460"/>
        <v>#VALUE!</v>
      </c>
      <c r="AN888" s="43" t="e">
        <f t="shared" si="461"/>
        <v>#VALUE!</v>
      </c>
      <c r="AO888" s="21" t="s">
        <v>1070</v>
      </c>
      <c r="AT888" s="2">
        <f t="shared" si="462"/>
        <v>4</v>
      </c>
      <c r="AU888" s="45">
        <f t="shared" si="463"/>
        <v>-8.4083544689354736E-2</v>
      </c>
      <c r="AV888" s="45">
        <f t="shared" si="464"/>
        <v>-0.25963731050575611</v>
      </c>
      <c r="AW888" s="45">
        <f t="shared" si="465"/>
        <v>0.17555376581640145</v>
      </c>
      <c r="AX888" s="45">
        <f t="shared" si="466"/>
        <v>2.012837224705172</v>
      </c>
      <c r="AY888" s="45">
        <f t="shared" si="467"/>
        <v>-0.69897000433601875</v>
      </c>
      <c r="AZ888" s="45">
        <f t="shared" si="468"/>
        <v>0.99122607569249488</v>
      </c>
      <c r="BA888" s="45" t="e">
        <f t="shared" si="469"/>
        <v>#VALUE!</v>
      </c>
      <c r="BB888" s="45" t="e">
        <f t="shared" si="470"/>
        <v>#VALUE!</v>
      </c>
      <c r="BC888" s="45">
        <f t="shared" si="471"/>
        <v>0.25527250510330607</v>
      </c>
      <c r="BD888" s="45" t="e">
        <f t="shared" si="472"/>
        <v>#VALUE!</v>
      </c>
      <c r="BE888" s="45" t="e">
        <f t="shared" si="473"/>
        <v>#VALUE!</v>
      </c>
      <c r="BF888" s="45" t="e">
        <f t="shared" si="474"/>
        <v>#VALUE!</v>
      </c>
      <c r="BG888" s="45" t="e">
        <f t="shared" si="475"/>
        <v>#VALUE!</v>
      </c>
      <c r="BH888" s="45" t="e">
        <f t="shared" si="476"/>
        <v>#NUM!</v>
      </c>
      <c r="BI888" s="43" t="e">
        <f t="shared" si="477"/>
        <v>#VALUE!</v>
      </c>
      <c r="BL888" s="20"/>
      <c r="BM888" s="50"/>
      <c r="BN888" s="50"/>
      <c r="BO888" s="50"/>
      <c r="BP888" s="50"/>
      <c r="BQ888" s="50"/>
      <c r="BR888" s="50"/>
      <c r="BU888" s="50"/>
      <c r="BV888" s="50"/>
      <c r="BW888" s="50"/>
      <c r="BX888" s="50"/>
      <c r="BY888" s="50"/>
      <c r="BZ888" s="50"/>
      <c r="CA888" s="50" t="s">
        <v>22</v>
      </c>
      <c r="CE888" s="50"/>
      <c r="CF888" s="50"/>
      <c r="CG888" s="50"/>
      <c r="CH888" s="50"/>
      <c r="CI888" s="50">
        <f t="shared" si="493"/>
        <v>1.8</v>
      </c>
      <c r="CJ888" s="50">
        <f t="shared" si="494"/>
        <v>0.25527250510330607</v>
      </c>
      <c r="CL888" s="9" t="s">
        <v>1269</v>
      </c>
      <c r="CM888" s="9" t="s">
        <v>1285</v>
      </c>
      <c r="CN888" s="55" t="s">
        <v>1284</v>
      </c>
      <c r="CO888" s="9" t="s">
        <v>1284</v>
      </c>
    </row>
    <row r="889" spans="1:93" s="9" customFormat="1" x14ac:dyDescent="0.25">
      <c r="A889" s="9" t="s">
        <v>266</v>
      </c>
      <c r="B889" s="50" t="s">
        <v>22</v>
      </c>
      <c r="C889" s="50">
        <v>0.8</v>
      </c>
      <c r="D889" s="50" t="s">
        <v>22</v>
      </c>
      <c r="E889" s="50" t="s">
        <v>22</v>
      </c>
      <c r="F889" s="9" t="s">
        <v>22</v>
      </c>
      <c r="G889" s="9" t="s">
        <v>22</v>
      </c>
      <c r="H889" s="9" t="s">
        <v>22</v>
      </c>
      <c r="I889" s="9" t="s">
        <v>22</v>
      </c>
      <c r="J889" s="50" t="s">
        <v>22</v>
      </c>
      <c r="K889" s="9" t="s">
        <v>22</v>
      </c>
      <c r="L889" s="50" t="e">
        <f t="shared" si="495"/>
        <v>#VALUE!</v>
      </c>
      <c r="M889" s="9" t="s">
        <v>23</v>
      </c>
      <c r="N889" s="43">
        <v>2720</v>
      </c>
      <c r="O889" s="50">
        <v>3.4</v>
      </c>
      <c r="P889" s="50">
        <v>96.5</v>
      </c>
      <c r="Q889" s="50"/>
      <c r="R889" s="50" t="s">
        <v>22</v>
      </c>
      <c r="S889" s="50" t="s">
        <v>22</v>
      </c>
      <c r="T889" s="50" t="s">
        <v>22</v>
      </c>
      <c r="U889" s="50" t="s">
        <v>22</v>
      </c>
      <c r="V889" s="9">
        <v>20200508</v>
      </c>
      <c r="W889" s="21" t="s">
        <v>120</v>
      </c>
      <c r="X889" s="9">
        <v>2018</v>
      </c>
      <c r="Y889" s="9" t="s">
        <v>26</v>
      </c>
      <c r="AB889" s="50"/>
      <c r="AC889" s="9" t="s">
        <v>514</v>
      </c>
      <c r="AD889" s="50" t="s">
        <v>22</v>
      </c>
      <c r="AE889" s="50">
        <v>1581</v>
      </c>
      <c r="AF889" s="50" t="s">
        <v>22</v>
      </c>
      <c r="AG889" s="50" t="s">
        <v>22</v>
      </c>
      <c r="AH889" s="50" t="s">
        <v>22</v>
      </c>
      <c r="AI889" s="50" t="s">
        <v>22</v>
      </c>
      <c r="AJ889" s="50" t="s">
        <v>22</v>
      </c>
      <c r="AK889" s="50" t="s">
        <v>22</v>
      </c>
      <c r="AL889" s="50" t="s">
        <v>22</v>
      </c>
      <c r="AM889" s="43" t="e">
        <f t="shared" si="460"/>
        <v>#VALUE!</v>
      </c>
      <c r="AN889" s="43" t="e">
        <f t="shared" si="461"/>
        <v>#VALUE!</v>
      </c>
      <c r="AO889" s="57" t="s">
        <v>1197</v>
      </c>
      <c r="AT889" s="2">
        <f t="shared" si="462"/>
        <v>2</v>
      </c>
      <c r="AU889" s="45" t="e">
        <f t="shared" si="463"/>
        <v>#VALUE!</v>
      </c>
      <c r="AV889" s="45">
        <f t="shared" si="464"/>
        <v>-9.6910013008056392E-2</v>
      </c>
      <c r="AW889" s="45" t="e">
        <f t="shared" si="465"/>
        <v>#VALUE!</v>
      </c>
      <c r="AX889" s="45">
        <f t="shared" si="466"/>
        <v>3.4345689040341987</v>
      </c>
      <c r="AY889" s="45">
        <f t="shared" si="467"/>
        <v>0.53147891704225514</v>
      </c>
      <c r="AZ889" s="45">
        <f t="shared" si="468"/>
        <v>1.9845273133437926</v>
      </c>
      <c r="BA889" s="45" t="e">
        <f t="shared" si="469"/>
        <v>#VALUE!</v>
      </c>
      <c r="BB889" s="45" t="e">
        <f t="shared" si="470"/>
        <v>#VALUE!</v>
      </c>
      <c r="BC889" s="45" t="e">
        <f t="shared" si="471"/>
        <v>#VALUE!</v>
      </c>
      <c r="BD889" s="45" t="e">
        <f t="shared" si="472"/>
        <v>#VALUE!</v>
      </c>
      <c r="BE889" s="45" t="e">
        <f t="shared" si="473"/>
        <v>#VALUE!</v>
      </c>
      <c r="BF889" s="45" t="e">
        <f t="shared" si="474"/>
        <v>#VALUE!</v>
      </c>
      <c r="BG889" s="45" t="e">
        <f t="shared" si="475"/>
        <v>#VALUE!</v>
      </c>
      <c r="BH889" s="45" t="e">
        <f t="shared" si="476"/>
        <v>#NUM!</v>
      </c>
      <c r="BI889" s="43" t="e">
        <f t="shared" si="477"/>
        <v>#VALUE!</v>
      </c>
      <c r="BL889" s="20"/>
      <c r="BM889" s="50"/>
      <c r="BN889" s="50"/>
      <c r="BO889" s="50"/>
      <c r="BP889" s="50"/>
      <c r="BQ889" s="50"/>
      <c r="BR889" s="50"/>
      <c r="BU889" s="50"/>
      <c r="BV889" s="50"/>
      <c r="BW889" s="50"/>
      <c r="BX889" s="50"/>
      <c r="BY889" s="50"/>
      <c r="BZ889" s="50"/>
      <c r="CA889" s="50" t="s">
        <v>22</v>
      </c>
      <c r="CC889" s="9" t="s">
        <v>22</v>
      </c>
      <c r="CE889" s="50" t="s">
        <v>22</v>
      </c>
      <c r="CF889" s="50" t="s">
        <v>22</v>
      </c>
      <c r="CG889" s="50" t="e">
        <f t="shared" ref="CG889:CG920" si="496">AD889*1000</f>
        <v>#VALUE!</v>
      </c>
      <c r="CH889" s="50" t="e">
        <f t="shared" ref="CH889:CH920" si="497">LOG10(CG889)</f>
        <v>#VALUE!</v>
      </c>
      <c r="CI889" s="50" t="str">
        <f t="shared" ref="CI889:CI920" si="498">IF(ISNUMBER(CG889),CG889,U889)</f>
        <v>Not Reported/ Can not calculate</v>
      </c>
      <c r="CJ889" s="50" t="e">
        <f t="shared" ref="CJ889:CJ920" si="499">LOG10(CI889)</f>
        <v>#VALUE!</v>
      </c>
      <c r="CL889" s="9" t="s">
        <v>1269</v>
      </c>
      <c r="CM889" s="9" t="s">
        <v>1284</v>
      </c>
      <c r="CN889" s="55" t="s">
        <v>1284</v>
      </c>
      <c r="CO889" s="9" t="s">
        <v>1284</v>
      </c>
    </row>
    <row r="890" spans="1:93" s="9" customFormat="1" x14ac:dyDescent="0.25">
      <c r="A890" s="9" t="s">
        <v>266</v>
      </c>
      <c r="B890" s="50" t="s">
        <v>22</v>
      </c>
      <c r="C890" s="50">
        <v>0.78</v>
      </c>
      <c r="D890" s="50" t="s">
        <v>22</v>
      </c>
      <c r="E890" s="50" t="s">
        <v>22</v>
      </c>
      <c r="F890" s="9" t="s">
        <v>22</v>
      </c>
      <c r="G890" s="9" t="s">
        <v>22</v>
      </c>
      <c r="H890" s="9" t="s">
        <v>22</v>
      </c>
      <c r="I890" s="9" t="s">
        <v>22</v>
      </c>
      <c r="J890" s="50" t="s">
        <v>22</v>
      </c>
      <c r="K890" s="9" t="s">
        <v>22</v>
      </c>
      <c r="L890" s="50" t="e">
        <f t="shared" si="495"/>
        <v>#VALUE!</v>
      </c>
      <c r="M890" s="9" t="s">
        <v>23</v>
      </c>
      <c r="N890" s="43">
        <v>1890</v>
      </c>
      <c r="O890" s="50">
        <v>2.4300000000000002</v>
      </c>
      <c r="P890" s="50">
        <v>58</v>
      </c>
      <c r="Q890" s="50"/>
      <c r="R890" s="50" t="s">
        <v>22</v>
      </c>
      <c r="S890" s="50" t="s">
        <v>22</v>
      </c>
      <c r="T890" s="50" t="s">
        <v>22</v>
      </c>
      <c r="U890" s="50" t="s">
        <v>22</v>
      </c>
      <c r="V890" s="9">
        <v>20200508</v>
      </c>
      <c r="W890" s="21" t="s">
        <v>121</v>
      </c>
      <c r="X890" s="9">
        <v>2018</v>
      </c>
      <c r="Y890" s="9" t="s">
        <v>26</v>
      </c>
      <c r="AB890" s="50"/>
      <c r="AC890" s="9" t="s">
        <v>514</v>
      </c>
      <c r="AD890" s="50">
        <v>21.6</v>
      </c>
      <c r="AE890" s="50">
        <v>1581</v>
      </c>
      <c r="AF890" s="50" t="s">
        <v>22</v>
      </c>
      <c r="AG890" s="50" t="s">
        <v>22</v>
      </c>
      <c r="AH890" s="50" t="s">
        <v>22</v>
      </c>
      <c r="AI890" s="50" t="s">
        <v>22</v>
      </c>
      <c r="AJ890" s="50" t="s">
        <v>22</v>
      </c>
      <c r="AK890" s="50" t="s">
        <v>22</v>
      </c>
      <c r="AL890" s="50" t="s">
        <v>22</v>
      </c>
      <c r="AM890" s="43" t="e">
        <f t="shared" si="460"/>
        <v>#VALUE!</v>
      </c>
      <c r="AN890" s="43" t="e">
        <f t="shared" si="461"/>
        <v>#VALUE!</v>
      </c>
      <c r="AO890" s="57" t="s">
        <v>1197</v>
      </c>
      <c r="AT890" s="2">
        <f t="shared" si="462"/>
        <v>2</v>
      </c>
      <c r="AU890" s="45" t="e">
        <f t="shared" si="463"/>
        <v>#VALUE!</v>
      </c>
      <c r="AV890" s="45">
        <f t="shared" si="464"/>
        <v>-0.10790539730951958</v>
      </c>
      <c r="AW890" s="45" t="e">
        <f t="shared" si="465"/>
        <v>#VALUE!</v>
      </c>
      <c r="AX890" s="45">
        <f t="shared" si="466"/>
        <v>3.2764618041732443</v>
      </c>
      <c r="AY890" s="45">
        <f t="shared" si="467"/>
        <v>0.38560627359831223</v>
      </c>
      <c r="AZ890" s="45">
        <f t="shared" si="468"/>
        <v>1.7634279935629373</v>
      </c>
      <c r="BA890" s="45" t="e">
        <f t="shared" si="469"/>
        <v>#VALUE!</v>
      </c>
      <c r="BB890" s="45" t="e">
        <f t="shared" si="470"/>
        <v>#VALUE!</v>
      </c>
      <c r="BC890" s="45" t="e">
        <f t="shared" si="471"/>
        <v>#VALUE!</v>
      </c>
      <c r="BD890" s="45">
        <f t="shared" si="472"/>
        <v>1.3344537511509309</v>
      </c>
      <c r="BE890" s="45" t="e">
        <f t="shared" si="473"/>
        <v>#VALUE!</v>
      </c>
      <c r="BF890" s="45" t="e">
        <f t="shared" si="474"/>
        <v>#VALUE!</v>
      </c>
      <c r="BG890" s="45" t="e">
        <f t="shared" si="475"/>
        <v>#VALUE!</v>
      </c>
      <c r="BH890" s="45" t="e">
        <f t="shared" si="476"/>
        <v>#NUM!</v>
      </c>
      <c r="BI890" s="43" t="e">
        <f t="shared" si="477"/>
        <v>#VALUE!</v>
      </c>
      <c r="BL890" s="20"/>
      <c r="BM890" s="50"/>
      <c r="BN890" s="50"/>
      <c r="BO890" s="50"/>
      <c r="BP890" s="50"/>
      <c r="BQ890" s="50"/>
      <c r="BR890" s="50"/>
      <c r="BU890" s="50"/>
      <c r="BV890" s="50"/>
      <c r="BW890" s="50"/>
      <c r="BX890" s="50"/>
      <c r="BY890" s="50"/>
      <c r="BZ890" s="50"/>
      <c r="CA890" s="50" t="s">
        <v>22</v>
      </c>
      <c r="CC890" s="9" t="s">
        <v>22</v>
      </c>
      <c r="CE890" s="50" t="s">
        <v>22</v>
      </c>
      <c r="CF890" s="50" t="s">
        <v>22</v>
      </c>
      <c r="CG890" s="50">
        <f t="shared" si="496"/>
        <v>21600</v>
      </c>
      <c r="CH890" s="50">
        <f t="shared" si="497"/>
        <v>4.3344537511509307</v>
      </c>
      <c r="CI890" s="50">
        <f t="shared" si="498"/>
        <v>21600</v>
      </c>
      <c r="CJ890" s="50">
        <f t="shared" si="499"/>
        <v>4.3344537511509307</v>
      </c>
      <c r="CL890" s="9" t="s">
        <v>1269</v>
      </c>
      <c r="CM890" s="9" t="s">
        <v>1283</v>
      </c>
      <c r="CN890" s="55" t="s">
        <v>1284</v>
      </c>
      <c r="CO890" s="9" t="s">
        <v>1284</v>
      </c>
    </row>
    <row r="891" spans="1:93" x14ac:dyDescent="0.25">
      <c r="A891" t="s">
        <v>365</v>
      </c>
      <c r="B891" s="41" t="s">
        <v>22</v>
      </c>
      <c r="C891" s="41" t="s">
        <v>22</v>
      </c>
      <c r="D891" s="41" t="s">
        <v>22</v>
      </c>
      <c r="E891" s="41" t="s">
        <v>22</v>
      </c>
      <c r="F891" t="s">
        <v>22</v>
      </c>
      <c r="G891" t="s">
        <v>22</v>
      </c>
      <c r="H891" t="s">
        <v>22</v>
      </c>
      <c r="I891" t="s">
        <v>22</v>
      </c>
      <c r="J891" s="41" t="s">
        <v>22</v>
      </c>
      <c r="K891">
        <v>632.79999999999995</v>
      </c>
      <c r="L891" s="41" t="e">
        <f t="shared" si="495"/>
        <v>#VALUE!</v>
      </c>
      <c r="M891" t="s">
        <v>23</v>
      </c>
      <c r="N891" s="41">
        <v>79000</v>
      </c>
      <c r="O891" s="41" t="e">
        <f>0.001*N891/C891</f>
        <v>#VALUE!</v>
      </c>
      <c r="P891" s="41" t="s">
        <v>22</v>
      </c>
      <c r="R891" s="41" t="s">
        <v>22</v>
      </c>
      <c r="S891" s="41" t="s">
        <v>22</v>
      </c>
      <c r="T891" s="41">
        <v>2.1</v>
      </c>
      <c r="U891" s="41">
        <v>2.1</v>
      </c>
      <c r="V891">
        <v>20200512</v>
      </c>
      <c r="W891" s="21" t="s">
        <v>934</v>
      </c>
      <c r="X891" s="18">
        <v>2018</v>
      </c>
      <c r="Y891" s="18" t="s">
        <v>1133</v>
      </c>
      <c r="Z891" s="18" t="s">
        <v>916</v>
      </c>
      <c r="AC891" t="s">
        <v>514</v>
      </c>
      <c r="AD891" s="41" t="s">
        <v>22</v>
      </c>
      <c r="AE891" s="41" t="s">
        <v>22</v>
      </c>
      <c r="AF891" s="41" t="s">
        <v>22</v>
      </c>
      <c r="AG891" s="41" t="s">
        <v>22</v>
      </c>
      <c r="AH891" s="41" t="s">
        <v>22</v>
      </c>
      <c r="AI891" s="41" t="s">
        <v>22</v>
      </c>
      <c r="AJ891" s="41" t="s">
        <v>22</v>
      </c>
      <c r="AK891" s="41" t="s">
        <v>22</v>
      </c>
      <c r="AL891" s="41" t="s">
        <v>22</v>
      </c>
      <c r="AM891" s="43" t="e">
        <f t="shared" si="460"/>
        <v>#VALUE!</v>
      </c>
      <c r="AN891" s="43" t="e">
        <f t="shared" si="461"/>
        <v>#VALUE!</v>
      </c>
      <c r="AO891" s="3" t="s">
        <v>368</v>
      </c>
      <c r="AT891" s="2">
        <f t="shared" si="462"/>
        <v>3</v>
      </c>
      <c r="AU891" s="45" t="e">
        <f t="shared" si="463"/>
        <v>#VALUE!</v>
      </c>
      <c r="AV891" s="45" t="e">
        <f t="shared" si="464"/>
        <v>#VALUE!</v>
      </c>
      <c r="AW891" s="45" t="e">
        <f t="shared" si="465"/>
        <v>#VALUE!</v>
      </c>
      <c r="AX891" s="45">
        <f t="shared" si="466"/>
        <v>4.8976270912904418</v>
      </c>
      <c r="AY891" s="45" t="e">
        <f t="shared" si="467"/>
        <v>#VALUE!</v>
      </c>
      <c r="AZ891" s="45" t="e">
        <f t="shared" si="468"/>
        <v>#VALUE!</v>
      </c>
      <c r="BA891" s="45" t="e">
        <f t="shared" si="469"/>
        <v>#VALUE!</v>
      </c>
      <c r="BB891" s="45" t="e">
        <f t="shared" si="470"/>
        <v>#VALUE!</v>
      </c>
      <c r="BC891" s="45">
        <f t="shared" si="471"/>
        <v>0.3222192947339193</v>
      </c>
      <c r="BD891" s="45" t="e">
        <f t="shared" si="472"/>
        <v>#VALUE!</v>
      </c>
      <c r="BE891" s="45" t="e">
        <f t="shared" si="473"/>
        <v>#VALUE!</v>
      </c>
      <c r="BF891" s="45" t="e">
        <f t="shared" si="474"/>
        <v>#VALUE!</v>
      </c>
      <c r="BG891" s="45" t="e">
        <f t="shared" si="475"/>
        <v>#VALUE!</v>
      </c>
      <c r="BH891" s="45" t="e">
        <f t="shared" si="476"/>
        <v>#NUM!</v>
      </c>
      <c r="BI891" s="43" t="e">
        <f t="shared" si="477"/>
        <v>#VALUE!</v>
      </c>
      <c r="CA891" s="41" t="s">
        <v>22</v>
      </c>
      <c r="CC891" t="s">
        <v>22</v>
      </c>
      <c r="CE891" s="41" t="s">
        <v>22</v>
      </c>
      <c r="CF891" s="41" t="s">
        <v>22</v>
      </c>
      <c r="CG891" s="41" t="e">
        <f t="shared" si="496"/>
        <v>#VALUE!</v>
      </c>
      <c r="CH891" s="41" t="e">
        <f t="shared" si="497"/>
        <v>#VALUE!</v>
      </c>
      <c r="CI891" s="41">
        <f t="shared" si="498"/>
        <v>2.1</v>
      </c>
      <c r="CJ891" s="41">
        <f t="shared" si="499"/>
        <v>0.3222192947339193</v>
      </c>
      <c r="CL891" s="9" t="s">
        <v>1269</v>
      </c>
      <c r="CM891" s="18" t="s">
        <v>1285</v>
      </c>
      <c r="CN891" s="54" t="s">
        <v>1284</v>
      </c>
      <c r="CO891" s="18" t="s">
        <v>1284</v>
      </c>
    </row>
    <row r="892" spans="1:93" x14ac:dyDescent="0.25">
      <c r="A892" t="s">
        <v>731</v>
      </c>
      <c r="B892" s="41" t="s">
        <v>22</v>
      </c>
      <c r="C892" s="41">
        <v>1.1000000000000001</v>
      </c>
      <c r="D892" s="41" t="s">
        <v>22</v>
      </c>
      <c r="E892" s="41" t="s">
        <v>22</v>
      </c>
      <c r="F892" t="s">
        <v>22</v>
      </c>
      <c r="G892" t="s">
        <v>22</v>
      </c>
      <c r="H892" t="s">
        <v>22</v>
      </c>
      <c r="I892" t="s">
        <v>22</v>
      </c>
      <c r="J892" s="41" t="s">
        <v>22</v>
      </c>
      <c r="K892">
        <v>632.79999999999995</v>
      </c>
      <c r="L892" s="41" t="e">
        <f t="shared" si="495"/>
        <v>#VALUE!</v>
      </c>
      <c r="M892" t="s">
        <v>23</v>
      </c>
      <c r="N892" s="41">
        <v>48000</v>
      </c>
      <c r="O892" s="41">
        <f>0.001*N892/C892</f>
        <v>43.636363636363633</v>
      </c>
      <c r="P892" s="41" t="s">
        <v>22</v>
      </c>
      <c r="R892" s="41" t="s">
        <v>22</v>
      </c>
      <c r="S892" s="41" t="s">
        <v>22</v>
      </c>
      <c r="T892" s="41" t="s">
        <v>915</v>
      </c>
      <c r="U892" s="41">
        <v>2.2000000000000002</v>
      </c>
      <c r="V892">
        <v>20200512</v>
      </c>
      <c r="W892" s="21" t="s">
        <v>935</v>
      </c>
      <c r="X892">
        <v>2018</v>
      </c>
      <c r="Y892" t="s">
        <v>1133</v>
      </c>
      <c r="Z892" t="s">
        <v>916</v>
      </c>
      <c r="AC892" t="s">
        <v>514</v>
      </c>
      <c r="AD892" s="41" t="s">
        <v>22</v>
      </c>
      <c r="AE892" s="41" t="s">
        <v>22</v>
      </c>
      <c r="AF892" s="41" t="s">
        <v>22</v>
      </c>
      <c r="AG892" s="41" t="s">
        <v>22</v>
      </c>
      <c r="AH892" s="41" t="s">
        <v>22</v>
      </c>
      <c r="AI892" s="41" t="s">
        <v>22</v>
      </c>
      <c r="AJ892" s="41" t="s">
        <v>22</v>
      </c>
      <c r="AK892" s="41" t="s">
        <v>22</v>
      </c>
      <c r="AL892" s="41" t="s">
        <v>22</v>
      </c>
      <c r="AM892" s="43" t="e">
        <f t="shared" si="460"/>
        <v>#VALUE!</v>
      </c>
      <c r="AN892" s="43" t="e">
        <f t="shared" si="461"/>
        <v>#VALUE!</v>
      </c>
      <c r="AO892" s="3" t="s">
        <v>368</v>
      </c>
      <c r="AT892" s="2">
        <f t="shared" si="462"/>
        <v>3</v>
      </c>
      <c r="AU892" s="45" t="e">
        <f t="shared" si="463"/>
        <v>#VALUE!</v>
      </c>
      <c r="AV892" s="45">
        <f t="shared" si="464"/>
        <v>4.1392685158225077E-2</v>
      </c>
      <c r="AW892" s="45" t="e">
        <f t="shared" si="465"/>
        <v>#VALUE!</v>
      </c>
      <c r="AX892" s="45">
        <f t="shared" si="466"/>
        <v>4.6812412373755876</v>
      </c>
      <c r="AY892" s="45">
        <f t="shared" si="467"/>
        <v>1.6398485522173623</v>
      </c>
      <c r="AZ892" s="45" t="e">
        <f t="shared" si="468"/>
        <v>#VALUE!</v>
      </c>
      <c r="BA892" s="45" t="e">
        <f t="shared" si="469"/>
        <v>#VALUE!</v>
      </c>
      <c r="BB892" s="45" t="e">
        <f t="shared" si="470"/>
        <v>#VALUE!</v>
      </c>
      <c r="BC892" s="45">
        <f t="shared" si="471"/>
        <v>0.34242268082220628</v>
      </c>
      <c r="BD892" s="45" t="e">
        <f t="shared" si="472"/>
        <v>#VALUE!</v>
      </c>
      <c r="BE892" s="45" t="e">
        <f t="shared" si="473"/>
        <v>#VALUE!</v>
      </c>
      <c r="BF892" s="45" t="e">
        <f t="shared" si="474"/>
        <v>#VALUE!</v>
      </c>
      <c r="BG892" s="45" t="e">
        <f t="shared" si="475"/>
        <v>#VALUE!</v>
      </c>
      <c r="BH892" s="45" t="e">
        <f t="shared" si="476"/>
        <v>#NUM!</v>
      </c>
      <c r="BI892" s="43" t="e">
        <f t="shared" si="477"/>
        <v>#VALUE!</v>
      </c>
      <c r="CA892" s="41" t="s">
        <v>22</v>
      </c>
      <c r="CC892" t="s">
        <v>22</v>
      </c>
      <c r="CE892" s="41" t="s">
        <v>22</v>
      </c>
      <c r="CF892" s="41" t="s">
        <v>22</v>
      </c>
      <c r="CG892" s="41" t="e">
        <f t="shared" si="496"/>
        <v>#VALUE!</v>
      </c>
      <c r="CH892" s="41" t="e">
        <f t="shared" si="497"/>
        <v>#VALUE!</v>
      </c>
      <c r="CI892" s="41">
        <f t="shared" si="498"/>
        <v>2.2000000000000002</v>
      </c>
      <c r="CJ892" s="41">
        <f t="shared" si="499"/>
        <v>0.34242268082220628</v>
      </c>
      <c r="CL892" s="9" t="s">
        <v>1269</v>
      </c>
      <c r="CM892" s="18" t="s">
        <v>1285</v>
      </c>
      <c r="CN892" s="54" t="s">
        <v>1284</v>
      </c>
      <c r="CO892" s="18" t="s">
        <v>1284</v>
      </c>
    </row>
    <row r="893" spans="1:93" x14ac:dyDescent="0.25">
      <c r="A893" t="s">
        <v>731</v>
      </c>
      <c r="B893" s="41" t="s">
        <v>22</v>
      </c>
      <c r="C893" s="41">
        <v>1.1000000000000001</v>
      </c>
      <c r="D893" s="41" t="s">
        <v>22</v>
      </c>
      <c r="E893" s="41" t="s">
        <v>22</v>
      </c>
      <c r="F893" t="s">
        <v>22</v>
      </c>
      <c r="G893" t="s">
        <v>22</v>
      </c>
      <c r="H893" t="s">
        <v>22</v>
      </c>
      <c r="I893" t="s">
        <v>22</v>
      </c>
      <c r="J893" s="41" t="s">
        <v>22</v>
      </c>
      <c r="K893">
        <v>632.79999999999995</v>
      </c>
      <c r="L893" s="41" t="e">
        <f t="shared" si="495"/>
        <v>#VALUE!</v>
      </c>
      <c r="M893" t="s">
        <v>23</v>
      </c>
      <c r="N893" s="41">
        <v>43000</v>
      </c>
      <c r="O893" s="41">
        <f>0.001*N893/C893</f>
        <v>39.090909090909086</v>
      </c>
      <c r="P893" s="41" t="s">
        <v>22</v>
      </c>
      <c r="R893" s="41" t="s">
        <v>22</v>
      </c>
      <c r="S893" s="41" t="s">
        <v>22</v>
      </c>
      <c r="T893" s="41" t="s">
        <v>22</v>
      </c>
      <c r="U893" s="41" t="s">
        <v>22</v>
      </c>
      <c r="V893">
        <v>20200512</v>
      </c>
      <c r="W893" s="21" t="s">
        <v>936</v>
      </c>
      <c r="X893">
        <v>2018</v>
      </c>
      <c r="Y893" t="s">
        <v>1133</v>
      </c>
      <c r="Z893" t="s">
        <v>916</v>
      </c>
      <c r="AC893" t="s">
        <v>514</v>
      </c>
      <c r="AD893" s="41" t="s">
        <v>22</v>
      </c>
      <c r="AE893" s="41" t="s">
        <v>22</v>
      </c>
      <c r="AF893" s="41" t="s">
        <v>22</v>
      </c>
      <c r="AG893" s="41" t="s">
        <v>22</v>
      </c>
      <c r="AH893" s="41" t="s">
        <v>22</v>
      </c>
      <c r="AI893" s="41" t="s">
        <v>22</v>
      </c>
      <c r="AJ893" s="41" t="s">
        <v>22</v>
      </c>
      <c r="AK893" s="41" t="s">
        <v>22</v>
      </c>
      <c r="AL893" s="41" t="s">
        <v>22</v>
      </c>
      <c r="AM893" s="43" t="e">
        <f t="shared" si="460"/>
        <v>#VALUE!</v>
      </c>
      <c r="AN893" s="43" t="e">
        <f t="shared" si="461"/>
        <v>#VALUE!</v>
      </c>
      <c r="AO893" s="3" t="s">
        <v>368</v>
      </c>
      <c r="AT893" s="2">
        <f t="shared" si="462"/>
        <v>3</v>
      </c>
      <c r="AU893" s="45" t="e">
        <f t="shared" si="463"/>
        <v>#VALUE!</v>
      </c>
      <c r="AV893" s="45">
        <f t="shared" si="464"/>
        <v>4.1392685158225077E-2</v>
      </c>
      <c r="AW893" s="45" t="e">
        <f t="shared" si="465"/>
        <v>#VALUE!</v>
      </c>
      <c r="AX893" s="45">
        <f t="shared" si="466"/>
        <v>4.6334684555795862</v>
      </c>
      <c r="AY893" s="45">
        <f t="shared" si="467"/>
        <v>1.5920757704213615</v>
      </c>
      <c r="AZ893" s="45" t="e">
        <f t="shared" si="468"/>
        <v>#VALUE!</v>
      </c>
      <c r="BA893" s="45" t="e">
        <f t="shared" si="469"/>
        <v>#VALUE!</v>
      </c>
      <c r="BB893" s="45" t="e">
        <f t="shared" si="470"/>
        <v>#VALUE!</v>
      </c>
      <c r="BC893" s="45" t="e">
        <f t="shared" si="471"/>
        <v>#VALUE!</v>
      </c>
      <c r="BD893" s="45" t="e">
        <f t="shared" si="472"/>
        <v>#VALUE!</v>
      </c>
      <c r="BE893" s="45" t="e">
        <f t="shared" si="473"/>
        <v>#VALUE!</v>
      </c>
      <c r="BF893" s="45" t="e">
        <f t="shared" si="474"/>
        <v>#VALUE!</v>
      </c>
      <c r="BG893" s="45" t="e">
        <f t="shared" si="475"/>
        <v>#VALUE!</v>
      </c>
      <c r="BH893" s="45" t="e">
        <f t="shared" si="476"/>
        <v>#NUM!</v>
      </c>
      <c r="BI893" s="43" t="e">
        <f t="shared" si="477"/>
        <v>#VALUE!</v>
      </c>
      <c r="CA893" s="41" t="s">
        <v>22</v>
      </c>
      <c r="CC893" s="18" t="s">
        <v>22</v>
      </c>
      <c r="CD893" s="18"/>
      <c r="CE893" s="41" t="s">
        <v>22</v>
      </c>
      <c r="CF893" s="41" t="s">
        <v>22</v>
      </c>
      <c r="CG893" s="41" t="e">
        <f t="shared" si="496"/>
        <v>#VALUE!</v>
      </c>
      <c r="CH893" s="41" t="e">
        <f t="shared" si="497"/>
        <v>#VALUE!</v>
      </c>
      <c r="CI893" s="41" t="str">
        <f t="shared" si="498"/>
        <v>Not Reported/ Can not calculate</v>
      </c>
      <c r="CJ893" s="41" t="e">
        <f t="shared" si="499"/>
        <v>#VALUE!</v>
      </c>
      <c r="CK893" s="18"/>
      <c r="CL893" s="9" t="s">
        <v>1269</v>
      </c>
      <c r="CM893" s="18" t="s">
        <v>1284</v>
      </c>
      <c r="CN893" s="54" t="s">
        <v>1284</v>
      </c>
      <c r="CO893" s="18" t="s">
        <v>1284</v>
      </c>
    </row>
    <row r="894" spans="1:93" x14ac:dyDescent="0.25">
      <c r="A894" t="s">
        <v>141</v>
      </c>
      <c r="B894" s="41">
        <v>0.41578947368420999</v>
      </c>
      <c r="C894" s="41">
        <v>0.75454545454545396</v>
      </c>
      <c r="D894" s="41">
        <v>0.55095971456959592</v>
      </c>
      <c r="E894" s="41" t="s">
        <v>22</v>
      </c>
      <c r="F894">
        <v>1.34</v>
      </c>
      <c r="G894" t="s">
        <v>52</v>
      </c>
      <c r="H894" t="s">
        <v>22</v>
      </c>
      <c r="I894" t="s">
        <v>22</v>
      </c>
      <c r="J894" s="41">
        <f>0.39^-1</f>
        <v>2.5641025641025639</v>
      </c>
      <c r="K894">
        <v>532</v>
      </c>
      <c r="L894" s="41">
        <f t="shared" si="495"/>
        <v>0.20539124250256408</v>
      </c>
      <c r="M894" t="s">
        <v>23</v>
      </c>
      <c r="N894" s="41">
        <v>291.40401146131802</v>
      </c>
      <c r="O894" s="41">
        <f>(N894/C894)*0.001</f>
        <v>0.38619808747885548</v>
      </c>
      <c r="P894" s="41">
        <v>7.8747915152033796</v>
      </c>
      <c r="R894" s="41">
        <f t="shared" ref="R894:R899" si="500">N894*B894</f>
        <v>121.16272055496891</v>
      </c>
      <c r="S894" s="41">
        <f>O894*D894</f>
        <v>0.21277958804467406</v>
      </c>
      <c r="T894" s="41" t="s">
        <v>88</v>
      </c>
      <c r="U894" s="41">
        <v>10.5</v>
      </c>
      <c r="V894">
        <v>20200507</v>
      </c>
      <c r="W894" s="21" t="s">
        <v>32</v>
      </c>
      <c r="X894">
        <v>2018</v>
      </c>
      <c r="Y894" t="s">
        <v>76</v>
      </c>
      <c r="Z894" t="s">
        <v>32</v>
      </c>
      <c r="AC894" t="s">
        <v>514</v>
      </c>
      <c r="AD894" s="41">
        <v>116</v>
      </c>
      <c r="AE894" s="41">
        <v>1571.5</v>
      </c>
      <c r="AF894" s="41">
        <v>880</v>
      </c>
      <c r="AG894" s="41" t="s">
        <v>22</v>
      </c>
      <c r="AH894" s="41" t="s">
        <v>22</v>
      </c>
      <c r="AI894" s="41" t="s">
        <v>22</v>
      </c>
      <c r="AJ894" s="41" t="s">
        <v>22</v>
      </c>
      <c r="AK894" s="41" t="s">
        <v>22</v>
      </c>
      <c r="AL894" s="41" t="s">
        <v>22</v>
      </c>
      <c r="AM894" s="43" t="e">
        <f t="shared" si="460"/>
        <v>#VALUE!</v>
      </c>
      <c r="AN894" s="43" t="e">
        <f t="shared" si="461"/>
        <v>#VALUE!</v>
      </c>
      <c r="AO894" s="3" t="s">
        <v>89</v>
      </c>
      <c r="AT894" s="2">
        <f t="shared" si="462"/>
        <v>4</v>
      </c>
      <c r="AU894" s="45">
        <f t="shared" si="463"/>
        <v>-0.38112650966238809</v>
      </c>
      <c r="AV894" s="45">
        <f t="shared" si="464"/>
        <v>-0.12231459278215147</v>
      </c>
      <c r="AW894" s="45">
        <f t="shared" si="465"/>
        <v>-0.25888015501344624</v>
      </c>
      <c r="AX894" s="45">
        <f t="shared" si="466"/>
        <v>2.4644955259635646</v>
      </c>
      <c r="AY894" s="45">
        <f t="shared" si="467"/>
        <v>-0.41318988125428391</v>
      </c>
      <c r="AZ894" s="45">
        <f t="shared" si="468"/>
        <v>0.89623906468445791</v>
      </c>
      <c r="BA894" s="45">
        <f t="shared" si="469"/>
        <v>0.40893539297350073</v>
      </c>
      <c r="BB894" s="45">
        <f t="shared" si="470"/>
        <v>-0.68741807784630649</v>
      </c>
      <c r="BC894" s="45">
        <f t="shared" si="471"/>
        <v>1.0211892990699381</v>
      </c>
      <c r="BD894" s="45">
        <f t="shared" si="472"/>
        <v>2.0644579892269186</v>
      </c>
      <c r="BE894" s="45">
        <f t="shared" si="473"/>
        <v>2.9444826721501687</v>
      </c>
      <c r="BF894" s="45" t="e">
        <f t="shared" si="474"/>
        <v>#VALUE!</v>
      </c>
      <c r="BG894" s="45" t="e">
        <f t="shared" si="475"/>
        <v>#VALUE!</v>
      </c>
      <c r="BH894" s="45" t="e">
        <f t="shared" si="476"/>
        <v>#NUM!</v>
      </c>
      <c r="BI894" s="43">
        <f t="shared" si="477"/>
        <v>2.9444826721501687</v>
      </c>
      <c r="CA894" s="41" t="s">
        <v>22</v>
      </c>
      <c r="CC894" s="18" t="s">
        <v>22</v>
      </c>
      <c r="CD894" s="18"/>
      <c r="CE894" s="41" t="s">
        <v>22</v>
      </c>
      <c r="CF894" s="41" t="s">
        <v>22</v>
      </c>
      <c r="CG894" s="41">
        <f t="shared" si="496"/>
        <v>116000</v>
      </c>
      <c r="CH894" s="41">
        <f t="shared" si="497"/>
        <v>5.0644579892269181</v>
      </c>
      <c r="CI894" s="41">
        <f t="shared" si="498"/>
        <v>116000</v>
      </c>
      <c r="CJ894" s="41">
        <f t="shared" si="499"/>
        <v>5.0644579892269181</v>
      </c>
      <c r="CK894" s="18"/>
      <c r="CL894" s="9" t="s">
        <v>1269</v>
      </c>
      <c r="CM894" s="18" t="s">
        <v>1283</v>
      </c>
      <c r="CN894" s="54" t="s">
        <v>1284</v>
      </c>
      <c r="CO894" s="18" t="s">
        <v>1284</v>
      </c>
    </row>
    <row r="895" spans="1:93" x14ac:dyDescent="0.25">
      <c r="A895" t="s">
        <v>141</v>
      </c>
      <c r="B895" s="41">
        <v>0.49473684210526303</v>
      </c>
      <c r="C895" s="41">
        <v>0.85909090909090902</v>
      </c>
      <c r="D895" s="41">
        <v>0.579774862252732</v>
      </c>
      <c r="E895" s="41" t="s">
        <v>22</v>
      </c>
      <c r="F895">
        <v>1.63</v>
      </c>
      <c r="G895" t="s">
        <v>52</v>
      </c>
      <c r="H895" t="s">
        <v>22</v>
      </c>
      <c r="I895" t="s">
        <v>22</v>
      </c>
      <c r="J895" s="41">
        <f>0.35^-1</f>
        <v>2.8571428571428572</v>
      </c>
      <c r="K895">
        <v>532</v>
      </c>
      <c r="L895" s="41">
        <f t="shared" si="495"/>
        <v>0.22886452735999999</v>
      </c>
      <c r="M895" t="s">
        <v>23</v>
      </c>
      <c r="N895" s="41">
        <v>332.66475644699102</v>
      </c>
      <c r="O895" s="41">
        <f>(N895/C895)*0.001</f>
        <v>0.38722881702824358</v>
      </c>
      <c r="P895" s="41">
        <v>11.8671149980755</v>
      </c>
      <c r="R895" s="41">
        <f t="shared" si="500"/>
        <v>164.58151108430079</v>
      </c>
      <c r="S895" s="41">
        <f>O895*D895</f>
        <v>0.2245055340528383</v>
      </c>
      <c r="T895" s="41" t="s">
        <v>88</v>
      </c>
      <c r="U895" s="41">
        <v>10.5</v>
      </c>
      <c r="V895">
        <v>20200507</v>
      </c>
      <c r="W895" s="21" t="s">
        <v>90</v>
      </c>
      <c r="X895">
        <v>2018</v>
      </c>
      <c r="Y895" t="s">
        <v>76</v>
      </c>
      <c r="Z895" t="s">
        <v>504</v>
      </c>
      <c r="AC895" t="s">
        <v>514</v>
      </c>
      <c r="AD895" s="41">
        <v>109</v>
      </c>
      <c r="AE895" s="41">
        <v>1568.8976</v>
      </c>
      <c r="AF895" s="41">
        <v>1048</v>
      </c>
      <c r="AG895" s="41" t="s">
        <v>22</v>
      </c>
      <c r="AH895" s="41" t="s">
        <v>22</v>
      </c>
      <c r="AI895" s="41" t="s">
        <v>22</v>
      </c>
      <c r="AJ895" s="41" t="s">
        <v>22</v>
      </c>
      <c r="AK895" s="41" t="s">
        <v>22</v>
      </c>
      <c r="AL895" s="41" t="s">
        <v>22</v>
      </c>
      <c r="AM895" s="43" t="e">
        <f t="shared" si="460"/>
        <v>#VALUE!</v>
      </c>
      <c r="AN895" s="43" t="e">
        <f t="shared" si="461"/>
        <v>#VALUE!</v>
      </c>
      <c r="AO895" s="19" t="s">
        <v>89</v>
      </c>
      <c r="AT895" s="2">
        <f t="shared" si="462"/>
        <v>4</v>
      </c>
      <c r="AU895" s="45">
        <f t="shared" si="463"/>
        <v>-0.30562574735313042</v>
      </c>
      <c r="AV895" s="45">
        <f t="shared" si="464"/>
        <v>-6.5960876648962136E-2</v>
      </c>
      <c r="AW895" s="45">
        <f t="shared" si="465"/>
        <v>-0.23674061861467946</v>
      </c>
      <c r="AX895" s="45">
        <f t="shared" si="466"/>
        <v>2.5220067927793934</v>
      </c>
      <c r="AY895" s="45">
        <f t="shared" si="467"/>
        <v>-0.4120323305716444</v>
      </c>
      <c r="AZ895" s="45">
        <f t="shared" si="468"/>
        <v>1.0743451509087389</v>
      </c>
      <c r="BA895" s="45">
        <f t="shared" si="469"/>
        <v>0.45593195564972439</v>
      </c>
      <c r="BB895" s="45">
        <f t="shared" si="470"/>
        <v>-0.64042151517008294</v>
      </c>
      <c r="BC895" s="45">
        <f t="shared" si="471"/>
        <v>1.0211892990699381</v>
      </c>
      <c r="BD895" s="45">
        <f t="shared" si="472"/>
        <v>2.0374264979406238</v>
      </c>
      <c r="BE895" s="45">
        <f t="shared" si="473"/>
        <v>3.0203612826477078</v>
      </c>
      <c r="BF895" s="45" t="e">
        <f t="shared" si="474"/>
        <v>#VALUE!</v>
      </c>
      <c r="BG895" s="45" t="e">
        <f t="shared" si="475"/>
        <v>#VALUE!</v>
      </c>
      <c r="BH895" s="45" t="e">
        <f t="shared" si="476"/>
        <v>#NUM!</v>
      </c>
      <c r="BI895" s="43">
        <f t="shared" si="477"/>
        <v>3.0203612826477078</v>
      </c>
      <c r="CA895" s="41" t="s">
        <v>22</v>
      </c>
      <c r="CC895" s="18" t="s">
        <v>22</v>
      </c>
      <c r="CD895" s="18"/>
      <c r="CE895" s="41" t="s">
        <v>22</v>
      </c>
      <c r="CF895" s="41" t="s">
        <v>22</v>
      </c>
      <c r="CG895" s="41">
        <f t="shared" si="496"/>
        <v>109000</v>
      </c>
      <c r="CH895" s="41">
        <f t="shared" si="497"/>
        <v>5.0374264979406238</v>
      </c>
      <c r="CI895" s="41">
        <f t="shared" si="498"/>
        <v>109000</v>
      </c>
      <c r="CJ895" s="41">
        <f t="shared" si="499"/>
        <v>5.0374264979406238</v>
      </c>
      <c r="CK895" s="18"/>
      <c r="CL895" s="9" t="s">
        <v>1269</v>
      </c>
      <c r="CM895" s="18" t="s">
        <v>1283</v>
      </c>
      <c r="CN895" s="54" t="s">
        <v>1284</v>
      </c>
      <c r="CO895" s="18" t="s">
        <v>1284</v>
      </c>
    </row>
    <row r="896" spans="1:93" x14ac:dyDescent="0.25">
      <c r="A896" t="s">
        <v>141</v>
      </c>
      <c r="B896" s="41">
        <v>0.55263157894736792</v>
      </c>
      <c r="C896" s="41">
        <v>0.80227272727272703</v>
      </c>
      <c r="D896" s="41">
        <v>0.68977508806792509</v>
      </c>
      <c r="E896" s="41" t="s">
        <v>22</v>
      </c>
      <c r="F896">
        <v>1.41</v>
      </c>
      <c r="G896" t="s">
        <v>52</v>
      </c>
      <c r="H896" t="s">
        <v>22</v>
      </c>
      <c r="I896" t="s">
        <v>22</v>
      </c>
      <c r="J896" s="41">
        <f>0.25^-1</f>
        <v>4</v>
      </c>
      <c r="K896">
        <v>532</v>
      </c>
      <c r="L896" s="41">
        <f t="shared" si="495"/>
        <v>0.32041033830400001</v>
      </c>
      <c r="M896" t="s">
        <v>45</v>
      </c>
      <c r="N896" s="41">
        <v>318.9111747851</v>
      </c>
      <c r="O896" s="41">
        <f>(N896/C896)*0.001</f>
        <v>0.39750967961882167</v>
      </c>
      <c r="P896" s="41">
        <v>11.2750181755976</v>
      </c>
      <c r="R896" s="41">
        <f t="shared" si="500"/>
        <v>176.24038606544985</v>
      </c>
      <c r="S896" s="41">
        <f>O896*D896</f>
        <v>0.27419227426692538</v>
      </c>
      <c r="T896" s="41" t="s">
        <v>88</v>
      </c>
      <c r="U896" s="41">
        <v>10.5</v>
      </c>
      <c r="V896">
        <v>20200507</v>
      </c>
      <c r="W896" s="21" t="s">
        <v>91</v>
      </c>
      <c r="X896">
        <v>2018</v>
      </c>
      <c r="Y896" t="s">
        <v>76</v>
      </c>
      <c r="Z896" t="s">
        <v>77</v>
      </c>
      <c r="AA896" t="s">
        <v>737</v>
      </c>
      <c r="AB896" s="41">
        <v>0.41578947368420999</v>
      </c>
      <c r="AC896" t="s">
        <v>514</v>
      </c>
      <c r="AD896" s="41">
        <v>108</v>
      </c>
      <c r="AE896" s="41">
        <v>1566.27</v>
      </c>
      <c r="AF896" s="41">
        <v>1113</v>
      </c>
      <c r="AG896" s="41" t="s">
        <v>22</v>
      </c>
      <c r="AH896" s="41" t="s">
        <v>22</v>
      </c>
      <c r="AI896" s="41" t="s">
        <v>22</v>
      </c>
      <c r="AJ896" s="41" t="s">
        <v>22</v>
      </c>
      <c r="AK896" s="41" t="s">
        <v>22</v>
      </c>
      <c r="AL896" s="41" t="s">
        <v>22</v>
      </c>
      <c r="AM896" s="43" t="e">
        <f t="shared" si="460"/>
        <v>#VALUE!</v>
      </c>
      <c r="AN896" s="43" t="e">
        <f t="shared" si="461"/>
        <v>#VALUE!</v>
      </c>
      <c r="AO896" s="19" t="s">
        <v>89</v>
      </c>
      <c r="AT896" s="2">
        <f t="shared" si="462"/>
        <v>4</v>
      </c>
      <c r="AU896" s="45">
        <f t="shared" si="463"/>
        <v>-0.25756430188289131</v>
      </c>
      <c r="AV896" s="45">
        <f t="shared" si="464"/>
        <v>-9.5677971098364997E-2</v>
      </c>
      <c r="AW896" s="45">
        <f t="shared" si="465"/>
        <v>-0.16129249467434426</v>
      </c>
      <c r="AX896" s="45">
        <f t="shared" si="466"/>
        <v>2.5036697373755281</v>
      </c>
      <c r="AY896" s="45">
        <f t="shared" si="467"/>
        <v>-0.40065229152610699</v>
      </c>
      <c r="AZ896" s="45">
        <f t="shared" si="468"/>
        <v>1.0521172506436018</v>
      </c>
      <c r="BA896" s="45">
        <f t="shared" si="469"/>
        <v>0.6020599913279624</v>
      </c>
      <c r="BB896" s="45">
        <f t="shared" si="470"/>
        <v>-0.49429347949184488</v>
      </c>
      <c r="BC896" s="45">
        <f t="shared" si="471"/>
        <v>1.0211892990699381</v>
      </c>
      <c r="BD896" s="45">
        <f t="shared" si="472"/>
        <v>2.0334237554869499</v>
      </c>
      <c r="BE896" s="45">
        <f t="shared" si="473"/>
        <v>3.0464951643347082</v>
      </c>
      <c r="BF896" s="45" t="e">
        <f t="shared" si="474"/>
        <v>#VALUE!</v>
      </c>
      <c r="BG896" s="45" t="e">
        <f t="shared" si="475"/>
        <v>#VALUE!</v>
      </c>
      <c r="BH896" s="45">
        <f t="shared" si="476"/>
        <v>-0.38112650966238809</v>
      </c>
      <c r="BI896" s="43">
        <f t="shared" si="477"/>
        <v>3.0464951643347082</v>
      </c>
      <c r="CA896" s="41" t="s">
        <v>22</v>
      </c>
      <c r="CC896" t="s">
        <v>22</v>
      </c>
      <c r="CE896" s="41" t="s">
        <v>22</v>
      </c>
      <c r="CF896" s="41" t="s">
        <v>22</v>
      </c>
      <c r="CG896" s="41">
        <f t="shared" si="496"/>
        <v>108000</v>
      </c>
      <c r="CH896" s="41">
        <f t="shared" si="497"/>
        <v>5.0334237554869494</v>
      </c>
      <c r="CI896" s="41">
        <f t="shared" si="498"/>
        <v>108000</v>
      </c>
      <c r="CJ896" s="41">
        <f t="shared" si="499"/>
        <v>5.0334237554869494</v>
      </c>
      <c r="CL896" s="9" t="s">
        <v>1269</v>
      </c>
      <c r="CM896" s="18" t="s">
        <v>1283</v>
      </c>
      <c r="CN896" s="54" t="s">
        <v>1284</v>
      </c>
      <c r="CO896" s="18" t="s">
        <v>1284</v>
      </c>
    </row>
    <row r="897" spans="1:93" x14ac:dyDescent="0.25">
      <c r="A897" t="s">
        <v>141</v>
      </c>
      <c r="B897" s="41">
        <v>0.75789473684210507</v>
      </c>
      <c r="C897" s="41">
        <v>1.04318181818181</v>
      </c>
      <c r="D897" s="41">
        <v>0.73095023033149598</v>
      </c>
      <c r="E897" s="41" t="s">
        <v>22</v>
      </c>
      <c r="F897">
        <v>1.91</v>
      </c>
      <c r="G897" t="s">
        <v>52</v>
      </c>
      <c r="H897" t="s">
        <v>22</v>
      </c>
      <c r="I897" t="s">
        <v>22</v>
      </c>
      <c r="J897" s="41">
        <f>0.21^-1</f>
        <v>4.7619047619047619</v>
      </c>
      <c r="K897">
        <v>532</v>
      </c>
      <c r="L897" s="41">
        <f t="shared" si="495"/>
        <v>0.38144087893333328</v>
      </c>
      <c r="M897" t="s">
        <v>45</v>
      </c>
      <c r="N897" s="41">
        <v>502.29226361031499</v>
      </c>
      <c r="O897" s="41">
        <f>(N897/C897)*0.001</f>
        <v>0.48150020912536018</v>
      </c>
      <c r="P897" s="41">
        <v>16.585393234401</v>
      </c>
      <c r="R897" s="41">
        <f t="shared" si="500"/>
        <v>380.68466294676494</v>
      </c>
      <c r="S897" s="41">
        <f>O897*D897</f>
        <v>0.35195268876484548</v>
      </c>
      <c r="T897" s="41" t="s">
        <v>88</v>
      </c>
      <c r="U897" s="41">
        <v>10.5</v>
      </c>
      <c r="V897">
        <v>20200507</v>
      </c>
      <c r="W897" s="21" t="s">
        <v>92</v>
      </c>
      <c r="X897" s="18">
        <v>2018</v>
      </c>
      <c r="Y897" t="s">
        <v>76</v>
      </c>
      <c r="Z897" t="s">
        <v>93</v>
      </c>
      <c r="AA897" t="s">
        <v>737</v>
      </c>
      <c r="AB897" s="41">
        <v>0.41578947368420999</v>
      </c>
      <c r="AC897" t="s">
        <v>514</v>
      </c>
      <c r="AD897" s="41">
        <v>94</v>
      </c>
      <c r="AE897" s="41">
        <v>1562.3359579999999</v>
      </c>
      <c r="AF897" s="41">
        <v>1577</v>
      </c>
      <c r="AG897" s="41" t="s">
        <v>22</v>
      </c>
      <c r="AH897" s="41" t="s">
        <v>22</v>
      </c>
      <c r="AI897" s="41" t="s">
        <v>22</v>
      </c>
      <c r="AJ897" s="41" t="s">
        <v>22</v>
      </c>
      <c r="AK897" s="41" t="s">
        <v>22</v>
      </c>
      <c r="AL897" s="41" t="s">
        <v>22</v>
      </c>
      <c r="AM897" s="43" t="e">
        <f t="shared" si="460"/>
        <v>#VALUE!</v>
      </c>
      <c r="AN897" s="43" t="e">
        <f t="shared" si="461"/>
        <v>#VALUE!</v>
      </c>
      <c r="AO897" s="19" t="s">
        <v>89</v>
      </c>
      <c r="AT897" s="2">
        <f t="shared" si="462"/>
        <v>4</v>
      </c>
      <c r="AU897" s="45">
        <f t="shared" si="463"/>
        <v>-0.12039110885757942</v>
      </c>
      <c r="AV897" s="45">
        <f t="shared" si="464"/>
        <v>1.8360009051070401E-2</v>
      </c>
      <c r="AW897" s="45">
        <f t="shared" si="465"/>
        <v>-0.13611219271141742</v>
      </c>
      <c r="AX897" s="45">
        <f t="shared" si="466"/>
        <v>2.7009564891346147</v>
      </c>
      <c r="AY897" s="45">
        <f t="shared" si="467"/>
        <v>-0.31740351991645555</v>
      </c>
      <c r="AZ897" s="45">
        <f t="shared" si="468"/>
        <v>1.2197257729616735</v>
      </c>
      <c r="BA897" s="45">
        <f t="shared" si="469"/>
        <v>0.6777807052660807</v>
      </c>
      <c r="BB897" s="45">
        <f t="shared" si="470"/>
        <v>-0.41857276555372658</v>
      </c>
      <c r="BC897" s="45">
        <f t="shared" si="471"/>
        <v>1.0211892990699381</v>
      </c>
      <c r="BD897" s="45">
        <f t="shared" si="472"/>
        <v>1.9731278535996986</v>
      </c>
      <c r="BE897" s="45">
        <f t="shared" si="473"/>
        <v>3.197831693328903</v>
      </c>
      <c r="BF897" s="45" t="e">
        <f t="shared" si="474"/>
        <v>#VALUE!</v>
      </c>
      <c r="BG897" s="45" t="e">
        <f t="shared" si="475"/>
        <v>#VALUE!</v>
      </c>
      <c r="BH897" s="45">
        <f t="shared" si="476"/>
        <v>-0.38112650966238809</v>
      </c>
      <c r="BI897" s="43">
        <f t="shared" si="477"/>
        <v>3.197831693328903</v>
      </c>
      <c r="CA897" s="41" t="s">
        <v>22</v>
      </c>
      <c r="CC897" t="s">
        <v>22</v>
      </c>
      <c r="CE897" s="41" t="s">
        <v>22</v>
      </c>
      <c r="CF897" s="41" t="s">
        <v>22</v>
      </c>
      <c r="CG897" s="41">
        <f t="shared" si="496"/>
        <v>94000</v>
      </c>
      <c r="CH897" s="41">
        <f t="shared" si="497"/>
        <v>4.9731278535996983</v>
      </c>
      <c r="CI897" s="41">
        <f t="shared" si="498"/>
        <v>94000</v>
      </c>
      <c r="CJ897" s="41">
        <f t="shared" si="499"/>
        <v>4.9731278535996983</v>
      </c>
      <c r="CL897" s="9" t="s">
        <v>1269</v>
      </c>
      <c r="CM897" s="18" t="s">
        <v>1283</v>
      </c>
      <c r="CN897" s="54" t="s">
        <v>1284</v>
      </c>
      <c r="CO897" s="18" t="s">
        <v>1284</v>
      </c>
    </row>
    <row r="898" spans="1:93" x14ac:dyDescent="0.25">
      <c r="A898" t="s">
        <v>141</v>
      </c>
      <c r="B898" s="41">
        <f>5300*10^-6</f>
        <v>5.3E-3</v>
      </c>
      <c r="C898" s="41" t="s">
        <v>22</v>
      </c>
      <c r="D898" s="41" t="s">
        <v>22</v>
      </c>
      <c r="E898" s="41" t="s">
        <v>22</v>
      </c>
      <c r="F898" t="s">
        <v>22</v>
      </c>
      <c r="G898" t="s">
        <v>22</v>
      </c>
      <c r="H898" t="s">
        <v>22</v>
      </c>
      <c r="I898" t="s">
        <v>22</v>
      </c>
      <c r="J898" s="41" t="s">
        <v>22</v>
      </c>
      <c r="K898" t="s">
        <v>22</v>
      </c>
      <c r="L898" s="41" t="e">
        <f t="shared" si="495"/>
        <v>#VALUE!</v>
      </c>
      <c r="M898" t="s">
        <v>23</v>
      </c>
      <c r="N898" s="41">
        <v>94.7</v>
      </c>
      <c r="O898" s="41" t="s">
        <v>22</v>
      </c>
      <c r="P898" s="41" t="s">
        <v>22</v>
      </c>
      <c r="R898" s="41">
        <f t="shared" si="500"/>
        <v>0.50190999999999997</v>
      </c>
      <c r="S898" s="41" t="s">
        <v>22</v>
      </c>
      <c r="T898" s="41" t="s">
        <v>22</v>
      </c>
      <c r="U898" s="41" t="s">
        <v>22</v>
      </c>
      <c r="V898">
        <v>20200508</v>
      </c>
      <c r="W898" s="21"/>
      <c r="X898" s="18">
        <v>2018</v>
      </c>
      <c r="Y898" t="s">
        <v>26</v>
      </c>
      <c r="Z898" t="s">
        <v>125</v>
      </c>
      <c r="AC898" t="s">
        <v>514</v>
      </c>
      <c r="AD898" s="41" t="s">
        <v>22</v>
      </c>
      <c r="AE898" s="41" t="s">
        <v>22</v>
      </c>
      <c r="AF898" s="41" t="s">
        <v>22</v>
      </c>
      <c r="AG898" s="41" t="s">
        <v>22</v>
      </c>
      <c r="AH898" s="41" t="s">
        <v>22</v>
      </c>
      <c r="AI898" s="41" t="s">
        <v>22</v>
      </c>
      <c r="AJ898" s="41" t="s">
        <v>22</v>
      </c>
      <c r="AK898" s="41" t="s">
        <v>22</v>
      </c>
      <c r="AL898" s="41" t="s">
        <v>22</v>
      </c>
      <c r="AM898" s="43" t="e">
        <f t="shared" ref="AM898:AM961" si="501">AL898/AI898</f>
        <v>#VALUE!</v>
      </c>
      <c r="AN898" s="43" t="e">
        <f t="shared" ref="AN898:AN961" si="502">AL898/AJ898</f>
        <v>#VALUE!</v>
      </c>
      <c r="AO898" s="19" t="s">
        <v>126</v>
      </c>
      <c r="AT898" s="2">
        <f t="shared" ref="AT898:AT961" si="503">COUNTIF($AO$2:$AO$1400,AO898)</f>
        <v>2</v>
      </c>
      <c r="AU898" s="45">
        <f t="shared" ref="AU898:AU961" si="504">LOG10(B898)</f>
        <v>-2.2757241303992108</v>
      </c>
      <c r="AV898" s="45" t="e">
        <f t="shared" ref="AV898:AV961" si="505">LOG10(C898)</f>
        <v>#VALUE!</v>
      </c>
      <c r="AW898" s="45" t="e">
        <f t="shared" ref="AW898:AW961" si="506">LOG10(D898)</f>
        <v>#VALUE!</v>
      </c>
      <c r="AX898" s="45">
        <f t="shared" ref="AX898:AX961" si="507">LOG10(N898)</f>
        <v>1.9763499790032735</v>
      </c>
      <c r="AY898" s="45" t="e">
        <f t="shared" ref="AY898:AY961" si="508">LOG10(O898)</f>
        <v>#VALUE!</v>
      </c>
      <c r="AZ898" s="45" t="e">
        <f t="shared" ref="AZ898:AZ961" si="509">LOG10(P898)</f>
        <v>#VALUE!</v>
      </c>
      <c r="BA898" s="45" t="e">
        <f t="shared" ref="BA898:BA961" si="510">LOG10(J898)</f>
        <v>#VALUE!</v>
      </c>
      <c r="BB898" s="45" t="e">
        <f t="shared" ref="BB898:BB961" si="511">LOG10(L898)</f>
        <v>#VALUE!</v>
      </c>
      <c r="BC898" s="45" t="e">
        <f t="shared" ref="BC898:BC961" si="512">LOG10(U898)</f>
        <v>#VALUE!</v>
      </c>
      <c r="BD898" s="45" t="e">
        <f t="shared" ref="BD898:BD961" si="513">LOG10(AD898)</f>
        <v>#VALUE!</v>
      </c>
      <c r="BE898" s="45" t="e">
        <f t="shared" ref="BE898:BE961" si="514">LOG10(AF898)</f>
        <v>#VALUE!</v>
      </c>
      <c r="BF898" s="45" t="e">
        <f t="shared" ref="BF898:BF961" si="515">LOG10(AM898)</f>
        <v>#VALUE!</v>
      </c>
      <c r="BG898" s="45" t="e">
        <f t="shared" ref="BG898:BG961" si="516">LOG10(AN898)</f>
        <v>#VALUE!</v>
      </c>
      <c r="BH898" s="45" t="e">
        <f t="shared" ref="BH898:BH961" si="517">LOG10(AB898)</f>
        <v>#NUM!</v>
      </c>
      <c r="BI898" s="43" t="e">
        <f t="shared" ref="BI898:BI961" si="518">LOG10(AF898)</f>
        <v>#VALUE!</v>
      </c>
      <c r="CA898" s="41" t="s">
        <v>22</v>
      </c>
      <c r="CC898" t="s">
        <v>22</v>
      </c>
      <c r="CE898" s="41" t="s">
        <v>22</v>
      </c>
      <c r="CF898" s="41" t="s">
        <v>22</v>
      </c>
      <c r="CG898" s="41" t="e">
        <f t="shared" si="496"/>
        <v>#VALUE!</v>
      </c>
      <c r="CH898" s="41" t="e">
        <f t="shared" si="497"/>
        <v>#VALUE!</v>
      </c>
      <c r="CI898" s="41" t="str">
        <f t="shared" si="498"/>
        <v>Not Reported/ Can not calculate</v>
      </c>
      <c r="CJ898" s="41" t="e">
        <f t="shared" si="499"/>
        <v>#VALUE!</v>
      </c>
      <c r="CL898" s="9" t="s">
        <v>1269</v>
      </c>
      <c r="CM898" s="18" t="s">
        <v>1284</v>
      </c>
      <c r="CN898" s="54" t="s">
        <v>1284</v>
      </c>
      <c r="CO898" s="18" t="s">
        <v>1284</v>
      </c>
    </row>
    <row r="899" spans="1:93" x14ac:dyDescent="0.25">
      <c r="A899" t="s">
        <v>141</v>
      </c>
      <c r="B899" s="41">
        <f>42000*10^-6</f>
        <v>4.1999999999999996E-2</v>
      </c>
      <c r="C899" s="41" t="s">
        <v>22</v>
      </c>
      <c r="D899" s="41" t="s">
        <v>22</v>
      </c>
      <c r="E899" s="41" t="s">
        <v>22</v>
      </c>
      <c r="F899" t="s">
        <v>22</v>
      </c>
      <c r="G899" t="s">
        <v>22</v>
      </c>
      <c r="H899" t="s">
        <v>22</v>
      </c>
      <c r="I899" t="s">
        <v>22</v>
      </c>
      <c r="J899" s="41" t="s">
        <v>22</v>
      </c>
      <c r="K899" t="s">
        <v>22</v>
      </c>
      <c r="L899" s="41" t="e">
        <f t="shared" si="495"/>
        <v>#VALUE!</v>
      </c>
      <c r="M899" t="s">
        <v>23</v>
      </c>
      <c r="N899" s="41">
        <v>1215.8</v>
      </c>
      <c r="O899" s="41" t="s">
        <v>22</v>
      </c>
      <c r="P899" s="41" t="s">
        <v>22</v>
      </c>
      <c r="R899" s="41">
        <f t="shared" si="500"/>
        <v>51.063599999999994</v>
      </c>
      <c r="S899" s="41" t="s">
        <v>22</v>
      </c>
      <c r="T899" s="41" t="s">
        <v>22</v>
      </c>
      <c r="U899" s="41" t="s">
        <v>22</v>
      </c>
      <c r="V899">
        <v>20200508</v>
      </c>
      <c r="W899" s="21"/>
      <c r="X899" s="18">
        <v>2018</v>
      </c>
      <c r="Y899" t="s">
        <v>26</v>
      </c>
      <c r="Z899" t="s">
        <v>127</v>
      </c>
      <c r="AC899" t="s">
        <v>514</v>
      </c>
      <c r="AD899" s="41" t="s">
        <v>22</v>
      </c>
      <c r="AE899" s="41" t="s">
        <v>22</v>
      </c>
      <c r="AF899" s="41" t="s">
        <v>22</v>
      </c>
      <c r="AG899" s="41" t="s">
        <v>22</v>
      </c>
      <c r="AH899" s="41" t="s">
        <v>22</v>
      </c>
      <c r="AI899" s="41" t="s">
        <v>22</v>
      </c>
      <c r="AJ899" s="41" t="s">
        <v>22</v>
      </c>
      <c r="AK899" s="41" t="s">
        <v>22</v>
      </c>
      <c r="AL899" s="41" t="s">
        <v>22</v>
      </c>
      <c r="AM899" s="43" t="e">
        <f t="shared" si="501"/>
        <v>#VALUE!</v>
      </c>
      <c r="AN899" s="43" t="e">
        <f t="shared" si="502"/>
        <v>#VALUE!</v>
      </c>
      <c r="AO899" s="19" t="s">
        <v>126</v>
      </c>
      <c r="AT899" s="2">
        <f t="shared" si="503"/>
        <v>2</v>
      </c>
      <c r="AU899" s="45">
        <f t="shared" si="504"/>
        <v>-1.3767507096020997</v>
      </c>
      <c r="AV899" s="45" t="e">
        <f t="shared" si="505"/>
        <v>#VALUE!</v>
      </c>
      <c r="AW899" s="45" t="e">
        <f t="shared" si="506"/>
        <v>#VALUE!</v>
      </c>
      <c r="AX899" s="45">
        <f t="shared" si="507"/>
        <v>3.0848621390484223</v>
      </c>
      <c r="AY899" s="45" t="e">
        <f t="shared" si="508"/>
        <v>#VALUE!</v>
      </c>
      <c r="AZ899" s="45" t="e">
        <f t="shared" si="509"/>
        <v>#VALUE!</v>
      </c>
      <c r="BA899" s="45" t="e">
        <f t="shared" si="510"/>
        <v>#VALUE!</v>
      </c>
      <c r="BB899" s="45" t="e">
        <f t="shared" si="511"/>
        <v>#VALUE!</v>
      </c>
      <c r="BC899" s="45" t="e">
        <f t="shared" si="512"/>
        <v>#VALUE!</v>
      </c>
      <c r="BD899" s="45" t="e">
        <f t="shared" si="513"/>
        <v>#VALUE!</v>
      </c>
      <c r="BE899" s="45" t="e">
        <f t="shared" si="514"/>
        <v>#VALUE!</v>
      </c>
      <c r="BF899" s="45" t="e">
        <f t="shared" si="515"/>
        <v>#VALUE!</v>
      </c>
      <c r="BG899" s="45" t="e">
        <f t="shared" si="516"/>
        <v>#VALUE!</v>
      </c>
      <c r="BH899" s="45" t="e">
        <f t="shared" si="517"/>
        <v>#NUM!</v>
      </c>
      <c r="BI899" s="43" t="e">
        <f t="shared" si="518"/>
        <v>#VALUE!</v>
      </c>
      <c r="CA899" s="41" t="s">
        <v>22</v>
      </c>
      <c r="CC899" t="s">
        <v>22</v>
      </c>
      <c r="CE899" s="41" t="s">
        <v>22</v>
      </c>
      <c r="CF899" s="41" t="s">
        <v>22</v>
      </c>
      <c r="CG899" s="41" t="e">
        <f t="shared" si="496"/>
        <v>#VALUE!</v>
      </c>
      <c r="CH899" s="41" t="e">
        <f t="shared" si="497"/>
        <v>#VALUE!</v>
      </c>
      <c r="CI899" s="41" t="str">
        <f t="shared" si="498"/>
        <v>Not Reported/ Can not calculate</v>
      </c>
      <c r="CJ899" s="41" t="e">
        <f t="shared" si="499"/>
        <v>#VALUE!</v>
      </c>
      <c r="CL899" s="9" t="s">
        <v>1269</v>
      </c>
      <c r="CM899" s="18" t="s">
        <v>1284</v>
      </c>
      <c r="CN899" s="54" t="s">
        <v>1284</v>
      </c>
      <c r="CO899" s="18" t="s">
        <v>1284</v>
      </c>
    </row>
    <row r="900" spans="1:93" x14ac:dyDescent="0.25">
      <c r="A900" t="s">
        <v>266</v>
      </c>
      <c r="B900" s="41">
        <v>0.38461538461538458</v>
      </c>
      <c r="C900" s="41" t="s">
        <v>22</v>
      </c>
      <c r="D900" s="41" t="s">
        <v>22</v>
      </c>
      <c r="E900" s="41" t="s">
        <v>22</v>
      </c>
      <c r="F900" t="s">
        <v>22</v>
      </c>
      <c r="G900" t="s">
        <v>22</v>
      </c>
      <c r="H900" t="s">
        <v>22</v>
      </c>
      <c r="I900" t="s">
        <v>22</v>
      </c>
      <c r="J900" s="41" t="s">
        <v>22</v>
      </c>
      <c r="K900" t="s">
        <v>22</v>
      </c>
      <c r="L900" s="41" t="s">
        <v>22</v>
      </c>
      <c r="M900" t="s">
        <v>45</v>
      </c>
      <c r="N900" s="41" t="s">
        <v>22</v>
      </c>
      <c r="O900" s="41" t="s">
        <v>22</v>
      </c>
      <c r="P900" s="41" t="s">
        <v>22</v>
      </c>
      <c r="R900" s="41" t="s">
        <v>22</v>
      </c>
      <c r="S900" s="41" t="s">
        <v>22</v>
      </c>
      <c r="T900" s="41">
        <v>1.41</v>
      </c>
      <c r="U900" s="41">
        <v>1.41</v>
      </c>
      <c r="V900">
        <v>20200512</v>
      </c>
      <c r="W900" s="16" t="s">
        <v>602</v>
      </c>
      <c r="X900" s="6">
        <v>2018</v>
      </c>
      <c r="Y900" t="s">
        <v>59</v>
      </c>
      <c r="Z900" t="s">
        <v>124</v>
      </c>
      <c r="AA900" t="s">
        <v>737</v>
      </c>
      <c r="AB900" s="41">
        <v>1.282051282051282E-2</v>
      </c>
      <c r="AC900" t="s">
        <v>514</v>
      </c>
      <c r="AD900" s="41" t="s">
        <v>22</v>
      </c>
      <c r="AE900" s="41" t="s">
        <v>22</v>
      </c>
      <c r="AF900" s="41" t="s">
        <v>22</v>
      </c>
      <c r="AG900" s="41" t="s">
        <v>22</v>
      </c>
      <c r="AH900" s="41" t="s">
        <v>22</v>
      </c>
      <c r="AI900" s="41" t="s">
        <v>22</v>
      </c>
      <c r="AJ900" s="41" t="s">
        <v>22</v>
      </c>
      <c r="AK900" s="41" t="s">
        <v>22</v>
      </c>
      <c r="AL900" s="41" t="s">
        <v>22</v>
      </c>
      <c r="AM900" s="43" t="e">
        <f t="shared" si="501"/>
        <v>#VALUE!</v>
      </c>
      <c r="AN900" s="43" t="e">
        <f t="shared" si="502"/>
        <v>#VALUE!</v>
      </c>
      <c r="AO900" s="19" t="s">
        <v>603</v>
      </c>
      <c r="AT900" s="2">
        <f t="shared" si="503"/>
        <v>2</v>
      </c>
      <c r="AU900" s="45">
        <f t="shared" si="504"/>
        <v>-0.41497334797081803</v>
      </c>
      <c r="AV900" s="45" t="e">
        <f t="shared" si="505"/>
        <v>#VALUE!</v>
      </c>
      <c r="AW900" s="45" t="e">
        <f t="shared" si="506"/>
        <v>#VALUE!</v>
      </c>
      <c r="AX900" s="45" t="e">
        <f t="shared" si="507"/>
        <v>#VALUE!</v>
      </c>
      <c r="AY900" s="45" t="e">
        <f t="shared" si="508"/>
        <v>#VALUE!</v>
      </c>
      <c r="AZ900" s="45" t="e">
        <f t="shared" si="509"/>
        <v>#VALUE!</v>
      </c>
      <c r="BA900" s="45" t="e">
        <f t="shared" si="510"/>
        <v>#VALUE!</v>
      </c>
      <c r="BB900" s="45" t="e">
        <f t="shared" si="511"/>
        <v>#VALUE!</v>
      </c>
      <c r="BC900" s="45">
        <f t="shared" si="512"/>
        <v>0.14921911265537988</v>
      </c>
      <c r="BD900" s="45" t="e">
        <f t="shared" si="513"/>
        <v>#VALUE!</v>
      </c>
      <c r="BE900" s="45" t="e">
        <f t="shared" si="514"/>
        <v>#VALUE!</v>
      </c>
      <c r="BF900" s="45" t="e">
        <f t="shared" si="515"/>
        <v>#VALUE!</v>
      </c>
      <c r="BG900" s="45" t="e">
        <f t="shared" si="516"/>
        <v>#VALUE!</v>
      </c>
      <c r="BH900" s="45">
        <f t="shared" si="517"/>
        <v>-1.8920946026904804</v>
      </c>
      <c r="BI900" s="43" t="e">
        <f t="shared" si="518"/>
        <v>#VALUE!</v>
      </c>
      <c r="CA900" s="41" t="s">
        <v>22</v>
      </c>
      <c r="CC900" t="s">
        <v>22</v>
      </c>
      <c r="CE900" s="41" t="s">
        <v>22</v>
      </c>
      <c r="CF900" s="41" t="s">
        <v>22</v>
      </c>
      <c r="CG900" s="41" t="e">
        <f t="shared" si="496"/>
        <v>#VALUE!</v>
      </c>
      <c r="CH900" s="41" t="e">
        <f t="shared" si="497"/>
        <v>#VALUE!</v>
      </c>
      <c r="CI900" s="41">
        <f t="shared" si="498"/>
        <v>1.41</v>
      </c>
      <c r="CJ900" s="41">
        <f t="shared" si="499"/>
        <v>0.14921911265537988</v>
      </c>
      <c r="CL900" s="9" t="s">
        <v>1269</v>
      </c>
      <c r="CM900" s="18" t="s">
        <v>1285</v>
      </c>
      <c r="CN900" s="54" t="s">
        <v>1284</v>
      </c>
      <c r="CO900" s="18" t="s">
        <v>1284</v>
      </c>
    </row>
    <row r="901" spans="1:93" x14ac:dyDescent="0.25">
      <c r="A901" s="18" t="s">
        <v>266</v>
      </c>
      <c r="B901" s="41">
        <v>1.282051282051282E-2</v>
      </c>
      <c r="C901" s="41" t="s">
        <v>22</v>
      </c>
      <c r="D901" s="41" t="s">
        <v>22</v>
      </c>
      <c r="E901" s="41" t="s">
        <v>22</v>
      </c>
      <c r="F901" t="s">
        <v>22</v>
      </c>
      <c r="G901" t="s">
        <v>22</v>
      </c>
      <c r="H901" t="s">
        <v>22</v>
      </c>
      <c r="I901" t="s">
        <v>22</v>
      </c>
      <c r="J901" s="41" t="s">
        <v>22</v>
      </c>
      <c r="K901" t="s">
        <v>22</v>
      </c>
      <c r="L901" s="41" t="s">
        <v>22</v>
      </c>
      <c r="M901" t="s">
        <v>23</v>
      </c>
      <c r="N901" s="41" t="s">
        <v>22</v>
      </c>
      <c r="O901" s="41" t="s">
        <v>22</v>
      </c>
      <c r="P901" s="41" t="s">
        <v>22</v>
      </c>
      <c r="R901" s="41" t="s">
        <v>22</v>
      </c>
      <c r="S901" s="41" t="s">
        <v>22</v>
      </c>
      <c r="T901" s="41">
        <v>1.41</v>
      </c>
      <c r="U901" s="41">
        <v>1.41</v>
      </c>
      <c r="V901">
        <v>20200512</v>
      </c>
      <c r="W901" s="16" t="s">
        <v>602</v>
      </c>
      <c r="X901" s="6">
        <v>2018</v>
      </c>
      <c r="Y901" s="18" t="s">
        <v>59</v>
      </c>
      <c r="Z901" s="18" t="s">
        <v>32</v>
      </c>
      <c r="AC901" t="s">
        <v>514</v>
      </c>
      <c r="AD901" s="41" t="s">
        <v>22</v>
      </c>
      <c r="AE901" s="41" t="s">
        <v>22</v>
      </c>
      <c r="AF901" s="41" t="s">
        <v>22</v>
      </c>
      <c r="AG901" s="41" t="s">
        <v>22</v>
      </c>
      <c r="AH901" s="41" t="s">
        <v>22</v>
      </c>
      <c r="AI901" s="41" t="s">
        <v>22</v>
      </c>
      <c r="AJ901" s="41" t="s">
        <v>22</v>
      </c>
      <c r="AK901" s="41" t="s">
        <v>22</v>
      </c>
      <c r="AL901" s="41" t="s">
        <v>22</v>
      </c>
      <c r="AM901" s="43" t="e">
        <f t="shared" si="501"/>
        <v>#VALUE!</v>
      </c>
      <c r="AN901" s="43" t="e">
        <f t="shared" si="502"/>
        <v>#VALUE!</v>
      </c>
      <c r="AO901" s="19" t="s">
        <v>603</v>
      </c>
      <c r="AT901" s="2">
        <f t="shared" si="503"/>
        <v>2</v>
      </c>
      <c r="AU901" s="45">
        <f t="shared" si="504"/>
        <v>-1.8920946026904804</v>
      </c>
      <c r="AV901" s="45" t="e">
        <f t="shared" si="505"/>
        <v>#VALUE!</v>
      </c>
      <c r="AW901" s="45" t="e">
        <f t="shared" si="506"/>
        <v>#VALUE!</v>
      </c>
      <c r="AX901" s="45" t="e">
        <f t="shared" si="507"/>
        <v>#VALUE!</v>
      </c>
      <c r="AY901" s="45" t="e">
        <f t="shared" si="508"/>
        <v>#VALUE!</v>
      </c>
      <c r="AZ901" s="45" t="e">
        <f t="shared" si="509"/>
        <v>#VALUE!</v>
      </c>
      <c r="BA901" s="45" t="e">
        <f t="shared" si="510"/>
        <v>#VALUE!</v>
      </c>
      <c r="BB901" s="45" t="e">
        <f t="shared" si="511"/>
        <v>#VALUE!</v>
      </c>
      <c r="BC901" s="45">
        <f t="shared" si="512"/>
        <v>0.14921911265537988</v>
      </c>
      <c r="BD901" s="45" t="e">
        <f t="shared" si="513"/>
        <v>#VALUE!</v>
      </c>
      <c r="BE901" s="45" t="e">
        <f t="shared" si="514"/>
        <v>#VALUE!</v>
      </c>
      <c r="BF901" s="45" t="e">
        <f t="shared" si="515"/>
        <v>#VALUE!</v>
      </c>
      <c r="BG901" s="45" t="e">
        <f t="shared" si="516"/>
        <v>#VALUE!</v>
      </c>
      <c r="BH901" s="45" t="e">
        <f t="shared" si="517"/>
        <v>#NUM!</v>
      </c>
      <c r="BI901" s="43" t="e">
        <f t="shared" si="518"/>
        <v>#VALUE!</v>
      </c>
      <c r="CA901" s="41" t="s">
        <v>22</v>
      </c>
      <c r="CC901" t="s">
        <v>22</v>
      </c>
      <c r="CE901" s="41" t="s">
        <v>22</v>
      </c>
      <c r="CF901" s="41" t="s">
        <v>22</v>
      </c>
      <c r="CG901" s="41" t="e">
        <f t="shared" si="496"/>
        <v>#VALUE!</v>
      </c>
      <c r="CH901" s="41" t="e">
        <f t="shared" si="497"/>
        <v>#VALUE!</v>
      </c>
      <c r="CI901" s="41">
        <f t="shared" si="498"/>
        <v>1.41</v>
      </c>
      <c r="CJ901" s="41">
        <f t="shared" si="499"/>
        <v>0.14921911265537988</v>
      </c>
      <c r="CL901" s="9" t="s">
        <v>1269</v>
      </c>
      <c r="CM901" s="18" t="s">
        <v>1285</v>
      </c>
      <c r="CN901" s="54" t="s">
        <v>1284</v>
      </c>
      <c r="CO901" s="18" t="s">
        <v>1284</v>
      </c>
    </row>
    <row r="902" spans="1:93" x14ac:dyDescent="0.25">
      <c r="A902" s="18" t="s">
        <v>315</v>
      </c>
      <c r="B902" s="41">
        <v>6.2111801242236017E-2</v>
      </c>
      <c r="C902" s="41" t="s">
        <v>22</v>
      </c>
      <c r="D902" s="41" t="s">
        <v>22</v>
      </c>
      <c r="E902" s="41" t="s">
        <v>22</v>
      </c>
      <c r="F902" t="s">
        <v>22</v>
      </c>
      <c r="G902" t="s">
        <v>22</v>
      </c>
      <c r="H902" t="s">
        <v>22</v>
      </c>
      <c r="I902" t="s">
        <v>22</v>
      </c>
      <c r="J902" s="41">
        <v>50</v>
      </c>
      <c r="K902">
        <v>633</v>
      </c>
      <c r="L902" s="41">
        <f t="shared" ref="L902:L913" si="519">IF((10^-12)*J902*K902^4=0,"",(10^-12)*J902*K902^4)</f>
        <v>8.0275837360499995</v>
      </c>
      <c r="M902" t="s">
        <v>23</v>
      </c>
      <c r="N902" s="41" t="s">
        <v>22</v>
      </c>
      <c r="O902" s="41" t="s">
        <v>22</v>
      </c>
      <c r="P902" s="41" t="s">
        <v>22</v>
      </c>
      <c r="R902" s="41" t="s">
        <v>22</v>
      </c>
      <c r="S902" s="41" t="s">
        <v>22</v>
      </c>
      <c r="T902" s="41" t="s">
        <v>22</v>
      </c>
      <c r="U902" s="41" t="s">
        <v>22</v>
      </c>
      <c r="V902">
        <v>20200512</v>
      </c>
      <c r="X902" s="6">
        <v>2018</v>
      </c>
      <c r="Y902" s="18" t="s">
        <v>328</v>
      </c>
      <c r="Z902" s="18" t="s">
        <v>32</v>
      </c>
      <c r="AA902" s="18"/>
      <c r="AC902" t="s">
        <v>514</v>
      </c>
      <c r="AD902" s="41" t="s">
        <v>22</v>
      </c>
      <c r="AE902" s="41">
        <v>1593</v>
      </c>
      <c r="AF902" s="41" t="s">
        <v>22</v>
      </c>
      <c r="AG902" s="41" t="s">
        <v>22</v>
      </c>
      <c r="AH902" s="41" t="s">
        <v>22</v>
      </c>
      <c r="AI902" s="41" t="s">
        <v>22</v>
      </c>
      <c r="AJ902" s="41" t="s">
        <v>22</v>
      </c>
      <c r="AK902" s="41" t="s">
        <v>22</v>
      </c>
      <c r="AL902" s="41" t="s">
        <v>22</v>
      </c>
      <c r="AM902" s="43" t="e">
        <f t="shared" si="501"/>
        <v>#VALUE!</v>
      </c>
      <c r="AN902" s="43" t="e">
        <f t="shared" si="502"/>
        <v>#VALUE!</v>
      </c>
      <c r="AO902" s="19" t="s">
        <v>589</v>
      </c>
      <c r="AT902" s="2">
        <f t="shared" si="503"/>
        <v>6</v>
      </c>
      <c r="AU902" s="45">
        <f t="shared" si="504"/>
        <v>-1.2068258760318498</v>
      </c>
      <c r="AV902" s="45" t="e">
        <f t="shared" si="505"/>
        <v>#VALUE!</v>
      </c>
      <c r="AW902" s="45" t="e">
        <f t="shared" si="506"/>
        <v>#VALUE!</v>
      </c>
      <c r="AX902" s="45" t="e">
        <f t="shared" si="507"/>
        <v>#VALUE!</v>
      </c>
      <c r="AY902" s="45" t="e">
        <f t="shared" si="508"/>
        <v>#VALUE!</v>
      </c>
      <c r="AZ902" s="45" t="e">
        <f t="shared" si="509"/>
        <v>#VALUE!</v>
      </c>
      <c r="BA902" s="45">
        <f t="shared" si="510"/>
        <v>1.6989700043360187</v>
      </c>
      <c r="BB902" s="45">
        <f t="shared" si="511"/>
        <v>0.90458484440543918</v>
      </c>
      <c r="BC902" s="45" t="e">
        <f t="shared" si="512"/>
        <v>#VALUE!</v>
      </c>
      <c r="BD902" s="45" t="e">
        <f t="shared" si="513"/>
        <v>#VALUE!</v>
      </c>
      <c r="BE902" s="45" t="e">
        <f t="shared" si="514"/>
        <v>#VALUE!</v>
      </c>
      <c r="BF902" s="45" t="e">
        <f t="shared" si="515"/>
        <v>#VALUE!</v>
      </c>
      <c r="BG902" s="45" t="e">
        <f t="shared" si="516"/>
        <v>#VALUE!</v>
      </c>
      <c r="BH902" s="45" t="e">
        <f t="shared" si="517"/>
        <v>#NUM!</v>
      </c>
      <c r="BI902" s="43" t="e">
        <f t="shared" si="518"/>
        <v>#VALUE!</v>
      </c>
      <c r="CA902" s="41" t="s">
        <v>22</v>
      </c>
      <c r="CC902" t="s">
        <v>22</v>
      </c>
      <c r="CE902" s="41" t="s">
        <v>22</v>
      </c>
      <c r="CF902" s="41" t="s">
        <v>22</v>
      </c>
      <c r="CG902" s="41" t="e">
        <f t="shared" si="496"/>
        <v>#VALUE!</v>
      </c>
      <c r="CH902" s="41" t="e">
        <f t="shared" si="497"/>
        <v>#VALUE!</v>
      </c>
      <c r="CI902" s="41" t="str">
        <f t="shared" si="498"/>
        <v>Not Reported/ Can not calculate</v>
      </c>
      <c r="CJ902" s="41" t="e">
        <f t="shared" si="499"/>
        <v>#VALUE!</v>
      </c>
      <c r="CL902" s="9" t="s">
        <v>1269</v>
      </c>
      <c r="CM902" s="18" t="s">
        <v>1284</v>
      </c>
      <c r="CN902" s="54" t="s">
        <v>1284</v>
      </c>
      <c r="CO902" s="18" t="s">
        <v>1284</v>
      </c>
    </row>
    <row r="903" spans="1:93" x14ac:dyDescent="0.25">
      <c r="A903" t="s">
        <v>315</v>
      </c>
      <c r="B903" s="41">
        <v>0.15151515151515152</v>
      </c>
      <c r="C903" s="41" t="s">
        <v>22</v>
      </c>
      <c r="D903" s="41" t="s">
        <v>22</v>
      </c>
      <c r="E903" s="41" t="s">
        <v>22</v>
      </c>
      <c r="F903" t="s">
        <v>22</v>
      </c>
      <c r="G903" t="s">
        <v>22</v>
      </c>
      <c r="H903" t="s">
        <v>22</v>
      </c>
      <c r="I903" t="s">
        <v>22</v>
      </c>
      <c r="J903" s="41">
        <v>33.333333333333336</v>
      </c>
      <c r="K903">
        <v>633</v>
      </c>
      <c r="L903" s="41">
        <f t="shared" si="519"/>
        <v>5.3517224907000003</v>
      </c>
      <c r="M903" t="s">
        <v>45</v>
      </c>
      <c r="N903" s="41" t="s">
        <v>22</v>
      </c>
      <c r="O903" s="41" t="s">
        <v>22</v>
      </c>
      <c r="P903" s="41" t="s">
        <v>22</v>
      </c>
      <c r="R903" s="41" t="s">
        <v>22</v>
      </c>
      <c r="S903" s="41" t="s">
        <v>22</v>
      </c>
      <c r="T903" s="41" t="s">
        <v>22</v>
      </c>
      <c r="U903" s="41" t="s">
        <v>22</v>
      </c>
      <c r="V903">
        <v>20200512</v>
      </c>
      <c r="W903" s="21"/>
      <c r="X903" s="6">
        <v>2018</v>
      </c>
      <c r="Y903" t="s">
        <v>328</v>
      </c>
      <c r="Z903" t="s">
        <v>124</v>
      </c>
      <c r="AA903" t="s">
        <v>752</v>
      </c>
      <c r="AB903" s="41">
        <v>6.2111801242236017E-2</v>
      </c>
      <c r="AC903" t="s">
        <v>514</v>
      </c>
      <c r="AD903" s="41" t="s">
        <v>22</v>
      </c>
      <c r="AE903" s="41">
        <v>1600</v>
      </c>
      <c r="AF903" s="41" t="s">
        <v>22</v>
      </c>
      <c r="AG903" s="41" t="s">
        <v>22</v>
      </c>
      <c r="AH903" s="41" t="s">
        <v>22</v>
      </c>
      <c r="AI903" s="41" t="s">
        <v>22</v>
      </c>
      <c r="AJ903" s="41" t="s">
        <v>22</v>
      </c>
      <c r="AK903" s="41" t="s">
        <v>22</v>
      </c>
      <c r="AL903" s="41" t="s">
        <v>22</v>
      </c>
      <c r="AM903" s="43" t="e">
        <f t="shared" si="501"/>
        <v>#VALUE!</v>
      </c>
      <c r="AN903" s="43" t="e">
        <f t="shared" si="502"/>
        <v>#VALUE!</v>
      </c>
      <c r="AO903" s="19" t="s">
        <v>589</v>
      </c>
      <c r="AT903" s="2">
        <f t="shared" si="503"/>
        <v>6</v>
      </c>
      <c r="AU903" s="45">
        <f t="shared" si="504"/>
        <v>-0.81954393554186866</v>
      </c>
      <c r="AV903" s="45" t="e">
        <f t="shared" si="505"/>
        <v>#VALUE!</v>
      </c>
      <c r="AW903" s="45" t="e">
        <f t="shared" si="506"/>
        <v>#VALUE!</v>
      </c>
      <c r="AX903" s="45" t="e">
        <f t="shared" si="507"/>
        <v>#VALUE!</v>
      </c>
      <c r="AY903" s="45" t="e">
        <f t="shared" si="508"/>
        <v>#VALUE!</v>
      </c>
      <c r="AZ903" s="45" t="e">
        <f t="shared" si="509"/>
        <v>#VALUE!</v>
      </c>
      <c r="BA903" s="45">
        <f t="shared" si="510"/>
        <v>1.5228787452803376</v>
      </c>
      <c r="BB903" s="45">
        <f t="shared" si="511"/>
        <v>0.72849358534975794</v>
      </c>
      <c r="BC903" s="45" t="e">
        <f t="shared" si="512"/>
        <v>#VALUE!</v>
      </c>
      <c r="BD903" s="45" t="e">
        <f t="shared" si="513"/>
        <v>#VALUE!</v>
      </c>
      <c r="BE903" s="45" t="e">
        <f t="shared" si="514"/>
        <v>#VALUE!</v>
      </c>
      <c r="BF903" s="45" t="e">
        <f t="shared" si="515"/>
        <v>#VALUE!</v>
      </c>
      <c r="BG903" s="45" t="e">
        <f t="shared" si="516"/>
        <v>#VALUE!</v>
      </c>
      <c r="BH903" s="45">
        <f t="shared" si="517"/>
        <v>-1.2068258760318498</v>
      </c>
      <c r="BI903" s="43" t="e">
        <f t="shared" si="518"/>
        <v>#VALUE!</v>
      </c>
      <c r="BL903" s="20"/>
      <c r="CA903" s="41" t="s">
        <v>22</v>
      </c>
      <c r="CC903" t="s">
        <v>22</v>
      </c>
      <c r="CE903" s="41" t="s">
        <v>22</v>
      </c>
      <c r="CF903" s="41" t="s">
        <v>22</v>
      </c>
      <c r="CG903" s="41" t="e">
        <f t="shared" si="496"/>
        <v>#VALUE!</v>
      </c>
      <c r="CH903" s="41" t="e">
        <f t="shared" si="497"/>
        <v>#VALUE!</v>
      </c>
      <c r="CI903" s="41" t="str">
        <f t="shared" si="498"/>
        <v>Not Reported/ Can not calculate</v>
      </c>
      <c r="CJ903" s="41" t="e">
        <f t="shared" si="499"/>
        <v>#VALUE!</v>
      </c>
      <c r="CL903" s="9" t="s">
        <v>1269</v>
      </c>
      <c r="CM903" s="18" t="s">
        <v>1284</v>
      </c>
      <c r="CN903" s="54" t="s">
        <v>1284</v>
      </c>
      <c r="CO903" s="18" t="s">
        <v>1284</v>
      </c>
    </row>
    <row r="904" spans="1:93" x14ac:dyDescent="0.25">
      <c r="A904" t="s">
        <v>315</v>
      </c>
      <c r="B904" s="41">
        <v>7.8125E-2</v>
      </c>
      <c r="C904" s="41" t="s">
        <v>22</v>
      </c>
      <c r="D904" s="41" t="s">
        <v>22</v>
      </c>
      <c r="E904" s="41" t="s">
        <v>22</v>
      </c>
      <c r="F904" t="s">
        <v>22</v>
      </c>
      <c r="G904" t="s">
        <v>22</v>
      </c>
      <c r="H904" t="s">
        <v>22</v>
      </c>
      <c r="I904" t="s">
        <v>22</v>
      </c>
      <c r="J904" s="41">
        <v>33.333333333333336</v>
      </c>
      <c r="K904">
        <v>633</v>
      </c>
      <c r="L904" s="41">
        <f t="shared" si="519"/>
        <v>5.3517224907000003</v>
      </c>
      <c r="M904" t="s">
        <v>45</v>
      </c>
      <c r="N904" s="41" t="s">
        <v>22</v>
      </c>
      <c r="O904" s="41" t="s">
        <v>22</v>
      </c>
      <c r="P904" s="41" t="s">
        <v>22</v>
      </c>
      <c r="R904" s="41" t="s">
        <v>22</v>
      </c>
      <c r="S904" s="41" t="s">
        <v>22</v>
      </c>
      <c r="T904" s="41" t="s">
        <v>22</v>
      </c>
      <c r="U904" s="41" t="s">
        <v>22</v>
      </c>
      <c r="V904">
        <v>20200512</v>
      </c>
      <c r="W904" s="21"/>
      <c r="X904" s="6">
        <v>2018</v>
      </c>
      <c r="Y904" t="s">
        <v>328</v>
      </c>
      <c r="Z904" t="s">
        <v>124</v>
      </c>
      <c r="AA904" t="s">
        <v>753</v>
      </c>
      <c r="AB904" s="41">
        <v>6.2111801242236017E-2</v>
      </c>
      <c r="AC904" t="s">
        <v>514</v>
      </c>
      <c r="AD904" s="41" t="s">
        <v>22</v>
      </c>
      <c r="AE904" s="41">
        <v>1590</v>
      </c>
      <c r="AF904" s="41" t="s">
        <v>22</v>
      </c>
      <c r="AG904" s="41" t="s">
        <v>22</v>
      </c>
      <c r="AH904" s="41" t="s">
        <v>22</v>
      </c>
      <c r="AI904" s="41" t="s">
        <v>22</v>
      </c>
      <c r="AJ904" s="41" t="s">
        <v>22</v>
      </c>
      <c r="AK904" s="41" t="s">
        <v>22</v>
      </c>
      <c r="AL904" s="41" t="s">
        <v>22</v>
      </c>
      <c r="AM904" s="43" t="e">
        <f t="shared" si="501"/>
        <v>#VALUE!</v>
      </c>
      <c r="AN904" s="43" t="e">
        <f t="shared" si="502"/>
        <v>#VALUE!</v>
      </c>
      <c r="AO904" s="19" t="s">
        <v>589</v>
      </c>
      <c r="AT904" s="2">
        <f t="shared" si="503"/>
        <v>6</v>
      </c>
      <c r="AU904" s="45">
        <f t="shared" si="504"/>
        <v>-1.1072099696478683</v>
      </c>
      <c r="AV904" s="45" t="e">
        <f t="shared" si="505"/>
        <v>#VALUE!</v>
      </c>
      <c r="AW904" s="45" t="e">
        <f t="shared" si="506"/>
        <v>#VALUE!</v>
      </c>
      <c r="AX904" s="45" t="e">
        <f t="shared" si="507"/>
        <v>#VALUE!</v>
      </c>
      <c r="AY904" s="45" t="e">
        <f t="shared" si="508"/>
        <v>#VALUE!</v>
      </c>
      <c r="AZ904" s="45" t="e">
        <f t="shared" si="509"/>
        <v>#VALUE!</v>
      </c>
      <c r="BA904" s="45">
        <f t="shared" si="510"/>
        <v>1.5228787452803376</v>
      </c>
      <c r="BB904" s="45">
        <f t="shared" si="511"/>
        <v>0.72849358534975794</v>
      </c>
      <c r="BC904" s="45" t="e">
        <f t="shared" si="512"/>
        <v>#VALUE!</v>
      </c>
      <c r="BD904" s="45" t="e">
        <f t="shared" si="513"/>
        <v>#VALUE!</v>
      </c>
      <c r="BE904" s="45" t="e">
        <f t="shared" si="514"/>
        <v>#VALUE!</v>
      </c>
      <c r="BF904" s="45" t="e">
        <f t="shared" si="515"/>
        <v>#VALUE!</v>
      </c>
      <c r="BG904" s="45" t="e">
        <f t="shared" si="516"/>
        <v>#VALUE!</v>
      </c>
      <c r="BH904" s="45">
        <f t="shared" si="517"/>
        <v>-1.2068258760318498</v>
      </c>
      <c r="BI904" s="43" t="e">
        <f t="shared" si="518"/>
        <v>#VALUE!</v>
      </c>
      <c r="BL904" s="20"/>
      <c r="CA904" s="41" t="s">
        <v>22</v>
      </c>
      <c r="CC904" t="s">
        <v>22</v>
      </c>
      <c r="CE904" s="41" t="s">
        <v>22</v>
      </c>
      <c r="CF904" s="41" t="s">
        <v>22</v>
      </c>
      <c r="CG904" s="41" t="e">
        <f t="shared" si="496"/>
        <v>#VALUE!</v>
      </c>
      <c r="CH904" s="41" t="e">
        <f t="shared" si="497"/>
        <v>#VALUE!</v>
      </c>
      <c r="CI904" s="41" t="str">
        <f t="shared" si="498"/>
        <v>Not Reported/ Can not calculate</v>
      </c>
      <c r="CJ904" s="41" t="e">
        <f t="shared" si="499"/>
        <v>#VALUE!</v>
      </c>
      <c r="CL904" s="9" t="s">
        <v>1269</v>
      </c>
      <c r="CM904" s="18" t="s">
        <v>1284</v>
      </c>
      <c r="CN904" s="54" t="s">
        <v>1284</v>
      </c>
      <c r="CO904" s="18" t="s">
        <v>1284</v>
      </c>
    </row>
    <row r="905" spans="1:93" x14ac:dyDescent="0.25">
      <c r="A905" t="s">
        <v>315</v>
      </c>
      <c r="B905" s="41">
        <v>1.6129032258064516E-2</v>
      </c>
      <c r="C905" s="41" t="s">
        <v>22</v>
      </c>
      <c r="D905" s="41" t="s">
        <v>22</v>
      </c>
      <c r="E905" s="41" t="s">
        <v>22</v>
      </c>
      <c r="F905" t="s">
        <v>22</v>
      </c>
      <c r="G905" t="s">
        <v>22</v>
      </c>
      <c r="H905" t="s">
        <v>22</v>
      </c>
      <c r="I905" t="s">
        <v>22</v>
      </c>
      <c r="J905" s="41">
        <v>25</v>
      </c>
      <c r="K905">
        <v>633</v>
      </c>
      <c r="L905" s="41">
        <f t="shared" si="519"/>
        <v>4.0137918680249998</v>
      </c>
      <c r="M905" t="s">
        <v>23</v>
      </c>
      <c r="N905" s="41" t="s">
        <v>22</v>
      </c>
      <c r="O905" s="41" t="s">
        <v>22</v>
      </c>
      <c r="P905" s="41" t="s">
        <v>22</v>
      </c>
      <c r="R905" s="41" t="s">
        <v>22</v>
      </c>
      <c r="S905" s="41" t="s">
        <v>22</v>
      </c>
      <c r="T905" s="41" t="s">
        <v>22</v>
      </c>
      <c r="U905" s="41" t="s">
        <v>22</v>
      </c>
      <c r="V905">
        <v>20200512</v>
      </c>
      <c r="W905" s="21"/>
      <c r="X905" s="6">
        <v>2018</v>
      </c>
      <c r="Y905" t="s">
        <v>328</v>
      </c>
      <c r="Z905" t="s">
        <v>534</v>
      </c>
      <c r="AC905" t="s">
        <v>285</v>
      </c>
      <c r="AD905" s="41" t="s">
        <v>22</v>
      </c>
      <c r="AE905" s="41">
        <v>1591</v>
      </c>
      <c r="AF905" s="41" t="s">
        <v>22</v>
      </c>
      <c r="AG905" s="41" t="s">
        <v>22</v>
      </c>
      <c r="AH905" s="41" t="s">
        <v>22</v>
      </c>
      <c r="AI905" s="41" t="s">
        <v>22</v>
      </c>
      <c r="AJ905" s="41" t="s">
        <v>22</v>
      </c>
      <c r="AK905" s="41" t="s">
        <v>22</v>
      </c>
      <c r="AL905" s="41" t="s">
        <v>22</v>
      </c>
      <c r="AM905" s="43" t="e">
        <f t="shared" si="501"/>
        <v>#VALUE!</v>
      </c>
      <c r="AN905" s="43" t="e">
        <f t="shared" si="502"/>
        <v>#VALUE!</v>
      </c>
      <c r="AO905" s="19" t="s">
        <v>589</v>
      </c>
      <c r="AT905" s="2">
        <f t="shared" si="503"/>
        <v>6</v>
      </c>
      <c r="AU905" s="45">
        <f t="shared" si="504"/>
        <v>-1.7923916894982539</v>
      </c>
      <c r="AV905" s="45" t="e">
        <f t="shared" si="505"/>
        <v>#VALUE!</v>
      </c>
      <c r="AW905" s="45" t="e">
        <f t="shared" si="506"/>
        <v>#VALUE!</v>
      </c>
      <c r="AX905" s="45" t="e">
        <f t="shared" si="507"/>
        <v>#VALUE!</v>
      </c>
      <c r="AY905" s="45" t="e">
        <f t="shared" si="508"/>
        <v>#VALUE!</v>
      </c>
      <c r="AZ905" s="45" t="e">
        <f t="shared" si="509"/>
        <v>#VALUE!</v>
      </c>
      <c r="BA905" s="45">
        <f t="shared" si="510"/>
        <v>1.3979400086720377</v>
      </c>
      <c r="BB905" s="45">
        <f t="shared" si="511"/>
        <v>0.60355484874145804</v>
      </c>
      <c r="BC905" s="45" t="e">
        <f t="shared" si="512"/>
        <v>#VALUE!</v>
      </c>
      <c r="BD905" s="45" t="e">
        <f t="shared" si="513"/>
        <v>#VALUE!</v>
      </c>
      <c r="BE905" s="45" t="e">
        <f t="shared" si="514"/>
        <v>#VALUE!</v>
      </c>
      <c r="BF905" s="45" t="e">
        <f t="shared" si="515"/>
        <v>#VALUE!</v>
      </c>
      <c r="BG905" s="45" t="e">
        <f t="shared" si="516"/>
        <v>#VALUE!</v>
      </c>
      <c r="BH905" s="45" t="e">
        <f t="shared" si="517"/>
        <v>#NUM!</v>
      </c>
      <c r="BI905" s="43" t="e">
        <f t="shared" si="518"/>
        <v>#VALUE!</v>
      </c>
      <c r="BL905" s="20"/>
      <c r="CA905" s="41" t="s">
        <v>22</v>
      </c>
      <c r="CC905" t="s">
        <v>22</v>
      </c>
      <c r="CE905" s="41" t="s">
        <v>22</v>
      </c>
      <c r="CF905" s="41" t="s">
        <v>22</v>
      </c>
      <c r="CG905" s="41" t="e">
        <f t="shared" si="496"/>
        <v>#VALUE!</v>
      </c>
      <c r="CH905" s="41" t="e">
        <f t="shared" si="497"/>
        <v>#VALUE!</v>
      </c>
      <c r="CI905" s="41" t="str">
        <f t="shared" si="498"/>
        <v>Not Reported/ Can not calculate</v>
      </c>
      <c r="CJ905" s="41" t="e">
        <f t="shared" si="499"/>
        <v>#VALUE!</v>
      </c>
      <c r="CL905" s="9" t="s">
        <v>1269</v>
      </c>
      <c r="CM905" s="18" t="s">
        <v>1284</v>
      </c>
      <c r="CN905" s="54" t="s">
        <v>1284</v>
      </c>
      <c r="CO905" s="18" t="s">
        <v>1284</v>
      </c>
    </row>
    <row r="906" spans="1:93" x14ac:dyDescent="0.25">
      <c r="A906" s="18" t="s">
        <v>315</v>
      </c>
      <c r="B906" s="41">
        <v>0.215610176800345</v>
      </c>
      <c r="C906" s="41" t="s">
        <v>22</v>
      </c>
      <c r="D906" s="41" t="s">
        <v>22</v>
      </c>
      <c r="E906" s="41" t="s">
        <v>22</v>
      </c>
      <c r="F906" t="s">
        <v>22</v>
      </c>
      <c r="G906" t="s">
        <v>22</v>
      </c>
      <c r="H906" t="s">
        <v>22</v>
      </c>
      <c r="I906" t="s">
        <v>22</v>
      </c>
      <c r="J906" s="41">
        <v>25</v>
      </c>
      <c r="K906">
        <v>633</v>
      </c>
      <c r="L906" s="41">
        <f t="shared" si="519"/>
        <v>4.0137918680249998</v>
      </c>
      <c r="M906" t="s">
        <v>45</v>
      </c>
      <c r="N906" s="41" t="s">
        <v>22</v>
      </c>
      <c r="O906" s="41" t="s">
        <v>22</v>
      </c>
      <c r="P906" s="41" t="s">
        <v>22</v>
      </c>
      <c r="R906" s="41" t="s">
        <v>22</v>
      </c>
      <c r="S906" s="41" t="s">
        <v>22</v>
      </c>
      <c r="T906" s="41" t="s">
        <v>22</v>
      </c>
      <c r="U906" s="41" t="s">
        <v>22</v>
      </c>
      <c r="V906">
        <v>20200512</v>
      </c>
      <c r="W906" s="21"/>
      <c r="X906" s="6">
        <v>2018</v>
      </c>
      <c r="Y906" t="s">
        <v>328</v>
      </c>
      <c r="Z906" t="s">
        <v>124</v>
      </c>
      <c r="AA906" t="s">
        <v>752</v>
      </c>
      <c r="AB906" s="41">
        <v>1.6129032258064516E-2</v>
      </c>
      <c r="AC906" t="s">
        <v>285</v>
      </c>
      <c r="AD906" s="41" t="s">
        <v>22</v>
      </c>
      <c r="AE906" s="41">
        <v>1593</v>
      </c>
      <c r="AF906" s="41" t="s">
        <v>22</v>
      </c>
      <c r="AG906" s="41" t="s">
        <v>22</v>
      </c>
      <c r="AH906" s="41" t="s">
        <v>22</v>
      </c>
      <c r="AI906" s="41" t="s">
        <v>22</v>
      </c>
      <c r="AJ906" s="41" t="s">
        <v>22</v>
      </c>
      <c r="AK906" s="41" t="s">
        <v>22</v>
      </c>
      <c r="AL906" s="41" t="s">
        <v>22</v>
      </c>
      <c r="AM906" s="43" t="e">
        <f t="shared" si="501"/>
        <v>#VALUE!</v>
      </c>
      <c r="AN906" s="43" t="e">
        <f t="shared" si="502"/>
        <v>#VALUE!</v>
      </c>
      <c r="AO906" s="19" t="s">
        <v>589</v>
      </c>
      <c r="AT906" s="2">
        <f t="shared" si="503"/>
        <v>6</v>
      </c>
      <c r="AU906" s="45">
        <f t="shared" si="504"/>
        <v>-0.66633074430196848</v>
      </c>
      <c r="AV906" s="45" t="e">
        <f t="shared" si="505"/>
        <v>#VALUE!</v>
      </c>
      <c r="AW906" s="45" t="e">
        <f t="shared" si="506"/>
        <v>#VALUE!</v>
      </c>
      <c r="AX906" s="45" t="e">
        <f t="shared" si="507"/>
        <v>#VALUE!</v>
      </c>
      <c r="AY906" s="45" t="e">
        <f t="shared" si="508"/>
        <v>#VALUE!</v>
      </c>
      <c r="AZ906" s="45" t="e">
        <f t="shared" si="509"/>
        <v>#VALUE!</v>
      </c>
      <c r="BA906" s="45">
        <f t="shared" si="510"/>
        <v>1.3979400086720377</v>
      </c>
      <c r="BB906" s="45">
        <f t="shared" si="511"/>
        <v>0.60355484874145804</v>
      </c>
      <c r="BC906" s="45" t="e">
        <f t="shared" si="512"/>
        <v>#VALUE!</v>
      </c>
      <c r="BD906" s="45" t="e">
        <f t="shared" si="513"/>
        <v>#VALUE!</v>
      </c>
      <c r="BE906" s="45" t="e">
        <f t="shared" si="514"/>
        <v>#VALUE!</v>
      </c>
      <c r="BF906" s="45" t="e">
        <f t="shared" si="515"/>
        <v>#VALUE!</v>
      </c>
      <c r="BG906" s="45" t="e">
        <f t="shared" si="516"/>
        <v>#VALUE!</v>
      </c>
      <c r="BH906" s="45">
        <f t="shared" si="517"/>
        <v>-1.7923916894982539</v>
      </c>
      <c r="BI906" s="43" t="e">
        <f t="shared" si="518"/>
        <v>#VALUE!</v>
      </c>
      <c r="BL906" s="20"/>
      <c r="CA906" s="41" t="s">
        <v>22</v>
      </c>
      <c r="CC906" t="s">
        <v>22</v>
      </c>
      <c r="CE906" s="41" t="s">
        <v>22</v>
      </c>
      <c r="CF906" s="41" t="s">
        <v>22</v>
      </c>
      <c r="CG906" s="41" t="e">
        <f t="shared" si="496"/>
        <v>#VALUE!</v>
      </c>
      <c r="CH906" s="41" t="e">
        <f t="shared" si="497"/>
        <v>#VALUE!</v>
      </c>
      <c r="CI906" s="41" t="str">
        <f t="shared" si="498"/>
        <v>Not Reported/ Can not calculate</v>
      </c>
      <c r="CJ906" s="41" t="e">
        <f t="shared" si="499"/>
        <v>#VALUE!</v>
      </c>
      <c r="CL906" s="9" t="s">
        <v>1269</v>
      </c>
      <c r="CM906" s="18" t="s">
        <v>1284</v>
      </c>
      <c r="CN906" s="54" t="s">
        <v>1284</v>
      </c>
      <c r="CO906" s="18" t="s">
        <v>1284</v>
      </c>
    </row>
    <row r="907" spans="1:93" x14ac:dyDescent="0.25">
      <c r="A907" s="18" t="s">
        <v>315</v>
      </c>
      <c r="B907" s="41">
        <v>7.9164027865737799E-2</v>
      </c>
      <c r="C907" s="41" t="s">
        <v>22</v>
      </c>
      <c r="D907" s="41" t="s">
        <v>22</v>
      </c>
      <c r="E907" s="41" t="s">
        <v>22</v>
      </c>
      <c r="F907" t="s">
        <v>22</v>
      </c>
      <c r="G907" t="s">
        <v>22</v>
      </c>
      <c r="H907" t="s">
        <v>22</v>
      </c>
      <c r="I907" t="s">
        <v>22</v>
      </c>
      <c r="J907" s="41">
        <v>11.111111111111111</v>
      </c>
      <c r="K907">
        <v>633</v>
      </c>
      <c r="L907" s="41">
        <f t="shared" si="519"/>
        <v>1.7839074968999999</v>
      </c>
      <c r="M907" t="s">
        <v>45</v>
      </c>
      <c r="N907" s="41" t="s">
        <v>22</v>
      </c>
      <c r="O907" s="41" t="s">
        <v>22</v>
      </c>
      <c r="P907" s="41" t="s">
        <v>22</v>
      </c>
      <c r="R907" s="41" t="s">
        <v>22</v>
      </c>
      <c r="S907" s="41" t="s">
        <v>22</v>
      </c>
      <c r="T907" s="41" t="s">
        <v>22</v>
      </c>
      <c r="U907" s="41" t="s">
        <v>22</v>
      </c>
      <c r="V907">
        <v>20200512</v>
      </c>
      <c r="W907" s="21"/>
      <c r="X907" s="6">
        <v>2018</v>
      </c>
      <c r="Y907" t="s">
        <v>328</v>
      </c>
      <c r="Z907" t="s">
        <v>124</v>
      </c>
      <c r="AA907" t="s">
        <v>753</v>
      </c>
      <c r="AB907" s="41">
        <v>1.6129032258064516E-2</v>
      </c>
      <c r="AC907" t="s">
        <v>285</v>
      </c>
      <c r="AD907" s="41" t="s">
        <v>22</v>
      </c>
      <c r="AE907" s="41">
        <v>1590</v>
      </c>
      <c r="AF907" s="41" t="s">
        <v>22</v>
      </c>
      <c r="AG907" s="41" t="s">
        <v>22</v>
      </c>
      <c r="AH907" s="41" t="s">
        <v>22</v>
      </c>
      <c r="AI907" s="41" t="s">
        <v>22</v>
      </c>
      <c r="AJ907" s="41" t="s">
        <v>22</v>
      </c>
      <c r="AK907" s="41" t="s">
        <v>22</v>
      </c>
      <c r="AL907" s="41" t="s">
        <v>22</v>
      </c>
      <c r="AM907" s="43" t="e">
        <f t="shared" si="501"/>
        <v>#VALUE!</v>
      </c>
      <c r="AN907" s="43" t="e">
        <f t="shared" si="502"/>
        <v>#VALUE!</v>
      </c>
      <c r="AO907" s="19" t="s">
        <v>589</v>
      </c>
      <c r="AT907" s="2">
        <f t="shared" si="503"/>
        <v>6</v>
      </c>
      <c r="AU907" s="45">
        <f t="shared" si="504"/>
        <v>-1.1014721170002379</v>
      </c>
      <c r="AV907" s="45" t="e">
        <f t="shared" si="505"/>
        <v>#VALUE!</v>
      </c>
      <c r="AW907" s="45" t="e">
        <f t="shared" si="506"/>
        <v>#VALUE!</v>
      </c>
      <c r="AX907" s="45" t="e">
        <f t="shared" si="507"/>
        <v>#VALUE!</v>
      </c>
      <c r="AY907" s="45" t="e">
        <f t="shared" si="508"/>
        <v>#VALUE!</v>
      </c>
      <c r="AZ907" s="45" t="e">
        <f t="shared" si="509"/>
        <v>#VALUE!</v>
      </c>
      <c r="BA907" s="45">
        <f t="shared" si="510"/>
        <v>1.045757490560675</v>
      </c>
      <c r="BB907" s="45">
        <f t="shared" si="511"/>
        <v>0.25137233063009551</v>
      </c>
      <c r="BC907" s="45" t="e">
        <f t="shared" si="512"/>
        <v>#VALUE!</v>
      </c>
      <c r="BD907" s="45" t="e">
        <f t="shared" si="513"/>
        <v>#VALUE!</v>
      </c>
      <c r="BE907" s="45" t="e">
        <f t="shared" si="514"/>
        <v>#VALUE!</v>
      </c>
      <c r="BF907" s="45" t="e">
        <f t="shared" si="515"/>
        <v>#VALUE!</v>
      </c>
      <c r="BG907" s="45" t="e">
        <f t="shared" si="516"/>
        <v>#VALUE!</v>
      </c>
      <c r="BH907" s="45">
        <f t="shared" si="517"/>
        <v>-1.7923916894982539</v>
      </c>
      <c r="BI907" s="43" t="e">
        <f t="shared" si="518"/>
        <v>#VALUE!</v>
      </c>
      <c r="BL907" s="20"/>
      <c r="CA907" s="41" t="s">
        <v>22</v>
      </c>
      <c r="CC907" t="s">
        <v>22</v>
      </c>
      <c r="CE907" s="41" t="s">
        <v>22</v>
      </c>
      <c r="CF907" s="41" t="s">
        <v>22</v>
      </c>
      <c r="CG907" s="41" t="e">
        <f t="shared" si="496"/>
        <v>#VALUE!</v>
      </c>
      <c r="CH907" s="41" t="e">
        <f t="shared" si="497"/>
        <v>#VALUE!</v>
      </c>
      <c r="CI907" s="41" t="str">
        <f t="shared" si="498"/>
        <v>Not Reported/ Can not calculate</v>
      </c>
      <c r="CJ907" s="41" t="e">
        <f t="shared" si="499"/>
        <v>#VALUE!</v>
      </c>
      <c r="CL907" s="9" t="s">
        <v>1269</v>
      </c>
      <c r="CM907" s="18" t="s">
        <v>1284</v>
      </c>
      <c r="CN907" s="54" t="s">
        <v>1284</v>
      </c>
      <c r="CO907" s="18" t="s">
        <v>1284</v>
      </c>
    </row>
    <row r="908" spans="1:93" x14ac:dyDescent="0.25">
      <c r="A908" s="18" t="s">
        <v>342</v>
      </c>
      <c r="B908" s="41">
        <v>1.27404582826222E-2</v>
      </c>
      <c r="C908" s="41" t="s">
        <v>22</v>
      </c>
      <c r="D908" s="41" t="s">
        <v>22</v>
      </c>
      <c r="E908" s="41" t="s">
        <v>22</v>
      </c>
      <c r="F908" t="s">
        <v>22</v>
      </c>
      <c r="G908" t="s">
        <v>22</v>
      </c>
      <c r="H908" t="s">
        <v>22</v>
      </c>
      <c r="I908" t="s">
        <v>22</v>
      </c>
      <c r="J908" s="41">
        <f>1.26^-1</f>
        <v>0.79365079365079361</v>
      </c>
      <c r="K908">
        <v>785</v>
      </c>
      <c r="L908" s="41">
        <f t="shared" si="519"/>
        <v>0.30137559573412698</v>
      </c>
      <c r="M908" t="s">
        <v>23</v>
      </c>
      <c r="N908" s="41">
        <v>18</v>
      </c>
      <c r="O908" s="41" t="s">
        <v>22</v>
      </c>
      <c r="P908" s="41">
        <v>0.37570175622213298</v>
      </c>
      <c r="R908" s="41">
        <f>N908*B908</f>
        <v>0.22932824908719959</v>
      </c>
      <c r="S908" s="41" t="s">
        <v>22</v>
      </c>
      <c r="T908" s="41" t="s">
        <v>22</v>
      </c>
      <c r="U908" s="41" t="s">
        <v>22</v>
      </c>
      <c r="V908">
        <v>20200512</v>
      </c>
      <c r="W908" s="21" t="s">
        <v>334</v>
      </c>
      <c r="X908">
        <v>2018</v>
      </c>
      <c r="Y908" t="s">
        <v>328</v>
      </c>
      <c r="Z908" t="s">
        <v>32</v>
      </c>
      <c r="AC908" t="s">
        <v>269</v>
      </c>
      <c r="AD908" s="41" t="s">
        <v>22</v>
      </c>
      <c r="AE908" s="41">
        <v>1601</v>
      </c>
      <c r="AF908" s="41" t="s">
        <v>22</v>
      </c>
      <c r="AG908" s="41" t="s">
        <v>22</v>
      </c>
      <c r="AH908" s="41" t="s">
        <v>22</v>
      </c>
      <c r="AI908" s="41" t="s">
        <v>22</v>
      </c>
      <c r="AJ908" s="41" t="s">
        <v>22</v>
      </c>
      <c r="AK908" s="41" t="s">
        <v>22</v>
      </c>
      <c r="AL908" s="41" t="s">
        <v>22</v>
      </c>
      <c r="AM908" s="43" t="e">
        <f t="shared" si="501"/>
        <v>#VALUE!</v>
      </c>
      <c r="AN908" s="43" t="e">
        <f t="shared" si="502"/>
        <v>#VALUE!</v>
      </c>
      <c r="AO908" s="19" t="s">
        <v>335</v>
      </c>
      <c r="AT908" s="2">
        <f t="shared" si="503"/>
        <v>5</v>
      </c>
      <c r="AU908" s="45">
        <f t="shared" si="504"/>
        <v>-1.8948149498629667</v>
      </c>
      <c r="AV908" s="45" t="e">
        <f t="shared" si="505"/>
        <v>#VALUE!</v>
      </c>
      <c r="AW908" s="45" t="e">
        <f t="shared" si="506"/>
        <v>#VALUE!</v>
      </c>
      <c r="AX908" s="45">
        <f t="shared" si="507"/>
        <v>1.255272505103306</v>
      </c>
      <c r="AY908" s="45" t="e">
        <f t="shared" si="508"/>
        <v>#VALUE!</v>
      </c>
      <c r="AZ908" s="45">
        <f t="shared" si="509"/>
        <v>-0.42515677481737479</v>
      </c>
      <c r="BA908" s="45">
        <f t="shared" si="510"/>
        <v>-0.10037054511756292</v>
      </c>
      <c r="BB908" s="45">
        <f t="shared" si="511"/>
        <v>-0.52089191813655278</v>
      </c>
      <c r="BC908" s="45" t="e">
        <f t="shared" si="512"/>
        <v>#VALUE!</v>
      </c>
      <c r="BD908" s="45" t="e">
        <f t="shared" si="513"/>
        <v>#VALUE!</v>
      </c>
      <c r="BE908" s="45" t="e">
        <f t="shared" si="514"/>
        <v>#VALUE!</v>
      </c>
      <c r="BF908" s="45" t="e">
        <f t="shared" si="515"/>
        <v>#VALUE!</v>
      </c>
      <c r="BG908" s="45" t="e">
        <f t="shared" si="516"/>
        <v>#VALUE!</v>
      </c>
      <c r="BH908" s="45" t="e">
        <f t="shared" si="517"/>
        <v>#NUM!</v>
      </c>
      <c r="BI908" s="43" t="e">
        <f t="shared" si="518"/>
        <v>#VALUE!</v>
      </c>
      <c r="BL908" s="20"/>
      <c r="CA908" s="41" t="s">
        <v>22</v>
      </c>
      <c r="CB908" s="18"/>
      <c r="CC908" t="s">
        <v>22</v>
      </c>
      <c r="CE908" s="41" t="s">
        <v>22</v>
      </c>
      <c r="CF908" s="41" t="s">
        <v>22</v>
      </c>
      <c r="CG908" s="41" t="e">
        <f t="shared" si="496"/>
        <v>#VALUE!</v>
      </c>
      <c r="CH908" s="41" t="e">
        <f t="shared" si="497"/>
        <v>#VALUE!</v>
      </c>
      <c r="CI908" s="41" t="str">
        <f t="shared" si="498"/>
        <v>Not Reported/ Can not calculate</v>
      </c>
      <c r="CJ908" s="41" t="e">
        <f t="shared" si="499"/>
        <v>#VALUE!</v>
      </c>
      <c r="CL908" s="9" t="s">
        <v>1269</v>
      </c>
      <c r="CM908" s="18" t="s">
        <v>1284</v>
      </c>
      <c r="CN908" s="54" t="s">
        <v>1284</v>
      </c>
      <c r="CO908" s="18" t="s">
        <v>1284</v>
      </c>
    </row>
    <row r="909" spans="1:93" x14ac:dyDescent="0.25">
      <c r="A909" s="18" t="s">
        <v>342</v>
      </c>
      <c r="B909" s="41">
        <v>1.6221970247528601E-2</v>
      </c>
      <c r="C909" s="41" t="s">
        <v>22</v>
      </c>
      <c r="D909" s="41" t="s">
        <v>22</v>
      </c>
      <c r="E909" s="41" t="s">
        <v>22</v>
      </c>
      <c r="F909" t="s">
        <v>22</v>
      </c>
      <c r="G909" t="s">
        <v>22</v>
      </c>
      <c r="H909" t="s">
        <v>22</v>
      </c>
      <c r="I909" t="s">
        <v>22</v>
      </c>
      <c r="J909" s="41">
        <f>1.22^-1</f>
        <v>0.81967213114754101</v>
      </c>
      <c r="K909">
        <v>785</v>
      </c>
      <c r="L909" s="41">
        <f t="shared" si="519"/>
        <v>0.31125676280737707</v>
      </c>
      <c r="M909" t="s">
        <v>23</v>
      </c>
      <c r="N909" s="41">
        <v>20.2</v>
      </c>
      <c r="O909" s="41" t="s">
        <v>22</v>
      </c>
      <c r="P909" s="41">
        <v>0.66880036840893398</v>
      </c>
      <c r="R909" s="41">
        <f>N909*B909</f>
        <v>0.32768379900007771</v>
      </c>
      <c r="S909" s="41" t="s">
        <v>22</v>
      </c>
      <c r="T909" s="41" t="s">
        <v>22</v>
      </c>
      <c r="U909" s="41" t="s">
        <v>22</v>
      </c>
      <c r="V909">
        <v>20200512</v>
      </c>
      <c r="W909" s="21" t="s">
        <v>336</v>
      </c>
      <c r="X909">
        <v>2018</v>
      </c>
      <c r="Y909" s="18" t="s">
        <v>328</v>
      </c>
      <c r="Z909" t="s">
        <v>337</v>
      </c>
      <c r="AC909" t="s">
        <v>269</v>
      </c>
      <c r="AD909" s="41" t="s">
        <v>22</v>
      </c>
      <c r="AE909" s="41">
        <v>1601</v>
      </c>
      <c r="AF909" s="41" t="s">
        <v>22</v>
      </c>
      <c r="AG909" s="41" t="s">
        <v>22</v>
      </c>
      <c r="AH909" s="41" t="s">
        <v>22</v>
      </c>
      <c r="AI909" s="41" t="s">
        <v>22</v>
      </c>
      <c r="AJ909" s="41" t="s">
        <v>22</v>
      </c>
      <c r="AK909" s="41" t="s">
        <v>22</v>
      </c>
      <c r="AL909" s="41" t="s">
        <v>22</v>
      </c>
      <c r="AM909" s="43" t="e">
        <f t="shared" si="501"/>
        <v>#VALUE!</v>
      </c>
      <c r="AN909" s="43" t="e">
        <f t="shared" si="502"/>
        <v>#VALUE!</v>
      </c>
      <c r="AO909" s="19" t="s">
        <v>335</v>
      </c>
      <c r="AT909" s="2">
        <f t="shared" si="503"/>
        <v>5</v>
      </c>
      <c r="AU909" s="45">
        <f t="shared" si="504"/>
        <v>-1.7898963994673547</v>
      </c>
      <c r="AV909" s="45" t="e">
        <f t="shared" si="505"/>
        <v>#VALUE!</v>
      </c>
      <c r="AW909" s="45" t="e">
        <f t="shared" si="506"/>
        <v>#VALUE!</v>
      </c>
      <c r="AX909" s="45">
        <f t="shared" si="507"/>
        <v>1.3053513694466237</v>
      </c>
      <c r="AY909" s="45" t="e">
        <f t="shared" si="508"/>
        <v>#VALUE!</v>
      </c>
      <c r="AZ909" s="45">
        <f t="shared" si="509"/>
        <v>-0.17470349633769575</v>
      </c>
      <c r="BA909" s="45">
        <f t="shared" si="510"/>
        <v>-8.6359830674748214E-2</v>
      </c>
      <c r="BB909" s="45">
        <f t="shared" si="511"/>
        <v>-0.50688120369373801</v>
      </c>
      <c r="BC909" s="45" t="e">
        <f t="shared" si="512"/>
        <v>#VALUE!</v>
      </c>
      <c r="BD909" s="45" t="e">
        <f t="shared" si="513"/>
        <v>#VALUE!</v>
      </c>
      <c r="BE909" s="45" t="e">
        <f t="shared" si="514"/>
        <v>#VALUE!</v>
      </c>
      <c r="BF909" s="45" t="e">
        <f t="shared" si="515"/>
        <v>#VALUE!</v>
      </c>
      <c r="BG909" s="45" t="e">
        <f t="shared" si="516"/>
        <v>#VALUE!</v>
      </c>
      <c r="BH909" s="45" t="e">
        <f t="shared" si="517"/>
        <v>#NUM!</v>
      </c>
      <c r="BI909" s="43" t="e">
        <f t="shared" si="518"/>
        <v>#VALUE!</v>
      </c>
      <c r="BL909" s="20"/>
      <c r="CA909" s="41" t="s">
        <v>22</v>
      </c>
      <c r="CC909" t="s">
        <v>22</v>
      </c>
      <c r="CE909" s="41" t="s">
        <v>22</v>
      </c>
      <c r="CF909" s="41" t="s">
        <v>22</v>
      </c>
      <c r="CG909" s="41" t="e">
        <f t="shared" si="496"/>
        <v>#VALUE!</v>
      </c>
      <c r="CH909" s="41" t="e">
        <f t="shared" si="497"/>
        <v>#VALUE!</v>
      </c>
      <c r="CI909" s="41" t="str">
        <f t="shared" si="498"/>
        <v>Not Reported/ Can not calculate</v>
      </c>
      <c r="CJ909" s="41" t="e">
        <f t="shared" si="499"/>
        <v>#VALUE!</v>
      </c>
      <c r="CL909" s="9" t="s">
        <v>1269</v>
      </c>
      <c r="CM909" s="18" t="s">
        <v>1284</v>
      </c>
      <c r="CN909" s="54" t="s">
        <v>1284</v>
      </c>
      <c r="CO909" s="18" t="s">
        <v>1284</v>
      </c>
    </row>
    <row r="910" spans="1:93" x14ac:dyDescent="0.25">
      <c r="A910" s="18" t="s">
        <v>342</v>
      </c>
      <c r="B910" s="41">
        <v>3.8370837674789202E-2</v>
      </c>
      <c r="C910" s="41" t="s">
        <v>22</v>
      </c>
      <c r="D910" s="41" t="s">
        <v>22</v>
      </c>
      <c r="E910" s="41" t="s">
        <v>22</v>
      </c>
      <c r="F910" t="s">
        <v>22</v>
      </c>
      <c r="G910" t="s">
        <v>22</v>
      </c>
      <c r="H910" t="s">
        <v>22</v>
      </c>
      <c r="I910" t="s">
        <v>22</v>
      </c>
      <c r="J910" s="41">
        <f>1.41^-1</f>
        <v>0.70921985815602839</v>
      </c>
      <c r="K910">
        <v>785</v>
      </c>
      <c r="L910" s="41">
        <f t="shared" si="519"/>
        <v>0.26931436214539006</v>
      </c>
      <c r="M910" t="s">
        <v>45</v>
      </c>
      <c r="N910" s="41">
        <v>17.149999999999999</v>
      </c>
      <c r="O910" s="41" t="s">
        <v>22</v>
      </c>
      <c r="P910" s="41">
        <v>0.59057417369643905</v>
      </c>
      <c r="R910" s="41">
        <f>N910*B910</f>
        <v>0.65805986612263478</v>
      </c>
      <c r="S910" s="41" t="s">
        <v>22</v>
      </c>
      <c r="T910" s="41" t="s">
        <v>22</v>
      </c>
      <c r="U910" s="41" t="s">
        <v>22</v>
      </c>
      <c r="V910">
        <v>20200512</v>
      </c>
      <c r="W910" s="21" t="s">
        <v>338</v>
      </c>
      <c r="X910">
        <v>2018</v>
      </c>
      <c r="Y910" s="18" t="s">
        <v>328</v>
      </c>
      <c r="Z910" t="s">
        <v>124</v>
      </c>
      <c r="AA910" t="s">
        <v>737</v>
      </c>
      <c r="AB910" s="41">
        <v>1.27404582826222E-2</v>
      </c>
      <c r="AC910" t="s">
        <v>269</v>
      </c>
      <c r="AD910" s="41" t="s">
        <v>22</v>
      </c>
      <c r="AE910" s="41">
        <v>1604</v>
      </c>
      <c r="AF910" s="41" t="s">
        <v>22</v>
      </c>
      <c r="AG910" s="41" t="s">
        <v>22</v>
      </c>
      <c r="AH910" s="41" t="s">
        <v>22</v>
      </c>
      <c r="AI910" s="41" t="s">
        <v>22</v>
      </c>
      <c r="AJ910" s="41" t="s">
        <v>22</v>
      </c>
      <c r="AK910" s="41" t="s">
        <v>22</v>
      </c>
      <c r="AL910" s="41" t="s">
        <v>22</v>
      </c>
      <c r="AM910" s="43" t="e">
        <f t="shared" si="501"/>
        <v>#VALUE!</v>
      </c>
      <c r="AN910" s="43" t="e">
        <f t="shared" si="502"/>
        <v>#VALUE!</v>
      </c>
      <c r="AO910" s="19" t="s">
        <v>335</v>
      </c>
      <c r="AT910" s="2">
        <f t="shared" si="503"/>
        <v>5</v>
      </c>
      <c r="AU910" s="45">
        <f t="shared" si="504"/>
        <v>-1.415998719603677</v>
      </c>
      <c r="AV910" s="45" t="e">
        <f t="shared" si="505"/>
        <v>#VALUE!</v>
      </c>
      <c r="AW910" s="45" t="e">
        <f t="shared" si="506"/>
        <v>#VALUE!</v>
      </c>
      <c r="AX910" s="45">
        <f t="shared" si="507"/>
        <v>1.2342641243787893</v>
      </c>
      <c r="AY910" s="45" t="e">
        <f t="shared" si="508"/>
        <v>#VALUE!</v>
      </c>
      <c r="AZ910" s="45">
        <f t="shared" si="509"/>
        <v>-0.22872554901734787</v>
      </c>
      <c r="BA910" s="45">
        <f t="shared" si="510"/>
        <v>-0.14921911265537988</v>
      </c>
      <c r="BB910" s="45">
        <f t="shared" si="511"/>
        <v>-0.56974048567436975</v>
      </c>
      <c r="BC910" s="45" t="e">
        <f t="shared" si="512"/>
        <v>#VALUE!</v>
      </c>
      <c r="BD910" s="45" t="e">
        <f t="shared" si="513"/>
        <v>#VALUE!</v>
      </c>
      <c r="BE910" s="45" t="e">
        <f t="shared" si="514"/>
        <v>#VALUE!</v>
      </c>
      <c r="BF910" s="45" t="e">
        <f t="shared" si="515"/>
        <v>#VALUE!</v>
      </c>
      <c r="BG910" s="45" t="e">
        <f t="shared" si="516"/>
        <v>#VALUE!</v>
      </c>
      <c r="BH910" s="45">
        <f t="shared" si="517"/>
        <v>-1.8948149498629667</v>
      </c>
      <c r="BI910" s="43" t="e">
        <f t="shared" si="518"/>
        <v>#VALUE!</v>
      </c>
      <c r="BL910" s="20"/>
      <c r="CA910" s="41" t="s">
        <v>22</v>
      </c>
      <c r="CC910" t="s">
        <v>22</v>
      </c>
      <c r="CE910" s="41" t="s">
        <v>22</v>
      </c>
      <c r="CF910" s="41" t="s">
        <v>22</v>
      </c>
      <c r="CG910" s="41" t="e">
        <f t="shared" si="496"/>
        <v>#VALUE!</v>
      </c>
      <c r="CH910" s="41" t="e">
        <f t="shared" si="497"/>
        <v>#VALUE!</v>
      </c>
      <c r="CI910" s="41" t="str">
        <f t="shared" si="498"/>
        <v>Not Reported/ Can not calculate</v>
      </c>
      <c r="CJ910" s="41" t="e">
        <f t="shared" si="499"/>
        <v>#VALUE!</v>
      </c>
      <c r="CL910" s="9" t="s">
        <v>1269</v>
      </c>
      <c r="CM910" s="18" t="s">
        <v>1284</v>
      </c>
      <c r="CN910" s="54" t="s">
        <v>1284</v>
      </c>
      <c r="CO910" s="18" t="s">
        <v>1284</v>
      </c>
    </row>
    <row r="911" spans="1:93" x14ac:dyDescent="0.25">
      <c r="A911" s="18" t="s">
        <v>342</v>
      </c>
      <c r="B911" s="41">
        <v>4.3778292428792803E-2</v>
      </c>
      <c r="C911" s="41" t="s">
        <v>22</v>
      </c>
      <c r="D911" s="41" t="s">
        <v>22</v>
      </c>
      <c r="E911" s="41" t="s">
        <v>22</v>
      </c>
      <c r="F911" s="18" t="s">
        <v>22</v>
      </c>
      <c r="G911" s="18" t="s">
        <v>22</v>
      </c>
      <c r="H911" s="18" t="s">
        <v>22</v>
      </c>
      <c r="I911" s="18" t="s">
        <v>22</v>
      </c>
      <c r="J911" s="41">
        <f>1.27^-1</f>
        <v>0.78740157480314954</v>
      </c>
      <c r="K911" s="18">
        <v>785</v>
      </c>
      <c r="L911" s="41">
        <f t="shared" si="519"/>
        <v>0.29900255954724408</v>
      </c>
      <c r="M911" s="18" t="s">
        <v>45</v>
      </c>
      <c r="O911" s="41" t="s">
        <v>22</v>
      </c>
      <c r="R911" s="41" t="s">
        <v>22</v>
      </c>
      <c r="S911" s="41" t="s">
        <v>22</v>
      </c>
      <c r="T911" s="41" t="s">
        <v>22</v>
      </c>
      <c r="U911" s="41" t="s">
        <v>22</v>
      </c>
      <c r="V911" s="18">
        <v>20200512</v>
      </c>
      <c r="W911" s="21" t="s">
        <v>339</v>
      </c>
      <c r="X911" s="18">
        <v>2018</v>
      </c>
      <c r="Y911" s="18" t="s">
        <v>328</v>
      </c>
      <c r="Z911" s="18" t="s">
        <v>124</v>
      </c>
      <c r="AA911" s="18" t="s">
        <v>894</v>
      </c>
      <c r="AB911" s="41">
        <v>1.27404582826222E-2</v>
      </c>
      <c r="AC911" s="18" t="s">
        <v>269</v>
      </c>
      <c r="AD911" s="41" t="s">
        <v>22</v>
      </c>
      <c r="AE911" s="41">
        <v>1605</v>
      </c>
      <c r="AF911" s="41" t="s">
        <v>22</v>
      </c>
      <c r="AG911" s="41" t="s">
        <v>22</v>
      </c>
      <c r="AH911" s="41" t="s">
        <v>22</v>
      </c>
      <c r="AI911" s="41" t="s">
        <v>22</v>
      </c>
      <c r="AJ911" s="41" t="s">
        <v>22</v>
      </c>
      <c r="AK911" s="41" t="s">
        <v>22</v>
      </c>
      <c r="AL911" s="41" t="s">
        <v>22</v>
      </c>
      <c r="AM911" s="43" t="e">
        <f t="shared" si="501"/>
        <v>#VALUE!</v>
      </c>
      <c r="AN911" s="43" t="e">
        <f t="shared" si="502"/>
        <v>#VALUE!</v>
      </c>
      <c r="AO911" s="19" t="s">
        <v>335</v>
      </c>
      <c r="AP911" s="18"/>
      <c r="AQ911" s="18"/>
      <c r="AR911" s="18"/>
      <c r="AS911" s="18"/>
      <c r="AT911" s="2">
        <f t="shared" si="503"/>
        <v>5</v>
      </c>
      <c r="AU911" s="45">
        <f t="shared" si="504"/>
        <v>-1.3587411820831941</v>
      </c>
      <c r="AV911" s="45" t="e">
        <f t="shared" si="505"/>
        <v>#VALUE!</v>
      </c>
      <c r="AW911" s="45" t="e">
        <f t="shared" si="506"/>
        <v>#VALUE!</v>
      </c>
      <c r="AX911" s="45" t="e">
        <f t="shared" si="507"/>
        <v>#NUM!</v>
      </c>
      <c r="AY911" s="45" t="e">
        <f t="shared" si="508"/>
        <v>#VALUE!</v>
      </c>
      <c r="AZ911" s="45" t="e">
        <f t="shared" si="509"/>
        <v>#NUM!</v>
      </c>
      <c r="BA911" s="45">
        <f t="shared" si="510"/>
        <v>-0.1038037209559569</v>
      </c>
      <c r="BB911" s="45">
        <f t="shared" si="511"/>
        <v>-0.52432509397494675</v>
      </c>
      <c r="BC911" s="45" t="e">
        <f t="shared" si="512"/>
        <v>#VALUE!</v>
      </c>
      <c r="BD911" s="45" t="e">
        <f t="shared" si="513"/>
        <v>#VALUE!</v>
      </c>
      <c r="BE911" s="45" t="e">
        <f t="shared" si="514"/>
        <v>#VALUE!</v>
      </c>
      <c r="BF911" s="45" t="e">
        <f t="shared" si="515"/>
        <v>#VALUE!</v>
      </c>
      <c r="BG911" s="45" t="e">
        <f t="shared" si="516"/>
        <v>#VALUE!</v>
      </c>
      <c r="BH911" s="45">
        <f t="shared" si="517"/>
        <v>-1.8948149498629667</v>
      </c>
      <c r="BI911" s="43" t="e">
        <f t="shared" si="518"/>
        <v>#VALUE!</v>
      </c>
      <c r="BJ911" s="18"/>
      <c r="BK911" s="18"/>
      <c r="BL911" s="20"/>
      <c r="BS911" s="18"/>
      <c r="BT911" s="18"/>
      <c r="CA911" s="41" t="s">
        <v>22</v>
      </c>
      <c r="CB911" s="18"/>
      <c r="CC911" s="18" t="s">
        <v>22</v>
      </c>
      <c r="CD911" s="18"/>
      <c r="CE911" s="41" t="s">
        <v>22</v>
      </c>
      <c r="CF911" s="41" t="s">
        <v>22</v>
      </c>
      <c r="CG911" s="41" t="e">
        <f t="shared" si="496"/>
        <v>#VALUE!</v>
      </c>
      <c r="CH911" s="41" t="e">
        <f t="shared" si="497"/>
        <v>#VALUE!</v>
      </c>
      <c r="CI911" s="41" t="str">
        <f t="shared" si="498"/>
        <v>Not Reported/ Can not calculate</v>
      </c>
      <c r="CJ911" s="41" t="e">
        <f t="shared" si="499"/>
        <v>#VALUE!</v>
      </c>
      <c r="CK911" s="18"/>
      <c r="CL911" s="9" t="s">
        <v>1269</v>
      </c>
      <c r="CM911" s="18" t="s">
        <v>1284</v>
      </c>
      <c r="CN911" s="54" t="s">
        <v>1284</v>
      </c>
      <c r="CO911" s="18" t="s">
        <v>1284</v>
      </c>
    </row>
    <row r="912" spans="1:93" x14ac:dyDescent="0.25">
      <c r="A912" s="18" t="s">
        <v>342</v>
      </c>
      <c r="B912" s="41">
        <v>7.5852121986883694E-2</v>
      </c>
      <c r="C912" s="41" t="s">
        <v>22</v>
      </c>
      <c r="D912" s="41" t="s">
        <v>22</v>
      </c>
      <c r="E912" s="41" t="s">
        <v>22</v>
      </c>
      <c r="F912" s="18" t="s">
        <v>22</v>
      </c>
      <c r="G912" s="18" t="s">
        <v>22</v>
      </c>
      <c r="H912" s="18" t="s">
        <v>22</v>
      </c>
      <c r="I912" s="18" t="s">
        <v>22</v>
      </c>
      <c r="J912" s="41">
        <f>1.43^-1</f>
        <v>0.69930069930069938</v>
      </c>
      <c r="K912" s="18">
        <v>785</v>
      </c>
      <c r="L912" s="41">
        <f t="shared" si="519"/>
        <v>0.26554772770979024</v>
      </c>
      <c r="M912" s="18" t="s">
        <v>45</v>
      </c>
      <c r="N912" s="41">
        <v>17.899999999999999</v>
      </c>
      <c r="O912" s="41" t="s">
        <v>22</v>
      </c>
      <c r="P912" s="41">
        <v>0.60443974630021102</v>
      </c>
      <c r="R912" s="41">
        <f>N912*B912</f>
        <v>1.357752983565218</v>
      </c>
      <c r="S912" s="41" t="s">
        <v>22</v>
      </c>
      <c r="T912" s="41" t="s">
        <v>22</v>
      </c>
      <c r="U912" s="41" t="s">
        <v>22</v>
      </c>
      <c r="V912" s="18">
        <v>20200512</v>
      </c>
      <c r="W912" s="21" t="s">
        <v>340</v>
      </c>
      <c r="X912" s="18">
        <v>2018</v>
      </c>
      <c r="Y912" s="18" t="s">
        <v>328</v>
      </c>
      <c r="Z912" s="18" t="s">
        <v>124</v>
      </c>
      <c r="AA912" s="18" t="s">
        <v>1134</v>
      </c>
      <c r="AB912" s="41">
        <v>1.27404582826222E-2</v>
      </c>
      <c r="AC912" s="18" t="s">
        <v>269</v>
      </c>
      <c r="AD912" s="41" t="s">
        <v>22</v>
      </c>
      <c r="AE912" s="41">
        <v>1606</v>
      </c>
      <c r="AF912" s="41" t="s">
        <v>22</v>
      </c>
      <c r="AG912" s="41" t="s">
        <v>22</v>
      </c>
      <c r="AH912" s="41" t="s">
        <v>22</v>
      </c>
      <c r="AI912" s="41" t="s">
        <v>22</v>
      </c>
      <c r="AJ912" s="41" t="s">
        <v>22</v>
      </c>
      <c r="AK912" s="41" t="s">
        <v>22</v>
      </c>
      <c r="AL912" s="41" t="s">
        <v>22</v>
      </c>
      <c r="AM912" s="43" t="e">
        <f t="shared" si="501"/>
        <v>#VALUE!</v>
      </c>
      <c r="AN912" s="43" t="e">
        <f t="shared" si="502"/>
        <v>#VALUE!</v>
      </c>
      <c r="AO912" s="19" t="s">
        <v>335</v>
      </c>
      <c r="AP912" s="18"/>
      <c r="AQ912" s="18"/>
      <c r="AR912" s="18"/>
      <c r="AS912" s="18"/>
      <c r="AT912" s="2">
        <f t="shared" si="503"/>
        <v>5</v>
      </c>
      <c r="AU912" s="45">
        <f t="shared" si="504"/>
        <v>-1.1200322651830705</v>
      </c>
      <c r="AV912" s="45" t="e">
        <f t="shared" si="505"/>
        <v>#VALUE!</v>
      </c>
      <c r="AW912" s="45" t="e">
        <f t="shared" si="506"/>
        <v>#VALUE!</v>
      </c>
      <c r="AX912" s="45">
        <f t="shared" si="507"/>
        <v>1.2528530309798931</v>
      </c>
      <c r="AY912" s="45" t="e">
        <f t="shared" si="508"/>
        <v>#VALUE!</v>
      </c>
      <c r="AZ912" s="45">
        <f t="shared" si="509"/>
        <v>-0.21864698537982299</v>
      </c>
      <c r="BA912" s="45">
        <f t="shared" si="510"/>
        <v>-0.15533603746506175</v>
      </c>
      <c r="BB912" s="45">
        <f t="shared" si="511"/>
        <v>-0.57585741048405159</v>
      </c>
      <c r="BC912" s="45" t="e">
        <f t="shared" si="512"/>
        <v>#VALUE!</v>
      </c>
      <c r="BD912" s="45" t="e">
        <f t="shared" si="513"/>
        <v>#VALUE!</v>
      </c>
      <c r="BE912" s="45" t="e">
        <f t="shared" si="514"/>
        <v>#VALUE!</v>
      </c>
      <c r="BF912" s="45" t="e">
        <f t="shared" si="515"/>
        <v>#VALUE!</v>
      </c>
      <c r="BG912" s="45" t="e">
        <f t="shared" si="516"/>
        <v>#VALUE!</v>
      </c>
      <c r="BH912" s="45">
        <f t="shared" si="517"/>
        <v>-1.8948149498629667</v>
      </c>
      <c r="BI912" s="43" t="e">
        <f t="shared" si="518"/>
        <v>#VALUE!</v>
      </c>
      <c r="BJ912" s="18"/>
      <c r="BK912" s="18"/>
      <c r="BL912" s="20"/>
      <c r="BS912" s="18"/>
      <c r="BT912" s="18"/>
      <c r="CA912" s="41" t="s">
        <v>22</v>
      </c>
      <c r="CB912" s="18"/>
      <c r="CC912" s="18" t="s">
        <v>22</v>
      </c>
      <c r="CD912" s="18"/>
      <c r="CE912" s="41" t="s">
        <v>22</v>
      </c>
      <c r="CF912" s="41" t="s">
        <v>22</v>
      </c>
      <c r="CG912" s="41" t="e">
        <f t="shared" si="496"/>
        <v>#VALUE!</v>
      </c>
      <c r="CH912" s="41" t="e">
        <f t="shared" si="497"/>
        <v>#VALUE!</v>
      </c>
      <c r="CI912" s="41" t="str">
        <f t="shared" si="498"/>
        <v>Not Reported/ Can not calculate</v>
      </c>
      <c r="CJ912" s="41" t="e">
        <f t="shared" si="499"/>
        <v>#VALUE!</v>
      </c>
      <c r="CK912" s="18"/>
      <c r="CL912" s="9" t="s">
        <v>1269</v>
      </c>
      <c r="CM912" s="18" t="s">
        <v>1284</v>
      </c>
      <c r="CN912" s="54" t="s">
        <v>1284</v>
      </c>
      <c r="CO912" s="18" t="s">
        <v>1284</v>
      </c>
    </row>
    <row r="913" spans="1:93" x14ac:dyDescent="0.25">
      <c r="A913" s="18" t="s">
        <v>266</v>
      </c>
      <c r="B913" s="41">
        <v>6</v>
      </c>
      <c r="C913" s="41">
        <v>1.65</v>
      </c>
      <c r="D913" s="41">
        <f>0.001*(B913*10^6)/(C913*0.001*100^3)</f>
        <v>3.6363636363636362</v>
      </c>
      <c r="E913" s="41">
        <v>4.5</v>
      </c>
      <c r="F913" s="18">
        <v>5</v>
      </c>
      <c r="G913" s="18" t="s">
        <v>52</v>
      </c>
      <c r="H913" s="18">
        <v>15.2</v>
      </c>
      <c r="I913" s="18" t="s">
        <v>82</v>
      </c>
      <c r="J913" s="41" t="s">
        <v>22</v>
      </c>
      <c r="K913" s="18" t="s">
        <v>22</v>
      </c>
      <c r="L913" s="41" t="e">
        <f t="shared" si="519"/>
        <v>#VALUE!</v>
      </c>
      <c r="M913" s="18" t="s">
        <v>45</v>
      </c>
      <c r="N913" s="41">
        <v>2800</v>
      </c>
      <c r="O913" s="41">
        <v>1.7</v>
      </c>
      <c r="P913" s="41">
        <v>140</v>
      </c>
      <c r="R913" s="41">
        <f>N913*B913</f>
        <v>16800</v>
      </c>
      <c r="S913" s="41">
        <f>O913*D913</f>
        <v>6.1818181818181817</v>
      </c>
      <c r="T913" s="41">
        <v>1.5</v>
      </c>
      <c r="U913" s="41">
        <v>1.5</v>
      </c>
      <c r="V913" s="18">
        <v>20200510</v>
      </c>
      <c r="W913" s="21" t="s">
        <v>238</v>
      </c>
      <c r="X913" s="18">
        <v>2018</v>
      </c>
      <c r="Y913" s="18" t="s">
        <v>143</v>
      </c>
      <c r="Z913" s="18" t="s">
        <v>650</v>
      </c>
      <c r="AA913" s="18"/>
      <c r="AC913" s="18" t="s">
        <v>514</v>
      </c>
      <c r="AD913" s="41" t="s">
        <v>22</v>
      </c>
      <c r="AE913" s="41">
        <v>1585.1</v>
      </c>
      <c r="AF913" s="41" t="s">
        <v>22</v>
      </c>
      <c r="AG913" s="41" t="s">
        <v>22</v>
      </c>
      <c r="AH913" s="41" t="s">
        <v>22</v>
      </c>
      <c r="AI913" s="41" t="s">
        <v>22</v>
      </c>
      <c r="AJ913" s="41" t="s">
        <v>22</v>
      </c>
      <c r="AK913" s="41" t="s">
        <v>22</v>
      </c>
      <c r="AL913" s="41" t="s">
        <v>22</v>
      </c>
      <c r="AM913" s="43" t="e">
        <f t="shared" si="501"/>
        <v>#VALUE!</v>
      </c>
      <c r="AN913" s="43" t="e">
        <f t="shared" si="502"/>
        <v>#VALUE!</v>
      </c>
      <c r="AO913" s="19" t="s">
        <v>239</v>
      </c>
      <c r="AP913" s="18"/>
      <c r="AQ913" s="18"/>
      <c r="AR913" s="18"/>
      <c r="AS913" s="18"/>
      <c r="AT913" s="2">
        <f t="shared" si="503"/>
        <v>22</v>
      </c>
      <c r="AU913" s="45">
        <f t="shared" si="504"/>
        <v>0.77815125038364363</v>
      </c>
      <c r="AV913" s="45">
        <f t="shared" si="505"/>
        <v>0.21748394421390627</v>
      </c>
      <c r="AW913" s="45">
        <f t="shared" si="506"/>
        <v>0.56066730616973737</v>
      </c>
      <c r="AX913" s="45">
        <f t="shared" si="507"/>
        <v>3.4471580313422194</v>
      </c>
      <c r="AY913" s="45">
        <f t="shared" si="508"/>
        <v>0.23044892137827391</v>
      </c>
      <c r="AZ913" s="45">
        <f t="shared" si="509"/>
        <v>2.1461280356782382</v>
      </c>
      <c r="BA913" s="45" t="e">
        <f t="shared" si="510"/>
        <v>#VALUE!</v>
      </c>
      <c r="BB913" s="45" t="e">
        <f t="shared" si="511"/>
        <v>#VALUE!</v>
      </c>
      <c r="BC913" s="45">
        <f t="shared" si="512"/>
        <v>0.17609125905568124</v>
      </c>
      <c r="BD913" s="45" t="e">
        <f t="shared" si="513"/>
        <v>#VALUE!</v>
      </c>
      <c r="BE913" s="45" t="e">
        <f t="shared" si="514"/>
        <v>#VALUE!</v>
      </c>
      <c r="BF913" s="45" t="e">
        <f t="shared" si="515"/>
        <v>#VALUE!</v>
      </c>
      <c r="BG913" s="45" t="e">
        <f t="shared" si="516"/>
        <v>#VALUE!</v>
      </c>
      <c r="BH913" s="45" t="e">
        <f t="shared" si="517"/>
        <v>#NUM!</v>
      </c>
      <c r="BI913" s="43" t="e">
        <f t="shared" si="518"/>
        <v>#VALUE!</v>
      </c>
      <c r="BJ913" s="18"/>
      <c r="BK913" s="18"/>
      <c r="BL913" s="20"/>
      <c r="BS913" s="18"/>
      <c r="BT913" s="18"/>
      <c r="CA913" s="41" t="s">
        <v>22</v>
      </c>
      <c r="CB913" s="18"/>
      <c r="CC913" s="18" t="s">
        <v>22</v>
      </c>
      <c r="CD913" s="18"/>
      <c r="CE913" s="41" t="s">
        <v>22</v>
      </c>
      <c r="CF913" s="41" t="s">
        <v>22</v>
      </c>
      <c r="CG913" s="41" t="e">
        <f t="shared" si="496"/>
        <v>#VALUE!</v>
      </c>
      <c r="CH913" s="41" t="e">
        <f t="shared" si="497"/>
        <v>#VALUE!</v>
      </c>
      <c r="CI913" s="41">
        <f t="shared" si="498"/>
        <v>1.5</v>
      </c>
      <c r="CJ913" s="41">
        <f t="shared" si="499"/>
        <v>0.17609125905568124</v>
      </c>
      <c r="CK913" s="18"/>
      <c r="CL913" s="9" t="s">
        <v>1269</v>
      </c>
      <c r="CM913" s="18" t="s">
        <v>1285</v>
      </c>
      <c r="CN913" s="54" t="s">
        <v>1284</v>
      </c>
      <c r="CO913" s="18" t="s">
        <v>1284</v>
      </c>
    </row>
    <row r="914" spans="1:93" x14ac:dyDescent="0.25">
      <c r="A914" s="18" t="s">
        <v>266</v>
      </c>
      <c r="B914" s="41" t="s">
        <v>22</v>
      </c>
      <c r="C914" s="41" t="s">
        <v>22</v>
      </c>
      <c r="D914" s="41" t="s">
        <v>22</v>
      </c>
      <c r="E914" s="41" t="s">
        <v>22</v>
      </c>
      <c r="F914" s="18" t="s">
        <v>22</v>
      </c>
      <c r="G914" s="18" t="s">
        <v>22</v>
      </c>
      <c r="H914" s="18" t="s">
        <v>22</v>
      </c>
      <c r="I914" s="18" t="s">
        <v>22</v>
      </c>
      <c r="J914" s="41" t="s">
        <v>22</v>
      </c>
      <c r="K914" s="18" t="s">
        <v>22</v>
      </c>
      <c r="L914" s="41" t="s">
        <v>22</v>
      </c>
      <c r="M914" s="18" t="s">
        <v>45</v>
      </c>
      <c r="N914" s="41">
        <v>770</v>
      </c>
      <c r="O914" s="41" t="s">
        <v>22</v>
      </c>
      <c r="P914" s="41" t="s">
        <v>22</v>
      </c>
      <c r="R914" s="41" t="s">
        <v>22</v>
      </c>
      <c r="S914" s="41" t="s">
        <v>22</v>
      </c>
      <c r="T914" s="41">
        <v>2.34</v>
      </c>
      <c r="U914" s="41">
        <v>2.34</v>
      </c>
      <c r="V914" s="18">
        <v>20200510</v>
      </c>
      <c r="W914" s="21"/>
      <c r="X914" s="18">
        <v>2018</v>
      </c>
      <c r="Y914" s="18" t="s">
        <v>143</v>
      </c>
      <c r="Z914" s="18" t="s">
        <v>652</v>
      </c>
      <c r="AA914" s="18"/>
      <c r="AC914" s="18" t="s">
        <v>514</v>
      </c>
      <c r="AD914" s="41" t="s">
        <v>22</v>
      </c>
      <c r="AE914" s="41" t="s">
        <v>22</v>
      </c>
      <c r="AF914" s="41" t="s">
        <v>22</v>
      </c>
      <c r="AG914" s="41" t="s">
        <v>22</v>
      </c>
      <c r="AH914" s="41" t="s">
        <v>22</v>
      </c>
      <c r="AI914" s="41" t="s">
        <v>22</v>
      </c>
      <c r="AJ914" s="41" t="s">
        <v>22</v>
      </c>
      <c r="AK914" s="41" t="s">
        <v>22</v>
      </c>
      <c r="AL914" s="41" t="s">
        <v>22</v>
      </c>
      <c r="AM914" s="43" t="e">
        <f t="shared" si="501"/>
        <v>#VALUE!</v>
      </c>
      <c r="AN914" s="43" t="e">
        <f t="shared" si="502"/>
        <v>#VALUE!</v>
      </c>
      <c r="AO914" s="19" t="s">
        <v>239</v>
      </c>
      <c r="AP914" s="18"/>
      <c r="AQ914" s="18"/>
      <c r="AR914" s="18"/>
      <c r="AS914" s="18"/>
      <c r="AT914" s="2">
        <f t="shared" si="503"/>
        <v>22</v>
      </c>
      <c r="AU914" s="45" t="e">
        <f t="shared" si="504"/>
        <v>#VALUE!</v>
      </c>
      <c r="AV914" s="45" t="e">
        <f t="shared" si="505"/>
        <v>#VALUE!</v>
      </c>
      <c r="AW914" s="45" t="e">
        <f t="shared" si="506"/>
        <v>#VALUE!</v>
      </c>
      <c r="AX914" s="45">
        <f t="shared" si="507"/>
        <v>2.8864907251724818</v>
      </c>
      <c r="AY914" s="45" t="e">
        <f t="shared" si="508"/>
        <v>#VALUE!</v>
      </c>
      <c r="AZ914" s="45" t="e">
        <f t="shared" si="509"/>
        <v>#VALUE!</v>
      </c>
      <c r="BA914" s="45" t="e">
        <f t="shared" si="510"/>
        <v>#VALUE!</v>
      </c>
      <c r="BB914" s="45" t="e">
        <f t="shared" si="511"/>
        <v>#VALUE!</v>
      </c>
      <c r="BC914" s="45">
        <f t="shared" si="512"/>
        <v>0.36921585741014279</v>
      </c>
      <c r="BD914" s="45" t="e">
        <f t="shared" si="513"/>
        <v>#VALUE!</v>
      </c>
      <c r="BE914" s="45" t="e">
        <f t="shared" si="514"/>
        <v>#VALUE!</v>
      </c>
      <c r="BF914" s="45" t="e">
        <f t="shared" si="515"/>
        <v>#VALUE!</v>
      </c>
      <c r="BG914" s="45" t="e">
        <f t="shared" si="516"/>
        <v>#VALUE!</v>
      </c>
      <c r="BH914" s="45" t="e">
        <f t="shared" si="517"/>
        <v>#NUM!</v>
      </c>
      <c r="BI914" s="43" t="e">
        <f t="shared" si="518"/>
        <v>#VALUE!</v>
      </c>
      <c r="BJ914" s="18"/>
      <c r="BK914" s="18"/>
      <c r="BL914" s="20"/>
      <c r="BS914" s="18"/>
      <c r="BT914" s="18"/>
      <c r="CA914" s="41" t="s">
        <v>22</v>
      </c>
      <c r="CB914" s="18"/>
      <c r="CC914" s="18" t="s">
        <v>22</v>
      </c>
      <c r="CD914" s="18"/>
      <c r="CE914" s="41" t="s">
        <v>22</v>
      </c>
      <c r="CF914" s="41" t="s">
        <v>22</v>
      </c>
      <c r="CG914" s="41" t="e">
        <f t="shared" si="496"/>
        <v>#VALUE!</v>
      </c>
      <c r="CH914" s="41" t="e">
        <f t="shared" si="497"/>
        <v>#VALUE!</v>
      </c>
      <c r="CI914" s="41">
        <f t="shared" si="498"/>
        <v>2.34</v>
      </c>
      <c r="CJ914" s="41">
        <f t="shared" si="499"/>
        <v>0.36921585741014279</v>
      </c>
      <c r="CK914" s="18"/>
      <c r="CL914" s="9" t="s">
        <v>1269</v>
      </c>
      <c r="CM914" s="18" t="s">
        <v>1285</v>
      </c>
      <c r="CN914" s="54" t="s">
        <v>1284</v>
      </c>
      <c r="CO914" s="18" t="s">
        <v>1284</v>
      </c>
    </row>
    <row r="915" spans="1:93" x14ac:dyDescent="0.25">
      <c r="A915" s="18" t="s">
        <v>266</v>
      </c>
      <c r="B915" s="41">
        <v>5</v>
      </c>
      <c r="C915" s="41" t="s">
        <v>22</v>
      </c>
      <c r="D915" s="41" t="s">
        <v>22</v>
      </c>
      <c r="E915" s="41" t="s">
        <v>22</v>
      </c>
      <c r="F915" t="s">
        <v>22</v>
      </c>
      <c r="G915" t="s">
        <v>22</v>
      </c>
      <c r="H915" t="s">
        <v>22</v>
      </c>
      <c r="I915" t="s">
        <v>22</v>
      </c>
      <c r="J915" s="41" t="s">
        <v>22</v>
      </c>
      <c r="K915" t="s">
        <v>22</v>
      </c>
      <c r="L915" s="41" t="s">
        <v>22</v>
      </c>
      <c r="M915" t="s">
        <v>45</v>
      </c>
      <c r="N915" s="41">
        <v>1000</v>
      </c>
      <c r="O915" s="41" t="s">
        <v>22</v>
      </c>
      <c r="P915" s="41" t="s">
        <v>22</v>
      </c>
      <c r="R915" s="41">
        <f t="shared" ref="R915:R934" si="520">N915*B915</f>
        <v>5000</v>
      </c>
      <c r="S915" s="41" t="s">
        <v>22</v>
      </c>
      <c r="T915" s="41">
        <v>3.2</v>
      </c>
      <c r="U915" s="41">
        <v>3.2</v>
      </c>
      <c r="V915">
        <v>20200510</v>
      </c>
      <c r="X915" s="18">
        <v>2018</v>
      </c>
      <c r="Y915" s="18" t="s">
        <v>143</v>
      </c>
      <c r="Z915" s="18" t="s">
        <v>652</v>
      </c>
      <c r="AA915" s="18"/>
      <c r="AC915" s="18" t="s">
        <v>514</v>
      </c>
      <c r="AD915" s="41" t="s">
        <v>22</v>
      </c>
      <c r="AE915" s="41" t="s">
        <v>22</v>
      </c>
      <c r="AF915" s="41" t="s">
        <v>22</v>
      </c>
      <c r="AG915" s="41" t="s">
        <v>22</v>
      </c>
      <c r="AH915" s="41" t="s">
        <v>22</v>
      </c>
      <c r="AI915" s="41" t="s">
        <v>22</v>
      </c>
      <c r="AJ915" s="41" t="s">
        <v>22</v>
      </c>
      <c r="AK915" s="41" t="s">
        <v>22</v>
      </c>
      <c r="AL915" s="41" t="s">
        <v>22</v>
      </c>
      <c r="AM915" s="43" t="e">
        <f t="shared" si="501"/>
        <v>#VALUE!</v>
      </c>
      <c r="AN915" s="43" t="e">
        <f t="shared" si="502"/>
        <v>#VALUE!</v>
      </c>
      <c r="AO915" s="19" t="s">
        <v>239</v>
      </c>
      <c r="AT915" s="2">
        <f t="shared" si="503"/>
        <v>22</v>
      </c>
      <c r="AU915" s="45">
        <f t="shared" si="504"/>
        <v>0.69897000433601886</v>
      </c>
      <c r="AV915" s="45" t="e">
        <f t="shared" si="505"/>
        <v>#VALUE!</v>
      </c>
      <c r="AW915" s="45" t="e">
        <f t="shared" si="506"/>
        <v>#VALUE!</v>
      </c>
      <c r="AX915" s="45">
        <f t="shared" si="507"/>
        <v>3</v>
      </c>
      <c r="AY915" s="45" t="e">
        <f t="shared" si="508"/>
        <v>#VALUE!</v>
      </c>
      <c r="AZ915" s="45" t="e">
        <f t="shared" si="509"/>
        <v>#VALUE!</v>
      </c>
      <c r="BA915" s="45" t="e">
        <f t="shared" si="510"/>
        <v>#VALUE!</v>
      </c>
      <c r="BB915" s="45" t="e">
        <f t="shared" si="511"/>
        <v>#VALUE!</v>
      </c>
      <c r="BC915" s="45">
        <f t="shared" si="512"/>
        <v>0.50514997831990605</v>
      </c>
      <c r="BD915" s="45" t="e">
        <f t="shared" si="513"/>
        <v>#VALUE!</v>
      </c>
      <c r="BE915" s="45" t="e">
        <f t="shared" si="514"/>
        <v>#VALUE!</v>
      </c>
      <c r="BF915" s="45" t="e">
        <f t="shared" si="515"/>
        <v>#VALUE!</v>
      </c>
      <c r="BG915" s="45" t="e">
        <f t="shared" si="516"/>
        <v>#VALUE!</v>
      </c>
      <c r="BH915" s="45" t="e">
        <f t="shared" si="517"/>
        <v>#NUM!</v>
      </c>
      <c r="BI915" s="43" t="e">
        <f t="shared" si="518"/>
        <v>#VALUE!</v>
      </c>
      <c r="CA915" s="41" t="s">
        <v>22</v>
      </c>
      <c r="CC915" t="s">
        <v>22</v>
      </c>
      <c r="CE915" s="41" t="s">
        <v>22</v>
      </c>
      <c r="CF915" s="41" t="s">
        <v>22</v>
      </c>
      <c r="CG915" s="41" t="e">
        <f t="shared" si="496"/>
        <v>#VALUE!</v>
      </c>
      <c r="CH915" s="41" t="e">
        <f t="shared" si="497"/>
        <v>#VALUE!</v>
      </c>
      <c r="CI915" s="41">
        <f t="shared" si="498"/>
        <v>3.2</v>
      </c>
      <c r="CJ915" s="41">
        <f t="shared" si="499"/>
        <v>0.50514997831990605</v>
      </c>
      <c r="CL915" s="9" t="s">
        <v>1269</v>
      </c>
      <c r="CM915" s="18" t="s">
        <v>1285</v>
      </c>
      <c r="CN915" s="54" t="s">
        <v>1284</v>
      </c>
      <c r="CO915" s="18" t="s">
        <v>1284</v>
      </c>
    </row>
    <row r="916" spans="1:93" x14ac:dyDescent="0.25">
      <c r="A916" s="18" t="s">
        <v>266</v>
      </c>
      <c r="B916" s="41">
        <v>4.8</v>
      </c>
      <c r="C916" s="41" t="s">
        <v>22</v>
      </c>
      <c r="D916" s="41" t="s">
        <v>22</v>
      </c>
      <c r="E916" s="41" t="s">
        <v>22</v>
      </c>
      <c r="F916" t="s">
        <v>22</v>
      </c>
      <c r="G916" t="s">
        <v>22</v>
      </c>
      <c r="H916" t="s">
        <v>22</v>
      </c>
      <c r="I916" t="s">
        <v>22</v>
      </c>
      <c r="J916" s="41" t="s">
        <v>22</v>
      </c>
      <c r="K916" t="s">
        <v>22</v>
      </c>
      <c r="L916" s="41" t="s">
        <v>22</v>
      </c>
      <c r="M916" t="s">
        <v>45</v>
      </c>
      <c r="N916" s="41">
        <v>1250</v>
      </c>
      <c r="O916" s="41" t="s">
        <v>22</v>
      </c>
      <c r="P916" s="41" t="s">
        <v>22</v>
      </c>
      <c r="R916" s="41">
        <f t="shared" si="520"/>
        <v>6000</v>
      </c>
      <c r="S916" s="41" t="s">
        <v>22</v>
      </c>
      <c r="T916" s="41">
        <v>2</v>
      </c>
      <c r="U916" s="41">
        <v>2</v>
      </c>
      <c r="V916">
        <v>20200510</v>
      </c>
      <c r="X916" s="18">
        <v>2018</v>
      </c>
      <c r="Y916" s="18" t="s">
        <v>143</v>
      </c>
      <c r="Z916" s="18" t="s">
        <v>652</v>
      </c>
      <c r="AA916" s="18"/>
      <c r="AC916" s="18" t="s">
        <v>514</v>
      </c>
      <c r="AD916" s="41" t="s">
        <v>22</v>
      </c>
      <c r="AE916" s="41" t="s">
        <v>22</v>
      </c>
      <c r="AF916" s="41" t="s">
        <v>22</v>
      </c>
      <c r="AG916" s="41" t="s">
        <v>22</v>
      </c>
      <c r="AH916" s="41" t="s">
        <v>22</v>
      </c>
      <c r="AI916" s="41" t="s">
        <v>22</v>
      </c>
      <c r="AJ916" s="41" t="s">
        <v>22</v>
      </c>
      <c r="AK916" s="41" t="s">
        <v>22</v>
      </c>
      <c r="AL916" s="41" t="s">
        <v>22</v>
      </c>
      <c r="AM916" s="43" t="e">
        <f t="shared" si="501"/>
        <v>#VALUE!</v>
      </c>
      <c r="AN916" s="43" t="e">
        <f t="shared" si="502"/>
        <v>#VALUE!</v>
      </c>
      <c r="AO916" s="19" t="s">
        <v>239</v>
      </c>
      <c r="AT916" s="2">
        <f t="shared" si="503"/>
        <v>22</v>
      </c>
      <c r="AU916" s="45">
        <f t="shared" si="504"/>
        <v>0.68124123737558717</v>
      </c>
      <c r="AV916" s="45" t="e">
        <f t="shared" si="505"/>
        <v>#VALUE!</v>
      </c>
      <c r="AW916" s="45" t="e">
        <f t="shared" si="506"/>
        <v>#VALUE!</v>
      </c>
      <c r="AX916" s="45">
        <f t="shared" si="507"/>
        <v>3.0969100130080562</v>
      </c>
      <c r="AY916" s="45" t="e">
        <f t="shared" si="508"/>
        <v>#VALUE!</v>
      </c>
      <c r="AZ916" s="45" t="e">
        <f t="shared" si="509"/>
        <v>#VALUE!</v>
      </c>
      <c r="BA916" s="45" t="e">
        <f t="shared" si="510"/>
        <v>#VALUE!</v>
      </c>
      <c r="BB916" s="45" t="e">
        <f t="shared" si="511"/>
        <v>#VALUE!</v>
      </c>
      <c r="BC916" s="45">
        <f t="shared" si="512"/>
        <v>0.3010299956639812</v>
      </c>
      <c r="BD916" s="45" t="e">
        <f t="shared" si="513"/>
        <v>#VALUE!</v>
      </c>
      <c r="BE916" s="45" t="e">
        <f t="shared" si="514"/>
        <v>#VALUE!</v>
      </c>
      <c r="BF916" s="45" t="e">
        <f t="shared" si="515"/>
        <v>#VALUE!</v>
      </c>
      <c r="BG916" s="45" t="e">
        <f t="shared" si="516"/>
        <v>#VALUE!</v>
      </c>
      <c r="BH916" s="45" t="e">
        <f t="shared" si="517"/>
        <v>#NUM!</v>
      </c>
      <c r="BI916" s="43" t="e">
        <f t="shared" si="518"/>
        <v>#VALUE!</v>
      </c>
      <c r="CA916" s="41" t="s">
        <v>22</v>
      </c>
      <c r="CC916" t="s">
        <v>22</v>
      </c>
      <c r="CE916" s="41" t="s">
        <v>22</v>
      </c>
      <c r="CF916" s="41" t="s">
        <v>22</v>
      </c>
      <c r="CG916" s="41" t="e">
        <f t="shared" si="496"/>
        <v>#VALUE!</v>
      </c>
      <c r="CH916" s="41" t="e">
        <f t="shared" si="497"/>
        <v>#VALUE!</v>
      </c>
      <c r="CI916" s="41">
        <f t="shared" si="498"/>
        <v>2</v>
      </c>
      <c r="CJ916" s="41">
        <f t="shared" si="499"/>
        <v>0.3010299956639812</v>
      </c>
      <c r="CL916" s="9" t="s">
        <v>1269</v>
      </c>
      <c r="CM916" s="18" t="s">
        <v>1285</v>
      </c>
      <c r="CN916" s="54" t="s">
        <v>1284</v>
      </c>
      <c r="CO916" s="18" t="s">
        <v>1284</v>
      </c>
    </row>
    <row r="917" spans="1:93" x14ac:dyDescent="0.25">
      <c r="A917" s="18" t="s">
        <v>266</v>
      </c>
      <c r="B917" s="41">
        <v>3.3</v>
      </c>
      <c r="C917" s="41" t="s">
        <v>22</v>
      </c>
      <c r="D917" s="41" t="s">
        <v>22</v>
      </c>
      <c r="E917" s="41" t="s">
        <v>22</v>
      </c>
      <c r="F917" t="s">
        <v>22</v>
      </c>
      <c r="G917" t="s">
        <v>22</v>
      </c>
      <c r="H917" t="s">
        <v>22</v>
      </c>
      <c r="I917" t="s">
        <v>22</v>
      </c>
      <c r="J917" s="41" t="s">
        <v>22</v>
      </c>
      <c r="K917" t="s">
        <v>22</v>
      </c>
      <c r="L917" s="41" t="s">
        <v>22</v>
      </c>
      <c r="M917" t="s">
        <v>45</v>
      </c>
      <c r="N917" s="41">
        <v>1100</v>
      </c>
      <c r="O917" s="41" t="s">
        <v>22</v>
      </c>
      <c r="P917" s="41" t="s">
        <v>22</v>
      </c>
      <c r="R917" s="41">
        <f t="shared" si="520"/>
        <v>3630</v>
      </c>
      <c r="S917" s="41" t="s">
        <v>22</v>
      </c>
      <c r="T917" s="41">
        <v>2.2000000000000002</v>
      </c>
      <c r="U917" s="41">
        <v>2.2000000000000002</v>
      </c>
      <c r="V917">
        <v>20200510</v>
      </c>
      <c r="X917" s="18">
        <v>2018</v>
      </c>
      <c r="Y917" s="18" t="s">
        <v>143</v>
      </c>
      <c r="Z917" s="18" t="s">
        <v>652</v>
      </c>
      <c r="AA917" s="18"/>
      <c r="AC917" s="18" t="s">
        <v>514</v>
      </c>
      <c r="AD917" s="41" t="s">
        <v>22</v>
      </c>
      <c r="AE917" s="41" t="s">
        <v>22</v>
      </c>
      <c r="AF917" s="41" t="s">
        <v>22</v>
      </c>
      <c r="AG917" s="41" t="s">
        <v>22</v>
      </c>
      <c r="AH917" s="41" t="s">
        <v>22</v>
      </c>
      <c r="AI917" s="41" t="s">
        <v>22</v>
      </c>
      <c r="AJ917" s="41" t="s">
        <v>22</v>
      </c>
      <c r="AK917" s="41" t="s">
        <v>22</v>
      </c>
      <c r="AL917" s="41" t="s">
        <v>22</v>
      </c>
      <c r="AM917" s="43" t="e">
        <f t="shared" si="501"/>
        <v>#VALUE!</v>
      </c>
      <c r="AN917" s="43" t="e">
        <f t="shared" si="502"/>
        <v>#VALUE!</v>
      </c>
      <c r="AO917" s="19" t="s">
        <v>239</v>
      </c>
      <c r="AT917" s="2">
        <f t="shared" si="503"/>
        <v>22</v>
      </c>
      <c r="AU917" s="45">
        <f t="shared" si="504"/>
        <v>0.51851393987788741</v>
      </c>
      <c r="AV917" s="45" t="e">
        <f t="shared" si="505"/>
        <v>#VALUE!</v>
      </c>
      <c r="AW917" s="45" t="e">
        <f t="shared" si="506"/>
        <v>#VALUE!</v>
      </c>
      <c r="AX917" s="45">
        <f t="shared" si="507"/>
        <v>3.0413926851582249</v>
      </c>
      <c r="AY917" s="45" t="e">
        <f t="shared" si="508"/>
        <v>#VALUE!</v>
      </c>
      <c r="AZ917" s="45" t="e">
        <f t="shared" si="509"/>
        <v>#VALUE!</v>
      </c>
      <c r="BA917" s="45" t="e">
        <f t="shared" si="510"/>
        <v>#VALUE!</v>
      </c>
      <c r="BB917" s="45" t="e">
        <f t="shared" si="511"/>
        <v>#VALUE!</v>
      </c>
      <c r="BC917" s="45">
        <f t="shared" si="512"/>
        <v>0.34242268082220628</v>
      </c>
      <c r="BD917" s="45" t="e">
        <f t="shared" si="513"/>
        <v>#VALUE!</v>
      </c>
      <c r="BE917" s="45" t="e">
        <f t="shared" si="514"/>
        <v>#VALUE!</v>
      </c>
      <c r="BF917" s="45" t="e">
        <f t="shared" si="515"/>
        <v>#VALUE!</v>
      </c>
      <c r="BG917" s="45" t="e">
        <f t="shared" si="516"/>
        <v>#VALUE!</v>
      </c>
      <c r="BH917" s="45" t="e">
        <f t="shared" si="517"/>
        <v>#NUM!</v>
      </c>
      <c r="BI917" s="43" t="e">
        <f t="shared" si="518"/>
        <v>#VALUE!</v>
      </c>
      <c r="CA917" s="41" t="s">
        <v>22</v>
      </c>
      <c r="CC917" t="s">
        <v>22</v>
      </c>
      <c r="CE917" s="41" t="s">
        <v>22</v>
      </c>
      <c r="CF917" s="41" t="s">
        <v>22</v>
      </c>
      <c r="CG917" s="41" t="e">
        <f t="shared" si="496"/>
        <v>#VALUE!</v>
      </c>
      <c r="CH917" s="41" t="e">
        <f t="shared" si="497"/>
        <v>#VALUE!</v>
      </c>
      <c r="CI917" s="41">
        <f t="shared" si="498"/>
        <v>2.2000000000000002</v>
      </c>
      <c r="CJ917" s="41">
        <f t="shared" si="499"/>
        <v>0.34242268082220628</v>
      </c>
      <c r="CL917" s="9" t="s">
        <v>1269</v>
      </c>
      <c r="CM917" s="18" t="s">
        <v>1285</v>
      </c>
      <c r="CN917" s="54" t="s">
        <v>1284</v>
      </c>
      <c r="CO917" s="18" t="s">
        <v>1284</v>
      </c>
    </row>
    <row r="918" spans="1:93" x14ac:dyDescent="0.25">
      <c r="A918" t="s">
        <v>266</v>
      </c>
      <c r="B918" s="41">
        <v>4.3</v>
      </c>
      <c r="C918" s="41" t="s">
        <v>22</v>
      </c>
      <c r="D918" s="41" t="s">
        <v>22</v>
      </c>
      <c r="E918" s="41" t="s">
        <v>22</v>
      </c>
      <c r="F918" t="s">
        <v>22</v>
      </c>
      <c r="G918" t="s">
        <v>22</v>
      </c>
      <c r="H918" t="s">
        <v>22</v>
      </c>
      <c r="I918" t="s">
        <v>22</v>
      </c>
      <c r="J918" s="41" t="s">
        <v>22</v>
      </c>
      <c r="K918" t="s">
        <v>22</v>
      </c>
      <c r="L918" s="41" t="s">
        <v>22</v>
      </c>
      <c r="M918" t="s">
        <v>45</v>
      </c>
      <c r="N918" s="41">
        <v>880</v>
      </c>
      <c r="O918" s="41" t="s">
        <v>22</v>
      </c>
      <c r="P918" s="41" t="s">
        <v>22</v>
      </c>
      <c r="R918" s="41">
        <f t="shared" si="520"/>
        <v>3784</v>
      </c>
      <c r="S918" s="41" t="s">
        <v>22</v>
      </c>
      <c r="T918" s="41">
        <v>1.5</v>
      </c>
      <c r="U918" s="41">
        <v>1.5</v>
      </c>
      <c r="V918">
        <v>20200510</v>
      </c>
      <c r="X918" s="18">
        <v>2018</v>
      </c>
      <c r="Y918" s="18" t="s">
        <v>143</v>
      </c>
      <c r="Z918" s="18" t="s">
        <v>652</v>
      </c>
      <c r="AA918" s="18"/>
      <c r="AC918" s="18" t="s">
        <v>514</v>
      </c>
      <c r="AD918" s="41" t="s">
        <v>22</v>
      </c>
      <c r="AE918" s="41" t="s">
        <v>22</v>
      </c>
      <c r="AF918" s="41" t="s">
        <v>22</v>
      </c>
      <c r="AG918" s="41" t="s">
        <v>22</v>
      </c>
      <c r="AH918" s="41" t="s">
        <v>22</v>
      </c>
      <c r="AI918" s="41" t="s">
        <v>22</v>
      </c>
      <c r="AJ918" s="41" t="s">
        <v>22</v>
      </c>
      <c r="AK918" s="41" t="s">
        <v>22</v>
      </c>
      <c r="AL918" s="41" t="s">
        <v>22</v>
      </c>
      <c r="AM918" s="43" t="e">
        <f t="shared" si="501"/>
        <v>#VALUE!</v>
      </c>
      <c r="AN918" s="43" t="e">
        <f t="shared" si="502"/>
        <v>#VALUE!</v>
      </c>
      <c r="AO918" s="3" t="s">
        <v>239</v>
      </c>
      <c r="AT918" s="2">
        <f t="shared" si="503"/>
        <v>22</v>
      </c>
      <c r="AU918" s="45">
        <f t="shared" si="504"/>
        <v>0.63346845557958653</v>
      </c>
      <c r="AV918" s="45" t="e">
        <f t="shared" si="505"/>
        <v>#VALUE!</v>
      </c>
      <c r="AW918" s="45" t="e">
        <f t="shared" si="506"/>
        <v>#VALUE!</v>
      </c>
      <c r="AX918" s="45">
        <f t="shared" si="507"/>
        <v>2.9444826721501687</v>
      </c>
      <c r="AY918" s="45" t="e">
        <f t="shared" si="508"/>
        <v>#VALUE!</v>
      </c>
      <c r="AZ918" s="45" t="e">
        <f t="shared" si="509"/>
        <v>#VALUE!</v>
      </c>
      <c r="BA918" s="45" t="e">
        <f t="shared" si="510"/>
        <v>#VALUE!</v>
      </c>
      <c r="BB918" s="45" t="e">
        <f t="shared" si="511"/>
        <v>#VALUE!</v>
      </c>
      <c r="BC918" s="45">
        <f t="shared" si="512"/>
        <v>0.17609125905568124</v>
      </c>
      <c r="BD918" s="45" t="e">
        <f t="shared" si="513"/>
        <v>#VALUE!</v>
      </c>
      <c r="BE918" s="45" t="e">
        <f t="shared" si="514"/>
        <v>#VALUE!</v>
      </c>
      <c r="BF918" s="45" t="e">
        <f t="shared" si="515"/>
        <v>#VALUE!</v>
      </c>
      <c r="BG918" s="45" t="e">
        <f t="shared" si="516"/>
        <v>#VALUE!</v>
      </c>
      <c r="BH918" s="45" t="e">
        <f t="shared" si="517"/>
        <v>#NUM!</v>
      </c>
      <c r="BI918" s="43" t="e">
        <f t="shared" si="518"/>
        <v>#VALUE!</v>
      </c>
      <c r="CA918" s="41" t="s">
        <v>22</v>
      </c>
      <c r="CC918" t="s">
        <v>22</v>
      </c>
      <c r="CE918" s="41" t="s">
        <v>22</v>
      </c>
      <c r="CF918" s="41" t="s">
        <v>22</v>
      </c>
      <c r="CG918" s="41" t="e">
        <f t="shared" si="496"/>
        <v>#VALUE!</v>
      </c>
      <c r="CH918" s="41" t="e">
        <f t="shared" si="497"/>
        <v>#VALUE!</v>
      </c>
      <c r="CI918" s="41">
        <f t="shared" si="498"/>
        <v>1.5</v>
      </c>
      <c r="CJ918" s="41">
        <f t="shared" si="499"/>
        <v>0.17609125905568124</v>
      </c>
      <c r="CL918" s="9" t="s">
        <v>1269</v>
      </c>
      <c r="CM918" s="18" t="s">
        <v>1285</v>
      </c>
      <c r="CN918" s="54" t="s">
        <v>1284</v>
      </c>
      <c r="CO918" s="18" t="s">
        <v>1284</v>
      </c>
    </row>
    <row r="919" spans="1:93" x14ac:dyDescent="0.25">
      <c r="A919" t="s">
        <v>266</v>
      </c>
      <c r="B919" s="41">
        <v>5.6</v>
      </c>
      <c r="C919" s="41" t="s">
        <v>22</v>
      </c>
      <c r="D919" s="41" t="s">
        <v>22</v>
      </c>
      <c r="E919" s="41" t="s">
        <v>22</v>
      </c>
      <c r="F919" t="s">
        <v>22</v>
      </c>
      <c r="G919" t="s">
        <v>22</v>
      </c>
      <c r="H919" t="s">
        <v>22</v>
      </c>
      <c r="I919" t="s">
        <v>22</v>
      </c>
      <c r="J919" s="41" t="s">
        <v>22</v>
      </c>
      <c r="K919" t="s">
        <v>22</v>
      </c>
      <c r="L919" s="41" t="s">
        <v>22</v>
      </c>
      <c r="M919" t="s">
        <v>45</v>
      </c>
      <c r="N919" s="41">
        <v>1510</v>
      </c>
      <c r="O919" s="41" t="s">
        <v>22</v>
      </c>
      <c r="P919" s="41" t="s">
        <v>22</v>
      </c>
      <c r="R919" s="41">
        <f t="shared" si="520"/>
        <v>8456</v>
      </c>
      <c r="S919" s="41" t="s">
        <v>22</v>
      </c>
      <c r="T919" s="41">
        <v>1.5</v>
      </c>
      <c r="U919" s="41">
        <v>1.5</v>
      </c>
      <c r="V919">
        <v>20200510</v>
      </c>
      <c r="X919" s="18">
        <v>2018</v>
      </c>
      <c r="Y919" s="18" t="s">
        <v>143</v>
      </c>
      <c r="Z919" s="18" t="s">
        <v>652</v>
      </c>
      <c r="AA919" s="18"/>
      <c r="AC919" s="18" t="s">
        <v>514</v>
      </c>
      <c r="AD919" s="41" t="s">
        <v>22</v>
      </c>
      <c r="AE919" s="41" t="s">
        <v>22</v>
      </c>
      <c r="AF919" s="41" t="s">
        <v>22</v>
      </c>
      <c r="AG919" s="41" t="s">
        <v>22</v>
      </c>
      <c r="AH919" s="41" t="s">
        <v>22</v>
      </c>
      <c r="AI919" s="41" t="s">
        <v>22</v>
      </c>
      <c r="AJ919" s="41" t="s">
        <v>22</v>
      </c>
      <c r="AK919" s="41" t="s">
        <v>22</v>
      </c>
      <c r="AL919" s="41" t="s">
        <v>22</v>
      </c>
      <c r="AM919" s="43" t="e">
        <f t="shared" si="501"/>
        <v>#VALUE!</v>
      </c>
      <c r="AN919" s="43" t="e">
        <f t="shared" si="502"/>
        <v>#VALUE!</v>
      </c>
      <c r="AO919" s="3" t="s">
        <v>239</v>
      </c>
      <c r="AT919" s="2">
        <f t="shared" si="503"/>
        <v>22</v>
      </c>
      <c r="AU919" s="45">
        <f t="shared" si="504"/>
        <v>0.74818802700620035</v>
      </c>
      <c r="AV919" s="45" t="e">
        <f t="shared" si="505"/>
        <v>#VALUE!</v>
      </c>
      <c r="AW919" s="45" t="e">
        <f t="shared" si="506"/>
        <v>#VALUE!</v>
      </c>
      <c r="AX919" s="45">
        <f t="shared" si="507"/>
        <v>3.1789769472931693</v>
      </c>
      <c r="AY919" s="45" t="e">
        <f t="shared" si="508"/>
        <v>#VALUE!</v>
      </c>
      <c r="AZ919" s="45" t="e">
        <f t="shared" si="509"/>
        <v>#VALUE!</v>
      </c>
      <c r="BA919" s="45" t="e">
        <f t="shared" si="510"/>
        <v>#VALUE!</v>
      </c>
      <c r="BB919" s="45" t="e">
        <f t="shared" si="511"/>
        <v>#VALUE!</v>
      </c>
      <c r="BC919" s="45">
        <f t="shared" si="512"/>
        <v>0.17609125905568124</v>
      </c>
      <c r="BD919" s="45" t="e">
        <f t="shared" si="513"/>
        <v>#VALUE!</v>
      </c>
      <c r="BE919" s="45" t="e">
        <f t="shared" si="514"/>
        <v>#VALUE!</v>
      </c>
      <c r="BF919" s="45" t="e">
        <f t="shared" si="515"/>
        <v>#VALUE!</v>
      </c>
      <c r="BG919" s="45" t="e">
        <f t="shared" si="516"/>
        <v>#VALUE!</v>
      </c>
      <c r="BH919" s="45" t="e">
        <f t="shared" si="517"/>
        <v>#NUM!</v>
      </c>
      <c r="BI919" s="43" t="e">
        <f t="shared" si="518"/>
        <v>#VALUE!</v>
      </c>
      <c r="CA919" s="41" t="s">
        <v>22</v>
      </c>
      <c r="CC919" t="s">
        <v>22</v>
      </c>
      <c r="CE919" s="41" t="s">
        <v>22</v>
      </c>
      <c r="CF919" s="41" t="s">
        <v>22</v>
      </c>
      <c r="CG919" s="41" t="e">
        <f t="shared" si="496"/>
        <v>#VALUE!</v>
      </c>
      <c r="CH919" s="41" t="e">
        <f t="shared" si="497"/>
        <v>#VALUE!</v>
      </c>
      <c r="CI919" s="41">
        <f t="shared" si="498"/>
        <v>1.5</v>
      </c>
      <c r="CJ919" s="41">
        <f t="shared" si="499"/>
        <v>0.17609125905568124</v>
      </c>
      <c r="CL919" s="9" t="s">
        <v>1269</v>
      </c>
      <c r="CM919" s="18" t="s">
        <v>1285</v>
      </c>
      <c r="CN919" s="54" t="s">
        <v>1284</v>
      </c>
      <c r="CO919" s="18" t="s">
        <v>1284</v>
      </c>
    </row>
    <row r="920" spans="1:93" x14ac:dyDescent="0.25">
      <c r="A920" t="s">
        <v>266</v>
      </c>
      <c r="B920" s="41">
        <v>7.7</v>
      </c>
      <c r="C920" s="41">
        <v>1.58</v>
      </c>
      <c r="D920" s="41">
        <f>0.001*(B920*10^6)/(C920*0.001*100^3)</f>
        <v>4.8734177215189876</v>
      </c>
      <c r="E920" s="41" t="s">
        <v>22</v>
      </c>
      <c r="F920" t="s">
        <v>22</v>
      </c>
      <c r="G920" t="s">
        <v>22</v>
      </c>
      <c r="H920">
        <v>6.3</v>
      </c>
      <c r="I920" t="s">
        <v>82</v>
      </c>
      <c r="J920" s="41" t="s">
        <v>22</v>
      </c>
      <c r="K920" t="s">
        <v>22</v>
      </c>
      <c r="L920" s="41" t="s">
        <v>22</v>
      </c>
      <c r="M920" t="s">
        <v>45</v>
      </c>
      <c r="N920" s="41">
        <v>2430</v>
      </c>
      <c r="O920" s="41" t="s">
        <v>22</v>
      </c>
      <c r="P920" s="41" t="s">
        <v>22</v>
      </c>
      <c r="R920" s="41">
        <f t="shared" si="520"/>
        <v>18711</v>
      </c>
      <c r="S920" s="41" t="s">
        <v>22</v>
      </c>
      <c r="T920" s="41">
        <v>2.1</v>
      </c>
      <c r="U920" s="41">
        <v>2.1</v>
      </c>
      <c r="V920">
        <v>20200510</v>
      </c>
      <c r="X920" s="18">
        <v>2018</v>
      </c>
      <c r="Y920" s="18" t="s">
        <v>143</v>
      </c>
      <c r="Z920" s="18" t="s">
        <v>652</v>
      </c>
      <c r="AA920" s="18"/>
      <c r="AC920" s="18" t="s">
        <v>514</v>
      </c>
      <c r="AD920" s="41" t="s">
        <v>22</v>
      </c>
      <c r="AE920" s="41" t="s">
        <v>22</v>
      </c>
      <c r="AF920" s="41" t="s">
        <v>22</v>
      </c>
      <c r="AG920" s="41" t="s">
        <v>22</v>
      </c>
      <c r="AH920" s="41" t="s">
        <v>22</v>
      </c>
      <c r="AI920" s="41" t="s">
        <v>22</v>
      </c>
      <c r="AJ920" s="41" t="s">
        <v>22</v>
      </c>
      <c r="AK920" s="41" t="s">
        <v>22</v>
      </c>
      <c r="AL920" s="41" t="s">
        <v>22</v>
      </c>
      <c r="AM920" s="43" t="e">
        <f t="shared" si="501"/>
        <v>#VALUE!</v>
      </c>
      <c r="AN920" s="43" t="e">
        <f t="shared" si="502"/>
        <v>#VALUE!</v>
      </c>
      <c r="AO920" s="3" t="s">
        <v>239</v>
      </c>
      <c r="AT920" s="2">
        <f t="shared" si="503"/>
        <v>22</v>
      </c>
      <c r="AU920" s="45">
        <f t="shared" si="504"/>
        <v>0.88649072517248184</v>
      </c>
      <c r="AV920" s="45">
        <f t="shared" si="505"/>
        <v>0.19865708695442263</v>
      </c>
      <c r="AW920" s="45">
        <f t="shared" si="506"/>
        <v>0.68783363821805932</v>
      </c>
      <c r="AX920" s="45">
        <f t="shared" si="507"/>
        <v>3.3856062735983121</v>
      </c>
      <c r="AY920" s="45" t="e">
        <f t="shared" si="508"/>
        <v>#VALUE!</v>
      </c>
      <c r="AZ920" s="45" t="e">
        <f t="shared" si="509"/>
        <v>#VALUE!</v>
      </c>
      <c r="BA920" s="45" t="e">
        <f t="shared" si="510"/>
        <v>#VALUE!</v>
      </c>
      <c r="BB920" s="45" t="e">
        <f t="shared" si="511"/>
        <v>#VALUE!</v>
      </c>
      <c r="BC920" s="45">
        <f t="shared" si="512"/>
        <v>0.3222192947339193</v>
      </c>
      <c r="BD920" s="45" t="e">
        <f t="shared" si="513"/>
        <v>#VALUE!</v>
      </c>
      <c r="BE920" s="45" t="e">
        <f t="shared" si="514"/>
        <v>#VALUE!</v>
      </c>
      <c r="BF920" s="45" t="e">
        <f t="shared" si="515"/>
        <v>#VALUE!</v>
      </c>
      <c r="BG920" s="45" t="e">
        <f t="shared" si="516"/>
        <v>#VALUE!</v>
      </c>
      <c r="BH920" s="45" t="e">
        <f t="shared" si="517"/>
        <v>#NUM!</v>
      </c>
      <c r="BI920" s="43" t="e">
        <f t="shared" si="518"/>
        <v>#VALUE!</v>
      </c>
      <c r="CA920" s="41" t="s">
        <v>22</v>
      </c>
      <c r="CC920" t="s">
        <v>22</v>
      </c>
      <c r="CE920" s="41" t="s">
        <v>22</v>
      </c>
      <c r="CF920" s="41" t="s">
        <v>22</v>
      </c>
      <c r="CG920" s="41" t="e">
        <f t="shared" si="496"/>
        <v>#VALUE!</v>
      </c>
      <c r="CH920" s="41" t="e">
        <f t="shared" si="497"/>
        <v>#VALUE!</v>
      </c>
      <c r="CI920" s="41">
        <f t="shared" si="498"/>
        <v>2.1</v>
      </c>
      <c r="CJ920" s="41">
        <f t="shared" si="499"/>
        <v>0.3222192947339193</v>
      </c>
      <c r="CL920" s="9" t="s">
        <v>1269</v>
      </c>
      <c r="CM920" s="18" t="s">
        <v>1285</v>
      </c>
      <c r="CN920" s="54" t="s">
        <v>1284</v>
      </c>
      <c r="CO920" s="18" t="s">
        <v>1284</v>
      </c>
    </row>
    <row r="921" spans="1:93" x14ac:dyDescent="0.25">
      <c r="A921" t="s">
        <v>266</v>
      </c>
      <c r="B921" s="41">
        <v>2.4</v>
      </c>
      <c r="C921" s="41" t="s">
        <v>22</v>
      </c>
      <c r="D921" s="41" t="s">
        <v>22</v>
      </c>
      <c r="E921" s="41" t="s">
        <v>22</v>
      </c>
      <c r="F921" t="s">
        <v>22</v>
      </c>
      <c r="G921" t="s">
        <v>22</v>
      </c>
      <c r="H921" t="s">
        <v>22</v>
      </c>
      <c r="I921" t="s">
        <v>22</v>
      </c>
      <c r="J921" s="41" t="s">
        <v>22</v>
      </c>
      <c r="K921" t="s">
        <v>22</v>
      </c>
      <c r="L921" s="41" t="s">
        <v>22</v>
      </c>
      <c r="M921" t="s">
        <v>45</v>
      </c>
      <c r="N921" s="41">
        <v>1130</v>
      </c>
      <c r="O921" s="41" t="s">
        <v>22</v>
      </c>
      <c r="P921" s="41" t="s">
        <v>22</v>
      </c>
      <c r="R921" s="41">
        <f t="shared" si="520"/>
        <v>2712</v>
      </c>
      <c r="S921" s="41" t="s">
        <v>22</v>
      </c>
      <c r="T921" s="41">
        <v>0.8</v>
      </c>
      <c r="U921" s="41">
        <v>0.8</v>
      </c>
      <c r="V921">
        <v>20200510</v>
      </c>
      <c r="X921" s="18">
        <v>2018</v>
      </c>
      <c r="Y921" s="18" t="s">
        <v>143</v>
      </c>
      <c r="Z921" s="18" t="s">
        <v>652</v>
      </c>
      <c r="AA921" s="18"/>
      <c r="AC921" s="18" t="s">
        <v>514</v>
      </c>
      <c r="AD921" s="41" t="s">
        <v>22</v>
      </c>
      <c r="AE921" s="41" t="s">
        <v>22</v>
      </c>
      <c r="AF921" s="41" t="s">
        <v>22</v>
      </c>
      <c r="AG921" s="41" t="s">
        <v>22</v>
      </c>
      <c r="AH921" s="41" t="s">
        <v>22</v>
      </c>
      <c r="AI921" s="41" t="s">
        <v>22</v>
      </c>
      <c r="AJ921" s="41" t="s">
        <v>22</v>
      </c>
      <c r="AK921" s="41" t="s">
        <v>22</v>
      </c>
      <c r="AL921" s="41" t="s">
        <v>22</v>
      </c>
      <c r="AM921" s="43" t="e">
        <f t="shared" si="501"/>
        <v>#VALUE!</v>
      </c>
      <c r="AN921" s="43" t="e">
        <f t="shared" si="502"/>
        <v>#VALUE!</v>
      </c>
      <c r="AO921" s="3" t="s">
        <v>239</v>
      </c>
      <c r="AT921" s="2">
        <f t="shared" si="503"/>
        <v>22</v>
      </c>
      <c r="AU921" s="45">
        <f t="shared" si="504"/>
        <v>0.38021124171160603</v>
      </c>
      <c r="AV921" s="45" t="e">
        <f t="shared" si="505"/>
        <v>#VALUE!</v>
      </c>
      <c r="AW921" s="45" t="e">
        <f t="shared" si="506"/>
        <v>#VALUE!</v>
      </c>
      <c r="AX921" s="45">
        <f t="shared" si="507"/>
        <v>3.0530784434834195</v>
      </c>
      <c r="AY921" s="45" t="e">
        <f t="shared" si="508"/>
        <v>#VALUE!</v>
      </c>
      <c r="AZ921" s="45" t="e">
        <f t="shared" si="509"/>
        <v>#VALUE!</v>
      </c>
      <c r="BA921" s="45" t="e">
        <f t="shared" si="510"/>
        <v>#VALUE!</v>
      </c>
      <c r="BB921" s="45" t="e">
        <f t="shared" si="511"/>
        <v>#VALUE!</v>
      </c>
      <c r="BC921" s="45">
        <f t="shared" si="512"/>
        <v>-9.6910013008056392E-2</v>
      </c>
      <c r="BD921" s="45" t="e">
        <f t="shared" si="513"/>
        <v>#VALUE!</v>
      </c>
      <c r="BE921" s="45" t="e">
        <f t="shared" si="514"/>
        <v>#VALUE!</v>
      </c>
      <c r="BF921" s="45" t="e">
        <f t="shared" si="515"/>
        <v>#VALUE!</v>
      </c>
      <c r="BG921" s="45" t="e">
        <f t="shared" si="516"/>
        <v>#VALUE!</v>
      </c>
      <c r="BH921" s="45" t="e">
        <f t="shared" si="517"/>
        <v>#NUM!</v>
      </c>
      <c r="BI921" s="43" t="e">
        <f t="shared" si="518"/>
        <v>#VALUE!</v>
      </c>
      <c r="CA921" s="41" t="s">
        <v>22</v>
      </c>
      <c r="CC921" t="s">
        <v>22</v>
      </c>
      <c r="CE921" s="41" t="s">
        <v>22</v>
      </c>
      <c r="CF921" s="41" t="s">
        <v>22</v>
      </c>
      <c r="CG921" s="41" t="e">
        <f t="shared" ref="CG921:CG938" si="521">AD921*1000</f>
        <v>#VALUE!</v>
      </c>
      <c r="CH921" s="41" t="e">
        <f t="shared" ref="CH921:CH938" si="522">LOG10(CG921)</f>
        <v>#VALUE!</v>
      </c>
      <c r="CI921" s="41">
        <f t="shared" ref="CI921:CI938" si="523">IF(ISNUMBER(CG921),CG921,U921)</f>
        <v>0.8</v>
      </c>
      <c r="CJ921" s="41">
        <f t="shared" ref="CJ921:CJ938" si="524">LOG10(CI921)</f>
        <v>-9.6910013008056392E-2</v>
      </c>
      <c r="CL921" s="9" t="s">
        <v>1269</v>
      </c>
      <c r="CM921" s="18" t="s">
        <v>1285</v>
      </c>
      <c r="CN921" s="54" t="s">
        <v>1284</v>
      </c>
      <c r="CO921" s="18" t="s">
        <v>1284</v>
      </c>
    </row>
    <row r="922" spans="1:93" x14ac:dyDescent="0.25">
      <c r="A922" t="s">
        <v>266</v>
      </c>
      <c r="B922" s="41">
        <v>3.5</v>
      </c>
      <c r="C922" s="41" t="s">
        <v>22</v>
      </c>
      <c r="D922" s="41" t="s">
        <v>22</v>
      </c>
      <c r="E922" s="41" t="s">
        <v>22</v>
      </c>
      <c r="F922" t="s">
        <v>22</v>
      </c>
      <c r="G922" t="s">
        <v>22</v>
      </c>
      <c r="H922" t="s">
        <v>22</v>
      </c>
      <c r="I922" t="s">
        <v>22</v>
      </c>
      <c r="J922" s="41" t="s">
        <v>22</v>
      </c>
      <c r="K922" t="s">
        <v>22</v>
      </c>
      <c r="L922" s="41" t="s">
        <v>22</v>
      </c>
      <c r="M922" t="s">
        <v>45</v>
      </c>
      <c r="N922" s="41">
        <v>1110</v>
      </c>
      <c r="O922" s="41" t="s">
        <v>22</v>
      </c>
      <c r="P922" s="41" t="s">
        <v>22</v>
      </c>
      <c r="R922" s="41">
        <f t="shared" si="520"/>
        <v>3885</v>
      </c>
      <c r="S922" s="41" t="s">
        <v>22</v>
      </c>
      <c r="T922" s="41">
        <v>1.5</v>
      </c>
      <c r="U922" s="41">
        <v>1.5</v>
      </c>
      <c r="V922">
        <v>20200510</v>
      </c>
      <c r="X922" s="18">
        <v>2018</v>
      </c>
      <c r="Y922" t="s">
        <v>143</v>
      </c>
      <c r="Z922" t="s">
        <v>652</v>
      </c>
      <c r="AC922" t="s">
        <v>514</v>
      </c>
      <c r="AD922" s="41" t="s">
        <v>22</v>
      </c>
      <c r="AE922" s="41" t="s">
        <v>22</v>
      </c>
      <c r="AF922" s="41" t="s">
        <v>22</v>
      </c>
      <c r="AG922" s="41" t="s">
        <v>22</v>
      </c>
      <c r="AH922" s="41" t="s">
        <v>22</v>
      </c>
      <c r="AI922" s="41" t="s">
        <v>22</v>
      </c>
      <c r="AJ922" s="41" t="s">
        <v>22</v>
      </c>
      <c r="AK922" s="41" t="s">
        <v>22</v>
      </c>
      <c r="AL922" s="41" t="s">
        <v>22</v>
      </c>
      <c r="AM922" s="43" t="e">
        <f t="shared" si="501"/>
        <v>#VALUE!</v>
      </c>
      <c r="AN922" s="43" t="e">
        <f t="shared" si="502"/>
        <v>#VALUE!</v>
      </c>
      <c r="AO922" s="19" t="s">
        <v>239</v>
      </c>
      <c r="AT922" s="2">
        <f t="shared" si="503"/>
        <v>22</v>
      </c>
      <c r="AU922" s="45">
        <f t="shared" si="504"/>
        <v>0.54406804435027567</v>
      </c>
      <c r="AV922" s="45" t="e">
        <f t="shared" si="505"/>
        <v>#VALUE!</v>
      </c>
      <c r="AW922" s="45" t="e">
        <f t="shared" si="506"/>
        <v>#VALUE!</v>
      </c>
      <c r="AX922" s="45">
        <f t="shared" si="507"/>
        <v>3.0453229787866576</v>
      </c>
      <c r="AY922" s="45" t="e">
        <f t="shared" si="508"/>
        <v>#VALUE!</v>
      </c>
      <c r="AZ922" s="45" t="e">
        <f t="shared" si="509"/>
        <v>#VALUE!</v>
      </c>
      <c r="BA922" s="45" t="e">
        <f t="shared" si="510"/>
        <v>#VALUE!</v>
      </c>
      <c r="BB922" s="45" t="e">
        <f t="shared" si="511"/>
        <v>#VALUE!</v>
      </c>
      <c r="BC922" s="45">
        <f t="shared" si="512"/>
        <v>0.17609125905568124</v>
      </c>
      <c r="BD922" s="45" t="e">
        <f t="shared" si="513"/>
        <v>#VALUE!</v>
      </c>
      <c r="BE922" s="45" t="e">
        <f t="shared" si="514"/>
        <v>#VALUE!</v>
      </c>
      <c r="BF922" s="45" t="e">
        <f t="shared" si="515"/>
        <v>#VALUE!</v>
      </c>
      <c r="BG922" s="45" t="e">
        <f t="shared" si="516"/>
        <v>#VALUE!</v>
      </c>
      <c r="BH922" s="45" t="e">
        <f t="shared" si="517"/>
        <v>#NUM!</v>
      </c>
      <c r="BI922" s="43" t="e">
        <f t="shared" si="518"/>
        <v>#VALUE!</v>
      </c>
      <c r="CA922" s="41" t="s">
        <v>22</v>
      </c>
      <c r="CC922" t="s">
        <v>22</v>
      </c>
      <c r="CE922" s="41" t="s">
        <v>22</v>
      </c>
      <c r="CF922" s="41" t="s">
        <v>22</v>
      </c>
      <c r="CG922" s="41" t="e">
        <f t="shared" si="521"/>
        <v>#VALUE!</v>
      </c>
      <c r="CH922" s="41" t="e">
        <f t="shared" si="522"/>
        <v>#VALUE!</v>
      </c>
      <c r="CI922" s="41">
        <f t="shared" si="523"/>
        <v>1.5</v>
      </c>
      <c r="CJ922" s="41">
        <f t="shared" si="524"/>
        <v>0.17609125905568124</v>
      </c>
      <c r="CL922" s="9" t="s">
        <v>1269</v>
      </c>
      <c r="CM922" s="18" t="s">
        <v>1285</v>
      </c>
      <c r="CN922" s="54" t="s">
        <v>1284</v>
      </c>
      <c r="CO922" s="18" t="s">
        <v>1284</v>
      </c>
    </row>
    <row r="923" spans="1:93" x14ac:dyDescent="0.25">
      <c r="A923" t="s">
        <v>266</v>
      </c>
      <c r="B923" s="41">
        <v>5</v>
      </c>
      <c r="C923" s="41" t="s">
        <v>22</v>
      </c>
      <c r="D923" s="41" t="s">
        <v>22</v>
      </c>
      <c r="E923" s="41" t="s">
        <v>22</v>
      </c>
      <c r="F923" t="s">
        <v>22</v>
      </c>
      <c r="G923" t="s">
        <v>22</v>
      </c>
      <c r="H923" t="s">
        <v>22</v>
      </c>
      <c r="I923" t="s">
        <v>22</v>
      </c>
      <c r="J923" s="41" t="s">
        <v>22</v>
      </c>
      <c r="K923" t="s">
        <v>22</v>
      </c>
      <c r="L923" s="41" t="s">
        <v>22</v>
      </c>
      <c r="M923" t="s">
        <v>45</v>
      </c>
      <c r="N923" s="41">
        <v>1590</v>
      </c>
      <c r="O923" s="41" t="s">
        <v>22</v>
      </c>
      <c r="P923" s="41" t="s">
        <v>22</v>
      </c>
      <c r="R923" s="41">
        <f t="shared" si="520"/>
        <v>7950</v>
      </c>
      <c r="S923" s="41" t="s">
        <v>22</v>
      </c>
      <c r="T923" s="41">
        <v>1.4</v>
      </c>
      <c r="U923" s="41">
        <v>1.4</v>
      </c>
      <c r="V923">
        <v>20200510</v>
      </c>
      <c r="W923" s="21"/>
      <c r="X923">
        <v>2018</v>
      </c>
      <c r="Y923" t="s">
        <v>143</v>
      </c>
      <c r="Z923" t="s">
        <v>652</v>
      </c>
      <c r="AC923" t="s">
        <v>514</v>
      </c>
      <c r="AD923" s="41" t="s">
        <v>22</v>
      </c>
      <c r="AE923" s="41" t="s">
        <v>22</v>
      </c>
      <c r="AF923" s="41" t="s">
        <v>22</v>
      </c>
      <c r="AG923" s="41" t="s">
        <v>22</v>
      </c>
      <c r="AH923" s="41" t="s">
        <v>22</v>
      </c>
      <c r="AI923" s="41" t="s">
        <v>22</v>
      </c>
      <c r="AJ923" s="41" t="s">
        <v>22</v>
      </c>
      <c r="AK923" s="41" t="s">
        <v>22</v>
      </c>
      <c r="AL923" s="41" t="s">
        <v>22</v>
      </c>
      <c r="AM923" s="43" t="e">
        <f t="shared" si="501"/>
        <v>#VALUE!</v>
      </c>
      <c r="AN923" s="43" t="e">
        <f t="shared" si="502"/>
        <v>#VALUE!</v>
      </c>
      <c r="AO923" s="19" t="s">
        <v>239</v>
      </c>
      <c r="AT923" s="2">
        <f t="shared" si="503"/>
        <v>22</v>
      </c>
      <c r="AU923" s="45">
        <f t="shared" si="504"/>
        <v>0.69897000433601886</v>
      </c>
      <c r="AV923" s="45" t="e">
        <f t="shared" si="505"/>
        <v>#VALUE!</v>
      </c>
      <c r="AW923" s="45" t="e">
        <f t="shared" si="506"/>
        <v>#VALUE!</v>
      </c>
      <c r="AX923" s="45">
        <f t="shared" si="507"/>
        <v>3.2013971243204513</v>
      </c>
      <c r="AY923" s="45" t="e">
        <f t="shared" si="508"/>
        <v>#VALUE!</v>
      </c>
      <c r="AZ923" s="45" t="e">
        <f t="shared" si="509"/>
        <v>#VALUE!</v>
      </c>
      <c r="BA923" s="45" t="e">
        <f t="shared" si="510"/>
        <v>#VALUE!</v>
      </c>
      <c r="BB923" s="45" t="e">
        <f t="shared" si="511"/>
        <v>#VALUE!</v>
      </c>
      <c r="BC923" s="45">
        <f t="shared" si="512"/>
        <v>0.14612803567823801</v>
      </c>
      <c r="BD923" s="45" t="e">
        <f t="shared" si="513"/>
        <v>#VALUE!</v>
      </c>
      <c r="BE923" s="45" t="e">
        <f t="shared" si="514"/>
        <v>#VALUE!</v>
      </c>
      <c r="BF923" s="45" t="e">
        <f t="shared" si="515"/>
        <v>#VALUE!</v>
      </c>
      <c r="BG923" s="45" t="e">
        <f t="shared" si="516"/>
        <v>#VALUE!</v>
      </c>
      <c r="BH923" s="45" t="e">
        <f t="shared" si="517"/>
        <v>#NUM!</v>
      </c>
      <c r="BI923" s="43" t="e">
        <f t="shared" si="518"/>
        <v>#VALUE!</v>
      </c>
      <c r="CA923" s="41" t="s">
        <v>22</v>
      </c>
      <c r="CC923" t="s">
        <v>22</v>
      </c>
      <c r="CE923" s="41" t="s">
        <v>22</v>
      </c>
      <c r="CF923" s="41" t="s">
        <v>22</v>
      </c>
      <c r="CG923" s="41" t="e">
        <f t="shared" si="521"/>
        <v>#VALUE!</v>
      </c>
      <c r="CH923" s="41" t="e">
        <f t="shared" si="522"/>
        <v>#VALUE!</v>
      </c>
      <c r="CI923" s="41">
        <f t="shared" si="523"/>
        <v>1.4</v>
      </c>
      <c r="CJ923" s="41">
        <f t="shared" si="524"/>
        <v>0.14612803567823801</v>
      </c>
      <c r="CL923" s="9" t="s">
        <v>1269</v>
      </c>
      <c r="CM923" s="18" t="s">
        <v>1285</v>
      </c>
      <c r="CN923" s="54" t="s">
        <v>1284</v>
      </c>
      <c r="CO923" s="18" t="s">
        <v>1284</v>
      </c>
    </row>
    <row r="924" spans="1:93" x14ac:dyDescent="0.25">
      <c r="A924" t="s">
        <v>266</v>
      </c>
      <c r="B924" s="41">
        <v>5.2</v>
      </c>
      <c r="C924" s="41" t="s">
        <v>22</v>
      </c>
      <c r="D924" s="41" t="s">
        <v>22</v>
      </c>
      <c r="E924" s="41" t="s">
        <v>22</v>
      </c>
      <c r="F924" t="s">
        <v>22</v>
      </c>
      <c r="G924" t="s">
        <v>22</v>
      </c>
      <c r="H924" t="s">
        <v>22</v>
      </c>
      <c r="I924" t="s">
        <v>22</v>
      </c>
      <c r="J924" s="41" t="s">
        <v>22</v>
      </c>
      <c r="K924" t="s">
        <v>22</v>
      </c>
      <c r="L924" s="41" t="s">
        <v>22</v>
      </c>
      <c r="M924" t="s">
        <v>45</v>
      </c>
      <c r="N924" s="41">
        <v>1540</v>
      </c>
      <c r="O924" s="41" t="s">
        <v>22</v>
      </c>
      <c r="P924" s="41" t="s">
        <v>22</v>
      </c>
      <c r="R924" s="41">
        <f t="shared" si="520"/>
        <v>8008</v>
      </c>
      <c r="S924" s="41" t="s">
        <v>22</v>
      </c>
      <c r="T924" s="41">
        <v>1.5</v>
      </c>
      <c r="U924" s="41">
        <v>1.5</v>
      </c>
      <c r="V924">
        <v>20200510</v>
      </c>
      <c r="W924" s="21"/>
      <c r="X924">
        <v>2018</v>
      </c>
      <c r="Y924" t="s">
        <v>143</v>
      </c>
      <c r="Z924" t="s">
        <v>652</v>
      </c>
      <c r="AC924" t="s">
        <v>514</v>
      </c>
      <c r="AD924" s="41" t="s">
        <v>22</v>
      </c>
      <c r="AE924" s="41" t="s">
        <v>22</v>
      </c>
      <c r="AF924" s="41" t="s">
        <v>22</v>
      </c>
      <c r="AG924" s="41" t="s">
        <v>22</v>
      </c>
      <c r="AH924" s="41" t="s">
        <v>22</v>
      </c>
      <c r="AI924" s="41" t="s">
        <v>22</v>
      </c>
      <c r="AJ924" s="41" t="s">
        <v>22</v>
      </c>
      <c r="AK924" s="41" t="s">
        <v>22</v>
      </c>
      <c r="AL924" s="41" t="s">
        <v>22</v>
      </c>
      <c r="AM924" s="43" t="e">
        <f t="shared" si="501"/>
        <v>#VALUE!</v>
      </c>
      <c r="AN924" s="43" t="e">
        <f t="shared" si="502"/>
        <v>#VALUE!</v>
      </c>
      <c r="AO924" s="19" t="s">
        <v>239</v>
      </c>
      <c r="AT924" s="2">
        <f t="shared" si="503"/>
        <v>22</v>
      </c>
      <c r="AU924" s="45">
        <f t="shared" si="504"/>
        <v>0.71600334363479923</v>
      </c>
      <c r="AV924" s="45" t="e">
        <f t="shared" si="505"/>
        <v>#VALUE!</v>
      </c>
      <c r="AW924" s="45" t="e">
        <f t="shared" si="506"/>
        <v>#VALUE!</v>
      </c>
      <c r="AX924" s="45">
        <f t="shared" si="507"/>
        <v>3.1875207208364631</v>
      </c>
      <c r="AY924" s="45" t="e">
        <f t="shared" si="508"/>
        <v>#VALUE!</v>
      </c>
      <c r="AZ924" s="45" t="e">
        <f t="shared" si="509"/>
        <v>#VALUE!</v>
      </c>
      <c r="BA924" s="45" t="e">
        <f t="shared" si="510"/>
        <v>#VALUE!</v>
      </c>
      <c r="BB924" s="45" t="e">
        <f t="shared" si="511"/>
        <v>#VALUE!</v>
      </c>
      <c r="BC924" s="45">
        <f t="shared" si="512"/>
        <v>0.17609125905568124</v>
      </c>
      <c r="BD924" s="45" t="e">
        <f t="shared" si="513"/>
        <v>#VALUE!</v>
      </c>
      <c r="BE924" s="45" t="e">
        <f t="shared" si="514"/>
        <v>#VALUE!</v>
      </c>
      <c r="BF924" s="45" t="e">
        <f t="shared" si="515"/>
        <v>#VALUE!</v>
      </c>
      <c r="BG924" s="45" t="e">
        <f t="shared" si="516"/>
        <v>#VALUE!</v>
      </c>
      <c r="BH924" s="45" t="e">
        <f t="shared" si="517"/>
        <v>#NUM!</v>
      </c>
      <c r="BI924" s="43" t="e">
        <f t="shared" si="518"/>
        <v>#VALUE!</v>
      </c>
      <c r="CA924" s="41" t="s">
        <v>22</v>
      </c>
      <c r="CC924" t="s">
        <v>22</v>
      </c>
      <c r="CE924" s="41" t="s">
        <v>22</v>
      </c>
      <c r="CF924" s="41" t="s">
        <v>22</v>
      </c>
      <c r="CG924" s="41" t="e">
        <f t="shared" si="521"/>
        <v>#VALUE!</v>
      </c>
      <c r="CH924" s="41" t="e">
        <f t="shared" si="522"/>
        <v>#VALUE!</v>
      </c>
      <c r="CI924" s="41">
        <f t="shared" si="523"/>
        <v>1.5</v>
      </c>
      <c r="CJ924" s="41">
        <f t="shared" si="524"/>
        <v>0.17609125905568124</v>
      </c>
      <c r="CL924" s="9" t="s">
        <v>1269</v>
      </c>
      <c r="CM924" s="18" t="s">
        <v>1285</v>
      </c>
      <c r="CN924" s="54" t="s">
        <v>1284</v>
      </c>
      <c r="CO924" s="18" t="s">
        <v>1284</v>
      </c>
    </row>
    <row r="925" spans="1:93" x14ac:dyDescent="0.25">
      <c r="A925" s="18" t="s">
        <v>266</v>
      </c>
      <c r="B925" s="41">
        <v>2.2999999999999998</v>
      </c>
      <c r="C925" s="41" t="s">
        <v>22</v>
      </c>
      <c r="D925" s="41" t="s">
        <v>22</v>
      </c>
      <c r="E925" s="41" t="s">
        <v>22</v>
      </c>
      <c r="F925" s="18" t="s">
        <v>22</v>
      </c>
      <c r="G925" s="18" t="s">
        <v>22</v>
      </c>
      <c r="H925" s="18" t="s">
        <v>22</v>
      </c>
      <c r="I925" s="18" t="s">
        <v>22</v>
      </c>
      <c r="J925" s="41" t="s">
        <v>22</v>
      </c>
      <c r="K925" s="18" t="s">
        <v>22</v>
      </c>
      <c r="L925" s="41" t="s">
        <v>22</v>
      </c>
      <c r="M925" s="18" t="s">
        <v>45</v>
      </c>
      <c r="N925" s="41">
        <v>500</v>
      </c>
      <c r="O925" s="41" t="s">
        <v>22</v>
      </c>
      <c r="P925" s="41" t="s">
        <v>22</v>
      </c>
      <c r="R925" s="41">
        <f t="shared" si="520"/>
        <v>1150</v>
      </c>
      <c r="S925" s="41" t="s">
        <v>22</v>
      </c>
      <c r="T925" s="41">
        <v>1.5</v>
      </c>
      <c r="U925" s="41">
        <v>1.5</v>
      </c>
      <c r="V925" s="18">
        <v>20200510</v>
      </c>
      <c r="W925" s="21"/>
      <c r="X925" s="18">
        <v>2018</v>
      </c>
      <c r="Y925" s="18" t="s">
        <v>143</v>
      </c>
      <c r="Z925" s="18" t="s">
        <v>652</v>
      </c>
      <c r="AC925" s="18" t="s">
        <v>514</v>
      </c>
      <c r="AD925" s="41" t="s">
        <v>22</v>
      </c>
      <c r="AE925" s="41" t="s">
        <v>22</v>
      </c>
      <c r="AF925" s="41" t="s">
        <v>22</v>
      </c>
      <c r="AG925" s="41" t="s">
        <v>22</v>
      </c>
      <c r="AH925" s="41" t="s">
        <v>22</v>
      </c>
      <c r="AI925" s="41" t="s">
        <v>22</v>
      </c>
      <c r="AJ925" s="41" t="s">
        <v>22</v>
      </c>
      <c r="AK925" s="41" t="s">
        <v>22</v>
      </c>
      <c r="AL925" s="41" t="s">
        <v>22</v>
      </c>
      <c r="AM925" s="43" t="e">
        <f t="shared" si="501"/>
        <v>#VALUE!</v>
      </c>
      <c r="AN925" s="43" t="e">
        <f t="shared" si="502"/>
        <v>#VALUE!</v>
      </c>
      <c r="AO925" s="19" t="s">
        <v>239</v>
      </c>
      <c r="AT925" s="2">
        <f t="shared" si="503"/>
        <v>22</v>
      </c>
      <c r="AU925" s="45">
        <f t="shared" si="504"/>
        <v>0.36172783601759284</v>
      </c>
      <c r="AV925" s="45" t="e">
        <f t="shared" si="505"/>
        <v>#VALUE!</v>
      </c>
      <c r="AW925" s="45" t="e">
        <f t="shared" si="506"/>
        <v>#VALUE!</v>
      </c>
      <c r="AX925" s="45">
        <f t="shared" si="507"/>
        <v>2.6989700043360187</v>
      </c>
      <c r="AY925" s="45" t="e">
        <f t="shared" si="508"/>
        <v>#VALUE!</v>
      </c>
      <c r="AZ925" s="45" t="e">
        <f t="shared" si="509"/>
        <v>#VALUE!</v>
      </c>
      <c r="BA925" s="45" t="e">
        <f t="shared" si="510"/>
        <v>#VALUE!</v>
      </c>
      <c r="BB925" s="45" t="e">
        <f t="shared" si="511"/>
        <v>#VALUE!</v>
      </c>
      <c r="BC925" s="45">
        <f t="shared" si="512"/>
        <v>0.17609125905568124</v>
      </c>
      <c r="BD925" s="45" t="e">
        <f t="shared" si="513"/>
        <v>#VALUE!</v>
      </c>
      <c r="BE925" s="45" t="e">
        <f t="shared" si="514"/>
        <v>#VALUE!</v>
      </c>
      <c r="BF925" s="45" t="e">
        <f t="shared" si="515"/>
        <v>#VALUE!</v>
      </c>
      <c r="BG925" s="45" t="e">
        <f t="shared" si="516"/>
        <v>#VALUE!</v>
      </c>
      <c r="BH925" s="45" t="e">
        <f t="shared" si="517"/>
        <v>#NUM!</v>
      </c>
      <c r="BI925" s="43" t="e">
        <f t="shared" si="518"/>
        <v>#VALUE!</v>
      </c>
      <c r="CA925" s="41" t="s">
        <v>22</v>
      </c>
      <c r="CC925" t="s">
        <v>22</v>
      </c>
      <c r="CE925" s="41" t="s">
        <v>22</v>
      </c>
      <c r="CF925" s="41" t="s">
        <v>22</v>
      </c>
      <c r="CG925" s="41" t="e">
        <f t="shared" si="521"/>
        <v>#VALUE!</v>
      </c>
      <c r="CH925" s="41" t="e">
        <f t="shared" si="522"/>
        <v>#VALUE!</v>
      </c>
      <c r="CI925" s="41">
        <f t="shared" si="523"/>
        <v>1.5</v>
      </c>
      <c r="CJ925" s="41">
        <f t="shared" si="524"/>
        <v>0.17609125905568124</v>
      </c>
      <c r="CL925" s="9" t="s">
        <v>1269</v>
      </c>
      <c r="CM925" s="18" t="s">
        <v>1285</v>
      </c>
      <c r="CN925" s="54" t="s">
        <v>1284</v>
      </c>
      <c r="CO925" s="18" t="s">
        <v>1284</v>
      </c>
    </row>
    <row r="926" spans="1:93" x14ac:dyDescent="0.25">
      <c r="A926" s="18" t="s">
        <v>266</v>
      </c>
      <c r="B926" s="41">
        <v>1.7</v>
      </c>
      <c r="C926" s="41" t="s">
        <v>22</v>
      </c>
      <c r="D926" s="41" t="s">
        <v>22</v>
      </c>
      <c r="E926" s="41" t="s">
        <v>22</v>
      </c>
      <c r="F926" s="18" t="s">
        <v>22</v>
      </c>
      <c r="G926" s="18" t="s">
        <v>22</v>
      </c>
      <c r="H926" s="18" t="s">
        <v>22</v>
      </c>
      <c r="I926" s="18" t="s">
        <v>22</v>
      </c>
      <c r="J926" s="41" t="s">
        <v>22</v>
      </c>
      <c r="K926" s="18" t="s">
        <v>22</v>
      </c>
      <c r="L926" s="41" t="s">
        <v>22</v>
      </c>
      <c r="M926" s="18" t="s">
        <v>45</v>
      </c>
      <c r="N926" s="41">
        <v>330</v>
      </c>
      <c r="O926" s="41" t="s">
        <v>22</v>
      </c>
      <c r="P926" s="41" t="s">
        <v>22</v>
      </c>
      <c r="R926" s="41">
        <f t="shared" si="520"/>
        <v>561</v>
      </c>
      <c r="S926" s="41" t="s">
        <v>22</v>
      </c>
      <c r="T926" s="41">
        <v>1.5</v>
      </c>
      <c r="U926" s="41">
        <v>1.5</v>
      </c>
      <c r="V926" s="18">
        <v>20200510</v>
      </c>
      <c r="W926" s="21"/>
      <c r="X926" s="18">
        <v>2018</v>
      </c>
      <c r="Y926" s="18" t="s">
        <v>143</v>
      </c>
      <c r="Z926" s="18" t="s">
        <v>652</v>
      </c>
      <c r="AC926" s="18" t="s">
        <v>514</v>
      </c>
      <c r="AD926" s="41" t="s">
        <v>22</v>
      </c>
      <c r="AE926" s="41" t="s">
        <v>22</v>
      </c>
      <c r="AF926" s="41" t="s">
        <v>22</v>
      </c>
      <c r="AG926" s="41" t="s">
        <v>22</v>
      </c>
      <c r="AH926" s="41" t="s">
        <v>22</v>
      </c>
      <c r="AI926" s="41" t="s">
        <v>22</v>
      </c>
      <c r="AJ926" s="41" t="s">
        <v>22</v>
      </c>
      <c r="AK926" s="41" t="s">
        <v>22</v>
      </c>
      <c r="AL926" s="41" t="s">
        <v>22</v>
      </c>
      <c r="AM926" s="43" t="e">
        <f t="shared" si="501"/>
        <v>#VALUE!</v>
      </c>
      <c r="AN926" s="43" t="e">
        <f t="shared" si="502"/>
        <v>#VALUE!</v>
      </c>
      <c r="AO926" s="19" t="s">
        <v>239</v>
      </c>
      <c r="AT926" s="2">
        <f t="shared" si="503"/>
        <v>22</v>
      </c>
      <c r="AU926" s="45">
        <f t="shared" si="504"/>
        <v>0.23044892137827391</v>
      </c>
      <c r="AV926" s="45" t="e">
        <f t="shared" si="505"/>
        <v>#VALUE!</v>
      </c>
      <c r="AW926" s="45" t="e">
        <f t="shared" si="506"/>
        <v>#VALUE!</v>
      </c>
      <c r="AX926" s="45">
        <f t="shared" si="507"/>
        <v>2.5185139398778875</v>
      </c>
      <c r="AY926" s="45" t="e">
        <f t="shared" si="508"/>
        <v>#VALUE!</v>
      </c>
      <c r="AZ926" s="45" t="e">
        <f t="shared" si="509"/>
        <v>#VALUE!</v>
      </c>
      <c r="BA926" s="45" t="e">
        <f t="shared" si="510"/>
        <v>#VALUE!</v>
      </c>
      <c r="BB926" s="45" t="e">
        <f t="shared" si="511"/>
        <v>#VALUE!</v>
      </c>
      <c r="BC926" s="45">
        <f t="shared" si="512"/>
        <v>0.17609125905568124</v>
      </c>
      <c r="BD926" s="45" t="e">
        <f t="shared" si="513"/>
        <v>#VALUE!</v>
      </c>
      <c r="BE926" s="45" t="e">
        <f t="shared" si="514"/>
        <v>#VALUE!</v>
      </c>
      <c r="BF926" s="45" t="e">
        <f t="shared" si="515"/>
        <v>#VALUE!</v>
      </c>
      <c r="BG926" s="45" t="e">
        <f t="shared" si="516"/>
        <v>#VALUE!</v>
      </c>
      <c r="BH926" s="45" t="e">
        <f t="shared" si="517"/>
        <v>#NUM!</v>
      </c>
      <c r="BI926" s="43" t="e">
        <f t="shared" si="518"/>
        <v>#VALUE!</v>
      </c>
      <c r="CA926" s="41" t="s">
        <v>22</v>
      </c>
      <c r="CC926" t="s">
        <v>22</v>
      </c>
      <c r="CE926" s="41" t="s">
        <v>22</v>
      </c>
      <c r="CF926" s="41" t="s">
        <v>22</v>
      </c>
      <c r="CG926" s="41" t="e">
        <f t="shared" si="521"/>
        <v>#VALUE!</v>
      </c>
      <c r="CH926" s="41" t="e">
        <f t="shared" si="522"/>
        <v>#VALUE!</v>
      </c>
      <c r="CI926" s="41">
        <f t="shared" si="523"/>
        <v>1.5</v>
      </c>
      <c r="CJ926" s="41">
        <f t="shared" si="524"/>
        <v>0.17609125905568124</v>
      </c>
      <c r="CL926" s="9" t="s">
        <v>1269</v>
      </c>
      <c r="CM926" s="18" t="s">
        <v>1285</v>
      </c>
      <c r="CN926" s="54" t="s">
        <v>1284</v>
      </c>
      <c r="CO926" s="18" t="s">
        <v>1284</v>
      </c>
    </row>
    <row r="927" spans="1:93" x14ac:dyDescent="0.25">
      <c r="A927" s="18" t="s">
        <v>266</v>
      </c>
      <c r="B927" s="41">
        <v>4.9000000000000004</v>
      </c>
      <c r="C927" s="41" t="s">
        <v>22</v>
      </c>
      <c r="D927" s="41" t="s">
        <v>22</v>
      </c>
      <c r="E927" s="41" t="s">
        <v>22</v>
      </c>
      <c r="F927" s="18" t="s">
        <v>22</v>
      </c>
      <c r="G927" s="18" t="s">
        <v>22</v>
      </c>
      <c r="H927" s="18" t="s">
        <v>22</v>
      </c>
      <c r="I927" s="18" t="s">
        <v>22</v>
      </c>
      <c r="J927" s="41" t="s">
        <v>22</v>
      </c>
      <c r="K927" s="18" t="s">
        <v>22</v>
      </c>
      <c r="L927" s="41" t="s">
        <v>22</v>
      </c>
      <c r="M927" s="18" t="s">
        <v>45</v>
      </c>
      <c r="N927" s="41">
        <v>3380</v>
      </c>
      <c r="O927" s="41" t="s">
        <v>22</v>
      </c>
      <c r="P927" s="41" t="s">
        <v>22</v>
      </c>
      <c r="R927" s="41">
        <f t="shared" si="520"/>
        <v>16562</v>
      </c>
      <c r="S927" s="41" t="s">
        <v>22</v>
      </c>
      <c r="T927" s="41">
        <v>2.1</v>
      </c>
      <c r="U927" s="41">
        <v>2.1</v>
      </c>
      <c r="V927" s="18">
        <v>20200510</v>
      </c>
      <c r="W927" s="21" t="s">
        <v>651</v>
      </c>
      <c r="X927" s="18">
        <v>2018</v>
      </c>
      <c r="Y927" s="18" t="s">
        <v>143</v>
      </c>
      <c r="Z927" s="18" t="s">
        <v>650</v>
      </c>
      <c r="AA927" s="18"/>
      <c r="AC927" s="18" t="s">
        <v>514</v>
      </c>
      <c r="AD927" s="41" t="s">
        <v>22</v>
      </c>
      <c r="AE927" s="41" t="s">
        <v>22</v>
      </c>
      <c r="AF927" s="41" t="s">
        <v>22</v>
      </c>
      <c r="AG927" s="41" t="s">
        <v>22</v>
      </c>
      <c r="AH927" s="41" t="s">
        <v>22</v>
      </c>
      <c r="AI927" s="41" t="s">
        <v>22</v>
      </c>
      <c r="AJ927" s="41" t="s">
        <v>22</v>
      </c>
      <c r="AK927" s="41" t="s">
        <v>22</v>
      </c>
      <c r="AL927" s="41" t="s">
        <v>22</v>
      </c>
      <c r="AM927" s="43" t="e">
        <f t="shared" si="501"/>
        <v>#VALUE!</v>
      </c>
      <c r="AN927" s="43" t="e">
        <f t="shared" si="502"/>
        <v>#VALUE!</v>
      </c>
      <c r="AO927" s="19" t="s">
        <v>239</v>
      </c>
      <c r="AT927" s="2">
        <f t="shared" si="503"/>
        <v>22</v>
      </c>
      <c r="AU927" s="45">
        <f t="shared" si="504"/>
        <v>0.69019608002851374</v>
      </c>
      <c r="AV927" s="45" t="e">
        <f t="shared" si="505"/>
        <v>#VALUE!</v>
      </c>
      <c r="AW927" s="45" t="e">
        <f t="shared" si="506"/>
        <v>#VALUE!</v>
      </c>
      <c r="AX927" s="45">
        <f t="shared" si="507"/>
        <v>3.5289167002776547</v>
      </c>
      <c r="AY927" s="45" t="e">
        <f t="shared" si="508"/>
        <v>#VALUE!</v>
      </c>
      <c r="AZ927" s="45" t="e">
        <f t="shared" si="509"/>
        <v>#VALUE!</v>
      </c>
      <c r="BA927" s="45" t="e">
        <f t="shared" si="510"/>
        <v>#VALUE!</v>
      </c>
      <c r="BB927" s="45" t="e">
        <f t="shared" si="511"/>
        <v>#VALUE!</v>
      </c>
      <c r="BC927" s="45">
        <f t="shared" si="512"/>
        <v>0.3222192947339193</v>
      </c>
      <c r="BD927" s="45" t="e">
        <f t="shared" si="513"/>
        <v>#VALUE!</v>
      </c>
      <c r="BE927" s="45" t="e">
        <f t="shared" si="514"/>
        <v>#VALUE!</v>
      </c>
      <c r="BF927" s="45" t="e">
        <f t="shared" si="515"/>
        <v>#VALUE!</v>
      </c>
      <c r="BG927" s="45" t="e">
        <f t="shared" si="516"/>
        <v>#VALUE!</v>
      </c>
      <c r="BH927" s="45" t="e">
        <f t="shared" si="517"/>
        <v>#NUM!</v>
      </c>
      <c r="BI927" s="43" t="e">
        <f t="shared" si="518"/>
        <v>#VALUE!</v>
      </c>
      <c r="CA927" s="41" t="s">
        <v>22</v>
      </c>
      <c r="CC927" t="s">
        <v>22</v>
      </c>
      <c r="CE927" s="41" t="s">
        <v>22</v>
      </c>
      <c r="CF927" s="41" t="s">
        <v>22</v>
      </c>
      <c r="CG927" s="41" t="e">
        <f t="shared" si="521"/>
        <v>#VALUE!</v>
      </c>
      <c r="CH927" s="41" t="e">
        <f t="shared" si="522"/>
        <v>#VALUE!</v>
      </c>
      <c r="CI927" s="41">
        <f t="shared" si="523"/>
        <v>2.1</v>
      </c>
      <c r="CJ927" s="41">
        <f t="shared" si="524"/>
        <v>0.3222192947339193</v>
      </c>
      <c r="CL927" s="9" t="s">
        <v>1269</v>
      </c>
      <c r="CM927" s="18" t="s">
        <v>1285</v>
      </c>
      <c r="CN927" s="54" t="s">
        <v>1284</v>
      </c>
      <c r="CO927" s="18" t="s">
        <v>1284</v>
      </c>
    </row>
    <row r="928" spans="1:93" x14ac:dyDescent="0.25">
      <c r="A928" s="18" t="s">
        <v>266</v>
      </c>
      <c r="B928" s="41">
        <v>2.2000000000000002</v>
      </c>
      <c r="C928" s="41" t="s">
        <v>22</v>
      </c>
      <c r="D928" s="41" t="s">
        <v>22</v>
      </c>
      <c r="E928" s="41" t="s">
        <v>22</v>
      </c>
      <c r="F928" s="18" t="s">
        <v>22</v>
      </c>
      <c r="G928" s="18" t="s">
        <v>22</v>
      </c>
      <c r="H928" s="18" t="s">
        <v>22</v>
      </c>
      <c r="I928" s="18" t="s">
        <v>22</v>
      </c>
      <c r="J928" s="41" t="s">
        <v>22</v>
      </c>
      <c r="K928" s="18" t="s">
        <v>22</v>
      </c>
      <c r="L928" s="41" t="s">
        <v>22</v>
      </c>
      <c r="M928" s="18" t="s">
        <v>45</v>
      </c>
      <c r="N928" s="41">
        <v>1330</v>
      </c>
      <c r="O928" s="41" t="s">
        <v>22</v>
      </c>
      <c r="P928" s="41" t="s">
        <v>22</v>
      </c>
      <c r="R928" s="41">
        <f t="shared" si="520"/>
        <v>2926.0000000000005</v>
      </c>
      <c r="S928" s="41" t="s">
        <v>22</v>
      </c>
      <c r="T928" s="41">
        <v>0.8</v>
      </c>
      <c r="U928" s="41">
        <v>0.8</v>
      </c>
      <c r="V928" s="18">
        <v>20200510</v>
      </c>
      <c r="W928" s="21" t="s">
        <v>651</v>
      </c>
      <c r="X928" s="18">
        <v>2018</v>
      </c>
      <c r="Y928" s="18" t="s">
        <v>143</v>
      </c>
      <c r="Z928" s="18" t="s">
        <v>650</v>
      </c>
      <c r="AA928" s="18"/>
      <c r="AC928" s="18" t="s">
        <v>514</v>
      </c>
      <c r="AD928" s="41" t="s">
        <v>22</v>
      </c>
      <c r="AE928" s="41" t="s">
        <v>22</v>
      </c>
      <c r="AF928" s="41" t="s">
        <v>22</v>
      </c>
      <c r="AG928" s="41" t="s">
        <v>22</v>
      </c>
      <c r="AH928" s="41" t="s">
        <v>22</v>
      </c>
      <c r="AI928" s="41" t="s">
        <v>22</v>
      </c>
      <c r="AJ928" s="41" t="s">
        <v>22</v>
      </c>
      <c r="AK928" s="41" t="s">
        <v>22</v>
      </c>
      <c r="AL928" s="41" t="s">
        <v>22</v>
      </c>
      <c r="AM928" s="43" t="e">
        <f t="shared" si="501"/>
        <v>#VALUE!</v>
      </c>
      <c r="AN928" s="43" t="e">
        <f t="shared" si="502"/>
        <v>#VALUE!</v>
      </c>
      <c r="AO928" s="19" t="s">
        <v>239</v>
      </c>
      <c r="AT928" s="2">
        <f t="shared" si="503"/>
        <v>22</v>
      </c>
      <c r="AU928" s="45">
        <f t="shared" si="504"/>
        <v>0.34242268082220628</v>
      </c>
      <c r="AV928" s="45" t="e">
        <f t="shared" si="505"/>
        <v>#VALUE!</v>
      </c>
      <c r="AW928" s="45" t="e">
        <f t="shared" si="506"/>
        <v>#VALUE!</v>
      </c>
      <c r="AX928" s="45">
        <f t="shared" si="507"/>
        <v>3.1238516409670858</v>
      </c>
      <c r="AY928" s="45" t="e">
        <f t="shared" si="508"/>
        <v>#VALUE!</v>
      </c>
      <c r="AZ928" s="45" t="e">
        <f t="shared" si="509"/>
        <v>#VALUE!</v>
      </c>
      <c r="BA928" s="45" t="e">
        <f t="shared" si="510"/>
        <v>#VALUE!</v>
      </c>
      <c r="BB928" s="45" t="e">
        <f t="shared" si="511"/>
        <v>#VALUE!</v>
      </c>
      <c r="BC928" s="45">
        <f t="shared" si="512"/>
        <v>-9.6910013008056392E-2</v>
      </c>
      <c r="BD928" s="45" t="e">
        <f t="shared" si="513"/>
        <v>#VALUE!</v>
      </c>
      <c r="BE928" s="45" t="e">
        <f t="shared" si="514"/>
        <v>#VALUE!</v>
      </c>
      <c r="BF928" s="45" t="e">
        <f t="shared" si="515"/>
        <v>#VALUE!</v>
      </c>
      <c r="BG928" s="45" t="e">
        <f t="shared" si="516"/>
        <v>#VALUE!</v>
      </c>
      <c r="BH928" s="45" t="e">
        <f t="shared" si="517"/>
        <v>#NUM!</v>
      </c>
      <c r="BI928" s="43" t="e">
        <f t="shared" si="518"/>
        <v>#VALUE!</v>
      </c>
      <c r="CA928" s="41" t="s">
        <v>22</v>
      </c>
      <c r="CC928" t="s">
        <v>22</v>
      </c>
      <c r="CE928" s="41" t="s">
        <v>22</v>
      </c>
      <c r="CF928" s="41" t="s">
        <v>22</v>
      </c>
      <c r="CG928" s="41" t="e">
        <f t="shared" si="521"/>
        <v>#VALUE!</v>
      </c>
      <c r="CH928" s="41" t="e">
        <f t="shared" si="522"/>
        <v>#VALUE!</v>
      </c>
      <c r="CI928" s="41">
        <f t="shared" si="523"/>
        <v>0.8</v>
      </c>
      <c r="CJ928" s="41">
        <f t="shared" si="524"/>
        <v>-9.6910013008056392E-2</v>
      </c>
      <c r="CL928" s="9" t="s">
        <v>1269</v>
      </c>
      <c r="CM928" s="18" t="s">
        <v>1285</v>
      </c>
      <c r="CN928" s="54" t="s">
        <v>1284</v>
      </c>
      <c r="CO928" s="18" t="s">
        <v>1284</v>
      </c>
    </row>
    <row r="929" spans="1:93" x14ac:dyDescent="0.25">
      <c r="A929" s="18" t="s">
        <v>266</v>
      </c>
      <c r="B929" s="41">
        <v>4.5</v>
      </c>
      <c r="C929" s="41" t="s">
        <v>22</v>
      </c>
      <c r="D929" s="41" t="s">
        <v>22</v>
      </c>
      <c r="E929" s="41" t="s">
        <v>22</v>
      </c>
      <c r="F929" s="18" t="s">
        <v>22</v>
      </c>
      <c r="G929" s="18" t="s">
        <v>22</v>
      </c>
      <c r="H929" s="18" t="s">
        <v>22</v>
      </c>
      <c r="I929" s="18" t="s">
        <v>22</v>
      </c>
      <c r="J929" s="41" t="s">
        <v>22</v>
      </c>
      <c r="K929" s="18" t="s">
        <v>22</v>
      </c>
      <c r="L929" s="41" t="s">
        <v>22</v>
      </c>
      <c r="M929" s="18" t="s">
        <v>45</v>
      </c>
      <c r="N929" s="41">
        <v>2800</v>
      </c>
      <c r="O929" s="41" t="s">
        <v>22</v>
      </c>
      <c r="P929" s="41" t="s">
        <v>22</v>
      </c>
      <c r="R929" s="41">
        <f t="shared" si="520"/>
        <v>12600</v>
      </c>
      <c r="S929" s="41" t="s">
        <v>22</v>
      </c>
      <c r="T929" s="41">
        <v>1.5</v>
      </c>
      <c r="U929" s="41">
        <v>1.5</v>
      </c>
      <c r="V929" s="18">
        <v>20200510</v>
      </c>
      <c r="W929" s="16" t="s">
        <v>651</v>
      </c>
      <c r="X929" s="18">
        <v>2018</v>
      </c>
      <c r="Y929" s="18" t="s">
        <v>143</v>
      </c>
      <c r="Z929" s="18" t="s">
        <v>650</v>
      </c>
      <c r="AA929" s="18"/>
      <c r="AC929" s="18" t="s">
        <v>514</v>
      </c>
      <c r="AD929" s="41" t="s">
        <v>22</v>
      </c>
      <c r="AE929" s="41" t="s">
        <v>22</v>
      </c>
      <c r="AF929" s="41" t="s">
        <v>22</v>
      </c>
      <c r="AG929" s="41" t="s">
        <v>22</v>
      </c>
      <c r="AH929" s="41" t="s">
        <v>22</v>
      </c>
      <c r="AI929" s="41" t="s">
        <v>22</v>
      </c>
      <c r="AJ929" s="41" t="s">
        <v>22</v>
      </c>
      <c r="AK929" s="41" t="s">
        <v>22</v>
      </c>
      <c r="AL929" s="41" t="s">
        <v>22</v>
      </c>
      <c r="AM929" s="43" t="e">
        <f t="shared" si="501"/>
        <v>#VALUE!</v>
      </c>
      <c r="AN929" s="43" t="e">
        <f t="shared" si="502"/>
        <v>#VALUE!</v>
      </c>
      <c r="AO929" s="19" t="s">
        <v>239</v>
      </c>
      <c r="AT929" s="2">
        <f t="shared" si="503"/>
        <v>22</v>
      </c>
      <c r="AU929" s="45">
        <f t="shared" si="504"/>
        <v>0.65321251377534373</v>
      </c>
      <c r="AV929" s="45" t="e">
        <f t="shared" si="505"/>
        <v>#VALUE!</v>
      </c>
      <c r="AW929" s="45" t="e">
        <f t="shared" si="506"/>
        <v>#VALUE!</v>
      </c>
      <c r="AX929" s="45">
        <f t="shared" si="507"/>
        <v>3.4471580313422194</v>
      </c>
      <c r="AY929" s="45" t="e">
        <f t="shared" si="508"/>
        <v>#VALUE!</v>
      </c>
      <c r="AZ929" s="45" t="e">
        <f t="shared" si="509"/>
        <v>#VALUE!</v>
      </c>
      <c r="BA929" s="45" t="e">
        <f t="shared" si="510"/>
        <v>#VALUE!</v>
      </c>
      <c r="BB929" s="45" t="e">
        <f t="shared" si="511"/>
        <v>#VALUE!</v>
      </c>
      <c r="BC929" s="45">
        <f t="shared" si="512"/>
        <v>0.17609125905568124</v>
      </c>
      <c r="BD929" s="45" t="e">
        <f t="shared" si="513"/>
        <v>#VALUE!</v>
      </c>
      <c r="BE929" s="45" t="e">
        <f t="shared" si="514"/>
        <v>#VALUE!</v>
      </c>
      <c r="BF929" s="45" t="e">
        <f t="shared" si="515"/>
        <v>#VALUE!</v>
      </c>
      <c r="BG929" s="45" t="e">
        <f t="shared" si="516"/>
        <v>#VALUE!</v>
      </c>
      <c r="BH929" s="45" t="e">
        <f t="shared" si="517"/>
        <v>#NUM!</v>
      </c>
      <c r="BI929" s="43" t="e">
        <f t="shared" si="518"/>
        <v>#VALUE!</v>
      </c>
      <c r="CA929" s="41" t="s">
        <v>22</v>
      </c>
      <c r="CC929" t="s">
        <v>22</v>
      </c>
      <c r="CE929" s="41" t="s">
        <v>22</v>
      </c>
      <c r="CF929" s="41" t="s">
        <v>22</v>
      </c>
      <c r="CG929" s="41" t="e">
        <f t="shared" si="521"/>
        <v>#VALUE!</v>
      </c>
      <c r="CH929" s="41" t="e">
        <f t="shared" si="522"/>
        <v>#VALUE!</v>
      </c>
      <c r="CI929" s="41">
        <f t="shared" si="523"/>
        <v>1.5</v>
      </c>
      <c r="CJ929" s="41">
        <f t="shared" si="524"/>
        <v>0.17609125905568124</v>
      </c>
      <c r="CL929" s="9" t="s">
        <v>1269</v>
      </c>
      <c r="CM929" s="18" t="s">
        <v>1285</v>
      </c>
      <c r="CN929" s="54" t="s">
        <v>1284</v>
      </c>
      <c r="CO929" s="18" t="s">
        <v>1284</v>
      </c>
    </row>
    <row r="930" spans="1:93" x14ac:dyDescent="0.25">
      <c r="A930" s="18" t="s">
        <v>266</v>
      </c>
      <c r="B930" s="41">
        <v>4.8</v>
      </c>
      <c r="C930" s="41" t="s">
        <v>22</v>
      </c>
      <c r="D930" s="41" t="s">
        <v>22</v>
      </c>
      <c r="E930" s="41" t="s">
        <v>22</v>
      </c>
      <c r="F930" s="18" t="s">
        <v>22</v>
      </c>
      <c r="G930" s="18" t="s">
        <v>22</v>
      </c>
      <c r="H930" s="18" t="s">
        <v>22</v>
      </c>
      <c r="I930" s="18" t="s">
        <v>22</v>
      </c>
      <c r="J930" s="41" t="s">
        <v>22</v>
      </c>
      <c r="K930" s="18" t="s">
        <v>22</v>
      </c>
      <c r="L930" s="41" t="s">
        <v>22</v>
      </c>
      <c r="M930" s="18" t="s">
        <v>45</v>
      </c>
      <c r="N930" s="41">
        <v>2840</v>
      </c>
      <c r="O930" s="41" t="s">
        <v>22</v>
      </c>
      <c r="P930" s="41" t="s">
        <v>22</v>
      </c>
      <c r="R930" s="41">
        <f t="shared" si="520"/>
        <v>13632</v>
      </c>
      <c r="S930" s="41" t="s">
        <v>22</v>
      </c>
      <c r="T930" s="41">
        <v>1.4</v>
      </c>
      <c r="U930" s="41">
        <v>1.4</v>
      </c>
      <c r="V930" s="18">
        <v>20200510</v>
      </c>
      <c r="W930" s="16" t="s">
        <v>651</v>
      </c>
      <c r="X930" s="18">
        <v>2018</v>
      </c>
      <c r="Y930" s="18" t="s">
        <v>143</v>
      </c>
      <c r="Z930" s="18" t="s">
        <v>650</v>
      </c>
      <c r="AA930" s="18"/>
      <c r="AC930" s="18" t="s">
        <v>514</v>
      </c>
      <c r="AD930" s="41" t="s">
        <v>22</v>
      </c>
      <c r="AE930" s="41" t="s">
        <v>22</v>
      </c>
      <c r="AF930" s="41" t="s">
        <v>22</v>
      </c>
      <c r="AG930" s="41" t="s">
        <v>22</v>
      </c>
      <c r="AH930" s="41" t="s">
        <v>22</v>
      </c>
      <c r="AI930" s="41" t="s">
        <v>22</v>
      </c>
      <c r="AJ930" s="41" t="s">
        <v>22</v>
      </c>
      <c r="AK930" s="41" t="s">
        <v>22</v>
      </c>
      <c r="AL930" s="41" t="s">
        <v>22</v>
      </c>
      <c r="AM930" s="43" t="e">
        <f t="shared" si="501"/>
        <v>#VALUE!</v>
      </c>
      <c r="AN930" s="43" t="e">
        <f t="shared" si="502"/>
        <v>#VALUE!</v>
      </c>
      <c r="AO930" s="19" t="s">
        <v>239</v>
      </c>
      <c r="AT930" s="2">
        <f t="shared" si="503"/>
        <v>22</v>
      </c>
      <c r="AU930" s="45">
        <f t="shared" si="504"/>
        <v>0.68124123737558717</v>
      </c>
      <c r="AV930" s="45" t="e">
        <f t="shared" si="505"/>
        <v>#VALUE!</v>
      </c>
      <c r="AW930" s="45" t="e">
        <f t="shared" si="506"/>
        <v>#VALUE!</v>
      </c>
      <c r="AX930" s="45">
        <f t="shared" si="507"/>
        <v>3.4533183400470375</v>
      </c>
      <c r="AY930" s="45" t="e">
        <f t="shared" si="508"/>
        <v>#VALUE!</v>
      </c>
      <c r="AZ930" s="45" t="e">
        <f t="shared" si="509"/>
        <v>#VALUE!</v>
      </c>
      <c r="BA930" s="45" t="e">
        <f t="shared" si="510"/>
        <v>#VALUE!</v>
      </c>
      <c r="BB930" s="45" t="e">
        <f t="shared" si="511"/>
        <v>#VALUE!</v>
      </c>
      <c r="BC930" s="45">
        <f t="shared" si="512"/>
        <v>0.14612803567823801</v>
      </c>
      <c r="BD930" s="45" t="e">
        <f t="shared" si="513"/>
        <v>#VALUE!</v>
      </c>
      <c r="BE930" s="45" t="e">
        <f t="shared" si="514"/>
        <v>#VALUE!</v>
      </c>
      <c r="BF930" s="45" t="e">
        <f t="shared" si="515"/>
        <v>#VALUE!</v>
      </c>
      <c r="BG930" s="45" t="e">
        <f t="shared" si="516"/>
        <v>#VALUE!</v>
      </c>
      <c r="BH930" s="45" t="e">
        <f t="shared" si="517"/>
        <v>#NUM!</v>
      </c>
      <c r="BI930" s="43" t="e">
        <f t="shared" si="518"/>
        <v>#VALUE!</v>
      </c>
      <c r="CA930" s="41" t="s">
        <v>22</v>
      </c>
      <c r="CC930" s="18" t="s">
        <v>22</v>
      </c>
      <c r="CD930" s="18"/>
      <c r="CE930" s="41" t="s">
        <v>22</v>
      </c>
      <c r="CF930" s="41" t="s">
        <v>22</v>
      </c>
      <c r="CG930" s="41" t="e">
        <f t="shared" si="521"/>
        <v>#VALUE!</v>
      </c>
      <c r="CH930" s="41" t="e">
        <f t="shared" si="522"/>
        <v>#VALUE!</v>
      </c>
      <c r="CI930" s="41">
        <f t="shared" si="523"/>
        <v>1.4</v>
      </c>
      <c r="CJ930" s="41">
        <f t="shared" si="524"/>
        <v>0.14612803567823801</v>
      </c>
      <c r="CK930" s="18"/>
      <c r="CL930" s="9" t="s">
        <v>1269</v>
      </c>
      <c r="CM930" s="18" t="s">
        <v>1285</v>
      </c>
      <c r="CN930" s="54" t="s">
        <v>1284</v>
      </c>
      <c r="CO930" s="18" t="s">
        <v>1284</v>
      </c>
    </row>
    <row r="931" spans="1:93" x14ac:dyDescent="0.25">
      <c r="A931" s="18" t="s">
        <v>266</v>
      </c>
      <c r="B931" s="41">
        <v>4.9000000000000004</v>
      </c>
      <c r="C931" s="41" t="s">
        <v>22</v>
      </c>
      <c r="D931" s="41" t="s">
        <v>22</v>
      </c>
      <c r="E931" s="41" t="s">
        <v>22</v>
      </c>
      <c r="F931" s="18" t="s">
        <v>22</v>
      </c>
      <c r="G931" s="18" t="s">
        <v>22</v>
      </c>
      <c r="H931" s="18" t="s">
        <v>22</v>
      </c>
      <c r="I931" s="18" t="s">
        <v>22</v>
      </c>
      <c r="J931" s="41" t="s">
        <v>22</v>
      </c>
      <c r="K931" s="18" t="s">
        <v>22</v>
      </c>
      <c r="L931" s="41" t="s">
        <v>22</v>
      </c>
      <c r="M931" s="18" t="s">
        <v>45</v>
      </c>
      <c r="N931" s="41">
        <v>3250</v>
      </c>
      <c r="O931" s="41" t="s">
        <v>22</v>
      </c>
      <c r="P931" s="41" t="s">
        <v>22</v>
      </c>
      <c r="R931" s="41">
        <f t="shared" si="520"/>
        <v>15925.000000000002</v>
      </c>
      <c r="S931" s="41" t="s">
        <v>22</v>
      </c>
      <c r="T931" s="41">
        <v>1.5</v>
      </c>
      <c r="U931" s="41">
        <v>1.5</v>
      </c>
      <c r="V931" s="18">
        <v>20200510</v>
      </c>
      <c r="W931" s="16" t="s">
        <v>651</v>
      </c>
      <c r="X931" s="18">
        <v>2018</v>
      </c>
      <c r="Y931" s="18" t="s">
        <v>143</v>
      </c>
      <c r="Z931" s="18" t="s">
        <v>650</v>
      </c>
      <c r="AA931" s="18"/>
      <c r="AC931" s="18" t="s">
        <v>514</v>
      </c>
      <c r="AD931" s="41" t="s">
        <v>22</v>
      </c>
      <c r="AE931" s="41" t="s">
        <v>22</v>
      </c>
      <c r="AF931" s="41" t="s">
        <v>22</v>
      </c>
      <c r="AG931" s="41" t="s">
        <v>22</v>
      </c>
      <c r="AH931" s="41" t="s">
        <v>22</v>
      </c>
      <c r="AI931" s="41" t="s">
        <v>22</v>
      </c>
      <c r="AJ931" s="41" t="s">
        <v>22</v>
      </c>
      <c r="AK931" s="41" t="s">
        <v>22</v>
      </c>
      <c r="AL931" s="41" t="s">
        <v>22</v>
      </c>
      <c r="AM931" s="43" t="e">
        <f t="shared" si="501"/>
        <v>#VALUE!</v>
      </c>
      <c r="AN931" s="43" t="e">
        <f t="shared" si="502"/>
        <v>#VALUE!</v>
      </c>
      <c r="AO931" s="19" t="s">
        <v>239</v>
      </c>
      <c r="AT931" s="2">
        <f t="shared" si="503"/>
        <v>22</v>
      </c>
      <c r="AU931" s="45">
        <f t="shared" si="504"/>
        <v>0.69019608002851374</v>
      </c>
      <c r="AV931" s="45" t="e">
        <f t="shared" si="505"/>
        <v>#VALUE!</v>
      </c>
      <c r="AW931" s="45" t="e">
        <f t="shared" si="506"/>
        <v>#VALUE!</v>
      </c>
      <c r="AX931" s="45">
        <f t="shared" si="507"/>
        <v>3.5118833609788744</v>
      </c>
      <c r="AY931" s="45" t="e">
        <f t="shared" si="508"/>
        <v>#VALUE!</v>
      </c>
      <c r="AZ931" s="45" t="e">
        <f t="shared" si="509"/>
        <v>#VALUE!</v>
      </c>
      <c r="BA931" s="45" t="e">
        <f t="shared" si="510"/>
        <v>#VALUE!</v>
      </c>
      <c r="BB931" s="45" t="e">
        <f t="shared" si="511"/>
        <v>#VALUE!</v>
      </c>
      <c r="BC931" s="45">
        <f t="shared" si="512"/>
        <v>0.17609125905568124</v>
      </c>
      <c r="BD931" s="45" t="e">
        <f t="shared" si="513"/>
        <v>#VALUE!</v>
      </c>
      <c r="BE931" s="45" t="e">
        <f t="shared" si="514"/>
        <v>#VALUE!</v>
      </c>
      <c r="BF931" s="45" t="e">
        <f t="shared" si="515"/>
        <v>#VALUE!</v>
      </c>
      <c r="BG931" s="45" t="e">
        <f t="shared" si="516"/>
        <v>#VALUE!</v>
      </c>
      <c r="BH931" s="45" t="e">
        <f t="shared" si="517"/>
        <v>#NUM!</v>
      </c>
      <c r="BI931" s="43" t="e">
        <f t="shared" si="518"/>
        <v>#VALUE!</v>
      </c>
      <c r="CA931" s="41" t="s">
        <v>22</v>
      </c>
      <c r="CC931" s="18" t="s">
        <v>22</v>
      </c>
      <c r="CD931" s="18"/>
      <c r="CE931" s="41" t="s">
        <v>22</v>
      </c>
      <c r="CF931" s="41" t="s">
        <v>22</v>
      </c>
      <c r="CG931" s="41" t="e">
        <f t="shared" si="521"/>
        <v>#VALUE!</v>
      </c>
      <c r="CH931" s="41" t="e">
        <f t="shared" si="522"/>
        <v>#VALUE!</v>
      </c>
      <c r="CI931" s="41">
        <f t="shared" si="523"/>
        <v>1.5</v>
      </c>
      <c r="CJ931" s="41">
        <f t="shared" si="524"/>
        <v>0.17609125905568124</v>
      </c>
      <c r="CK931" s="18"/>
      <c r="CL931" s="9" t="s">
        <v>1269</v>
      </c>
      <c r="CM931" s="18" t="s">
        <v>1285</v>
      </c>
      <c r="CN931" s="54" t="s">
        <v>1284</v>
      </c>
      <c r="CO931" s="18" t="s">
        <v>1284</v>
      </c>
    </row>
    <row r="932" spans="1:93" x14ac:dyDescent="0.25">
      <c r="A932" s="18" t="s">
        <v>266</v>
      </c>
      <c r="B932" s="41">
        <v>2.4</v>
      </c>
      <c r="C932" s="41" t="s">
        <v>22</v>
      </c>
      <c r="D932" s="41" t="s">
        <v>22</v>
      </c>
      <c r="E932" s="41" t="s">
        <v>22</v>
      </c>
      <c r="F932" s="18" t="s">
        <v>22</v>
      </c>
      <c r="G932" s="18" t="s">
        <v>22</v>
      </c>
      <c r="H932" s="18" t="s">
        <v>22</v>
      </c>
      <c r="I932" s="18" t="s">
        <v>22</v>
      </c>
      <c r="J932" s="41" t="s">
        <v>22</v>
      </c>
      <c r="K932" s="18" t="s">
        <v>22</v>
      </c>
      <c r="L932" s="41" t="s">
        <v>22</v>
      </c>
      <c r="M932" s="18" t="s">
        <v>45</v>
      </c>
      <c r="N932" s="41">
        <v>1100</v>
      </c>
      <c r="O932" s="41" t="s">
        <v>22</v>
      </c>
      <c r="P932" s="41" t="s">
        <v>22</v>
      </c>
      <c r="R932" s="41">
        <f t="shared" si="520"/>
        <v>2640</v>
      </c>
      <c r="S932" s="41" t="s">
        <v>22</v>
      </c>
      <c r="T932" s="41">
        <v>1.5</v>
      </c>
      <c r="U932" s="41">
        <v>1.5</v>
      </c>
      <c r="V932" s="18">
        <v>20200510</v>
      </c>
      <c r="W932" s="16" t="s">
        <v>651</v>
      </c>
      <c r="X932" s="18">
        <v>2018</v>
      </c>
      <c r="Y932" s="18" t="s">
        <v>143</v>
      </c>
      <c r="Z932" s="18" t="s">
        <v>650</v>
      </c>
      <c r="AA932" s="18"/>
      <c r="AC932" s="18" t="s">
        <v>514</v>
      </c>
      <c r="AD932" s="41" t="s">
        <v>22</v>
      </c>
      <c r="AE932" s="41" t="s">
        <v>22</v>
      </c>
      <c r="AF932" s="41" t="s">
        <v>22</v>
      </c>
      <c r="AG932" s="41" t="s">
        <v>22</v>
      </c>
      <c r="AH932" s="41" t="s">
        <v>22</v>
      </c>
      <c r="AI932" s="41" t="s">
        <v>22</v>
      </c>
      <c r="AJ932" s="41" t="s">
        <v>22</v>
      </c>
      <c r="AK932" s="41" t="s">
        <v>22</v>
      </c>
      <c r="AL932" s="41" t="s">
        <v>22</v>
      </c>
      <c r="AM932" s="43" t="e">
        <f t="shared" si="501"/>
        <v>#VALUE!</v>
      </c>
      <c r="AN932" s="43" t="e">
        <f t="shared" si="502"/>
        <v>#VALUE!</v>
      </c>
      <c r="AO932" s="19" t="s">
        <v>239</v>
      </c>
      <c r="AT932" s="2">
        <f t="shared" si="503"/>
        <v>22</v>
      </c>
      <c r="AU932" s="45">
        <f t="shared" si="504"/>
        <v>0.38021124171160603</v>
      </c>
      <c r="AV932" s="45" t="e">
        <f t="shared" si="505"/>
        <v>#VALUE!</v>
      </c>
      <c r="AW932" s="45" t="e">
        <f t="shared" si="506"/>
        <v>#VALUE!</v>
      </c>
      <c r="AX932" s="45">
        <f t="shared" si="507"/>
        <v>3.0413926851582249</v>
      </c>
      <c r="AY932" s="45" t="e">
        <f t="shared" si="508"/>
        <v>#VALUE!</v>
      </c>
      <c r="AZ932" s="45" t="e">
        <f t="shared" si="509"/>
        <v>#VALUE!</v>
      </c>
      <c r="BA932" s="45" t="e">
        <f t="shared" si="510"/>
        <v>#VALUE!</v>
      </c>
      <c r="BB932" s="45" t="e">
        <f t="shared" si="511"/>
        <v>#VALUE!</v>
      </c>
      <c r="BC932" s="45">
        <f t="shared" si="512"/>
        <v>0.17609125905568124</v>
      </c>
      <c r="BD932" s="45" t="e">
        <f t="shared" si="513"/>
        <v>#VALUE!</v>
      </c>
      <c r="BE932" s="45" t="e">
        <f t="shared" si="514"/>
        <v>#VALUE!</v>
      </c>
      <c r="BF932" s="45" t="e">
        <f t="shared" si="515"/>
        <v>#VALUE!</v>
      </c>
      <c r="BG932" s="45" t="e">
        <f t="shared" si="516"/>
        <v>#VALUE!</v>
      </c>
      <c r="BH932" s="45" t="e">
        <f t="shared" si="517"/>
        <v>#NUM!</v>
      </c>
      <c r="BI932" s="43" t="e">
        <f t="shared" si="518"/>
        <v>#VALUE!</v>
      </c>
      <c r="CA932" s="41" t="s">
        <v>22</v>
      </c>
      <c r="CC932" s="18" t="s">
        <v>22</v>
      </c>
      <c r="CD932" s="18"/>
      <c r="CE932" s="41" t="s">
        <v>22</v>
      </c>
      <c r="CF932" s="41" t="s">
        <v>22</v>
      </c>
      <c r="CG932" s="41" t="e">
        <f t="shared" si="521"/>
        <v>#VALUE!</v>
      </c>
      <c r="CH932" s="41" t="e">
        <f t="shared" si="522"/>
        <v>#VALUE!</v>
      </c>
      <c r="CI932" s="41">
        <f t="shared" si="523"/>
        <v>1.5</v>
      </c>
      <c r="CJ932" s="41">
        <f t="shared" si="524"/>
        <v>0.17609125905568124</v>
      </c>
      <c r="CK932" s="18"/>
      <c r="CL932" s="9" t="s">
        <v>1269</v>
      </c>
      <c r="CM932" s="18" t="s">
        <v>1285</v>
      </c>
      <c r="CN932" s="54" t="s">
        <v>1284</v>
      </c>
      <c r="CO932" s="18" t="s">
        <v>1284</v>
      </c>
    </row>
    <row r="933" spans="1:93" x14ac:dyDescent="0.25">
      <c r="A933" s="18" t="s">
        <v>266</v>
      </c>
      <c r="B933" s="41">
        <v>2.4</v>
      </c>
      <c r="C933" s="41" t="s">
        <v>22</v>
      </c>
      <c r="D933" s="41" t="s">
        <v>22</v>
      </c>
      <c r="E933" s="41" t="s">
        <v>22</v>
      </c>
      <c r="F933" s="18" t="s">
        <v>22</v>
      </c>
      <c r="G933" s="18" t="s">
        <v>22</v>
      </c>
      <c r="H933" s="18" t="s">
        <v>22</v>
      </c>
      <c r="I933" s="18" t="s">
        <v>22</v>
      </c>
      <c r="J933" s="41" t="s">
        <v>22</v>
      </c>
      <c r="K933" s="18" t="s">
        <v>22</v>
      </c>
      <c r="L933" s="41" t="s">
        <v>22</v>
      </c>
      <c r="M933" s="18" t="s">
        <v>45</v>
      </c>
      <c r="N933" s="41">
        <v>2060</v>
      </c>
      <c r="O933" s="41" t="s">
        <v>22</v>
      </c>
      <c r="P933" s="41" t="s">
        <v>22</v>
      </c>
      <c r="R933" s="41">
        <f t="shared" si="520"/>
        <v>4944</v>
      </c>
      <c r="S933" s="41" t="s">
        <v>22</v>
      </c>
      <c r="T933" s="41">
        <v>1.5</v>
      </c>
      <c r="U933" s="41">
        <v>1.5</v>
      </c>
      <c r="V933" s="18">
        <v>20200510</v>
      </c>
      <c r="W933" s="16" t="s">
        <v>651</v>
      </c>
      <c r="X933" s="18">
        <v>2018</v>
      </c>
      <c r="Y933" s="18" t="s">
        <v>143</v>
      </c>
      <c r="Z933" s="18" t="s">
        <v>650</v>
      </c>
      <c r="AA933" s="18"/>
      <c r="AC933" s="18" t="s">
        <v>514</v>
      </c>
      <c r="AD933" s="41" t="s">
        <v>22</v>
      </c>
      <c r="AE933" s="41" t="s">
        <v>22</v>
      </c>
      <c r="AF933" s="41" t="s">
        <v>22</v>
      </c>
      <c r="AG933" s="41" t="s">
        <v>22</v>
      </c>
      <c r="AH933" s="41" t="s">
        <v>22</v>
      </c>
      <c r="AI933" s="41" t="s">
        <v>22</v>
      </c>
      <c r="AJ933" s="41" t="s">
        <v>22</v>
      </c>
      <c r="AK933" s="41" t="s">
        <v>22</v>
      </c>
      <c r="AL933" s="41" t="s">
        <v>22</v>
      </c>
      <c r="AM933" s="43" t="e">
        <f t="shared" si="501"/>
        <v>#VALUE!</v>
      </c>
      <c r="AN933" s="43" t="e">
        <f t="shared" si="502"/>
        <v>#VALUE!</v>
      </c>
      <c r="AO933" s="19" t="s">
        <v>239</v>
      </c>
      <c r="AT933" s="2">
        <f t="shared" si="503"/>
        <v>22</v>
      </c>
      <c r="AU933" s="45">
        <f t="shared" si="504"/>
        <v>0.38021124171160603</v>
      </c>
      <c r="AV933" s="45" t="e">
        <f t="shared" si="505"/>
        <v>#VALUE!</v>
      </c>
      <c r="AW933" s="45" t="e">
        <f t="shared" si="506"/>
        <v>#VALUE!</v>
      </c>
      <c r="AX933" s="45">
        <f t="shared" si="507"/>
        <v>3.3138672203691533</v>
      </c>
      <c r="AY933" s="45" t="e">
        <f t="shared" si="508"/>
        <v>#VALUE!</v>
      </c>
      <c r="AZ933" s="45" t="e">
        <f t="shared" si="509"/>
        <v>#VALUE!</v>
      </c>
      <c r="BA933" s="45" t="e">
        <f t="shared" si="510"/>
        <v>#VALUE!</v>
      </c>
      <c r="BB933" s="45" t="e">
        <f t="shared" si="511"/>
        <v>#VALUE!</v>
      </c>
      <c r="BC933" s="45">
        <f t="shared" si="512"/>
        <v>0.17609125905568124</v>
      </c>
      <c r="BD933" s="45" t="e">
        <f t="shared" si="513"/>
        <v>#VALUE!</v>
      </c>
      <c r="BE933" s="45" t="e">
        <f t="shared" si="514"/>
        <v>#VALUE!</v>
      </c>
      <c r="BF933" s="45" t="e">
        <f t="shared" si="515"/>
        <v>#VALUE!</v>
      </c>
      <c r="BG933" s="45" t="e">
        <f t="shared" si="516"/>
        <v>#VALUE!</v>
      </c>
      <c r="BH933" s="45" t="e">
        <f t="shared" si="517"/>
        <v>#NUM!</v>
      </c>
      <c r="BI933" s="43" t="e">
        <f t="shared" si="518"/>
        <v>#VALUE!</v>
      </c>
      <c r="CA933" s="41" t="s">
        <v>22</v>
      </c>
      <c r="CC933" s="18" t="s">
        <v>22</v>
      </c>
      <c r="CD933" s="18"/>
      <c r="CE933" s="41" t="s">
        <v>22</v>
      </c>
      <c r="CF933" s="41" t="s">
        <v>22</v>
      </c>
      <c r="CG933" s="41" t="e">
        <f t="shared" si="521"/>
        <v>#VALUE!</v>
      </c>
      <c r="CH933" s="41" t="e">
        <f t="shared" si="522"/>
        <v>#VALUE!</v>
      </c>
      <c r="CI933" s="41">
        <f t="shared" si="523"/>
        <v>1.5</v>
      </c>
      <c r="CJ933" s="41">
        <f t="shared" si="524"/>
        <v>0.17609125905568124</v>
      </c>
      <c r="CK933" s="18"/>
      <c r="CL933" s="9" t="s">
        <v>1269</v>
      </c>
      <c r="CM933" s="18" t="s">
        <v>1285</v>
      </c>
      <c r="CN933" s="54" t="s">
        <v>1284</v>
      </c>
      <c r="CO933" s="18" t="s">
        <v>1284</v>
      </c>
    </row>
    <row r="934" spans="1:93" x14ac:dyDescent="0.25">
      <c r="A934" s="18" t="s">
        <v>266</v>
      </c>
      <c r="B934" s="41">
        <v>6.1</v>
      </c>
      <c r="C934" s="41" t="s">
        <v>22</v>
      </c>
      <c r="D934" s="41" t="s">
        <v>22</v>
      </c>
      <c r="E934" s="41" t="s">
        <v>22</v>
      </c>
      <c r="F934" s="18" t="s">
        <v>22</v>
      </c>
      <c r="G934" s="18" t="s">
        <v>22</v>
      </c>
      <c r="H934" s="18" t="s">
        <v>22</v>
      </c>
      <c r="I934" s="18" t="s">
        <v>22</v>
      </c>
      <c r="J934" s="41" t="s">
        <v>22</v>
      </c>
      <c r="K934" s="18" t="s">
        <v>22</v>
      </c>
      <c r="L934" s="41" t="s">
        <v>22</v>
      </c>
      <c r="M934" s="18" t="s">
        <v>45</v>
      </c>
      <c r="N934" s="41">
        <v>4080</v>
      </c>
      <c r="O934" s="41" t="s">
        <v>22</v>
      </c>
      <c r="P934" s="41" t="s">
        <v>22</v>
      </c>
      <c r="R934" s="41">
        <f t="shared" si="520"/>
        <v>24888</v>
      </c>
      <c r="S934" s="41" t="s">
        <v>22</v>
      </c>
      <c r="T934" s="41">
        <v>2.1</v>
      </c>
      <c r="U934" s="41">
        <v>2.1</v>
      </c>
      <c r="V934" s="18">
        <v>20200510</v>
      </c>
      <c r="W934" s="16" t="s">
        <v>651</v>
      </c>
      <c r="X934" s="18">
        <v>2018</v>
      </c>
      <c r="Y934" s="18" t="s">
        <v>143</v>
      </c>
      <c r="Z934" s="18" t="s">
        <v>650</v>
      </c>
      <c r="AA934" s="18"/>
      <c r="AC934" s="18" t="s">
        <v>514</v>
      </c>
      <c r="AD934" s="41" t="s">
        <v>22</v>
      </c>
      <c r="AE934" s="41" t="s">
        <v>22</v>
      </c>
      <c r="AF934" s="41" t="s">
        <v>22</v>
      </c>
      <c r="AG934" s="41" t="s">
        <v>22</v>
      </c>
      <c r="AH934" s="41" t="s">
        <v>22</v>
      </c>
      <c r="AI934" s="41" t="s">
        <v>22</v>
      </c>
      <c r="AJ934" s="41" t="s">
        <v>22</v>
      </c>
      <c r="AK934" s="41" t="s">
        <v>22</v>
      </c>
      <c r="AL934" s="41" t="s">
        <v>22</v>
      </c>
      <c r="AM934" s="43" t="e">
        <f t="shared" si="501"/>
        <v>#VALUE!</v>
      </c>
      <c r="AN934" s="43" t="e">
        <f t="shared" si="502"/>
        <v>#VALUE!</v>
      </c>
      <c r="AO934" s="19" t="s">
        <v>239</v>
      </c>
      <c r="AT934" s="2">
        <f t="shared" si="503"/>
        <v>22</v>
      </c>
      <c r="AU934" s="45">
        <f t="shared" si="504"/>
        <v>0.78532983501076703</v>
      </c>
      <c r="AV934" s="45" t="e">
        <f t="shared" si="505"/>
        <v>#VALUE!</v>
      </c>
      <c r="AW934" s="45" t="e">
        <f t="shared" si="506"/>
        <v>#VALUE!</v>
      </c>
      <c r="AX934" s="45">
        <f t="shared" si="507"/>
        <v>3.61066016308988</v>
      </c>
      <c r="AY934" s="45" t="e">
        <f t="shared" si="508"/>
        <v>#VALUE!</v>
      </c>
      <c r="AZ934" s="45" t="e">
        <f t="shared" si="509"/>
        <v>#VALUE!</v>
      </c>
      <c r="BA934" s="45" t="e">
        <f t="shared" si="510"/>
        <v>#VALUE!</v>
      </c>
      <c r="BB934" s="45" t="e">
        <f t="shared" si="511"/>
        <v>#VALUE!</v>
      </c>
      <c r="BC934" s="45">
        <f t="shared" si="512"/>
        <v>0.3222192947339193</v>
      </c>
      <c r="BD934" s="45" t="e">
        <f t="shared" si="513"/>
        <v>#VALUE!</v>
      </c>
      <c r="BE934" s="45" t="e">
        <f t="shared" si="514"/>
        <v>#VALUE!</v>
      </c>
      <c r="BF934" s="45" t="e">
        <f t="shared" si="515"/>
        <v>#VALUE!</v>
      </c>
      <c r="BG934" s="45" t="e">
        <f t="shared" si="516"/>
        <v>#VALUE!</v>
      </c>
      <c r="BH934" s="45" t="e">
        <f t="shared" si="517"/>
        <v>#NUM!</v>
      </c>
      <c r="BI934" s="43" t="e">
        <f t="shared" si="518"/>
        <v>#VALUE!</v>
      </c>
      <c r="CA934" s="41" t="s">
        <v>22</v>
      </c>
      <c r="CC934" s="18" t="s">
        <v>22</v>
      </c>
      <c r="CD934" s="18"/>
      <c r="CE934" s="41" t="s">
        <v>22</v>
      </c>
      <c r="CF934" s="41" t="s">
        <v>22</v>
      </c>
      <c r="CG934" s="41" t="e">
        <f t="shared" si="521"/>
        <v>#VALUE!</v>
      </c>
      <c r="CH934" s="41" t="e">
        <f t="shared" si="522"/>
        <v>#VALUE!</v>
      </c>
      <c r="CI934" s="41">
        <f t="shared" si="523"/>
        <v>2.1</v>
      </c>
      <c r="CJ934" s="41">
        <f t="shared" si="524"/>
        <v>0.3222192947339193</v>
      </c>
      <c r="CK934" s="18"/>
      <c r="CL934" s="9" t="s">
        <v>1269</v>
      </c>
      <c r="CM934" s="18" t="s">
        <v>1285</v>
      </c>
      <c r="CN934" s="54" t="s">
        <v>1284</v>
      </c>
      <c r="CO934" s="18" t="s">
        <v>1284</v>
      </c>
    </row>
    <row r="935" spans="1:93" x14ac:dyDescent="0.25">
      <c r="A935" s="18" t="s">
        <v>141</v>
      </c>
      <c r="B935" s="41">
        <v>9.60328317373461E-2</v>
      </c>
      <c r="C935" s="41">
        <v>0.38059094605584176</v>
      </c>
      <c r="D935" s="41">
        <v>0.25232558139534883</v>
      </c>
      <c r="E935" s="41" t="s">
        <v>22</v>
      </c>
      <c r="F935" s="18" t="s">
        <v>22</v>
      </c>
      <c r="G935" s="18" t="s">
        <v>22</v>
      </c>
      <c r="H935" s="18" t="s">
        <v>22</v>
      </c>
      <c r="I935" s="18" t="s">
        <v>22</v>
      </c>
      <c r="J935" s="41">
        <v>7.15</v>
      </c>
      <c r="K935" s="18">
        <v>488</v>
      </c>
      <c r="L935" s="41">
        <f>IF((10^-12)*J935*K935^4=0,"",(10^-12)*J935*K935^4)</f>
        <v>0.40549483786239998</v>
      </c>
      <c r="M935" s="18" t="s">
        <v>23</v>
      </c>
      <c r="N935" s="41" t="s">
        <v>22</v>
      </c>
      <c r="O935" s="41" t="s">
        <v>22</v>
      </c>
      <c r="P935" s="41" t="s">
        <v>22</v>
      </c>
      <c r="R935" s="41" t="s">
        <v>22</v>
      </c>
      <c r="S935" s="41" t="s">
        <v>22</v>
      </c>
      <c r="T935" s="41" t="s">
        <v>22</v>
      </c>
      <c r="U935" s="41" t="s">
        <v>22</v>
      </c>
      <c r="V935" s="18">
        <v>20200518</v>
      </c>
      <c r="X935" s="18">
        <v>2018</v>
      </c>
      <c r="Y935" s="18" t="s">
        <v>76</v>
      </c>
      <c r="Z935" s="18" t="s">
        <v>738</v>
      </c>
      <c r="AA935" s="18"/>
      <c r="AC935" s="18" t="s">
        <v>514</v>
      </c>
      <c r="AD935" s="41" t="s">
        <v>22</v>
      </c>
      <c r="AE935" s="41">
        <v>1574.1</v>
      </c>
      <c r="AF935" s="41" t="s">
        <v>22</v>
      </c>
      <c r="AG935" s="41" t="s">
        <v>22</v>
      </c>
      <c r="AH935" s="41" t="s">
        <v>22</v>
      </c>
      <c r="AI935" s="41" t="s">
        <v>22</v>
      </c>
      <c r="AJ935" s="41" t="s">
        <v>22</v>
      </c>
      <c r="AK935" s="41" t="s">
        <v>22</v>
      </c>
      <c r="AL935" s="41" t="s">
        <v>22</v>
      </c>
      <c r="AM935" s="43" t="e">
        <f t="shared" si="501"/>
        <v>#VALUE!</v>
      </c>
      <c r="AN935" s="43" t="e">
        <f t="shared" si="502"/>
        <v>#VALUE!</v>
      </c>
      <c r="AO935" s="19" t="s">
        <v>129</v>
      </c>
      <c r="AT935" s="2">
        <f t="shared" si="503"/>
        <v>4</v>
      </c>
      <c r="AU935" s="45">
        <f t="shared" si="504"/>
        <v>-1.0175802648280552</v>
      </c>
      <c r="AV935" s="45">
        <f t="shared" si="505"/>
        <v>-0.41954154743301691</v>
      </c>
      <c r="AW935" s="45">
        <f t="shared" si="506"/>
        <v>-0.59803871739503822</v>
      </c>
      <c r="AX935" s="45" t="e">
        <f t="shared" si="507"/>
        <v>#VALUE!</v>
      </c>
      <c r="AY935" s="45" t="e">
        <f t="shared" si="508"/>
        <v>#VALUE!</v>
      </c>
      <c r="AZ935" s="45" t="e">
        <f t="shared" si="509"/>
        <v>#VALUE!</v>
      </c>
      <c r="BA935" s="45">
        <f t="shared" si="510"/>
        <v>0.85430604180108061</v>
      </c>
      <c r="BB935" s="45">
        <f t="shared" si="511"/>
        <v>-0.39201467018807695</v>
      </c>
      <c r="BC935" s="45" t="e">
        <f t="shared" si="512"/>
        <v>#VALUE!</v>
      </c>
      <c r="BD935" s="45" t="e">
        <f t="shared" si="513"/>
        <v>#VALUE!</v>
      </c>
      <c r="BE935" s="45" t="e">
        <f t="shared" si="514"/>
        <v>#VALUE!</v>
      </c>
      <c r="BF935" s="45" t="e">
        <f t="shared" si="515"/>
        <v>#VALUE!</v>
      </c>
      <c r="BG935" s="45" t="e">
        <f t="shared" si="516"/>
        <v>#VALUE!</v>
      </c>
      <c r="BH935" s="45" t="e">
        <f t="shared" si="517"/>
        <v>#NUM!</v>
      </c>
      <c r="BI935" s="43" t="e">
        <f t="shared" si="518"/>
        <v>#VALUE!</v>
      </c>
      <c r="CA935" s="41" t="s">
        <v>22</v>
      </c>
      <c r="CC935" s="18" t="s">
        <v>22</v>
      </c>
      <c r="CD935" s="18"/>
      <c r="CE935" s="41" t="s">
        <v>22</v>
      </c>
      <c r="CF935" s="41" t="s">
        <v>22</v>
      </c>
      <c r="CG935" s="41" t="e">
        <f t="shared" si="521"/>
        <v>#VALUE!</v>
      </c>
      <c r="CH935" s="41" t="e">
        <f t="shared" si="522"/>
        <v>#VALUE!</v>
      </c>
      <c r="CI935" s="41" t="str">
        <f t="shared" si="523"/>
        <v>Not Reported/ Can not calculate</v>
      </c>
      <c r="CJ935" s="41" t="e">
        <f t="shared" si="524"/>
        <v>#VALUE!</v>
      </c>
      <c r="CK935" s="18"/>
      <c r="CL935" s="9" t="s">
        <v>1269</v>
      </c>
      <c r="CM935" s="18" t="s">
        <v>1284</v>
      </c>
      <c r="CN935" s="54" t="s">
        <v>1284</v>
      </c>
      <c r="CO935" s="18" t="s">
        <v>1284</v>
      </c>
    </row>
    <row r="936" spans="1:93" x14ac:dyDescent="0.25">
      <c r="A936" s="18" t="s">
        <v>141</v>
      </c>
      <c r="B936" s="41">
        <v>0.10634328358208957</v>
      </c>
      <c r="C936" s="41">
        <v>0.4795159476589656</v>
      </c>
      <c r="D936" s="41">
        <v>0.22177215189873417</v>
      </c>
      <c r="E936" s="41" t="s">
        <v>22</v>
      </c>
      <c r="F936" s="18" t="s">
        <v>22</v>
      </c>
      <c r="G936" s="18" t="s">
        <v>22</v>
      </c>
      <c r="H936" s="18" t="s">
        <v>22</v>
      </c>
      <c r="I936" s="18" t="s">
        <v>22</v>
      </c>
      <c r="J936" s="41">
        <v>7.15</v>
      </c>
      <c r="K936">
        <v>488</v>
      </c>
      <c r="L936" s="41">
        <f>IF((10^-12)*J936*K936^4=0,"",(10^-12)*J936*K936^4)</f>
        <v>0.40549483786239998</v>
      </c>
      <c r="M936" s="18" t="s">
        <v>23</v>
      </c>
      <c r="N936" s="41" t="s">
        <v>22</v>
      </c>
      <c r="O936" s="41" t="s">
        <v>22</v>
      </c>
      <c r="P936" s="41" t="s">
        <v>22</v>
      </c>
      <c r="R936" s="41" t="s">
        <v>22</v>
      </c>
      <c r="S936" s="41" t="s">
        <v>22</v>
      </c>
      <c r="T936" s="41" t="s">
        <v>22</v>
      </c>
      <c r="U936" s="41" t="s">
        <v>22</v>
      </c>
      <c r="V936" s="18">
        <v>20200518</v>
      </c>
      <c r="W936" s="21"/>
      <c r="X936" s="18">
        <v>2018</v>
      </c>
      <c r="Y936" s="18" t="s">
        <v>76</v>
      </c>
      <c r="Z936" s="18" t="s">
        <v>739</v>
      </c>
      <c r="AA936" s="18"/>
      <c r="AC936" s="18" t="s">
        <v>514</v>
      </c>
      <c r="AD936" s="41" t="s">
        <v>22</v>
      </c>
      <c r="AE936" s="41">
        <v>1574.1</v>
      </c>
      <c r="AF936" s="41" t="s">
        <v>22</v>
      </c>
      <c r="AG936" s="41" t="s">
        <v>22</v>
      </c>
      <c r="AH936" s="41" t="s">
        <v>22</v>
      </c>
      <c r="AI936" s="41" t="s">
        <v>22</v>
      </c>
      <c r="AJ936" s="41" t="s">
        <v>22</v>
      </c>
      <c r="AK936" s="41" t="s">
        <v>22</v>
      </c>
      <c r="AL936" s="41" t="s">
        <v>22</v>
      </c>
      <c r="AM936" s="43" t="e">
        <f t="shared" si="501"/>
        <v>#VALUE!</v>
      </c>
      <c r="AN936" s="43" t="e">
        <f t="shared" si="502"/>
        <v>#VALUE!</v>
      </c>
      <c r="AO936" s="19" t="s">
        <v>129</v>
      </c>
      <c r="AT936" s="2">
        <f t="shared" si="503"/>
        <v>4</v>
      </c>
      <c r="AU936" s="45">
        <f t="shared" si="504"/>
        <v>-0.97328993402027852</v>
      </c>
      <c r="AV936" s="45">
        <f t="shared" si="505"/>
        <v>-0.31919694456189895</v>
      </c>
      <c r="AW936" s="45">
        <f t="shared" si="506"/>
        <v>-0.65409298945837957</v>
      </c>
      <c r="AX936" s="45" t="e">
        <f t="shared" si="507"/>
        <v>#VALUE!</v>
      </c>
      <c r="AY936" s="45" t="e">
        <f t="shared" si="508"/>
        <v>#VALUE!</v>
      </c>
      <c r="AZ936" s="45" t="e">
        <f t="shared" si="509"/>
        <v>#VALUE!</v>
      </c>
      <c r="BA936" s="45">
        <f t="shared" si="510"/>
        <v>0.85430604180108061</v>
      </c>
      <c r="BB936" s="45">
        <f t="shared" si="511"/>
        <v>-0.39201467018807695</v>
      </c>
      <c r="BC936" s="45" t="e">
        <f t="shared" si="512"/>
        <v>#VALUE!</v>
      </c>
      <c r="BD936" s="45" t="e">
        <f t="shared" si="513"/>
        <v>#VALUE!</v>
      </c>
      <c r="BE936" s="45" t="e">
        <f t="shared" si="514"/>
        <v>#VALUE!</v>
      </c>
      <c r="BF936" s="45" t="e">
        <f t="shared" si="515"/>
        <v>#VALUE!</v>
      </c>
      <c r="BG936" s="45" t="e">
        <f t="shared" si="516"/>
        <v>#VALUE!</v>
      </c>
      <c r="BH936" s="45" t="e">
        <f t="shared" si="517"/>
        <v>#NUM!</v>
      </c>
      <c r="BI936" s="43" t="e">
        <f t="shared" si="518"/>
        <v>#VALUE!</v>
      </c>
      <c r="CA936" s="41" t="s">
        <v>22</v>
      </c>
      <c r="CC936" s="18" t="s">
        <v>22</v>
      </c>
      <c r="CD936" s="18"/>
      <c r="CE936" s="41" t="s">
        <v>22</v>
      </c>
      <c r="CF936" s="41" t="s">
        <v>22</v>
      </c>
      <c r="CG936" s="41" t="e">
        <f t="shared" si="521"/>
        <v>#VALUE!</v>
      </c>
      <c r="CH936" s="41" t="e">
        <f t="shared" si="522"/>
        <v>#VALUE!</v>
      </c>
      <c r="CI936" s="41" t="str">
        <f t="shared" si="523"/>
        <v>Not Reported/ Can not calculate</v>
      </c>
      <c r="CJ936" s="41" t="e">
        <f t="shared" si="524"/>
        <v>#VALUE!</v>
      </c>
      <c r="CK936" s="18"/>
      <c r="CL936" s="9" t="s">
        <v>1269</v>
      </c>
      <c r="CM936" s="18" t="s">
        <v>1284</v>
      </c>
      <c r="CN936" s="54" t="s">
        <v>1284</v>
      </c>
      <c r="CO936" s="18" t="s">
        <v>1284</v>
      </c>
    </row>
    <row r="937" spans="1:93" x14ac:dyDescent="0.25">
      <c r="A937" s="18" t="s">
        <v>141</v>
      </c>
      <c r="B937" s="41">
        <v>0.85499999999999998</v>
      </c>
      <c r="C937" s="41">
        <v>0.9760273972602741</v>
      </c>
      <c r="D937" s="41">
        <v>0.876</v>
      </c>
      <c r="E937" s="41" t="s">
        <v>22</v>
      </c>
      <c r="F937" s="18" t="s">
        <v>22</v>
      </c>
      <c r="G937" s="18" t="s">
        <v>22</v>
      </c>
      <c r="H937" s="18" t="s">
        <v>22</v>
      </c>
      <c r="I937" s="18" t="s">
        <v>22</v>
      </c>
      <c r="J937" s="41">
        <v>4.5999999999999996</v>
      </c>
      <c r="K937">
        <v>488</v>
      </c>
      <c r="L937" s="41">
        <f>IF((10^-12)*J937*K937^4=0,"",(10^-12)*J937*K937^4)</f>
        <v>0.2608777977856</v>
      </c>
      <c r="M937" s="18" t="s">
        <v>45</v>
      </c>
      <c r="N937" s="41" t="s">
        <v>22</v>
      </c>
      <c r="O937" s="41" t="s">
        <v>22</v>
      </c>
      <c r="P937" s="41" t="s">
        <v>22</v>
      </c>
      <c r="R937" s="41" t="s">
        <v>22</v>
      </c>
      <c r="S937" s="41" t="s">
        <v>22</v>
      </c>
      <c r="T937" s="41" t="s">
        <v>22</v>
      </c>
      <c r="U937" s="41" t="s">
        <v>22</v>
      </c>
      <c r="V937" s="18">
        <v>20200508</v>
      </c>
      <c r="W937" s="21" t="s">
        <v>505</v>
      </c>
      <c r="X937" s="18">
        <v>2018</v>
      </c>
      <c r="Y937" s="18" t="s">
        <v>76</v>
      </c>
      <c r="Z937" s="18" t="s">
        <v>740</v>
      </c>
      <c r="AA937" t="s">
        <v>505</v>
      </c>
      <c r="AB937" s="41">
        <v>0.10634328358208957</v>
      </c>
      <c r="AC937" s="18" t="s">
        <v>514</v>
      </c>
      <c r="AD937" s="41" t="s">
        <v>22</v>
      </c>
      <c r="AE937" s="41">
        <v>1582.9</v>
      </c>
      <c r="AF937" s="41" t="s">
        <v>22</v>
      </c>
      <c r="AG937" s="41" t="s">
        <v>22</v>
      </c>
      <c r="AH937" s="41" t="s">
        <v>22</v>
      </c>
      <c r="AI937" s="41" t="s">
        <v>22</v>
      </c>
      <c r="AJ937" s="41" t="s">
        <v>22</v>
      </c>
      <c r="AK937" s="41" t="s">
        <v>22</v>
      </c>
      <c r="AL937" s="41" t="s">
        <v>22</v>
      </c>
      <c r="AM937" s="43" t="e">
        <f t="shared" si="501"/>
        <v>#VALUE!</v>
      </c>
      <c r="AN937" s="43" t="e">
        <f t="shared" si="502"/>
        <v>#VALUE!</v>
      </c>
      <c r="AO937" s="19" t="s">
        <v>129</v>
      </c>
      <c r="AT937" s="2">
        <f t="shared" si="503"/>
        <v>4</v>
      </c>
      <c r="AU937" s="45">
        <f t="shared" si="504"/>
        <v>-6.8033885271827368E-2</v>
      </c>
      <c r="AV937" s="45">
        <f t="shared" si="505"/>
        <v>-1.0537991439908032E-2</v>
      </c>
      <c r="AW937" s="45">
        <f t="shared" si="506"/>
        <v>-5.7495893831919269E-2</v>
      </c>
      <c r="AX937" s="45" t="e">
        <f t="shared" si="507"/>
        <v>#VALUE!</v>
      </c>
      <c r="AY937" s="45" t="e">
        <f t="shared" si="508"/>
        <v>#VALUE!</v>
      </c>
      <c r="AZ937" s="45" t="e">
        <f t="shared" si="509"/>
        <v>#VALUE!</v>
      </c>
      <c r="BA937" s="45">
        <f t="shared" si="510"/>
        <v>0.66275783168157409</v>
      </c>
      <c r="BB937" s="45">
        <f t="shared" si="511"/>
        <v>-0.58356288030758341</v>
      </c>
      <c r="BC937" s="45" t="e">
        <f t="shared" si="512"/>
        <v>#VALUE!</v>
      </c>
      <c r="BD937" s="45" t="e">
        <f t="shared" si="513"/>
        <v>#VALUE!</v>
      </c>
      <c r="BE937" s="45" t="e">
        <f t="shared" si="514"/>
        <v>#VALUE!</v>
      </c>
      <c r="BF937" s="45" t="e">
        <f t="shared" si="515"/>
        <v>#VALUE!</v>
      </c>
      <c r="BG937" s="45" t="e">
        <f t="shared" si="516"/>
        <v>#VALUE!</v>
      </c>
      <c r="BH937" s="45">
        <f t="shared" si="517"/>
        <v>-0.97328993402027852</v>
      </c>
      <c r="BI937" s="43" t="e">
        <f t="shared" si="518"/>
        <v>#VALUE!</v>
      </c>
      <c r="CA937" s="41" t="s">
        <v>22</v>
      </c>
      <c r="CC937" s="18" t="s">
        <v>22</v>
      </c>
      <c r="CD937" s="18"/>
      <c r="CE937" s="41" t="s">
        <v>22</v>
      </c>
      <c r="CF937" s="41" t="s">
        <v>22</v>
      </c>
      <c r="CG937" s="41" t="e">
        <f t="shared" si="521"/>
        <v>#VALUE!</v>
      </c>
      <c r="CH937" s="41" t="e">
        <f t="shared" si="522"/>
        <v>#VALUE!</v>
      </c>
      <c r="CI937" s="41" t="str">
        <f t="shared" si="523"/>
        <v>Not Reported/ Can not calculate</v>
      </c>
      <c r="CJ937" s="41" t="e">
        <f t="shared" si="524"/>
        <v>#VALUE!</v>
      </c>
      <c r="CK937" s="18"/>
      <c r="CL937" s="9" t="s">
        <v>1269</v>
      </c>
      <c r="CM937" s="18" t="s">
        <v>1284</v>
      </c>
      <c r="CN937" s="54" t="s">
        <v>1284</v>
      </c>
      <c r="CO937" s="18" t="s">
        <v>1284</v>
      </c>
    </row>
    <row r="938" spans="1:93" x14ac:dyDescent="0.25">
      <c r="A938" s="18" t="s">
        <v>141</v>
      </c>
      <c r="B938" s="41">
        <v>0.70199999999999996</v>
      </c>
      <c r="C938" s="41">
        <v>1.0783410138248848</v>
      </c>
      <c r="D938" s="41">
        <v>0.65100000000000002</v>
      </c>
      <c r="E938" s="41" t="s">
        <v>22</v>
      </c>
      <c r="F938" s="18" t="s">
        <v>22</v>
      </c>
      <c r="G938" s="18" t="s">
        <v>22</v>
      </c>
      <c r="H938" s="18" t="s">
        <v>22</v>
      </c>
      <c r="I938" s="18" t="s">
        <v>22</v>
      </c>
      <c r="J938" s="41">
        <v>8.5</v>
      </c>
      <c r="K938">
        <v>488</v>
      </c>
      <c r="L938" s="41">
        <f>IF((10^-12)*J938*K938^4=0,"",(10^-12)*J938*K938^4)</f>
        <v>0.48205680025600001</v>
      </c>
      <c r="M938" s="18" t="s">
        <v>45</v>
      </c>
      <c r="N938" s="41" t="s">
        <v>22</v>
      </c>
      <c r="O938" s="41" t="s">
        <v>22</v>
      </c>
      <c r="P938" s="41" t="s">
        <v>22</v>
      </c>
      <c r="R938" s="41" t="s">
        <v>22</v>
      </c>
      <c r="S938" s="41" t="s">
        <v>22</v>
      </c>
      <c r="T938" s="41" t="s">
        <v>22</v>
      </c>
      <c r="U938" s="41" t="s">
        <v>22</v>
      </c>
      <c r="V938" s="18">
        <v>20200508</v>
      </c>
      <c r="W938" s="21" t="s">
        <v>506</v>
      </c>
      <c r="X938" s="18">
        <v>2018</v>
      </c>
      <c r="Y938" s="18" t="s">
        <v>76</v>
      </c>
      <c r="Z938" s="18" t="s">
        <v>128</v>
      </c>
      <c r="AA938" t="s">
        <v>783</v>
      </c>
      <c r="AB938" s="41">
        <f>(0.702/7.31)</f>
        <v>9.60328317373461E-2</v>
      </c>
      <c r="AC938" s="18" t="s">
        <v>514</v>
      </c>
      <c r="AD938" s="41" t="s">
        <v>22</v>
      </c>
      <c r="AE938" s="41">
        <v>1570.8</v>
      </c>
      <c r="AF938" s="41" t="s">
        <v>22</v>
      </c>
      <c r="AG938" s="41" t="s">
        <v>22</v>
      </c>
      <c r="AH938" s="41" t="s">
        <v>22</v>
      </c>
      <c r="AI938" s="41" t="s">
        <v>22</v>
      </c>
      <c r="AJ938" s="41" t="s">
        <v>22</v>
      </c>
      <c r="AK938" s="41" t="s">
        <v>22</v>
      </c>
      <c r="AL938" s="41" t="s">
        <v>22</v>
      </c>
      <c r="AM938" s="43" t="e">
        <f t="shared" si="501"/>
        <v>#VALUE!</v>
      </c>
      <c r="AN938" s="43" t="e">
        <f t="shared" si="502"/>
        <v>#VALUE!</v>
      </c>
      <c r="AO938" s="19" t="s">
        <v>129</v>
      </c>
      <c r="AT938" s="2">
        <f t="shared" si="503"/>
        <v>4</v>
      </c>
      <c r="AU938" s="45">
        <f t="shared" si="504"/>
        <v>-0.15366288787019475</v>
      </c>
      <c r="AV938" s="45">
        <f t="shared" si="505"/>
        <v>3.2756123561613323E-2</v>
      </c>
      <c r="AW938" s="45">
        <f t="shared" si="506"/>
        <v>-0.18641901143180803</v>
      </c>
      <c r="AX938" s="45" t="e">
        <f t="shared" si="507"/>
        <v>#VALUE!</v>
      </c>
      <c r="AY938" s="45" t="e">
        <f t="shared" si="508"/>
        <v>#VALUE!</v>
      </c>
      <c r="AZ938" s="45" t="e">
        <f t="shared" si="509"/>
        <v>#VALUE!</v>
      </c>
      <c r="BA938" s="45">
        <f t="shared" si="510"/>
        <v>0.92941892571429274</v>
      </c>
      <c r="BB938" s="45">
        <f t="shared" si="511"/>
        <v>-0.31690178627486476</v>
      </c>
      <c r="BC938" s="45" t="e">
        <f t="shared" si="512"/>
        <v>#VALUE!</v>
      </c>
      <c r="BD938" s="45" t="e">
        <f t="shared" si="513"/>
        <v>#VALUE!</v>
      </c>
      <c r="BE938" s="45" t="e">
        <f t="shared" si="514"/>
        <v>#VALUE!</v>
      </c>
      <c r="BF938" s="45" t="e">
        <f t="shared" si="515"/>
        <v>#VALUE!</v>
      </c>
      <c r="BG938" s="45" t="e">
        <f t="shared" si="516"/>
        <v>#VALUE!</v>
      </c>
      <c r="BH938" s="45">
        <f t="shared" si="517"/>
        <v>-1.0175802648280552</v>
      </c>
      <c r="BI938" s="43" t="e">
        <f t="shared" si="518"/>
        <v>#VALUE!</v>
      </c>
      <c r="CA938" s="41" t="s">
        <v>22</v>
      </c>
      <c r="CC938" s="18" t="s">
        <v>22</v>
      </c>
      <c r="CD938" s="18"/>
      <c r="CE938" s="41" t="s">
        <v>22</v>
      </c>
      <c r="CF938" s="41" t="s">
        <v>22</v>
      </c>
      <c r="CG938" s="41" t="e">
        <f t="shared" si="521"/>
        <v>#VALUE!</v>
      </c>
      <c r="CH938" s="41" t="e">
        <f t="shared" si="522"/>
        <v>#VALUE!</v>
      </c>
      <c r="CI938" s="41" t="str">
        <f t="shared" si="523"/>
        <v>Not Reported/ Can not calculate</v>
      </c>
      <c r="CJ938" s="41" t="e">
        <f t="shared" si="524"/>
        <v>#VALUE!</v>
      </c>
      <c r="CK938" s="18"/>
      <c r="CL938" s="9" t="s">
        <v>1269</v>
      </c>
      <c r="CM938" s="18" t="s">
        <v>1284</v>
      </c>
      <c r="CN938" s="54" t="s">
        <v>1284</v>
      </c>
      <c r="CO938" s="18" t="s">
        <v>1284</v>
      </c>
    </row>
    <row r="939" spans="1:93" s="9" customFormat="1" x14ac:dyDescent="0.25">
      <c r="A939" s="9" t="s">
        <v>315</v>
      </c>
      <c r="B939" s="50">
        <v>0.33112582781456951</v>
      </c>
      <c r="C939" s="50" t="s">
        <v>22</v>
      </c>
      <c r="D939" s="50" t="s">
        <v>22</v>
      </c>
      <c r="E939" s="50" t="s">
        <v>22</v>
      </c>
      <c r="F939" s="9" t="s">
        <v>22</v>
      </c>
      <c r="G939" s="9" t="s">
        <v>22</v>
      </c>
      <c r="H939" s="9" t="s">
        <v>22</v>
      </c>
      <c r="I939" s="9" t="s">
        <v>22</v>
      </c>
      <c r="J939" s="50" t="s">
        <v>22</v>
      </c>
      <c r="L939" s="50"/>
      <c r="M939" s="9" t="s">
        <v>23</v>
      </c>
      <c r="N939" s="50" t="s">
        <v>22</v>
      </c>
      <c r="O939" s="50" t="s">
        <v>22</v>
      </c>
      <c r="P939" s="50" t="s">
        <v>22</v>
      </c>
      <c r="Q939" s="50"/>
      <c r="R939" s="50" t="s">
        <v>22</v>
      </c>
      <c r="S939" s="50" t="s">
        <v>22</v>
      </c>
      <c r="T939" s="50">
        <v>1.4</v>
      </c>
      <c r="U939" s="50">
        <v>1.4</v>
      </c>
      <c r="V939" s="9">
        <v>20210321</v>
      </c>
      <c r="W939" s="21"/>
      <c r="X939" s="9">
        <v>2018</v>
      </c>
      <c r="Y939" s="9" t="s">
        <v>328</v>
      </c>
      <c r="Z939" s="9" t="s">
        <v>32</v>
      </c>
      <c r="AB939" s="50"/>
      <c r="AC939" s="9" t="s">
        <v>287</v>
      </c>
      <c r="AD939" s="50" t="s">
        <v>22</v>
      </c>
      <c r="AE939" s="50"/>
      <c r="AF939" s="50" t="s">
        <v>22</v>
      </c>
      <c r="AG939" s="50" t="s">
        <v>22</v>
      </c>
      <c r="AH939" s="50">
        <v>7.0937714646441695E-4</v>
      </c>
      <c r="AI939" s="50">
        <f>6.28*10^-4</f>
        <v>6.2800000000000009E-4</v>
      </c>
      <c r="AJ939" s="50">
        <v>5.2396013530026401E-4</v>
      </c>
      <c r="AK939" s="50">
        <v>3.5696988468260599E-4</v>
      </c>
      <c r="AL939" s="50">
        <v>3.1622776601683702E-4</v>
      </c>
      <c r="AM939" s="43">
        <f t="shared" si="501"/>
        <v>0.50354739811598248</v>
      </c>
      <c r="AN939" s="43">
        <f t="shared" si="502"/>
        <v>0.60353401854821931</v>
      </c>
      <c r="AO939" s="21" t="s">
        <v>1259</v>
      </c>
      <c r="AT939" s="2">
        <f t="shared" si="503"/>
        <v>15</v>
      </c>
      <c r="AU939" s="45">
        <f t="shared" si="504"/>
        <v>-0.48000694295715068</v>
      </c>
      <c r="AV939" s="45" t="e">
        <f t="shared" si="505"/>
        <v>#VALUE!</v>
      </c>
      <c r="AW939" s="45" t="e">
        <f t="shared" si="506"/>
        <v>#VALUE!</v>
      </c>
      <c r="AX939" s="45" t="e">
        <f t="shared" si="507"/>
        <v>#VALUE!</v>
      </c>
      <c r="AY939" s="45" t="e">
        <f t="shared" si="508"/>
        <v>#VALUE!</v>
      </c>
      <c r="AZ939" s="45" t="e">
        <f t="shared" si="509"/>
        <v>#VALUE!</v>
      </c>
      <c r="BA939" s="45" t="e">
        <f t="shared" si="510"/>
        <v>#VALUE!</v>
      </c>
      <c r="BB939" s="45" t="e">
        <f t="shared" si="511"/>
        <v>#NUM!</v>
      </c>
      <c r="BC939" s="45">
        <f t="shared" si="512"/>
        <v>0.14612803567823801</v>
      </c>
      <c r="BD939" s="45" t="e">
        <f t="shared" si="513"/>
        <v>#VALUE!</v>
      </c>
      <c r="BE939" s="45" t="e">
        <f t="shared" si="514"/>
        <v>#VALUE!</v>
      </c>
      <c r="BF939" s="45">
        <f t="shared" si="515"/>
        <v>-0.29795964373719741</v>
      </c>
      <c r="BG939" s="45">
        <f t="shared" si="516"/>
        <v>-0.21929824561403596</v>
      </c>
      <c r="BH939" s="45" t="e">
        <f t="shared" si="517"/>
        <v>#NUM!</v>
      </c>
      <c r="BI939" s="43" t="e">
        <f t="shared" si="518"/>
        <v>#VALUE!</v>
      </c>
      <c r="BL939" s="20"/>
      <c r="BM939" s="50"/>
      <c r="BN939" s="50"/>
      <c r="BO939" s="50"/>
      <c r="BP939" s="50"/>
      <c r="BQ939" s="50"/>
      <c r="BR939" s="50"/>
      <c r="BU939" s="50"/>
      <c r="BV939" s="50"/>
      <c r="BW939" s="50"/>
      <c r="BX939" s="50"/>
      <c r="BY939" s="50"/>
      <c r="BZ939" s="50"/>
      <c r="CA939" s="50" t="s">
        <v>22</v>
      </c>
      <c r="CE939" s="50"/>
      <c r="CF939" s="50"/>
      <c r="CG939" s="50"/>
      <c r="CH939" s="50"/>
      <c r="CI939" s="50">
        <f t="shared" ref="CI939:CI953" si="525">IF(ISNUMBER(CG939),CG939,U939)</f>
        <v>1.4</v>
      </c>
      <c r="CJ939" s="50">
        <f t="shared" ref="CJ939:CJ953" si="526">LOG10(CI939)</f>
        <v>0.14612803567823801</v>
      </c>
      <c r="CL939" s="9" t="s">
        <v>1269</v>
      </c>
      <c r="CM939" s="9" t="s">
        <v>1285</v>
      </c>
      <c r="CN939" s="55" t="s">
        <v>1284</v>
      </c>
      <c r="CO939" s="9" t="s">
        <v>1284</v>
      </c>
    </row>
    <row r="940" spans="1:93" s="9" customFormat="1" x14ac:dyDescent="0.25">
      <c r="A940" s="9" t="s">
        <v>315</v>
      </c>
      <c r="B940" s="50">
        <v>0.31347962382445138</v>
      </c>
      <c r="C940" s="50" t="s">
        <v>22</v>
      </c>
      <c r="D940" s="50" t="s">
        <v>22</v>
      </c>
      <c r="E940" s="50" t="s">
        <v>22</v>
      </c>
      <c r="F940" s="9" t="s">
        <v>22</v>
      </c>
      <c r="G940" s="9" t="s">
        <v>22</v>
      </c>
      <c r="H940" s="9" t="s">
        <v>22</v>
      </c>
      <c r="I940" s="9" t="s">
        <v>22</v>
      </c>
      <c r="J940" s="50" t="s">
        <v>22</v>
      </c>
      <c r="L940" s="50"/>
      <c r="M940" s="9" t="s">
        <v>45</v>
      </c>
      <c r="N940" s="50" t="s">
        <v>22</v>
      </c>
      <c r="O940" s="50" t="s">
        <v>22</v>
      </c>
      <c r="P940" s="50" t="s">
        <v>22</v>
      </c>
      <c r="Q940" s="50"/>
      <c r="R940" s="50" t="s">
        <v>22</v>
      </c>
      <c r="S940" s="50" t="s">
        <v>22</v>
      </c>
      <c r="T940" s="50">
        <v>1.4</v>
      </c>
      <c r="U940" s="50">
        <v>1.4</v>
      </c>
      <c r="V940" s="9">
        <v>20210321</v>
      </c>
      <c r="W940" s="21" t="s">
        <v>1255</v>
      </c>
      <c r="X940" s="9">
        <v>2018</v>
      </c>
      <c r="Y940" s="9" t="s">
        <v>328</v>
      </c>
      <c r="Z940" s="9" t="s">
        <v>1254</v>
      </c>
      <c r="AA940" s="9" t="s">
        <v>625</v>
      </c>
      <c r="AB940" s="50">
        <v>0.33112582781456951</v>
      </c>
      <c r="AC940" s="9" t="s">
        <v>287</v>
      </c>
      <c r="AD940" s="50" t="s">
        <v>22</v>
      </c>
      <c r="AE940" s="50"/>
      <c r="AF940" s="50" t="s">
        <v>22</v>
      </c>
      <c r="AG940" s="50" t="s">
        <v>22</v>
      </c>
      <c r="AH940" s="50">
        <v>7.0937714646441695E-4</v>
      </c>
      <c r="AI940" s="50">
        <f>6.28*10^-4</f>
        <v>6.2800000000000009E-4</v>
      </c>
      <c r="AJ940" s="50">
        <v>5.2396013530026401E-4</v>
      </c>
      <c r="AK940" s="50">
        <v>3.5696988468260599E-4</v>
      </c>
      <c r="AL940" s="50">
        <v>3.1622776601683702E-4</v>
      </c>
      <c r="AM940" s="43">
        <f t="shared" si="501"/>
        <v>0.50354739811598248</v>
      </c>
      <c r="AN940" s="43">
        <f t="shared" si="502"/>
        <v>0.60353401854821931</v>
      </c>
      <c r="AO940" s="21" t="s">
        <v>1259</v>
      </c>
      <c r="AT940" s="2">
        <f t="shared" si="503"/>
        <v>15</v>
      </c>
      <c r="AU940" s="45">
        <f t="shared" si="504"/>
        <v>-0.50379068305718122</v>
      </c>
      <c r="AV940" s="45" t="e">
        <f t="shared" si="505"/>
        <v>#VALUE!</v>
      </c>
      <c r="AW940" s="45" t="e">
        <f t="shared" si="506"/>
        <v>#VALUE!</v>
      </c>
      <c r="AX940" s="45" t="e">
        <f t="shared" si="507"/>
        <v>#VALUE!</v>
      </c>
      <c r="AY940" s="45" t="e">
        <f t="shared" si="508"/>
        <v>#VALUE!</v>
      </c>
      <c r="AZ940" s="45" t="e">
        <f t="shared" si="509"/>
        <v>#VALUE!</v>
      </c>
      <c r="BA940" s="45" t="e">
        <f t="shared" si="510"/>
        <v>#VALUE!</v>
      </c>
      <c r="BB940" s="45" t="e">
        <f t="shared" si="511"/>
        <v>#NUM!</v>
      </c>
      <c r="BC940" s="45">
        <f t="shared" si="512"/>
        <v>0.14612803567823801</v>
      </c>
      <c r="BD940" s="45" t="e">
        <f t="shared" si="513"/>
        <v>#VALUE!</v>
      </c>
      <c r="BE940" s="45" t="e">
        <f t="shared" si="514"/>
        <v>#VALUE!</v>
      </c>
      <c r="BF940" s="45">
        <f t="shared" si="515"/>
        <v>-0.29795964373719741</v>
      </c>
      <c r="BG940" s="45">
        <f t="shared" si="516"/>
        <v>-0.21929824561403596</v>
      </c>
      <c r="BH940" s="45">
        <f t="shared" si="517"/>
        <v>-0.48000694295715068</v>
      </c>
      <c r="BI940" s="43" t="e">
        <f t="shared" si="518"/>
        <v>#VALUE!</v>
      </c>
      <c r="BL940" s="20"/>
      <c r="BM940" s="50"/>
      <c r="BN940" s="50"/>
      <c r="BO940" s="50"/>
      <c r="BP940" s="50"/>
      <c r="BQ940" s="50"/>
      <c r="BR940" s="50"/>
      <c r="BU940" s="50"/>
      <c r="BV940" s="50"/>
      <c r="BW940" s="50"/>
      <c r="BX940" s="50"/>
      <c r="BY940" s="50"/>
      <c r="BZ940" s="50"/>
      <c r="CA940" s="50" t="s">
        <v>22</v>
      </c>
      <c r="CE940" s="50"/>
      <c r="CF940" s="50"/>
      <c r="CG940" s="50"/>
      <c r="CH940" s="50"/>
      <c r="CI940" s="50">
        <f t="shared" si="525"/>
        <v>1.4</v>
      </c>
      <c r="CJ940" s="50">
        <f t="shared" si="526"/>
        <v>0.14612803567823801</v>
      </c>
      <c r="CL940" s="9" t="s">
        <v>1269</v>
      </c>
      <c r="CM940" s="9" t="s">
        <v>1285</v>
      </c>
      <c r="CN940" s="55" t="s">
        <v>1284</v>
      </c>
      <c r="CO940" s="9" t="s">
        <v>1284</v>
      </c>
    </row>
    <row r="941" spans="1:93" s="9" customFormat="1" x14ac:dyDescent="0.25">
      <c r="A941" s="9" t="s">
        <v>315</v>
      </c>
      <c r="B941" s="50">
        <v>9.3457943925233627E-2</v>
      </c>
      <c r="C941" s="50" t="s">
        <v>22</v>
      </c>
      <c r="D941" s="50" t="s">
        <v>22</v>
      </c>
      <c r="E941" s="50" t="s">
        <v>22</v>
      </c>
      <c r="F941" s="9" t="s">
        <v>22</v>
      </c>
      <c r="G941" s="9" t="s">
        <v>22</v>
      </c>
      <c r="H941" s="9" t="s">
        <v>22</v>
      </c>
      <c r="I941" s="9" t="s">
        <v>22</v>
      </c>
      <c r="J941" s="50" t="s">
        <v>22</v>
      </c>
      <c r="L941" s="50"/>
      <c r="M941" s="9" t="s">
        <v>45</v>
      </c>
      <c r="N941" s="50" t="s">
        <v>22</v>
      </c>
      <c r="O941" s="50" t="s">
        <v>22</v>
      </c>
      <c r="P941" s="50" t="s">
        <v>22</v>
      </c>
      <c r="Q941" s="50"/>
      <c r="R941" s="50" t="s">
        <v>22</v>
      </c>
      <c r="S941" s="50" t="s">
        <v>22</v>
      </c>
      <c r="T941" s="50">
        <v>1.4</v>
      </c>
      <c r="U941" s="50">
        <v>1.4</v>
      </c>
      <c r="V941" s="9">
        <v>20210321</v>
      </c>
      <c r="W941" s="21" t="s">
        <v>1256</v>
      </c>
      <c r="X941" s="9">
        <v>2018</v>
      </c>
      <c r="Y941" s="9" t="s">
        <v>328</v>
      </c>
      <c r="Z941" s="9" t="s">
        <v>1254</v>
      </c>
      <c r="AA941" s="9" t="s">
        <v>625</v>
      </c>
      <c r="AB941" s="50">
        <v>0.33112582781456951</v>
      </c>
      <c r="AC941" s="9" t="s">
        <v>287</v>
      </c>
      <c r="AD941" s="50" t="s">
        <v>22</v>
      </c>
      <c r="AE941" s="50"/>
      <c r="AF941" s="50" t="s">
        <v>22</v>
      </c>
      <c r="AG941" s="50" t="s">
        <v>22</v>
      </c>
      <c r="AH941" s="50">
        <v>2.5839297473397999E-3</v>
      </c>
      <c r="AI941" s="50">
        <v>2.3833783085629601E-3</v>
      </c>
      <c r="AJ941" s="50">
        <v>1.9872184654880498E-3</v>
      </c>
      <c r="AK941" s="50">
        <v>1.4096873644493101E-3</v>
      </c>
      <c r="AL941" s="50">
        <v>1.10626621433007E-3</v>
      </c>
      <c r="AM941" s="43">
        <f t="shared" si="501"/>
        <v>0.46415888336127586</v>
      </c>
      <c r="AN941" s="43">
        <f t="shared" si="502"/>
        <v>0.55669078842741992</v>
      </c>
      <c r="AO941" s="21" t="s">
        <v>1259</v>
      </c>
      <c r="AT941" s="2">
        <f t="shared" si="503"/>
        <v>15</v>
      </c>
      <c r="AU941" s="45">
        <f t="shared" si="504"/>
        <v>-1.0293837776852097</v>
      </c>
      <c r="AV941" s="45" t="e">
        <f t="shared" si="505"/>
        <v>#VALUE!</v>
      </c>
      <c r="AW941" s="45" t="e">
        <f t="shared" si="506"/>
        <v>#VALUE!</v>
      </c>
      <c r="AX941" s="45" t="e">
        <f t="shared" si="507"/>
        <v>#VALUE!</v>
      </c>
      <c r="AY941" s="45" t="e">
        <f t="shared" si="508"/>
        <v>#VALUE!</v>
      </c>
      <c r="AZ941" s="45" t="e">
        <f t="shared" si="509"/>
        <v>#VALUE!</v>
      </c>
      <c r="BA941" s="45" t="e">
        <f t="shared" si="510"/>
        <v>#VALUE!</v>
      </c>
      <c r="BB941" s="45" t="e">
        <f t="shared" si="511"/>
        <v>#NUM!</v>
      </c>
      <c r="BC941" s="45">
        <f t="shared" si="512"/>
        <v>0.14612803567823801</v>
      </c>
      <c r="BD941" s="45" t="e">
        <f t="shared" si="513"/>
        <v>#VALUE!</v>
      </c>
      <c r="BE941" s="45" t="e">
        <f t="shared" si="514"/>
        <v>#VALUE!</v>
      </c>
      <c r="BF941" s="45">
        <f t="shared" si="515"/>
        <v>-0.3333333333333352</v>
      </c>
      <c r="BG941" s="45">
        <f t="shared" si="516"/>
        <v>-0.25438596491228099</v>
      </c>
      <c r="BH941" s="45">
        <f t="shared" si="517"/>
        <v>-0.48000694295715068</v>
      </c>
      <c r="BI941" s="43" t="e">
        <f t="shared" si="518"/>
        <v>#VALUE!</v>
      </c>
      <c r="BL941" s="20"/>
      <c r="BM941" s="50"/>
      <c r="BN941" s="50"/>
      <c r="BO941" s="50"/>
      <c r="BP941" s="50"/>
      <c r="BQ941" s="50"/>
      <c r="BR941" s="50"/>
      <c r="BU941" s="50"/>
      <c r="BV941" s="50"/>
      <c r="BW941" s="50"/>
      <c r="BX941" s="50"/>
      <c r="BY941" s="50"/>
      <c r="BZ941" s="50"/>
      <c r="CA941" s="50" t="s">
        <v>22</v>
      </c>
      <c r="CE941" s="50"/>
      <c r="CF941" s="50"/>
      <c r="CG941" s="50"/>
      <c r="CH941" s="50"/>
      <c r="CI941" s="50">
        <f t="shared" si="525"/>
        <v>1.4</v>
      </c>
      <c r="CJ941" s="50">
        <f t="shared" si="526"/>
        <v>0.14612803567823801</v>
      </c>
      <c r="CL941" s="9" t="s">
        <v>1269</v>
      </c>
      <c r="CM941" s="9" t="s">
        <v>1285</v>
      </c>
      <c r="CN941" s="55" t="s">
        <v>1284</v>
      </c>
      <c r="CO941" s="9" t="s">
        <v>1284</v>
      </c>
    </row>
    <row r="942" spans="1:93" s="9" customFormat="1" x14ac:dyDescent="0.25">
      <c r="A942" s="9" t="s">
        <v>315</v>
      </c>
      <c r="B942" s="50">
        <v>7.8740157480314946E-2</v>
      </c>
      <c r="C942" s="50" t="s">
        <v>22</v>
      </c>
      <c r="D942" s="50" t="s">
        <v>22</v>
      </c>
      <c r="E942" s="50" t="s">
        <v>22</v>
      </c>
      <c r="F942" s="9" t="s">
        <v>22</v>
      </c>
      <c r="G942" s="9" t="s">
        <v>22</v>
      </c>
      <c r="H942" s="9" t="s">
        <v>22</v>
      </c>
      <c r="I942" s="9" t="s">
        <v>22</v>
      </c>
      <c r="J942" s="50" t="s">
        <v>22</v>
      </c>
      <c r="L942" s="50"/>
      <c r="M942" s="9" t="s">
        <v>45</v>
      </c>
      <c r="N942" s="50" t="s">
        <v>22</v>
      </c>
      <c r="O942" s="50" t="s">
        <v>22</v>
      </c>
      <c r="P942" s="50" t="s">
        <v>22</v>
      </c>
      <c r="Q942" s="50"/>
      <c r="R942" s="50" t="s">
        <v>22</v>
      </c>
      <c r="S942" s="50" t="s">
        <v>22</v>
      </c>
      <c r="T942" s="50">
        <v>1.4</v>
      </c>
      <c r="U942" s="50">
        <v>1.4</v>
      </c>
      <c r="V942" s="9">
        <v>20210321</v>
      </c>
      <c r="W942" s="21" t="s">
        <v>1257</v>
      </c>
      <c r="X942" s="9">
        <v>2018</v>
      </c>
      <c r="Y942" s="9" t="s">
        <v>328</v>
      </c>
      <c r="Z942" s="9" t="s">
        <v>1254</v>
      </c>
      <c r="AA942" s="9" t="s">
        <v>625</v>
      </c>
      <c r="AB942" s="50">
        <v>0.33112582781456951</v>
      </c>
      <c r="AC942" s="9" t="s">
        <v>287</v>
      </c>
      <c r="AD942" s="50" t="s">
        <v>22</v>
      </c>
      <c r="AE942" s="50"/>
      <c r="AF942" s="50" t="s">
        <v>22</v>
      </c>
      <c r="AG942" s="50" t="s">
        <v>22</v>
      </c>
      <c r="AH942" s="50">
        <v>2.1983926488622898E-3</v>
      </c>
      <c r="AI942" s="50">
        <v>2.1113556925396802E-3</v>
      </c>
      <c r="AJ942" s="50">
        <v>2.0277646319126499E-3</v>
      </c>
      <c r="AK942" s="50">
        <v>1.7252105499420401E-3</v>
      </c>
      <c r="AL942" s="50">
        <v>1.35387618002254E-3</v>
      </c>
      <c r="AM942" s="43">
        <f t="shared" si="501"/>
        <v>0.64123547955768978</v>
      </c>
      <c r="AN942" s="43">
        <f t="shared" si="502"/>
        <v>0.66766929391875351</v>
      </c>
      <c r="AO942" s="21" t="s">
        <v>1259</v>
      </c>
      <c r="AT942" s="2">
        <f t="shared" si="503"/>
        <v>15</v>
      </c>
      <c r="AU942" s="45">
        <f t="shared" si="504"/>
        <v>-1.103803720955957</v>
      </c>
      <c r="AV942" s="45" t="e">
        <f t="shared" si="505"/>
        <v>#VALUE!</v>
      </c>
      <c r="AW942" s="45" t="e">
        <f t="shared" si="506"/>
        <v>#VALUE!</v>
      </c>
      <c r="AX942" s="45" t="e">
        <f t="shared" si="507"/>
        <v>#VALUE!</v>
      </c>
      <c r="AY942" s="45" t="e">
        <f t="shared" si="508"/>
        <v>#VALUE!</v>
      </c>
      <c r="AZ942" s="45" t="e">
        <f t="shared" si="509"/>
        <v>#VALUE!</v>
      </c>
      <c r="BA942" s="45" t="e">
        <f t="shared" si="510"/>
        <v>#VALUE!</v>
      </c>
      <c r="BB942" s="45" t="e">
        <f t="shared" si="511"/>
        <v>#NUM!</v>
      </c>
      <c r="BC942" s="45">
        <f t="shared" si="512"/>
        <v>0.14612803567823801</v>
      </c>
      <c r="BD942" s="45" t="e">
        <f t="shared" si="513"/>
        <v>#VALUE!</v>
      </c>
      <c r="BE942" s="45" t="e">
        <f t="shared" si="514"/>
        <v>#VALUE!</v>
      </c>
      <c r="BF942" s="45">
        <f t="shared" si="515"/>
        <v>-0.19298245614035234</v>
      </c>
      <c r="BG942" s="45">
        <f t="shared" si="516"/>
        <v>-0.17543859649123</v>
      </c>
      <c r="BH942" s="45">
        <f t="shared" si="517"/>
        <v>-0.48000694295715068</v>
      </c>
      <c r="BI942" s="43" t="e">
        <f t="shared" si="518"/>
        <v>#VALUE!</v>
      </c>
      <c r="BL942" s="20"/>
      <c r="BM942" s="50"/>
      <c r="BN942" s="50"/>
      <c r="BO942" s="50"/>
      <c r="BP942" s="50"/>
      <c r="BQ942" s="50"/>
      <c r="BR942" s="50"/>
      <c r="BU942" s="50"/>
      <c r="BV942" s="50"/>
      <c r="BW942" s="50"/>
      <c r="BX942" s="50"/>
      <c r="BY942" s="50"/>
      <c r="BZ942" s="50"/>
      <c r="CA942" s="50" t="s">
        <v>22</v>
      </c>
      <c r="CE942" s="50"/>
      <c r="CF942" s="50"/>
      <c r="CG942" s="50"/>
      <c r="CH942" s="50"/>
      <c r="CI942" s="50">
        <f t="shared" si="525"/>
        <v>1.4</v>
      </c>
      <c r="CJ942" s="50">
        <f t="shared" si="526"/>
        <v>0.14612803567823801</v>
      </c>
      <c r="CL942" s="9" t="s">
        <v>1269</v>
      </c>
      <c r="CM942" s="9" t="s">
        <v>1285</v>
      </c>
      <c r="CN942" s="55" t="s">
        <v>1284</v>
      </c>
      <c r="CO942" s="9" t="s">
        <v>1284</v>
      </c>
    </row>
    <row r="943" spans="1:93" s="9" customFormat="1" x14ac:dyDescent="0.25">
      <c r="A943" s="9" t="s">
        <v>315</v>
      </c>
      <c r="B943" s="50">
        <v>7.3529411764705871E-2</v>
      </c>
      <c r="C943" s="50" t="s">
        <v>22</v>
      </c>
      <c r="D943" s="50" t="s">
        <v>22</v>
      </c>
      <c r="E943" s="50" t="s">
        <v>22</v>
      </c>
      <c r="F943" s="9" t="s">
        <v>22</v>
      </c>
      <c r="G943" s="9" t="s">
        <v>22</v>
      </c>
      <c r="H943" s="9" t="s">
        <v>22</v>
      </c>
      <c r="I943" s="9" t="s">
        <v>22</v>
      </c>
      <c r="J943" s="50" t="s">
        <v>22</v>
      </c>
      <c r="L943" s="50"/>
      <c r="M943" s="9" t="s">
        <v>45</v>
      </c>
      <c r="N943" s="50" t="s">
        <v>22</v>
      </c>
      <c r="O943" s="50" t="s">
        <v>22</v>
      </c>
      <c r="P943" s="50" t="s">
        <v>22</v>
      </c>
      <c r="Q943" s="50"/>
      <c r="R943" s="50" t="s">
        <v>22</v>
      </c>
      <c r="S943" s="50" t="s">
        <v>22</v>
      </c>
      <c r="T943" s="50">
        <v>1.4</v>
      </c>
      <c r="U943" s="50">
        <v>1.4</v>
      </c>
      <c r="V943" s="9">
        <v>20210321</v>
      </c>
      <c r="W943" s="21" t="s">
        <v>1258</v>
      </c>
      <c r="X943" s="9">
        <v>2018</v>
      </c>
      <c r="Y943" s="9" t="s">
        <v>328</v>
      </c>
      <c r="Z943" s="9" t="s">
        <v>1254</v>
      </c>
      <c r="AA943" s="9" t="s">
        <v>625</v>
      </c>
      <c r="AB943" s="50">
        <v>0.33112582781456951</v>
      </c>
      <c r="AC943" s="9" t="s">
        <v>287</v>
      </c>
      <c r="AD943" s="50" t="s">
        <v>22</v>
      </c>
      <c r="AE943" s="50"/>
      <c r="AF943" s="50" t="s">
        <v>22</v>
      </c>
      <c r="AG943" s="50" t="s">
        <v>22</v>
      </c>
      <c r="AH943" s="50">
        <v>2.1983926488622898E-3</v>
      </c>
      <c r="AI943" s="50">
        <v>2.1113556925396802E-3</v>
      </c>
      <c r="AJ943" s="50">
        <v>2.0277646319126499E-3</v>
      </c>
      <c r="AK943" s="50">
        <v>1.7252105499420401E-3</v>
      </c>
      <c r="AL943" s="50">
        <v>1.35387618002254E-3</v>
      </c>
      <c r="AM943" s="43">
        <f t="shared" si="501"/>
        <v>0.64123547955768978</v>
      </c>
      <c r="AN943" s="43">
        <f t="shared" si="502"/>
        <v>0.66766929391875351</v>
      </c>
      <c r="AO943" s="21" t="s">
        <v>1259</v>
      </c>
      <c r="AT943" s="2">
        <f t="shared" si="503"/>
        <v>15</v>
      </c>
      <c r="AU943" s="45">
        <f t="shared" si="504"/>
        <v>-1.1335389083702176</v>
      </c>
      <c r="AV943" s="45" t="e">
        <f t="shared" si="505"/>
        <v>#VALUE!</v>
      </c>
      <c r="AW943" s="45" t="e">
        <f t="shared" si="506"/>
        <v>#VALUE!</v>
      </c>
      <c r="AX943" s="45" t="e">
        <f t="shared" si="507"/>
        <v>#VALUE!</v>
      </c>
      <c r="AY943" s="45" t="e">
        <f t="shared" si="508"/>
        <v>#VALUE!</v>
      </c>
      <c r="AZ943" s="45" t="e">
        <f t="shared" si="509"/>
        <v>#VALUE!</v>
      </c>
      <c r="BA943" s="45" t="e">
        <f t="shared" si="510"/>
        <v>#VALUE!</v>
      </c>
      <c r="BB943" s="45" t="e">
        <f t="shared" si="511"/>
        <v>#NUM!</v>
      </c>
      <c r="BC943" s="45">
        <f t="shared" si="512"/>
        <v>0.14612803567823801</v>
      </c>
      <c r="BD943" s="45" t="e">
        <f t="shared" si="513"/>
        <v>#VALUE!</v>
      </c>
      <c r="BE943" s="45" t="e">
        <f t="shared" si="514"/>
        <v>#VALUE!</v>
      </c>
      <c r="BF943" s="45">
        <f t="shared" si="515"/>
        <v>-0.19298245614035234</v>
      </c>
      <c r="BG943" s="45">
        <f t="shared" si="516"/>
        <v>-0.17543859649123</v>
      </c>
      <c r="BH943" s="45">
        <f t="shared" si="517"/>
        <v>-0.48000694295715068</v>
      </c>
      <c r="BI943" s="43" t="e">
        <f t="shared" si="518"/>
        <v>#VALUE!</v>
      </c>
      <c r="BL943" s="20"/>
      <c r="BM943" s="50"/>
      <c r="BN943" s="50"/>
      <c r="BO943" s="50"/>
      <c r="BP943" s="50"/>
      <c r="BQ943" s="50"/>
      <c r="BR943" s="50"/>
      <c r="BU943" s="50"/>
      <c r="BV943" s="50"/>
      <c r="BW943" s="50"/>
      <c r="BX943" s="50"/>
      <c r="BY943" s="50"/>
      <c r="BZ943" s="50"/>
      <c r="CA943" s="50" t="s">
        <v>22</v>
      </c>
      <c r="CE943" s="50"/>
      <c r="CF943" s="50"/>
      <c r="CG943" s="50"/>
      <c r="CH943" s="50"/>
      <c r="CI943" s="50">
        <f t="shared" si="525"/>
        <v>1.4</v>
      </c>
      <c r="CJ943" s="50">
        <f t="shared" si="526"/>
        <v>0.14612803567823801</v>
      </c>
      <c r="CL943" s="9" t="s">
        <v>1269</v>
      </c>
      <c r="CM943" s="9" t="s">
        <v>1285</v>
      </c>
      <c r="CN943" s="55" t="s">
        <v>1284</v>
      </c>
      <c r="CO943" s="9" t="s">
        <v>1284</v>
      </c>
    </row>
    <row r="944" spans="1:93" s="9" customFormat="1" x14ac:dyDescent="0.25">
      <c r="A944" s="9" t="s">
        <v>315</v>
      </c>
      <c r="B944" s="50">
        <v>1.785714285714286E-2</v>
      </c>
      <c r="C944" s="50" t="s">
        <v>22</v>
      </c>
      <c r="D944" s="50" t="s">
        <v>22</v>
      </c>
      <c r="E944" s="50" t="s">
        <v>22</v>
      </c>
      <c r="F944" s="9" t="s">
        <v>22</v>
      </c>
      <c r="G944" s="9" t="s">
        <v>22</v>
      </c>
      <c r="H944" s="9" t="s">
        <v>22</v>
      </c>
      <c r="I944" s="9" t="s">
        <v>22</v>
      </c>
      <c r="J944" s="50" t="s">
        <v>22</v>
      </c>
      <c r="L944" s="50"/>
      <c r="M944" s="9" t="s">
        <v>23</v>
      </c>
      <c r="N944" s="50" t="s">
        <v>22</v>
      </c>
      <c r="O944" s="50" t="s">
        <v>22</v>
      </c>
      <c r="P944" s="50" t="s">
        <v>22</v>
      </c>
      <c r="Q944" s="50"/>
      <c r="R944" s="50" t="s">
        <v>22</v>
      </c>
      <c r="S944" s="50" t="s">
        <v>22</v>
      </c>
      <c r="T944" s="50">
        <v>1.4</v>
      </c>
      <c r="U944" s="50">
        <v>1.4</v>
      </c>
      <c r="V944" s="9">
        <v>20210321</v>
      </c>
      <c r="W944" s="21"/>
      <c r="X944" s="9">
        <v>2018</v>
      </c>
      <c r="Y944" s="9" t="s">
        <v>328</v>
      </c>
      <c r="Z944" s="9" t="s">
        <v>32</v>
      </c>
      <c r="AB944" s="50"/>
      <c r="AC944" s="9" t="s">
        <v>514</v>
      </c>
      <c r="AD944" s="50" t="s">
        <v>22</v>
      </c>
      <c r="AE944" s="50"/>
      <c r="AF944" s="50" t="s">
        <v>22</v>
      </c>
      <c r="AG944" s="50" t="s">
        <v>22</v>
      </c>
      <c r="AH944" s="50" t="s">
        <v>22</v>
      </c>
      <c r="AI944" s="50" t="s">
        <v>22</v>
      </c>
      <c r="AJ944" s="50" t="s">
        <v>22</v>
      </c>
      <c r="AK944" s="50" t="s">
        <v>22</v>
      </c>
      <c r="AL944" s="50" t="s">
        <v>22</v>
      </c>
      <c r="AM944" s="43" t="e">
        <f t="shared" si="501"/>
        <v>#VALUE!</v>
      </c>
      <c r="AN944" s="43" t="e">
        <f t="shared" si="502"/>
        <v>#VALUE!</v>
      </c>
      <c r="AO944" s="21" t="s">
        <v>1259</v>
      </c>
      <c r="AT944" s="2">
        <f t="shared" si="503"/>
        <v>15</v>
      </c>
      <c r="AU944" s="45">
        <f t="shared" si="504"/>
        <v>-1.7481880270062005</v>
      </c>
      <c r="AV944" s="45" t="e">
        <f t="shared" si="505"/>
        <v>#VALUE!</v>
      </c>
      <c r="AW944" s="45" t="e">
        <f t="shared" si="506"/>
        <v>#VALUE!</v>
      </c>
      <c r="AX944" s="45" t="e">
        <f t="shared" si="507"/>
        <v>#VALUE!</v>
      </c>
      <c r="AY944" s="45" t="e">
        <f t="shared" si="508"/>
        <v>#VALUE!</v>
      </c>
      <c r="AZ944" s="45" t="e">
        <f t="shared" si="509"/>
        <v>#VALUE!</v>
      </c>
      <c r="BA944" s="45" t="e">
        <f t="shared" si="510"/>
        <v>#VALUE!</v>
      </c>
      <c r="BB944" s="45" t="e">
        <f t="shared" si="511"/>
        <v>#NUM!</v>
      </c>
      <c r="BC944" s="45">
        <f t="shared" si="512"/>
        <v>0.14612803567823801</v>
      </c>
      <c r="BD944" s="45" t="e">
        <f t="shared" si="513"/>
        <v>#VALUE!</v>
      </c>
      <c r="BE944" s="45" t="e">
        <f t="shared" si="514"/>
        <v>#VALUE!</v>
      </c>
      <c r="BF944" s="45" t="e">
        <f t="shared" si="515"/>
        <v>#VALUE!</v>
      </c>
      <c r="BG944" s="45" t="e">
        <f t="shared" si="516"/>
        <v>#VALUE!</v>
      </c>
      <c r="BH944" s="45" t="e">
        <f t="shared" si="517"/>
        <v>#NUM!</v>
      </c>
      <c r="BI944" s="43" t="e">
        <f t="shared" si="518"/>
        <v>#VALUE!</v>
      </c>
      <c r="BL944" s="20"/>
      <c r="BM944" s="50"/>
      <c r="BN944" s="50"/>
      <c r="BO944" s="50"/>
      <c r="BP944" s="50"/>
      <c r="BQ944" s="50"/>
      <c r="BR944" s="50"/>
      <c r="BU944" s="50"/>
      <c r="BV944" s="50"/>
      <c r="BW944" s="50"/>
      <c r="BX944" s="50"/>
      <c r="BY944" s="50"/>
      <c r="BZ944" s="50"/>
      <c r="CA944" s="50" t="s">
        <v>22</v>
      </c>
      <c r="CE944" s="50"/>
      <c r="CF944" s="50"/>
      <c r="CG944" s="50"/>
      <c r="CH944" s="50"/>
      <c r="CI944" s="50">
        <f t="shared" si="525"/>
        <v>1.4</v>
      </c>
      <c r="CJ944" s="50">
        <f t="shared" si="526"/>
        <v>0.14612803567823801</v>
      </c>
      <c r="CL944" s="9" t="s">
        <v>1269</v>
      </c>
      <c r="CM944" s="9" t="s">
        <v>1285</v>
      </c>
      <c r="CN944" s="55" t="s">
        <v>1284</v>
      </c>
      <c r="CO944" s="9" t="s">
        <v>1284</v>
      </c>
    </row>
    <row r="945" spans="1:93" s="9" customFormat="1" x14ac:dyDescent="0.25">
      <c r="A945" s="9" t="s">
        <v>315</v>
      </c>
      <c r="B945" s="50">
        <v>2.7932960893854743E-2</v>
      </c>
      <c r="C945" s="50" t="s">
        <v>22</v>
      </c>
      <c r="D945" s="50" t="s">
        <v>22</v>
      </c>
      <c r="E945" s="50" t="s">
        <v>22</v>
      </c>
      <c r="F945" s="9" t="s">
        <v>22</v>
      </c>
      <c r="G945" s="9" t="s">
        <v>22</v>
      </c>
      <c r="H945" s="9" t="s">
        <v>22</v>
      </c>
      <c r="I945" s="9" t="s">
        <v>22</v>
      </c>
      <c r="J945" s="50" t="s">
        <v>22</v>
      </c>
      <c r="L945" s="50"/>
      <c r="M945" s="9" t="s">
        <v>45</v>
      </c>
      <c r="N945" s="50" t="s">
        <v>22</v>
      </c>
      <c r="O945" s="50" t="s">
        <v>22</v>
      </c>
      <c r="P945" s="50" t="s">
        <v>22</v>
      </c>
      <c r="Q945" s="50"/>
      <c r="R945" s="50" t="s">
        <v>22</v>
      </c>
      <c r="S945" s="50" t="s">
        <v>22</v>
      </c>
      <c r="T945" s="50">
        <v>1.4</v>
      </c>
      <c r="U945" s="50">
        <v>1.4</v>
      </c>
      <c r="V945" s="9">
        <v>20210321</v>
      </c>
      <c r="W945" s="21" t="s">
        <v>1255</v>
      </c>
      <c r="X945" s="9">
        <v>2018</v>
      </c>
      <c r="Y945" s="9" t="s">
        <v>328</v>
      </c>
      <c r="Z945" s="9" t="s">
        <v>1254</v>
      </c>
      <c r="AA945" s="9" t="s">
        <v>625</v>
      </c>
      <c r="AB945" s="50">
        <v>1.785714285714286E-2</v>
      </c>
      <c r="AC945" s="9" t="s">
        <v>514</v>
      </c>
      <c r="AD945" s="50" t="s">
        <v>22</v>
      </c>
      <c r="AE945" s="50"/>
      <c r="AF945" s="50" t="s">
        <v>22</v>
      </c>
      <c r="AG945" s="50" t="s">
        <v>22</v>
      </c>
      <c r="AH945" s="50" t="s">
        <v>22</v>
      </c>
      <c r="AI945" s="50" t="s">
        <v>22</v>
      </c>
      <c r="AJ945" s="50" t="s">
        <v>22</v>
      </c>
      <c r="AK945" s="50" t="s">
        <v>22</v>
      </c>
      <c r="AL945" s="50" t="s">
        <v>22</v>
      </c>
      <c r="AM945" s="43" t="e">
        <f t="shared" si="501"/>
        <v>#VALUE!</v>
      </c>
      <c r="AN945" s="43" t="e">
        <f t="shared" si="502"/>
        <v>#VALUE!</v>
      </c>
      <c r="AO945" s="21" t="s">
        <v>1259</v>
      </c>
      <c r="AT945" s="2">
        <f t="shared" si="503"/>
        <v>15</v>
      </c>
      <c r="AU945" s="45">
        <f t="shared" si="504"/>
        <v>-1.5538830266438743</v>
      </c>
      <c r="AV945" s="45" t="e">
        <f t="shared" si="505"/>
        <v>#VALUE!</v>
      </c>
      <c r="AW945" s="45" t="e">
        <f t="shared" si="506"/>
        <v>#VALUE!</v>
      </c>
      <c r="AX945" s="45" t="e">
        <f t="shared" si="507"/>
        <v>#VALUE!</v>
      </c>
      <c r="AY945" s="45" t="e">
        <f t="shared" si="508"/>
        <v>#VALUE!</v>
      </c>
      <c r="AZ945" s="45" t="e">
        <f t="shared" si="509"/>
        <v>#VALUE!</v>
      </c>
      <c r="BA945" s="45" t="e">
        <f t="shared" si="510"/>
        <v>#VALUE!</v>
      </c>
      <c r="BB945" s="45" t="e">
        <f t="shared" si="511"/>
        <v>#NUM!</v>
      </c>
      <c r="BC945" s="45">
        <f t="shared" si="512"/>
        <v>0.14612803567823801</v>
      </c>
      <c r="BD945" s="45" t="e">
        <f t="shared" si="513"/>
        <v>#VALUE!</v>
      </c>
      <c r="BE945" s="45" t="e">
        <f t="shared" si="514"/>
        <v>#VALUE!</v>
      </c>
      <c r="BF945" s="45" t="e">
        <f t="shared" si="515"/>
        <v>#VALUE!</v>
      </c>
      <c r="BG945" s="45" t="e">
        <f t="shared" si="516"/>
        <v>#VALUE!</v>
      </c>
      <c r="BH945" s="45">
        <f t="shared" si="517"/>
        <v>-1.7481880270062005</v>
      </c>
      <c r="BI945" s="43" t="e">
        <f t="shared" si="518"/>
        <v>#VALUE!</v>
      </c>
      <c r="BL945" s="20"/>
      <c r="BM945" s="50"/>
      <c r="BN945" s="50"/>
      <c r="BO945" s="50"/>
      <c r="BP945" s="50"/>
      <c r="BQ945" s="50"/>
      <c r="BR945" s="50"/>
      <c r="BU945" s="50"/>
      <c r="BV945" s="50"/>
      <c r="BW945" s="50"/>
      <c r="BX945" s="50"/>
      <c r="BY945" s="50"/>
      <c r="BZ945" s="50"/>
      <c r="CA945" s="50" t="s">
        <v>22</v>
      </c>
      <c r="CE945" s="50"/>
      <c r="CF945" s="50"/>
      <c r="CG945" s="50"/>
      <c r="CH945" s="50"/>
      <c r="CI945" s="50">
        <f t="shared" si="525"/>
        <v>1.4</v>
      </c>
      <c r="CJ945" s="50">
        <f t="shared" si="526"/>
        <v>0.14612803567823801</v>
      </c>
      <c r="CL945" s="9" t="s">
        <v>1269</v>
      </c>
      <c r="CM945" s="9" t="s">
        <v>1285</v>
      </c>
      <c r="CN945" s="55" t="s">
        <v>1284</v>
      </c>
      <c r="CO945" s="9" t="s">
        <v>1284</v>
      </c>
    </row>
    <row r="946" spans="1:93" s="9" customFormat="1" x14ac:dyDescent="0.25">
      <c r="A946" s="9" t="s">
        <v>315</v>
      </c>
      <c r="B946" s="50">
        <v>2.9940119760479042E-2</v>
      </c>
      <c r="C946" s="50" t="s">
        <v>22</v>
      </c>
      <c r="D946" s="50" t="s">
        <v>22</v>
      </c>
      <c r="E946" s="50" t="s">
        <v>22</v>
      </c>
      <c r="F946" s="9" t="s">
        <v>22</v>
      </c>
      <c r="G946" s="9" t="s">
        <v>22</v>
      </c>
      <c r="H946" s="9" t="s">
        <v>22</v>
      </c>
      <c r="I946" s="9" t="s">
        <v>22</v>
      </c>
      <c r="J946" s="50" t="s">
        <v>22</v>
      </c>
      <c r="L946" s="50"/>
      <c r="M946" s="9" t="s">
        <v>45</v>
      </c>
      <c r="N946" s="50" t="s">
        <v>22</v>
      </c>
      <c r="O946" s="50" t="s">
        <v>22</v>
      </c>
      <c r="P946" s="50" t="s">
        <v>22</v>
      </c>
      <c r="Q946" s="50"/>
      <c r="R946" s="50" t="s">
        <v>22</v>
      </c>
      <c r="S946" s="50" t="s">
        <v>22</v>
      </c>
      <c r="T946" s="50">
        <v>1.4</v>
      </c>
      <c r="U946" s="50">
        <v>1.4</v>
      </c>
      <c r="V946" s="9">
        <v>20210321</v>
      </c>
      <c r="W946" s="21" t="s">
        <v>1256</v>
      </c>
      <c r="X946" s="9">
        <v>2018</v>
      </c>
      <c r="Y946" s="9" t="s">
        <v>328</v>
      </c>
      <c r="Z946" s="9" t="s">
        <v>1254</v>
      </c>
      <c r="AA946" s="9" t="s">
        <v>625</v>
      </c>
      <c r="AB946" s="50">
        <v>1.785714285714286E-2</v>
      </c>
      <c r="AC946" s="9" t="s">
        <v>514</v>
      </c>
      <c r="AD946" s="50" t="s">
        <v>22</v>
      </c>
      <c r="AE946" s="50"/>
      <c r="AF946" s="50" t="s">
        <v>22</v>
      </c>
      <c r="AG946" s="50" t="s">
        <v>22</v>
      </c>
      <c r="AH946" s="50" t="s">
        <v>22</v>
      </c>
      <c r="AI946" s="50" t="s">
        <v>22</v>
      </c>
      <c r="AJ946" s="50" t="s">
        <v>22</v>
      </c>
      <c r="AK946" s="50" t="s">
        <v>22</v>
      </c>
      <c r="AL946" s="50" t="s">
        <v>22</v>
      </c>
      <c r="AM946" s="43" t="e">
        <f t="shared" si="501"/>
        <v>#VALUE!</v>
      </c>
      <c r="AN946" s="43" t="e">
        <f t="shared" si="502"/>
        <v>#VALUE!</v>
      </c>
      <c r="AO946" s="21" t="s">
        <v>1259</v>
      </c>
      <c r="AT946" s="2">
        <f t="shared" si="503"/>
        <v>15</v>
      </c>
      <c r="AU946" s="45">
        <f t="shared" si="504"/>
        <v>-1.5237464668115646</v>
      </c>
      <c r="AV946" s="45" t="e">
        <f t="shared" si="505"/>
        <v>#VALUE!</v>
      </c>
      <c r="AW946" s="45" t="e">
        <f t="shared" si="506"/>
        <v>#VALUE!</v>
      </c>
      <c r="AX946" s="45" t="e">
        <f t="shared" si="507"/>
        <v>#VALUE!</v>
      </c>
      <c r="AY946" s="45" t="e">
        <f t="shared" si="508"/>
        <v>#VALUE!</v>
      </c>
      <c r="AZ946" s="45" t="e">
        <f t="shared" si="509"/>
        <v>#VALUE!</v>
      </c>
      <c r="BA946" s="45" t="e">
        <f t="shared" si="510"/>
        <v>#VALUE!</v>
      </c>
      <c r="BB946" s="45" t="e">
        <f t="shared" si="511"/>
        <v>#NUM!</v>
      </c>
      <c r="BC946" s="45">
        <f t="shared" si="512"/>
        <v>0.14612803567823801</v>
      </c>
      <c r="BD946" s="45" t="e">
        <f t="shared" si="513"/>
        <v>#VALUE!</v>
      </c>
      <c r="BE946" s="45" t="e">
        <f t="shared" si="514"/>
        <v>#VALUE!</v>
      </c>
      <c r="BF946" s="45" t="e">
        <f t="shared" si="515"/>
        <v>#VALUE!</v>
      </c>
      <c r="BG946" s="45" t="e">
        <f t="shared" si="516"/>
        <v>#VALUE!</v>
      </c>
      <c r="BH946" s="45">
        <f t="shared" si="517"/>
        <v>-1.7481880270062005</v>
      </c>
      <c r="BI946" s="43" t="e">
        <f t="shared" si="518"/>
        <v>#VALUE!</v>
      </c>
      <c r="BL946" s="20"/>
      <c r="BM946" s="50"/>
      <c r="BN946" s="50"/>
      <c r="BO946" s="50"/>
      <c r="BP946" s="50"/>
      <c r="BQ946" s="50"/>
      <c r="BR946" s="50"/>
      <c r="BU946" s="50"/>
      <c r="BV946" s="50"/>
      <c r="BW946" s="50"/>
      <c r="BX946" s="50"/>
      <c r="BY946" s="50"/>
      <c r="BZ946" s="50"/>
      <c r="CA946" s="50" t="s">
        <v>22</v>
      </c>
      <c r="CE946" s="50"/>
      <c r="CF946" s="50"/>
      <c r="CG946" s="50"/>
      <c r="CH946" s="50"/>
      <c r="CI946" s="50">
        <f t="shared" si="525"/>
        <v>1.4</v>
      </c>
      <c r="CJ946" s="50">
        <f t="shared" si="526"/>
        <v>0.14612803567823801</v>
      </c>
      <c r="CL946" s="9" t="s">
        <v>1269</v>
      </c>
      <c r="CM946" s="9" t="s">
        <v>1285</v>
      </c>
      <c r="CN946" s="55" t="s">
        <v>1284</v>
      </c>
      <c r="CO946" s="9" t="s">
        <v>1284</v>
      </c>
    </row>
    <row r="947" spans="1:93" s="9" customFormat="1" x14ac:dyDescent="0.25">
      <c r="A947" s="9" t="s">
        <v>315</v>
      </c>
      <c r="B947" s="50">
        <v>3.215434083601286E-2</v>
      </c>
      <c r="C947" s="50" t="s">
        <v>22</v>
      </c>
      <c r="D947" s="50" t="s">
        <v>22</v>
      </c>
      <c r="E947" s="50" t="s">
        <v>22</v>
      </c>
      <c r="F947" s="9" t="s">
        <v>22</v>
      </c>
      <c r="G947" s="9" t="s">
        <v>22</v>
      </c>
      <c r="H947" s="9" t="s">
        <v>22</v>
      </c>
      <c r="I947" s="9" t="s">
        <v>22</v>
      </c>
      <c r="J947" s="50" t="s">
        <v>22</v>
      </c>
      <c r="L947" s="50"/>
      <c r="M947" s="9" t="s">
        <v>45</v>
      </c>
      <c r="N947" s="50" t="s">
        <v>22</v>
      </c>
      <c r="O947" s="50" t="s">
        <v>22</v>
      </c>
      <c r="P947" s="50" t="s">
        <v>22</v>
      </c>
      <c r="Q947" s="50"/>
      <c r="R947" s="50" t="s">
        <v>22</v>
      </c>
      <c r="S947" s="50" t="s">
        <v>22</v>
      </c>
      <c r="T947" s="50">
        <v>1.4</v>
      </c>
      <c r="U947" s="50">
        <v>1.4</v>
      </c>
      <c r="V947" s="9">
        <v>20210321</v>
      </c>
      <c r="W947" s="21" t="s">
        <v>1257</v>
      </c>
      <c r="X947" s="9">
        <v>2018</v>
      </c>
      <c r="Y947" s="9" t="s">
        <v>328</v>
      </c>
      <c r="Z947" s="9" t="s">
        <v>1254</v>
      </c>
      <c r="AA947" s="9" t="s">
        <v>625</v>
      </c>
      <c r="AB947" s="50">
        <v>1.785714285714286E-2</v>
      </c>
      <c r="AC947" s="9" t="s">
        <v>514</v>
      </c>
      <c r="AD947" s="50" t="s">
        <v>22</v>
      </c>
      <c r="AE947" s="50"/>
      <c r="AF947" s="50" t="s">
        <v>22</v>
      </c>
      <c r="AG947" s="50" t="s">
        <v>22</v>
      </c>
      <c r="AH947" s="50" t="s">
        <v>22</v>
      </c>
      <c r="AI947" s="50" t="s">
        <v>22</v>
      </c>
      <c r="AJ947" s="50" t="s">
        <v>22</v>
      </c>
      <c r="AK947" s="50" t="s">
        <v>22</v>
      </c>
      <c r="AL947" s="50" t="s">
        <v>22</v>
      </c>
      <c r="AM947" s="43" t="e">
        <f t="shared" si="501"/>
        <v>#VALUE!</v>
      </c>
      <c r="AN947" s="43" t="e">
        <f t="shared" si="502"/>
        <v>#VALUE!</v>
      </c>
      <c r="AO947" s="21" t="s">
        <v>1259</v>
      </c>
      <c r="AT947" s="2">
        <f t="shared" si="503"/>
        <v>15</v>
      </c>
      <c r="AU947" s="45">
        <f t="shared" si="504"/>
        <v>-1.4927603890268375</v>
      </c>
      <c r="AV947" s="45" t="e">
        <f t="shared" si="505"/>
        <v>#VALUE!</v>
      </c>
      <c r="AW947" s="45" t="e">
        <f t="shared" si="506"/>
        <v>#VALUE!</v>
      </c>
      <c r="AX947" s="45" t="e">
        <f t="shared" si="507"/>
        <v>#VALUE!</v>
      </c>
      <c r="AY947" s="45" t="e">
        <f t="shared" si="508"/>
        <v>#VALUE!</v>
      </c>
      <c r="AZ947" s="45" t="e">
        <f t="shared" si="509"/>
        <v>#VALUE!</v>
      </c>
      <c r="BA947" s="45" t="e">
        <f t="shared" si="510"/>
        <v>#VALUE!</v>
      </c>
      <c r="BB947" s="45" t="e">
        <f t="shared" si="511"/>
        <v>#NUM!</v>
      </c>
      <c r="BC947" s="45">
        <f t="shared" si="512"/>
        <v>0.14612803567823801</v>
      </c>
      <c r="BD947" s="45" t="e">
        <f t="shared" si="513"/>
        <v>#VALUE!</v>
      </c>
      <c r="BE947" s="45" t="e">
        <f t="shared" si="514"/>
        <v>#VALUE!</v>
      </c>
      <c r="BF947" s="45" t="e">
        <f t="shared" si="515"/>
        <v>#VALUE!</v>
      </c>
      <c r="BG947" s="45" t="e">
        <f t="shared" si="516"/>
        <v>#VALUE!</v>
      </c>
      <c r="BH947" s="45">
        <f t="shared" si="517"/>
        <v>-1.7481880270062005</v>
      </c>
      <c r="BI947" s="43" t="e">
        <f t="shared" si="518"/>
        <v>#VALUE!</v>
      </c>
      <c r="BL947" s="20"/>
      <c r="BM947" s="50"/>
      <c r="BN947" s="50"/>
      <c r="BO947" s="50"/>
      <c r="BP947" s="50"/>
      <c r="BQ947" s="50"/>
      <c r="BR947" s="50"/>
      <c r="BU947" s="50"/>
      <c r="BV947" s="50"/>
      <c r="BW947" s="50"/>
      <c r="BX947" s="50"/>
      <c r="BY947" s="50"/>
      <c r="BZ947" s="50"/>
      <c r="CA947" s="50" t="s">
        <v>22</v>
      </c>
      <c r="CE947" s="50"/>
      <c r="CF947" s="50"/>
      <c r="CG947" s="50"/>
      <c r="CH947" s="50"/>
      <c r="CI947" s="50">
        <f t="shared" si="525"/>
        <v>1.4</v>
      </c>
      <c r="CJ947" s="50">
        <f t="shared" si="526"/>
        <v>0.14612803567823801</v>
      </c>
      <c r="CL947" s="9" t="s">
        <v>1269</v>
      </c>
      <c r="CM947" s="9" t="s">
        <v>1285</v>
      </c>
      <c r="CN947" s="55" t="s">
        <v>1284</v>
      </c>
      <c r="CO947" s="9" t="s">
        <v>1284</v>
      </c>
    </row>
    <row r="948" spans="1:93" s="9" customFormat="1" x14ac:dyDescent="0.25">
      <c r="A948" s="9" t="s">
        <v>315</v>
      </c>
      <c r="B948" s="50">
        <v>3.1545741324921134E-2</v>
      </c>
      <c r="C948" s="50" t="s">
        <v>22</v>
      </c>
      <c r="D948" s="50" t="s">
        <v>22</v>
      </c>
      <c r="E948" s="50" t="s">
        <v>22</v>
      </c>
      <c r="F948" s="9" t="s">
        <v>22</v>
      </c>
      <c r="G948" s="9" t="s">
        <v>22</v>
      </c>
      <c r="H948" s="9" t="s">
        <v>22</v>
      </c>
      <c r="I948" s="9" t="s">
        <v>22</v>
      </c>
      <c r="J948" s="50" t="s">
        <v>22</v>
      </c>
      <c r="L948" s="50"/>
      <c r="M948" s="9" t="s">
        <v>45</v>
      </c>
      <c r="N948" s="50" t="s">
        <v>22</v>
      </c>
      <c r="O948" s="50" t="s">
        <v>22</v>
      </c>
      <c r="P948" s="50" t="s">
        <v>22</v>
      </c>
      <c r="Q948" s="50"/>
      <c r="R948" s="50" t="s">
        <v>22</v>
      </c>
      <c r="S948" s="50" t="s">
        <v>22</v>
      </c>
      <c r="T948" s="50">
        <v>1.4</v>
      </c>
      <c r="U948" s="50">
        <v>1.4</v>
      </c>
      <c r="V948" s="9">
        <v>20210321</v>
      </c>
      <c r="W948" s="21" t="s">
        <v>1258</v>
      </c>
      <c r="X948" s="9">
        <v>2018</v>
      </c>
      <c r="Y948" s="9" t="s">
        <v>328</v>
      </c>
      <c r="Z948" s="9" t="s">
        <v>1254</v>
      </c>
      <c r="AA948" s="9" t="s">
        <v>625</v>
      </c>
      <c r="AB948" s="50">
        <v>1.785714285714286E-2</v>
      </c>
      <c r="AC948" s="9" t="s">
        <v>514</v>
      </c>
      <c r="AD948" s="50" t="s">
        <v>22</v>
      </c>
      <c r="AE948" s="50"/>
      <c r="AF948" s="50" t="s">
        <v>22</v>
      </c>
      <c r="AG948" s="50" t="s">
        <v>22</v>
      </c>
      <c r="AH948" s="50" t="s">
        <v>22</v>
      </c>
      <c r="AI948" s="50" t="s">
        <v>22</v>
      </c>
      <c r="AJ948" s="50" t="s">
        <v>22</v>
      </c>
      <c r="AK948" s="50" t="s">
        <v>22</v>
      </c>
      <c r="AL948" s="50" t="s">
        <v>22</v>
      </c>
      <c r="AM948" s="43" t="e">
        <f t="shared" si="501"/>
        <v>#VALUE!</v>
      </c>
      <c r="AN948" s="43" t="e">
        <f t="shared" si="502"/>
        <v>#VALUE!</v>
      </c>
      <c r="AO948" s="21" t="s">
        <v>1259</v>
      </c>
      <c r="AT948" s="2">
        <f t="shared" si="503"/>
        <v>15</v>
      </c>
      <c r="AU948" s="45">
        <f t="shared" si="504"/>
        <v>-1.5010592622177514</v>
      </c>
      <c r="AV948" s="45" t="e">
        <f t="shared" si="505"/>
        <v>#VALUE!</v>
      </c>
      <c r="AW948" s="45" t="e">
        <f t="shared" si="506"/>
        <v>#VALUE!</v>
      </c>
      <c r="AX948" s="45" t="e">
        <f t="shared" si="507"/>
        <v>#VALUE!</v>
      </c>
      <c r="AY948" s="45" t="e">
        <f t="shared" si="508"/>
        <v>#VALUE!</v>
      </c>
      <c r="AZ948" s="45" t="e">
        <f t="shared" si="509"/>
        <v>#VALUE!</v>
      </c>
      <c r="BA948" s="45" t="e">
        <f t="shared" si="510"/>
        <v>#VALUE!</v>
      </c>
      <c r="BB948" s="45" t="e">
        <f t="shared" si="511"/>
        <v>#NUM!</v>
      </c>
      <c r="BC948" s="45">
        <f t="shared" si="512"/>
        <v>0.14612803567823801</v>
      </c>
      <c r="BD948" s="45" t="e">
        <f t="shared" si="513"/>
        <v>#VALUE!</v>
      </c>
      <c r="BE948" s="45" t="e">
        <f t="shared" si="514"/>
        <v>#VALUE!</v>
      </c>
      <c r="BF948" s="45" t="e">
        <f t="shared" si="515"/>
        <v>#VALUE!</v>
      </c>
      <c r="BG948" s="45" t="e">
        <f t="shared" si="516"/>
        <v>#VALUE!</v>
      </c>
      <c r="BH948" s="45">
        <f t="shared" si="517"/>
        <v>-1.7481880270062005</v>
      </c>
      <c r="BI948" s="43" t="e">
        <f t="shared" si="518"/>
        <v>#VALUE!</v>
      </c>
      <c r="BL948" s="20"/>
      <c r="BM948" s="50"/>
      <c r="BN948" s="50"/>
      <c r="BO948" s="50"/>
      <c r="BP948" s="50"/>
      <c r="BQ948" s="50"/>
      <c r="BR948" s="50"/>
      <c r="BU948" s="50"/>
      <c r="BV948" s="50"/>
      <c r="BW948" s="50"/>
      <c r="BX948" s="50"/>
      <c r="BY948" s="50"/>
      <c r="BZ948" s="50"/>
      <c r="CA948" s="50" t="s">
        <v>22</v>
      </c>
      <c r="CE948" s="50"/>
      <c r="CF948" s="50"/>
      <c r="CG948" s="50"/>
      <c r="CH948" s="50"/>
      <c r="CI948" s="50">
        <f t="shared" si="525"/>
        <v>1.4</v>
      </c>
      <c r="CJ948" s="50">
        <f t="shared" si="526"/>
        <v>0.14612803567823801</v>
      </c>
      <c r="CL948" s="9" t="s">
        <v>1269</v>
      </c>
      <c r="CM948" s="9" t="s">
        <v>1285</v>
      </c>
      <c r="CN948" s="55" t="s">
        <v>1284</v>
      </c>
      <c r="CO948" s="9" t="s">
        <v>1284</v>
      </c>
    </row>
    <row r="949" spans="1:93" s="9" customFormat="1" x14ac:dyDescent="0.25">
      <c r="A949" s="9" t="s">
        <v>315</v>
      </c>
      <c r="B949" s="50">
        <v>3.9999999999999996E-4</v>
      </c>
      <c r="C949" s="50" t="s">
        <v>22</v>
      </c>
      <c r="D949" s="50" t="s">
        <v>22</v>
      </c>
      <c r="E949" s="50" t="s">
        <v>22</v>
      </c>
      <c r="F949" s="9" t="s">
        <v>22</v>
      </c>
      <c r="G949" s="9" t="s">
        <v>22</v>
      </c>
      <c r="H949" s="9" t="s">
        <v>22</v>
      </c>
      <c r="I949" s="9" t="s">
        <v>22</v>
      </c>
      <c r="J949" s="50" t="s">
        <v>22</v>
      </c>
      <c r="L949" s="50"/>
      <c r="M949" s="9" t="s">
        <v>23</v>
      </c>
      <c r="N949" s="50" t="s">
        <v>22</v>
      </c>
      <c r="O949" s="50" t="s">
        <v>22</v>
      </c>
      <c r="P949" s="50" t="s">
        <v>22</v>
      </c>
      <c r="Q949" s="50"/>
      <c r="R949" s="50" t="s">
        <v>22</v>
      </c>
      <c r="S949" s="50" t="s">
        <v>22</v>
      </c>
      <c r="T949" s="50">
        <v>1.4</v>
      </c>
      <c r="U949" s="50">
        <v>1.4</v>
      </c>
      <c r="V949" s="9">
        <v>20210321</v>
      </c>
      <c r="W949" s="21"/>
      <c r="X949" s="9">
        <v>2018</v>
      </c>
      <c r="Y949" s="9" t="s">
        <v>328</v>
      </c>
      <c r="Z949" s="9" t="s">
        <v>32</v>
      </c>
      <c r="AB949" s="50"/>
      <c r="AC949" s="9" t="s">
        <v>285</v>
      </c>
      <c r="AD949" s="50" t="s">
        <v>22</v>
      </c>
      <c r="AE949" s="50"/>
      <c r="AF949" s="50" t="s">
        <v>22</v>
      </c>
      <c r="AG949" s="50" t="s">
        <v>22</v>
      </c>
      <c r="AH949" s="50">
        <v>1870.3798907641799</v>
      </c>
      <c r="AI949" s="50">
        <v>110.626621433007</v>
      </c>
      <c r="AJ949" s="50">
        <v>11.993539462092301</v>
      </c>
      <c r="AK949" s="50">
        <v>0.65431891297129796</v>
      </c>
      <c r="AL949" s="50">
        <v>0.243200751326795</v>
      </c>
      <c r="AM949" s="43">
        <f t="shared" si="501"/>
        <v>2.1983926488622985E-3</v>
      </c>
      <c r="AN949" s="43">
        <f t="shared" si="502"/>
        <v>2.0277646319126555E-2</v>
      </c>
      <c r="AO949" s="21" t="s">
        <v>1259</v>
      </c>
      <c r="AT949" s="2">
        <f t="shared" si="503"/>
        <v>15</v>
      </c>
      <c r="AU949" s="45">
        <f t="shared" si="504"/>
        <v>-3.3979400086720375</v>
      </c>
      <c r="AV949" s="45" t="e">
        <f t="shared" si="505"/>
        <v>#VALUE!</v>
      </c>
      <c r="AW949" s="45" t="e">
        <f t="shared" si="506"/>
        <v>#VALUE!</v>
      </c>
      <c r="AX949" s="45" t="e">
        <f t="shared" si="507"/>
        <v>#VALUE!</v>
      </c>
      <c r="AY949" s="45" t="e">
        <f t="shared" si="508"/>
        <v>#VALUE!</v>
      </c>
      <c r="AZ949" s="45" t="e">
        <f t="shared" si="509"/>
        <v>#VALUE!</v>
      </c>
      <c r="BA949" s="45" t="e">
        <f t="shared" si="510"/>
        <v>#VALUE!</v>
      </c>
      <c r="BB949" s="45" t="e">
        <f t="shared" si="511"/>
        <v>#NUM!</v>
      </c>
      <c r="BC949" s="45">
        <f t="shared" si="512"/>
        <v>0.14612803567823801</v>
      </c>
      <c r="BD949" s="45" t="e">
        <f t="shared" si="513"/>
        <v>#VALUE!</v>
      </c>
      <c r="BE949" s="45" t="e">
        <f t="shared" si="514"/>
        <v>#VALUE!</v>
      </c>
      <c r="BF949" s="45">
        <f t="shared" si="515"/>
        <v>-2.6578947368421035</v>
      </c>
      <c r="BG949" s="45">
        <f t="shared" si="516"/>
        <v>-1.692982456140349</v>
      </c>
      <c r="BH949" s="45" t="e">
        <f t="shared" si="517"/>
        <v>#NUM!</v>
      </c>
      <c r="BI949" s="43" t="e">
        <f t="shared" si="518"/>
        <v>#VALUE!</v>
      </c>
      <c r="BL949" s="20"/>
      <c r="BM949" s="50"/>
      <c r="BN949" s="50"/>
      <c r="BO949" s="50"/>
      <c r="BP949" s="50"/>
      <c r="BQ949" s="50"/>
      <c r="BR949" s="50"/>
      <c r="BU949" s="50"/>
      <c r="BV949" s="50"/>
      <c r="BW949" s="50"/>
      <c r="BX949" s="50"/>
      <c r="BY949" s="50"/>
      <c r="BZ949" s="50"/>
      <c r="CA949" s="50" t="s">
        <v>22</v>
      </c>
      <c r="CE949" s="50"/>
      <c r="CF949" s="50"/>
      <c r="CG949" s="50"/>
      <c r="CH949" s="50"/>
      <c r="CI949" s="50">
        <f t="shared" si="525"/>
        <v>1.4</v>
      </c>
      <c r="CJ949" s="50">
        <f t="shared" si="526"/>
        <v>0.14612803567823801</v>
      </c>
      <c r="CL949" s="9" t="s">
        <v>1269</v>
      </c>
      <c r="CM949" s="9" t="s">
        <v>1285</v>
      </c>
      <c r="CN949" s="55" t="s">
        <v>1284</v>
      </c>
      <c r="CO949" s="9" t="s">
        <v>1284</v>
      </c>
    </row>
    <row r="950" spans="1:93" s="9" customFormat="1" x14ac:dyDescent="0.25">
      <c r="A950" s="9" t="s">
        <v>315</v>
      </c>
      <c r="B950" s="50">
        <v>5.5865921787709499E-3</v>
      </c>
      <c r="C950" s="50" t="s">
        <v>22</v>
      </c>
      <c r="D950" s="50" t="s">
        <v>22</v>
      </c>
      <c r="E950" s="50" t="s">
        <v>22</v>
      </c>
      <c r="F950" s="9" t="s">
        <v>22</v>
      </c>
      <c r="G950" s="9" t="s">
        <v>22</v>
      </c>
      <c r="H950" s="9" t="s">
        <v>22</v>
      </c>
      <c r="I950" s="9" t="s">
        <v>22</v>
      </c>
      <c r="J950" s="50" t="s">
        <v>22</v>
      </c>
      <c r="L950" s="50"/>
      <c r="M950" s="9" t="s">
        <v>45</v>
      </c>
      <c r="N950" s="50" t="s">
        <v>22</v>
      </c>
      <c r="O950" s="50" t="s">
        <v>22</v>
      </c>
      <c r="P950" s="50" t="s">
        <v>22</v>
      </c>
      <c r="Q950" s="50"/>
      <c r="R950" s="50" t="s">
        <v>22</v>
      </c>
      <c r="S950" s="50" t="s">
        <v>22</v>
      </c>
      <c r="T950" s="50">
        <v>1.4</v>
      </c>
      <c r="U950" s="50">
        <v>1.4</v>
      </c>
      <c r="V950" s="9">
        <v>20210321</v>
      </c>
      <c r="W950" s="21" t="s">
        <v>1255</v>
      </c>
      <c r="X950" s="9">
        <v>2018</v>
      </c>
      <c r="Y950" s="9" t="s">
        <v>328</v>
      </c>
      <c r="Z950" s="9" t="s">
        <v>1254</v>
      </c>
      <c r="AA950" s="9" t="s">
        <v>625</v>
      </c>
      <c r="AB950" s="50">
        <v>3.9999999999999996E-4</v>
      </c>
      <c r="AC950" s="9" t="s">
        <v>285</v>
      </c>
      <c r="AD950" s="50" t="s">
        <v>22</v>
      </c>
      <c r="AE950" s="50"/>
      <c r="AF950" s="50" t="s">
        <v>22</v>
      </c>
      <c r="AG950" s="50" t="s">
        <v>22</v>
      </c>
      <c r="AH950" s="50">
        <v>17.252105499420399</v>
      </c>
      <c r="AI950" s="50">
        <v>1.9474830399087599</v>
      </c>
      <c r="AJ950" s="50">
        <v>0.40296113202004102</v>
      </c>
      <c r="AK950" s="50">
        <v>4.5487779470037799E-2</v>
      </c>
      <c r="AL950" s="50">
        <v>1.7252105499420401E-2</v>
      </c>
      <c r="AM950" s="43">
        <f t="shared" si="501"/>
        <v>8.858667904100807E-3</v>
      </c>
      <c r="AN950" s="43">
        <f t="shared" si="502"/>
        <v>4.2813323987193827E-2</v>
      </c>
      <c r="AO950" s="21" t="s">
        <v>1259</v>
      </c>
      <c r="AT950" s="2">
        <f t="shared" si="503"/>
        <v>15</v>
      </c>
      <c r="AU950" s="45">
        <f t="shared" si="504"/>
        <v>-2.2528530309798933</v>
      </c>
      <c r="AV950" s="45" t="e">
        <f t="shared" si="505"/>
        <v>#VALUE!</v>
      </c>
      <c r="AW950" s="45" t="e">
        <f t="shared" si="506"/>
        <v>#VALUE!</v>
      </c>
      <c r="AX950" s="45" t="e">
        <f t="shared" si="507"/>
        <v>#VALUE!</v>
      </c>
      <c r="AY950" s="45" t="e">
        <f t="shared" si="508"/>
        <v>#VALUE!</v>
      </c>
      <c r="AZ950" s="45" t="e">
        <f t="shared" si="509"/>
        <v>#VALUE!</v>
      </c>
      <c r="BA950" s="45" t="e">
        <f t="shared" si="510"/>
        <v>#VALUE!</v>
      </c>
      <c r="BB950" s="45" t="e">
        <f t="shared" si="511"/>
        <v>#NUM!</v>
      </c>
      <c r="BC950" s="45">
        <f t="shared" si="512"/>
        <v>0.14612803567823801</v>
      </c>
      <c r="BD950" s="45" t="e">
        <f t="shared" si="513"/>
        <v>#VALUE!</v>
      </c>
      <c r="BE950" s="45" t="e">
        <f t="shared" si="514"/>
        <v>#VALUE!</v>
      </c>
      <c r="BF950" s="45">
        <f t="shared" si="515"/>
        <v>-2.0526315789473695</v>
      </c>
      <c r="BG950" s="45">
        <f t="shared" si="516"/>
        <v>-1.3684210526315801</v>
      </c>
      <c r="BH950" s="45">
        <f t="shared" si="517"/>
        <v>-3.3979400086720375</v>
      </c>
      <c r="BI950" s="43" t="e">
        <f t="shared" si="518"/>
        <v>#VALUE!</v>
      </c>
      <c r="BL950" s="20"/>
      <c r="BM950" s="50"/>
      <c r="BN950" s="50"/>
      <c r="BO950" s="50"/>
      <c r="BP950" s="50"/>
      <c r="BQ950" s="50"/>
      <c r="BR950" s="50"/>
      <c r="BU950" s="50"/>
      <c r="BV950" s="50"/>
      <c r="BW950" s="50"/>
      <c r="BX950" s="50"/>
      <c r="BY950" s="50"/>
      <c r="BZ950" s="50"/>
      <c r="CA950" s="50" t="s">
        <v>22</v>
      </c>
      <c r="CE950" s="50"/>
      <c r="CF950" s="50"/>
      <c r="CG950" s="50"/>
      <c r="CH950" s="50"/>
      <c r="CI950" s="50">
        <f t="shared" si="525"/>
        <v>1.4</v>
      </c>
      <c r="CJ950" s="50">
        <f t="shared" si="526"/>
        <v>0.14612803567823801</v>
      </c>
      <c r="CL950" s="9" t="s">
        <v>1269</v>
      </c>
      <c r="CM950" s="9" t="s">
        <v>1285</v>
      </c>
      <c r="CN950" s="55" t="s">
        <v>1284</v>
      </c>
      <c r="CO950" s="9" t="s">
        <v>1284</v>
      </c>
    </row>
    <row r="951" spans="1:93" s="9" customFormat="1" x14ac:dyDescent="0.25">
      <c r="A951" s="9" t="s">
        <v>315</v>
      </c>
      <c r="B951" s="50">
        <v>9.7087378640776691E-3</v>
      </c>
      <c r="C951" s="50" t="s">
        <v>22</v>
      </c>
      <c r="D951" s="50" t="s">
        <v>22</v>
      </c>
      <c r="E951" s="50" t="s">
        <v>22</v>
      </c>
      <c r="F951" s="9" t="s">
        <v>22</v>
      </c>
      <c r="G951" s="9" t="s">
        <v>22</v>
      </c>
      <c r="H951" s="9" t="s">
        <v>22</v>
      </c>
      <c r="I951" s="9" t="s">
        <v>22</v>
      </c>
      <c r="J951" s="50" t="s">
        <v>22</v>
      </c>
      <c r="L951" s="50"/>
      <c r="M951" s="9" t="s">
        <v>45</v>
      </c>
      <c r="N951" s="50" t="s">
        <v>22</v>
      </c>
      <c r="O951" s="50" t="s">
        <v>22</v>
      </c>
      <c r="P951" s="50" t="s">
        <v>22</v>
      </c>
      <c r="Q951" s="50"/>
      <c r="R951" s="50" t="s">
        <v>22</v>
      </c>
      <c r="S951" s="50" t="s">
        <v>22</v>
      </c>
      <c r="T951" s="50">
        <v>1.4</v>
      </c>
      <c r="U951" s="50">
        <v>1.4</v>
      </c>
      <c r="V951" s="9">
        <v>20210321</v>
      </c>
      <c r="W951" s="21" t="s">
        <v>1256</v>
      </c>
      <c r="X951" s="9">
        <v>2018</v>
      </c>
      <c r="Y951" s="9" t="s">
        <v>328</v>
      </c>
      <c r="Z951" s="9" t="s">
        <v>1254</v>
      </c>
      <c r="AA951" s="9" t="s">
        <v>625</v>
      </c>
      <c r="AB951" s="50">
        <v>3.9999999999999996E-4</v>
      </c>
      <c r="AC951" s="9" t="s">
        <v>285</v>
      </c>
      <c r="AD951" s="50" t="s">
        <v>22</v>
      </c>
      <c r="AE951" s="50"/>
      <c r="AF951" s="50" t="s">
        <v>22</v>
      </c>
      <c r="AG951" s="50" t="s">
        <v>22</v>
      </c>
      <c r="AH951" s="50">
        <v>1.15187010974099</v>
      </c>
      <c r="AI951" s="50">
        <v>0.30370793600692197</v>
      </c>
      <c r="AJ951" s="50">
        <v>9.4120496726806793E-2</v>
      </c>
      <c r="AK951" s="50">
        <v>2.0277646319126499E-2</v>
      </c>
      <c r="AL951" s="50">
        <v>1.0204034770855601E-2</v>
      </c>
      <c r="AM951" s="43">
        <f t="shared" si="501"/>
        <v>3.3598182862837785E-2</v>
      </c>
      <c r="AN951" s="43">
        <f t="shared" si="502"/>
        <v>0.10841458689358312</v>
      </c>
      <c r="AO951" s="21" t="s">
        <v>1259</v>
      </c>
      <c r="AT951" s="2">
        <f t="shared" si="503"/>
        <v>15</v>
      </c>
      <c r="AU951" s="45">
        <f t="shared" si="504"/>
        <v>-2.0128372247051725</v>
      </c>
      <c r="AV951" s="45" t="e">
        <f t="shared" si="505"/>
        <v>#VALUE!</v>
      </c>
      <c r="AW951" s="45" t="e">
        <f t="shared" si="506"/>
        <v>#VALUE!</v>
      </c>
      <c r="AX951" s="45" t="e">
        <f t="shared" si="507"/>
        <v>#VALUE!</v>
      </c>
      <c r="AY951" s="45" t="e">
        <f t="shared" si="508"/>
        <v>#VALUE!</v>
      </c>
      <c r="AZ951" s="45" t="e">
        <f t="shared" si="509"/>
        <v>#VALUE!</v>
      </c>
      <c r="BA951" s="45" t="e">
        <f t="shared" si="510"/>
        <v>#VALUE!</v>
      </c>
      <c r="BB951" s="45" t="e">
        <f t="shared" si="511"/>
        <v>#NUM!</v>
      </c>
      <c r="BC951" s="45">
        <f t="shared" si="512"/>
        <v>0.14612803567823801</v>
      </c>
      <c r="BD951" s="45" t="e">
        <f t="shared" si="513"/>
        <v>#VALUE!</v>
      </c>
      <c r="BE951" s="45" t="e">
        <f t="shared" si="514"/>
        <v>#VALUE!</v>
      </c>
      <c r="BF951" s="45">
        <f t="shared" si="515"/>
        <v>-1.4736842105263164</v>
      </c>
      <c r="BG951" s="45">
        <f t="shared" si="516"/>
        <v>-0.96491228070175583</v>
      </c>
      <c r="BH951" s="45">
        <f t="shared" si="517"/>
        <v>-3.3979400086720375</v>
      </c>
      <c r="BI951" s="43" t="e">
        <f t="shared" si="518"/>
        <v>#VALUE!</v>
      </c>
      <c r="BL951" s="20"/>
      <c r="BM951" s="50"/>
      <c r="BN951" s="50"/>
      <c r="BO951" s="50"/>
      <c r="BP951" s="50"/>
      <c r="BQ951" s="50"/>
      <c r="BR951" s="50"/>
      <c r="BU951" s="50"/>
      <c r="BV951" s="50"/>
      <c r="BW951" s="50"/>
      <c r="BX951" s="50"/>
      <c r="BY951" s="50"/>
      <c r="BZ951" s="50"/>
      <c r="CA951" s="50" t="s">
        <v>22</v>
      </c>
      <c r="CE951" s="50"/>
      <c r="CF951" s="50"/>
      <c r="CG951" s="50"/>
      <c r="CH951" s="50"/>
      <c r="CI951" s="50">
        <f t="shared" si="525"/>
        <v>1.4</v>
      </c>
      <c r="CJ951" s="50">
        <f t="shared" si="526"/>
        <v>0.14612803567823801</v>
      </c>
      <c r="CL951" s="9" t="s">
        <v>1269</v>
      </c>
      <c r="CM951" s="9" t="s">
        <v>1285</v>
      </c>
      <c r="CN951" s="55" t="s">
        <v>1284</v>
      </c>
      <c r="CO951" s="9" t="s">
        <v>1284</v>
      </c>
    </row>
    <row r="952" spans="1:93" s="9" customFormat="1" x14ac:dyDescent="0.25">
      <c r="A952" s="9" t="s">
        <v>315</v>
      </c>
      <c r="B952" s="50">
        <v>1.2254901960784312E-2</v>
      </c>
      <c r="C952" s="50" t="s">
        <v>22</v>
      </c>
      <c r="D952" s="50" t="s">
        <v>22</v>
      </c>
      <c r="E952" s="50" t="s">
        <v>22</v>
      </c>
      <c r="F952" s="9" t="s">
        <v>22</v>
      </c>
      <c r="G952" s="9" t="s">
        <v>22</v>
      </c>
      <c r="H952" s="9" t="s">
        <v>22</v>
      </c>
      <c r="I952" s="9" t="s">
        <v>22</v>
      </c>
      <c r="J952" s="50" t="s">
        <v>22</v>
      </c>
      <c r="L952" s="50"/>
      <c r="M952" s="9" t="s">
        <v>45</v>
      </c>
      <c r="N952" s="50" t="s">
        <v>22</v>
      </c>
      <c r="O952" s="50" t="s">
        <v>22</v>
      </c>
      <c r="P952" s="50" t="s">
        <v>22</v>
      </c>
      <c r="Q952" s="50"/>
      <c r="R952" s="50" t="s">
        <v>22</v>
      </c>
      <c r="S952" s="50" t="s">
        <v>22</v>
      </c>
      <c r="T952" s="50">
        <v>1.4</v>
      </c>
      <c r="U952" s="50">
        <v>1.4</v>
      </c>
      <c r="V952" s="9">
        <v>20210321</v>
      </c>
      <c r="W952" s="21" t="s">
        <v>1257</v>
      </c>
      <c r="X952" s="9">
        <v>2018</v>
      </c>
      <c r="Y952" s="9" t="s">
        <v>328</v>
      </c>
      <c r="Z952" s="9" t="s">
        <v>1254</v>
      </c>
      <c r="AA952" s="9" t="s">
        <v>625</v>
      </c>
      <c r="AB952" s="50">
        <v>3.9999999999999996E-4</v>
      </c>
      <c r="AC952" s="9" t="s">
        <v>285</v>
      </c>
      <c r="AD952" s="50" t="s">
        <v>22</v>
      </c>
      <c r="AE952" s="50"/>
      <c r="AF952" s="50" t="s">
        <v>22</v>
      </c>
      <c r="AG952" s="50" t="s">
        <v>22</v>
      </c>
      <c r="AH952" s="50">
        <v>8.3378222347178996E-2</v>
      </c>
      <c r="AI952" s="50">
        <v>4.9315388199505698E-2</v>
      </c>
      <c r="AJ952" s="50">
        <v>3.0990463391994301E-2</v>
      </c>
      <c r="AK952" s="50">
        <v>1.35387618002254E-2</v>
      </c>
      <c r="AL952" s="50">
        <v>8.0077180242419492E-3</v>
      </c>
      <c r="AM952" s="43">
        <f t="shared" si="501"/>
        <v>0.16237767391887251</v>
      </c>
      <c r="AN952" s="43">
        <f t="shared" si="502"/>
        <v>0.2583929747339811</v>
      </c>
      <c r="AO952" s="21" t="s">
        <v>1259</v>
      </c>
      <c r="AT952" s="2">
        <f t="shared" si="503"/>
        <v>15</v>
      </c>
      <c r="AU952" s="45">
        <f t="shared" si="504"/>
        <v>-1.9116901587538613</v>
      </c>
      <c r="AV952" s="45" t="e">
        <f t="shared" si="505"/>
        <v>#VALUE!</v>
      </c>
      <c r="AW952" s="45" t="e">
        <f t="shared" si="506"/>
        <v>#VALUE!</v>
      </c>
      <c r="AX952" s="45" t="e">
        <f t="shared" si="507"/>
        <v>#VALUE!</v>
      </c>
      <c r="AY952" s="45" t="e">
        <f t="shared" si="508"/>
        <v>#VALUE!</v>
      </c>
      <c r="AZ952" s="45" t="e">
        <f t="shared" si="509"/>
        <v>#VALUE!</v>
      </c>
      <c r="BA952" s="45" t="e">
        <f t="shared" si="510"/>
        <v>#VALUE!</v>
      </c>
      <c r="BB952" s="45" t="e">
        <f t="shared" si="511"/>
        <v>#NUM!</v>
      </c>
      <c r="BC952" s="45">
        <f t="shared" si="512"/>
        <v>0.14612803567823801</v>
      </c>
      <c r="BD952" s="45" t="e">
        <f t="shared" si="513"/>
        <v>#VALUE!</v>
      </c>
      <c r="BE952" s="45" t="e">
        <f t="shared" si="514"/>
        <v>#VALUE!</v>
      </c>
      <c r="BF952" s="45">
        <f t="shared" si="515"/>
        <v>-0.78947368421052544</v>
      </c>
      <c r="BG952" s="45">
        <f t="shared" si="516"/>
        <v>-0.58771929824561353</v>
      </c>
      <c r="BH952" s="45">
        <f t="shared" si="517"/>
        <v>-3.3979400086720375</v>
      </c>
      <c r="BI952" s="43" t="e">
        <f t="shared" si="518"/>
        <v>#VALUE!</v>
      </c>
      <c r="BL952" s="20"/>
      <c r="BM952" s="50"/>
      <c r="BN952" s="50"/>
      <c r="BO952" s="50"/>
      <c r="BP952" s="50"/>
      <c r="BQ952" s="50"/>
      <c r="BR952" s="50"/>
      <c r="BU952" s="50"/>
      <c r="BV952" s="50"/>
      <c r="BW952" s="50"/>
      <c r="BX952" s="50"/>
      <c r="BY952" s="50"/>
      <c r="BZ952" s="50"/>
      <c r="CA952" s="50" t="s">
        <v>22</v>
      </c>
      <c r="CE952" s="50"/>
      <c r="CF952" s="50"/>
      <c r="CG952" s="50"/>
      <c r="CH952" s="50"/>
      <c r="CI952" s="50">
        <f t="shared" si="525"/>
        <v>1.4</v>
      </c>
      <c r="CJ952" s="50">
        <f t="shared" si="526"/>
        <v>0.14612803567823801</v>
      </c>
      <c r="CL952" s="9" t="s">
        <v>1269</v>
      </c>
      <c r="CM952" s="9" t="s">
        <v>1285</v>
      </c>
      <c r="CN952" s="55" t="s">
        <v>1284</v>
      </c>
      <c r="CO952" s="9" t="s">
        <v>1284</v>
      </c>
    </row>
    <row r="953" spans="1:93" s="9" customFormat="1" x14ac:dyDescent="0.25">
      <c r="A953" s="9" t="s">
        <v>315</v>
      </c>
      <c r="B953" s="50">
        <v>1.7761989342806393E-2</v>
      </c>
      <c r="C953" s="50" t="s">
        <v>22</v>
      </c>
      <c r="D953" s="50" t="s">
        <v>22</v>
      </c>
      <c r="E953" s="50" t="s">
        <v>22</v>
      </c>
      <c r="F953" s="9" t="s">
        <v>22</v>
      </c>
      <c r="G953" s="9" t="s">
        <v>22</v>
      </c>
      <c r="H953" s="9" t="s">
        <v>22</v>
      </c>
      <c r="I953" s="9" t="s">
        <v>22</v>
      </c>
      <c r="J953" s="50" t="s">
        <v>22</v>
      </c>
      <c r="L953" s="50"/>
      <c r="M953" s="9" t="s">
        <v>45</v>
      </c>
      <c r="N953" s="50" t="s">
        <v>22</v>
      </c>
      <c r="O953" s="50" t="s">
        <v>22</v>
      </c>
      <c r="P953" s="50" t="s">
        <v>22</v>
      </c>
      <c r="Q953" s="50"/>
      <c r="R953" s="50" t="s">
        <v>22</v>
      </c>
      <c r="S953" s="50" t="s">
        <v>22</v>
      </c>
      <c r="T953" s="50">
        <v>1.4</v>
      </c>
      <c r="U953" s="50">
        <v>1.4</v>
      </c>
      <c r="V953" s="9">
        <v>20210321</v>
      </c>
      <c r="W953" s="21" t="s">
        <v>1258</v>
      </c>
      <c r="X953" s="9">
        <v>2018</v>
      </c>
      <c r="Y953" s="9" t="s">
        <v>328</v>
      </c>
      <c r="Z953" s="9" t="s">
        <v>1254</v>
      </c>
      <c r="AA953" s="9" t="s">
        <v>625</v>
      </c>
      <c r="AB953" s="50">
        <v>3.9999999999999996E-4</v>
      </c>
      <c r="AC953" s="9" t="s">
        <v>285</v>
      </c>
      <c r="AD953" s="50" t="s">
        <v>22</v>
      </c>
      <c r="AE953" s="50"/>
      <c r="AF953" s="50" t="s">
        <v>22</v>
      </c>
      <c r="AG953" s="50" t="s">
        <v>22</v>
      </c>
      <c r="AH953" s="50">
        <v>1.8703798907641799E-2</v>
      </c>
      <c r="AI953" s="50">
        <v>1.55948950405828E-2</v>
      </c>
      <c r="AJ953" s="50">
        <v>1.3002746261746301E-2</v>
      </c>
      <c r="AK953" s="50">
        <v>8.33782223471791E-3</v>
      </c>
      <c r="AL953" s="50">
        <v>5.5669078842742097E-3</v>
      </c>
      <c r="AM953" s="43">
        <f t="shared" si="501"/>
        <v>0.35696988468260749</v>
      </c>
      <c r="AN953" s="43">
        <f t="shared" si="502"/>
        <v>0.42813323987194074</v>
      </c>
      <c r="AO953" s="21" t="s">
        <v>1259</v>
      </c>
      <c r="AT953" s="2">
        <f t="shared" si="503"/>
        <v>15</v>
      </c>
      <c r="AU953" s="45">
        <f t="shared" si="504"/>
        <v>-1.7505083948513462</v>
      </c>
      <c r="AV953" s="45" t="e">
        <f t="shared" si="505"/>
        <v>#VALUE!</v>
      </c>
      <c r="AW953" s="45" t="e">
        <f t="shared" si="506"/>
        <v>#VALUE!</v>
      </c>
      <c r="AX953" s="45" t="e">
        <f t="shared" si="507"/>
        <v>#VALUE!</v>
      </c>
      <c r="AY953" s="45" t="e">
        <f t="shared" si="508"/>
        <v>#VALUE!</v>
      </c>
      <c r="AZ953" s="45" t="e">
        <f t="shared" si="509"/>
        <v>#VALUE!</v>
      </c>
      <c r="BA953" s="45" t="e">
        <f t="shared" si="510"/>
        <v>#VALUE!</v>
      </c>
      <c r="BB953" s="45" t="e">
        <f t="shared" si="511"/>
        <v>#NUM!</v>
      </c>
      <c r="BC953" s="45">
        <f t="shared" si="512"/>
        <v>0.14612803567823801</v>
      </c>
      <c r="BD953" s="45" t="e">
        <f t="shared" si="513"/>
        <v>#VALUE!</v>
      </c>
      <c r="BE953" s="45" t="e">
        <f t="shared" si="514"/>
        <v>#VALUE!</v>
      </c>
      <c r="BF953" s="45">
        <f t="shared" si="515"/>
        <v>-0.44736842105263036</v>
      </c>
      <c r="BG953" s="45">
        <f t="shared" si="516"/>
        <v>-0.36842105263157759</v>
      </c>
      <c r="BH953" s="45">
        <f t="shared" si="517"/>
        <v>-3.3979400086720375</v>
      </c>
      <c r="BI953" s="43" t="e">
        <f t="shared" si="518"/>
        <v>#VALUE!</v>
      </c>
      <c r="BL953" s="20"/>
      <c r="BM953" s="50"/>
      <c r="BN953" s="50"/>
      <c r="BO953" s="50"/>
      <c r="BP953" s="50"/>
      <c r="BQ953" s="50"/>
      <c r="BR953" s="50"/>
      <c r="BU953" s="50"/>
      <c r="BV953" s="50"/>
      <c r="BW953" s="50"/>
      <c r="BX953" s="50"/>
      <c r="BY953" s="50"/>
      <c r="BZ953" s="50"/>
      <c r="CA953" s="50" t="s">
        <v>22</v>
      </c>
      <c r="CE953" s="50"/>
      <c r="CF953" s="50"/>
      <c r="CG953" s="50"/>
      <c r="CH953" s="50"/>
      <c r="CI953" s="50">
        <f t="shared" si="525"/>
        <v>1.4</v>
      </c>
      <c r="CJ953" s="50">
        <f t="shared" si="526"/>
        <v>0.14612803567823801</v>
      </c>
      <c r="CL953" s="9" t="s">
        <v>1269</v>
      </c>
      <c r="CM953" s="9" t="s">
        <v>1285</v>
      </c>
      <c r="CN953" s="55" t="s">
        <v>1284</v>
      </c>
      <c r="CO953" s="9" t="s">
        <v>1284</v>
      </c>
    </row>
    <row r="954" spans="1:93" x14ac:dyDescent="0.25">
      <c r="A954" s="18" t="s">
        <v>315</v>
      </c>
      <c r="B954" s="41">
        <v>0.28179999999999999</v>
      </c>
      <c r="C954" s="41" t="s">
        <v>22</v>
      </c>
      <c r="D954" s="41" t="s">
        <v>22</v>
      </c>
      <c r="E954" s="41" t="s">
        <v>22</v>
      </c>
      <c r="F954" s="18" t="s">
        <v>22</v>
      </c>
      <c r="G954" s="18" t="s">
        <v>22</v>
      </c>
      <c r="H954" s="18" t="s">
        <v>22</v>
      </c>
      <c r="I954" s="18" t="s">
        <v>22</v>
      </c>
      <c r="K954" s="18">
        <v>632.82000000000005</v>
      </c>
      <c r="L954" s="41" t="str">
        <f>IF((10^-12)*J954*K954^4=0,"",(10^-12)*J954*K954^4)</f>
        <v/>
      </c>
      <c r="M954" s="18" t="s">
        <v>45</v>
      </c>
      <c r="N954" s="41" t="s">
        <v>22</v>
      </c>
      <c r="O954" s="41" t="s">
        <v>22</v>
      </c>
      <c r="P954" s="41" t="s">
        <v>22</v>
      </c>
      <c r="R954" s="41" t="s">
        <v>22</v>
      </c>
      <c r="S954" s="41" t="s">
        <v>22</v>
      </c>
      <c r="T954" s="41" t="s">
        <v>883</v>
      </c>
      <c r="U954" s="41">
        <v>1.45</v>
      </c>
      <c r="V954" s="18">
        <v>20200524</v>
      </c>
      <c r="W954" s="9" t="s">
        <v>884</v>
      </c>
      <c r="X954" s="18">
        <v>2018</v>
      </c>
      <c r="Y954" s="18" t="s">
        <v>328</v>
      </c>
      <c r="Z954" s="18" t="s">
        <v>885</v>
      </c>
      <c r="AA954" s="18" t="s">
        <v>880</v>
      </c>
      <c r="AB954" s="41">
        <v>1.1220000000000001E-2</v>
      </c>
      <c r="AC954" s="18" t="s">
        <v>533</v>
      </c>
      <c r="AD954" s="41" t="s">
        <v>22</v>
      </c>
      <c r="AF954" s="41" t="s">
        <v>22</v>
      </c>
      <c r="AG954" s="41" t="s">
        <v>22</v>
      </c>
      <c r="AH954" s="41" t="s">
        <v>22</v>
      </c>
      <c r="AI954" s="41" t="s">
        <v>22</v>
      </c>
      <c r="AJ954" s="41" t="s">
        <v>22</v>
      </c>
      <c r="AK954" s="41" t="s">
        <v>22</v>
      </c>
      <c r="AL954" s="41" t="s">
        <v>22</v>
      </c>
      <c r="AM954" s="43" t="e">
        <f t="shared" si="501"/>
        <v>#VALUE!</v>
      </c>
      <c r="AN954" s="43" t="e">
        <f t="shared" si="502"/>
        <v>#VALUE!</v>
      </c>
      <c r="AO954" s="19" t="s">
        <v>886</v>
      </c>
      <c r="AT954" s="2">
        <f t="shared" si="503"/>
        <v>4</v>
      </c>
      <c r="AU954" s="45">
        <f t="shared" si="504"/>
        <v>-0.55005901122666234</v>
      </c>
      <c r="AV954" s="45" t="e">
        <f t="shared" si="505"/>
        <v>#VALUE!</v>
      </c>
      <c r="AW954" s="45" t="e">
        <f t="shared" si="506"/>
        <v>#VALUE!</v>
      </c>
      <c r="AX954" s="45" t="e">
        <f t="shared" si="507"/>
        <v>#VALUE!</v>
      </c>
      <c r="AY954" s="45" t="e">
        <f t="shared" si="508"/>
        <v>#VALUE!</v>
      </c>
      <c r="AZ954" s="45" t="e">
        <f t="shared" si="509"/>
        <v>#VALUE!</v>
      </c>
      <c r="BA954" s="45" t="e">
        <f t="shared" si="510"/>
        <v>#NUM!</v>
      </c>
      <c r="BB954" s="45" t="e">
        <f t="shared" si="511"/>
        <v>#VALUE!</v>
      </c>
      <c r="BC954" s="45">
        <f t="shared" si="512"/>
        <v>0.16136800223497488</v>
      </c>
      <c r="BD954" s="45" t="e">
        <f t="shared" si="513"/>
        <v>#VALUE!</v>
      </c>
      <c r="BE954" s="45" t="e">
        <f t="shared" si="514"/>
        <v>#VALUE!</v>
      </c>
      <c r="BF954" s="45" t="e">
        <f t="shared" si="515"/>
        <v>#VALUE!</v>
      </c>
      <c r="BG954" s="45" t="e">
        <f t="shared" si="516"/>
        <v>#VALUE!</v>
      </c>
      <c r="BH954" s="45">
        <f t="shared" si="517"/>
        <v>-1.9500071430798573</v>
      </c>
      <c r="BI954" s="43" t="e">
        <f t="shared" si="518"/>
        <v>#VALUE!</v>
      </c>
      <c r="BL954" s="20"/>
      <c r="CA954" s="41" t="s">
        <v>22</v>
      </c>
      <c r="CC954" s="18" t="s">
        <v>22</v>
      </c>
      <c r="CD954" s="18"/>
      <c r="CE954" s="41" t="s">
        <v>22</v>
      </c>
      <c r="CF954" s="41" t="s">
        <v>22</v>
      </c>
      <c r="CG954" s="41" t="e">
        <f t="shared" ref="CG954:CG963" si="527">AD954*1000</f>
        <v>#VALUE!</v>
      </c>
      <c r="CH954" s="41" t="e">
        <f t="shared" ref="CH954:CH963" si="528">LOG10(CG954)</f>
        <v>#VALUE!</v>
      </c>
      <c r="CI954" s="41">
        <f t="shared" ref="CI954:CI963" si="529">IF(ISNUMBER(CG954),CG954,U954)</f>
        <v>1.45</v>
      </c>
      <c r="CJ954" s="41">
        <f t="shared" ref="CJ954:CJ963" si="530">LOG10(CI954)</f>
        <v>0.16136800223497488</v>
      </c>
      <c r="CK954" s="18"/>
      <c r="CL954" s="9" t="s">
        <v>1269</v>
      </c>
      <c r="CM954" s="18" t="s">
        <v>1285</v>
      </c>
      <c r="CN954" s="54" t="s">
        <v>1284</v>
      </c>
      <c r="CO954" s="18" t="s">
        <v>1284</v>
      </c>
    </row>
    <row r="955" spans="1:93" x14ac:dyDescent="0.25">
      <c r="A955" s="18" t="s">
        <v>315</v>
      </c>
      <c r="B955" s="41">
        <v>1.1220000000000001E-2</v>
      </c>
      <c r="C955" s="41" t="s">
        <v>22</v>
      </c>
      <c r="D955" s="41" t="s">
        <v>22</v>
      </c>
      <c r="E955" s="41" t="s">
        <v>22</v>
      </c>
      <c r="F955" s="18" t="s">
        <v>22</v>
      </c>
      <c r="G955" s="18" t="s">
        <v>22</v>
      </c>
      <c r="H955" s="18" t="s">
        <v>22</v>
      </c>
      <c r="I955" s="18" t="s">
        <v>22</v>
      </c>
      <c r="K955" s="18">
        <v>632.82000000000005</v>
      </c>
      <c r="L955" s="41" t="str">
        <f>IF((10^-12)*J955*K955^4=0,"",(10^-12)*J955*K955^4)</f>
        <v/>
      </c>
      <c r="M955" s="18" t="s">
        <v>23</v>
      </c>
      <c r="N955" s="41" t="s">
        <v>22</v>
      </c>
      <c r="O955" s="41" t="s">
        <v>22</v>
      </c>
      <c r="P955" s="41" t="s">
        <v>22</v>
      </c>
      <c r="R955" s="41" t="s">
        <v>22</v>
      </c>
      <c r="S955" s="41" t="s">
        <v>22</v>
      </c>
      <c r="T955" s="41" t="s">
        <v>883</v>
      </c>
      <c r="U955" s="41">
        <v>1.45</v>
      </c>
      <c r="V955" s="18">
        <v>20200524</v>
      </c>
      <c r="W955" s="9" t="s">
        <v>887</v>
      </c>
      <c r="X955" s="18">
        <v>2018</v>
      </c>
      <c r="Y955" s="18" t="s">
        <v>328</v>
      </c>
      <c r="Z955" s="18" t="s">
        <v>32</v>
      </c>
      <c r="AA955" s="18"/>
      <c r="AC955" s="18" t="s">
        <v>533</v>
      </c>
      <c r="AD955" s="41" t="s">
        <v>22</v>
      </c>
      <c r="AF955" s="41" t="s">
        <v>22</v>
      </c>
      <c r="AG955" s="41" t="s">
        <v>22</v>
      </c>
      <c r="AH955" s="41" t="s">
        <v>22</v>
      </c>
      <c r="AI955" s="41" t="s">
        <v>22</v>
      </c>
      <c r="AJ955" s="41" t="s">
        <v>22</v>
      </c>
      <c r="AK955" s="41" t="s">
        <v>22</v>
      </c>
      <c r="AL955" s="41" t="s">
        <v>22</v>
      </c>
      <c r="AM955" s="43" t="e">
        <f t="shared" si="501"/>
        <v>#VALUE!</v>
      </c>
      <c r="AN955" s="43" t="e">
        <f t="shared" si="502"/>
        <v>#VALUE!</v>
      </c>
      <c r="AO955" s="19" t="s">
        <v>886</v>
      </c>
      <c r="AT955" s="2">
        <f t="shared" si="503"/>
        <v>4</v>
      </c>
      <c r="AU955" s="45">
        <f t="shared" si="504"/>
        <v>-1.9500071430798573</v>
      </c>
      <c r="AV955" s="45" t="e">
        <f t="shared" si="505"/>
        <v>#VALUE!</v>
      </c>
      <c r="AW955" s="45" t="e">
        <f t="shared" si="506"/>
        <v>#VALUE!</v>
      </c>
      <c r="AX955" s="45" t="e">
        <f t="shared" si="507"/>
        <v>#VALUE!</v>
      </c>
      <c r="AY955" s="45" t="e">
        <f t="shared" si="508"/>
        <v>#VALUE!</v>
      </c>
      <c r="AZ955" s="45" t="e">
        <f t="shared" si="509"/>
        <v>#VALUE!</v>
      </c>
      <c r="BA955" s="45" t="e">
        <f t="shared" si="510"/>
        <v>#NUM!</v>
      </c>
      <c r="BB955" s="45" t="e">
        <f t="shared" si="511"/>
        <v>#VALUE!</v>
      </c>
      <c r="BC955" s="45">
        <f t="shared" si="512"/>
        <v>0.16136800223497488</v>
      </c>
      <c r="BD955" s="45" t="e">
        <f t="shared" si="513"/>
        <v>#VALUE!</v>
      </c>
      <c r="BE955" s="45" t="e">
        <f t="shared" si="514"/>
        <v>#VALUE!</v>
      </c>
      <c r="BF955" s="45" t="e">
        <f t="shared" si="515"/>
        <v>#VALUE!</v>
      </c>
      <c r="BG955" s="45" t="e">
        <f t="shared" si="516"/>
        <v>#VALUE!</v>
      </c>
      <c r="BH955" s="45" t="e">
        <f t="shared" si="517"/>
        <v>#NUM!</v>
      </c>
      <c r="BI955" s="43" t="e">
        <f t="shared" si="518"/>
        <v>#VALUE!</v>
      </c>
      <c r="BL955" s="20"/>
      <c r="CA955" s="41" t="s">
        <v>22</v>
      </c>
      <c r="CC955" s="18" t="s">
        <v>22</v>
      </c>
      <c r="CD955" s="18"/>
      <c r="CE955" s="41" t="s">
        <v>22</v>
      </c>
      <c r="CF955" s="41" t="s">
        <v>22</v>
      </c>
      <c r="CG955" s="41" t="e">
        <f t="shared" si="527"/>
        <v>#VALUE!</v>
      </c>
      <c r="CH955" s="41" t="e">
        <f t="shared" si="528"/>
        <v>#VALUE!</v>
      </c>
      <c r="CI955" s="41">
        <f t="shared" si="529"/>
        <v>1.45</v>
      </c>
      <c r="CJ955" s="41">
        <f t="shared" si="530"/>
        <v>0.16136800223497488</v>
      </c>
      <c r="CK955" s="18"/>
      <c r="CL955" s="9" t="s">
        <v>1269</v>
      </c>
      <c r="CM955" s="18" t="s">
        <v>1285</v>
      </c>
      <c r="CN955" s="54" t="s">
        <v>1284</v>
      </c>
      <c r="CO955" s="18" t="s">
        <v>1284</v>
      </c>
    </row>
    <row r="956" spans="1:93" x14ac:dyDescent="0.25">
      <c r="A956" s="18" t="s">
        <v>315</v>
      </c>
      <c r="B956" s="41">
        <v>0.11219999999999999</v>
      </c>
      <c r="C956" s="41" t="s">
        <v>22</v>
      </c>
      <c r="D956" s="41" t="s">
        <v>22</v>
      </c>
      <c r="E956" s="41" t="s">
        <v>22</v>
      </c>
      <c r="F956" s="18" t="s">
        <v>22</v>
      </c>
      <c r="G956" s="18" t="s">
        <v>22</v>
      </c>
      <c r="H956" s="18" t="s">
        <v>22</v>
      </c>
      <c r="I956" s="18" t="s">
        <v>22</v>
      </c>
      <c r="K956" s="18">
        <v>632.82000000000005</v>
      </c>
      <c r="L956" s="41" t="str">
        <f>IF((10^-12)*J956*K956^4=0,"",(10^-12)*J956*K956^4)</f>
        <v/>
      </c>
      <c r="M956" s="18" t="s">
        <v>45</v>
      </c>
      <c r="N956" s="41" t="s">
        <v>22</v>
      </c>
      <c r="O956" s="41" t="s">
        <v>22</v>
      </c>
      <c r="P956" s="41" t="s">
        <v>22</v>
      </c>
      <c r="R956" s="41" t="s">
        <v>22</v>
      </c>
      <c r="S956" s="41" t="s">
        <v>22</v>
      </c>
      <c r="T956" s="41" t="s">
        <v>883</v>
      </c>
      <c r="U956" s="41">
        <v>1.45</v>
      </c>
      <c r="V956" s="18">
        <v>20200524</v>
      </c>
      <c r="W956" s="9" t="s">
        <v>888</v>
      </c>
      <c r="X956" s="18">
        <v>2018</v>
      </c>
      <c r="Y956" s="18" t="s">
        <v>328</v>
      </c>
      <c r="Z956" s="18" t="s">
        <v>885</v>
      </c>
      <c r="AA956" s="18" t="s">
        <v>880</v>
      </c>
      <c r="AB956" s="41">
        <v>6.2190000000000002E-2</v>
      </c>
      <c r="AC956" s="18" t="s">
        <v>287</v>
      </c>
      <c r="AD956" s="41" t="s">
        <v>22</v>
      </c>
      <c r="AF956" s="41" t="s">
        <v>22</v>
      </c>
      <c r="AG956" s="41" t="s">
        <v>22</v>
      </c>
      <c r="AH956" s="41" t="s">
        <v>22</v>
      </c>
      <c r="AI956" s="41" t="s">
        <v>22</v>
      </c>
      <c r="AJ956" s="41" t="s">
        <v>22</v>
      </c>
      <c r="AK956" s="41" t="s">
        <v>22</v>
      </c>
      <c r="AL956" s="41" t="s">
        <v>22</v>
      </c>
      <c r="AM956" s="43" t="e">
        <f t="shared" si="501"/>
        <v>#VALUE!</v>
      </c>
      <c r="AN956" s="43" t="e">
        <f t="shared" si="502"/>
        <v>#VALUE!</v>
      </c>
      <c r="AO956" s="19" t="s">
        <v>886</v>
      </c>
      <c r="AP956" s="18"/>
      <c r="AQ956" s="18"/>
      <c r="AR956" s="18"/>
      <c r="AS956" s="18"/>
      <c r="AT956" s="2">
        <f t="shared" si="503"/>
        <v>4</v>
      </c>
      <c r="AU956" s="45">
        <f t="shared" si="504"/>
        <v>-0.95000714307985745</v>
      </c>
      <c r="AV956" s="45" t="e">
        <f t="shared" si="505"/>
        <v>#VALUE!</v>
      </c>
      <c r="AW956" s="45" t="e">
        <f t="shared" si="506"/>
        <v>#VALUE!</v>
      </c>
      <c r="AX956" s="45" t="e">
        <f t="shared" si="507"/>
        <v>#VALUE!</v>
      </c>
      <c r="AY956" s="45" t="e">
        <f t="shared" si="508"/>
        <v>#VALUE!</v>
      </c>
      <c r="AZ956" s="45" t="e">
        <f t="shared" si="509"/>
        <v>#VALUE!</v>
      </c>
      <c r="BA956" s="45" t="e">
        <f t="shared" si="510"/>
        <v>#NUM!</v>
      </c>
      <c r="BB956" s="45" t="e">
        <f t="shared" si="511"/>
        <v>#VALUE!</v>
      </c>
      <c r="BC956" s="45">
        <f t="shared" si="512"/>
        <v>0.16136800223497488</v>
      </c>
      <c r="BD956" s="45" t="e">
        <f t="shared" si="513"/>
        <v>#VALUE!</v>
      </c>
      <c r="BE956" s="45" t="e">
        <f t="shared" si="514"/>
        <v>#VALUE!</v>
      </c>
      <c r="BF956" s="45" t="e">
        <f t="shared" si="515"/>
        <v>#VALUE!</v>
      </c>
      <c r="BG956" s="45" t="e">
        <f t="shared" si="516"/>
        <v>#VALUE!</v>
      </c>
      <c r="BH956" s="45">
        <f t="shared" si="517"/>
        <v>-1.2062794431864767</v>
      </c>
      <c r="BI956" s="43" t="e">
        <f t="shared" si="518"/>
        <v>#VALUE!</v>
      </c>
      <c r="BJ956" s="18"/>
      <c r="BK956" s="18"/>
      <c r="BL956" s="20"/>
      <c r="BS956" s="18"/>
      <c r="BT956" s="18"/>
      <c r="CA956" s="41" t="s">
        <v>22</v>
      </c>
      <c r="CB956" s="18"/>
      <c r="CC956" s="18" t="s">
        <v>22</v>
      </c>
      <c r="CD956" s="18"/>
      <c r="CE956" s="41" t="s">
        <v>22</v>
      </c>
      <c r="CF956" s="41" t="s">
        <v>22</v>
      </c>
      <c r="CG956" s="41" t="e">
        <f t="shared" si="527"/>
        <v>#VALUE!</v>
      </c>
      <c r="CH956" s="41" t="e">
        <f t="shared" si="528"/>
        <v>#VALUE!</v>
      </c>
      <c r="CI956" s="41">
        <f t="shared" si="529"/>
        <v>1.45</v>
      </c>
      <c r="CJ956" s="41">
        <f t="shared" si="530"/>
        <v>0.16136800223497488</v>
      </c>
      <c r="CK956" s="18"/>
      <c r="CL956" s="9" t="s">
        <v>1269</v>
      </c>
      <c r="CM956" s="18" t="s">
        <v>1285</v>
      </c>
      <c r="CN956" s="54" t="s">
        <v>1284</v>
      </c>
      <c r="CO956" s="18" t="s">
        <v>1284</v>
      </c>
    </row>
    <row r="957" spans="1:93" x14ac:dyDescent="0.25">
      <c r="A957" s="18" t="s">
        <v>315</v>
      </c>
      <c r="B957" s="41">
        <v>6.2190000000000002E-2</v>
      </c>
      <c r="C957" s="41" t="s">
        <v>22</v>
      </c>
      <c r="D957" s="41" t="s">
        <v>22</v>
      </c>
      <c r="E957" s="41" t="s">
        <v>22</v>
      </c>
      <c r="F957" s="18" t="s">
        <v>22</v>
      </c>
      <c r="G957" s="18" t="s">
        <v>22</v>
      </c>
      <c r="H957" s="18" t="s">
        <v>22</v>
      </c>
      <c r="I957" s="18" t="s">
        <v>22</v>
      </c>
      <c r="K957" s="18">
        <v>632.82000000000005</v>
      </c>
      <c r="L957" s="41" t="str">
        <f>IF((10^-12)*J957*K957^4=0,"",(10^-12)*J957*K957^4)</f>
        <v/>
      </c>
      <c r="M957" s="18" t="s">
        <v>23</v>
      </c>
      <c r="N957" s="41" t="s">
        <v>22</v>
      </c>
      <c r="O957" s="41" t="s">
        <v>22</v>
      </c>
      <c r="P957" s="41" t="s">
        <v>22</v>
      </c>
      <c r="R957" s="41" t="s">
        <v>22</v>
      </c>
      <c r="S957" s="41" t="s">
        <v>22</v>
      </c>
      <c r="T957" s="41" t="s">
        <v>883</v>
      </c>
      <c r="U957" s="41">
        <v>1.45</v>
      </c>
      <c r="V957" s="18">
        <v>20200524</v>
      </c>
      <c r="W957" s="9" t="s">
        <v>889</v>
      </c>
      <c r="X957" s="18">
        <v>2018</v>
      </c>
      <c r="Y957" s="18" t="s">
        <v>328</v>
      </c>
      <c r="Z957" s="18" t="s">
        <v>32</v>
      </c>
      <c r="AA957" s="18"/>
      <c r="AC957" s="18" t="s">
        <v>287</v>
      </c>
      <c r="AD957" s="41" t="s">
        <v>22</v>
      </c>
      <c r="AF957" s="41" t="s">
        <v>22</v>
      </c>
      <c r="AG957" s="41" t="s">
        <v>22</v>
      </c>
      <c r="AH957" s="41" t="s">
        <v>22</v>
      </c>
      <c r="AI957" s="41" t="s">
        <v>22</v>
      </c>
      <c r="AJ957" s="41" t="s">
        <v>22</v>
      </c>
      <c r="AK957" s="41" t="s">
        <v>22</v>
      </c>
      <c r="AL957" s="41" t="s">
        <v>22</v>
      </c>
      <c r="AM957" s="43" t="e">
        <f t="shared" si="501"/>
        <v>#VALUE!</v>
      </c>
      <c r="AN957" s="43" t="e">
        <f t="shared" si="502"/>
        <v>#VALUE!</v>
      </c>
      <c r="AO957" s="19" t="s">
        <v>886</v>
      </c>
      <c r="AP957" s="18"/>
      <c r="AQ957" s="18"/>
      <c r="AR957" s="18"/>
      <c r="AS957" s="18"/>
      <c r="AT957" s="2">
        <f t="shared" si="503"/>
        <v>4</v>
      </c>
      <c r="AU957" s="45">
        <f t="shared" si="504"/>
        <v>-1.2062794431864767</v>
      </c>
      <c r="AV957" s="45" t="e">
        <f t="shared" si="505"/>
        <v>#VALUE!</v>
      </c>
      <c r="AW957" s="45" t="e">
        <f t="shared" si="506"/>
        <v>#VALUE!</v>
      </c>
      <c r="AX957" s="45" t="e">
        <f t="shared" si="507"/>
        <v>#VALUE!</v>
      </c>
      <c r="AY957" s="45" t="e">
        <f t="shared" si="508"/>
        <v>#VALUE!</v>
      </c>
      <c r="AZ957" s="45" t="e">
        <f t="shared" si="509"/>
        <v>#VALUE!</v>
      </c>
      <c r="BA957" s="45" t="e">
        <f t="shared" si="510"/>
        <v>#NUM!</v>
      </c>
      <c r="BB957" s="45" t="e">
        <f t="shared" si="511"/>
        <v>#VALUE!</v>
      </c>
      <c r="BC957" s="45">
        <f t="shared" si="512"/>
        <v>0.16136800223497488</v>
      </c>
      <c r="BD957" s="45" t="e">
        <f t="shared" si="513"/>
        <v>#VALUE!</v>
      </c>
      <c r="BE957" s="45" t="e">
        <f t="shared" si="514"/>
        <v>#VALUE!</v>
      </c>
      <c r="BF957" s="45" t="e">
        <f t="shared" si="515"/>
        <v>#VALUE!</v>
      </c>
      <c r="BG957" s="45" t="e">
        <f t="shared" si="516"/>
        <v>#VALUE!</v>
      </c>
      <c r="BH957" s="45" t="e">
        <f t="shared" si="517"/>
        <v>#NUM!</v>
      </c>
      <c r="BI957" s="43" t="e">
        <f t="shared" si="518"/>
        <v>#VALUE!</v>
      </c>
      <c r="BJ957" s="18"/>
      <c r="BK957" s="18"/>
      <c r="BL957" s="20"/>
      <c r="BS957" s="18"/>
      <c r="BT957" s="18"/>
      <c r="CA957" s="41" t="s">
        <v>22</v>
      </c>
      <c r="CB957" s="18"/>
      <c r="CC957" s="18" t="s">
        <v>22</v>
      </c>
      <c r="CD957" s="18"/>
      <c r="CE957" s="41" t="s">
        <v>22</v>
      </c>
      <c r="CF957" s="41" t="s">
        <v>22</v>
      </c>
      <c r="CG957" s="41" t="e">
        <f t="shared" si="527"/>
        <v>#VALUE!</v>
      </c>
      <c r="CH957" s="41" t="e">
        <f t="shared" si="528"/>
        <v>#VALUE!</v>
      </c>
      <c r="CI957" s="41">
        <f t="shared" si="529"/>
        <v>1.45</v>
      </c>
      <c r="CJ957" s="41">
        <f t="shared" si="530"/>
        <v>0.16136800223497488</v>
      </c>
      <c r="CK957" s="18"/>
      <c r="CL957" s="9" t="s">
        <v>1269</v>
      </c>
      <c r="CM957" s="18" t="s">
        <v>1285</v>
      </c>
      <c r="CN957" s="54" t="s">
        <v>1284</v>
      </c>
      <c r="CO957" s="18" t="s">
        <v>1284</v>
      </c>
    </row>
    <row r="958" spans="1:93" x14ac:dyDescent="0.25">
      <c r="A958" s="18" t="s">
        <v>141</v>
      </c>
      <c r="B958" s="41" t="s">
        <v>22</v>
      </c>
      <c r="C958" s="41">
        <v>0.73515981735159819</v>
      </c>
      <c r="D958" s="41" t="s">
        <v>22</v>
      </c>
      <c r="E958" s="41" t="s">
        <v>22</v>
      </c>
      <c r="F958" s="18" t="s">
        <v>22</v>
      </c>
      <c r="G958" s="18" t="s">
        <v>22</v>
      </c>
      <c r="H958" s="18" t="s">
        <v>22</v>
      </c>
      <c r="I958" s="18" t="s">
        <v>22</v>
      </c>
      <c r="J958" s="41" t="s">
        <v>22</v>
      </c>
      <c r="K958" s="18" t="s">
        <v>22</v>
      </c>
      <c r="L958" s="41" t="e">
        <f>IF((10^-12)*J958*K958^4=0,"",(10^-12)*J958*K958^4)</f>
        <v>#VALUE!</v>
      </c>
      <c r="M958" s="18" t="s">
        <v>45</v>
      </c>
      <c r="N958" s="41">
        <v>1610</v>
      </c>
      <c r="O958" s="41">
        <v>2.19</v>
      </c>
      <c r="P958" s="41" t="s">
        <v>22</v>
      </c>
      <c r="R958" s="41" t="s">
        <v>22</v>
      </c>
      <c r="S958" s="41" t="s">
        <v>22</v>
      </c>
      <c r="T958" s="41" t="s">
        <v>111</v>
      </c>
      <c r="U958" s="41">
        <v>8.8000000000000007</v>
      </c>
      <c r="V958" s="18">
        <v>20200507</v>
      </c>
      <c r="W958" s="9" t="s">
        <v>112</v>
      </c>
      <c r="X958" s="18">
        <v>2018</v>
      </c>
      <c r="Y958" s="18" t="s">
        <v>76</v>
      </c>
      <c r="Z958" s="18" t="s">
        <v>263</v>
      </c>
      <c r="AA958" s="18"/>
      <c r="AC958" s="18" t="s">
        <v>514</v>
      </c>
      <c r="AD958" s="41">
        <v>12.649110640673518</v>
      </c>
      <c r="AE958" s="41" t="s">
        <v>22</v>
      </c>
      <c r="AF958" s="41" t="s">
        <v>22</v>
      </c>
      <c r="AG958" s="41" t="s">
        <v>22</v>
      </c>
      <c r="AH958" s="41" t="s">
        <v>22</v>
      </c>
      <c r="AI958" s="41" t="s">
        <v>22</v>
      </c>
      <c r="AJ958" s="41" t="s">
        <v>22</v>
      </c>
      <c r="AK958" s="41" t="s">
        <v>22</v>
      </c>
      <c r="AL958" s="41" t="s">
        <v>22</v>
      </c>
      <c r="AM958" s="43" t="e">
        <f t="shared" si="501"/>
        <v>#VALUE!</v>
      </c>
      <c r="AN958" s="43" t="e">
        <f t="shared" si="502"/>
        <v>#VALUE!</v>
      </c>
      <c r="AO958" s="5" t="s">
        <v>1083</v>
      </c>
      <c r="AP958" s="18"/>
      <c r="AQ958" s="18"/>
      <c r="AR958" s="18"/>
      <c r="AS958" s="18"/>
      <c r="AT958" s="2">
        <f t="shared" si="503"/>
        <v>6</v>
      </c>
      <c r="AU958" s="45" t="e">
        <f t="shared" si="504"/>
        <v>#VALUE!</v>
      </c>
      <c r="AV958" s="45">
        <f t="shared" si="505"/>
        <v>-0.13361823880826862</v>
      </c>
      <c r="AW958" s="45" t="e">
        <f t="shared" si="506"/>
        <v>#VALUE!</v>
      </c>
      <c r="AX958" s="45">
        <f t="shared" si="507"/>
        <v>3.2068258760318495</v>
      </c>
      <c r="AY958" s="45">
        <f t="shared" si="508"/>
        <v>0.34044411484011833</v>
      </c>
      <c r="AZ958" s="45" t="e">
        <f t="shared" si="509"/>
        <v>#VALUE!</v>
      </c>
      <c r="BA958" s="45" t="e">
        <f t="shared" si="510"/>
        <v>#VALUE!</v>
      </c>
      <c r="BB958" s="45" t="e">
        <f t="shared" si="511"/>
        <v>#VALUE!</v>
      </c>
      <c r="BC958" s="45">
        <f t="shared" si="512"/>
        <v>0.94448267215016868</v>
      </c>
      <c r="BD958" s="45">
        <f t="shared" si="513"/>
        <v>1.1020599913279625</v>
      </c>
      <c r="BE958" s="45" t="e">
        <f t="shared" si="514"/>
        <v>#VALUE!</v>
      </c>
      <c r="BF958" s="45" t="e">
        <f t="shared" si="515"/>
        <v>#VALUE!</v>
      </c>
      <c r="BG958" s="45" t="e">
        <f t="shared" si="516"/>
        <v>#VALUE!</v>
      </c>
      <c r="BH958" s="45" t="e">
        <f t="shared" si="517"/>
        <v>#NUM!</v>
      </c>
      <c r="BI958" s="43" t="e">
        <f t="shared" si="518"/>
        <v>#VALUE!</v>
      </c>
      <c r="BJ958" s="18"/>
      <c r="BK958" s="18"/>
      <c r="BL958" s="20"/>
      <c r="BS958" s="18"/>
      <c r="BT958" s="18"/>
      <c r="CA958" s="41" t="s">
        <v>22</v>
      </c>
      <c r="CB958" s="18"/>
      <c r="CC958" s="18" t="s">
        <v>22</v>
      </c>
      <c r="CD958" s="18"/>
      <c r="CE958" s="41" t="s">
        <v>22</v>
      </c>
      <c r="CF958" s="41" t="s">
        <v>22</v>
      </c>
      <c r="CG958" s="41">
        <f t="shared" si="527"/>
        <v>12649.110640673518</v>
      </c>
      <c r="CH958" s="41">
        <f t="shared" si="528"/>
        <v>4.1020599913279625</v>
      </c>
      <c r="CI958" s="41">
        <f t="shared" si="529"/>
        <v>12649.110640673518</v>
      </c>
      <c r="CJ958" s="41">
        <f t="shared" si="530"/>
        <v>4.1020599913279625</v>
      </c>
      <c r="CK958" s="18"/>
      <c r="CL958" s="9" t="s">
        <v>1269</v>
      </c>
      <c r="CM958" s="18" t="s">
        <v>1283</v>
      </c>
      <c r="CN958" s="54" t="s">
        <v>1284</v>
      </c>
      <c r="CO958" s="18" t="s">
        <v>1284</v>
      </c>
    </row>
    <row r="959" spans="1:93" x14ac:dyDescent="0.25">
      <c r="A959" s="18" t="s">
        <v>141</v>
      </c>
      <c r="B959" s="41" t="s">
        <v>22</v>
      </c>
      <c r="C959" s="41">
        <v>0.75916230366492155</v>
      </c>
      <c r="D959" s="41" t="s">
        <v>22</v>
      </c>
      <c r="E959" s="41" t="s">
        <v>22</v>
      </c>
      <c r="F959" s="18" t="s">
        <v>22</v>
      </c>
      <c r="G959" s="18" t="s">
        <v>22</v>
      </c>
      <c r="H959" s="18" t="s">
        <v>22</v>
      </c>
      <c r="I959" s="18" t="s">
        <v>22</v>
      </c>
      <c r="J959" s="41" t="s">
        <v>22</v>
      </c>
      <c r="K959" s="18" t="s">
        <v>22</v>
      </c>
      <c r="M959" s="18" t="s">
        <v>45</v>
      </c>
      <c r="N959" s="41">
        <v>1450</v>
      </c>
      <c r="O959" s="41">
        <v>1.91</v>
      </c>
      <c r="P959" s="41" t="s">
        <v>22</v>
      </c>
      <c r="R959" s="41" t="s">
        <v>22</v>
      </c>
      <c r="S959" s="41" t="s">
        <v>22</v>
      </c>
      <c r="T959" s="41" t="s">
        <v>111</v>
      </c>
      <c r="U959" s="41">
        <v>8.8000000000000007</v>
      </c>
      <c r="V959" s="18">
        <v>20200507</v>
      </c>
      <c r="W959" s="9" t="s">
        <v>580</v>
      </c>
      <c r="X959" s="18">
        <v>2018</v>
      </c>
      <c r="Y959" s="18" t="s">
        <v>76</v>
      </c>
      <c r="Z959" s="18" t="s">
        <v>581</v>
      </c>
      <c r="AA959" s="18"/>
      <c r="AC959" s="18" t="s">
        <v>514</v>
      </c>
      <c r="AD959" s="41">
        <v>12.165525060596439</v>
      </c>
      <c r="AE959" s="41" t="s">
        <v>22</v>
      </c>
      <c r="AF959" s="41" t="s">
        <v>22</v>
      </c>
      <c r="AG959" s="41" t="s">
        <v>22</v>
      </c>
      <c r="AH959" s="41" t="s">
        <v>22</v>
      </c>
      <c r="AI959" s="41" t="s">
        <v>22</v>
      </c>
      <c r="AJ959" s="41" t="s">
        <v>22</v>
      </c>
      <c r="AK959" s="41" t="s">
        <v>22</v>
      </c>
      <c r="AL959" s="41" t="s">
        <v>22</v>
      </c>
      <c r="AM959" s="43" t="e">
        <f t="shared" si="501"/>
        <v>#VALUE!</v>
      </c>
      <c r="AN959" s="43" t="e">
        <f t="shared" si="502"/>
        <v>#VALUE!</v>
      </c>
      <c r="AO959" s="5" t="s">
        <v>1083</v>
      </c>
      <c r="AP959" s="18"/>
      <c r="AQ959" s="18"/>
      <c r="AR959" s="18"/>
      <c r="AS959" s="18"/>
      <c r="AT959" s="2">
        <f t="shared" si="503"/>
        <v>6</v>
      </c>
      <c r="AU959" s="45" t="e">
        <f t="shared" si="504"/>
        <v>#VALUE!</v>
      </c>
      <c r="AV959" s="45">
        <f t="shared" si="505"/>
        <v>-0.1196653650127526</v>
      </c>
      <c r="AW959" s="45" t="e">
        <f t="shared" si="506"/>
        <v>#VALUE!</v>
      </c>
      <c r="AX959" s="45">
        <f t="shared" si="507"/>
        <v>3.1613680022349748</v>
      </c>
      <c r="AY959" s="45">
        <f t="shared" si="508"/>
        <v>0.28103336724772754</v>
      </c>
      <c r="AZ959" s="45" t="e">
        <f t="shared" si="509"/>
        <v>#VALUE!</v>
      </c>
      <c r="BA959" s="45" t="e">
        <f t="shared" si="510"/>
        <v>#VALUE!</v>
      </c>
      <c r="BB959" s="45" t="e">
        <f t="shared" si="511"/>
        <v>#NUM!</v>
      </c>
      <c r="BC959" s="45">
        <f t="shared" si="512"/>
        <v>0.94448267215016868</v>
      </c>
      <c r="BD959" s="45">
        <f t="shared" si="513"/>
        <v>1.0851308576974787</v>
      </c>
      <c r="BE959" s="45" t="e">
        <f t="shared" si="514"/>
        <v>#VALUE!</v>
      </c>
      <c r="BF959" s="45" t="e">
        <f t="shared" si="515"/>
        <v>#VALUE!</v>
      </c>
      <c r="BG959" s="45" t="e">
        <f t="shared" si="516"/>
        <v>#VALUE!</v>
      </c>
      <c r="BH959" s="45" t="e">
        <f t="shared" si="517"/>
        <v>#NUM!</v>
      </c>
      <c r="BI959" s="43" t="e">
        <f t="shared" si="518"/>
        <v>#VALUE!</v>
      </c>
      <c r="BJ959" s="18"/>
      <c r="BK959" s="18"/>
      <c r="BL959" s="20"/>
      <c r="BS959" s="18"/>
      <c r="BT959" s="18"/>
      <c r="CA959" s="41" t="s">
        <v>22</v>
      </c>
      <c r="CB959" s="18"/>
      <c r="CC959" s="18" t="s">
        <v>22</v>
      </c>
      <c r="CD959" s="18"/>
      <c r="CE959" s="41" t="s">
        <v>22</v>
      </c>
      <c r="CF959" s="41" t="s">
        <v>22</v>
      </c>
      <c r="CG959" s="41">
        <f t="shared" si="527"/>
        <v>12165.525060596439</v>
      </c>
      <c r="CH959" s="41">
        <f t="shared" si="528"/>
        <v>4.0851308576974787</v>
      </c>
      <c r="CI959" s="41">
        <f t="shared" si="529"/>
        <v>12165.525060596439</v>
      </c>
      <c r="CJ959" s="41">
        <f t="shared" si="530"/>
        <v>4.0851308576974787</v>
      </c>
      <c r="CK959" s="18"/>
      <c r="CL959" s="9" t="s">
        <v>1269</v>
      </c>
      <c r="CM959" s="18" t="s">
        <v>1283</v>
      </c>
      <c r="CN959" s="54" t="s">
        <v>1284</v>
      </c>
      <c r="CO959" s="18" t="s">
        <v>1284</v>
      </c>
    </row>
    <row r="960" spans="1:93" x14ac:dyDescent="0.25">
      <c r="A960" s="18" t="s">
        <v>141</v>
      </c>
      <c r="B960" s="41" t="s">
        <v>22</v>
      </c>
      <c r="C960" s="41">
        <v>0.57594936708860756</v>
      </c>
      <c r="D960" s="41" t="s">
        <v>22</v>
      </c>
      <c r="E960" s="41" t="s">
        <v>22</v>
      </c>
      <c r="F960" s="18" t="s">
        <v>22</v>
      </c>
      <c r="G960" s="18" t="s">
        <v>22</v>
      </c>
      <c r="H960" s="18" t="s">
        <v>22</v>
      </c>
      <c r="I960" s="18" t="s">
        <v>22</v>
      </c>
      <c r="J960" s="41" t="s">
        <v>22</v>
      </c>
      <c r="K960" s="18" t="s">
        <v>22</v>
      </c>
      <c r="M960" s="18" t="s">
        <v>45</v>
      </c>
      <c r="N960" s="41">
        <v>910</v>
      </c>
      <c r="O960" s="41">
        <v>1.58</v>
      </c>
      <c r="P960" s="41" t="s">
        <v>22</v>
      </c>
      <c r="R960" s="41" t="s">
        <v>22</v>
      </c>
      <c r="S960" s="41" t="s">
        <v>22</v>
      </c>
      <c r="T960" s="41" t="s">
        <v>111</v>
      </c>
      <c r="U960" s="41">
        <v>8.8000000000000007</v>
      </c>
      <c r="V960" s="18">
        <v>20200507</v>
      </c>
      <c r="W960" s="9" t="s">
        <v>579</v>
      </c>
      <c r="X960" s="18">
        <v>2018</v>
      </c>
      <c r="Y960" s="18" t="s">
        <v>76</v>
      </c>
      <c r="Z960" s="18" t="s">
        <v>582</v>
      </c>
      <c r="AC960" s="18" t="s">
        <v>514</v>
      </c>
      <c r="AD960" s="41">
        <v>14.7648230602334</v>
      </c>
      <c r="AE960" s="41" t="s">
        <v>22</v>
      </c>
      <c r="AF960" s="41" t="s">
        <v>22</v>
      </c>
      <c r="AG960" s="41" t="s">
        <v>22</v>
      </c>
      <c r="AH960" s="41" t="s">
        <v>22</v>
      </c>
      <c r="AI960" s="41" t="s">
        <v>22</v>
      </c>
      <c r="AJ960" s="41" t="s">
        <v>22</v>
      </c>
      <c r="AK960" s="41" t="s">
        <v>22</v>
      </c>
      <c r="AL960" s="41" t="s">
        <v>22</v>
      </c>
      <c r="AM960" s="43" t="e">
        <f t="shared" si="501"/>
        <v>#VALUE!</v>
      </c>
      <c r="AN960" s="43" t="e">
        <f t="shared" si="502"/>
        <v>#VALUE!</v>
      </c>
      <c r="AO960" s="5" t="s">
        <v>1083</v>
      </c>
      <c r="AT960" s="2">
        <f t="shared" si="503"/>
        <v>6</v>
      </c>
      <c r="AU960" s="45" t="e">
        <f t="shared" si="504"/>
        <v>#VALUE!</v>
      </c>
      <c r="AV960" s="45">
        <f t="shared" si="505"/>
        <v>-0.23961569463332905</v>
      </c>
      <c r="AW960" s="45" t="e">
        <f t="shared" si="506"/>
        <v>#VALUE!</v>
      </c>
      <c r="AX960" s="45">
        <f t="shared" si="507"/>
        <v>2.9590413923210934</v>
      </c>
      <c r="AY960" s="45">
        <f t="shared" si="508"/>
        <v>0.19865708695442263</v>
      </c>
      <c r="AZ960" s="45" t="e">
        <f t="shared" si="509"/>
        <v>#VALUE!</v>
      </c>
      <c r="BA960" s="45" t="e">
        <f t="shared" si="510"/>
        <v>#VALUE!</v>
      </c>
      <c r="BB960" s="45" t="e">
        <f t="shared" si="511"/>
        <v>#NUM!</v>
      </c>
      <c r="BC960" s="45">
        <f t="shared" si="512"/>
        <v>0.94448267215016868</v>
      </c>
      <c r="BD960" s="45">
        <f t="shared" si="513"/>
        <v>1.1692282468023023</v>
      </c>
      <c r="BE960" s="45" t="e">
        <f t="shared" si="514"/>
        <v>#VALUE!</v>
      </c>
      <c r="BF960" s="45" t="e">
        <f t="shared" si="515"/>
        <v>#VALUE!</v>
      </c>
      <c r="BG960" s="45" t="e">
        <f t="shared" si="516"/>
        <v>#VALUE!</v>
      </c>
      <c r="BH960" s="45" t="e">
        <f t="shared" si="517"/>
        <v>#NUM!</v>
      </c>
      <c r="BI960" s="43" t="e">
        <f t="shared" si="518"/>
        <v>#VALUE!</v>
      </c>
      <c r="CA960" s="41" t="s">
        <v>22</v>
      </c>
      <c r="CC960" s="18" t="s">
        <v>22</v>
      </c>
      <c r="CD960" s="18"/>
      <c r="CE960" s="41" t="s">
        <v>22</v>
      </c>
      <c r="CF960" s="41" t="s">
        <v>22</v>
      </c>
      <c r="CG960" s="41">
        <f t="shared" si="527"/>
        <v>14764.823060233401</v>
      </c>
      <c r="CH960" s="41">
        <f t="shared" si="528"/>
        <v>4.1692282468023025</v>
      </c>
      <c r="CI960" s="41">
        <f t="shared" si="529"/>
        <v>14764.823060233401</v>
      </c>
      <c r="CJ960" s="41">
        <f t="shared" si="530"/>
        <v>4.1692282468023025</v>
      </c>
      <c r="CK960" s="18"/>
      <c r="CL960" s="9" t="s">
        <v>1269</v>
      </c>
      <c r="CM960" s="18" t="s">
        <v>1283</v>
      </c>
      <c r="CN960" s="54" t="s">
        <v>1284</v>
      </c>
      <c r="CO960" s="18" t="s">
        <v>1284</v>
      </c>
    </row>
    <row r="961" spans="1:93" x14ac:dyDescent="0.25">
      <c r="A961" s="18" t="s">
        <v>141</v>
      </c>
      <c r="B961" s="41" t="s">
        <v>22</v>
      </c>
      <c r="C961" s="41">
        <v>0.56692913385826771</v>
      </c>
      <c r="D961" s="41" t="s">
        <v>22</v>
      </c>
      <c r="E961" s="41" t="s">
        <v>22</v>
      </c>
      <c r="F961" s="18" t="s">
        <v>22</v>
      </c>
      <c r="G961" s="18" t="s">
        <v>22</v>
      </c>
      <c r="H961" s="18" t="s">
        <v>22</v>
      </c>
      <c r="I961" s="18" t="s">
        <v>22</v>
      </c>
      <c r="J961" s="41" t="s">
        <v>22</v>
      </c>
      <c r="K961" s="18" t="s">
        <v>22</v>
      </c>
      <c r="M961" s="18" t="s">
        <v>23</v>
      </c>
      <c r="N961" s="41">
        <v>720</v>
      </c>
      <c r="O961" s="41">
        <v>1.27</v>
      </c>
      <c r="P961" s="41" t="s">
        <v>22</v>
      </c>
      <c r="R961" s="41" t="s">
        <v>22</v>
      </c>
      <c r="S961" s="41" t="s">
        <v>22</v>
      </c>
      <c r="T961" s="41" t="s">
        <v>111</v>
      </c>
      <c r="U961" s="41">
        <v>8.8000000000000007</v>
      </c>
      <c r="V961" s="18">
        <v>20200507</v>
      </c>
      <c r="W961" s="9" t="s">
        <v>578</v>
      </c>
      <c r="X961" s="18">
        <v>2018</v>
      </c>
      <c r="Y961" s="18" t="s">
        <v>76</v>
      </c>
      <c r="Z961" s="18" t="s">
        <v>85</v>
      </c>
      <c r="AC961" s="18" t="s">
        <v>514</v>
      </c>
      <c r="AD961" s="41">
        <v>15.588457268119896</v>
      </c>
      <c r="AE961" s="41" t="s">
        <v>22</v>
      </c>
      <c r="AF961" s="41" t="s">
        <v>22</v>
      </c>
      <c r="AG961" s="41" t="s">
        <v>22</v>
      </c>
      <c r="AH961" s="41" t="s">
        <v>22</v>
      </c>
      <c r="AI961" s="41" t="s">
        <v>22</v>
      </c>
      <c r="AJ961" s="41" t="s">
        <v>22</v>
      </c>
      <c r="AK961" s="41" t="s">
        <v>22</v>
      </c>
      <c r="AL961" s="41" t="s">
        <v>22</v>
      </c>
      <c r="AM961" s="43" t="e">
        <f t="shared" si="501"/>
        <v>#VALUE!</v>
      </c>
      <c r="AN961" s="43" t="e">
        <f t="shared" si="502"/>
        <v>#VALUE!</v>
      </c>
      <c r="AO961" s="5" t="s">
        <v>1083</v>
      </c>
      <c r="AT961" s="2">
        <f t="shared" si="503"/>
        <v>6</v>
      </c>
      <c r="AU961" s="45" t="e">
        <f t="shared" si="504"/>
        <v>#VALUE!</v>
      </c>
      <c r="AV961" s="45">
        <f t="shared" si="505"/>
        <v>-0.24647122452468842</v>
      </c>
      <c r="AW961" s="45" t="e">
        <f t="shared" si="506"/>
        <v>#VALUE!</v>
      </c>
      <c r="AX961" s="45">
        <f t="shared" si="507"/>
        <v>2.8573324964312685</v>
      </c>
      <c r="AY961" s="45">
        <f t="shared" si="508"/>
        <v>0.10380372095595687</v>
      </c>
      <c r="AZ961" s="45" t="e">
        <f t="shared" si="509"/>
        <v>#VALUE!</v>
      </c>
      <c r="BA961" s="45" t="e">
        <f t="shared" si="510"/>
        <v>#VALUE!</v>
      </c>
      <c r="BB961" s="45" t="e">
        <f t="shared" si="511"/>
        <v>#NUM!</v>
      </c>
      <c r="BC961" s="45">
        <f t="shared" si="512"/>
        <v>0.94448267215016868</v>
      </c>
      <c r="BD961" s="45">
        <f t="shared" si="513"/>
        <v>1.1928031367991561</v>
      </c>
      <c r="BE961" s="45" t="e">
        <f t="shared" si="514"/>
        <v>#VALUE!</v>
      </c>
      <c r="BF961" s="45" t="e">
        <f t="shared" si="515"/>
        <v>#VALUE!</v>
      </c>
      <c r="BG961" s="45" t="e">
        <f t="shared" si="516"/>
        <v>#VALUE!</v>
      </c>
      <c r="BH961" s="45" t="e">
        <f t="shared" si="517"/>
        <v>#NUM!</v>
      </c>
      <c r="BI961" s="43" t="e">
        <f t="shared" si="518"/>
        <v>#VALUE!</v>
      </c>
      <c r="CA961" s="41" t="s">
        <v>22</v>
      </c>
      <c r="CC961" s="18" t="s">
        <v>22</v>
      </c>
      <c r="CD961" s="18"/>
      <c r="CE961" s="41" t="s">
        <v>22</v>
      </c>
      <c r="CF961" s="41" t="s">
        <v>22</v>
      </c>
      <c r="CG961" s="41">
        <f t="shared" si="527"/>
        <v>15588.457268119895</v>
      </c>
      <c r="CH961" s="41">
        <f t="shared" si="528"/>
        <v>4.1928031367991565</v>
      </c>
      <c r="CI961" s="41">
        <f t="shared" si="529"/>
        <v>15588.457268119895</v>
      </c>
      <c r="CJ961" s="41">
        <f t="shared" si="530"/>
        <v>4.1928031367991565</v>
      </c>
      <c r="CK961" s="18"/>
      <c r="CL961" s="9" t="s">
        <v>1269</v>
      </c>
      <c r="CM961" s="18" t="s">
        <v>1283</v>
      </c>
      <c r="CN961" s="54" t="s">
        <v>1284</v>
      </c>
      <c r="CO961" s="18" t="s">
        <v>1284</v>
      </c>
    </row>
    <row r="962" spans="1:93" x14ac:dyDescent="0.25">
      <c r="A962" s="18" t="s">
        <v>141</v>
      </c>
      <c r="B962" s="41" t="s">
        <v>22</v>
      </c>
      <c r="C962" s="41">
        <v>0.57936507936507942</v>
      </c>
      <c r="D962" s="41" t="s">
        <v>22</v>
      </c>
      <c r="E962" s="41" t="s">
        <v>22</v>
      </c>
      <c r="F962" s="18" t="s">
        <v>22</v>
      </c>
      <c r="G962" s="18" t="s">
        <v>22</v>
      </c>
      <c r="H962" s="18" t="s">
        <v>22</v>
      </c>
      <c r="I962" s="18" t="s">
        <v>22</v>
      </c>
      <c r="J962" s="41" t="s">
        <v>22</v>
      </c>
      <c r="K962" s="18" t="s">
        <v>22</v>
      </c>
      <c r="M962" s="18" t="s">
        <v>23</v>
      </c>
      <c r="N962" s="41">
        <v>730</v>
      </c>
      <c r="O962" s="41">
        <v>1.26</v>
      </c>
      <c r="P962" s="41" t="s">
        <v>22</v>
      </c>
      <c r="R962" s="41" t="s">
        <v>22</v>
      </c>
      <c r="S962" s="41" t="s">
        <v>22</v>
      </c>
      <c r="T962" s="41" t="s">
        <v>111</v>
      </c>
      <c r="U962" s="41">
        <v>8.8000000000000007</v>
      </c>
      <c r="V962" s="18">
        <v>20200507</v>
      </c>
      <c r="W962" s="9" t="s">
        <v>577</v>
      </c>
      <c r="X962" s="18">
        <v>2018</v>
      </c>
      <c r="Y962" s="18" t="s">
        <v>76</v>
      </c>
      <c r="Z962" s="18" t="s">
        <v>85</v>
      </c>
      <c r="AA962" s="18"/>
      <c r="AC962" s="18" t="s">
        <v>514</v>
      </c>
      <c r="AD962" s="41">
        <v>14.317821063276353</v>
      </c>
      <c r="AE962" s="41" t="s">
        <v>22</v>
      </c>
      <c r="AF962" s="41" t="s">
        <v>22</v>
      </c>
      <c r="AG962" s="41" t="s">
        <v>22</v>
      </c>
      <c r="AH962" s="41" t="s">
        <v>22</v>
      </c>
      <c r="AI962" s="41" t="s">
        <v>22</v>
      </c>
      <c r="AJ962" s="41" t="s">
        <v>22</v>
      </c>
      <c r="AK962" s="41" t="s">
        <v>22</v>
      </c>
      <c r="AL962" s="41" t="s">
        <v>22</v>
      </c>
      <c r="AM962" s="43" t="e">
        <f t="shared" ref="AM962:AM1025" si="531">AL962/AI962</f>
        <v>#VALUE!</v>
      </c>
      <c r="AN962" s="43" t="e">
        <f t="shared" ref="AN962:AN1025" si="532">AL962/AJ962</f>
        <v>#VALUE!</v>
      </c>
      <c r="AO962" s="5" t="s">
        <v>1083</v>
      </c>
      <c r="AT962" s="2">
        <f t="shared" ref="AT962:AT1025" si="533">COUNTIF($AO$2:$AO$1400,AO962)</f>
        <v>6</v>
      </c>
      <c r="AU962" s="45" t="e">
        <f t="shared" ref="AU962:AU1025" si="534">LOG10(B962)</f>
        <v>#VALUE!</v>
      </c>
      <c r="AV962" s="45">
        <f t="shared" ref="AV962:AV1025" si="535">LOG10(C962)</f>
        <v>-0.23704768499710696</v>
      </c>
      <c r="AW962" s="45" t="e">
        <f t="shared" ref="AW962:AW1025" si="536">LOG10(D962)</f>
        <v>#VALUE!</v>
      </c>
      <c r="AX962" s="45">
        <f t="shared" ref="AX962:AX1025" si="537">LOG10(N962)</f>
        <v>2.8633228601204559</v>
      </c>
      <c r="AY962" s="45">
        <f t="shared" ref="AY962:AY1025" si="538">LOG10(O962)</f>
        <v>0.10037054511756291</v>
      </c>
      <c r="AZ962" s="45" t="e">
        <f t="shared" ref="AZ962:AZ1025" si="539">LOG10(P962)</f>
        <v>#VALUE!</v>
      </c>
      <c r="BA962" s="45" t="e">
        <f t="shared" ref="BA962:BA1025" si="540">LOG10(J962)</f>
        <v>#VALUE!</v>
      </c>
      <c r="BB962" s="45" t="e">
        <f t="shared" ref="BB962:BB1025" si="541">LOG10(L962)</f>
        <v>#NUM!</v>
      </c>
      <c r="BC962" s="45">
        <f t="shared" ref="BC962:BC1025" si="542">LOG10(U962)</f>
        <v>0.94448267215016868</v>
      </c>
      <c r="BD962" s="45">
        <f t="shared" ref="BD962:BD1025" si="543">LOG10(AD962)</f>
        <v>1.1558769305278771</v>
      </c>
      <c r="BE962" s="45" t="e">
        <f t="shared" ref="BE962:BE1025" si="544">LOG10(AF962)</f>
        <v>#VALUE!</v>
      </c>
      <c r="BF962" s="45" t="e">
        <f t="shared" ref="BF962:BF1025" si="545">LOG10(AM962)</f>
        <v>#VALUE!</v>
      </c>
      <c r="BG962" s="45" t="e">
        <f t="shared" ref="BG962:BG1025" si="546">LOG10(AN962)</f>
        <v>#VALUE!</v>
      </c>
      <c r="BH962" s="45" t="e">
        <f t="shared" ref="BH962:BH1025" si="547">LOG10(AB962)</f>
        <v>#NUM!</v>
      </c>
      <c r="BI962" s="43" t="e">
        <f t="shared" ref="BI962:BI1025" si="548">LOG10(AF962)</f>
        <v>#VALUE!</v>
      </c>
      <c r="CA962" s="41" t="s">
        <v>22</v>
      </c>
      <c r="CC962" s="18" t="s">
        <v>22</v>
      </c>
      <c r="CD962" s="18"/>
      <c r="CE962" s="41" t="s">
        <v>22</v>
      </c>
      <c r="CF962" s="41" t="s">
        <v>22</v>
      </c>
      <c r="CG962" s="41">
        <f t="shared" si="527"/>
        <v>14317.821063276353</v>
      </c>
      <c r="CH962" s="41">
        <f t="shared" si="528"/>
        <v>4.1558769305278771</v>
      </c>
      <c r="CI962" s="41">
        <f t="shared" si="529"/>
        <v>14317.821063276353</v>
      </c>
      <c r="CJ962" s="41">
        <f t="shared" si="530"/>
        <v>4.1558769305278771</v>
      </c>
      <c r="CK962" s="18"/>
      <c r="CL962" s="9" t="s">
        <v>1269</v>
      </c>
      <c r="CM962" s="18" t="s">
        <v>1283</v>
      </c>
      <c r="CN962" s="54" t="s">
        <v>1284</v>
      </c>
      <c r="CO962" s="18" t="s">
        <v>1284</v>
      </c>
    </row>
    <row r="963" spans="1:93" s="18" customFormat="1" x14ac:dyDescent="0.25">
      <c r="A963" s="18" t="s">
        <v>141</v>
      </c>
      <c r="B963" s="41" t="s">
        <v>22</v>
      </c>
      <c r="C963" s="41">
        <v>0.23157894736842105</v>
      </c>
      <c r="D963" s="41" t="s">
        <v>22</v>
      </c>
      <c r="E963" s="41" t="s">
        <v>22</v>
      </c>
      <c r="F963" s="18" t="s">
        <v>22</v>
      </c>
      <c r="G963" s="18" t="s">
        <v>22</v>
      </c>
      <c r="H963" s="18" t="s">
        <v>22</v>
      </c>
      <c r="I963" s="18" t="s">
        <v>22</v>
      </c>
      <c r="J963" s="41" t="s">
        <v>22</v>
      </c>
      <c r="K963" s="18" t="s">
        <v>22</v>
      </c>
      <c r="L963" s="41" t="e">
        <f>IF((10^-12)*J963*K963^4=0,"",(10^-12)*J963*K963^4)</f>
        <v>#VALUE!</v>
      </c>
      <c r="M963" s="18" t="s">
        <v>23</v>
      </c>
      <c r="N963" s="41">
        <v>220</v>
      </c>
      <c r="O963" s="41">
        <v>0.95</v>
      </c>
      <c r="P963" s="41" t="s">
        <v>22</v>
      </c>
      <c r="Q963" s="41"/>
      <c r="R963" s="41" t="s">
        <v>22</v>
      </c>
      <c r="S963" s="41" t="s">
        <v>22</v>
      </c>
      <c r="T963" s="41" t="s">
        <v>111</v>
      </c>
      <c r="U963" s="41">
        <v>8.8000000000000007</v>
      </c>
      <c r="V963" s="18">
        <v>20200508</v>
      </c>
      <c r="W963" s="21" t="s">
        <v>113</v>
      </c>
      <c r="X963" s="18">
        <v>2018</v>
      </c>
      <c r="Y963" s="18" t="s">
        <v>76</v>
      </c>
      <c r="Z963" s="18" t="s">
        <v>32</v>
      </c>
      <c r="AB963" s="41"/>
      <c r="AC963" s="18" t="s">
        <v>514</v>
      </c>
      <c r="AD963" s="41">
        <v>20.420577856662138</v>
      </c>
      <c r="AE963" s="41" t="s">
        <v>22</v>
      </c>
      <c r="AF963" s="41" t="s">
        <v>22</v>
      </c>
      <c r="AG963" s="41" t="s">
        <v>22</v>
      </c>
      <c r="AH963" s="41" t="s">
        <v>22</v>
      </c>
      <c r="AI963" s="41" t="s">
        <v>22</v>
      </c>
      <c r="AJ963" s="41" t="s">
        <v>22</v>
      </c>
      <c r="AK963" s="41" t="s">
        <v>22</v>
      </c>
      <c r="AL963" s="41" t="s">
        <v>22</v>
      </c>
      <c r="AM963" s="43" t="e">
        <f t="shared" si="531"/>
        <v>#VALUE!</v>
      </c>
      <c r="AN963" s="43" t="e">
        <f t="shared" si="532"/>
        <v>#VALUE!</v>
      </c>
      <c r="AO963" s="5" t="s">
        <v>1083</v>
      </c>
      <c r="AT963" s="2">
        <f t="shared" si="533"/>
        <v>6</v>
      </c>
      <c r="AU963" s="45" t="e">
        <f t="shared" si="534"/>
        <v>#VALUE!</v>
      </c>
      <c r="AV963" s="45">
        <f t="shared" si="535"/>
        <v>-0.63530092446664155</v>
      </c>
      <c r="AW963" s="45" t="e">
        <f t="shared" si="536"/>
        <v>#VALUE!</v>
      </c>
      <c r="AX963" s="45">
        <f t="shared" si="537"/>
        <v>2.3424226808222062</v>
      </c>
      <c r="AY963" s="45">
        <f t="shared" si="538"/>
        <v>-2.2276394711152253E-2</v>
      </c>
      <c r="AZ963" s="45" t="e">
        <f t="shared" si="539"/>
        <v>#VALUE!</v>
      </c>
      <c r="BA963" s="45" t="e">
        <f t="shared" si="540"/>
        <v>#VALUE!</v>
      </c>
      <c r="BB963" s="45" t="e">
        <f t="shared" si="541"/>
        <v>#VALUE!</v>
      </c>
      <c r="BC963" s="45">
        <f t="shared" si="542"/>
        <v>0.94448267215016868</v>
      </c>
      <c r="BD963" s="45">
        <f t="shared" si="543"/>
        <v>1.3100680274868788</v>
      </c>
      <c r="BE963" s="45" t="e">
        <f t="shared" si="544"/>
        <v>#VALUE!</v>
      </c>
      <c r="BF963" s="45" t="e">
        <f t="shared" si="545"/>
        <v>#VALUE!</v>
      </c>
      <c r="BG963" s="45" t="e">
        <f t="shared" si="546"/>
        <v>#VALUE!</v>
      </c>
      <c r="BH963" s="45" t="e">
        <f t="shared" si="547"/>
        <v>#NUM!</v>
      </c>
      <c r="BI963" s="43" t="e">
        <f t="shared" si="548"/>
        <v>#VALUE!</v>
      </c>
      <c r="BL963" s="20"/>
      <c r="BM963" s="41"/>
      <c r="BN963" s="41"/>
      <c r="BO963" s="41"/>
      <c r="BP963" s="41"/>
      <c r="BQ963" s="41"/>
      <c r="BR963" s="41"/>
      <c r="BU963" s="41"/>
      <c r="BV963" s="41"/>
      <c r="BW963" s="41"/>
      <c r="BX963" s="41"/>
      <c r="BY963" s="41"/>
      <c r="BZ963" s="41"/>
      <c r="CA963" s="41" t="s">
        <v>22</v>
      </c>
      <c r="CC963" s="18" t="s">
        <v>22</v>
      </c>
      <c r="CE963" s="41" t="s">
        <v>22</v>
      </c>
      <c r="CF963" s="41" t="s">
        <v>22</v>
      </c>
      <c r="CG963" s="41">
        <f t="shared" si="527"/>
        <v>20420.577856662137</v>
      </c>
      <c r="CH963" s="41">
        <f t="shared" si="528"/>
        <v>4.3100680274868788</v>
      </c>
      <c r="CI963" s="41">
        <f t="shared" si="529"/>
        <v>20420.577856662137</v>
      </c>
      <c r="CJ963" s="41">
        <f t="shared" si="530"/>
        <v>4.3100680274868788</v>
      </c>
      <c r="CL963" s="9" t="s">
        <v>1269</v>
      </c>
      <c r="CM963" s="18" t="s">
        <v>1283</v>
      </c>
      <c r="CN963" s="54" t="s">
        <v>1284</v>
      </c>
      <c r="CO963" s="18" t="s">
        <v>1284</v>
      </c>
    </row>
    <row r="964" spans="1:93" s="9" customFormat="1" x14ac:dyDescent="0.25">
      <c r="A964" s="9" t="s">
        <v>266</v>
      </c>
      <c r="B964" s="50">
        <v>2.7743293824079803E-2</v>
      </c>
      <c r="C964" s="50" t="s">
        <v>22</v>
      </c>
      <c r="D964" s="50" t="s">
        <v>22</v>
      </c>
      <c r="E964" s="50" t="s">
        <v>22</v>
      </c>
      <c r="F964" s="9" t="s">
        <v>22</v>
      </c>
      <c r="G964" s="9" t="s">
        <v>22</v>
      </c>
      <c r="H964" s="9" t="s">
        <v>22</v>
      </c>
      <c r="I964" s="9" t="s">
        <v>22</v>
      </c>
      <c r="J964" s="50" t="s">
        <v>22</v>
      </c>
      <c r="K964" s="9" t="s">
        <v>22</v>
      </c>
      <c r="L964" s="50"/>
      <c r="M964" s="9" t="s">
        <v>23</v>
      </c>
      <c r="N964" s="50" t="s">
        <v>22</v>
      </c>
      <c r="O964" s="50" t="s">
        <v>22</v>
      </c>
      <c r="P964" s="50" t="s">
        <v>22</v>
      </c>
      <c r="Q964" s="50"/>
      <c r="R964" s="50" t="s">
        <v>22</v>
      </c>
      <c r="S964" s="50" t="s">
        <v>22</v>
      </c>
      <c r="T964" s="50">
        <v>5</v>
      </c>
      <c r="U964" s="50">
        <v>5</v>
      </c>
      <c r="V964" s="9">
        <v>20201128</v>
      </c>
      <c r="W964" s="21"/>
      <c r="X964" s="21">
        <v>2018</v>
      </c>
      <c r="Y964" s="21" t="s">
        <v>26</v>
      </c>
      <c r="Z964" s="9" t="s">
        <v>32</v>
      </c>
      <c r="AB964" s="50"/>
      <c r="AC964" s="9" t="s">
        <v>514</v>
      </c>
      <c r="AD964" s="50">
        <v>10</v>
      </c>
      <c r="AE964" s="50">
        <v>1590</v>
      </c>
      <c r="AF964" s="50">
        <v>30.5</v>
      </c>
      <c r="AG964" s="50" t="s">
        <v>22</v>
      </c>
      <c r="AH964" s="50" t="s">
        <v>22</v>
      </c>
      <c r="AI964" s="50" t="s">
        <v>22</v>
      </c>
      <c r="AJ964" s="50" t="s">
        <v>22</v>
      </c>
      <c r="AK964" s="50" t="s">
        <v>22</v>
      </c>
      <c r="AL964" s="50" t="s">
        <v>22</v>
      </c>
      <c r="AM964" s="43" t="e">
        <f t="shared" si="531"/>
        <v>#VALUE!</v>
      </c>
      <c r="AN964" s="43" t="e">
        <f t="shared" si="532"/>
        <v>#VALUE!</v>
      </c>
      <c r="AO964" s="21" t="s">
        <v>1179</v>
      </c>
      <c r="AT964" s="2">
        <f t="shared" si="533"/>
        <v>2</v>
      </c>
      <c r="AU964" s="45">
        <f t="shared" si="534"/>
        <v>-1.5568419785654961</v>
      </c>
      <c r="AV964" s="45" t="e">
        <f t="shared" si="535"/>
        <v>#VALUE!</v>
      </c>
      <c r="AW964" s="45" t="e">
        <f t="shared" si="536"/>
        <v>#VALUE!</v>
      </c>
      <c r="AX964" s="45" t="e">
        <f t="shared" si="537"/>
        <v>#VALUE!</v>
      </c>
      <c r="AY964" s="45" t="e">
        <f t="shared" si="538"/>
        <v>#VALUE!</v>
      </c>
      <c r="AZ964" s="45" t="e">
        <f t="shared" si="539"/>
        <v>#VALUE!</v>
      </c>
      <c r="BA964" s="45" t="e">
        <f t="shared" si="540"/>
        <v>#VALUE!</v>
      </c>
      <c r="BB964" s="45" t="e">
        <f t="shared" si="541"/>
        <v>#NUM!</v>
      </c>
      <c r="BC964" s="45">
        <f t="shared" si="542"/>
        <v>0.69897000433601886</v>
      </c>
      <c r="BD964" s="45">
        <f t="shared" si="543"/>
        <v>1</v>
      </c>
      <c r="BE964" s="45">
        <f t="shared" si="544"/>
        <v>1.4842998393467859</v>
      </c>
      <c r="BF964" s="45" t="e">
        <f t="shared" si="545"/>
        <v>#VALUE!</v>
      </c>
      <c r="BG964" s="45" t="e">
        <f t="shared" si="546"/>
        <v>#VALUE!</v>
      </c>
      <c r="BH964" s="45" t="e">
        <f t="shared" si="547"/>
        <v>#NUM!</v>
      </c>
      <c r="BI964" s="43">
        <f t="shared" si="548"/>
        <v>1.4842998393467859</v>
      </c>
      <c r="BL964" s="20"/>
      <c r="BM964" s="50"/>
      <c r="BN964" s="50"/>
      <c r="BO964" s="50"/>
      <c r="BP964" s="50"/>
      <c r="BQ964" s="50"/>
      <c r="BR964" s="50"/>
      <c r="BU964" s="50"/>
      <c r="BV964" s="50"/>
      <c r="BW964" s="50"/>
      <c r="BX964" s="50"/>
      <c r="BY964" s="50"/>
      <c r="BZ964" s="50"/>
      <c r="CA964" s="50" t="s">
        <v>22</v>
      </c>
      <c r="CE964" s="50"/>
      <c r="CF964" s="50"/>
      <c r="CG964" s="50"/>
      <c r="CH964" s="50"/>
      <c r="CI964" s="50">
        <f t="shared" ref="CI964:CI968" si="549">IF(ISNUMBER(CG964),CG964,U964)</f>
        <v>5</v>
      </c>
      <c r="CJ964" s="50">
        <f t="shared" ref="CJ964:CJ968" si="550">LOG10(CI964)</f>
        <v>0.69897000433601886</v>
      </c>
      <c r="CL964" s="9" t="s">
        <v>1269</v>
      </c>
      <c r="CM964" s="9" t="s">
        <v>1285</v>
      </c>
      <c r="CN964" s="55" t="s">
        <v>1284</v>
      </c>
      <c r="CO964" s="9" t="s">
        <v>1284</v>
      </c>
    </row>
    <row r="965" spans="1:93" s="9" customFormat="1" x14ac:dyDescent="0.25">
      <c r="A965" s="9" t="s">
        <v>266</v>
      </c>
      <c r="B965" s="50">
        <v>6.3879657460443398E-2</v>
      </c>
      <c r="C965" s="50" t="s">
        <v>22</v>
      </c>
      <c r="D965" s="50" t="s">
        <v>22</v>
      </c>
      <c r="E965" s="50" t="s">
        <v>22</v>
      </c>
      <c r="F965" s="9" t="s">
        <v>22</v>
      </c>
      <c r="G965" s="9" t="s">
        <v>22</v>
      </c>
      <c r="H965" s="9" t="s">
        <v>22</v>
      </c>
      <c r="I965" s="9" t="s">
        <v>22</v>
      </c>
      <c r="J965" s="50" t="s">
        <v>22</v>
      </c>
      <c r="K965" s="9" t="s">
        <v>22</v>
      </c>
      <c r="L965" s="50"/>
      <c r="M965" s="9" t="s">
        <v>45</v>
      </c>
      <c r="N965" s="50" t="s">
        <v>22</v>
      </c>
      <c r="O965" s="50" t="s">
        <v>22</v>
      </c>
      <c r="P965" s="50" t="s">
        <v>22</v>
      </c>
      <c r="Q965" s="50"/>
      <c r="R965" s="50" t="s">
        <v>22</v>
      </c>
      <c r="S965" s="50" t="s">
        <v>22</v>
      </c>
      <c r="T965" s="50">
        <v>5</v>
      </c>
      <c r="U965" s="50">
        <v>5</v>
      </c>
      <c r="V965" s="9">
        <v>20201128</v>
      </c>
      <c r="W965" s="21"/>
      <c r="X965" s="21">
        <v>2018</v>
      </c>
      <c r="Y965" s="21" t="s">
        <v>26</v>
      </c>
      <c r="Z965" s="9" t="s">
        <v>124</v>
      </c>
      <c r="AA965" s="9" t="s">
        <v>894</v>
      </c>
      <c r="AB965" s="50">
        <v>2.7743293824079803E-2</v>
      </c>
      <c r="AC965" s="9" t="s">
        <v>514</v>
      </c>
      <c r="AD965" s="50" t="s">
        <v>22</v>
      </c>
      <c r="AE965" s="50">
        <v>1596</v>
      </c>
      <c r="AF965" s="50">
        <v>47.3</v>
      </c>
      <c r="AG965" s="50" t="s">
        <v>22</v>
      </c>
      <c r="AH965" s="50" t="s">
        <v>22</v>
      </c>
      <c r="AI965" s="50" t="s">
        <v>22</v>
      </c>
      <c r="AJ965" s="50" t="s">
        <v>22</v>
      </c>
      <c r="AK965" s="50" t="s">
        <v>22</v>
      </c>
      <c r="AL965" s="50" t="s">
        <v>22</v>
      </c>
      <c r="AM965" s="43" t="e">
        <f t="shared" si="531"/>
        <v>#VALUE!</v>
      </c>
      <c r="AN965" s="43" t="e">
        <f t="shared" si="532"/>
        <v>#VALUE!</v>
      </c>
      <c r="AO965" s="21" t="s">
        <v>1179</v>
      </c>
      <c r="AT965" s="2">
        <f t="shared" si="533"/>
        <v>2</v>
      </c>
      <c r="AU965" s="45">
        <f t="shared" si="534"/>
        <v>-1.1946374213287663</v>
      </c>
      <c r="AV965" s="45" t="e">
        <f t="shared" si="535"/>
        <v>#VALUE!</v>
      </c>
      <c r="AW965" s="45" t="e">
        <f t="shared" si="536"/>
        <v>#VALUE!</v>
      </c>
      <c r="AX965" s="45" t="e">
        <f t="shared" si="537"/>
        <v>#VALUE!</v>
      </c>
      <c r="AY965" s="45" t="e">
        <f t="shared" si="538"/>
        <v>#VALUE!</v>
      </c>
      <c r="AZ965" s="45" t="e">
        <f t="shared" si="539"/>
        <v>#VALUE!</v>
      </c>
      <c r="BA965" s="45" t="e">
        <f t="shared" si="540"/>
        <v>#VALUE!</v>
      </c>
      <c r="BB965" s="45" t="e">
        <f t="shared" si="541"/>
        <v>#NUM!</v>
      </c>
      <c r="BC965" s="45">
        <f t="shared" si="542"/>
        <v>0.69897000433601886</v>
      </c>
      <c r="BD965" s="45" t="e">
        <f t="shared" si="543"/>
        <v>#VALUE!</v>
      </c>
      <c r="BE965" s="45">
        <f t="shared" si="544"/>
        <v>1.6748611407378116</v>
      </c>
      <c r="BF965" s="45" t="e">
        <f t="shared" si="545"/>
        <v>#VALUE!</v>
      </c>
      <c r="BG965" s="45" t="e">
        <f t="shared" si="546"/>
        <v>#VALUE!</v>
      </c>
      <c r="BH965" s="45">
        <f t="shared" si="547"/>
        <v>-1.5568419785654961</v>
      </c>
      <c r="BI965" s="43">
        <f t="shared" si="548"/>
        <v>1.6748611407378116</v>
      </c>
      <c r="BL965" s="20"/>
      <c r="BM965" s="50"/>
      <c r="BN965" s="50"/>
      <c r="BO965" s="50"/>
      <c r="BP965" s="50"/>
      <c r="BQ965" s="50"/>
      <c r="BR965" s="50"/>
      <c r="BU965" s="50"/>
      <c r="BV965" s="50"/>
      <c r="BW965" s="50"/>
      <c r="BX965" s="50"/>
      <c r="BY965" s="50"/>
      <c r="BZ965" s="50"/>
      <c r="CA965" s="50" t="s">
        <v>22</v>
      </c>
      <c r="CE965" s="50"/>
      <c r="CF965" s="50"/>
      <c r="CG965" s="50"/>
      <c r="CH965" s="50"/>
      <c r="CI965" s="50">
        <f t="shared" si="549"/>
        <v>5</v>
      </c>
      <c r="CJ965" s="50">
        <f t="shared" si="550"/>
        <v>0.69897000433601886</v>
      </c>
      <c r="CL965" s="9" t="s">
        <v>1269</v>
      </c>
      <c r="CM965" s="9" t="s">
        <v>1285</v>
      </c>
      <c r="CN965" s="55" t="s">
        <v>1284</v>
      </c>
      <c r="CO965" s="9" t="s">
        <v>1284</v>
      </c>
    </row>
    <row r="966" spans="1:93" s="9" customFormat="1" x14ac:dyDescent="0.25">
      <c r="A966" s="9" t="s">
        <v>315</v>
      </c>
      <c r="B966" s="50">
        <f>(137.007874015748*10^3)*10^-6</f>
        <v>0.13700787401574799</v>
      </c>
      <c r="C966" s="50" t="s">
        <v>22</v>
      </c>
      <c r="D966" s="50" t="s">
        <v>22</v>
      </c>
      <c r="E966" s="50" t="s">
        <v>22</v>
      </c>
      <c r="F966" s="9" t="s">
        <v>22</v>
      </c>
      <c r="G966" s="9" t="s">
        <v>22</v>
      </c>
      <c r="H966" s="9" t="s">
        <v>22</v>
      </c>
      <c r="I966" s="9" t="s">
        <v>22</v>
      </c>
      <c r="J966" s="50" t="s">
        <v>22</v>
      </c>
      <c r="K966" s="9" t="s">
        <v>22</v>
      </c>
      <c r="L966" s="50"/>
      <c r="M966" s="9" t="s">
        <v>23</v>
      </c>
      <c r="N966" s="50" t="s">
        <v>22</v>
      </c>
      <c r="O966" s="50" t="s">
        <v>22</v>
      </c>
      <c r="P966" s="50" t="s">
        <v>22</v>
      </c>
      <c r="Q966" s="50"/>
      <c r="R966" s="50" t="s">
        <v>22</v>
      </c>
      <c r="S966" s="50" t="s">
        <v>22</v>
      </c>
      <c r="T966" s="50" t="s">
        <v>22</v>
      </c>
      <c r="U966" s="50" t="s">
        <v>22</v>
      </c>
      <c r="V966" s="9">
        <v>20210321</v>
      </c>
      <c r="W966" s="21"/>
      <c r="X966" s="9">
        <v>2018</v>
      </c>
      <c r="Y966" s="9" t="s">
        <v>328</v>
      </c>
      <c r="Z966" s="9" t="s">
        <v>32</v>
      </c>
      <c r="AB966" s="50"/>
      <c r="AC966" s="9" t="s">
        <v>287</v>
      </c>
      <c r="AD966" s="50" t="s">
        <v>22</v>
      </c>
      <c r="AE966" s="50" t="s">
        <v>22</v>
      </c>
      <c r="AF966" s="50" t="s">
        <v>22</v>
      </c>
      <c r="AG966" s="50" t="s">
        <v>22</v>
      </c>
      <c r="AH966" s="50">
        <v>1.1566484517304194E-2</v>
      </c>
      <c r="AI966" s="50"/>
      <c r="AJ966" s="50">
        <v>1.0854700854700855E-2</v>
      </c>
      <c r="AK966" s="50">
        <v>8.4666666666666987E-3</v>
      </c>
      <c r="AL966" s="50">
        <v>7.2988505747126455E-3</v>
      </c>
      <c r="AM966" s="43" t="e">
        <f t="shared" si="531"/>
        <v>#DIV/0!</v>
      </c>
      <c r="AN966" s="43">
        <f t="shared" si="532"/>
        <v>0.6724137931034484</v>
      </c>
      <c r="AO966" s="21" t="s">
        <v>1253</v>
      </c>
      <c r="AT966" s="2">
        <f t="shared" si="533"/>
        <v>3</v>
      </c>
      <c r="AU966" s="45">
        <f t="shared" si="534"/>
        <v>-0.86325447267335731</v>
      </c>
      <c r="AV966" s="45" t="e">
        <f t="shared" si="535"/>
        <v>#VALUE!</v>
      </c>
      <c r="AW966" s="45" t="e">
        <f t="shared" si="536"/>
        <v>#VALUE!</v>
      </c>
      <c r="AX966" s="45" t="e">
        <f t="shared" si="537"/>
        <v>#VALUE!</v>
      </c>
      <c r="AY966" s="45" t="e">
        <f t="shared" si="538"/>
        <v>#VALUE!</v>
      </c>
      <c r="AZ966" s="45" t="e">
        <f t="shared" si="539"/>
        <v>#VALUE!</v>
      </c>
      <c r="BA966" s="45" t="e">
        <f t="shared" si="540"/>
        <v>#VALUE!</v>
      </c>
      <c r="BB966" s="45" t="e">
        <f t="shared" si="541"/>
        <v>#NUM!</v>
      </c>
      <c r="BC966" s="45" t="e">
        <f t="shared" si="542"/>
        <v>#VALUE!</v>
      </c>
      <c r="BD966" s="45" t="e">
        <f t="shared" si="543"/>
        <v>#VALUE!</v>
      </c>
      <c r="BE966" s="45" t="e">
        <f t="shared" si="544"/>
        <v>#VALUE!</v>
      </c>
      <c r="BF966" s="45" t="e">
        <f t="shared" si="545"/>
        <v>#DIV/0!</v>
      </c>
      <c r="BG966" s="45">
        <f t="shared" si="546"/>
        <v>-0.17236338653643798</v>
      </c>
      <c r="BH966" s="45" t="e">
        <f t="shared" si="547"/>
        <v>#NUM!</v>
      </c>
      <c r="BI966" s="43" t="e">
        <f t="shared" si="548"/>
        <v>#VALUE!</v>
      </c>
      <c r="BL966" s="20"/>
      <c r="BM966" s="50"/>
      <c r="BN966" s="50"/>
      <c r="BO966" s="50"/>
      <c r="BP966" s="50"/>
      <c r="BQ966" s="50"/>
      <c r="BR966" s="50"/>
      <c r="BU966" s="50"/>
      <c r="BV966" s="50"/>
      <c r="BW966" s="50"/>
      <c r="BX966" s="50"/>
      <c r="BY966" s="50"/>
      <c r="BZ966" s="50"/>
      <c r="CA966" s="50" t="s">
        <v>22</v>
      </c>
      <c r="CE966" s="50"/>
      <c r="CF966" s="50"/>
      <c r="CG966" s="50"/>
      <c r="CH966" s="50"/>
      <c r="CI966" s="50" t="str">
        <f t="shared" si="549"/>
        <v>Not Reported/ Can not calculate</v>
      </c>
      <c r="CJ966" s="50" t="e">
        <f t="shared" si="550"/>
        <v>#VALUE!</v>
      </c>
      <c r="CL966" s="9" t="s">
        <v>1269</v>
      </c>
      <c r="CM966" s="9" t="s">
        <v>1284</v>
      </c>
      <c r="CN966" s="55" t="s">
        <v>1284</v>
      </c>
      <c r="CO966" s="9" t="s">
        <v>1284</v>
      </c>
    </row>
    <row r="967" spans="1:93" s="9" customFormat="1" x14ac:dyDescent="0.25">
      <c r="A967" s="9" t="s">
        <v>315</v>
      </c>
      <c r="B967" s="50">
        <f>(13.8124999999999*10^3)*10^-6</f>
        <v>1.38124999999999E-2</v>
      </c>
      <c r="C967" s="50" t="s">
        <v>22</v>
      </c>
      <c r="D967" s="50" t="s">
        <v>22</v>
      </c>
      <c r="E967" s="50" t="s">
        <v>22</v>
      </c>
      <c r="F967" s="9" t="s">
        <v>22</v>
      </c>
      <c r="G967" s="9" t="s">
        <v>22</v>
      </c>
      <c r="H967" s="9" t="s">
        <v>22</v>
      </c>
      <c r="I967" s="9" t="s">
        <v>22</v>
      </c>
      <c r="J967" s="50" t="s">
        <v>22</v>
      </c>
      <c r="K967" s="9" t="s">
        <v>22</v>
      </c>
      <c r="L967" s="50"/>
      <c r="M967" s="9" t="s">
        <v>23</v>
      </c>
      <c r="N967" s="50" t="s">
        <v>22</v>
      </c>
      <c r="O967" s="50" t="s">
        <v>22</v>
      </c>
      <c r="P967" s="50" t="s">
        <v>22</v>
      </c>
      <c r="Q967" s="50"/>
      <c r="R967" s="50" t="s">
        <v>22</v>
      </c>
      <c r="S967" s="50" t="s">
        <v>22</v>
      </c>
      <c r="T967" s="50" t="s">
        <v>22</v>
      </c>
      <c r="U967" s="50" t="s">
        <v>22</v>
      </c>
      <c r="V967" s="9">
        <v>20210321</v>
      </c>
      <c r="W967" s="21"/>
      <c r="X967" s="9">
        <v>2018</v>
      </c>
      <c r="Y967" s="9" t="s">
        <v>328</v>
      </c>
      <c r="Z967" s="9" t="s">
        <v>32</v>
      </c>
      <c r="AB967" s="50"/>
      <c r="AC967" s="9" t="s">
        <v>514</v>
      </c>
      <c r="AD967" s="50" t="s">
        <v>22</v>
      </c>
      <c r="AE967" s="50" t="s">
        <v>22</v>
      </c>
      <c r="AF967" s="50" t="s">
        <v>22</v>
      </c>
      <c r="AG967" s="50" t="s">
        <v>22</v>
      </c>
      <c r="AH967" s="50">
        <v>0.69565217391304346</v>
      </c>
      <c r="AI967" s="50">
        <v>0.31372549019607843</v>
      </c>
      <c r="AJ967" s="50">
        <v>0.19753086419753124</v>
      </c>
      <c r="AK967" s="50">
        <v>9.1428571428572261E-2</v>
      </c>
      <c r="AL967" s="50">
        <v>7.2398190045249389E-2</v>
      </c>
      <c r="AM967" s="43">
        <f t="shared" si="531"/>
        <v>0.23076923076923242</v>
      </c>
      <c r="AN967" s="43">
        <f t="shared" si="532"/>
        <v>0.36651583710407432</v>
      </c>
      <c r="AO967" s="21" t="s">
        <v>1253</v>
      </c>
      <c r="AT967" s="2">
        <f t="shared" si="533"/>
        <v>3</v>
      </c>
      <c r="AU967" s="45">
        <f t="shared" si="534"/>
        <v>-1.8597277089708173</v>
      </c>
      <c r="AV967" s="45" t="e">
        <f t="shared" si="535"/>
        <v>#VALUE!</v>
      </c>
      <c r="AW967" s="45" t="e">
        <f t="shared" si="536"/>
        <v>#VALUE!</v>
      </c>
      <c r="AX967" s="45" t="e">
        <f t="shared" si="537"/>
        <v>#VALUE!</v>
      </c>
      <c r="AY967" s="45" t="e">
        <f t="shared" si="538"/>
        <v>#VALUE!</v>
      </c>
      <c r="AZ967" s="45" t="e">
        <f t="shared" si="539"/>
        <v>#VALUE!</v>
      </c>
      <c r="BA967" s="45" t="e">
        <f t="shared" si="540"/>
        <v>#VALUE!</v>
      </c>
      <c r="BB967" s="45" t="e">
        <f t="shared" si="541"/>
        <v>#NUM!</v>
      </c>
      <c r="BC967" s="45" t="e">
        <f t="shared" si="542"/>
        <v>#VALUE!</v>
      </c>
      <c r="BD967" s="45" t="e">
        <f t="shared" si="543"/>
        <v>#VALUE!</v>
      </c>
      <c r="BE967" s="45" t="e">
        <f t="shared" si="544"/>
        <v>#VALUE!</v>
      </c>
      <c r="BF967" s="45">
        <f t="shared" si="545"/>
        <v>-0.63682209758717123</v>
      </c>
      <c r="BG967" s="45">
        <f t="shared" si="546"/>
        <v>-0.4359072548064587</v>
      </c>
      <c r="BH967" s="45" t="e">
        <f t="shared" si="547"/>
        <v>#NUM!</v>
      </c>
      <c r="BI967" s="43" t="e">
        <f t="shared" si="548"/>
        <v>#VALUE!</v>
      </c>
      <c r="BL967" s="20"/>
      <c r="BM967" s="50"/>
      <c r="BN967" s="50"/>
      <c r="BO967" s="50"/>
      <c r="BP967" s="50"/>
      <c r="BQ967" s="50"/>
      <c r="BR967" s="50"/>
      <c r="BU967" s="50"/>
      <c r="BV967" s="50"/>
      <c r="BW967" s="50"/>
      <c r="BX967" s="50"/>
      <c r="BY967" s="50"/>
      <c r="BZ967" s="50"/>
      <c r="CA967" s="50" t="s">
        <v>22</v>
      </c>
      <c r="CE967" s="50"/>
      <c r="CF967" s="50"/>
      <c r="CG967" s="50"/>
      <c r="CH967" s="50"/>
      <c r="CI967" s="50" t="str">
        <f t="shared" si="549"/>
        <v>Not Reported/ Can not calculate</v>
      </c>
      <c r="CJ967" s="50" t="e">
        <f t="shared" si="550"/>
        <v>#VALUE!</v>
      </c>
      <c r="CL967" s="9" t="s">
        <v>1269</v>
      </c>
      <c r="CM967" s="9" t="s">
        <v>1284</v>
      </c>
      <c r="CN967" s="55" t="s">
        <v>1284</v>
      </c>
      <c r="CO967" s="9" t="s">
        <v>1284</v>
      </c>
    </row>
    <row r="968" spans="1:93" s="9" customFormat="1" x14ac:dyDescent="0.25">
      <c r="A968" s="9" t="s">
        <v>315</v>
      </c>
      <c r="B968" s="50">
        <f>(10.5*10^3)*10^-6</f>
        <v>1.0499999999999999E-2</v>
      </c>
      <c r="C968" s="50" t="s">
        <v>22</v>
      </c>
      <c r="D968" s="50" t="s">
        <v>22</v>
      </c>
      <c r="E968" s="50" t="s">
        <v>22</v>
      </c>
      <c r="F968" s="9" t="s">
        <v>22</v>
      </c>
      <c r="G968" s="9" t="s">
        <v>22</v>
      </c>
      <c r="H968" s="9" t="s">
        <v>22</v>
      </c>
      <c r="I968" s="9" t="s">
        <v>22</v>
      </c>
      <c r="J968" s="50" t="s">
        <v>22</v>
      </c>
      <c r="K968" s="9" t="s">
        <v>22</v>
      </c>
      <c r="L968" s="50"/>
      <c r="M968" s="9" t="s">
        <v>23</v>
      </c>
      <c r="N968" s="50" t="s">
        <v>22</v>
      </c>
      <c r="O968" s="50" t="s">
        <v>22</v>
      </c>
      <c r="P968" s="50" t="s">
        <v>22</v>
      </c>
      <c r="Q968" s="50"/>
      <c r="R968" s="50" t="s">
        <v>22</v>
      </c>
      <c r="S968" s="50" t="s">
        <v>22</v>
      </c>
      <c r="T968" s="50" t="s">
        <v>22</v>
      </c>
      <c r="U968" s="50" t="s">
        <v>22</v>
      </c>
      <c r="V968" s="9">
        <v>20210321</v>
      </c>
      <c r="W968" s="21"/>
      <c r="X968" s="9">
        <v>2018</v>
      </c>
      <c r="Y968" s="9" t="s">
        <v>328</v>
      </c>
      <c r="Z968" s="9" t="s">
        <v>32</v>
      </c>
      <c r="AB968" s="50"/>
      <c r="AC968" s="9" t="s">
        <v>285</v>
      </c>
      <c r="AD968" s="50" t="s">
        <v>22</v>
      </c>
      <c r="AE968" s="50" t="s">
        <v>22</v>
      </c>
      <c r="AF968" s="50" t="s">
        <v>22</v>
      </c>
      <c r="AG968" s="50" t="s">
        <v>22</v>
      </c>
      <c r="AH968" s="50">
        <v>8</v>
      </c>
      <c r="AI968" s="50">
        <v>8</v>
      </c>
      <c r="AJ968" s="50">
        <v>2.2857142857143273</v>
      </c>
      <c r="AK968" s="50">
        <v>0.20779220779220781</v>
      </c>
      <c r="AL968" s="50">
        <v>9.5238095238096135E-2</v>
      </c>
      <c r="AM968" s="43">
        <f t="shared" si="531"/>
        <v>1.1904761904762017E-2</v>
      </c>
      <c r="AN968" s="43">
        <f t="shared" si="532"/>
        <v>4.1666666666666304E-2</v>
      </c>
      <c r="AO968" s="21" t="s">
        <v>1253</v>
      </c>
      <c r="AT968" s="2">
        <f t="shared" si="533"/>
        <v>3</v>
      </c>
      <c r="AU968" s="45">
        <f t="shared" si="534"/>
        <v>-1.9788107009300619</v>
      </c>
      <c r="AV968" s="45" t="e">
        <f t="shared" si="535"/>
        <v>#VALUE!</v>
      </c>
      <c r="AW968" s="45" t="e">
        <f t="shared" si="536"/>
        <v>#VALUE!</v>
      </c>
      <c r="AX968" s="45" t="e">
        <f t="shared" si="537"/>
        <v>#VALUE!</v>
      </c>
      <c r="AY968" s="45" t="e">
        <f t="shared" si="538"/>
        <v>#VALUE!</v>
      </c>
      <c r="AZ968" s="45" t="e">
        <f t="shared" si="539"/>
        <v>#VALUE!</v>
      </c>
      <c r="BA968" s="45" t="e">
        <f t="shared" si="540"/>
        <v>#VALUE!</v>
      </c>
      <c r="BB968" s="45" t="e">
        <f t="shared" si="541"/>
        <v>#NUM!</v>
      </c>
      <c r="BC968" s="45" t="e">
        <f t="shared" si="542"/>
        <v>#VALUE!</v>
      </c>
      <c r="BD968" s="45" t="e">
        <f t="shared" si="543"/>
        <v>#VALUE!</v>
      </c>
      <c r="BE968" s="45" t="e">
        <f t="shared" si="544"/>
        <v>#VALUE!</v>
      </c>
      <c r="BF968" s="45">
        <f t="shared" si="545"/>
        <v>-1.9242792860618776</v>
      </c>
      <c r="BG968" s="45">
        <f t="shared" si="546"/>
        <v>-1.3802112417116099</v>
      </c>
      <c r="BH968" s="45" t="e">
        <f t="shared" si="547"/>
        <v>#NUM!</v>
      </c>
      <c r="BI968" s="43" t="e">
        <f t="shared" si="548"/>
        <v>#VALUE!</v>
      </c>
      <c r="BL968" s="20"/>
      <c r="BM968" s="50"/>
      <c r="BN968" s="50"/>
      <c r="BO968" s="50"/>
      <c r="BP968" s="50"/>
      <c r="BQ968" s="50"/>
      <c r="BR968" s="50"/>
      <c r="BU968" s="50"/>
      <c r="BV968" s="50"/>
      <c r="BW968" s="50"/>
      <c r="BX968" s="50"/>
      <c r="BY968" s="50"/>
      <c r="BZ968" s="50"/>
      <c r="CA968" s="50" t="s">
        <v>22</v>
      </c>
      <c r="CE968" s="50"/>
      <c r="CF968" s="50"/>
      <c r="CG968" s="50"/>
      <c r="CH968" s="50"/>
      <c r="CI968" s="50" t="str">
        <f t="shared" si="549"/>
        <v>Not Reported/ Can not calculate</v>
      </c>
      <c r="CJ968" s="50" t="e">
        <f t="shared" si="550"/>
        <v>#VALUE!</v>
      </c>
      <c r="CL968" s="9" t="s">
        <v>1269</v>
      </c>
      <c r="CM968" s="9" t="s">
        <v>1284</v>
      </c>
      <c r="CN968" s="55" t="s">
        <v>1284</v>
      </c>
      <c r="CO968" s="9" t="s">
        <v>1284</v>
      </c>
    </row>
    <row r="969" spans="1:93" x14ac:dyDescent="0.25">
      <c r="A969" s="18" t="s">
        <v>141</v>
      </c>
      <c r="B969" s="41">
        <v>0.3</v>
      </c>
      <c r="C969" s="41" t="s">
        <v>22</v>
      </c>
      <c r="D969" s="41" t="e">
        <f t="shared" ref="D969:D976" si="551">0.001*(B969*10^6)/(C969*0.001*100^3)</f>
        <v>#VALUE!</v>
      </c>
      <c r="E969" s="41" t="s">
        <v>22</v>
      </c>
      <c r="F969" s="18" t="s">
        <v>22</v>
      </c>
      <c r="G969" s="18" t="s">
        <v>22</v>
      </c>
      <c r="H969" s="18" t="s">
        <v>22</v>
      </c>
      <c r="I969" s="18" t="s">
        <v>22</v>
      </c>
      <c r="J969" s="41" t="s">
        <v>22</v>
      </c>
      <c r="K969" t="s">
        <v>22</v>
      </c>
      <c r="M969" s="18" t="s">
        <v>23</v>
      </c>
      <c r="N969" s="41">
        <v>240</v>
      </c>
      <c r="P969" s="41" t="s">
        <v>22</v>
      </c>
      <c r="R969" s="41" t="s">
        <v>22</v>
      </c>
      <c r="S969" s="41" t="s">
        <v>22</v>
      </c>
      <c r="T969" s="41" t="s">
        <v>981</v>
      </c>
      <c r="U969" s="41">
        <v>30</v>
      </c>
      <c r="V969" s="18">
        <v>20200520</v>
      </c>
      <c r="W969" s="9" t="s">
        <v>849</v>
      </c>
      <c r="X969" s="18">
        <v>2018</v>
      </c>
      <c r="Y969" s="18" t="s">
        <v>76</v>
      </c>
      <c r="Z969" s="18" t="s">
        <v>32</v>
      </c>
      <c r="AA969" t="s">
        <v>22</v>
      </c>
      <c r="AB969" s="41" t="s">
        <v>22</v>
      </c>
      <c r="AC969" s="18" t="s">
        <v>514</v>
      </c>
      <c r="AD969" s="41">
        <v>25</v>
      </c>
      <c r="AE969" s="41" t="s">
        <v>22</v>
      </c>
      <c r="AF969" s="41" t="s">
        <v>22</v>
      </c>
      <c r="AG969" s="41" t="s">
        <v>22</v>
      </c>
      <c r="AM969" s="43" t="e">
        <f t="shared" si="531"/>
        <v>#DIV/0!</v>
      </c>
      <c r="AN969" s="43" t="e">
        <f t="shared" si="532"/>
        <v>#DIV/0!</v>
      </c>
      <c r="AO969" s="18" t="s">
        <v>850</v>
      </c>
      <c r="AT969" s="2">
        <f t="shared" si="533"/>
        <v>3</v>
      </c>
      <c r="AU969" s="45">
        <f t="shared" si="534"/>
        <v>-0.52287874528033762</v>
      </c>
      <c r="AV969" s="45" t="e">
        <f t="shared" si="535"/>
        <v>#VALUE!</v>
      </c>
      <c r="AW969" s="45" t="e">
        <f t="shared" si="536"/>
        <v>#VALUE!</v>
      </c>
      <c r="AX969" s="45">
        <f t="shared" si="537"/>
        <v>2.3802112417116059</v>
      </c>
      <c r="AY969" s="45" t="e">
        <f t="shared" si="538"/>
        <v>#NUM!</v>
      </c>
      <c r="AZ969" s="45" t="e">
        <f t="shared" si="539"/>
        <v>#VALUE!</v>
      </c>
      <c r="BA969" s="45" t="e">
        <f t="shared" si="540"/>
        <v>#VALUE!</v>
      </c>
      <c r="BB969" s="45" t="e">
        <f t="shared" si="541"/>
        <v>#NUM!</v>
      </c>
      <c r="BC969" s="45">
        <f t="shared" si="542"/>
        <v>1.4771212547196624</v>
      </c>
      <c r="BD969" s="45">
        <f t="shared" si="543"/>
        <v>1.3979400086720377</v>
      </c>
      <c r="BE969" s="45" t="e">
        <f t="shared" si="544"/>
        <v>#VALUE!</v>
      </c>
      <c r="BF969" s="45" t="e">
        <f t="shared" si="545"/>
        <v>#DIV/0!</v>
      </c>
      <c r="BG969" s="45" t="e">
        <f t="shared" si="546"/>
        <v>#DIV/0!</v>
      </c>
      <c r="BH969" s="45" t="e">
        <f t="shared" si="547"/>
        <v>#VALUE!</v>
      </c>
      <c r="BI969" s="43" t="e">
        <f t="shared" si="548"/>
        <v>#VALUE!</v>
      </c>
      <c r="BJ969" t="s">
        <v>528</v>
      </c>
      <c r="BK969" t="s">
        <v>22</v>
      </c>
      <c r="BL969" s="18" t="s">
        <v>22</v>
      </c>
      <c r="BM969" s="41" t="s">
        <v>22</v>
      </c>
      <c r="BN969" s="41" t="s">
        <v>22</v>
      </c>
      <c r="BO969" s="43" t="s">
        <v>22</v>
      </c>
      <c r="BP969" s="41" t="s">
        <v>22</v>
      </c>
      <c r="BQ969" s="41" t="s">
        <v>22</v>
      </c>
      <c r="BR969" s="41" t="s">
        <v>22</v>
      </c>
      <c r="BS969" t="s">
        <v>522</v>
      </c>
      <c r="BT969" t="s">
        <v>974</v>
      </c>
      <c r="BU969" s="41">
        <v>18</v>
      </c>
      <c r="BV969" s="41">
        <v>178000000</v>
      </c>
      <c r="BW969" s="43" t="e">
        <f t="shared" ref="BW969:BW976" si="552">BV969/(C969*1000000)</f>
        <v>#VALUE!</v>
      </c>
      <c r="BX969" s="41" t="s">
        <v>22</v>
      </c>
      <c r="BY969" s="41" t="s">
        <v>22</v>
      </c>
      <c r="BZ969" s="41" t="s">
        <v>22</v>
      </c>
      <c r="CA969" s="41" t="s">
        <v>22</v>
      </c>
      <c r="CC969" s="18" t="s">
        <v>1008</v>
      </c>
      <c r="CD969" s="18"/>
      <c r="CE969" s="41" t="e">
        <f t="shared" ref="CE969:CE976" si="553">LOG10(BN969)</f>
        <v>#VALUE!</v>
      </c>
      <c r="CF969" s="41">
        <f t="shared" ref="CF969:CF976" si="554">LOG10(BV969)</f>
        <v>8.2504200023088945</v>
      </c>
      <c r="CG969" s="41">
        <f t="shared" ref="CG969:CG976" si="555">AD969*1000</f>
        <v>25000</v>
      </c>
      <c r="CH969" s="41">
        <f t="shared" ref="CH969:CH976" si="556">LOG10(CG969)</f>
        <v>4.3979400086720375</v>
      </c>
      <c r="CI969" s="41">
        <f>IF(ISNUMBER(CG969),CG969,U969)</f>
        <v>25000</v>
      </c>
      <c r="CJ969" s="41">
        <f t="shared" ref="CJ969:CJ976" si="557">LOG10(CI969)</f>
        <v>4.3979400086720375</v>
      </c>
      <c r="CK969" s="18"/>
      <c r="CL969" s="9" t="s">
        <v>1269</v>
      </c>
      <c r="CM969" s="18" t="s">
        <v>1283</v>
      </c>
      <c r="CN969" s="54" t="s">
        <v>1284</v>
      </c>
      <c r="CO969" s="18" t="s">
        <v>1284</v>
      </c>
    </row>
    <row r="970" spans="1:93" x14ac:dyDescent="0.25">
      <c r="A970" s="18" t="s">
        <v>407</v>
      </c>
      <c r="B970" s="41">
        <v>30</v>
      </c>
      <c r="C970" s="41">
        <v>8.9</v>
      </c>
      <c r="D970" s="41">
        <f t="shared" si="551"/>
        <v>3.3707865168539324</v>
      </c>
      <c r="E970" s="41" t="s">
        <v>22</v>
      </c>
      <c r="F970" s="18" t="s">
        <v>22</v>
      </c>
      <c r="G970" s="18" t="s">
        <v>22</v>
      </c>
      <c r="H970" s="18" t="s">
        <v>22</v>
      </c>
      <c r="I970" s="18" t="s">
        <v>22</v>
      </c>
      <c r="J970" s="41" t="s">
        <v>22</v>
      </c>
      <c r="K970" t="s">
        <v>22</v>
      </c>
      <c r="M970" s="18" t="s">
        <v>23</v>
      </c>
      <c r="N970" s="41">
        <v>190</v>
      </c>
      <c r="P970" s="41" t="s">
        <v>22</v>
      </c>
      <c r="R970" s="41" t="s">
        <v>22</v>
      </c>
      <c r="S970" s="41" t="s">
        <v>22</v>
      </c>
      <c r="T970" s="41" t="s">
        <v>22</v>
      </c>
      <c r="U970" s="41" t="s">
        <v>22</v>
      </c>
      <c r="V970" s="18">
        <v>20200520</v>
      </c>
      <c r="W970" s="9" t="s">
        <v>980</v>
      </c>
      <c r="X970" s="18">
        <v>2018</v>
      </c>
      <c r="Y970" s="18" t="s">
        <v>857</v>
      </c>
      <c r="Z970" s="18" t="s">
        <v>32</v>
      </c>
      <c r="AA970" t="s">
        <v>22</v>
      </c>
      <c r="AB970" s="41" t="s">
        <v>22</v>
      </c>
      <c r="AC970" s="18" t="s">
        <v>514</v>
      </c>
      <c r="AD970" s="41">
        <v>15</v>
      </c>
      <c r="AE970" s="41" t="s">
        <v>22</v>
      </c>
      <c r="AF970" s="41" t="s">
        <v>22</v>
      </c>
      <c r="AG970" s="41" t="s">
        <v>22</v>
      </c>
      <c r="AM970" s="43" t="e">
        <f t="shared" si="531"/>
        <v>#DIV/0!</v>
      </c>
      <c r="AN970" s="43" t="e">
        <f t="shared" si="532"/>
        <v>#DIV/0!</v>
      </c>
      <c r="AO970" s="18" t="s">
        <v>850</v>
      </c>
      <c r="AT970" s="2">
        <f t="shared" si="533"/>
        <v>3</v>
      </c>
      <c r="AU970" s="45">
        <f t="shared" si="534"/>
        <v>1.4771212547196624</v>
      </c>
      <c r="AV970" s="45">
        <f t="shared" si="535"/>
        <v>0.9493900066449128</v>
      </c>
      <c r="AW970" s="45">
        <f t="shared" si="536"/>
        <v>0.52773124807474958</v>
      </c>
      <c r="AX970" s="45">
        <f t="shared" si="537"/>
        <v>2.2787536009528289</v>
      </c>
      <c r="AY970" s="45" t="e">
        <f t="shared" si="538"/>
        <v>#NUM!</v>
      </c>
      <c r="AZ970" s="45" t="e">
        <f t="shared" si="539"/>
        <v>#VALUE!</v>
      </c>
      <c r="BA970" s="45" t="e">
        <f t="shared" si="540"/>
        <v>#VALUE!</v>
      </c>
      <c r="BB970" s="45" t="e">
        <f t="shared" si="541"/>
        <v>#NUM!</v>
      </c>
      <c r="BC970" s="45" t="e">
        <f t="shared" si="542"/>
        <v>#VALUE!</v>
      </c>
      <c r="BD970" s="45">
        <f t="shared" si="543"/>
        <v>1.1760912590556813</v>
      </c>
      <c r="BE970" s="45" t="e">
        <f t="shared" si="544"/>
        <v>#VALUE!</v>
      </c>
      <c r="BF970" s="45" t="e">
        <f t="shared" si="545"/>
        <v>#DIV/0!</v>
      </c>
      <c r="BG970" s="45" t="e">
        <f t="shared" si="546"/>
        <v>#DIV/0!</v>
      </c>
      <c r="BH970" s="45" t="e">
        <f t="shared" si="547"/>
        <v>#VALUE!</v>
      </c>
      <c r="BI970" s="43" t="e">
        <f t="shared" si="548"/>
        <v>#VALUE!</v>
      </c>
      <c r="BJ970" t="s">
        <v>528</v>
      </c>
      <c r="BK970" t="s">
        <v>22</v>
      </c>
      <c r="BL970" s="18" t="s">
        <v>22</v>
      </c>
      <c r="BM970" s="41" t="s">
        <v>22</v>
      </c>
      <c r="BN970" s="41" t="s">
        <v>22</v>
      </c>
      <c r="BO970" s="43" t="s">
        <v>22</v>
      </c>
      <c r="BP970" s="41" t="s">
        <v>22</v>
      </c>
      <c r="BQ970" s="41" t="s">
        <v>22</v>
      </c>
      <c r="BR970" s="41" t="s">
        <v>22</v>
      </c>
      <c r="BS970" t="s">
        <v>522</v>
      </c>
      <c r="BT970" t="s">
        <v>974</v>
      </c>
      <c r="BU970" s="41" t="s">
        <v>22</v>
      </c>
      <c r="BV970" s="41">
        <v>2170000000</v>
      </c>
      <c r="BW970" s="43">
        <f t="shared" si="552"/>
        <v>243.82022471910113</v>
      </c>
      <c r="BX970" s="41" t="s">
        <v>22</v>
      </c>
      <c r="BY970" s="41" t="s">
        <v>22</v>
      </c>
      <c r="BZ970" s="41" t="s">
        <v>22</v>
      </c>
      <c r="CA970" s="41" t="s">
        <v>22</v>
      </c>
      <c r="CC970" s="18" t="s">
        <v>1008</v>
      </c>
      <c r="CD970" s="18"/>
      <c r="CE970" s="41" t="e">
        <f t="shared" si="553"/>
        <v>#VALUE!</v>
      </c>
      <c r="CF970" s="41">
        <f t="shared" si="554"/>
        <v>9.33645973384853</v>
      </c>
      <c r="CG970" s="41">
        <f t="shared" si="555"/>
        <v>15000</v>
      </c>
      <c r="CH970" s="41">
        <f t="shared" si="556"/>
        <v>4.1760912590556813</v>
      </c>
      <c r="CI970" s="41">
        <f>IF(ISNUMBER(CG970),CG970,U970)</f>
        <v>15000</v>
      </c>
      <c r="CJ970" s="41">
        <f t="shared" si="557"/>
        <v>4.1760912590556813</v>
      </c>
      <c r="CK970" s="18"/>
      <c r="CL970" s="9" t="s">
        <v>407</v>
      </c>
      <c r="CM970" s="18" t="s">
        <v>1283</v>
      </c>
      <c r="CN970" s="54" t="s">
        <v>1284</v>
      </c>
      <c r="CO970" s="18" t="s">
        <v>1284</v>
      </c>
    </row>
    <row r="971" spans="1:93" x14ac:dyDescent="0.25">
      <c r="A971" s="18" t="s">
        <v>1267</v>
      </c>
      <c r="B971" s="41">
        <v>20</v>
      </c>
      <c r="C971" s="41" t="s">
        <v>22</v>
      </c>
      <c r="D971" s="41" t="e">
        <f t="shared" si="551"/>
        <v>#VALUE!</v>
      </c>
      <c r="E971" s="41" t="s">
        <v>22</v>
      </c>
      <c r="F971" s="18" t="s">
        <v>22</v>
      </c>
      <c r="G971" s="18" t="s">
        <v>22</v>
      </c>
      <c r="H971" s="18" t="s">
        <v>22</v>
      </c>
      <c r="I971" s="18" t="s">
        <v>22</v>
      </c>
      <c r="J971" s="41" t="s">
        <v>22</v>
      </c>
      <c r="K971" t="s">
        <v>22</v>
      </c>
      <c r="M971" s="18" t="s">
        <v>23</v>
      </c>
      <c r="N971" s="41">
        <v>773</v>
      </c>
      <c r="P971" s="41" t="s">
        <v>22</v>
      </c>
      <c r="R971" s="41" t="s">
        <v>22</v>
      </c>
      <c r="S971" s="41" t="s">
        <v>22</v>
      </c>
      <c r="T971" s="41" t="s">
        <v>981</v>
      </c>
      <c r="U971" s="41">
        <v>30</v>
      </c>
      <c r="V971" s="18">
        <v>20200520</v>
      </c>
      <c r="W971" s="9" t="s">
        <v>851</v>
      </c>
      <c r="X971" s="18">
        <v>2018</v>
      </c>
      <c r="Y971" s="18" t="s">
        <v>959</v>
      </c>
      <c r="Z971" s="18" t="s">
        <v>979</v>
      </c>
      <c r="AA971" t="s">
        <v>22</v>
      </c>
      <c r="AB971" s="41" t="s">
        <v>22</v>
      </c>
      <c r="AC971" s="18" t="s">
        <v>514</v>
      </c>
      <c r="AD971" s="41" t="s">
        <v>22</v>
      </c>
      <c r="AE971" s="41" t="s">
        <v>22</v>
      </c>
      <c r="AF971" s="41" t="s">
        <v>22</v>
      </c>
      <c r="AG971" s="41" t="s">
        <v>22</v>
      </c>
      <c r="AM971" s="43" t="e">
        <f t="shared" si="531"/>
        <v>#DIV/0!</v>
      </c>
      <c r="AN971" s="43" t="e">
        <f t="shared" si="532"/>
        <v>#DIV/0!</v>
      </c>
      <c r="AO971" s="18" t="s">
        <v>850</v>
      </c>
      <c r="AT971" s="2">
        <f t="shared" si="533"/>
        <v>3</v>
      </c>
      <c r="AU971" s="45">
        <f t="shared" si="534"/>
        <v>1.3010299956639813</v>
      </c>
      <c r="AV971" s="45" t="e">
        <f t="shared" si="535"/>
        <v>#VALUE!</v>
      </c>
      <c r="AW971" s="45" t="e">
        <f t="shared" si="536"/>
        <v>#VALUE!</v>
      </c>
      <c r="AX971" s="45">
        <f t="shared" si="537"/>
        <v>2.888179493918325</v>
      </c>
      <c r="AY971" s="45" t="e">
        <f t="shared" si="538"/>
        <v>#NUM!</v>
      </c>
      <c r="AZ971" s="45" t="e">
        <f t="shared" si="539"/>
        <v>#VALUE!</v>
      </c>
      <c r="BA971" s="45" t="e">
        <f t="shared" si="540"/>
        <v>#VALUE!</v>
      </c>
      <c r="BB971" s="45" t="e">
        <f t="shared" si="541"/>
        <v>#NUM!</v>
      </c>
      <c r="BC971" s="45">
        <f t="shared" si="542"/>
        <v>1.4771212547196624</v>
      </c>
      <c r="BD971" s="45" t="e">
        <f t="shared" si="543"/>
        <v>#VALUE!</v>
      </c>
      <c r="BE971" s="45" t="e">
        <f t="shared" si="544"/>
        <v>#VALUE!</v>
      </c>
      <c r="BF971" s="45" t="e">
        <f t="shared" si="545"/>
        <v>#DIV/0!</v>
      </c>
      <c r="BG971" s="45" t="e">
        <f t="shared" si="546"/>
        <v>#DIV/0!</v>
      </c>
      <c r="BH971" s="45" t="e">
        <f t="shared" si="547"/>
        <v>#VALUE!</v>
      </c>
      <c r="BI971" s="43" t="e">
        <f t="shared" si="548"/>
        <v>#VALUE!</v>
      </c>
      <c r="BJ971" t="s">
        <v>528</v>
      </c>
      <c r="BK971" t="s">
        <v>22</v>
      </c>
      <c r="BL971" s="18" t="s">
        <v>22</v>
      </c>
      <c r="BM971" s="41" t="s">
        <v>22</v>
      </c>
      <c r="BN971" s="41" t="s">
        <v>22</v>
      </c>
      <c r="BO971" s="43" t="s">
        <v>22</v>
      </c>
      <c r="BP971" s="41" t="s">
        <v>22</v>
      </c>
      <c r="BQ971" s="41" t="s">
        <v>22</v>
      </c>
      <c r="BR971" s="41" t="s">
        <v>22</v>
      </c>
      <c r="BS971" t="s">
        <v>522</v>
      </c>
      <c r="BT971" t="s">
        <v>974</v>
      </c>
      <c r="BU971" s="41">
        <v>500</v>
      </c>
      <c r="BV971" s="41">
        <v>4890000000</v>
      </c>
      <c r="BW971" s="43" t="e">
        <f t="shared" si="552"/>
        <v>#VALUE!</v>
      </c>
      <c r="BX971" s="41" t="s">
        <v>22</v>
      </c>
      <c r="BY971" s="41" t="s">
        <v>22</v>
      </c>
      <c r="BZ971" s="41" t="s">
        <v>22</v>
      </c>
      <c r="CA971" s="41" t="s">
        <v>22</v>
      </c>
      <c r="CC971" s="18" t="s">
        <v>1008</v>
      </c>
      <c r="CD971" s="18"/>
      <c r="CE971" s="41" t="e">
        <f t="shared" si="553"/>
        <v>#VALUE!</v>
      </c>
      <c r="CF971" s="41">
        <f t="shared" si="554"/>
        <v>9.6893088591236207</v>
      </c>
      <c r="CG971" s="41" t="e">
        <f t="shared" si="555"/>
        <v>#VALUE!</v>
      </c>
      <c r="CH971" s="41" t="e">
        <f t="shared" si="556"/>
        <v>#VALUE!</v>
      </c>
      <c r="CI971" s="41" t="s">
        <v>22</v>
      </c>
      <c r="CJ971" s="41" t="e">
        <f t="shared" si="557"/>
        <v>#VALUE!</v>
      </c>
      <c r="CK971" s="18"/>
      <c r="CL971" s="9" t="s">
        <v>407</v>
      </c>
      <c r="CM971" s="18" t="s">
        <v>1284</v>
      </c>
      <c r="CN971" s="54" t="s">
        <v>1284</v>
      </c>
      <c r="CO971" s="18" t="s">
        <v>1284</v>
      </c>
    </row>
    <row r="972" spans="1:93" x14ac:dyDescent="0.25">
      <c r="A972" s="2" t="s">
        <v>1267</v>
      </c>
      <c r="B972" s="41">
        <v>8.9</v>
      </c>
      <c r="C972" s="41">
        <v>3.4</v>
      </c>
      <c r="D972" s="41">
        <f t="shared" si="551"/>
        <v>2.6176470588235294</v>
      </c>
      <c r="E972" s="41" t="s">
        <v>22</v>
      </c>
      <c r="F972" s="18" t="s">
        <v>22</v>
      </c>
      <c r="G972" s="18" t="s">
        <v>22</v>
      </c>
      <c r="H972" s="18" t="s">
        <v>22</v>
      </c>
      <c r="I972" s="18" t="s">
        <v>22</v>
      </c>
      <c r="J972" s="41" t="s">
        <v>22</v>
      </c>
      <c r="K972" t="s">
        <v>22</v>
      </c>
      <c r="L972" s="41" t="s">
        <v>22</v>
      </c>
      <c r="M972" s="18" t="s">
        <v>45</v>
      </c>
      <c r="N972" s="41">
        <v>356</v>
      </c>
      <c r="O972" s="41">
        <f>0.001*N972/C972</f>
        <v>0.10470588235294118</v>
      </c>
      <c r="Q972" s="43"/>
      <c r="R972" s="41">
        <f>N972*B972</f>
        <v>3168.4</v>
      </c>
      <c r="S972" s="41">
        <f>O972*D972</f>
        <v>0.27408304498269898</v>
      </c>
      <c r="T972" s="41" t="s">
        <v>881</v>
      </c>
      <c r="U972" s="43">
        <v>5.5</v>
      </c>
      <c r="V972" s="18">
        <v>20200520</v>
      </c>
      <c r="W972" s="9" t="s">
        <v>852</v>
      </c>
      <c r="X972" s="18">
        <v>2018</v>
      </c>
      <c r="Y972" s="18" t="s">
        <v>959</v>
      </c>
      <c r="Z972" s="18" t="s">
        <v>882</v>
      </c>
      <c r="AA972" t="s">
        <v>268</v>
      </c>
      <c r="AB972" s="41">
        <v>5.1999999999999998E-2</v>
      </c>
      <c r="AC972" s="18" t="s">
        <v>514</v>
      </c>
      <c r="AD972" s="41">
        <v>19</v>
      </c>
      <c r="AE972" s="41" t="s">
        <v>22</v>
      </c>
      <c r="AF972" s="41" t="s">
        <v>22</v>
      </c>
      <c r="AG972" s="41" t="s">
        <v>22</v>
      </c>
      <c r="AI972" s="41" t="s">
        <v>22</v>
      </c>
      <c r="AJ972" s="41" t="s">
        <v>22</v>
      </c>
      <c r="AK972" s="41" t="s">
        <v>22</v>
      </c>
      <c r="AL972" s="41" t="s">
        <v>22</v>
      </c>
      <c r="AM972" s="43" t="e">
        <f t="shared" si="531"/>
        <v>#VALUE!</v>
      </c>
      <c r="AN972" s="43" t="e">
        <f t="shared" si="532"/>
        <v>#VALUE!</v>
      </c>
      <c r="AO972" s="18" t="s">
        <v>853</v>
      </c>
      <c r="AT972" s="2">
        <f t="shared" si="533"/>
        <v>5</v>
      </c>
      <c r="AU972" s="45">
        <f t="shared" si="534"/>
        <v>0.9493900066449128</v>
      </c>
      <c r="AV972" s="45">
        <f t="shared" si="535"/>
        <v>0.53147891704225514</v>
      </c>
      <c r="AW972" s="45">
        <f t="shared" si="536"/>
        <v>0.41791108960265766</v>
      </c>
      <c r="AX972" s="45">
        <f t="shared" si="537"/>
        <v>2.5514499979728753</v>
      </c>
      <c r="AY972" s="45">
        <f t="shared" si="538"/>
        <v>-0.98002891906937994</v>
      </c>
      <c r="AZ972" s="45" t="e">
        <f t="shared" si="539"/>
        <v>#NUM!</v>
      </c>
      <c r="BA972" s="45" t="e">
        <f t="shared" si="540"/>
        <v>#VALUE!</v>
      </c>
      <c r="BB972" s="45" t="e">
        <f t="shared" si="541"/>
        <v>#VALUE!</v>
      </c>
      <c r="BC972" s="45">
        <f t="shared" si="542"/>
        <v>0.74036268949424389</v>
      </c>
      <c r="BD972" s="45">
        <f t="shared" si="543"/>
        <v>1.2787536009528289</v>
      </c>
      <c r="BE972" s="45" t="e">
        <f t="shared" si="544"/>
        <v>#VALUE!</v>
      </c>
      <c r="BF972" s="45" t="e">
        <f t="shared" si="545"/>
        <v>#VALUE!</v>
      </c>
      <c r="BG972" s="45" t="e">
        <f t="shared" si="546"/>
        <v>#VALUE!</v>
      </c>
      <c r="BH972" s="45">
        <f t="shared" si="547"/>
        <v>-1.2839966563652008</v>
      </c>
      <c r="BI972" s="43" t="e">
        <f t="shared" si="548"/>
        <v>#VALUE!</v>
      </c>
      <c r="BJ972" t="s">
        <v>520</v>
      </c>
      <c r="BK972" t="s">
        <v>521</v>
      </c>
      <c r="BL972" s="18" t="s">
        <v>22</v>
      </c>
      <c r="BM972" s="41" t="s">
        <v>22</v>
      </c>
      <c r="BN972" s="41">
        <v>900000000</v>
      </c>
      <c r="BO972" s="43">
        <f>BN972/(C972*1000000)</f>
        <v>264.70588235294116</v>
      </c>
      <c r="BP972" s="41" t="s">
        <v>22</v>
      </c>
      <c r="BQ972" s="41" t="s">
        <v>22</v>
      </c>
      <c r="BR972" s="41" t="s">
        <v>22</v>
      </c>
      <c r="BS972" t="s">
        <v>22</v>
      </c>
      <c r="BT972" t="s">
        <v>22</v>
      </c>
      <c r="BU972" s="41" t="s">
        <v>22</v>
      </c>
      <c r="BV972" s="41" t="s">
        <v>22</v>
      </c>
      <c r="BW972" s="43" t="e">
        <f t="shared" si="552"/>
        <v>#VALUE!</v>
      </c>
      <c r="BX972" s="41" t="s">
        <v>22</v>
      </c>
      <c r="BY972" s="41" t="s">
        <v>22</v>
      </c>
      <c r="BZ972" s="41" t="s">
        <v>22</v>
      </c>
      <c r="CA972" s="41" t="s">
        <v>22</v>
      </c>
      <c r="CC972" s="18" t="s">
        <v>1008</v>
      </c>
      <c r="CD972" s="18" t="s">
        <v>1011</v>
      </c>
      <c r="CE972" s="41">
        <f t="shared" si="553"/>
        <v>8.9542425094393252</v>
      </c>
      <c r="CF972" s="41" t="e">
        <f t="shared" si="554"/>
        <v>#VALUE!</v>
      </c>
      <c r="CG972" s="41">
        <f t="shared" si="555"/>
        <v>19000</v>
      </c>
      <c r="CH972" s="41">
        <f t="shared" si="556"/>
        <v>4.2787536009528289</v>
      </c>
      <c r="CI972" s="41">
        <f>IF(ISNUMBER(CG972),CG972,U972)</f>
        <v>19000</v>
      </c>
      <c r="CJ972" s="41">
        <f t="shared" si="557"/>
        <v>4.2787536009528289</v>
      </c>
      <c r="CK972" s="18"/>
      <c r="CL972" s="9" t="s">
        <v>407</v>
      </c>
      <c r="CM972" s="18" t="s">
        <v>1283</v>
      </c>
      <c r="CN972" s="54" t="s">
        <v>1284</v>
      </c>
      <c r="CO972" s="18" t="s">
        <v>1284</v>
      </c>
    </row>
    <row r="973" spans="1:93" x14ac:dyDescent="0.25">
      <c r="A973" s="2" t="s">
        <v>1267</v>
      </c>
      <c r="B973" s="41">
        <v>12.6</v>
      </c>
      <c r="C973" s="41">
        <v>3.6</v>
      </c>
      <c r="D973" s="41">
        <f t="shared" si="551"/>
        <v>3.4999999999999996</v>
      </c>
      <c r="E973" s="41" t="s">
        <v>22</v>
      </c>
      <c r="F973" s="18" t="s">
        <v>22</v>
      </c>
      <c r="G973" s="18" t="s">
        <v>22</v>
      </c>
      <c r="H973" s="18" t="s">
        <v>22</v>
      </c>
      <c r="I973" s="18" t="s">
        <v>22</v>
      </c>
      <c r="J973" s="41" t="s">
        <v>22</v>
      </c>
      <c r="K973" t="s">
        <v>22</v>
      </c>
      <c r="L973" s="41" t="s">
        <v>22</v>
      </c>
      <c r="M973" s="18" t="s">
        <v>45</v>
      </c>
      <c r="N973" s="41">
        <v>380</v>
      </c>
      <c r="O973" s="41">
        <f>0.001*N973/C973</f>
        <v>0.10555555555555556</v>
      </c>
      <c r="Q973" s="43"/>
      <c r="R973" s="41">
        <f>N973*B973</f>
        <v>4788</v>
      </c>
      <c r="S973" s="41">
        <f>O973*D973</f>
        <v>0.36944444444444441</v>
      </c>
      <c r="T973" s="41" t="s">
        <v>881</v>
      </c>
      <c r="U973" s="43">
        <v>5.5</v>
      </c>
      <c r="V973" s="18">
        <v>20200520</v>
      </c>
      <c r="W973" s="9" t="s">
        <v>854</v>
      </c>
      <c r="X973" s="18">
        <v>2018</v>
      </c>
      <c r="Y973" s="18" t="s">
        <v>959</v>
      </c>
      <c r="Z973" s="18" t="s">
        <v>882</v>
      </c>
      <c r="AA973" t="s">
        <v>268</v>
      </c>
      <c r="AB973" s="41">
        <v>5.1999999999999998E-2</v>
      </c>
      <c r="AC973" s="18" t="s">
        <v>514</v>
      </c>
      <c r="AD973" s="41">
        <v>19</v>
      </c>
      <c r="AE973" s="41" t="s">
        <v>22</v>
      </c>
      <c r="AF973" s="41" t="s">
        <v>22</v>
      </c>
      <c r="AG973" s="41" t="s">
        <v>22</v>
      </c>
      <c r="AI973" s="41" t="s">
        <v>22</v>
      </c>
      <c r="AJ973" s="41" t="s">
        <v>22</v>
      </c>
      <c r="AK973" s="41" t="s">
        <v>22</v>
      </c>
      <c r="AL973" s="41" t="s">
        <v>22</v>
      </c>
      <c r="AM973" s="43" t="e">
        <f t="shared" si="531"/>
        <v>#VALUE!</v>
      </c>
      <c r="AN973" s="43" t="e">
        <f t="shared" si="532"/>
        <v>#VALUE!</v>
      </c>
      <c r="AO973" s="18" t="s">
        <v>853</v>
      </c>
      <c r="AT973" s="2">
        <f t="shared" si="533"/>
        <v>5</v>
      </c>
      <c r="AU973" s="45">
        <f t="shared" si="534"/>
        <v>1.1003705451175629</v>
      </c>
      <c r="AV973" s="45">
        <f t="shared" si="535"/>
        <v>0.55630250076728727</v>
      </c>
      <c r="AW973" s="45">
        <f t="shared" si="536"/>
        <v>0.54406804435027556</v>
      </c>
      <c r="AX973" s="45">
        <f t="shared" si="537"/>
        <v>2.5797835966168101</v>
      </c>
      <c r="AY973" s="45">
        <f t="shared" si="538"/>
        <v>-0.97651890415047715</v>
      </c>
      <c r="AZ973" s="45" t="e">
        <f t="shared" si="539"/>
        <v>#NUM!</v>
      </c>
      <c r="BA973" s="45" t="e">
        <f t="shared" si="540"/>
        <v>#VALUE!</v>
      </c>
      <c r="BB973" s="45" t="e">
        <f t="shared" si="541"/>
        <v>#VALUE!</v>
      </c>
      <c r="BC973" s="45">
        <f t="shared" si="542"/>
        <v>0.74036268949424389</v>
      </c>
      <c r="BD973" s="45">
        <f t="shared" si="543"/>
        <v>1.2787536009528289</v>
      </c>
      <c r="BE973" s="45" t="e">
        <f t="shared" si="544"/>
        <v>#VALUE!</v>
      </c>
      <c r="BF973" s="45" t="e">
        <f t="shared" si="545"/>
        <v>#VALUE!</v>
      </c>
      <c r="BG973" s="45" t="e">
        <f t="shared" si="546"/>
        <v>#VALUE!</v>
      </c>
      <c r="BH973" s="45">
        <f t="shared" si="547"/>
        <v>-1.2839966563652008</v>
      </c>
      <c r="BI973" s="43" t="e">
        <f t="shared" si="548"/>
        <v>#VALUE!</v>
      </c>
      <c r="BJ973" t="s">
        <v>520</v>
      </c>
      <c r="BK973" t="s">
        <v>521</v>
      </c>
      <c r="BL973" s="18" t="s">
        <v>22</v>
      </c>
      <c r="BM973" s="41" t="s">
        <v>22</v>
      </c>
      <c r="BN973" s="41" t="s">
        <v>22</v>
      </c>
      <c r="BO973" s="43" t="s">
        <v>22</v>
      </c>
      <c r="BP973" s="41" t="s">
        <v>22</v>
      </c>
      <c r="BQ973" s="41" t="s">
        <v>22</v>
      </c>
      <c r="BR973" s="41" t="s">
        <v>22</v>
      </c>
      <c r="BS973" t="s">
        <v>22</v>
      </c>
      <c r="BT973" t="s">
        <v>22</v>
      </c>
      <c r="BU973" s="41" t="s">
        <v>22</v>
      </c>
      <c r="BV973" s="41" t="s">
        <v>22</v>
      </c>
      <c r="BW973" s="43" t="e">
        <f t="shared" si="552"/>
        <v>#VALUE!</v>
      </c>
      <c r="BX973" s="41" t="s">
        <v>22</v>
      </c>
      <c r="BY973" s="41" t="s">
        <v>22</v>
      </c>
      <c r="BZ973" s="41" t="s">
        <v>22</v>
      </c>
      <c r="CA973" s="41" t="s">
        <v>22</v>
      </c>
      <c r="CC973" s="18" t="s">
        <v>1008</v>
      </c>
      <c r="CD973" s="18"/>
      <c r="CE973" s="41" t="e">
        <f t="shared" si="553"/>
        <v>#VALUE!</v>
      </c>
      <c r="CF973" s="41" t="e">
        <f t="shared" si="554"/>
        <v>#VALUE!</v>
      </c>
      <c r="CG973" s="41">
        <f t="shared" si="555"/>
        <v>19000</v>
      </c>
      <c r="CH973" s="41">
        <f t="shared" si="556"/>
        <v>4.2787536009528289</v>
      </c>
      <c r="CI973" s="41">
        <f>IF(ISNUMBER(CG973),CG973,U973)</f>
        <v>19000</v>
      </c>
      <c r="CJ973" s="41">
        <f t="shared" si="557"/>
        <v>4.2787536009528289</v>
      </c>
      <c r="CK973" s="18"/>
      <c r="CL973" s="9" t="s">
        <v>407</v>
      </c>
      <c r="CM973" s="18" t="s">
        <v>1283</v>
      </c>
      <c r="CN973" s="54" t="s">
        <v>1284</v>
      </c>
      <c r="CO973" s="18" t="s">
        <v>1284</v>
      </c>
    </row>
    <row r="974" spans="1:93" x14ac:dyDescent="0.25">
      <c r="A974" s="2" t="s">
        <v>1267</v>
      </c>
      <c r="B974" s="41">
        <v>20.3</v>
      </c>
      <c r="C974" s="41">
        <v>3.8</v>
      </c>
      <c r="D974" s="41">
        <f t="shared" si="551"/>
        <v>5.3421052631578947</v>
      </c>
      <c r="E974" s="41" t="s">
        <v>22</v>
      </c>
      <c r="F974" s="18" t="s">
        <v>22</v>
      </c>
      <c r="G974" s="18" t="s">
        <v>22</v>
      </c>
      <c r="H974" s="18" t="s">
        <v>22</v>
      </c>
      <c r="I974" s="18" t="s">
        <v>22</v>
      </c>
      <c r="J974" s="41" t="s">
        <v>22</v>
      </c>
      <c r="K974" t="s">
        <v>22</v>
      </c>
      <c r="L974" s="41" t="s">
        <v>22</v>
      </c>
      <c r="M974" s="18" t="s">
        <v>45</v>
      </c>
      <c r="N974" s="41">
        <v>830</v>
      </c>
      <c r="O974" s="41">
        <f>0.001*N974/C974</f>
        <v>0.21842105263157899</v>
      </c>
      <c r="Q974" s="43"/>
      <c r="R974" s="41">
        <f>N974*B974</f>
        <v>16849</v>
      </c>
      <c r="S974" s="41">
        <f>O974*D974</f>
        <v>1.1668282548476456</v>
      </c>
      <c r="T974" s="41" t="s">
        <v>881</v>
      </c>
      <c r="U974" s="43">
        <v>5.5</v>
      </c>
      <c r="V974" s="18">
        <v>20200520</v>
      </c>
      <c r="W974" s="9" t="s">
        <v>855</v>
      </c>
      <c r="X974" s="18">
        <v>2018</v>
      </c>
      <c r="Y974" s="18" t="s">
        <v>959</v>
      </c>
      <c r="Z974" s="18" t="s">
        <v>882</v>
      </c>
      <c r="AA974" t="s">
        <v>1135</v>
      </c>
      <c r="AB974" s="41">
        <v>5.1999999999999998E-2</v>
      </c>
      <c r="AC974" s="18" t="s">
        <v>514</v>
      </c>
      <c r="AD974" s="41">
        <v>19</v>
      </c>
      <c r="AE974" s="41" t="s">
        <v>22</v>
      </c>
      <c r="AF974" s="41" t="s">
        <v>22</v>
      </c>
      <c r="AG974" s="41" t="s">
        <v>22</v>
      </c>
      <c r="AI974" s="41" t="s">
        <v>22</v>
      </c>
      <c r="AJ974" s="41" t="s">
        <v>22</v>
      </c>
      <c r="AK974" s="41" t="s">
        <v>22</v>
      </c>
      <c r="AL974" s="41" t="s">
        <v>22</v>
      </c>
      <c r="AM974" s="43" t="e">
        <f t="shared" si="531"/>
        <v>#VALUE!</v>
      </c>
      <c r="AN974" s="43" t="e">
        <f t="shared" si="532"/>
        <v>#VALUE!</v>
      </c>
      <c r="AO974" s="18" t="s">
        <v>853</v>
      </c>
      <c r="AT974" s="2">
        <f t="shared" si="533"/>
        <v>5</v>
      </c>
      <c r="AU974" s="45">
        <f t="shared" si="534"/>
        <v>1.307496037913213</v>
      </c>
      <c r="AV974" s="45">
        <f t="shared" si="535"/>
        <v>0.57978359661681012</v>
      </c>
      <c r="AW974" s="45">
        <f t="shared" si="536"/>
        <v>0.72771244129640278</v>
      </c>
      <c r="AX974" s="45">
        <f t="shared" si="537"/>
        <v>2.9190780923760737</v>
      </c>
      <c r="AY974" s="45">
        <f t="shared" si="538"/>
        <v>-0.66070550424073615</v>
      </c>
      <c r="AZ974" s="45" t="e">
        <f t="shared" si="539"/>
        <v>#NUM!</v>
      </c>
      <c r="BA974" s="45" t="e">
        <f t="shared" si="540"/>
        <v>#VALUE!</v>
      </c>
      <c r="BB974" s="45" t="e">
        <f t="shared" si="541"/>
        <v>#VALUE!</v>
      </c>
      <c r="BC974" s="45">
        <f t="shared" si="542"/>
        <v>0.74036268949424389</v>
      </c>
      <c r="BD974" s="45">
        <f t="shared" si="543"/>
        <v>1.2787536009528289</v>
      </c>
      <c r="BE974" s="45" t="e">
        <f t="shared" si="544"/>
        <v>#VALUE!</v>
      </c>
      <c r="BF974" s="45" t="e">
        <f t="shared" si="545"/>
        <v>#VALUE!</v>
      </c>
      <c r="BG974" s="45" t="e">
        <f t="shared" si="546"/>
        <v>#VALUE!</v>
      </c>
      <c r="BH974" s="45">
        <f t="shared" si="547"/>
        <v>-1.2839966563652008</v>
      </c>
      <c r="BI974" s="43" t="e">
        <f t="shared" si="548"/>
        <v>#VALUE!</v>
      </c>
      <c r="BJ974" t="s">
        <v>520</v>
      </c>
      <c r="BK974" t="s">
        <v>521</v>
      </c>
      <c r="BL974" s="18" t="s">
        <v>22</v>
      </c>
      <c r="BM974" s="41" t="s">
        <v>22</v>
      </c>
      <c r="BN974" s="41">
        <v>1060000000</v>
      </c>
      <c r="BO974" s="43">
        <v>424</v>
      </c>
      <c r="BP974" s="41" t="s">
        <v>22</v>
      </c>
      <c r="BQ974" s="41" t="s">
        <v>22</v>
      </c>
      <c r="BR974" s="41" t="s">
        <v>22</v>
      </c>
      <c r="BS974" t="s">
        <v>22</v>
      </c>
      <c r="BT974" t="s">
        <v>22</v>
      </c>
      <c r="BU974" s="41" t="s">
        <v>22</v>
      </c>
      <c r="BV974" s="41" t="s">
        <v>22</v>
      </c>
      <c r="BW974" s="43" t="e">
        <f t="shared" si="552"/>
        <v>#VALUE!</v>
      </c>
      <c r="BX974" s="41" t="s">
        <v>22</v>
      </c>
      <c r="BY974" s="41" t="s">
        <v>22</v>
      </c>
      <c r="BZ974" s="41" t="s">
        <v>22</v>
      </c>
      <c r="CA974" s="41" t="s">
        <v>22</v>
      </c>
      <c r="CB974" s="20" t="s">
        <v>982</v>
      </c>
      <c r="CC974" s="18" t="s">
        <v>1008</v>
      </c>
      <c r="CD974" s="18" t="s">
        <v>1011</v>
      </c>
      <c r="CE974" s="41">
        <f t="shared" si="553"/>
        <v>9.0253058652647695</v>
      </c>
      <c r="CF974" s="41" t="e">
        <f t="shared" si="554"/>
        <v>#VALUE!</v>
      </c>
      <c r="CG974" s="41">
        <f t="shared" si="555"/>
        <v>19000</v>
      </c>
      <c r="CH974" s="41">
        <f t="shared" si="556"/>
        <v>4.2787536009528289</v>
      </c>
      <c r="CI974" s="41">
        <f>IF(ISNUMBER(CG974),CG974,U974)</f>
        <v>19000</v>
      </c>
      <c r="CJ974" s="41">
        <f t="shared" si="557"/>
        <v>4.2787536009528289</v>
      </c>
      <c r="CK974" s="18"/>
      <c r="CL974" s="9" t="s">
        <v>407</v>
      </c>
      <c r="CM974" s="18" t="s">
        <v>1283</v>
      </c>
      <c r="CN974" s="54" t="s">
        <v>1284</v>
      </c>
      <c r="CO974" s="18" t="s">
        <v>1284</v>
      </c>
    </row>
    <row r="975" spans="1:93" x14ac:dyDescent="0.25">
      <c r="A975" s="2" t="s">
        <v>407</v>
      </c>
      <c r="B975" s="41">
        <v>55</v>
      </c>
      <c r="C975" s="41">
        <v>8.9</v>
      </c>
      <c r="D975" s="41">
        <f t="shared" si="551"/>
        <v>6.1797752808988768</v>
      </c>
      <c r="E975" s="41" t="s">
        <v>22</v>
      </c>
      <c r="F975" t="s">
        <v>22</v>
      </c>
      <c r="G975" t="s">
        <v>22</v>
      </c>
      <c r="H975" t="s">
        <v>22</v>
      </c>
      <c r="I975" t="s">
        <v>22</v>
      </c>
      <c r="J975" s="41" t="s">
        <v>22</v>
      </c>
      <c r="K975" t="s">
        <v>22</v>
      </c>
      <c r="L975" s="41" t="s">
        <v>22</v>
      </c>
      <c r="M975" t="s">
        <v>23</v>
      </c>
      <c r="N975" s="41" t="s">
        <v>22</v>
      </c>
      <c r="O975" s="41" t="s">
        <v>22</v>
      </c>
      <c r="P975" s="41" t="s">
        <v>22</v>
      </c>
      <c r="R975" s="41" t="e">
        <f>N975*B975</f>
        <v>#VALUE!</v>
      </c>
      <c r="S975" s="41" t="e">
        <f>O975*D975</f>
        <v>#VALUE!</v>
      </c>
      <c r="T975" s="41" t="s">
        <v>881</v>
      </c>
      <c r="U975" s="43">
        <v>5.5</v>
      </c>
      <c r="V975">
        <v>20200520</v>
      </c>
      <c r="W975" s="9" t="s">
        <v>856</v>
      </c>
      <c r="X975">
        <v>2018</v>
      </c>
      <c r="Y975" t="s">
        <v>857</v>
      </c>
      <c r="AA975" t="s">
        <v>22</v>
      </c>
      <c r="AB975" s="41" t="s">
        <v>22</v>
      </c>
      <c r="AC975" t="s">
        <v>22</v>
      </c>
      <c r="AD975" s="41">
        <v>20</v>
      </c>
      <c r="AE975" s="41" t="s">
        <v>22</v>
      </c>
      <c r="AF975" s="41" t="s">
        <v>22</v>
      </c>
      <c r="AG975" s="41" t="s">
        <v>22</v>
      </c>
      <c r="AI975" s="41" t="s">
        <v>22</v>
      </c>
      <c r="AJ975" s="41" t="s">
        <v>22</v>
      </c>
      <c r="AK975" s="41" t="s">
        <v>22</v>
      </c>
      <c r="AL975" s="41" t="s">
        <v>22</v>
      </c>
      <c r="AM975" s="43" t="e">
        <f t="shared" si="531"/>
        <v>#VALUE!</v>
      </c>
      <c r="AN975" s="43" t="e">
        <f t="shared" si="532"/>
        <v>#VALUE!</v>
      </c>
      <c r="AO975" s="18" t="s">
        <v>853</v>
      </c>
      <c r="AT975" s="2">
        <f t="shared" si="533"/>
        <v>5</v>
      </c>
      <c r="AU975" s="45">
        <f t="shared" si="534"/>
        <v>1.7403626894942439</v>
      </c>
      <c r="AV975" s="45">
        <f t="shared" si="535"/>
        <v>0.9493900066449128</v>
      </c>
      <c r="AW975" s="45">
        <f t="shared" si="536"/>
        <v>0.79097268284933109</v>
      </c>
      <c r="AX975" s="45" t="e">
        <f t="shared" si="537"/>
        <v>#VALUE!</v>
      </c>
      <c r="AY975" s="45" t="e">
        <f t="shared" si="538"/>
        <v>#VALUE!</v>
      </c>
      <c r="AZ975" s="45" t="e">
        <f t="shared" si="539"/>
        <v>#VALUE!</v>
      </c>
      <c r="BA975" s="45" t="e">
        <f t="shared" si="540"/>
        <v>#VALUE!</v>
      </c>
      <c r="BB975" s="45" t="e">
        <f t="shared" si="541"/>
        <v>#VALUE!</v>
      </c>
      <c r="BC975" s="45">
        <f t="shared" si="542"/>
        <v>0.74036268949424389</v>
      </c>
      <c r="BD975" s="45">
        <f t="shared" si="543"/>
        <v>1.3010299956639813</v>
      </c>
      <c r="BE975" s="45" t="e">
        <f t="shared" si="544"/>
        <v>#VALUE!</v>
      </c>
      <c r="BF975" s="45" t="e">
        <f t="shared" si="545"/>
        <v>#VALUE!</v>
      </c>
      <c r="BG975" s="45" t="e">
        <f t="shared" si="546"/>
        <v>#VALUE!</v>
      </c>
      <c r="BH975" s="45" t="e">
        <f t="shared" si="547"/>
        <v>#VALUE!</v>
      </c>
      <c r="BI975" s="43" t="e">
        <f t="shared" si="548"/>
        <v>#VALUE!</v>
      </c>
      <c r="BJ975" t="s">
        <v>520</v>
      </c>
      <c r="BK975" t="s">
        <v>521</v>
      </c>
      <c r="BL975" s="18" t="s">
        <v>22</v>
      </c>
      <c r="BM975" s="41" t="s">
        <v>22</v>
      </c>
      <c r="BN975" s="41">
        <v>970000000</v>
      </c>
      <c r="BO975" s="43">
        <v>109</v>
      </c>
      <c r="BP975" s="41" t="s">
        <v>22</v>
      </c>
      <c r="BQ975" s="41" t="s">
        <v>22</v>
      </c>
      <c r="BR975" s="41" t="s">
        <v>22</v>
      </c>
      <c r="BS975" t="s">
        <v>22</v>
      </c>
      <c r="BT975" t="s">
        <v>22</v>
      </c>
      <c r="BU975" s="41" t="s">
        <v>22</v>
      </c>
      <c r="BV975" s="41" t="s">
        <v>22</v>
      </c>
      <c r="BW975" s="43" t="e">
        <f t="shared" si="552"/>
        <v>#VALUE!</v>
      </c>
      <c r="BX975" s="41" t="s">
        <v>22</v>
      </c>
      <c r="BY975" s="41" t="s">
        <v>22</v>
      </c>
      <c r="BZ975" s="41" t="s">
        <v>22</v>
      </c>
      <c r="CA975" s="41" t="s">
        <v>22</v>
      </c>
      <c r="CC975" s="18" t="s">
        <v>1008</v>
      </c>
      <c r="CD975" s="18" t="s">
        <v>1011</v>
      </c>
      <c r="CE975" s="41">
        <f t="shared" si="553"/>
        <v>8.9867717342662452</v>
      </c>
      <c r="CF975" s="41" t="e">
        <f t="shared" si="554"/>
        <v>#VALUE!</v>
      </c>
      <c r="CG975" s="41">
        <f t="shared" si="555"/>
        <v>20000</v>
      </c>
      <c r="CH975" s="41">
        <f t="shared" si="556"/>
        <v>4.3010299956639813</v>
      </c>
      <c r="CI975" s="41">
        <f>IF(ISNUMBER(CG975),CG975,U975)</f>
        <v>20000</v>
      </c>
      <c r="CJ975" s="41">
        <f t="shared" si="557"/>
        <v>4.3010299956639813</v>
      </c>
      <c r="CK975" s="18"/>
      <c r="CL975" s="9" t="s">
        <v>407</v>
      </c>
      <c r="CM975" s="18" t="s">
        <v>1283</v>
      </c>
      <c r="CN975" s="54" t="s">
        <v>1284</v>
      </c>
      <c r="CO975" s="18" t="s">
        <v>1284</v>
      </c>
    </row>
    <row r="976" spans="1:93" s="1" customFormat="1" x14ac:dyDescent="0.25">
      <c r="A976" s="2" t="s">
        <v>266</v>
      </c>
      <c r="B976" s="41">
        <v>5.1999999999999998E-2</v>
      </c>
      <c r="C976" s="41">
        <v>1.01</v>
      </c>
      <c r="D976" s="41">
        <f t="shared" si="551"/>
        <v>5.1485148514851482E-2</v>
      </c>
      <c r="E976" s="41" t="s">
        <v>22</v>
      </c>
      <c r="F976" s="18" t="s">
        <v>22</v>
      </c>
      <c r="G976" s="18" t="s">
        <v>22</v>
      </c>
      <c r="H976" s="18" t="s">
        <v>22</v>
      </c>
      <c r="I976" s="18" t="s">
        <v>22</v>
      </c>
      <c r="J976" s="41" t="s">
        <v>22</v>
      </c>
      <c r="K976" s="18" t="s">
        <v>22</v>
      </c>
      <c r="L976" s="41" t="s">
        <v>22</v>
      </c>
      <c r="M976" s="18" t="s">
        <v>23</v>
      </c>
      <c r="N976" s="41">
        <v>1210</v>
      </c>
      <c r="O976" s="41" t="s">
        <v>22</v>
      </c>
      <c r="P976" s="41">
        <v>40.200000000000003</v>
      </c>
      <c r="Q976" s="41"/>
      <c r="R976" s="41">
        <f>N976*B976</f>
        <v>62.919999999999995</v>
      </c>
      <c r="S976" s="41" t="e">
        <f>O976*D976</f>
        <v>#VALUE!</v>
      </c>
      <c r="T976" s="41" t="s">
        <v>881</v>
      </c>
      <c r="U976" s="43">
        <v>5.5</v>
      </c>
      <c r="V976" s="18">
        <v>20200524</v>
      </c>
      <c r="W976" s="9" t="s">
        <v>858</v>
      </c>
      <c r="X976" s="18">
        <v>2018</v>
      </c>
      <c r="Y976" s="18" t="s">
        <v>26</v>
      </c>
      <c r="Z976" s="18" t="s">
        <v>53</v>
      </c>
      <c r="AA976" s="18" t="s">
        <v>22</v>
      </c>
      <c r="AB976" s="41" t="s">
        <v>22</v>
      </c>
      <c r="AC976" s="18" t="s">
        <v>514</v>
      </c>
      <c r="AD976" s="41">
        <v>15</v>
      </c>
      <c r="AE976" s="41" t="s">
        <v>22</v>
      </c>
      <c r="AF976" s="41" t="s">
        <v>22</v>
      </c>
      <c r="AG976" s="41" t="s">
        <v>22</v>
      </c>
      <c r="AH976" s="41"/>
      <c r="AI976" s="41" t="s">
        <v>22</v>
      </c>
      <c r="AJ976" s="41" t="s">
        <v>22</v>
      </c>
      <c r="AK976" s="41" t="s">
        <v>22</v>
      </c>
      <c r="AL976" s="41" t="s">
        <v>22</v>
      </c>
      <c r="AM976" s="43" t="e">
        <f t="shared" si="531"/>
        <v>#VALUE!</v>
      </c>
      <c r="AN976" s="43" t="e">
        <f t="shared" si="532"/>
        <v>#VALUE!</v>
      </c>
      <c r="AO976" s="18" t="s">
        <v>853</v>
      </c>
      <c r="AP976" s="18"/>
      <c r="AQ976" s="18"/>
      <c r="AR976" s="18"/>
      <c r="AS976" s="18"/>
      <c r="AT976" s="2">
        <f t="shared" si="533"/>
        <v>5</v>
      </c>
      <c r="AU976" s="45">
        <f t="shared" si="534"/>
        <v>-1.2839966563652008</v>
      </c>
      <c r="AV976" s="45">
        <f t="shared" si="535"/>
        <v>4.3213737826425782E-3</v>
      </c>
      <c r="AW976" s="45">
        <f t="shared" si="536"/>
        <v>-1.2883180301478434</v>
      </c>
      <c r="AX976" s="45">
        <f t="shared" si="537"/>
        <v>3.0827853703164503</v>
      </c>
      <c r="AY976" s="45" t="e">
        <f t="shared" si="538"/>
        <v>#VALUE!</v>
      </c>
      <c r="AZ976" s="45">
        <f t="shared" si="539"/>
        <v>1.6042260530844701</v>
      </c>
      <c r="BA976" s="45" t="e">
        <f t="shared" si="540"/>
        <v>#VALUE!</v>
      </c>
      <c r="BB976" s="45" t="e">
        <f t="shared" si="541"/>
        <v>#VALUE!</v>
      </c>
      <c r="BC976" s="45">
        <f t="shared" si="542"/>
        <v>0.74036268949424389</v>
      </c>
      <c r="BD976" s="45">
        <f t="shared" si="543"/>
        <v>1.1760912590556813</v>
      </c>
      <c r="BE976" s="45" t="e">
        <f t="shared" si="544"/>
        <v>#VALUE!</v>
      </c>
      <c r="BF976" s="45" t="e">
        <f t="shared" si="545"/>
        <v>#VALUE!</v>
      </c>
      <c r="BG976" s="45" t="e">
        <f t="shared" si="546"/>
        <v>#VALUE!</v>
      </c>
      <c r="BH976" s="45" t="e">
        <f t="shared" si="547"/>
        <v>#VALUE!</v>
      </c>
      <c r="BI976" s="43" t="e">
        <f t="shared" si="548"/>
        <v>#VALUE!</v>
      </c>
      <c r="BJ976" s="18" t="s">
        <v>520</v>
      </c>
      <c r="BK976" s="18" t="s">
        <v>521</v>
      </c>
      <c r="BL976" s="18" t="s">
        <v>22</v>
      </c>
      <c r="BM976" s="41" t="s">
        <v>22</v>
      </c>
      <c r="BN976" s="41" t="s">
        <v>22</v>
      </c>
      <c r="BO976" s="41" t="s">
        <v>22</v>
      </c>
      <c r="BP976" s="41" t="s">
        <v>22</v>
      </c>
      <c r="BQ976" s="41" t="s">
        <v>22</v>
      </c>
      <c r="BR976" s="41" t="s">
        <v>22</v>
      </c>
      <c r="BS976" s="18" t="s">
        <v>22</v>
      </c>
      <c r="BT976" s="18" t="s">
        <v>22</v>
      </c>
      <c r="BU976" s="41" t="s">
        <v>22</v>
      </c>
      <c r="BV976" s="41" t="s">
        <v>22</v>
      </c>
      <c r="BW976" s="43" t="e">
        <f t="shared" si="552"/>
        <v>#VALUE!</v>
      </c>
      <c r="BX976" s="41" t="s">
        <v>22</v>
      </c>
      <c r="BY976" s="41" t="s">
        <v>22</v>
      </c>
      <c r="BZ976" s="41" t="s">
        <v>22</v>
      </c>
      <c r="CA976" s="41" t="s">
        <v>22</v>
      </c>
      <c r="CB976" s="18"/>
      <c r="CC976" s="18" t="s">
        <v>1008</v>
      </c>
      <c r="CD976" s="18" t="s">
        <v>1011</v>
      </c>
      <c r="CE976" s="41" t="e">
        <f t="shared" si="553"/>
        <v>#VALUE!</v>
      </c>
      <c r="CF976" s="41" t="e">
        <f t="shared" si="554"/>
        <v>#VALUE!</v>
      </c>
      <c r="CG976" s="41">
        <f t="shared" si="555"/>
        <v>15000</v>
      </c>
      <c r="CH976" s="41">
        <f t="shared" si="556"/>
        <v>4.1760912590556813</v>
      </c>
      <c r="CI976" s="41">
        <f>IF(ISNUMBER(CG976),CG976,U976)</f>
        <v>15000</v>
      </c>
      <c r="CJ976" s="41">
        <f t="shared" si="557"/>
        <v>4.1760912590556813</v>
      </c>
      <c r="CK976" s="18"/>
      <c r="CL976" s="9" t="s">
        <v>1269</v>
      </c>
      <c r="CM976" s="18" t="s">
        <v>1283</v>
      </c>
      <c r="CN976" s="54" t="s">
        <v>1284</v>
      </c>
      <c r="CO976" s="18" t="s">
        <v>1284</v>
      </c>
    </row>
    <row r="977" spans="1:93" s="9" customFormat="1" x14ac:dyDescent="0.25">
      <c r="A977" s="9" t="s">
        <v>365</v>
      </c>
      <c r="B977" s="50" t="s">
        <v>22</v>
      </c>
      <c r="C977" s="50" t="s">
        <v>22</v>
      </c>
      <c r="D977" s="50" t="s">
        <v>22</v>
      </c>
      <c r="E977" s="50" t="s">
        <v>22</v>
      </c>
      <c r="F977" s="9" t="s">
        <v>22</v>
      </c>
      <c r="G977" s="9" t="s">
        <v>22</v>
      </c>
      <c r="H977" s="9" t="s">
        <v>22</v>
      </c>
      <c r="I977" s="9" t="s">
        <v>22</v>
      </c>
      <c r="J977" s="50" t="s">
        <v>22</v>
      </c>
      <c r="K977" s="9" t="s">
        <v>22</v>
      </c>
      <c r="L977" s="50"/>
      <c r="M977" s="9" t="s">
        <v>23</v>
      </c>
      <c r="N977" s="50" t="s">
        <v>22</v>
      </c>
      <c r="O977" s="50" t="s">
        <v>22</v>
      </c>
      <c r="P977" s="50" t="s">
        <v>22</v>
      </c>
      <c r="Q977" s="50"/>
      <c r="R977" s="50" t="s">
        <v>22</v>
      </c>
      <c r="S977" s="50" t="s">
        <v>22</v>
      </c>
      <c r="T977" s="50">
        <v>1.8</v>
      </c>
      <c r="U977" s="50">
        <v>1.8</v>
      </c>
      <c r="V977" s="9">
        <v>20200713</v>
      </c>
      <c r="W977" s="21"/>
      <c r="X977" s="21">
        <v>2018</v>
      </c>
      <c r="Y977" s="9" t="s">
        <v>1051</v>
      </c>
      <c r="Z977" s="9" t="s">
        <v>32</v>
      </c>
      <c r="AB977" s="50"/>
      <c r="AC977" s="9" t="s">
        <v>514</v>
      </c>
      <c r="AD977" s="50" t="s">
        <v>22</v>
      </c>
      <c r="AE977" s="50" t="s">
        <v>22</v>
      </c>
      <c r="AF977" s="50">
        <v>5835.1905934576998</v>
      </c>
      <c r="AG977" s="50" t="s">
        <v>22</v>
      </c>
      <c r="AH977" s="50" t="s">
        <v>22</v>
      </c>
      <c r="AI977" s="50" t="s">
        <v>22</v>
      </c>
      <c r="AJ977" s="50" t="s">
        <v>22</v>
      </c>
      <c r="AK977" s="50" t="s">
        <v>22</v>
      </c>
      <c r="AL977" s="50" t="s">
        <v>22</v>
      </c>
      <c r="AM977" s="43" t="e">
        <f t="shared" si="531"/>
        <v>#VALUE!</v>
      </c>
      <c r="AN977" s="43" t="e">
        <f t="shared" si="532"/>
        <v>#VALUE!</v>
      </c>
      <c r="AO977" s="21" t="s">
        <v>1052</v>
      </c>
      <c r="AT977" s="2">
        <f t="shared" si="533"/>
        <v>4</v>
      </c>
      <c r="AU977" s="45" t="e">
        <f t="shared" si="534"/>
        <v>#VALUE!</v>
      </c>
      <c r="AV977" s="45" t="e">
        <f t="shared" si="535"/>
        <v>#VALUE!</v>
      </c>
      <c r="AW977" s="45" t="e">
        <f t="shared" si="536"/>
        <v>#VALUE!</v>
      </c>
      <c r="AX977" s="45" t="e">
        <f t="shared" si="537"/>
        <v>#VALUE!</v>
      </c>
      <c r="AY977" s="45" t="e">
        <f t="shared" si="538"/>
        <v>#VALUE!</v>
      </c>
      <c r="AZ977" s="45" t="e">
        <f t="shared" si="539"/>
        <v>#VALUE!</v>
      </c>
      <c r="BA977" s="45" t="e">
        <f t="shared" si="540"/>
        <v>#VALUE!</v>
      </c>
      <c r="BB977" s="45" t="e">
        <f t="shared" si="541"/>
        <v>#NUM!</v>
      </c>
      <c r="BC977" s="45">
        <f t="shared" si="542"/>
        <v>0.25527250510330607</v>
      </c>
      <c r="BD977" s="45" t="e">
        <f t="shared" si="543"/>
        <v>#VALUE!</v>
      </c>
      <c r="BE977" s="45">
        <f t="shared" si="544"/>
        <v>3.7660550458715591</v>
      </c>
      <c r="BF977" s="45" t="e">
        <f t="shared" si="545"/>
        <v>#VALUE!</v>
      </c>
      <c r="BG977" s="45" t="e">
        <f t="shared" si="546"/>
        <v>#VALUE!</v>
      </c>
      <c r="BH977" s="45" t="e">
        <f t="shared" si="547"/>
        <v>#NUM!</v>
      </c>
      <c r="BI977" s="43">
        <f t="shared" si="548"/>
        <v>3.7660550458715591</v>
      </c>
      <c r="BL977" s="20"/>
      <c r="BM977" s="50"/>
      <c r="BN977" s="50"/>
      <c r="BO977" s="50"/>
      <c r="BP977" s="50"/>
      <c r="BQ977" s="50"/>
      <c r="BR977" s="50"/>
      <c r="BU977" s="50"/>
      <c r="BV977" s="50"/>
      <c r="BW977" s="50"/>
      <c r="BX977" s="50"/>
      <c r="BY977" s="50"/>
      <c r="BZ977" s="50"/>
      <c r="CA977" s="50" t="s">
        <v>22</v>
      </c>
      <c r="CE977" s="50"/>
      <c r="CF977" s="50"/>
      <c r="CG977" s="50"/>
      <c r="CH977" s="50"/>
      <c r="CI977" s="50">
        <f t="shared" ref="CI977:CI983" si="558">IF(ISNUMBER(CG977),CG977,U977)</f>
        <v>1.8</v>
      </c>
      <c r="CJ977" s="50">
        <f t="shared" ref="CJ977:CJ983" si="559">LOG10(CI977)</f>
        <v>0.25527250510330607</v>
      </c>
      <c r="CL977" s="9" t="s">
        <v>1269</v>
      </c>
      <c r="CM977" s="9" t="s">
        <v>1285</v>
      </c>
      <c r="CN977" s="55" t="s">
        <v>1284</v>
      </c>
      <c r="CO977" s="9" t="s">
        <v>1284</v>
      </c>
    </row>
    <row r="978" spans="1:93" s="9" customFormat="1" x14ac:dyDescent="0.25">
      <c r="A978" s="9" t="s">
        <v>731</v>
      </c>
      <c r="B978" s="50" t="s">
        <v>22</v>
      </c>
      <c r="C978" s="50" t="s">
        <v>22</v>
      </c>
      <c r="D978" s="50" t="s">
        <v>22</v>
      </c>
      <c r="E978" s="50" t="s">
        <v>22</v>
      </c>
      <c r="F978" s="9" t="s">
        <v>22</v>
      </c>
      <c r="G978" s="9" t="s">
        <v>22</v>
      </c>
      <c r="H978" s="9" t="s">
        <v>22</v>
      </c>
      <c r="I978" s="9" t="s">
        <v>22</v>
      </c>
      <c r="J978" s="50" t="s">
        <v>22</v>
      </c>
      <c r="K978" s="9" t="s">
        <v>22</v>
      </c>
      <c r="L978" s="50"/>
      <c r="M978" s="9" t="s">
        <v>23</v>
      </c>
      <c r="N978" s="50" t="s">
        <v>22</v>
      </c>
      <c r="O978" s="50" t="s">
        <v>22</v>
      </c>
      <c r="P978" s="50" t="s">
        <v>22</v>
      </c>
      <c r="Q978" s="50"/>
      <c r="R978" s="50" t="s">
        <v>22</v>
      </c>
      <c r="S978" s="50" t="s">
        <v>22</v>
      </c>
      <c r="T978" s="50">
        <v>1.8</v>
      </c>
      <c r="U978" s="50">
        <v>1.8</v>
      </c>
      <c r="V978" s="9">
        <v>20200713</v>
      </c>
      <c r="W978" s="21"/>
      <c r="X978" s="21">
        <v>2018</v>
      </c>
      <c r="Y978" s="9" t="s">
        <v>1051</v>
      </c>
      <c r="Z978" s="9" t="s">
        <v>32</v>
      </c>
      <c r="AB978" s="50"/>
      <c r="AC978" s="9" t="s">
        <v>514</v>
      </c>
      <c r="AD978" s="50" t="s">
        <v>22</v>
      </c>
      <c r="AE978" s="50" t="s">
        <v>22</v>
      </c>
      <c r="AF978" s="50">
        <v>2050.8155677140599</v>
      </c>
      <c r="AG978" s="50" t="s">
        <v>22</v>
      </c>
      <c r="AH978" s="50" t="s">
        <v>22</v>
      </c>
      <c r="AI978" s="50" t="s">
        <v>22</v>
      </c>
      <c r="AJ978" s="50" t="s">
        <v>22</v>
      </c>
      <c r="AK978" s="50" t="s">
        <v>22</v>
      </c>
      <c r="AL978" s="50" t="s">
        <v>22</v>
      </c>
      <c r="AM978" s="43" t="e">
        <f t="shared" si="531"/>
        <v>#VALUE!</v>
      </c>
      <c r="AN978" s="43" t="e">
        <f t="shared" si="532"/>
        <v>#VALUE!</v>
      </c>
      <c r="AO978" s="21" t="s">
        <v>1052</v>
      </c>
      <c r="AT978" s="2">
        <f t="shared" si="533"/>
        <v>4</v>
      </c>
      <c r="AU978" s="45" t="e">
        <f t="shared" si="534"/>
        <v>#VALUE!</v>
      </c>
      <c r="AV978" s="45" t="e">
        <f t="shared" si="535"/>
        <v>#VALUE!</v>
      </c>
      <c r="AW978" s="45" t="e">
        <f t="shared" si="536"/>
        <v>#VALUE!</v>
      </c>
      <c r="AX978" s="45" t="e">
        <f t="shared" si="537"/>
        <v>#VALUE!</v>
      </c>
      <c r="AY978" s="45" t="e">
        <f t="shared" si="538"/>
        <v>#VALUE!</v>
      </c>
      <c r="AZ978" s="45" t="e">
        <f t="shared" si="539"/>
        <v>#VALUE!</v>
      </c>
      <c r="BA978" s="45" t="e">
        <f t="shared" si="540"/>
        <v>#VALUE!</v>
      </c>
      <c r="BB978" s="45" t="e">
        <f t="shared" si="541"/>
        <v>#NUM!</v>
      </c>
      <c r="BC978" s="45">
        <f t="shared" si="542"/>
        <v>0.25527250510330607</v>
      </c>
      <c r="BD978" s="45" t="e">
        <f t="shared" si="543"/>
        <v>#VALUE!</v>
      </c>
      <c r="BE978" s="45">
        <f t="shared" si="544"/>
        <v>3.3119266055045871</v>
      </c>
      <c r="BF978" s="45" t="e">
        <f t="shared" si="545"/>
        <v>#VALUE!</v>
      </c>
      <c r="BG978" s="45" t="e">
        <f t="shared" si="546"/>
        <v>#VALUE!</v>
      </c>
      <c r="BH978" s="45" t="e">
        <f t="shared" si="547"/>
        <v>#NUM!</v>
      </c>
      <c r="BI978" s="43">
        <f t="shared" si="548"/>
        <v>3.3119266055045871</v>
      </c>
      <c r="BL978" s="20"/>
      <c r="BM978" s="50"/>
      <c r="BN978" s="50"/>
      <c r="BO978" s="50"/>
      <c r="BP978" s="50"/>
      <c r="BQ978" s="50"/>
      <c r="BR978" s="50"/>
      <c r="BU978" s="50"/>
      <c r="BV978" s="50"/>
      <c r="BW978" s="50"/>
      <c r="BX978" s="50"/>
      <c r="BY978" s="50"/>
      <c r="BZ978" s="50"/>
      <c r="CA978" s="50" t="s">
        <v>22</v>
      </c>
      <c r="CE978" s="50"/>
      <c r="CF978" s="50"/>
      <c r="CG978" s="50"/>
      <c r="CH978" s="50"/>
      <c r="CI978" s="50">
        <f t="shared" si="558"/>
        <v>1.8</v>
      </c>
      <c r="CJ978" s="50">
        <f t="shared" si="559"/>
        <v>0.25527250510330607</v>
      </c>
      <c r="CL978" s="9" t="s">
        <v>1269</v>
      </c>
      <c r="CM978" s="9" t="s">
        <v>1285</v>
      </c>
      <c r="CN978" s="55" t="s">
        <v>1284</v>
      </c>
      <c r="CO978" s="9" t="s">
        <v>1284</v>
      </c>
    </row>
    <row r="979" spans="1:93" s="9" customFormat="1" x14ac:dyDescent="0.25">
      <c r="A979" s="9" t="s">
        <v>731</v>
      </c>
      <c r="B979" s="50" t="s">
        <v>22</v>
      </c>
      <c r="C979" s="50" t="s">
        <v>22</v>
      </c>
      <c r="D979" s="50" t="s">
        <v>22</v>
      </c>
      <c r="E979" s="50" t="s">
        <v>22</v>
      </c>
      <c r="F979" s="9" t="s">
        <v>22</v>
      </c>
      <c r="G979" s="9" t="s">
        <v>22</v>
      </c>
      <c r="H979" s="9" t="s">
        <v>22</v>
      </c>
      <c r="I979" s="9" t="s">
        <v>22</v>
      </c>
      <c r="J979" s="50" t="s">
        <v>22</v>
      </c>
      <c r="K979" s="9" t="s">
        <v>22</v>
      </c>
      <c r="L979" s="50"/>
      <c r="M979" s="9" t="s">
        <v>23</v>
      </c>
      <c r="N979" s="50" t="s">
        <v>22</v>
      </c>
      <c r="O979" s="50" t="s">
        <v>22</v>
      </c>
      <c r="P979" s="50" t="s">
        <v>22</v>
      </c>
      <c r="Q979" s="50"/>
      <c r="R979" s="50" t="s">
        <v>22</v>
      </c>
      <c r="S979" s="50" t="s">
        <v>22</v>
      </c>
      <c r="T979" s="50">
        <v>1.8</v>
      </c>
      <c r="U979" s="50">
        <v>1.8</v>
      </c>
      <c r="V979" s="9">
        <v>20200713</v>
      </c>
      <c r="W979" s="21"/>
      <c r="X979" s="21">
        <v>2018</v>
      </c>
      <c r="Y979" s="9" t="s">
        <v>1051</v>
      </c>
      <c r="Z979" s="9" t="s">
        <v>32</v>
      </c>
      <c r="AB979" s="50"/>
      <c r="AC979" s="9" t="s">
        <v>514</v>
      </c>
      <c r="AD979" s="50" t="s">
        <v>22</v>
      </c>
      <c r="AE979" s="50" t="s">
        <v>22</v>
      </c>
      <c r="AF979" s="50">
        <v>662.37040147485197</v>
      </c>
      <c r="AG979" s="50" t="s">
        <v>22</v>
      </c>
      <c r="AH979" s="50" t="s">
        <v>22</v>
      </c>
      <c r="AI979" s="50" t="s">
        <v>22</v>
      </c>
      <c r="AJ979" s="50" t="s">
        <v>22</v>
      </c>
      <c r="AK979" s="50" t="s">
        <v>22</v>
      </c>
      <c r="AL979" s="50" t="s">
        <v>22</v>
      </c>
      <c r="AM979" s="43" t="e">
        <f t="shared" si="531"/>
        <v>#VALUE!</v>
      </c>
      <c r="AN979" s="43" t="e">
        <f t="shared" si="532"/>
        <v>#VALUE!</v>
      </c>
      <c r="AO979" s="21" t="s">
        <v>1052</v>
      </c>
      <c r="AT979" s="2">
        <f t="shared" si="533"/>
        <v>4</v>
      </c>
      <c r="AU979" s="45" t="e">
        <f t="shared" si="534"/>
        <v>#VALUE!</v>
      </c>
      <c r="AV979" s="45" t="e">
        <f t="shared" si="535"/>
        <v>#VALUE!</v>
      </c>
      <c r="AW979" s="45" t="e">
        <f t="shared" si="536"/>
        <v>#VALUE!</v>
      </c>
      <c r="AX979" s="45" t="e">
        <f t="shared" si="537"/>
        <v>#VALUE!</v>
      </c>
      <c r="AY979" s="45" t="e">
        <f t="shared" si="538"/>
        <v>#VALUE!</v>
      </c>
      <c r="AZ979" s="45" t="e">
        <f t="shared" si="539"/>
        <v>#VALUE!</v>
      </c>
      <c r="BA979" s="45" t="e">
        <f t="shared" si="540"/>
        <v>#VALUE!</v>
      </c>
      <c r="BB979" s="45" t="e">
        <f t="shared" si="541"/>
        <v>#NUM!</v>
      </c>
      <c r="BC979" s="45">
        <f t="shared" si="542"/>
        <v>0.25527250510330607</v>
      </c>
      <c r="BD979" s="45" t="e">
        <f t="shared" si="543"/>
        <v>#VALUE!</v>
      </c>
      <c r="BE979" s="45">
        <f t="shared" si="544"/>
        <v>2.8211009174311927</v>
      </c>
      <c r="BF979" s="45" t="e">
        <f t="shared" si="545"/>
        <v>#VALUE!</v>
      </c>
      <c r="BG979" s="45" t="e">
        <f t="shared" si="546"/>
        <v>#VALUE!</v>
      </c>
      <c r="BH979" s="45" t="e">
        <f t="shared" si="547"/>
        <v>#NUM!</v>
      </c>
      <c r="BI979" s="43">
        <f t="shared" si="548"/>
        <v>2.8211009174311927</v>
      </c>
      <c r="BL979" s="20"/>
      <c r="BM979" s="50"/>
      <c r="BN979" s="50"/>
      <c r="BO979" s="50"/>
      <c r="BP979" s="50"/>
      <c r="BQ979" s="50"/>
      <c r="BR979" s="50"/>
      <c r="BU979" s="50"/>
      <c r="BV979" s="50"/>
      <c r="BW979" s="50"/>
      <c r="BX979" s="50"/>
      <c r="BY979" s="50"/>
      <c r="BZ979" s="50"/>
      <c r="CA979" s="50" t="s">
        <v>22</v>
      </c>
      <c r="CE979" s="50"/>
      <c r="CF979" s="50"/>
      <c r="CG979" s="50"/>
      <c r="CH979" s="50"/>
      <c r="CI979" s="50">
        <f t="shared" si="558"/>
        <v>1.8</v>
      </c>
      <c r="CJ979" s="50">
        <f t="shared" si="559"/>
        <v>0.25527250510330607</v>
      </c>
      <c r="CL979" s="9" t="s">
        <v>1269</v>
      </c>
      <c r="CM979" s="9" t="s">
        <v>1285</v>
      </c>
      <c r="CN979" s="55" t="s">
        <v>1284</v>
      </c>
      <c r="CO979" s="9" t="s">
        <v>1284</v>
      </c>
    </row>
    <row r="980" spans="1:93" s="9" customFormat="1" x14ac:dyDescent="0.25">
      <c r="A980" s="9" t="s">
        <v>731</v>
      </c>
      <c r="B980" s="50" t="s">
        <v>22</v>
      </c>
      <c r="C980" s="50" t="s">
        <v>22</v>
      </c>
      <c r="D980" s="50" t="s">
        <v>22</v>
      </c>
      <c r="E980" s="50" t="s">
        <v>22</v>
      </c>
      <c r="F980" s="9" t="s">
        <v>22</v>
      </c>
      <c r="G980" s="9" t="s">
        <v>22</v>
      </c>
      <c r="H980" s="9" t="s">
        <v>22</v>
      </c>
      <c r="I980" s="9" t="s">
        <v>22</v>
      </c>
      <c r="J980" s="50" t="s">
        <v>22</v>
      </c>
      <c r="K980" s="9" t="s">
        <v>22</v>
      </c>
      <c r="L980" s="50"/>
      <c r="M980" s="9" t="s">
        <v>23</v>
      </c>
      <c r="N980" s="50" t="s">
        <v>22</v>
      </c>
      <c r="O980" s="50" t="s">
        <v>22</v>
      </c>
      <c r="P980" s="50" t="s">
        <v>22</v>
      </c>
      <c r="Q980" s="50"/>
      <c r="R980" s="50" t="s">
        <v>22</v>
      </c>
      <c r="S980" s="50" t="s">
        <v>22</v>
      </c>
      <c r="T980" s="50">
        <v>1.8</v>
      </c>
      <c r="U980" s="50">
        <v>1.8</v>
      </c>
      <c r="V980" s="9">
        <v>20200713</v>
      </c>
      <c r="W980" s="21"/>
      <c r="X980" s="21">
        <v>2018</v>
      </c>
      <c r="Y980" s="9" t="s">
        <v>1051</v>
      </c>
      <c r="Z980" s="9" t="s">
        <v>32</v>
      </c>
      <c r="AB980" s="50"/>
      <c r="AC980" s="9" t="s">
        <v>514</v>
      </c>
      <c r="AD980" s="50" t="s">
        <v>22</v>
      </c>
      <c r="AE980" s="50" t="s">
        <v>22</v>
      </c>
      <c r="AF980" s="50">
        <v>230.348464237022</v>
      </c>
      <c r="AG980" s="50" t="s">
        <v>22</v>
      </c>
      <c r="AH980" s="50" t="s">
        <v>22</v>
      </c>
      <c r="AI980" s="50" t="s">
        <v>22</v>
      </c>
      <c r="AJ980" s="50" t="s">
        <v>22</v>
      </c>
      <c r="AK980" s="50" t="s">
        <v>22</v>
      </c>
      <c r="AL980" s="50" t="s">
        <v>22</v>
      </c>
      <c r="AM980" s="43" t="e">
        <f t="shared" si="531"/>
        <v>#VALUE!</v>
      </c>
      <c r="AN980" s="43" t="e">
        <f t="shared" si="532"/>
        <v>#VALUE!</v>
      </c>
      <c r="AO980" s="21" t="s">
        <v>1052</v>
      </c>
      <c r="AT980" s="2">
        <f t="shared" si="533"/>
        <v>4</v>
      </c>
      <c r="AU980" s="45" t="e">
        <f t="shared" si="534"/>
        <v>#VALUE!</v>
      </c>
      <c r="AV980" s="45" t="e">
        <f t="shared" si="535"/>
        <v>#VALUE!</v>
      </c>
      <c r="AW980" s="45" t="e">
        <f t="shared" si="536"/>
        <v>#VALUE!</v>
      </c>
      <c r="AX980" s="45" t="e">
        <f t="shared" si="537"/>
        <v>#VALUE!</v>
      </c>
      <c r="AY980" s="45" t="e">
        <f t="shared" si="538"/>
        <v>#VALUE!</v>
      </c>
      <c r="AZ980" s="45" t="e">
        <f t="shared" si="539"/>
        <v>#VALUE!</v>
      </c>
      <c r="BA980" s="45" t="e">
        <f t="shared" si="540"/>
        <v>#VALUE!</v>
      </c>
      <c r="BB980" s="45" t="e">
        <f t="shared" si="541"/>
        <v>#NUM!</v>
      </c>
      <c r="BC980" s="45">
        <f t="shared" si="542"/>
        <v>0.25527250510330607</v>
      </c>
      <c r="BD980" s="45" t="e">
        <f t="shared" si="543"/>
        <v>#VALUE!</v>
      </c>
      <c r="BE980" s="45">
        <f t="shared" si="544"/>
        <v>2.362385321100918</v>
      </c>
      <c r="BF980" s="45" t="e">
        <f t="shared" si="545"/>
        <v>#VALUE!</v>
      </c>
      <c r="BG980" s="45" t="e">
        <f t="shared" si="546"/>
        <v>#VALUE!</v>
      </c>
      <c r="BH980" s="45" t="e">
        <f t="shared" si="547"/>
        <v>#NUM!</v>
      </c>
      <c r="BI980" s="43">
        <f t="shared" si="548"/>
        <v>2.362385321100918</v>
      </c>
      <c r="BL980" s="20"/>
      <c r="BM980" s="50"/>
      <c r="BN980" s="50"/>
      <c r="BO980" s="50"/>
      <c r="BP980" s="50"/>
      <c r="BQ980" s="50"/>
      <c r="BR980" s="50"/>
      <c r="BU980" s="50"/>
      <c r="BV980" s="50"/>
      <c r="BW980" s="50"/>
      <c r="BX980" s="50"/>
      <c r="BY980" s="50"/>
      <c r="BZ980" s="50"/>
      <c r="CA980" s="50" t="s">
        <v>22</v>
      </c>
      <c r="CE980" s="50"/>
      <c r="CF980" s="50"/>
      <c r="CG980" s="50"/>
      <c r="CH980" s="50"/>
      <c r="CI980" s="50">
        <f t="shared" si="558"/>
        <v>1.8</v>
      </c>
      <c r="CJ980" s="50">
        <f t="shared" si="559"/>
        <v>0.25527250510330607</v>
      </c>
      <c r="CL980" s="9" t="s">
        <v>1269</v>
      </c>
      <c r="CM980" s="9" t="s">
        <v>1285</v>
      </c>
      <c r="CN980" s="55" t="s">
        <v>1284</v>
      </c>
      <c r="CO980" s="9" t="s">
        <v>1284</v>
      </c>
    </row>
    <row r="981" spans="1:93" s="9" customFormat="1" x14ac:dyDescent="0.25">
      <c r="A981" s="9" t="s">
        <v>315</v>
      </c>
      <c r="B981" s="50">
        <f>330*100*10^-6</f>
        <v>3.3000000000000002E-2</v>
      </c>
      <c r="C981" s="50" t="s">
        <v>22</v>
      </c>
      <c r="D981" s="50" t="s">
        <v>22</v>
      </c>
      <c r="E981" s="50" t="s">
        <v>22</v>
      </c>
      <c r="F981" s="9" t="s">
        <v>22</v>
      </c>
      <c r="G981" s="9" t="s">
        <v>22</v>
      </c>
      <c r="H981" s="9" t="s">
        <v>22</v>
      </c>
      <c r="I981" s="9" t="s">
        <v>22</v>
      </c>
      <c r="J981" s="50"/>
      <c r="K981" s="9">
        <v>200</v>
      </c>
      <c r="L981" s="50"/>
      <c r="M981" s="9" t="s">
        <v>23</v>
      </c>
      <c r="N981" s="50" t="s">
        <v>22</v>
      </c>
      <c r="O981" s="50" t="s">
        <v>22</v>
      </c>
      <c r="P981" s="50" t="s">
        <v>22</v>
      </c>
      <c r="Q981" s="50"/>
      <c r="R981" s="50" t="s">
        <v>22</v>
      </c>
      <c r="S981" s="50" t="s">
        <v>22</v>
      </c>
      <c r="T981" s="50">
        <v>2</v>
      </c>
      <c r="U981" s="50">
        <v>2</v>
      </c>
      <c r="V981" s="9">
        <v>20201129</v>
      </c>
      <c r="W981" s="21"/>
      <c r="X981" s="21">
        <v>2018</v>
      </c>
      <c r="Y981" s="9" t="s">
        <v>76</v>
      </c>
      <c r="Z981" s="9" t="s">
        <v>32</v>
      </c>
      <c r="AB981" s="50"/>
      <c r="AC981" s="9" t="s">
        <v>514</v>
      </c>
      <c r="AD981" s="50" t="s">
        <v>22</v>
      </c>
      <c r="AE981" s="50">
        <v>1590</v>
      </c>
      <c r="AF981" s="50" t="s">
        <v>22</v>
      </c>
      <c r="AG981" s="50">
        <v>158.80149812734001</v>
      </c>
      <c r="AH981" s="50">
        <v>1.8857142857142799</v>
      </c>
      <c r="AI981" s="50"/>
      <c r="AJ981" s="50">
        <v>1.76428571428571</v>
      </c>
      <c r="AK981" s="50">
        <v>0.93214285714285705</v>
      </c>
      <c r="AL981" s="50">
        <v>0.99285714285714299</v>
      </c>
      <c r="AM981" s="43" t="e">
        <f t="shared" si="531"/>
        <v>#DIV/0!</v>
      </c>
      <c r="AN981" s="43">
        <f t="shared" si="532"/>
        <v>0.56275303643724839</v>
      </c>
      <c r="AO981" s="21" t="s">
        <v>1194</v>
      </c>
      <c r="AT981" s="2">
        <f t="shared" si="533"/>
        <v>3</v>
      </c>
      <c r="AU981" s="45">
        <f t="shared" si="534"/>
        <v>-1.4814860601221125</v>
      </c>
      <c r="AV981" s="45" t="e">
        <f t="shared" si="535"/>
        <v>#VALUE!</v>
      </c>
      <c r="AW981" s="45" t="e">
        <f t="shared" si="536"/>
        <v>#VALUE!</v>
      </c>
      <c r="AX981" s="45" t="e">
        <f t="shared" si="537"/>
        <v>#VALUE!</v>
      </c>
      <c r="AY981" s="45" t="e">
        <f t="shared" si="538"/>
        <v>#VALUE!</v>
      </c>
      <c r="AZ981" s="45" t="e">
        <f t="shared" si="539"/>
        <v>#VALUE!</v>
      </c>
      <c r="BA981" s="45" t="e">
        <f t="shared" si="540"/>
        <v>#NUM!</v>
      </c>
      <c r="BB981" s="45" t="e">
        <f t="shared" si="541"/>
        <v>#NUM!</v>
      </c>
      <c r="BC981" s="45">
        <f t="shared" si="542"/>
        <v>0.3010299956639812</v>
      </c>
      <c r="BD981" s="45" t="e">
        <f t="shared" si="543"/>
        <v>#VALUE!</v>
      </c>
      <c r="BE981" s="45" t="e">
        <f t="shared" si="544"/>
        <v>#VALUE!</v>
      </c>
      <c r="BF981" s="45" t="e">
        <f t="shared" si="545"/>
        <v>#DIV/0!</v>
      </c>
      <c r="BG981" s="45">
        <f t="shared" si="546"/>
        <v>-0.24968215300556956</v>
      </c>
      <c r="BH981" s="45" t="e">
        <f t="shared" si="547"/>
        <v>#NUM!</v>
      </c>
      <c r="BI981" s="43" t="e">
        <f t="shared" si="548"/>
        <v>#VALUE!</v>
      </c>
      <c r="BL981" s="20"/>
      <c r="BM981" s="50"/>
      <c r="BN981" s="50"/>
      <c r="BO981" s="50"/>
      <c r="BP981" s="50"/>
      <c r="BQ981" s="50"/>
      <c r="BR981" s="50"/>
      <c r="BU981" s="50"/>
      <c r="BV981" s="50"/>
      <c r="BW981" s="50"/>
      <c r="BX981" s="50"/>
      <c r="BY981" s="50"/>
      <c r="BZ981" s="50"/>
      <c r="CA981" s="50" t="s">
        <v>22</v>
      </c>
      <c r="CE981" s="50"/>
      <c r="CF981" s="50"/>
      <c r="CG981" s="50"/>
      <c r="CH981" s="50"/>
      <c r="CI981" s="50">
        <f t="shared" si="558"/>
        <v>2</v>
      </c>
      <c r="CJ981" s="50">
        <f t="shared" si="559"/>
        <v>0.3010299956639812</v>
      </c>
      <c r="CL981" s="9" t="s">
        <v>1269</v>
      </c>
      <c r="CM981" s="9" t="s">
        <v>1285</v>
      </c>
      <c r="CN981" s="55" t="s">
        <v>1284</v>
      </c>
      <c r="CO981" s="9" t="s">
        <v>1284</v>
      </c>
    </row>
    <row r="982" spans="1:93" s="9" customFormat="1" x14ac:dyDescent="0.25">
      <c r="A982" s="9" t="s">
        <v>315</v>
      </c>
      <c r="B982" s="50">
        <f>1070*100*10^-6</f>
        <v>0.107</v>
      </c>
      <c r="C982" s="50" t="s">
        <v>22</v>
      </c>
      <c r="D982" s="50" t="s">
        <v>22</v>
      </c>
      <c r="E982" s="50" t="s">
        <v>22</v>
      </c>
      <c r="F982" s="9" t="s">
        <v>22</v>
      </c>
      <c r="G982" s="9" t="s">
        <v>22</v>
      </c>
      <c r="H982" s="9" t="s">
        <v>22</v>
      </c>
      <c r="I982" s="9" t="s">
        <v>22</v>
      </c>
      <c r="J982" s="50"/>
      <c r="K982" s="9" t="s">
        <v>22</v>
      </c>
      <c r="L982" s="50"/>
      <c r="M982" s="9" t="s">
        <v>45</v>
      </c>
      <c r="N982" s="50" t="s">
        <v>22</v>
      </c>
      <c r="O982" s="50" t="s">
        <v>22</v>
      </c>
      <c r="P982" s="50" t="s">
        <v>22</v>
      </c>
      <c r="Q982" s="50"/>
      <c r="R982" s="50" t="s">
        <v>22</v>
      </c>
      <c r="S982" s="50" t="s">
        <v>22</v>
      </c>
      <c r="T982" s="50">
        <v>2</v>
      </c>
      <c r="U982" s="50">
        <v>2</v>
      </c>
      <c r="V982" s="9">
        <v>20201129</v>
      </c>
      <c r="W982" s="21"/>
      <c r="X982" s="21">
        <v>2018</v>
      </c>
      <c r="Y982" s="9" t="s">
        <v>76</v>
      </c>
      <c r="Z982" s="9" t="s">
        <v>124</v>
      </c>
      <c r="AA982" s="9" t="s">
        <v>894</v>
      </c>
      <c r="AB982" s="50">
        <f>330*100*10^-6</f>
        <v>3.3000000000000002E-2</v>
      </c>
      <c r="AC982" s="9" t="s">
        <v>514</v>
      </c>
      <c r="AD982" s="50" t="s">
        <v>22</v>
      </c>
      <c r="AE982" s="50" t="s">
        <v>22</v>
      </c>
      <c r="AF982" s="50" t="s">
        <v>22</v>
      </c>
      <c r="AG982" s="50">
        <v>77</v>
      </c>
      <c r="AH982" s="50">
        <v>1.0333333333333301</v>
      </c>
      <c r="AI982" s="50">
        <v>1.0259259259259199</v>
      </c>
      <c r="AJ982" s="50">
        <v>0.94259259259259198</v>
      </c>
      <c r="AK982" s="50">
        <v>0.83888888888888902</v>
      </c>
      <c r="AL982" s="50">
        <v>1</v>
      </c>
      <c r="AM982" s="43">
        <f t="shared" si="531"/>
        <v>0.97472924187726206</v>
      </c>
      <c r="AN982" s="43">
        <f t="shared" si="532"/>
        <v>1.0609037328094308</v>
      </c>
      <c r="AO982" s="21" t="s">
        <v>1194</v>
      </c>
      <c r="AT982" s="2">
        <f t="shared" si="533"/>
        <v>3</v>
      </c>
      <c r="AU982" s="45">
        <f t="shared" si="534"/>
        <v>-0.97061622231479039</v>
      </c>
      <c r="AV982" s="45" t="e">
        <f t="shared" si="535"/>
        <v>#VALUE!</v>
      </c>
      <c r="AW982" s="45" t="e">
        <f t="shared" si="536"/>
        <v>#VALUE!</v>
      </c>
      <c r="AX982" s="45" t="e">
        <f t="shared" si="537"/>
        <v>#VALUE!</v>
      </c>
      <c r="AY982" s="45" t="e">
        <f t="shared" si="538"/>
        <v>#VALUE!</v>
      </c>
      <c r="AZ982" s="45" t="e">
        <f t="shared" si="539"/>
        <v>#VALUE!</v>
      </c>
      <c r="BA982" s="45" t="e">
        <f t="shared" si="540"/>
        <v>#NUM!</v>
      </c>
      <c r="BB982" s="45" t="e">
        <f t="shared" si="541"/>
        <v>#NUM!</v>
      </c>
      <c r="BC982" s="45">
        <f t="shared" si="542"/>
        <v>0.3010299956639812</v>
      </c>
      <c r="BD982" s="45" t="e">
        <f t="shared" si="543"/>
        <v>#VALUE!</v>
      </c>
      <c r="BE982" s="45" t="e">
        <f t="shared" si="544"/>
        <v>#VALUE!</v>
      </c>
      <c r="BF982" s="45">
        <f t="shared" si="545"/>
        <v>-1.1116004905458681E-2</v>
      </c>
      <c r="BG982" s="45">
        <f t="shared" si="546"/>
        <v>2.5675977486210002E-2</v>
      </c>
      <c r="BH982" s="45">
        <f t="shared" si="547"/>
        <v>-1.4814860601221125</v>
      </c>
      <c r="BI982" s="43" t="e">
        <f t="shared" si="548"/>
        <v>#VALUE!</v>
      </c>
      <c r="BL982" s="20"/>
      <c r="BM982" s="50"/>
      <c r="BN982" s="50"/>
      <c r="BO982" s="50"/>
      <c r="BP982" s="50"/>
      <c r="BQ982" s="50"/>
      <c r="BR982" s="50"/>
      <c r="BU982" s="50"/>
      <c r="BV982" s="50"/>
      <c r="BW982" s="50"/>
      <c r="BX982" s="50"/>
      <c r="BY982" s="50"/>
      <c r="BZ982" s="50"/>
      <c r="CA982" s="50" t="s">
        <v>22</v>
      </c>
      <c r="CE982" s="50"/>
      <c r="CF982" s="50"/>
      <c r="CG982" s="50"/>
      <c r="CH982" s="50"/>
      <c r="CI982" s="50">
        <f t="shared" si="558"/>
        <v>2</v>
      </c>
      <c r="CJ982" s="50">
        <f t="shared" si="559"/>
        <v>0.3010299956639812</v>
      </c>
      <c r="CL982" s="9" t="s">
        <v>1269</v>
      </c>
      <c r="CM982" s="9" t="s">
        <v>1285</v>
      </c>
      <c r="CN982" s="55" t="s">
        <v>1284</v>
      </c>
      <c r="CO982" s="9" t="s">
        <v>1284</v>
      </c>
    </row>
    <row r="983" spans="1:93" s="9" customFormat="1" x14ac:dyDescent="0.25">
      <c r="A983" s="9" t="s">
        <v>315</v>
      </c>
      <c r="B983" s="50">
        <f>2340*100*10^-6</f>
        <v>0.23399999999999999</v>
      </c>
      <c r="C983" s="50" t="s">
        <v>22</v>
      </c>
      <c r="D983" s="50" t="s">
        <v>22</v>
      </c>
      <c r="E983" s="50" t="s">
        <v>22</v>
      </c>
      <c r="F983" s="9" t="s">
        <v>22</v>
      </c>
      <c r="G983" s="9" t="s">
        <v>22</v>
      </c>
      <c r="H983" s="9" t="s">
        <v>22</v>
      </c>
      <c r="I983" s="9" t="s">
        <v>22</v>
      </c>
      <c r="J983" s="50"/>
      <c r="K983" s="9" t="s">
        <v>22</v>
      </c>
      <c r="L983" s="50"/>
      <c r="M983" s="9" t="s">
        <v>45</v>
      </c>
      <c r="N983" s="50" t="s">
        <v>22</v>
      </c>
      <c r="O983" s="50" t="s">
        <v>22</v>
      </c>
      <c r="P983" s="50" t="s">
        <v>22</v>
      </c>
      <c r="Q983" s="50"/>
      <c r="R983" s="50" t="s">
        <v>22</v>
      </c>
      <c r="S983" s="50" t="s">
        <v>22</v>
      </c>
      <c r="T983" s="50">
        <v>2</v>
      </c>
      <c r="U983" s="50">
        <v>2</v>
      </c>
      <c r="V983" s="9">
        <v>20201129</v>
      </c>
      <c r="W983" s="21"/>
      <c r="X983" s="21">
        <v>2018</v>
      </c>
      <c r="Y983" s="9" t="s">
        <v>76</v>
      </c>
      <c r="Z983" s="9" t="s">
        <v>124</v>
      </c>
      <c r="AA983" s="9" t="s">
        <v>1193</v>
      </c>
      <c r="AB983" s="50">
        <f>330*100*10^-6</f>
        <v>3.3000000000000002E-2</v>
      </c>
      <c r="AC983" s="9" t="s">
        <v>514</v>
      </c>
      <c r="AD983" s="50" t="s">
        <v>22</v>
      </c>
      <c r="AE983" s="50" t="s">
        <v>22</v>
      </c>
      <c r="AF983" s="50" t="s">
        <v>22</v>
      </c>
      <c r="AG983" s="50">
        <v>54</v>
      </c>
      <c r="AH983" s="50">
        <v>0.86507177033492799</v>
      </c>
      <c r="AI983" s="50">
        <v>0.86507177033492799</v>
      </c>
      <c r="AJ983" s="50">
        <v>0.83444976076555</v>
      </c>
      <c r="AK983" s="50">
        <v>0.78851674641148295</v>
      </c>
      <c r="AL983" s="50">
        <v>1.0009569377990399</v>
      </c>
      <c r="AM983" s="43">
        <f t="shared" si="531"/>
        <v>1.1570796460176958</v>
      </c>
      <c r="AN983" s="43">
        <f t="shared" si="532"/>
        <v>1.1995412844036664</v>
      </c>
      <c r="AO983" s="21" t="s">
        <v>1194</v>
      </c>
      <c r="AT983" s="2">
        <f t="shared" si="533"/>
        <v>3</v>
      </c>
      <c r="AU983" s="45">
        <f t="shared" si="534"/>
        <v>-0.63078414258985716</v>
      </c>
      <c r="AV983" s="45" t="e">
        <f t="shared" si="535"/>
        <v>#VALUE!</v>
      </c>
      <c r="AW983" s="45" t="e">
        <f t="shared" si="536"/>
        <v>#VALUE!</v>
      </c>
      <c r="AX983" s="45" t="e">
        <f t="shared" si="537"/>
        <v>#VALUE!</v>
      </c>
      <c r="AY983" s="45" t="e">
        <f t="shared" si="538"/>
        <v>#VALUE!</v>
      </c>
      <c r="AZ983" s="45" t="e">
        <f t="shared" si="539"/>
        <v>#VALUE!</v>
      </c>
      <c r="BA983" s="45" t="e">
        <f t="shared" si="540"/>
        <v>#NUM!</v>
      </c>
      <c r="BB983" s="45" t="e">
        <f t="shared" si="541"/>
        <v>#NUM!</v>
      </c>
      <c r="BC983" s="45">
        <f t="shared" si="542"/>
        <v>0.3010299956639812</v>
      </c>
      <c r="BD983" s="45" t="e">
        <f t="shared" si="543"/>
        <v>#VALUE!</v>
      </c>
      <c r="BE983" s="45" t="e">
        <f t="shared" si="544"/>
        <v>#VALUE!</v>
      </c>
      <c r="BF983" s="45">
        <f t="shared" si="545"/>
        <v>6.3363254055890869E-2</v>
      </c>
      <c r="BG983" s="45">
        <f t="shared" si="546"/>
        <v>7.9015199598686997E-2</v>
      </c>
      <c r="BH983" s="45">
        <f t="shared" si="547"/>
        <v>-1.4814860601221125</v>
      </c>
      <c r="BI983" s="43" t="e">
        <f t="shared" si="548"/>
        <v>#VALUE!</v>
      </c>
      <c r="BL983" s="20"/>
      <c r="BM983" s="50"/>
      <c r="BN983" s="50"/>
      <c r="BO983" s="50"/>
      <c r="BP983" s="50"/>
      <c r="BQ983" s="50"/>
      <c r="BR983" s="50"/>
      <c r="BU983" s="50"/>
      <c r="BV983" s="50"/>
      <c r="BW983" s="50"/>
      <c r="BX983" s="50"/>
      <c r="BY983" s="50"/>
      <c r="BZ983" s="50"/>
      <c r="CA983" s="50" t="s">
        <v>22</v>
      </c>
      <c r="CE983" s="50"/>
      <c r="CF983" s="50"/>
      <c r="CG983" s="50"/>
      <c r="CH983" s="50"/>
      <c r="CI983" s="50">
        <f t="shared" si="558"/>
        <v>2</v>
      </c>
      <c r="CJ983" s="50">
        <f t="shared" si="559"/>
        <v>0.3010299956639812</v>
      </c>
      <c r="CL983" s="9" t="s">
        <v>1269</v>
      </c>
      <c r="CM983" s="9" t="s">
        <v>1285</v>
      </c>
      <c r="CN983" s="55" t="s">
        <v>1284</v>
      </c>
      <c r="CO983" s="9" t="s">
        <v>1284</v>
      </c>
    </row>
    <row r="984" spans="1:93" s="1" customFormat="1" x14ac:dyDescent="0.25">
      <c r="A984" s="18" t="s">
        <v>141</v>
      </c>
      <c r="B984" s="41">
        <v>4.0399999999999998E-2</v>
      </c>
      <c r="C984" s="41">
        <v>0.39</v>
      </c>
      <c r="D984" s="41">
        <f>0.001*(B984*10^6)/(C984*0.001*100^3)</f>
        <v>0.10358974358974357</v>
      </c>
      <c r="E984" s="41">
        <v>1.243076923076923</v>
      </c>
      <c r="F984" s="18" t="s">
        <v>22</v>
      </c>
      <c r="G984" s="18" t="s">
        <v>22</v>
      </c>
      <c r="H984" s="18" t="s">
        <v>22</v>
      </c>
      <c r="I984" s="18" t="s">
        <v>22</v>
      </c>
      <c r="J984" s="41">
        <v>4.5</v>
      </c>
      <c r="K984" s="18" t="s">
        <v>22</v>
      </c>
      <c r="L984" s="41"/>
      <c r="M984" s="18" t="s">
        <v>23</v>
      </c>
      <c r="N984" s="41">
        <v>40</v>
      </c>
      <c r="O984" s="41">
        <f>0.001*(N984*10^6)/(C984*100^3)</f>
        <v>0.10256410256410256</v>
      </c>
      <c r="P984" s="41">
        <v>3.4</v>
      </c>
      <c r="Q984" s="41"/>
      <c r="R984" s="41">
        <f>N984*B984</f>
        <v>1.6159999999999999</v>
      </c>
      <c r="S984" s="41">
        <f>O984*D984</f>
        <v>1.0624589086127545E-2</v>
      </c>
      <c r="T984" s="41" t="s">
        <v>22</v>
      </c>
      <c r="U984" s="41" t="s">
        <v>22</v>
      </c>
      <c r="V984" s="18">
        <v>20200523</v>
      </c>
      <c r="W984" s="21" t="s">
        <v>875</v>
      </c>
      <c r="X984" s="6">
        <v>2018</v>
      </c>
      <c r="Y984" s="6" t="s">
        <v>452</v>
      </c>
      <c r="Z984" s="6" t="s">
        <v>876</v>
      </c>
      <c r="AA984" s="18"/>
      <c r="AB984" s="41"/>
      <c r="AC984" s="18" t="s">
        <v>514</v>
      </c>
      <c r="AD984" s="41" t="s">
        <v>22</v>
      </c>
      <c r="AE984" s="41" t="s">
        <v>22</v>
      </c>
      <c r="AF984" s="41" t="s">
        <v>22</v>
      </c>
      <c r="AG984" s="41" t="s">
        <v>22</v>
      </c>
      <c r="AH984" s="41" t="s">
        <v>22</v>
      </c>
      <c r="AI984" s="41" t="s">
        <v>22</v>
      </c>
      <c r="AJ984" s="41" t="s">
        <v>22</v>
      </c>
      <c r="AK984" s="41" t="s">
        <v>22</v>
      </c>
      <c r="AL984" s="41" t="s">
        <v>22</v>
      </c>
      <c r="AM984" s="43" t="e">
        <f t="shared" si="531"/>
        <v>#VALUE!</v>
      </c>
      <c r="AN984" s="43" t="e">
        <f t="shared" si="532"/>
        <v>#VALUE!</v>
      </c>
      <c r="AO984" s="19" t="s">
        <v>877</v>
      </c>
      <c r="AP984" s="18"/>
      <c r="AQ984" s="18"/>
      <c r="AR984" s="18"/>
      <c r="AS984" s="18"/>
      <c r="AT984" s="2">
        <f t="shared" si="533"/>
        <v>1</v>
      </c>
      <c r="AU984" s="45">
        <f t="shared" si="534"/>
        <v>-1.3936186348893951</v>
      </c>
      <c r="AV984" s="45">
        <f t="shared" si="535"/>
        <v>-0.40893539297350079</v>
      </c>
      <c r="AW984" s="45">
        <f t="shared" si="536"/>
        <v>-0.98468324191589429</v>
      </c>
      <c r="AX984" s="45">
        <f t="shared" si="537"/>
        <v>1.6020599913279623</v>
      </c>
      <c r="AY984" s="45">
        <f t="shared" si="538"/>
        <v>-0.98900461569853682</v>
      </c>
      <c r="AZ984" s="45">
        <f t="shared" si="539"/>
        <v>0.53147891704225514</v>
      </c>
      <c r="BA984" s="45">
        <f t="shared" si="540"/>
        <v>0.65321251377534373</v>
      </c>
      <c r="BB984" s="45" t="e">
        <f t="shared" si="541"/>
        <v>#NUM!</v>
      </c>
      <c r="BC984" s="45" t="e">
        <f t="shared" si="542"/>
        <v>#VALUE!</v>
      </c>
      <c r="BD984" s="45" t="e">
        <f t="shared" si="543"/>
        <v>#VALUE!</v>
      </c>
      <c r="BE984" s="45" t="e">
        <f t="shared" si="544"/>
        <v>#VALUE!</v>
      </c>
      <c r="BF984" s="45" t="e">
        <f t="shared" si="545"/>
        <v>#VALUE!</v>
      </c>
      <c r="BG984" s="45" t="e">
        <f t="shared" si="546"/>
        <v>#VALUE!</v>
      </c>
      <c r="BH984" s="45" t="e">
        <f t="shared" si="547"/>
        <v>#NUM!</v>
      </c>
      <c r="BI984" s="43" t="e">
        <f t="shared" si="548"/>
        <v>#VALUE!</v>
      </c>
      <c r="BJ984" s="18"/>
      <c r="BK984" s="18"/>
      <c r="BL984" s="20"/>
      <c r="BM984" s="41"/>
      <c r="BN984" s="41"/>
      <c r="BO984" s="41"/>
      <c r="BP984" s="41"/>
      <c r="BQ984" s="41"/>
      <c r="BR984" s="41"/>
      <c r="BS984" s="18"/>
      <c r="BT984" s="18"/>
      <c r="BU984" s="41"/>
      <c r="BV984" s="41"/>
      <c r="BW984" s="41"/>
      <c r="BX984" s="41"/>
      <c r="BY984" s="41"/>
      <c r="BZ984" s="41"/>
      <c r="CA984" s="41" t="s">
        <v>22</v>
      </c>
      <c r="CB984" s="18"/>
      <c r="CC984" s="18" t="s">
        <v>22</v>
      </c>
      <c r="CD984" s="18"/>
      <c r="CE984" s="41" t="s">
        <v>22</v>
      </c>
      <c r="CF984" s="41" t="s">
        <v>22</v>
      </c>
      <c r="CG984" s="41" t="e">
        <f t="shared" ref="CG984:CG1017" si="560">AD984*1000</f>
        <v>#VALUE!</v>
      </c>
      <c r="CH984" s="41" t="e">
        <f t="shared" ref="CH984:CH1017" si="561">LOG10(CG984)</f>
        <v>#VALUE!</v>
      </c>
      <c r="CI984" s="41" t="str">
        <f t="shared" ref="CI984:CI1017" si="562">IF(ISNUMBER(CG984),CG984,U984)</f>
        <v>Not Reported/ Can not calculate</v>
      </c>
      <c r="CJ984" s="41" t="e">
        <f t="shared" ref="CJ984:CJ1017" si="563">LOG10(CI984)</f>
        <v>#VALUE!</v>
      </c>
      <c r="CK984" s="18"/>
      <c r="CL984" s="9" t="s">
        <v>1269</v>
      </c>
      <c r="CM984" s="18" t="s">
        <v>1284</v>
      </c>
      <c r="CN984" s="54" t="s">
        <v>1284</v>
      </c>
      <c r="CO984" s="18" t="s">
        <v>1284</v>
      </c>
    </row>
    <row r="985" spans="1:93" s="1" customFormat="1" x14ac:dyDescent="0.25">
      <c r="A985" s="18" t="s">
        <v>266</v>
      </c>
      <c r="B985" s="41">
        <v>8.1967213114753981E-2</v>
      </c>
      <c r="C985" s="41" t="s">
        <v>22</v>
      </c>
      <c r="D985" s="41" t="s">
        <v>22</v>
      </c>
      <c r="E985" s="41" t="s">
        <v>22</v>
      </c>
      <c r="F985" s="18">
        <v>1.2</v>
      </c>
      <c r="G985" s="18" t="s">
        <v>52</v>
      </c>
      <c r="H985" s="18" t="s">
        <v>22</v>
      </c>
      <c r="I985" s="18" t="s">
        <v>22</v>
      </c>
      <c r="J985" s="41"/>
      <c r="K985" s="18" t="s">
        <v>22</v>
      </c>
      <c r="L985" s="41"/>
      <c r="M985" s="18" t="s">
        <v>45</v>
      </c>
      <c r="N985" s="41" t="s">
        <v>22</v>
      </c>
      <c r="O985" s="41" t="s">
        <v>22</v>
      </c>
      <c r="P985" s="41" t="s">
        <v>22</v>
      </c>
      <c r="Q985" s="41"/>
      <c r="R985" s="41" t="s">
        <v>22</v>
      </c>
      <c r="S985" s="41" t="s">
        <v>22</v>
      </c>
      <c r="T985" s="41" t="s">
        <v>22</v>
      </c>
      <c r="U985" s="41" t="s">
        <v>22</v>
      </c>
      <c r="V985" s="18">
        <v>20200509</v>
      </c>
      <c r="W985" s="21" t="s">
        <v>633</v>
      </c>
      <c r="X985" s="18">
        <v>2019</v>
      </c>
      <c r="Y985" s="18" t="s">
        <v>143</v>
      </c>
      <c r="Z985" s="18" t="s">
        <v>632</v>
      </c>
      <c r="AA985" s="18"/>
      <c r="AB985" s="41"/>
      <c r="AC985" s="18" t="s">
        <v>514</v>
      </c>
      <c r="AD985" s="41">
        <v>107.675906183368</v>
      </c>
      <c r="AE985" s="41" t="s">
        <v>22</v>
      </c>
      <c r="AF985" s="41" t="s">
        <v>22</v>
      </c>
      <c r="AG985" s="41" t="s">
        <v>22</v>
      </c>
      <c r="AH985" s="41" t="s">
        <v>22</v>
      </c>
      <c r="AI985" s="41" t="s">
        <v>22</v>
      </c>
      <c r="AJ985" s="41" t="s">
        <v>22</v>
      </c>
      <c r="AK985" s="41" t="s">
        <v>22</v>
      </c>
      <c r="AL985" s="41" t="s">
        <v>22</v>
      </c>
      <c r="AM985" s="43" t="e">
        <f t="shared" si="531"/>
        <v>#VALUE!</v>
      </c>
      <c r="AN985" s="43" t="e">
        <f t="shared" si="532"/>
        <v>#VALUE!</v>
      </c>
      <c r="AO985" s="19" t="s">
        <v>643</v>
      </c>
      <c r="AP985" s="18"/>
      <c r="AQ985" s="18"/>
      <c r="AR985" s="18"/>
      <c r="AS985" s="18"/>
      <c r="AT985" s="2">
        <f t="shared" si="533"/>
        <v>10</v>
      </c>
      <c r="AU985" s="45">
        <f t="shared" si="534"/>
        <v>-1.0863598306747488</v>
      </c>
      <c r="AV985" s="45" t="e">
        <f t="shared" si="535"/>
        <v>#VALUE!</v>
      </c>
      <c r="AW985" s="45" t="e">
        <f t="shared" si="536"/>
        <v>#VALUE!</v>
      </c>
      <c r="AX985" s="45" t="e">
        <f t="shared" si="537"/>
        <v>#VALUE!</v>
      </c>
      <c r="AY985" s="45" t="e">
        <f t="shared" si="538"/>
        <v>#VALUE!</v>
      </c>
      <c r="AZ985" s="45" t="e">
        <f t="shared" si="539"/>
        <v>#VALUE!</v>
      </c>
      <c r="BA985" s="45" t="e">
        <f t="shared" si="540"/>
        <v>#NUM!</v>
      </c>
      <c r="BB985" s="45" t="e">
        <f t="shared" si="541"/>
        <v>#NUM!</v>
      </c>
      <c r="BC985" s="45" t="e">
        <f t="shared" si="542"/>
        <v>#VALUE!</v>
      </c>
      <c r="BD985" s="45">
        <f t="shared" si="543"/>
        <v>2.0321185354035745</v>
      </c>
      <c r="BE985" s="45" t="e">
        <f t="shared" si="544"/>
        <v>#VALUE!</v>
      </c>
      <c r="BF985" s="45" t="e">
        <f t="shared" si="545"/>
        <v>#VALUE!</v>
      </c>
      <c r="BG985" s="45" t="e">
        <f t="shared" si="546"/>
        <v>#VALUE!</v>
      </c>
      <c r="BH985" s="45" t="e">
        <f t="shared" si="547"/>
        <v>#NUM!</v>
      </c>
      <c r="BI985" s="43" t="e">
        <f t="shared" si="548"/>
        <v>#VALUE!</v>
      </c>
      <c r="BJ985" s="18"/>
      <c r="BK985" s="18"/>
      <c r="BL985" s="20"/>
      <c r="BM985" s="41"/>
      <c r="BN985" s="41"/>
      <c r="BO985" s="41"/>
      <c r="BP985" s="41"/>
      <c r="BQ985" s="41"/>
      <c r="BR985" s="41"/>
      <c r="BS985" s="18"/>
      <c r="BT985" s="18"/>
      <c r="BU985" s="41"/>
      <c r="BV985" s="41"/>
      <c r="BW985" s="41"/>
      <c r="BX985" s="41"/>
      <c r="BY985" s="41"/>
      <c r="BZ985" s="41"/>
      <c r="CA985" s="41" t="s">
        <v>22</v>
      </c>
      <c r="CB985" s="18"/>
      <c r="CC985" s="18" t="s">
        <v>22</v>
      </c>
      <c r="CD985" s="18"/>
      <c r="CE985" s="41" t="s">
        <v>22</v>
      </c>
      <c r="CF985" s="41" t="s">
        <v>22</v>
      </c>
      <c r="CG985" s="41">
        <f t="shared" si="560"/>
        <v>107675.906183368</v>
      </c>
      <c r="CH985" s="41">
        <f t="shared" si="561"/>
        <v>5.0321185354035745</v>
      </c>
      <c r="CI985" s="41">
        <f t="shared" si="562"/>
        <v>107675.906183368</v>
      </c>
      <c r="CJ985" s="41">
        <f t="shared" si="563"/>
        <v>5.0321185354035745</v>
      </c>
      <c r="CK985" s="18"/>
      <c r="CL985" s="9" t="s">
        <v>1269</v>
      </c>
      <c r="CM985" s="18" t="s">
        <v>1283</v>
      </c>
      <c r="CN985" s="54" t="s">
        <v>1284</v>
      </c>
      <c r="CO985" s="18" t="s">
        <v>1284</v>
      </c>
    </row>
    <row r="986" spans="1:93" s="1" customFormat="1" x14ac:dyDescent="0.25">
      <c r="A986" s="18" t="s">
        <v>266</v>
      </c>
      <c r="B986" s="41">
        <v>0.21229508196721297</v>
      </c>
      <c r="C986" s="41" t="s">
        <v>22</v>
      </c>
      <c r="D986" s="41" t="s">
        <v>22</v>
      </c>
      <c r="E986" s="41" t="s">
        <v>22</v>
      </c>
      <c r="F986" s="18">
        <v>1.6</v>
      </c>
      <c r="G986" s="18" t="s">
        <v>52</v>
      </c>
      <c r="H986" s="18" t="s">
        <v>22</v>
      </c>
      <c r="I986" s="18" t="s">
        <v>22</v>
      </c>
      <c r="J986" s="41"/>
      <c r="K986" s="18" t="s">
        <v>22</v>
      </c>
      <c r="L986" s="41"/>
      <c r="M986" s="18" t="s">
        <v>45</v>
      </c>
      <c r="N986" s="41" t="s">
        <v>22</v>
      </c>
      <c r="O986" s="41" t="s">
        <v>22</v>
      </c>
      <c r="P986" s="41" t="s">
        <v>22</v>
      </c>
      <c r="Q986" s="41"/>
      <c r="R986" s="41" t="s">
        <v>22</v>
      </c>
      <c r="S986" s="41" t="s">
        <v>22</v>
      </c>
      <c r="T986" s="41" t="s">
        <v>22</v>
      </c>
      <c r="U986" s="41" t="s">
        <v>22</v>
      </c>
      <c r="V986" s="18">
        <v>20200509</v>
      </c>
      <c r="W986" s="21" t="s">
        <v>634</v>
      </c>
      <c r="X986" s="18">
        <v>2019</v>
      </c>
      <c r="Y986" s="18" t="s">
        <v>143</v>
      </c>
      <c r="Z986" s="18" t="s">
        <v>632</v>
      </c>
      <c r="AA986" s="18"/>
      <c r="AB986" s="41"/>
      <c r="AC986" s="18" t="s">
        <v>514</v>
      </c>
      <c r="AD986" s="41">
        <v>138.379530916844</v>
      </c>
      <c r="AE986" s="41" t="s">
        <v>22</v>
      </c>
      <c r="AF986" s="41" t="s">
        <v>22</v>
      </c>
      <c r="AG986" s="41" t="s">
        <v>22</v>
      </c>
      <c r="AH986" s="41" t="s">
        <v>22</v>
      </c>
      <c r="AI986" s="41" t="s">
        <v>22</v>
      </c>
      <c r="AJ986" s="41" t="s">
        <v>22</v>
      </c>
      <c r="AK986" s="41" t="s">
        <v>22</v>
      </c>
      <c r="AL986" s="41" t="s">
        <v>22</v>
      </c>
      <c r="AM986" s="43" t="e">
        <f t="shared" si="531"/>
        <v>#VALUE!</v>
      </c>
      <c r="AN986" s="43" t="e">
        <f t="shared" si="532"/>
        <v>#VALUE!</v>
      </c>
      <c r="AO986" s="19" t="s">
        <v>643</v>
      </c>
      <c r="AP986" s="18"/>
      <c r="AQ986" s="18"/>
      <c r="AR986" s="18"/>
      <c r="AS986" s="18"/>
      <c r="AT986" s="2">
        <f t="shared" si="533"/>
        <v>10</v>
      </c>
      <c r="AU986" s="45">
        <f t="shared" si="534"/>
        <v>-0.67306006659349671</v>
      </c>
      <c r="AV986" s="45" t="e">
        <f t="shared" si="535"/>
        <v>#VALUE!</v>
      </c>
      <c r="AW986" s="45" t="e">
        <f t="shared" si="536"/>
        <v>#VALUE!</v>
      </c>
      <c r="AX986" s="45" t="e">
        <f t="shared" si="537"/>
        <v>#VALUE!</v>
      </c>
      <c r="AY986" s="45" t="e">
        <f t="shared" si="538"/>
        <v>#VALUE!</v>
      </c>
      <c r="AZ986" s="45" t="e">
        <f t="shared" si="539"/>
        <v>#VALUE!</v>
      </c>
      <c r="BA986" s="45" t="e">
        <f t="shared" si="540"/>
        <v>#NUM!</v>
      </c>
      <c r="BB986" s="45" t="e">
        <f t="shared" si="541"/>
        <v>#NUM!</v>
      </c>
      <c r="BC986" s="45" t="e">
        <f t="shared" si="542"/>
        <v>#VALUE!</v>
      </c>
      <c r="BD986" s="45">
        <f t="shared" si="543"/>
        <v>2.1410718540852849</v>
      </c>
      <c r="BE986" s="45" t="e">
        <f t="shared" si="544"/>
        <v>#VALUE!</v>
      </c>
      <c r="BF986" s="45" t="e">
        <f t="shared" si="545"/>
        <v>#VALUE!</v>
      </c>
      <c r="BG986" s="45" t="e">
        <f t="shared" si="546"/>
        <v>#VALUE!</v>
      </c>
      <c r="BH986" s="45" t="e">
        <f t="shared" si="547"/>
        <v>#NUM!</v>
      </c>
      <c r="BI986" s="43" t="e">
        <f t="shared" si="548"/>
        <v>#VALUE!</v>
      </c>
      <c r="BJ986" s="18"/>
      <c r="BK986" s="18"/>
      <c r="BL986" s="20"/>
      <c r="BM986" s="41"/>
      <c r="BN986" s="41"/>
      <c r="BO986" s="41"/>
      <c r="BP986" s="41"/>
      <c r="BQ986" s="41"/>
      <c r="BR986" s="41"/>
      <c r="BS986" s="18"/>
      <c r="BT986" s="18"/>
      <c r="BU986" s="41"/>
      <c r="BV986" s="41"/>
      <c r="BW986" s="41"/>
      <c r="BX986" s="41"/>
      <c r="BY986" s="41"/>
      <c r="BZ986" s="41"/>
      <c r="CA986" s="41" t="s">
        <v>22</v>
      </c>
      <c r="CB986" s="18"/>
      <c r="CC986" s="18" t="s">
        <v>22</v>
      </c>
      <c r="CD986" s="18"/>
      <c r="CE986" s="41" t="s">
        <v>22</v>
      </c>
      <c r="CF986" s="41" t="s">
        <v>22</v>
      </c>
      <c r="CG986" s="41">
        <f t="shared" si="560"/>
        <v>138379.530916844</v>
      </c>
      <c r="CH986" s="41">
        <f t="shared" si="561"/>
        <v>5.1410718540852844</v>
      </c>
      <c r="CI986" s="41">
        <f t="shared" si="562"/>
        <v>138379.530916844</v>
      </c>
      <c r="CJ986" s="41">
        <f t="shared" si="563"/>
        <v>5.1410718540852844</v>
      </c>
      <c r="CK986" s="18"/>
      <c r="CL986" s="9" t="s">
        <v>1269</v>
      </c>
      <c r="CM986" s="18" t="s">
        <v>1283</v>
      </c>
      <c r="CN986" s="54" t="s">
        <v>1284</v>
      </c>
      <c r="CO986" s="18" t="s">
        <v>1284</v>
      </c>
    </row>
    <row r="987" spans="1:93" s="1" customFormat="1" x14ac:dyDescent="0.25">
      <c r="A987" s="18" t="s">
        <v>266</v>
      </c>
      <c r="B987" s="41">
        <v>0.25163934426229501</v>
      </c>
      <c r="C987" s="41" t="s">
        <v>22</v>
      </c>
      <c r="D987" s="41" t="s">
        <v>22</v>
      </c>
      <c r="E987" s="41" t="s">
        <v>22</v>
      </c>
      <c r="F987" s="18" t="s">
        <v>22</v>
      </c>
      <c r="G987" s="18" t="s">
        <v>22</v>
      </c>
      <c r="H987" s="18" t="s">
        <v>22</v>
      </c>
      <c r="I987" s="18" t="s">
        <v>22</v>
      </c>
      <c r="J987" s="41"/>
      <c r="K987" s="18" t="s">
        <v>22</v>
      </c>
      <c r="L987" s="41"/>
      <c r="M987" s="18" t="s">
        <v>45</v>
      </c>
      <c r="N987" s="41" t="s">
        <v>22</v>
      </c>
      <c r="O987" s="41" t="s">
        <v>22</v>
      </c>
      <c r="P987" s="41" t="s">
        <v>22</v>
      </c>
      <c r="Q987" s="41"/>
      <c r="R987" s="41" t="s">
        <v>22</v>
      </c>
      <c r="S987" s="41" t="s">
        <v>22</v>
      </c>
      <c r="T987" s="41" t="s">
        <v>22</v>
      </c>
      <c r="U987" s="41" t="s">
        <v>22</v>
      </c>
      <c r="V987" s="18">
        <v>20200509</v>
      </c>
      <c r="W987" s="21" t="s">
        <v>635</v>
      </c>
      <c r="X987" s="18">
        <v>2019</v>
      </c>
      <c r="Y987" s="18" t="s">
        <v>143</v>
      </c>
      <c r="Z987" s="18" t="s">
        <v>632</v>
      </c>
      <c r="AA987" s="18"/>
      <c r="AB987" s="41"/>
      <c r="AC987" s="18" t="s">
        <v>514</v>
      </c>
      <c r="AD987" s="41">
        <v>156.28997867803801</v>
      </c>
      <c r="AE987" s="41" t="s">
        <v>22</v>
      </c>
      <c r="AF987" s="41" t="s">
        <v>22</v>
      </c>
      <c r="AG987" s="41" t="s">
        <v>22</v>
      </c>
      <c r="AH987" s="41" t="s">
        <v>22</v>
      </c>
      <c r="AI987" s="41" t="s">
        <v>22</v>
      </c>
      <c r="AJ987" s="41" t="s">
        <v>22</v>
      </c>
      <c r="AK987" s="41" t="s">
        <v>22</v>
      </c>
      <c r="AL987" s="41" t="s">
        <v>22</v>
      </c>
      <c r="AM987" s="43" t="e">
        <f t="shared" si="531"/>
        <v>#VALUE!</v>
      </c>
      <c r="AN987" s="43" t="e">
        <f t="shared" si="532"/>
        <v>#VALUE!</v>
      </c>
      <c r="AO987" s="19" t="s">
        <v>643</v>
      </c>
      <c r="AP987" s="18"/>
      <c r="AQ987" s="18"/>
      <c r="AR987" s="18"/>
      <c r="AS987" s="18"/>
      <c r="AT987" s="2">
        <f t="shared" si="533"/>
        <v>10</v>
      </c>
      <c r="AU987" s="45">
        <f t="shared" si="534"/>
        <v>-0.59922145519756187</v>
      </c>
      <c r="AV987" s="45" t="e">
        <f t="shared" si="535"/>
        <v>#VALUE!</v>
      </c>
      <c r="AW987" s="45" t="e">
        <f t="shared" si="536"/>
        <v>#VALUE!</v>
      </c>
      <c r="AX987" s="45" t="e">
        <f t="shared" si="537"/>
        <v>#VALUE!</v>
      </c>
      <c r="AY987" s="45" t="e">
        <f t="shared" si="538"/>
        <v>#VALUE!</v>
      </c>
      <c r="AZ987" s="45" t="e">
        <f t="shared" si="539"/>
        <v>#VALUE!</v>
      </c>
      <c r="BA987" s="45" t="e">
        <f t="shared" si="540"/>
        <v>#NUM!</v>
      </c>
      <c r="BB987" s="45" t="e">
        <f t="shared" si="541"/>
        <v>#NUM!</v>
      </c>
      <c r="BC987" s="45" t="e">
        <f t="shared" si="542"/>
        <v>#VALUE!</v>
      </c>
      <c r="BD987" s="45">
        <f t="shared" si="543"/>
        <v>2.1939311319260435</v>
      </c>
      <c r="BE987" s="45" t="e">
        <f t="shared" si="544"/>
        <v>#VALUE!</v>
      </c>
      <c r="BF987" s="45" t="e">
        <f t="shared" si="545"/>
        <v>#VALUE!</v>
      </c>
      <c r="BG987" s="45" t="e">
        <f t="shared" si="546"/>
        <v>#VALUE!</v>
      </c>
      <c r="BH987" s="45" t="e">
        <f t="shared" si="547"/>
        <v>#NUM!</v>
      </c>
      <c r="BI987" s="43" t="e">
        <f t="shared" si="548"/>
        <v>#VALUE!</v>
      </c>
      <c r="BJ987" s="18"/>
      <c r="BK987" s="18"/>
      <c r="BL987" s="20"/>
      <c r="BM987" s="41"/>
      <c r="BN987" s="41"/>
      <c r="BO987" s="41"/>
      <c r="BP987" s="41"/>
      <c r="BQ987" s="41"/>
      <c r="BR987" s="41"/>
      <c r="BS987" s="18"/>
      <c r="BT987" s="18"/>
      <c r="BU987" s="41"/>
      <c r="BV987" s="41"/>
      <c r="BW987" s="41"/>
      <c r="BX987" s="41"/>
      <c r="BY987" s="41"/>
      <c r="BZ987" s="41"/>
      <c r="CA987" s="41" t="s">
        <v>22</v>
      </c>
      <c r="CB987" s="18"/>
      <c r="CC987" s="18" t="s">
        <v>22</v>
      </c>
      <c r="CD987" s="18"/>
      <c r="CE987" s="41" t="s">
        <v>22</v>
      </c>
      <c r="CF987" s="41" t="s">
        <v>22</v>
      </c>
      <c r="CG987" s="41">
        <f t="shared" si="560"/>
        <v>156289.97867803802</v>
      </c>
      <c r="CH987" s="41">
        <f t="shared" si="561"/>
        <v>5.1939311319260435</v>
      </c>
      <c r="CI987" s="41">
        <f t="shared" si="562"/>
        <v>156289.97867803802</v>
      </c>
      <c r="CJ987" s="41">
        <f t="shared" si="563"/>
        <v>5.1939311319260435</v>
      </c>
      <c r="CK987" s="18"/>
      <c r="CL987" s="9" t="s">
        <v>1269</v>
      </c>
      <c r="CM987" s="18" t="s">
        <v>1283</v>
      </c>
      <c r="CN987" s="54" t="s">
        <v>1284</v>
      </c>
      <c r="CO987" s="18" t="s">
        <v>1284</v>
      </c>
    </row>
    <row r="988" spans="1:93" s="1" customFormat="1" x14ac:dyDescent="0.25">
      <c r="A988" s="18" t="s">
        <v>266</v>
      </c>
      <c r="B988" s="41">
        <v>0.29508196721311403</v>
      </c>
      <c r="C988" s="41" t="s">
        <v>22</v>
      </c>
      <c r="D988" s="41" t="s">
        <v>22</v>
      </c>
      <c r="E988" s="41" t="s">
        <v>22</v>
      </c>
      <c r="F988" s="18">
        <v>2.7</v>
      </c>
      <c r="G988" s="18" t="s">
        <v>52</v>
      </c>
      <c r="H988" s="18" t="s">
        <v>22</v>
      </c>
      <c r="I988" s="18" t="s">
        <v>22</v>
      </c>
      <c r="J988" s="41"/>
      <c r="K988" s="18" t="s">
        <v>22</v>
      </c>
      <c r="L988" s="41"/>
      <c r="M988" s="18" t="s">
        <v>45</v>
      </c>
      <c r="N988" s="41" t="s">
        <v>22</v>
      </c>
      <c r="O988" s="41" t="s">
        <v>22</v>
      </c>
      <c r="P988" s="41" t="s">
        <v>22</v>
      </c>
      <c r="Q988" s="41"/>
      <c r="R988" s="41" t="s">
        <v>22</v>
      </c>
      <c r="S988" s="41" t="s">
        <v>22</v>
      </c>
      <c r="T988" s="41" t="s">
        <v>22</v>
      </c>
      <c r="U988" s="41" t="s">
        <v>22</v>
      </c>
      <c r="V988" s="18">
        <v>20200509</v>
      </c>
      <c r="W988" s="21" t="s">
        <v>636</v>
      </c>
      <c r="X988" s="18">
        <v>2019</v>
      </c>
      <c r="Y988" s="18" t="s">
        <v>143</v>
      </c>
      <c r="Z988" s="18" t="s">
        <v>632</v>
      </c>
      <c r="AA988" s="18"/>
      <c r="AB988" s="41"/>
      <c r="AC988" s="18" t="s">
        <v>514</v>
      </c>
      <c r="AD988" s="41">
        <v>195.94882729211</v>
      </c>
      <c r="AE988" s="41" t="s">
        <v>22</v>
      </c>
      <c r="AF988" s="41" t="s">
        <v>22</v>
      </c>
      <c r="AG988" s="41" t="s">
        <v>22</v>
      </c>
      <c r="AH988" s="41" t="s">
        <v>22</v>
      </c>
      <c r="AI988" s="41" t="s">
        <v>22</v>
      </c>
      <c r="AJ988" s="41" t="s">
        <v>22</v>
      </c>
      <c r="AK988" s="41" t="s">
        <v>22</v>
      </c>
      <c r="AL988" s="41" t="s">
        <v>22</v>
      </c>
      <c r="AM988" s="43" t="e">
        <f t="shared" si="531"/>
        <v>#VALUE!</v>
      </c>
      <c r="AN988" s="43" t="e">
        <f t="shared" si="532"/>
        <v>#VALUE!</v>
      </c>
      <c r="AO988" s="19" t="s">
        <v>643</v>
      </c>
      <c r="AP988" s="18"/>
      <c r="AQ988" s="18"/>
      <c r="AR988" s="18"/>
      <c r="AS988" s="18"/>
      <c r="AT988" s="2">
        <f t="shared" si="533"/>
        <v>10</v>
      </c>
      <c r="AU988" s="45">
        <f t="shared" si="534"/>
        <v>-0.53005732990746202</v>
      </c>
      <c r="AV988" s="45" t="e">
        <f t="shared" si="535"/>
        <v>#VALUE!</v>
      </c>
      <c r="AW988" s="45" t="e">
        <f t="shared" si="536"/>
        <v>#VALUE!</v>
      </c>
      <c r="AX988" s="45" t="e">
        <f t="shared" si="537"/>
        <v>#VALUE!</v>
      </c>
      <c r="AY988" s="45" t="e">
        <f t="shared" si="538"/>
        <v>#VALUE!</v>
      </c>
      <c r="AZ988" s="45" t="e">
        <f t="shared" si="539"/>
        <v>#VALUE!</v>
      </c>
      <c r="BA988" s="45" t="e">
        <f t="shared" si="540"/>
        <v>#NUM!</v>
      </c>
      <c r="BB988" s="45" t="e">
        <f t="shared" si="541"/>
        <v>#NUM!</v>
      </c>
      <c r="BC988" s="45" t="e">
        <f t="shared" si="542"/>
        <v>#VALUE!</v>
      </c>
      <c r="BD988" s="45">
        <f t="shared" si="543"/>
        <v>2.2921426686710262</v>
      </c>
      <c r="BE988" s="45" t="e">
        <f t="shared" si="544"/>
        <v>#VALUE!</v>
      </c>
      <c r="BF988" s="45" t="e">
        <f t="shared" si="545"/>
        <v>#VALUE!</v>
      </c>
      <c r="BG988" s="45" t="e">
        <f t="shared" si="546"/>
        <v>#VALUE!</v>
      </c>
      <c r="BH988" s="45" t="e">
        <f t="shared" si="547"/>
        <v>#NUM!</v>
      </c>
      <c r="BI988" s="43" t="e">
        <f t="shared" si="548"/>
        <v>#VALUE!</v>
      </c>
      <c r="BJ988" s="18"/>
      <c r="BK988" s="18"/>
      <c r="BL988" s="20"/>
      <c r="BM988" s="41"/>
      <c r="BN988" s="41"/>
      <c r="BO988" s="41"/>
      <c r="BP988" s="41"/>
      <c r="BQ988" s="41"/>
      <c r="BR988" s="41"/>
      <c r="BS988" s="18"/>
      <c r="BT988" s="18"/>
      <c r="BU988" s="41"/>
      <c r="BV988" s="41"/>
      <c r="BW988" s="41"/>
      <c r="BX988" s="41"/>
      <c r="BY988" s="41"/>
      <c r="BZ988" s="41"/>
      <c r="CA988" s="41" t="s">
        <v>22</v>
      </c>
      <c r="CB988" s="18"/>
      <c r="CC988" s="18" t="s">
        <v>22</v>
      </c>
      <c r="CD988" s="18"/>
      <c r="CE988" s="41" t="s">
        <v>22</v>
      </c>
      <c r="CF988" s="41" t="s">
        <v>22</v>
      </c>
      <c r="CG988" s="41">
        <f t="shared" si="560"/>
        <v>195948.82729210999</v>
      </c>
      <c r="CH988" s="41">
        <f t="shared" si="561"/>
        <v>5.2921426686710262</v>
      </c>
      <c r="CI988" s="41">
        <f t="shared" si="562"/>
        <v>195948.82729210999</v>
      </c>
      <c r="CJ988" s="41">
        <f t="shared" si="563"/>
        <v>5.2921426686710262</v>
      </c>
      <c r="CK988" s="18"/>
      <c r="CL988" s="9" t="s">
        <v>1269</v>
      </c>
      <c r="CM988" s="18" t="s">
        <v>1283</v>
      </c>
      <c r="CN988" s="54" t="s">
        <v>1284</v>
      </c>
      <c r="CO988" s="18" t="s">
        <v>1284</v>
      </c>
    </row>
    <row r="989" spans="1:93" s="1" customFormat="1" x14ac:dyDescent="0.25">
      <c r="A989" s="18" t="s">
        <v>266</v>
      </c>
      <c r="B989" s="41">
        <v>0.27868852459016297</v>
      </c>
      <c r="C989" s="41" t="s">
        <v>22</v>
      </c>
      <c r="D989" s="41" t="s">
        <v>22</v>
      </c>
      <c r="E989" s="41" t="s">
        <v>22</v>
      </c>
      <c r="F989" s="18">
        <v>2.4</v>
      </c>
      <c r="G989" s="18" t="s">
        <v>52</v>
      </c>
      <c r="H989" s="18" t="s">
        <v>22</v>
      </c>
      <c r="I989" s="18" t="s">
        <v>22</v>
      </c>
      <c r="J989" s="41">
        <v>16.201975108225135</v>
      </c>
      <c r="K989" s="18">
        <v>633</v>
      </c>
      <c r="L989" s="41">
        <f>IF((10^-12)*J989*K989^4=0,"",(10^-12)*J989*K989^4)</f>
        <v>2.6012542374135004</v>
      </c>
      <c r="M989" s="18" t="s">
        <v>45</v>
      </c>
      <c r="N989" s="41" t="s">
        <v>22</v>
      </c>
      <c r="O989" s="41" t="s">
        <v>22</v>
      </c>
      <c r="P989" s="41" t="s">
        <v>22</v>
      </c>
      <c r="Q989" s="41"/>
      <c r="R989" s="41" t="s">
        <v>22</v>
      </c>
      <c r="S989" s="41" t="s">
        <v>22</v>
      </c>
      <c r="T989" s="41" t="s">
        <v>22</v>
      </c>
      <c r="U989" s="41" t="s">
        <v>22</v>
      </c>
      <c r="V989" s="18">
        <v>20200509</v>
      </c>
      <c r="W989" s="21" t="s">
        <v>637</v>
      </c>
      <c r="X989" s="18">
        <v>2019</v>
      </c>
      <c r="Y989" s="18" t="s">
        <v>143</v>
      </c>
      <c r="Z989" s="18" t="s">
        <v>632</v>
      </c>
      <c r="AA989" s="18"/>
      <c r="AB989" s="41"/>
      <c r="AC989" s="18" t="s">
        <v>514</v>
      </c>
      <c r="AD989" s="41">
        <v>243.923240938166</v>
      </c>
      <c r="AE989" s="41">
        <v>1595.8308274323399</v>
      </c>
      <c r="AF989" s="41" t="s">
        <v>22</v>
      </c>
      <c r="AG989" s="41" t="s">
        <v>22</v>
      </c>
      <c r="AH989" s="41" t="s">
        <v>22</v>
      </c>
      <c r="AI989" s="41" t="s">
        <v>22</v>
      </c>
      <c r="AJ989" s="41" t="s">
        <v>22</v>
      </c>
      <c r="AK989" s="41" t="s">
        <v>22</v>
      </c>
      <c r="AL989" s="41" t="s">
        <v>22</v>
      </c>
      <c r="AM989" s="43" t="e">
        <f t="shared" si="531"/>
        <v>#VALUE!</v>
      </c>
      <c r="AN989" s="43" t="e">
        <f t="shared" si="532"/>
        <v>#VALUE!</v>
      </c>
      <c r="AO989" s="19" t="s">
        <v>643</v>
      </c>
      <c r="AP989" s="18"/>
      <c r="AQ989" s="18"/>
      <c r="AR989" s="18"/>
      <c r="AS989" s="18"/>
      <c r="AT989" s="2">
        <f t="shared" si="533"/>
        <v>10</v>
      </c>
      <c r="AU989" s="45">
        <f t="shared" si="534"/>
        <v>-0.55488091363249459</v>
      </c>
      <c r="AV989" s="45" t="e">
        <f t="shared" si="535"/>
        <v>#VALUE!</v>
      </c>
      <c r="AW989" s="45" t="e">
        <f t="shared" si="536"/>
        <v>#VALUE!</v>
      </c>
      <c r="AX989" s="45" t="e">
        <f t="shared" si="537"/>
        <v>#VALUE!</v>
      </c>
      <c r="AY989" s="45" t="e">
        <f t="shared" si="538"/>
        <v>#VALUE!</v>
      </c>
      <c r="AZ989" s="45" t="e">
        <f t="shared" si="539"/>
        <v>#VALUE!</v>
      </c>
      <c r="BA989" s="45">
        <f t="shared" si="540"/>
        <v>1.2095679606115997</v>
      </c>
      <c r="BB989" s="45">
        <f t="shared" si="541"/>
        <v>0.41518280068101998</v>
      </c>
      <c r="BC989" s="45" t="e">
        <f t="shared" si="542"/>
        <v>#VALUE!</v>
      </c>
      <c r="BD989" s="45">
        <f t="shared" si="543"/>
        <v>2.3872531817419218</v>
      </c>
      <c r="BE989" s="45" t="e">
        <f t="shared" si="544"/>
        <v>#VALUE!</v>
      </c>
      <c r="BF989" s="45" t="e">
        <f t="shared" si="545"/>
        <v>#VALUE!</v>
      </c>
      <c r="BG989" s="45" t="e">
        <f t="shared" si="546"/>
        <v>#VALUE!</v>
      </c>
      <c r="BH989" s="45" t="e">
        <f t="shared" si="547"/>
        <v>#NUM!</v>
      </c>
      <c r="BI989" s="43" t="e">
        <f t="shared" si="548"/>
        <v>#VALUE!</v>
      </c>
      <c r="BJ989" s="18"/>
      <c r="BK989" s="18"/>
      <c r="BL989" s="20"/>
      <c r="BM989" s="41"/>
      <c r="BN989" s="41"/>
      <c r="BO989" s="41"/>
      <c r="BP989" s="41"/>
      <c r="BQ989" s="41"/>
      <c r="BR989" s="41"/>
      <c r="BS989" s="18"/>
      <c r="BT989" s="18"/>
      <c r="BU989" s="41"/>
      <c r="BV989" s="41"/>
      <c r="BW989" s="41"/>
      <c r="BX989" s="41"/>
      <c r="BY989" s="41"/>
      <c r="BZ989" s="41"/>
      <c r="CA989" s="41" t="s">
        <v>22</v>
      </c>
      <c r="CB989" s="18"/>
      <c r="CC989" s="18" t="s">
        <v>22</v>
      </c>
      <c r="CD989" s="18"/>
      <c r="CE989" s="41" t="s">
        <v>22</v>
      </c>
      <c r="CF989" s="41" t="s">
        <v>22</v>
      </c>
      <c r="CG989" s="41">
        <f t="shared" si="560"/>
        <v>243923.24093816601</v>
      </c>
      <c r="CH989" s="41">
        <f t="shared" si="561"/>
        <v>5.3872531817419214</v>
      </c>
      <c r="CI989" s="41">
        <f t="shared" si="562"/>
        <v>243923.24093816601</v>
      </c>
      <c r="CJ989" s="41">
        <f t="shared" si="563"/>
        <v>5.3872531817419214</v>
      </c>
      <c r="CK989" s="18"/>
      <c r="CL989" s="9" t="s">
        <v>1269</v>
      </c>
      <c r="CM989" s="18" t="s">
        <v>1283</v>
      </c>
      <c r="CN989" s="54" t="s">
        <v>1284</v>
      </c>
      <c r="CO989" s="18" t="s">
        <v>1284</v>
      </c>
    </row>
    <row r="990" spans="1:93" s="1" customFormat="1" x14ac:dyDescent="0.25">
      <c r="A990" s="18" t="s">
        <v>266</v>
      </c>
      <c r="B990" s="41">
        <v>3.3891213389121301E-2</v>
      </c>
      <c r="C990" s="41" t="s">
        <v>22</v>
      </c>
      <c r="D990" s="41" t="s">
        <v>22</v>
      </c>
      <c r="E990" s="41" t="s">
        <v>22</v>
      </c>
      <c r="F990" s="18" t="s">
        <v>22</v>
      </c>
      <c r="G990" s="18" t="s">
        <v>22</v>
      </c>
      <c r="H990" s="18" t="s">
        <v>22</v>
      </c>
      <c r="I990" s="18" t="s">
        <v>22</v>
      </c>
      <c r="J990" s="41"/>
      <c r="K990" s="18" t="s">
        <v>22</v>
      </c>
      <c r="L990" s="41"/>
      <c r="M990" s="18" t="s">
        <v>23</v>
      </c>
      <c r="N990" s="41" t="s">
        <v>22</v>
      </c>
      <c r="O990" s="41" t="s">
        <v>22</v>
      </c>
      <c r="P990" s="41" t="s">
        <v>22</v>
      </c>
      <c r="Q990" s="41"/>
      <c r="R990" s="41" t="s">
        <v>22</v>
      </c>
      <c r="S990" s="41" t="s">
        <v>22</v>
      </c>
      <c r="T990" s="41" t="s">
        <v>22</v>
      </c>
      <c r="U990" s="41" t="s">
        <v>22</v>
      </c>
      <c r="V990" s="18">
        <v>20200509</v>
      </c>
      <c r="W990" s="21" t="s">
        <v>638</v>
      </c>
      <c r="X990" s="18">
        <v>2019</v>
      </c>
      <c r="Y990" s="18" t="s">
        <v>143</v>
      </c>
      <c r="Z990" s="18" t="s">
        <v>34</v>
      </c>
      <c r="AA990" s="18"/>
      <c r="AB990" s="41"/>
      <c r="AC990" s="18" t="s">
        <v>514</v>
      </c>
      <c r="AD990" s="41">
        <v>96.162046908315503</v>
      </c>
      <c r="AE990" s="41" t="s">
        <v>22</v>
      </c>
      <c r="AF990" s="41" t="s">
        <v>22</v>
      </c>
      <c r="AG990" s="41" t="s">
        <v>22</v>
      </c>
      <c r="AH990" s="41" t="s">
        <v>22</v>
      </c>
      <c r="AI990" s="41" t="s">
        <v>22</v>
      </c>
      <c r="AJ990" s="41" t="s">
        <v>22</v>
      </c>
      <c r="AK990" s="41" t="s">
        <v>22</v>
      </c>
      <c r="AL990" s="41" t="s">
        <v>22</v>
      </c>
      <c r="AM990" s="43" t="e">
        <f t="shared" si="531"/>
        <v>#VALUE!</v>
      </c>
      <c r="AN990" s="43" t="e">
        <f t="shared" si="532"/>
        <v>#VALUE!</v>
      </c>
      <c r="AO990" s="19" t="s">
        <v>643</v>
      </c>
      <c r="AP990" s="18"/>
      <c r="AQ990" s="18"/>
      <c r="AR990" s="18"/>
      <c r="AS990" s="18"/>
      <c r="AT990" s="2">
        <f t="shared" si="533"/>
        <v>10</v>
      </c>
      <c r="AU990" s="45">
        <f t="shared" si="534"/>
        <v>-1.4699128820694884</v>
      </c>
      <c r="AV990" s="45" t="e">
        <f t="shared" si="535"/>
        <v>#VALUE!</v>
      </c>
      <c r="AW990" s="45" t="e">
        <f t="shared" si="536"/>
        <v>#VALUE!</v>
      </c>
      <c r="AX990" s="45" t="e">
        <f t="shared" si="537"/>
        <v>#VALUE!</v>
      </c>
      <c r="AY990" s="45" t="e">
        <f t="shared" si="538"/>
        <v>#VALUE!</v>
      </c>
      <c r="AZ990" s="45" t="e">
        <f t="shared" si="539"/>
        <v>#VALUE!</v>
      </c>
      <c r="BA990" s="45" t="e">
        <f t="shared" si="540"/>
        <v>#NUM!</v>
      </c>
      <c r="BB990" s="45" t="e">
        <f t="shared" si="541"/>
        <v>#NUM!</v>
      </c>
      <c r="BC990" s="45" t="e">
        <f t="shared" si="542"/>
        <v>#VALUE!</v>
      </c>
      <c r="BD990" s="45">
        <f t="shared" si="543"/>
        <v>1.983003699162877</v>
      </c>
      <c r="BE990" s="45" t="e">
        <f t="shared" si="544"/>
        <v>#VALUE!</v>
      </c>
      <c r="BF990" s="45" t="e">
        <f t="shared" si="545"/>
        <v>#VALUE!</v>
      </c>
      <c r="BG990" s="45" t="e">
        <f t="shared" si="546"/>
        <v>#VALUE!</v>
      </c>
      <c r="BH990" s="45" t="e">
        <f t="shared" si="547"/>
        <v>#NUM!</v>
      </c>
      <c r="BI990" s="43" t="e">
        <f t="shared" si="548"/>
        <v>#VALUE!</v>
      </c>
      <c r="BJ990" s="18"/>
      <c r="BK990" s="18"/>
      <c r="BL990" s="20"/>
      <c r="BM990" s="41"/>
      <c r="BN990" s="41"/>
      <c r="BO990" s="41"/>
      <c r="BP990" s="41"/>
      <c r="BQ990" s="41"/>
      <c r="BR990" s="41"/>
      <c r="BS990" s="18"/>
      <c r="BT990" s="18"/>
      <c r="BU990" s="41"/>
      <c r="BV990" s="41"/>
      <c r="BW990" s="41"/>
      <c r="BX990" s="41"/>
      <c r="BY990" s="41"/>
      <c r="BZ990" s="41"/>
      <c r="CA990" s="41" t="s">
        <v>22</v>
      </c>
      <c r="CB990" s="18"/>
      <c r="CC990" s="18" t="s">
        <v>22</v>
      </c>
      <c r="CD990" s="18"/>
      <c r="CE990" s="41" t="s">
        <v>22</v>
      </c>
      <c r="CF990" s="41" t="s">
        <v>22</v>
      </c>
      <c r="CG990" s="41">
        <f t="shared" si="560"/>
        <v>96162.046908315504</v>
      </c>
      <c r="CH990" s="41">
        <f t="shared" si="561"/>
        <v>4.983003699162877</v>
      </c>
      <c r="CI990" s="41">
        <f t="shared" si="562"/>
        <v>96162.046908315504</v>
      </c>
      <c r="CJ990" s="41">
        <f t="shared" si="563"/>
        <v>4.983003699162877</v>
      </c>
      <c r="CK990" s="18"/>
      <c r="CL990" s="9" t="s">
        <v>1269</v>
      </c>
      <c r="CM990" s="18" t="s">
        <v>1283</v>
      </c>
      <c r="CN990" s="54" t="s">
        <v>1284</v>
      </c>
      <c r="CO990" s="18" t="s">
        <v>1284</v>
      </c>
    </row>
    <row r="991" spans="1:93" s="1" customFormat="1" x14ac:dyDescent="0.25">
      <c r="A991" s="18" t="s">
        <v>266</v>
      </c>
      <c r="B991" s="41">
        <v>8.4100418410041802E-2</v>
      </c>
      <c r="C991" s="41" t="s">
        <v>22</v>
      </c>
      <c r="D991" s="41" t="s">
        <v>22</v>
      </c>
      <c r="E991" s="41" t="s">
        <v>22</v>
      </c>
      <c r="F991" s="18" t="s">
        <v>22</v>
      </c>
      <c r="G991" s="18" t="s">
        <v>22</v>
      </c>
      <c r="H991" s="18" t="s">
        <v>22</v>
      </c>
      <c r="I991" s="18" t="s">
        <v>22</v>
      </c>
      <c r="J991" s="41"/>
      <c r="K991" s="18" t="s">
        <v>22</v>
      </c>
      <c r="L991" s="41"/>
      <c r="M991" s="18" t="s">
        <v>23</v>
      </c>
      <c r="N991" s="41" t="s">
        <v>22</v>
      </c>
      <c r="O991" s="41" t="s">
        <v>22</v>
      </c>
      <c r="P991" s="41" t="s">
        <v>22</v>
      </c>
      <c r="Q991" s="41"/>
      <c r="R991" s="41" t="s">
        <v>22</v>
      </c>
      <c r="S991" s="41" t="s">
        <v>22</v>
      </c>
      <c r="T991" s="41" t="s">
        <v>22</v>
      </c>
      <c r="U991" s="41" t="s">
        <v>22</v>
      </c>
      <c r="V991" s="18">
        <v>20200509</v>
      </c>
      <c r="W991" s="21" t="s">
        <v>639</v>
      </c>
      <c r="X991" s="18">
        <v>2019</v>
      </c>
      <c r="Y991" s="18" t="s">
        <v>143</v>
      </c>
      <c r="Z991" s="18" t="s">
        <v>34</v>
      </c>
      <c r="AA991" s="18"/>
      <c r="AB991" s="41"/>
      <c r="AC991" s="18" t="s">
        <v>514</v>
      </c>
      <c r="AD991" s="41">
        <v>118.336886993603</v>
      </c>
      <c r="AE991" s="41" t="s">
        <v>22</v>
      </c>
      <c r="AF991" s="41" t="s">
        <v>22</v>
      </c>
      <c r="AG991" s="41" t="s">
        <v>22</v>
      </c>
      <c r="AH991" s="41" t="s">
        <v>22</v>
      </c>
      <c r="AI991" s="41" t="s">
        <v>22</v>
      </c>
      <c r="AJ991" s="41" t="s">
        <v>22</v>
      </c>
      <c r="AK991" s="41" t="s">
        <v>22</v>
      </c>
      <c r="AL991" s="41" t="s">
        <v>22</v>
      </c>
      <c r="AM991" s="43" t="e">
        <f t="shared" si="531"/>
        <v>#VALUE!</v>
      </c>
      <c r="AN991" s="43" t="e">
        <f t="shared" si="532"/>
        <v>#VALUE!</v>
      </c>
      <c r="AO991" s="19" t="s">
        <v>643</v>
      </c>
      <c r="AP991" s="18"/>
      <c r="AQ991" s="18"/>
      <c r="AR991" s="18"/>
      <c r="AS991" s="18"/>
      <c r="AT991" s="2">
        <f t="shared" si="533"/>
        <v>10</v>
      </c>
      <c r="AU991" s="45">
        <f t="shared" si="534"/>
        <v>-1.0752018435276489</v>
      </c>
      <c r="AV991" s="45" t="e">
        <f t="shared" si="535"/>
        <v>#VALUE!</v>
      </c>
      <c r="AW991" s="45" t="e">
        <f t="shared" si="536"/>
        <v>#VALUE!</v>
      </c>
      <c r="AX991" s="45" t="e">
        <f t="shared" si="537"/>
        <v>#VALUE!</v>
      </c>
      <c r="AY991" s="45" t="e">
        <f t="shared" si="538"/>
        <v>#VALUE!</v>
      </c>
      <c r="AZ991" s="45" t="e">
        <f t="shared" si="539"/>
        <v>#VALUE!</v>
      </c>
      <c r="BA991" s="45" t="e">
        <f t="shared" si="540"/>
        <v>#NUM!</v>
      </c>
      <c r="BB991" s="45" t="e">
        <f t="shared" si="541"/>
        <v>#NUM!</v>
      </c>
      <c r="BC991" s="45" t="e">
        <f t="shared" si="542"/>
        <v>#VALUE!</v>
      </c>
      <c r="BD991" s="45">
        <f t="shared" si="543"/>
        <v>2.0731201404075916</v>
      </c>
      <c r="BE991" s="45" t="e">
        <f t="shared" si="544"/>
        <v>#VALUE!</v>
      </c>
      <c r="BF991" s="45" t="e">
        <f t="shared" si="545"/>
        <v>#VALUE!</v>
      </c>
      <c r="BG991" s="45" t="e">
        <f t="shared" si="546"/>
        <v>#VALUE!</v>
      </c>
      <c r="BH991" s="45" t="e">
        <f t="shared" si="547"/>
        <v>#NUM!</v>
      </c>
      <c r="BI991" s="43" t="e">
        <f t="shared" si="548"/>
        <v>#VALUE!</v>
      </c>
      <c r="BJ991" s="18"/>
      <c r="BK991" s="18"/>
      <c r="BL991" s="20"/>
      <c r="BM991" s="41"/>
      <c r="BN991" s="41"/>
      <c r="BO991" s="41"/>
      <c r="BP991" s="41"/>
      <c r="BQ991" s="41"/>
      <c r="BR991" s="41"/>
      <c r="BS991" s="18"/>
      <c r="BT991" s="18"/>
      <c r="BU991" s="41"/>
      <c r="BV991" s="41"/>
      <c r="BW991" s="41"/>
      <c r="BX991" s="41"/>
      <c r="BY991" s="41"/>
      <c r="BZ991" s="41"/>
      <c r="CA991" s="41" t="s">
        <v>22</v>
      </c>
      <c r="CB991" s="18"/>
      <c r="CC991" s="18" t="s">
        <v>22</v>
      </c>
      <c r="CD991" s="18"/>
      <c r="CE991" s="41" t="s">
        <v>22</v>
      </c>
      <c r="CF991" s="41" t="s">
        <v>22</v>
      </c>
      <c r="CG991" s="41">
        <f t="shared" si="560"/>
        <v>118336.886993603</v>
      </c>
      <c r="CH991" s="41">
        <f t="shared" si="561"/>
        <v>5.0731201404075916</v>
      </c>
      <c r="CI991" s="41">
        <f t="shared" si="562"/>
        <v>118336.886993603</v>
      </c>
      <c r="CJ991" s="41">
        <f t="shared" si="563"/>
        <v>5.0731201404075916</v>
      </c>
      <c r="CK991" s="18"/>
      <c r="CL991" s="9" t="s">
        <v>1269</v>
      </c>
      <c r="CM991" s="18" t="s">
        <v>1283</v>
      </c>
      <c r="CN991" s="54" t="s">
        <v>1284</v>
      </c>
      <c r="CO991" s="18" t="s">
        <v>1284</v>
      </c>
    </row>
    <row r="992" spans="1:93" s="1" customFormat="1" x14ac:dyDescent="0.25">
      <c r="A992" s="18" t="s">
        <v>266</v>
      </c>
      <c r="B992" s="41">
        <v>0.11464435146443498</v>
      </c>
      <c r="C992" s="41" t="s">
        <v>22</v>
      </c>
      <c r="D992" s="41" t="s">
        <v>22</v>
      </c>
      <c r="E992" s="41" t="s">
        <v>22</v>
      </c>
      <c r="F992" s="18" t="s">
        <v>22</v>
      </c>
      <c r="G992" s="18" t="s">
        <v>22</v>
      </c>
      <c r="H992" s="18" t="s">
        <v>22</v>
      </c>
      <c r="I992" s="18" t="s">
        <v>22</v>
      </c>
      <c r="J992" s="41"/>
      <c r="K992" s="18" t="s">
        <v>22</v>
      </c>
      <c r="L992" s="41"/>
      <c r="M992" s="18" t="s">
        <v>23</v>
      </c>
      <c r="N992" s="41" t="s">
        <v>22</v>
      </c>
      <c r="O992" s="41" t="s">
        <v>22</v>
      </c>
      <c r="P992" s="41" t="s">
        <v>22</v>
      </c>
      <c r="Q992" s="41"/>
      <c r="R992" s="41" t="s">
        <v>22</v>
      </c>
      <c r="S992" s="41" t="s">
        <v>22</v>
      </c>
      <c r="T992" s="41" t="s">
        <v>22</v>
      </c>
      <c r="U992" s="41" t="s">
        <v>22</v>
      </c>
      <c r="V992" s="18">
        <v>20200509</v>
      </c>
      <c r="W992" s="21" t="s">
        <v>640</v>
      </c>
      <c r="X992" s="18">
        <v>2019</v>
      </c>
      <c r="Y992" s="18" t="s">
        <v>143</v>
      </c>
      <c r="Z992" s="18" t="s">
        <v>34</v>
      </c>
      <c r="AA992" s="18"/>
      <c r="AB992" s="41"/>
      <c r="AC992" s="18" t="s">
        <v>514</v>
      </c>
      <c r="AD992" s="41">
        <v>134.54157782515901</v>
      </c>
      <c r="AE992" s="41" t="s">
        <v>22</v>
      </c>
      <c r="AF992" s="41" t="s">
        <v>22</v>
      </c>
      <c r="AG992" s="41" t="s">
        <v>22</v>
      </c>
      <c r="AH992" s="41" t="s">
        <v>22</v>
      </c>
      <c r="AI992" s="41" t="s">
        <v>22</v>
      </c>
      <c r="AJ992" s="41" t="s">
        <v>22</v>
      </c>
      <c r="AK992" s="41" t="s">
        <v>22</v>
      </c>
      <c r="AL992" s="41" t="s">
        <v>22</v>
      </c>
      <c r="AM992" s="43" t="e">
        <f t="shared" si="531"/>
        <v>#VALUE!</v>
      </c>
      <c r="AN992" s="43" t="e">
        <f t="shared" si="532"/>
        <v>#VALUE!</v>
      </c>
      <c r="AO992" s="19" t="s">
        <v>643</v>
      </c>
      <c r="AP992" s="18"/>
      <c r="AQ992" s="18"/>
      <c r="AR992" s="18"/>
      <c r="AS992" s="18"/>
      <c r="AT992" s="2">
        <f t="shared" si="533"/>
        <v>10</v>
      </c>
      <c r="AU992" s="45">
        <f t="shared" si="534"/>
        <v>-0.94064733812775037</v>
      </c>
      <c r="AV992" s="45" t="e">
        <f t="shared" si="535"/>
        <v>#VALUE!</v>
      </c>
      <c r="AW992" s="45" t="e">
        <f t="shared" si="536"/>
        <v>#VALUE!</v>
      </c>
      <c r="AX992" s="45" t="e">
        <f t="shared" si="537"/>
        <v>#VALUE!</v>
      </c>
      <c r="AY992" s="45" t="e">
        <f t="shared" si="538"/>
        <v>#VALUE!</v>
      </c>
      <c r="AZ992" s="45" t="e">
        <f t="shared" si="539"/>
        <v>#VALUE!</v>
      </c>
      <c r="BA992" s="45" t="e">
        <f t="shared" si="540"/>
        <v>#NUM!</v>
      </c>
      <c r="BB992" s="45" t="e">
        <f t="shared" si="541"/>
        <v>#NUM!</v>
      </c>
      <c r="BC992" s="45" t="e">
        <f t="shared" si="542"/>
        <v>#VALUE!</v>
      </c>
      <c r="BD992" s="45">
        <f t="shared" si="543"/>
        <v>2.1288565165290483</v>
      </c>
      <c r="BE992" s="45" t="e">
        <f t="shared" si="544"/>
        <v>#VALUE!</v>
      </c>
      <c r="BF992" s="45" t="e">
        <f t="shared" si="545"/>
        <v>#VALUE!</v>
      </c>
      <c r="BG992" s="45" t="e">
        <f t="shared" si="546"/>
        <v>#VALUE!</v>
      </c>
      <c r="BH992" s="45" t="e">
        <f t="shared" si="547"/>
        <v>#NUM!</v>
      </c>
      <c r="BI992" s="43" t="e">
        <f t="shared" si="548"/>
        <v>#VALUE!</v>
      </c>
      <c r="BJ992" s="18"/>
      <c r="BK992" s="18"/>
      <c r="BL992" s="20"/>
      <c r="BM992" s="41"/>
      <c r="BN992" s="41"/>
      <c r="BO992" s="41"/>
      <c r="BP992" s="41"/>
      <c r="BQ992" s="41"/>
      <c r="BR992" s="41"/>
      <c r="BS992" s="18"/>
      <c r="BT992" s="18"/>
      <c r="BU992" s="41"/>
      <c r="BV992" s="41"/>
      <c r="BW992" s="41"/>
      <c r="BX992" s="41"/>
      <c r="BY992" s="41"/>
      <c r="BZ992" s="41"/>
      <c r="CA992" s="41" t="s">
        <v>22</v>
      </c>
      <c r="CB992" s="18"/>
      <c r="CC992" s="18" t="s">
        <v>22</v>
      </c>
      <c r="CD992" s="18"/>
      <c r="CE992" s="41" t="s">
        <v>22</v>
      </c>
      <c r="CF992" s="41" t="s">
        <v>22</v>
      </c>
      <c r="CG992" s="41">
        <f t="shared" si="560"/>
        <v>134541.57782515901</v>
      </c>
      <c r="CH992" s="41">
        <f t="shared" si="561"/>
        <v>5.1288565165290478</v>
      </c>
      <c r="CI992" s="41">
        <f t="shared" si="562"/>
        <v>134541.57782515901</v>
      </c>
      <c r="CJ992" s="41">
        <f t="shared" si="563"/>
        <v>5.1288565165290478</v>
      </c>
      <c r="CK992" s="18"/>
      <c r="CL992" s="9" t="s">
        <v>1269</v>
      </c>
      <c r="CM992" s="18" t="s">
        <v>1283</v>
      </c>
      <c r="CN992" s="54" t="s">
        <v>1284</v>
      </c>
      <c r="CO992" s="18" t="s">
        <v>1284</v>
      </c>
    </row>
    <row r="993" spans="1:93" s="1" customFormat="1" x14ac:dyDescent="0.25">
      <c r="A993" s="18" t="s">
        <v>266</v>
      </c>
      <c r="B993" s="41">
        <v>0.13472803347280302</v>
      </c>
      <c r="C993" s="41" t="s">
        <v>22</v>
      </c>
      <c r="D993" s="41" t="s">
        <v>22</v>
      </c>
      <c r="E993" s="41" t="s">
        <v>22</v>
      </c>
      <c r="F993" s="18" t="s">
        <v>22</v>
      </c>
      <c r="G993" s="18" t="s">
        <v>22</v>
      </c>
      <c r="H993" s="18" t="s">
        <v>22</v>
      </c>
      <c r="I993" s="18" t="s">
        <v>22</v>
      </c>
      <c r="J993" s="41"/>
      <c r="K993" s="18" t="s">
        <v>22</v>
      </c>
      <c r="L993" s="41"/>
      <c r="M993" s="18" t="s">
        <v>23</v>
      </c>
      <c r="N993" s="41" t="s">
        <v>22</v>
      </c>
      <c r="O993" s="41" t="s">
        <v>22</v>
      </c>
      <c r="P993" s="41" t="s">
        <v>22</v>
      </c>
      <c r="Q993" s="41"/>
      <c r="R993" s="41" t="s">
        <v>22</v>
      </c>
      <c r="S993" s="41" t="s">
        <v>22</v>
      </c>
      <c r="T993" s="41" t="s">
        <v>22</v>
      </c>
      <c r="U993" s="41" t="s">
        <v>22</v>
      </c>
      <c r="V993" s="18">
        <v>20200509</v>
      </c>
      <c r="W993" s="21" t="s">
        <v>641</v>
      </c>
      <c r="X993" s="18">
        <v>2019</v>
      </c>
      <c r="Y993" s="18" t="s">
        <v>143</v>
      </c>
      <c r="Z993" s="18" t="s">
        <v>34</v>
      </c>
      <c r="AA993" s="18"/>
      <c r="AB993" s="41"/>
      <c r="AC993" s="18" t="s">
        <v>514</v>
      </c>
      <c r="AD993" s="41">
        <v>158.42217484008501</v>
      </c>
      <c r="AE993" s="41" t="s">
        <v>22</v>
      </c>
      <c r="AF993" s="41" t="s">
        <v>22</v>
      </c>
      <c r="AG993" s="41" t="s">
        <v>22</v>
      </c>
      <c r="AH993" s="41" t="s">
        <v>22</v>
      </c>
      <c r="AI993" s="41" t="s">
        <v>22</v>
      </c>
      <c r="AJ993" s="41" t="s">
        <v>22</v>
      </c>
      <c r="AK993" s="41" t="s">
        <v>22</v>
      </c>
      <c r="AL993" s="41" t="s">
        <v>22</v>
      </c>
      <c r="AM993" s="43" t="e">
        <f t="shared" si="531"/>
        <v>#VALUE!</v>
      </c>
      <c r="AN993" s="43" t="e">
        <f t="shared" si="532"/>
        <v>#VALUE!</v>
      </c>
      <c r="AO993" s="19" t="s">
        <v>643</v>
      </c>
      <c r="AP993" s="18"/>
      <c r="AQ993" s="18"/>
      <c r="AR993" s="18"/>
      <c r="AS993" s="18"/>
      <c r="AT993" s="2">
        <f t="shared" si="533"/>
        <v>10</v>
      </c>
      <c r="AU993" s="45">
        <f t="shared" si="534"/>
        <v>-0.87054202925230784</v>
      </c>
      <c r="AV993" s="45" t="e">
        <f t="shared" si="535"/>
        <v>#VALUE!</v>
      </c>
      <c r="AW993" s="45" t="e">
        <f t="shared" si="536"/>
        <v>#VALUE!</v>
      </c>
      <c r="AX993" s="45" t="e">
        <f t="shared" si="537"/>
        <v>#VALUE!</v>
      </c>
      <c r="AY993" s="45" t="e">
        <f t="shared" si="538"/>
        <v>#VALUE!</v>
      </c>
      <c r="AZ993" s="45" t="e">
        <f t="shared" si="539"/>
        <v>#VALUE!</v>
      </c>
      <c r="BA993" s="45" t="e">
        <f t="shared" si="540"/>
        <v>#NUM!</v>
      </c>
      <c r="BB993" s="45" t="e">
        <f t="shared" si="541"/>
        <v>#NUM!</v>
      </c>
      <c r="BC993" s="45" t="e">
        <f t="shared" si="542"/>
        <v>#VALUE!</v>
      </c>
      <c r="BD993" s="45">
        <f t="shared" si="543"/>
        <v>2.1998159710454912</v>
      </c>
      <c r="BE993" s="45" t="e">
        <f t="shared" si="544"/>
        <v>#VALUE!</v>
      </c>
      <c r="BF993" s="45" t="e">
        <f t="shared" si="545"/>
        <v>#VALUE!</v>
      </c>
      <c r="BG993" s="45" t="e">
        <f t="shared" si="546"/>
        <v>#VALUE!</v>
      </c>
      <c r="BH993" s="45" t="e">
        <f t="shared" si="547"/>
        <v>#NUM!</v>
      </c>
      <c r="BI993" s="43" t="e">
        <f t="shared" si="548"/>
        <v>#VALUE!</v>
      </c>
      <c r="BJ993" s="18"/>
      <c r="BK993" s="18"/>
      <c r="BL993" s="20"/>
      <c r="BM993" s="41"/>
      <c r="BN993" s="41"/>
      <c r="BO993" s="41"/>
      <c r="BP993" s="41"/>
      <c r="BQ993" s="41"/>
      <c r="BR993" s="41"/>
      <c r="BS993" s="18"/>
      <c r="BT993" s="18"/>
      <c r="BU993" s="41"/>
      <c r="BV993" s="41"/>
      <c r="BW993" s="41"/>
      <c r="BX993" s="41"/>
      <c r="BY993" s="41"/>
      <c r="BZ993" s="41"/>
      <c r="CA993" s="41" t="s">
        <v>22</v>
      </c>
      <c r="CB993" s="18"/>
      <c r="CC993" s="18" t="s">
        <v>22</v>
      </c>
      <c r="CD993" s="18"/>
      <c r="CE993" s="41" t="s">
        <v>22</v>
      </c>
      <c r="CF993" s="41" t="s">
        <v>22</v>
      </c>
      <c r="CG993" s="41">
        <f t="shared" si="560"/>
        <v>158422.174840085</v>
      </c>
      <c r="CH993" s="41">
        <f t="shared" si="561"/>
        <v>5.1998159710454912</v>
      </c>
      <c r="CI993" s="41">
        <f t="shared" si="562"/>
        <v>158422.174840085</v>
      </c>
      <c r="CJ993" s="41">
        <f t="shared" si="563"/>
        <v>5.1998159710454912</v>
      </c>
      <c r="CK993" s="18"/>
      <c r="CL993" s="9" t="s">
        <v>1269</v>
      </c>
      <c r="CM993" s="18" t="s">
        <v>1283</v>
      </c>
      <c r="CN993" s="54" t="s">
        <v>1284</v>
      </c>
      <c r="CO993" s="18" t="s">
        <v>1284</v>
      </c>
    </row>
    <row r="994" spans="1:93" s="1" customFormat="1" x14ac:dyDescent="0.25">
      <c r="A994" s="18" t="s">
        <v>266</v>
      </c>
      <c r="B994" s="41">
        <v>0.12845188284518799</v>
      </c>
      <c r="C994" s="41" t="s">
        <v>22</v>
      </c>
      <c r="D994" s="41" t="s">
        <v>22</v>
      </c>
      <c r="E994" s="41" t="s">
        <v>22</v>
      </c>
      <c r="F994" s="18" t="s">
        <v>22</v>
      </c>
      <c r="G994" s="18" t="s">
        <v>22</v>
      </c>
      <c r="H994" s="18" t="s">
        <v>22</v>
      </c>
      <c r="I994" s="18" t="s">
        <v>22</v>
      </c>
      <c r="J994" s="41">
        <v>19.047353981949083</v>
      </c>
      <c r="K994" s="18">
        <v>633</v>
      </c>
      <c r="L994" s="41">
        <f t="shared" ref="L994:L999" si="564">IF((10^-12)*J994*K994^4=0,"",(10^-12)*J994*K994^4)</f>
        <v>3.0580845808056334</v>
      </c>
      <c r="M994" s="18" t="s">
        <v>23</v>
      </c>
      <c r="N994" s="41" t="s">
        <v>22</v>
      </c>
      <c r="O994" s="41" t="s">
        <v>22</v>
      </c>
      <c r="P994" s="41" t="s">
        <v>22</v>
      </c>
      <c r="Q994" s="41"/>
      <c r="R994" s="41" t="s">
        <v>22</v>
      </c>
      <c r="S994" s="41" t="s">
        <v>22</v>
      </c>
      <c r="T994" s="41" t="s">
        <v>22</v>
      </c>
      <c r="U994" s="41" t="s">
        <v>22</v>
      </c>
      <c r="V994" s="18">
        <v>20200509</v>
      </c>
      <c r="W994" s="21" t="s">
        <v>642</v>
      </c>
      <c r="X994" s="18">
        <v>2019</v>
      </c>
      <c r="Y994" s="18" t="s">
        <v>143</v>
      </c>
      <c r="Z994" s="18" t="s">
        <v>34</v>
      </c>
      <c r="AA994" s="18"/>
      <c r="AB994" s="41"/>
      <c r="AC994" s="18" t="s">
        <v>514</v>
      </c>
      <c r="AD994" s="41">
        <v>208.315565031982</v>
      </c>
      <c r="AE994" s="41">
        <v>1589.9198758366399</v>
      </c>
      <c r="AF994" s="41" t="s">
        <v>22</v>
      </c>
      <c r="AG994" s="41" t="s">
        <v>22</v>
      </c>
      <c r="AH994" s="41" t="s">
        <v>22</v>
      </c>
      <c r="AI994" s="41" t="s">
        <v>22</v>
      </c>
      <c r="AJ994" s="41" t="s">
        <v>22</v>
      </c>
      <c r="AK994" s="41" t="s">
        <v>22</v>
      </c>
      <c r="AL994" s="41" t="s">
        <v>22</v>
      </c>
      <c r="AM994" s="43" t="e">
        <f t="shared" si="531"/>
        <v>#VALUE!</v>
      </c>
      <c r="AN994" s="43" t="e">
        <f t="shared" si="532"/>
        <v>#VALUE!</v>
      </c>
      <c r="AO994" s="19" t="s">
        <v>643</v>
      </c>
      <c r="AP994" s="18"/>
      <c r="AQ994" s="18"/>
      <c r="AR994" s="18"/>
      <c r="AS994" s="18"/>
      <c r="AT994" s="2">
        <f t="shared" si="533"/>
        <v>10</v>
      </c>
      <c r="AU994" s="45">
        <f t="shared" si="534"/>
        <v>-0.89125952547095222</v>
      </c>
      <c r="AV994" s="45" t="e">
        <f t="shared" si="535"/>
        <v>#VALUE!</v>
      </c>
      <c r="AW994" s="45" t="e">
        <f t="shared" si="536"/>
        <v>#VALUE!</v>
      </c>
      <c r="AX994" s="45" t="e">
        <f t="shared" si="537"/>
        <v>#VALUE!</v>
      </c>
      <c r="AY994" s="45" t="e">
        <f t="shared" si="538"/>
        <v>#VALUE!</v>
      </c>
      <c r="AZ994" s="45" t="e">
        <f t="shared" si="539"/>
        <v>#VALUE!</v>
      </c>
      <c r="BA994" s="45">
        <f t="shared" si="540"/>
        <v>1.2798346529327065</v>
      </c>
      <c r="BB994" s="45">
        <f t="shared" si="541"/>
        <v>0.48544949300212692</v>
      </c>
      <c r="BC994" s="45" t="e">
        <f t="shared" si="542"/>
        <v>#VALUE!</v>
      </c>
      <c r="BD994" s="45">
        <f t="shared" si="543"/>
        <v>2.3187217210036879</v>
      </c>
      <c r="BE994" s="45" t="e">
        <f t="shared" si="544"/>
        <v>#VALUE!</v>
      </c>
      <c r="BF994" s="45" t="e">
        <f t="shared" si="545"/>
        <v>#VALUE!</v>
      </c>
      <c r="BG994" s="45" t="e">
        <f t="shared" si="546"/>
        <v>#VALUE!</v>
      </c>
      <c r="BH994" s="45" t="e">
        <f t="shared" si="547"/>
        <v>#NUM!</v>
      </c>
      <c r="BI994" s="43" t="e">
        <f t="shared" si="548"/>
        <v>#VALUE!</v>
      </c>
      <c r="BJ994" s="18"/>
      <c r="BK994" s="18"/>
      <c r="BL994" s="20"/>
      <c r="BM994" s="41"/>
      <c r="BN994" s="41"/>
      <c r="BO994" s="41"/>
      <c r="BP994" s="41"/>
      <c r="BQ994" s="41"/>
      <c r="BR994" s="41"/>
      <c r="BS994" s="18"/>
      <c r="BT994" s="18"/>
      <c r="BU994" s="41"/>
      <c r="BV994" s="41"/>
      <c r="BW994" s="41"/>
      <c r="BX994" s="41"/>
      <c r="BY994" s="41"/>
      <c r="BZ994" s="41"/>
      <c r="CA994" s="41" t="s">
        <v>22</v>
      </c>
      <c r="CB994" s="18"/>
      <c r="CC994" s="18" t="s">
        <v>22</v>
      </c>
      <c r="CD994" s="18"/>
      <c r="CE994" s="41" t="s">
        <v>22</v>
      </c>
      <c r="CF994" s="41" t="s">
        <v>22</v>
      </c>
      <c r="CG994" s="41">
        <f t="shared" si="560"/>
        <v>208315.565031982</v>
      </c>
      <c r="CH994" s="41">
        <f t="shared" si="561"/>
        <v>5.3187217210036879</v>
      </c>
      <c r="CI994" s="41">
        <f t="shared" si="562"/>
        <v>208315.565031982</v>
      </c>
      <c r="CJ994" s="41">
        <f t="shared" si="563"/>
        <v>5.3187217210036879</v>
      </c>
      <c r="CK994" s="18"/>
      <c r="CL994" s="9" t="s">
        <v>1269</v>
      </c>
      <c r="CM994" s="18" t="s">
        <v>1283</v>
      </c>
      <c r="CN994" s="54" t="s">
        <v>1284</v>
      </c>
      <c r="CO994" s="18" t="s">
        <v>1284</v>
      </c>
    </row>
    <row r="995" spans="1:93" s="1" customFormat="1" x14ac:dyDescent="0.25">
      <c r="A995" s="18" t="s">
        <v>315</v>
      </c>
      <c r="B995" s="41">
        <v>2.4343740905500299E-2</v>
      </c>
      <c r="C995" s="41" t="s">
        <v>22</v>
      </c>
      <c r="D995" s="41" t="s">
        <v>22</v>
      </c>
      <c r="E995" s="41" t="s">
        <v>22</v>
      </c>
      <c r="F995" s="18" t="s">
        <v>22</v>
      </c>
      <c r="G995" s="18" t="s">
        <v>22</v>
      </c>
      <c r="H995" s="18" t="s">
        <v>22</v>
      </c>
      <c r="I995" s="18" t="s">
        <v>22</v>
      </c>
      <c r="J995" s="41">
        <v>28.571428571428569</v>
      </c>
      <c r="K995" s="18">
        <v>532</v>
      </c>
      <c r="L995" s="41">
        <f t="shared" si="564"/>
        <v>2.2886452735999998</v>
      </c>
      <c r="M995" s="18" t="s">
        <v>23</v>
      </c>
      <c r="N995" s="41" t="s">
        <v>22</v>
      </c>
      <c r="O995" s="41" t="s">
        <v>22</v>
      </c>
      <c r="P995" s="41" t="s">
        <v>22</v>
      </c>
      <c r="Q995" s="41"/>
      <c r="R995" s="41" t="s">
        <v>22</v>
      </c>
      <c r="S995" s="41" t="s">
        <v>22</v>
      </c>
      <c r="T995" s="41" t="s">
        <v>22</v>
      </c>
      <c r="U995" s="41" t="s">
        <v>22</v>
      </c>
      <c r="V995" s="18">
        <v>20200511</v>
      </c>
      <c r="W995" s="21" t="s">
        <v>32</v>
      </c>
      <c r="X995" s="18">
        <v>2019</v>
      </c>
      <c r="Y995" s="18" t="s">
        <v>328</v>
      </c>
      <c r="Z995" s="18" t="s">
        <v>32</v>
      </c>
      <c r="AA995" s="18"/>
      <c r="AB995" s="41"/>
      <c r="AC995" s="18" t="s">
        <v>269</v>
      </c>
      <c r="AD995" s="41" t="s">
        <v>22</v>
      </c>
      <c r="AE995" s="41">
        <v>1586</v>
      </c>
      <c r="AF995" s="41">
        <v>76.585365853658502</v>
      </c>
      <c r="AG995" s="41" t="s">
        <v>22</v>
      </c>
      <c r="AH995" s="41" t="s">
        <v>22</v>
      </c>
      <c r="AI995" s="41" t="s">
        <v>22</v>
      </c>
      <c r="AJ995" s="41" t="s">
        <v>22</v>
      </c>
      <c r="AK995" s="41" t="s">
        <v>22</v>
      </c>
      <c r="AL995" s="41" t="s">
        <v>22</v>
      </c>
      <c r="AM995" s="43" t="e">
        <f t="shared" si="531"/>
        <v>#VALUE!</v>
      </c>
      <c r="AN995" s="43" t="e">
        <f t="shared" si="532"/>
        <v>#VALUE!</v>
      </c>
      <c r="AO995" s="19" t="s">
        <v>1157</v>
      </c>
      <c r="AP995" s="18"/>
      <c r="AQ995" s="18"/>
      <c r="AR995" s="18"/>
      <c r="AS995" s="18"/>
      <c r="AT995" s="2">
        <f t="shared" si="533"/>
        <v>5</v>
      </c>
      <c r="AU995" s="45">
        <f t="shared" si="534"/>
        <v>-1.613612682893987</v>
      </c>
      <c r="AV995" s="45" t="e">
        <f t="shared" si="535"/>
        <v>#VALUE!</v>
      </c>
      <c r="AW995" s="45" t="e">
        <f t="shared" si="536"/>
        <v>#VALUE!</v>
      </c>
      <c r="AX995" s="45" t="e">
        <f t="shared" si="537"/>
        <v>#VALUE!</v>
      </c>
      <c r="AY995" s="45" t="e">
        <f t="shared" si="538"/>
        <v>#VALUE!</v>
      </c>
      <c r="AZ995" s="45" t="e">
        <f t="shared" si="539"/>
        <v>#VALUE!</v>
      </c>
      <c r="BA995" s="45">
        <f t="shared" si="540"/>
        <v>1.4559319556497243</v>
      </c>
      <c r="BB995" s="45">
        <f t="shared" si="541"/>
        <v>0.35957848482991706</v>
      </c>
      <c r="BC995" s="45" t="e">
        <f t="shared" si="542"/>
        <v>#VALUE!</v>
      </c>
      <c r="BD995" s="45" t="e">
        <f t="shared" si="543"/>
        <v>#VALUE!</v>
      </c>
      <c r="BE995" s="45">
        <f t="shared" si="544"/>
        <v>1.8841457913534791</v>
      </c>
      <c r="BF995" s="45" t="e">
        <f t="shared" si="545"/>
        <v>#VALUE!</v>
      </c>
      <c r="BG995" s="45" t="e">
        <f t="shared" si="546"/>
        <v>#VALUE!</v>
      </c>
      <c r="BH995" s="45" t="e">
        <f t="shared" si="547"/>
        <v>#NUM!</v>
      </c>
      <c r="BI995" s="43">
        <f t="shared" si="548"/>
        <v>1.8841457913534791</v>
      </c>
      <c r="BJ995" s="18"/>
      <c r="BK995" s="18"/>
      <c r="BL995" s="20"/>
      <c r="BM995" s="41"/>
      <c r="BN995" s="41"/>
      <c r="BO995" s="41"/>
      <c r="BP995" s="41"/>
      <c r="BQ995" s="41"/>
      <c r="BR995" s="41"/>
      <c r="BS995" s="18"/>
      <c r="BT995" s="18"/>
      <c r="BU995" s="41"/>
      <c r="BV995" s="41"/>
      <c r="BW995" s="41"/>
      <c r="BX995" s="41"/>
      <c r="BY995" s="41"/>
      <c r="BZ995" s="41"/>
      <c r="CA995" s="41" t="s">
        <v>22</v>
      </c>
      <c r="CB995" s="18"/>
      <c r="CC995" s="18" t="s">
        <v>22</v>
      </c>
      <c r="CD995" s="18"/>
      <c r="CE995" s="41" t="s">
        <v>22</v>
      </c>
      <c r="CF995" s="41" t="s">
        <v>22</v>
      </c>
      <c r="CG995" s="41" t="e">
        <f t="shared" si="560"/>
        <v>#VALUE!</v>
      </c>
      <c r="CH995" s="41" t="e">
        <f t="shared" si="561"/>
        <v>#VALUE!</v>
      </c>
      <c r="CI995" s="41" t="str">
        <f t="shared" si="562"/>
        <v>Not Reported/ Can not calculate</v>
      </c>
      <c r="CJ995" s="41" t="e">
        <f t="shared" si="563"/>
        <v>#VALUE!</v>
      </c>
      <c r="CK995" s="18"/>
      <c r="CL995" s="9" t="s">
        <v>1269</v>
      </c>
      <c r="CM995" s="18" t="s">
        <v>1284</v>
      </c>
      <c r="CN995" s="54" t="s">
        <v>1284</v>
      </c>
      <c r="CO995" s="18" t="s">
        <v>1284</v>
      </c>
    </row>
    <row r="996" spans="1:93" s="1" customFormat="1" x14ac:dyDescent="0.25">
      <c r="A996" s="18" t="s">
        <v>315</v>
      </c>
      <c r="B996" s="41">
        <v>3.4148754833076896E-2</v>
      </c>
      <c r="C996" s="41" t="s">
        <v>22</v>
      </c>
      <c r="D996" s="41" t="s">
        <v>22</v>
      </c>
      <c r="E996" s="41" t="s">
        <v>22</v>
      </c>
      <c r="F996" s="18" t="s">
        <v>22</v>
      </c>
      <c r="G996" s="18" t="s">
        <v>22</v>
      </c>
      <c r="H996" s="18" t="s">
        <v>22</v>
      </c>
      <c r="I996" s="18" t="s">
        <v>22</v>
      </c>
      <c r="J996" s="41">
        <v>28.571428571428569</v>
      </c>
      <c r="K996" s="18">
        <v>532</v>
      </c>
      <c r="L996" s="41">
        <f t="shared" si="564"/>
        <v>2.2886452735999998</v>
      </c>
      <c r="M996" s="18" t="s">
        <v>45</v>
      </c>
      <c r="N996" s="41" t="s">
        <v>22</v>
      </c>
      <c r="O996" s="41" t="s">
        <v>22</v>
      </c>
      <c r="P996" s="41" t="s">
        <v>22</v>
      </c>
      <c r="Q996" s="41"/>
      <c r="R996" s="41" t="s">
        <v>22</v>
      </c>
      <c r="S996" s="41" t="s">
        <v>22</v>
      </c>
      <c r="T996" s="41" t="s">
        <v>22</v>
      </c>
      <c r="U996" s="41" t="s">
        <v>22</v>
      </c>
      <c r="V996" s="18">
        <v>20200511</v>
      </c>
      <c r="W996" s="21" t="s">
        <v>124</v>
      </c>
      <c r="X996" s="18">
        <v>2019</v>
      </c>
      <c r="Y996" s="18" t="s">
        <v>328</v>
      </c>
      <c r="Z996" s="18" t="s">
        <v>124</v>
      </c>
      <c r="AA996" s="18" t="s">
        <v>751</v>
      </c>
      <c r="AB996" s="41">
        <v>2.4343740905500299E-2</v>
      </c>
      <c r="AC996" s="18" t="s">
        <v>269</v>
      </c>
      <c r="AD996" s="41" t="s">
        <v>22</v>
      </c>
      <c r="AE996" s="41" t="s">
        <v>22</v>
      </c>
      <c r="AF996" s="41">
        <v>89.024390243902403</v>
      </c>
      <c r="AG996" s="41" t="s">
        <v>22</v>
      </c>
      <c r="AH996" s="41" t="s">
        <v>22</v>
      </c>
      <c r="AI996" s="41" t="s">
        <v>22</v>
      </c>
      <c r="AJ996" s="41" t="s">
        <v>22</v>
      </c>
      <c r="AK996" s="41" t="s">
        <v>22</v>
      </c>
      <c r="AL996" s="41" t="s">
        <v>22</v>
      </c>
      <c r="AM996" s="43" t="e">
        <f t="shared" si="531"/>
        <v>#VALUE!</v>
      </c>
      <c r="AN996" s="43" t="e">
        <f t="shared" si="532"/>
        <v>#VALUE!</v>
      </c>
      <c r="AO996" s="19" t="s">
        <v>1157</v>
      </c>
      <c r="AP996" s="18"/>
      <c r="AQ996" s="18"/>
      <c r="AR996" s="18"/>
      <c r="AS996" s="18"/>
      <c r="AT996" s="2">
        <f t="shared" si="533"/>
        <v>5</v>
      </c>
      <c r="AU996" s="45">
        <f t="shared" si="534"/>
        <v>-1.4666251273845767</v>
      </c>
      <c r="AV996" s="45" t="e">
        <f t="shared" si="535"/>
        <v>#VALUE!</v>
      </c>
      <c r="AW996" s="45" t="e">
        <f t="shared" si="536"/>
        <v>#VALUE!</v>
      </c>
      <c r="AX996" s="45" t="e">
        <f t="shared" si="537"/>
        <v>#VALUE!</v>
      </c>
      <c r="AY996" s="45" t="e">
        <f t="shared" si="538"/>
        <v>#VALUE!</v>
      </c>
      <c r="AZ996" s="45" t="e">
        <f t="shared" si="539"/>
        <v>#VALUE!</v>
      </c>
      <c r="BA996" s="45">
        <f t="shared" si="540"/>
        <v>1.4559319556497243</v>
      </c>
      <c r="BB996" s="45">
        <f t="shared" si="541"/>
        <v>0.35957848482991706</v>
      </c>
      <c r="BC996" s="45" t="e">
        <f t="shared" si="542"/>
        <v>#VALUE!</v>
      </c>
      <c r="BD996" s="45" t="e">
        <f t="shared" si="543"/>
        <v>#VALUE!</v>
      </c>
      <c r="BE996" s="45">
        <f t="shared" si="544"/>
        <v>1.949509007736739</v>
      </c>
      <c r="BF996" s="45" t="e">
        <f t="shared" si="545"/>
        <v>#VALUE!</v>
      </c>
      <c r="BG996" s="45" t="e">
        <f t="shared" si="546"/>
        <v>#VALUE!</v>
      </c>
      <c r="BH996" s="45">
        <f t="shared" si="547"/>
        <v>-1.613612682893987</v>
      </c>
      <c r="BI996" s="43">
        <f t="shared" si="548"/>
        <v>1.949509007736739</v>
      </c>
      <c r="BJ996" s="18"/>
      <c r="BK996" s="18"/>
      <c r="BL996" s="20"/>
      <c r="BM996" s="41"/>
      <c r="BN996" s="41"/>
      <c r="BO996" s="41"/>
      <c r="BP996" s="41"/>
      <c r="BQ996" s="41"/>
      <c r="BR996" s="41"/>
      <c r="BS996" s="18"/>
      <c r="BT996" s="18"/>
      <c r="BU996" s="41"/>
      <c r="BV996" s="41"/>
      <c r="BW996" s="41"/>
      <c r="BX996" s="41"/>
      <c r="BY996" s="41"/>
      <c r="BZ996" s="41"/>
      <c r="CA996" s="41" t="s">
        <v>22</v>
      </c>
      <c r="CB996" s="18"/>
      <c r="CC996" s="18" t="s">
        <v>22</v>
      </c>
      <c r="CD996" s="18"/>
      <c r="CE996" s="41" t="s">
        <v>22</v>
      </c>
      <c r="CF996" s="41" t="s">
        <v>22</v>
      </c>
      <c r="CG996" s="41" t="e">
        <f t="shared" si="560"/>
        <v>#VALUE!</v>
      </c>
      <c r="CH996" s="41" t="e">
        <f t="shared" si="561"/>
        <v>#VALUE!</v>
      </c>
      <c r="CI996" s="41" t="str">
        <f t="shared" si="562"/>
        <v>Not Reported/ Can not calculate</v>
      </c>
      <c r="CJ996" s="41" t="e">
        <f t="shared" si="563"/>
        <v>#VALUE!</v>
      </c>
      <c r="CK996" s="18"/>
      <c r="CL996" s="9" t="s">
        <v>1269</v>
      </c>
      <c r="CM996" s="18" t="s">
        <v>1284</v>
      </c>
      <c r="CN996" s="54" t="s">
        <v>1284</v>
      </c>
      <c r="CO996" s="18" t="s">
        <v>1284</v>
      </c>
    </row>
    <row r="997" spans="1:93" s="1" customFormat="1" x14ac:dyDescent="0.25">
      <c r="A997" s="18" t="s">
        <v>315</v>
      </c>
      <c r="B997" s="41">
        <v>7.8718662952646193E-2</v>
      </c>
      <c r="C997" s="41" t="s">
        <v>22</v>
      </c>
      <c r="D997" s="41" t="s">
        <v>22</v>
      </c>
      <c r="E997" s="41" t="s">
        <v>22</v>
      </c>
      <c r="F997" s="18" t="s">
        <v>22</v>
      </c>
      <c r="G997" s="18" t="s">
        <v>22</v>
      </c>
      <c r="H997" s="18" t="s">
        <v>22</v>
      </c>
      <c r="I997" s="18" t="s">
        <v>22</v>
      </c>
      <c r="J997" s="41">
        <v>28.571428571428569</v>
      </c>
      <c r="K997" s="18">
        <v>532</v>
      </c>
      <c r="L997" s="41">
        <f t="shared" si="564"/>
        <v>2.2886452735999998</v>
      </c>
      <c r="M997" s="18" t="s">
        <v>45</v>
      </c>
      <c r="N997" s="41" t="s">
        <v>22</v>
      </c>
      <c r="O997" s="41" t="s">
        <v>22</v>
      </c>
      <c r="P997" s="41" t="s">
        <v>22</v>
      </c>
      <c r="Q997" s="41"/>
      <c r="R997" s="41" t="s">
        <v>22</v>
      </c>
      <c r="S997" s="41" t="s">
        <v>22</v>
      </c>
      <c r="T997" s="41" t="s">
        <v>22</v>
      </c>
      <c r="U997" s="41" t="s">
        <v>22</v>
      </c>
      <c r="V997" s="18">
        <v>20200511</v>
      </c>
      <c r="W997" s="21" t="s">
        <v>124</v>
      </c>
      <c r="X997" s="18">
        <v>2019</v>
      </c>
      <c r="Y997" s="18" t="s">
        <v>328</v>
      </c>
      <c r="Z997" s="18" t="s">
        <v>124</v>
      </c>
      <c r="AA997" s="18" t="s">
        <v>751</v>
      </c>
      <c r="AB997" s="41">
        <v>2.4343740905500299E-2</v>
      </c>
      <c r="AC997" s="18" t="s">
        <v>269</v>
      </c>
      <c r="AD997" s="41" t="s">
        <v>22</v>
      </c>
      <c r="AE997" s="41" t="s">
        <v>22</v>
      </c>
      <c r="AF997" s="41">
        <v>74.634146341463406</v>
      </c>
      <c r="AG997" s="41" t="s">
        <v>22</v>
      </c>
      <c r="AH997" s="41" t="s">
        <v>22</v>
      </c>
      <c r="AI997" s="41" t="s">
        <v>22</v>
      </c>
      <c r="AJ997" s="41" t="s">
        <v>22</v>
      </c>
      <c r="AK997" s="41" t="s">
        <v>22</v>
      </c>
      <c r="AL997" s="41" t="s">
        <v>22</v>
      </c>
      <c r="AM997" s="43" t="e">
        <f t="shared" si="531"/>
        <v>#VALUE!</v>
      </c>
      <c r="AN997" s="43" t="e">
        <f t="shared" si="532"/>
        <v>#VALUE!</v>
      </c>
      <c r="AO997" s="19" t="s">
        <v>1157</v>
      </c>
      <c r="AP997" s="18"/>
      <c r="AQ997" s="18"/>
      <c r="AR997" s="18"/>
      <c r="AS997" s="18"/>
      <c r="AT997" s="2">
        <f t="shared" si="533"/>
        <v>5</v>
      </c>
      <c r="AU997" s="45">
        <f t="shared" si="534"/>
        <v>-1.1039222910657795</v>
      </c>
      <c r="AV997" s="45" t="e">
        <f t="shared" si="535"/>
        <v>#VALUE!</v>
      </c>
      <c r="AW997" s="45" t="e">
        <f t="shared" si="536"/>
        <v>#VALUE!</v>
      </c>
      <c r="AX997" s="45" t="e">
        <f t="shared" si="537"/>
        <v>#VALUE!</v>
      </c>
      <c r="AY997" s="45" t="e">
        <f t="shared" si="538"/>
        <v>#VALUE!</v>
      </c>
      <c r="AZ997" s="45" t="e">
        <f t="shared" si="539"/>
        <v>#VALUE!</v>
      </c>
      <c r="BA997" s="45">
        <f t="shared" si="540"/>
        <v>1.4559319556497243</v>
      </c>
      <c r="BB997" s="45">
        <f t="shared" si="541"/>
        <v>0.35957848482991706</v>
      </c>
      <c r="BC997" s="45" t="e">
        <f t="shared" si="542"/>
        <v>#VALUE!</v>
      </c>
      <c r="BD997" s="45" t="e">
        <f t="shared" si="543"/>
        <v>#VALUE!</v>
      </c>
      <c r="BE997" s="45">
        <f t="shared" si="544"/>
        <v>1.8729375697618444</v>
      </c>
      <c r="BF997" s="45" t="e">
        <f t="shared" si="545"/>
        <v>#VALUE!</v>
      </c>
      <c r="BG997" s="45" t="e">
        <f t="shared" si="546"/>
        <v>#VALUE!</v>
      </c>
      <c r="BH997" s="45">
        <f t="shared" si="547"/>
        <v>-1.613612682893987</v>
      </c>
      <c r="BI997" s="43">
        <f t="shared" si="548"/>
        <v>1.8729375697618444</v>
      </c>
      <c r="BJ997" s="18"/>
      <c r="BK997" s="18"/>
      <c r="BL997" s="20"/>
      <c r="BM997" s="41"/>
      <c r="BN997" s="41"/>
      <c r="BO997" s="41"/>
      <c r="BP997" s="41"/>
      <c r="BQ997" s="41"/>
      <c r="BR997" s="41"/>
      <c r="BS997" s="18"/>
      <c r="BT997" s="18"/>
      <c r="BU997" s="41"/>
      <c r="BV997" s="41"/>
      <c r="BW997" s="41"/>
      <c r="BX997" s="41"/>
      <c r="BY997" s="41"/>
      <c r="BZ997" s="41"/>
      <c r="CA997" s="41" t="s">
        <v>22</v>
      </c>
      <c r="CB997" s="18"/>
      <c r="CC997" s="18" t="s">
        <v>22</v>
      </c>
      <c r="CD997" s="18"/>
      <c r="CE997" s="41" t="s">
        <v>22</v>
      </c>
      <c r="CF997" s="41" t="s">
        <v>22</v>
      </c>
      <c r="CG997" s="41" t="e">
        <f t="shared" si="560"/>
        <v>#VALUE!</v>
      </c>
      <c r="CH997" s="41" t="e">
        <f t="shared" si="561"/>
        <v>#VALUE!</v>
      </c>
      <c r="CI997" s="41" t="str">
        <f t="shared" si="562"/>
        <v>Not Reported/ Can not calculate</v>
      </c>
      <c r="CJ997" s="41" t="e">
        <f t="shared" si="563"/>
        <v>#VALUE!</v>
      </c>
      <c r="CK997" s="18"/>
      <c r="CL997" s="9" t="s">
        <v>1269</v>
      </c>
      <c r="CM997" s="18" t="s">
        <v>1284</v>
      </c>
      <c r="CN997" s="54" t="s">
        <v>1284</v>
      </c>
      <c r="CO997" s="18" t="s">
        <v>1284</v>
      </c>
    </row>
    <row r="998" spans="1:93" s="1" customFormat="1" x14ac:dyDescent="0.25">
      <c r="A998" s="18" t="s">
        <v>315</v>
      </c>
      <c r="B998" s="41">
        <v>0.102788841308776</v>
      </c>
      <c r="C998" s="41" t="s">
        <v>22</v>
      </c>
      <c r="D998" s="41" t="s">
        <v>22</v>
      </c>
      <c r="E998" s="41" t="s">
        <v>22</v>
      </c>
      <c r="F998" s="18" t="s">
        <v>22</v>
      </c>
      <c r="G998" s="18" t="s">
        <v>22</v>
      </c>
      <c r="H998" s="18" t="s">
        <v>22</v>
      </c>
      <c r="I998" s="18" t="s">
        <v>22</v>
      </c>
      <c r="J998" s="41">
        <v>28.571428571428569</v>
      </c>
      <c r="K998" s="18">
        <v>532</v>
      </c>
      <c r="L998" s="41">
        <f t="shared" si="564"/>
        <v>2.2886452735999998</v>
      </c>
      <c r="M998" s="18" t="s">
        <v>45</v>
      </c>
      <c r="N998" s="41" t="s">
        <v>22</v>
      </c>
      <c r="O998" s="41" t="s">
        <v>22</v>
      </c>
      <c r="P998" s="41" t="s">
        <v>22</v>
      </c>
      <c r="Q998" s="41"/>
      <c r="R998" s="41" t="s">
        <v>22</v>
      </c>
      <c r="S998" s="41" t="s">
        <v>22</v>
      </c>
      <c r="T998" s="41" t="s">
        <v>22</v>
      </c>
      <c r="U998" s="41" t="s">
        <v>22</v>
      </c>
      <c r="V998" s="18">
        <v>20200511</v>
      </c>
      <c r="W998" s="21" t="s">
        <v>124</v>
      </c>
      <c r="X998" s="18">
        <v>2019</v>
      </c>
      <c r="Y998" s="18" t="s">
        <v>328</v>
      </c>
      <c r="Z998" s="18" t="s">
        <v>124</v>
      </c>
      <c r="AA998" s="18" t="s">
        <v>751</v>
      </c>
      <c r="AB998" s="41">
        <v>2.4343740905500299E-2</v>
      </c>
      <c r="AC998" s="18" t="s">
        <v>269</v>
      </c>
      <c r="AD998" s="41" t="s">
        <v>22</v>
      </c>
      <c r="AE998" s="41">
        <v>1589</v>
      </c>
      <c r="AF998" s="41">
        <v>117.07317073170699</v>
      </c>
      <c r="AG998" s="41" t="s">
        <v>22</v>
      </c>
      <c r="AH998" s="41" t="s">
        <v>22</v>
      </c>
      <c r="AI998" s="41" t="s">
        <v>22</v>
      </c>
      <c r="AJ998" s="41" t="s">
        <v>22</v>
      </c>
      <c r="AK998" s="41" t="s">
        <v>22</v>
      </c>
      <c r="AL998" s="41" t="s">
        <v>22</v>
      </c>
      <c r="AM998" s="43" t="e">
        <f t="shared" si="531"/>
        <v>#VALUE!</v>
      </c>
      <c r="AN998" s="43" t="e">
        <f t="shared" si="532"/>
        <v>#VALUE!</v>
      </c>
      <c r="AO998" s="19" t="s">
        <v>1157</v>
      </c>
      <c r="AP998" s="18"/>
      <c r="AQ998" s="18"/>
      <c r="AR998" s="18"/>
      <c r="AS998" s="18"/>
      <c r="AT998" s="2">
        <f t="shared" si="533"/>
        <v>5</v>
      </c>
      <c r="AU998" s="45">
        <f t="shared" si="534"/>
        <v>-0.98805402951450028</v>
      </c>
      <c r="AV998" s="45" t="e">
        <f t="shared" si="535"/>
        <v>#VALUE!</v>
      </c>
      <c r="AW998" s="45" t="e">
        <f t="shared" si="536"/>
        <v>#VALUE!</v>
      </c>
      <c r="AX998" s="45" t="e">
        <f t="shared" si="537"/>
        <v>#VALUE!</v>
      </c>
      <c r="AY998" s="45" t="e">
        <f t="shared" si="538"/>
        <v>#VALUE!</v>
      </c>
      <c r="AZ998" s="45" t="e">
        <f t="shared" si="539"/>
        <v>#VALUE!</v>
      </c>
      <c r="BA998" s="45">
        <f t="shared" si="540"/>
        <v>1.4559319556497243</v>
      </c>
      <c r="BB998" s="45">
        <f t="shared" si="541"/>
        <v>0.35957848482991706</v>
      </c>
      <c r="BC998" s="45" t="e">
        <f t="shared" si="542"/>
        <v>#VALUE!</v>
      </c>
      <c r="BD998" s="45" t="e">
        <f t="shared" si="543"/>
        <v>#VALUE!</v>
      </c>
      <c r="BE998" s="45">
        <f t="shared" si="544"/>
        <v>2.0684573806558504</v>
      </c>
      <c r="BF998" s="45" t="e">
        <f t="shared" si="545"/>
        <v>#VALUE!</v>
      </c>
      <c r="BG998" s="45" t="e">
        <f t="shared" si="546"/>
        <v>#VALUE!</v>
      </c>
      <c r="BH998" s="45">
        <f t="shared" si="547"/>
        <v>-1.613612682893987</v>
      </c>
      <c r="BI998" s="43">
        <f t="shared" si="548"/>
        <v>2.0684573806558504</v>
      </c>
      <c r="BJ998" s="18"/>
      <c r="BK998" s="18"/>
      <c r="BL998" s="20"/>
      <c r="BM998" s="41"/>
      <c r="BN998" s="41"/>
      <c r="BO998" s="41"/>
      <c r="BP998" s="41"/>
      <c r="BQ998" s="41"/>
      <c r="BR998" s="41"/>
      <c r="BS998" s="18"/>
      <c r="BT998" s="18"/>
      <c r="BU998" s="41"/>
      <c r="BV998" s="41"/>
      <c r="BW998" s="41"/>
      <c r="BX998" s="41"/>
      <c r="BY998" s="41"/>
      <c r="BZ998" s="41"/>
      <c r="CA998" s="41" t="s">
        <v>22</v>
      </c>
      <c r="CB998" s="18"/>
      <c r="CC998" s="18" t="s">
        <v>22</v>
      </c>
      <c r="CD998" s="18"/>
      <c r="CE998" s="41" t="s">
        <v>22</v>
      </c>
      <c r="CF998" s="41" t="s">
        <v>22</v>
      </c>
      <c r="CG998" s="41" t="e">
        <f t="shared" si="560"/>
        <v>#VALUE!</v>
      </c>
      <c r="CH998" s="41" t="e">
        <f t="shared" si="561"/>
        <v>#VALUE!</v>
      </c>
      <c r="CI998" s="41" t="str">
        <f t="shared" si="562"/>
        <v>Not Reported/ Can not calculate</v>
      </c>
      <c r="CJ998" s="41" t="e">
        <f t="shared" si="563"/>
        <v>#VALUE!</v>
      </c>
      <c r="CK998" s="18"/>
      <c r="CL998" s="9" t="s">
        <v>1269</v>
      </c>
      <c r="CM998" s="18" t="s">
        <v>1284</v>
      </c>
      <c r="CN998" s="54" t="s">
        <v>1284</v>
      </c>
      <c r="CO998" s="18" t="s">
        <v>1284</v>
      </c>
    </row>
    <row r="999" spans="1:93" s="1" customFormat="1" x14ac:dyDescent="0.25">
      <c r="A999" s="18" t="s">
        <v>315</v>
      </c>
      <c r="B999" s="41">
        <v>3.2151498773541697E-2</v>
      </c>
      <c r="C999" s="41" t="s">
        <v>22</v>
      </c>
      <c r="D999" s="41" t="s">
        <v>22</v>
      </c>
      <c r="E999" s="41" t="s">
        <v>22</v>
      </c>
      <c r="F999" s="18" t="s">
        <v>22</v>
      </c>
      <c r="G999" s="18" t="s">
        <v>22</v>
      </c>
      <c r="H999" s="18" t="s">
        <v>22</v>
      </c>
      <c r="I999" s="18" t="s">
        <v>22</v>
      </c>
      <c r="J999" s="41">
        <v>28.571428571428569</v>
      </c>
      <c r="K999" s="18">
        <v>532</v>
      </c>
      <c r="L999" s="41">
        <f t="shared" si="564"/>
        <v>2.2886452735999998</v>
      </c>
      <c r="M999" s="18" t="s">
        <v>45</v>
      </c>
      <c r="N999" s="41" t="s">
        <v>22</v>
      </c>
      <c r="O999" s="41" t="s">
        <v>22</v>
      </c>
      <c r="P999" s="41" t="s">
        <v>22</v>
      </c>
      <c r="Q999" s="41"/>
      <c r="R999" s="41" t="s">
        <v>22</v>
      </c>
      <c r="S999" s="41" t="s">
        <v>22</v>
      </c>
      <c r="T999" s="41" t="s">
        <v>22</v>
      </c>
      <c r="U999" s="41" t="s">
        <v>22</v>
      </c>
      <c r="V999" s="18">
        <v>20200511</v>
      </c>
      <c r="W999" s="21" t="s">
        <v>124</v>
      </c>
      <c r="X999" s="18">
        <v>2019</v>
      </c>
      <c r="Y999" s="18" t="s">
        <v>328</v>
      </c>
      <c r="Z999" s="18" t="s">
        <v>124</v>
      </c>
      <c r="AA999" s="18" t="s">
        <v>751</v>
      </c>
      <c r="AB999" s="41">
        <v>2.4343740905500299E-2</v>
      </c>
      <c r="AC999" s="18" t="s">
        <v>269</v>
      </c>
      <c r="AD999" s="41" t="s">
        <v>22</v>
      </c>
      <c r="AE999" s="41" t="s">
        <v>22</v>
      </c>
      <c r="AF999" s="41" t="s">
        <v>22</v>
      </c>
      <c r="AG999" s="41" t="s">
        <v>22</v>
      </c>
      <c r="AH999" s="41" t="s">
        <v>22</v>
      </c>
      <c r="AI999" s="41" t="s">
        <v>22</v>
      </c>
      <c r="AJ999" s="41" t="s">
        <v>22</v>
      </c>
      <c r="AK999" s="41" t="s">
        <v>22</v>
      </c>
      <c r="AL999" s="41" t="s">
        <v>22</v>
      </c>
      <c r="AM999" s="43" t="e">
        <f t="shared" si="531"/>
        <v>#VALUE!</v>
      </c>
      <c r="AN999" s="43" t="e">
        <f t="shared" si="532"/>
        <v>#VALUE!</v>
      </c>
      <c r="AO999" s="19" t="s">
        <v>1157</v>
      </c>
      <c r="AP999" s="18"/>
      <c r="AQ999" s="18"/>
      <c r="AR999" s="18"/>
      <c r="AS999" s="18"/>
      <c r="AT999" s="2">
        <f t="shared" si="533"/>
        <v>5</v>
      </c>
      <c r="AU999" s="45">
        <f t="shared" si="534"/>
        <v>-1.4927987772060993</v>
      </c>
      <c r="AV999" s="45" t="e">
        <f t="shared" si="535"/>
        <v>#VALUE!</v>
      </c>
      <c r="AW999" s="45" t="e">
        <f t="shared" si="536"/>
        <v>#VALUE!</v>
      </c>
      <c r="AX999" s="45" t="e">
        <f t="shared" si="537"/>
        <v>#VALUE!</v>
      </c>
      <c r="AY999" s="45" t="e">
        <f t="shared" si="538"/>
        <v>#VALUE!</v>
      </c>
      <c r="AZ999" s="45" t="e">
        <f t="shared" si="539"/>
        <v>#VALUE!</v>
      </c>
      <c r="BA999" s="45">
        <f t="shared" si="540"/>
        <v>1.4559319556497243</v>
      </c>
      <c r="BB999" s="45">
        <f t="shared" si="541"/>
        <v>0.35957848482991706</v>
      </c>
      <c r="BC999" s="45" t="e">
        <f t="shared" si="542"/>
        <v>#VALUE!</v>
      </c>
      <c r="BD999" s="45" t="e">
        <f t="shared" si="543"/>
        <v>#VALUE!</v>
      </c>
      <c r="BE999" s="45" t="e">
        <f t="shared" si="544"/>
        <v>#VALUE!</v>
      </c>
      <c r="BF999" s="45" t="e">
        <f t="shared" si="545"/>
        <v>#VALUE!</v>
      </c>
      <c r="BG999" s="45" t="e">
        <f t="shared" si="546"/>
        <v>#VALUE!</v>
      </c>
      <c r="BH999" s="45">
        <f t="shared" si="547"/>
        <v>-1.613612682893987</v>
      </c>
      <c r="BI999" s="43" t="e">
        <f t="shared" si="548"/>
        <v>#VALUE!</v>
      </c>
      <c r="BJ999" s="18"/>
      <c r="BK999" s="18"/>
      <c r="BL999" s="20"/>
      <c r="BM999" s="41"/>
      <c r="BN999" s="41"/>
      <c r="BO999" s="41"/>
      <c r="BP999" s="41"/>
      <c r="BQ999" s="41"/>
      <c r="BR999" s="41"/>
      <c r="BS999" s="18"/>
      <c r="BT999" s="18"/>
      <c r="BU999" s="41"/>
      <c r="BV999" s="41"/>
      <c r="BW999" s="41"/>
      <c r="BX999" s="41"/>
      <c r="BY999" s="41"/>
      <c r="BZ999" s="41"/>
      <c r="CA999" s="41" t="s">
        <v>22</v>
      </c>
      <c r="CB999" s="18"/>
      <c r="CC999" s="18" t="s">
        <v>22</v>
      </c>
      <c r="CD999" s="18"/>
      <c r="CE999" s="41" t="s">
        <v>22</v>
      </c>
      <c r="CF999" s="41" t="s">
        <v>22</v>
      </c>
      <c r="CG999" s="41" t="e">
        <f t="shared" si="560"/>
        <v>#VALUE!</v>
      </c>
      <c r="CH999" s="41" t="e">
        <f t="shared" si="561"/>
        <v>#VALUE!</v>
      </c>
      <c r="CI999" s="41" t="str">
        <f t="shared" si="562"/>
        <v>Not Reported/ Can not calculate</v>
      </c>
      <c r="CJ999" s="41" t="e">
        <f t="shared" si="563"/>
        <v>#VALUE!</v>
      </c>
      <c r="CK999" s="18"/>
      <c r="CL999" s="9" t="s">
        <v>1269</v>
      </c>
      <c r="CM999" s="18" t="s">
        <v>1284</v>
      </c>
      <c r="CN999" s="54" t="s">
        <v>1284</v>
      </c>
      <c r="CO999" s="18" t="s">
        <v>1284</v>
      </c>
    </row>
    <row r="1000" spans="1:93" s="1" customFormat="1" x14ac:dyDescent="0.25">
      <c r="A1000" s="18" t="s">
        <v>266</v>
      </c>
      <c r="B1000" s="41" t="s">
        <v>22</v>
      </c>
      <c r="C1000" s="41" t="s">
        <v>22</v>
      </c>
      <c r="D1000" s="41" t="s">
        <v>22</v>
      </c>
      <c r="E1000" s="41" t="s">
        <v>22</v>
      </c>
      <c r="F1000" s="18">
        <v>24.6</v>
      </c>
      <c r="G1000" s="18" t="s">
        <v>52</v>
      </c>
      <c r="H1000" s="18" t="s">
        <v>22</v>
      </c>
      <c r="I1000" s="18" t="s">
        <v>22</v>
      </c>
      <c r="J1000" s="41" t="s">
        <v>22</v>
      </c>
      <c r="K1000" s="18" t="s">
        <v>22</v>
      </c>
      <c r="L1000" s="41"/>
      <c r="M1000" s="18" t="s">
        <v>23</v>
      </c>
      <c r="N1000" s="41" t="s">
        <v>22</v>
      </c>
      <c r="O1000" s="41">
        <v>1.1399999999999999</v>
      </c>
      <c r="P1000" s="41" t="s">
        <v>22</v>
      </c>
      <c r="Q1000" s="41"/>
      <c r="R1000" s="41" t="s">
        <v>22</v>
      </c>
      <c r="S1000" s="41" t="s">
        <v>22</v>
      </c>
      <c r="T1000" s="41" t="s">
        <v>22</v>
      </c>
      <c r="U1000" s="41" t="s">
        <v>22</v>
      </c>
      <c r="V1000" s="18">
        <v>20200510</v>
      </c>
      <c r="W1000" s="21"/>
      <c r="X1000" s="18">
        <v>2019</v>
      </c>
      <c r="Y1000" s="18" t="s">
        <v>76</v>
      </c>
      <c r="Z1000" s="18" t="s">
        <v>32</v>
      </c>
      <c r="AA1000" s="18"/>
      <c r="AB1000" s="41"/>
      <c r="AC1000" s="18" t="s">
        <v>514</v>
      </c>
      <c r="AD1000" s="41" t="s">
        <v>22</v>
      </c>
      <c r="AE1000" s="41" t="s">
        <v>22</v>
      </c>
      <c r="AF1000" s="41" t="s">
        <v>22</v>
      </c>
      <c r="AG1000" s="41" t="s">
        <v>22</v>
      </c>
      <c r="AH1000" s="41" t="s">
        <v>22</v>
      </c>
      <c r="AI1000" s="41" t="s">
        <v>22</v>
      </c>
      <c r="AJ1000" s="41" t="s">
        <v>22</v>
      </c>
      <c r="AK1000" s="41" t="s">
        <v>22</v>
      </c>
      <c r="AL1000" s="41" t="s">
        <v>22</v>
      </c>
      <c r="AM1000" s="43" t="e">
        <f t="shared" si="531"/>
        <v>#VALUE!</v>
      </c>
      <c r="AN1000" s="43" t="e">
        <f t="shared" si="532"/>
        <v>#VALUE!</v>
      </c>
      <c r="AO1000" s="19" t="s">
        <v>262</v>
      </c>
      <c r="AP1000" s="18"/>
      <c r="AQ1000" s="18"/>
      <c r="AR1000" s="18"/>
      <c r="AS1000" s="18"/>
      <c r="AT1000" s="2">
        <f t="shared" si="533"/>
        <v>16</v>
      </c>
      <c r="AU1000" s="45" t="e">
        <f t="shared" si="534"/>
        <v>#VALUE!</v>
      </c>
      <c r="AV1000" s="45" t="e">
        <f t="shared" si="535"/>
        <v>#VALUE!</v>
      </c>
      <c r="AW1000" s="45" t="e">
        <f t="shared" si="536"/>
        <v>#VALUE!</v>
      </c>
      <c r="AX1000" s="45" t="e">
        <f t="shared" si="537"/>
        <v>#VALUE!</v>
      </c>
      <c r="AY1000" s="45">
        <f t="shared" si="538"/>
        <v>5.6904851336472557E-2</v>
      </c>
      <c r="AZ1000" s="45" t="e">
        <f t="shared" si="539"/>
        <v>#VALUE!</v>
      </c>
      <c r="BA1000" s="45" t="e">
        <f t="shared" si="540"/>
        <v>#VALUE!</v>
      </c>
      <c r="BB1000" s="45" t="e">
        <f t="shared" si="541"/>
        <v>#NUM!</v>
      </c>
      <c r="BC1000" s="45" t="e">
        <f t="shared" si="542"/>
        <v>#VALUE!</v>
      </c>
      <c r="BD1000" s="45" t="e">
        <f t="shared" si="543"/>
        <v>#VALUE!</v>
      </c>
      <c r="BE1000" s="45" t="e">
        <f t="shared" si="544"/>
        <v>#VALUE!</v>
      </c>
      <c r="BF1000" s="45" t="e">
        <f t="shared" si="545"/>
        <v>#VALUE!</v>
      </c>
      <c r="BG1000" s="45" t="e">
        <f t="shared" si="546"/>
        <v>#VALUE!</v>
      </c>
      <c r="BH1000" s="45" t="e">
        <f t="shared" si="547"/>
        <v>#NUM!</v>
      </c>
      <c r="BI1000" s="43" t="e">
        <f t="shared" si="548"/>
        <v>#VALUE!</v>
      </c>
      <c r="BJ1000" s="18"/>
      <c r="BK1000" s="18"/>
      <c r="BL1000" s="20"/>
      <c r="BM1000" s="41"/>
      <c r="BN1000" s="41"/>
      <c r="BO1000" s="41"/>
      <c r="BP1000" s="41"/>
      <c r="BQ1000" s="41"/>
      <c r="BR1000" s="41"/>
      <c r="BS1000" s="18"/>
      <c r="BT1000" s="18"/>
      <c r="BU1000" s="41"/>
      <c r="BV1000" s="41"/>
      <c r="BW1000" s="41"/>
      <c r="BX1000" s="41"/>
      <c r="BY1000" s="41"/>
      <c r="BZ1000" s="41"/>
      <c r="CA1000" s="41" t="s">
        <v>22</v>
      </c>
      <c r="CB1000" s="18"/>
      <c r="CC1000" s="18" t="s">
        <v>22</v>
      </c>
      <c r="CD1000" s="18"/>
      <c r="CE1000" s="41" t="s">
        <v>22</v>
      </c>
      <c r="CF1000" s="41" t="s">
        <v>22</v>
      </c>
      <c r="CG1000" s="41" t="e">
        <f t="shared" si="560"/>
        <v>#VALUE!</v>
      </c>
      <c r="CH1000" s="41" t="e">
        <f t="shared" si="561"/>
        <v>#VALUE!</v>
      </c>
      <c r="CI1000" s="41" t="str">
        <f t="shared" si="562"/>
        <v>Not Reported/ Can not calculate</v>
      </c>
      <c r="CJ1000" s="41" t="e">
        <f t="shared" si="563"/>
        <v>#VALUE!</v>
      </c>
      <c r="CK1000" s="18"/>
      <c r="CL1000" s="9" t="s">
        <v>1269</v>
      </c>
      <c r="CM1000" s="18" t="s">
        <v>1284</v>
      </c>
      <c r="CN1000" s="54" t="s">
        <v>1284</v>
      </c>
      <c r="CO1000" s="18" t="s">
        <v>1284</v>
      </c>
    </row>
    <row r="1001" spans="1:93" s="1" customFormat="1" x14ac:dyDescent="0.25">
      <c r="A1001" s="18" t="s">
        <v>266</v>
      </c>
      <c r="B1001" s="41" t="s">
        <v>22</v>
      </c>
      <c r="C1001" s="41" t="s">
        <v>22</v>
      </c>
      <c r="D1001" s="41" t="s">
        <v>22</v>
      </c>
      <c r="E1001" s="41" t="s">
        <v>22</v>
      </c>
      <c r="F1001" s="18">
        <v>35.1</v>
      </c>
      <c r="G1001" s="18" t="s">
        <v>52</v>
      </c>
      <c r="H1001" s="18" t="s">
        <v>22</v>
      </c>
      <c r="I1001" s="18" t="s">
        <v>22</v>
      </c>
      <c r="J1001" s="41" t="s">
        <v>22</v>
      </c>
      <c r="K1001" s="18" t="s">
        <v>22</v>
      </c>
      <c r="L1001" s="41"/>
      <c r="M1001" s="18" t="s">
        <v>23</v>
      </c>
      <c r="N1001" s="41" t="s">
        <v>22</v>
      </c>
      <c r="O1001" s="41">
        <v>2.2000000000000002</v>
      </c>
      <c r="P1001" s="41" t="s">
        <v>22</v>
      </c>
      <c r="Q1001" s="41"/>
      <c r="R1001" s="41" t="s">
        <v>22</v>
      </c>
      <c r="S1001" s="41" t="s">
        <v>22</v>
      </c>
      <c r="T1001" s="41" t="s">
        <v>22</v>
      </c>
      <c r="U1001" s="41" t="s">
        <v>22</v>
      </c>
      <c r="V1001" s="18">
        <v>20200510</v>
      </c>
      <c r="W1001" s="21"/>
      <c r="X1001" s="18">
        <v>2019</v>
      </c>
      <c r="Y1001" s="18" t="s">
        <v>76</v>
      </c>
      <c r="Z1001" s="18" t="s">
        <v>32</v>
      </c>
      <c r="AA1001" s="18"/>
      <c r="AB1001" s="41"/>
      <c r="AC1001" s="18" t="s">
        <v>514</v>
      </c>
      <c r="AD1001" s="41" t="s">
        <v>22</v>
      </c>
      <c r="AE1001" s="41" t="s">
        <v>22</v>
      </c>
      <c r="AF1001" s="41" t="s">
        <v>22</v>
      </c>
      <c r="AG1001" s="41" t="s">
        <v>22</v>
      </c>
      <c r="AH1001" s="41" t="s">
        <v>22</v>
      </c>
      <c r="AI1001" s="41" t="s">
        <v>22</v>
      </c>
      <c r="AJ1001" s="41" t="s">
        <v>22</v>
      </c>
      <c r="AK1001" s="41" t="s">
        <v>22</v>
      </c>
      <c r="AL1001" s="41" t="s">
        <v>22</v>
      </c>
      <c r="AM1001" s="43" t="e">
        <f t="shared" si="531"/>
        <v>#VALUE!</v>
      </c>
      <c r="AN1001" s="43" t="e">
        <f t="shared" si="532"/>
        <v>#VALUE!</v>
      </c>
      <c r="AO1001" s="19" t="s">
        <v>262</v>
      </c>
      <c r="AP1001" s="18"/>
      <c r="AQ1001" s="18"/>
      <c r="AR1001" s="18"/>
      <c r="AS1001" s="18"/>
      <c r="AT1001" s="2">
        <f t="shared" si="533"/>
        <v>16</v>
      </c>
      <c r="AU1001" s="45" t="e">
        <f t="shared" si="534"/>
        <v>#VALUE!</v>
      </c>
      <c r="AV1001" s="45" t="e">
        <f t="shared" si="535"/>
        <v>#VALUE!</v>
      </c>
      <c r="AW1001" s="45" t="e">
        <f t="shared" si="536"/>
        <v>#VALUE!</v>
      </c>
      <c r="AX1001" s="45" t="e">
        <f t="shared" si="537"/>
        <v>#VALUE!</v>
      </c>
      <c r="AY1001" s="45">
        <f t="shared" si="538"/>
        <v>0.34242268082220628</v>
      </c>
      <c r="AZ1001" s="45" t="e">
        <f t="shared" si="539"/>
        <v>#VALUE!</v>
      </c>
      <c r="BA1001" s="45" t="e">
        <f t="shared" si="540"/>
        <v>#VALUE!</v>
      </c>
      <c r="BB1001" s="45" t="e">
        <f t="shared" si="541"/>
        <v>#NUM!</v>
      </c>
      <c r="BC1001" s="45" t="e">
        <f t="shared" si="542"/>
        <v>#VALUE!</v>
      </c>
      <c r="BD1001" s="45" t="e">
        <f t="shared" si="543"/>
        <v>#VALUE!</v>
      </c>
      <c r="BE1001" s="45" t="e">
        <f t="shared" si="544"/>
        <v>#VALUE!</v>
      </c>
      <c r="BF1001" s="45" t="e">
        <f t="shared" si="545"/>
        <v>#VALUE!</v>
      </c>
      <c r="BG1001" s="45" t="e">
        <f t="shared" si="546"/>
        <v>#VALUE!</v>
      </c>
      <c r="BH1001" s="45" t="e">
        <f t="shared" si="547"/>
        <v>#NUM!</v>
      </c>
      <c r="BI1001" s="43" t="e">
        <f t="shared" si="548"/>
        <v>#VALUE!</v>
      </c>
      <c r="BJ1001" s="18"/>
      <c r="BK1001" s="18"/>
      <c r="BL1001" s="20"/>
      <c r="BM1001" s="41"/>
      <c r="BN1001" s="41"/>
      <c r="BO1001" s="41"/>
      <c r="BP1001" s="41"/>
      <c r="BQ1001" s="41"/>
      <c r="BR1001" s="41"/>
      <c r="BS1001" s="18"/>
      <c r="BT1001" s="18"/>
      <c r="BU1001" s="41"/>
      <c r="BV1001" s="41"/>
      <c r="BW1001" s="41"/>
      <c r="BX1001" s="41"/>
      <c r="BY1001" s="41"/>
      <c r="BZ1001" s="41"/>
      <c r="CA1001" s="41" t="s">
        <v>22</v>
      </c>
      <c r="CB1001" s="18"/>
      <c r="CC1001" s="18" t="s">
        <v>22</v>
      </c>
      <c r="CD1001" s="18"/>
      <c r="CE1001" s="41" t="s">
        <v>22</v>
      </c>
      <c r="CF1001" s="41" t="s">
        <v>22</v>
      </c>
      <c r="CG1001" s="41" t="e">
        <f t="shared" si="560"/>
        <v>#VALUE!</v>
      </c>
      <c r="CH1001" s="41" t="e">
        <f t="shared" si="561"/>
        <v>#VALUE!</v>
      </c>
      <c r="CI1001" s="41" t="str">
        <f t="shared" si="562"/>
        <v>Not Reported/ Can not calculate</v>
      </c>
      <c r="CJ1001" s="41" t="e">
        <f t="shared" si="563"/>
        <v>#VALUE!</v>
      </c>
      <c r="CK1001" s="18"/>
      <c r="CL1001" s="9" t="s">
        <v>1269</v>
      </c>
      <c r="CM1001" s="18" t="s">
        <v>1284</v>
      </c>
      <c r="CN1001" s="54" t="s">
        <v>1284</v>
      </c>
      <c r="CO1001" s="18" t="s">
        <v>1284</v>
      </c>
    </row>
    <row r="1002" spans="1:93" s="1" customFormat="1" x14ac:dyDescent="0.25">
      <c r="A1002" s="18" t="s">
        <v>266</v>
      </c>
      <c r="B1002" s="41">
        <f>C1002*D1002</f>
        <v>1.7811095541401258</v>
      </c>
      <c r="C1002" s="41">
        <v>0.99681528662420305</v>
      </c>
      <c r="D1002" s="41">
        <v>1.7867999999999999</v>
      </c>
      <c r="E1002" s="41" t="s">
        <v>22</v>
      </c>
      <c r="F1002" s="18">
        <v>38.840000000000003</v>
      </c>
      <c r="G1002" s="18" t="s">
        <v>52</v>
      </c>
      <c r="H1002" s="18" t="s">
        <v>22</v>
      </c>
      <c r="I1002" s="18" t="s">
        <v>22</v>
      </c>
      <c r="J1002" s="41">
        <v>5.23</v>
      </c>
      <c r="K1002" s="18" t="s">
        <v>22</v>
      </c>
      <c r="L1002" s="41"/>
      <c r="M1002" s="18" t="s">
        <v>23</v>
      </c>
      <c r="N1002" s="41">
        <f>1000*O1002*C1002</f>
        <v>2192.9936305732467</v>
      </c>
      <c r="O1002" s="41">
        <v>2.2000000000000002</v>
      </c>
      <c r="P1002" s="41" t="s">
        <v>22</v>
      </c>
      <c r="Q1002" s="41"/>
      <c r="R1002" s="41">
        <f>N1002*B1002</f>
        <v>3905.9619075824512</v>
      </c>
      <c r="S1002" s="41">
        <f t="shared" ref="S1002:S1007" si="565">O1002*D1002</f>
        <v>3.9309600000000002</v>
      </c>
      <c r="T1002" s="41" t="s">
        <v>22</v>
      </c>
      <c r="U1002" s="41" t="s">
        <v>22</v>
      </c>
      <c r="V1002" s="18">
        <v>20200510</v>
      </c>
      <c r="W1002" s="21"/>
      <c r="X1002" s="18">
        <v>2019</v>
      </c>
      <c r="Y1002" s="18" t="s">
        <v>76</v>
      </c>
      <c r="Z1002" s="18" t="s">
        <v>32</v>
      </c>
      <c r="AA1002" s="18"/>
      <c r="AB1002" s="41"/>
      <c r="AC1002" s="18" t="s">
        <v>514</v>
      </c>
      <c r="AD1002" s="41" t="s">
        <v>22</v>
      </c>
      <c r="AE1002" s="41">
        <v>1575.5</v>
      </c>
      <c r="AF1002" s="41" t="s">
        <v>22</v>
      </c>
      <c r="AG1002" s="41" t="s">
        <v>22</v>
      </c>
      <c r="AH1002" s="41" t="s">
        <v>22</v>
      </c>
      <c r="AI1002" s="41" t="s">
        <v>22</v>
      </c>
      <c r="AJ1002" s="41" t="s">
        <v>22</v>
      </c>
      <c r="AK1002" s="41" t="s">
        <v>22</v>
      </c>
      <c r="AL1002" s="41" t="s">
        <v>22</v>
      </c>
      <c r="AM1002" s="43" t="e">
        <f t="shared" si="531"/>
        <v>#VALUE!</v>
      </c>
      <c r="AN1002" s="43" t="e">
        <f t="shared" si="532"/>
        <v>#VALUE!</v>
      </c>
      <c r="AO1002" s="19" t="s">
        <v>262</v>
      </c>
      <c r="AP1002" s="18"/>
      <c r="AQ1002" s="18"/>
      <c r="AR1002" s="18"/>
      <c r="AS1002" s="18"/>
      <c r="AT1002" s="2">
        <f t="shared" si="533"/>
        <v>16</v>
      </c>
      <c r="AU1002" s="45">
        <f t="shared" si="534"/>
        <v>0.25069063327303415</v>
      </c>
      <c r="AV1002" s="45">
        <f t="shared" si="535"/>
        <v>-1.3853105267667854E-3</v>
      </c>
      <c r="AW1002" s="45">
        <f t="shared" si="536"/>
        <v>0.25207594379980097</v>
      </c>
      <c r="AX1002" s="45">
        <f t="shared" si="537"/>
        <v>3.3410373702954392</v>
      </c>
      <c r="AY1002" s="45">
        <f t="shared" si="538"/>
        <v>0.34242268082220628</v>
      </c>
      <c r="AZ1002" s="45" t="e">
        <f t="shared" si="539"/>
        <v>#VALUE!</v>
      </c>
      <c r="BA1002" s="45">
        <f t="shared" si="540"/>
        <v>0.71850168886727428</v>
      </c>
      <c r="BB1002" s="45" t="e">
        <f t="shared" si="541"/>
        <v>#NUM!</v>
      </c>
      <c r="BC1002" s="45" t="e">
        <f t="shared" si="542"/>
        <v>#VALUE!</v>
      </c>
      <c r="BD1002" s="45" t="e">
        <f t="shared" si="543"/>
        <v>#VALUE!</v>
      </c>
      <c r="BE1002" s="45" t="e">
        <f t="shared" si="544"/>
        <v>#VALUE!</v>
      </c>
      <c r="BF1002" s="45" t="e">
        <f t="shared" si="545"/>
        <v>#VALUE!</v>
      </c>
      <c r="BG1002" s="45" t="e">
        <f t="shared" si="546"/>
        <v>#VALUE!</v>
      </c>
      <c r="BH1002" s="45" t="e">
        <f t="shared" si="547"/>
        <v>#NUM!</v>
      </c>
      <c r="BI1002" s="43" t="e">
        <f t="shared" si="548"/>
        <v>#VALUE!</v>
      </c>
      <c r="BJ1002" s="18"/>
      <c r="BK1002" s="18"/>
      <c r="BL1002" s="20"/>
      <c r="BM1002" s="41"/>
      <c r="BN1002" s="41"/>
      <c r="BO1002" s="41"/>
      <c r="BP1002" s="41"/>
      <c r="BQ1002" s="41"/>
      <c r="BR1002" s="41"/>
      <c r="BS1002" s="18"/>
      <c r="BT1002" s="18"/>
      <c r="BU1002" s="41"/>
      <c r="BV1002" s="41"/>
      <c r="BW1002" s="41"/>
      <c r="BX1002" s="41"/>
      <c r="BY1002" s="41"/>
      <c r="BZ1002" s="41"/>
      <c r="CA1002" s="41" t="s">
        <v>22</v>
      </c>
      <c r="CB1002" s="18"/>
      <c r="CC1002" s="18" t="s">
        <v>22</v>
      </c>
      <c r="CD1002" s="18"/>
      <c r="CE1002" s="41" t="s">
        <v>22</v>
      </c>
      <c r="CF1002" s="41" t="s">
        <v>22</v>
      </c>
      <c r="CG1002" s="41" t="e">
        <f t="shared" si="560"/>
        <v>#VALUE!</v>
      </c>
      <c r="CH1002" s="41" t="e">
        <f t="shared" si="561"/>
        <v>#VALUE!</v>
      </c>
      <c r="CI1002" s="41" t="str">
        <f t="shared" si="562"/>
        <v>Not Reported/ Can not calculate</v>
      </c>
      <c r="CJ1002" s="41" t="e">
        <f t="shared" si="563"/>
        <v>#VALUE!</v>
      </c>
      <c r="CK1002" s="18"/>
      <c r="CL1002" s="9" t="s">
        <v>1269</v>
      </c>
      <c r="CM1002" s="18" t="s">
        <v>1284</v>
      </c>
      <c r="CN1002" s="54" t="s">
        <v>1284</v>
      </c>
      <c r="CO1002" s="18" t="s">
        <v>1284</v>
      </c>
    </row>
    <row r="1003" spans="1:93" s="1" customFormat="1" x14ac:dyDescent="0.25">
      <c r="A1003" s="18" t="s">
        <v>266</v>
      </c>
      <c r="B1003" s="41" t="s">
        <v>22</v>
      </c>
      <c r="C1003" s="41" t="s">
        <v>22</v>
      </c>
      <c r="D1003" s="41">
        <v>1.7389000000000001</v>
      </c>
      <c r="E1003" s="41" t="s">
        <v>22</v>
      </c>
      <c r="F1003" s="18">
        <v>74.41</v>
      </c>
      <c r="G1003" s="18" t="s">
        <v>52</v>
      </c>
      <c r="H1003" s="18" t="s">
        <v>22</v>
      </c>
      <c r="I1003" s="18" t="s">
        <v>22</v>
      </c>
      <c r="J1003" s="41">
        <v>11.6</v>
      </c>
      <c r="K1003" s="18" t="s">
        <v>22</v>
      </c>
      <c r="L1003" s="41"/>
      <c r="M1003" s="18" t="s">
        <v>23</v>
      </c>
      <c r="N1003" s="41" t="s">
        <v>22</v>
      </c>
      <c r="O1003" s="41">
        <v>2.12</v>
      </c>
      <c r="P1003" s="41" t="s">
        <v>22</v>
      </c>
      <c r="Q1003" s="41"/>
      <c r="R1003" s="41" t="s">
        <v>22</v>
      </c>
      <c r="S1003" s="41">
        <f t="shared" si="565"/>
        <v>3.6864680000000005</v>
      </c>
      <c r="T1003" s="41" t="s">
        <v>22</v>
      </c>
      <c r="U1003" s="41" t="s">
        <v>22</v>
      </c>
      <c r="V1003" s="18">
        <v>20200510</v>
      </c>
      <c r="W1003" s="21"/>
      <c r="X1003" s="18">
        <v>2019</v>
      </c>
      <c r="Y1003" s="18" t="s">
        <v>76</v>
      </c>
      <c r="Z1003" s="18" t="s">
        <v>32</v>
      </c>
      <c r="AA1003" s="18"/>
      <c r="AB1003" s="41"/>
      <c r="AC1003" s="18" t="s">
        <v>514</v>
      </c>
      <c r="AD1003" s="41" t="s">
        <v>22</v>
      </c>
      <c r="AE1003" s="41">
        <v>1582.6</v>
      </c>
      <c r="AF1003" s="41" t="s">
        <v>22</v>
      </c>
      <c r="AG1003" s="41" t="s">
        <v>22</v>
      </c>
      <c r="AH1003" s="41" t="s">
        <v>22</v>
      </c>
      <c r="AI1003" s="41" t="s">
        <v>22</v>
      </c>
      <c r="AJ1003" s="41" t="s">
        <v>22</v>
      </c>
      <c r="AK1003" s="41" t="s">
        <v>22</v>
      </c>
      <c r="AL1003" s="41" t="s">
        <v>22</v>
      </c>
      <c r="AM1003" s="43" t="e">
        <f t="shared" si="531"/>
        <v>#VALUE!</v>
      </c>
      <c r="AN1003" s="43" t="e">
        <f t="shared" si="532"/>
        <v>#VALUE!</v>
      </c>
      <c r="AO1003" s="19" t="s">
        <v>262</v>
      </c>
      <c r="AP1003" s="18"/>
      <c r="AQ1003" s="18"/>
      <c r="AR1003" s="18"/>
      <c r="AS1003" s="18"/>
      <c r="AT1003" s="2">
        <f t="shared" si="533"/>
        <v>16</v>
      </c>
      <c r="AU1003" s="45" t="e">
        <f t="shared" si="534"/>
        <v>#VALUE!</v>
      </c>
      <c r="AV1003" s="45" t="e">
        <f t="shared" si="535"/>
        <v>#VALUE!</v>
      </c>
      <c r="AW1003" s="45">
        <f t="shared" si="536"/>
        <v>0.24027460747888932</v>
      </c>
      <c r="AX1003" s="45" t="e">
        <f t="shared" si="537"/>
        <v>#VALUE!</v>
      </c>
      <c r="AY1003" s="45">
        <f t="shared" si="538"/>
        <v>0.32633586092875144</v>
      </c>
      <c r="AZ1003" s="45" t="e">
        <f t="shared" si="539"/>
        <v>#VALUE!</v>
      </c>
      <c r="BA1003" s="45">
        <f t="shared" si="540"/>
        <v>1.0644579892269184</v>
      </c>
      <c r="BB1003" s="45" t="e">
        <f t="shared" si="541"/>
        <v>#NUM!</v>
      </c>
      <c r="BC1003" s="45" t="e">
        <f t="shared" si="542"/>
        <v>#VALUE!</v>
      </c>
      <c r="BD1003" s="45" t="e">
        <f t="shared" si="543"/>
        <v>#VALUE!</v>
      </c>
      <c r="BE1003" s="45" t="e">
        <f t="shared" si="544"/>
        <v>#VALUE!</v>
      </c>
      <c r="BF1003" s="45" t="e">
        <f t="shared" si="545"/>
        <v>#VALUE!</v>
      </c>
      <c r="BG1003" s="45" t="e">
        <f t="shared" si="546"/>
        <v>#VALUE!</v>
      </c>
      <c r="BH1003" s="45" t="e">
        <f t="shared" si="547"/>
        <v>#NUM!</v>
      </c>
      <c r="BI1003" s="43" t="e">
        <f t="shared" si="548"/>
        <v>#VALUE!</v>
      </c>
      <c r="BJ1003" s="18"/>
      <c r="BK1003" s="18"/>
      <c r="BL1003" s="20"/>
      <c r="BM1003" s="41"/>
      <c r="BN1003" s="41"/>
      <c r="BO1003" s="41"/>
      <c r="BP1003" s="41"/>
      <c r="BQ1003" s="41"/>
      <c r="BR1003" s="41"/>
      <c r="BS1003" s="18"/>
      <c r="BT1003" s="18"/>
      <c r="BU1003" s="41"/>
      <c r="BV1003" s="41"/>
      <c r="BW1003" s="41"/>
      <c r="BX1003" s="41"/>
      <c r="BY1003" s="41"/>
      <c r="BZ1003" s="41"/>
      <c r="CA1003" s="41" t="s">
        <v>22</v>
      </c>
      <c r="CB1003" s="18"/>
      <c r="CC1003" s="18" t="s">
        <v>22</v>
      </c>
      <c r="CD1003" s="18"/>
      <c r="CE1003" s="41" t="s">
        <v>22</v>
      </c>
      <c r="CF1003" s="41" t="s">
        <v>22</v>
      </c>
      <c r="CG1003" s="41" t="e">
        <f t="shared" si="560"/>
        <v>#VALUE!</v>
      </c>
      <c r="CH1003" s="41" t="e">
        <f t="shared" si="561"/>
        <v>#VALUE!</v>
      </c>
      <c r="CI1003" s="41" t="str">
        <f t="shared" si="562"/>
        <v>Not Reported/ Can not calculate</v>
      </c>
      <c r="CJ1003" s="41" t="e">
        <f t="shared" si="563"/>
        <v>#VALUE!</v>
      </c>
      <c r="CK1003" s="18"/>
      <c r="CL1003" s="9" t="s">
        <v>1269</v>
      </c>
      <c r="CM1003" s="18" t="s">
        <v>1284</v>
      </c>
      <c r="CN1003" s="54" t="s">
        <v>1284</v>
      </c>
      <c r="CO1003" s="18" t="s">
        <v>1284</v>
      </c>
    </row>
    <row r="1004" spans="1:93" s="1" customFormat="1" x14ac:dyDescent="0.25">
      <c r="A1004" s="18" t="s">
        <v>266</v>
      </c>
      <c r="B1004" s="41">
        <f>C1004*D1004</f>
        <v>1.47665</v>
      </c>
      <c r="C1004" s="41">
        <v>0.7</v>
      </c>
      <c r="D1004" s="41">
        <v>2.1095000000000002</v>
      </c>
      <c r="E1004" s="41" t="s">
        <v>22</v>
      </c>
      <c r="F1004" s="18">
        <v>28.01</v>
      </c>
      <c r="G1004" s="18" t="s">
        <v>52</v>
      </c>
      <c r="H1004" s="18" t="s">
        <v>22</v>
      </c>
      <c r="I1004" s="18" t="s">
        <v>22</v>
      </c>
      <c r="J1004" s="41">
        <v>17.25</v>
      </c>
      <c r="K1004" s="18" t="s">
        <v>22</v>
      </c>
      <c r="L1004" s="41"/>
      <c r="M1004" s="18" t="s">
        <v>23</v>
      </c>
      <c r="N1004" s="41">
        <f>1000*O1004*C1004</f>
        <v>1470</v>
      </c>
      <c r="O1004" s="41">
        <v>2.1</v>
      </c>
      <c r="P1004" s="41">
        <f>48.3*C1004</f>
        <v>33.809999999999995</v>
      </c>
      <c r="Q1004" s="41"/>
      <c r="R1004" s="41">
        <f>N1004*B1004</f>
        <v>2170.6754999999998</v>
      </c>
      <c r="S1004" s="41">
        <f t="shared" si="565"/>
        <v>4.4299500000000007</v>
      </c>
      <c r="T1004" s="41" t="s">
        <v>22</v>
      </c>
      <c r="U1004" s="41" t="s">
        <v>22</v>
      </c>
      <c r="V1004" s="18">
        <v>20200510</v>
      </c>
      <c r="W1004" s="21"/>
      <c r="X1004" s="18">
        <v>2019</v>
      </c>
      <c r="Y1004" s="18" t="s">
        <v>76</v>
      </c>
      <c r="Z1004" s="18" t="s">
        <v>32</v>
      </c>
      <c r="AA1004" s="18"/>
      <c r="AB1004" s="41"/>
      <c r="AC1004" s="18" t="s">
        <v>514</v>
      </c>
      <c r="AD1004" s="41" t="s">
        <v>22</v>
      </c>
      <c r="AE1004" s="41">
        <v>1575.5</v>
      </c>
      <c r="AF1004" s="41" t="s">
        <v>22</v>
      </c>
      <c r="AG1004" s="41" t="s">
        <v>22</v>
      </c>
      <c r="AH1004" s="41" t="s">
        <v>22</v>
      </c>
      <c r="AI1004" s="41" t="s">
        <v>22</v>
      </c>
      <c r="AJ1004" s="41" t="s">
        <v>22</v>
      </c>
      <c r="AK1004" s="41" t="s">
        <v>22</v>
      </c>
      <c r="AL1004" s="41" t="s">
        <v>22</v>
      </c>
      <c r="AM1004" s="43" t="e">
        <f t="shared" si="531"/>
        <v>#VALUE!</v>
      </c>
      <c r="AN1004" s="43" t="e">
        <f t="shared" si="532"/>
        <v>#VALUE!</v>
      </c>
      <c r="AO1004" s="19" t="s">
        <v>262</v>
      </c>
      <c r="AP1004" s="18"/>
      <c r="AQ1004" s="18"/>
      <c r="AR1004" s="18"/>
      <c r="AS1004" s="18"/>
      <c r="AT1004" s="2">
        <f t="shared" si="533"/>
        <v>16</v>
      </c>
      <c r="AU1004" s="45">
        <f t="shared" si="534"/>
        <v>0.16927756973215663</v>
      </c>
      <c r="AV1004" s="45">
        <f t="shared" si="535"/>
        <v>-0.15490195998574319</v>
      </c>
      <c r="AW1004" s="45">
        <f t="shared" si="536"/>
        <v>0.32417952971789982</v>
      </c>
      <c r="AX1004" s="45">
        <f t="shared" si="537"/>
        <v>3.167317334748176</v>
      </c>
      <c r="AY1004" s="45">
        <f t="shared" si="538"/>
        <v>0.3222192947339193</v>
      </c>
      <c r="AZ1004" s="45">
        <f t="shared" si="539"/>
        <v>1.5290451707657688</v>
      </c>
      <c r="BA1004" s="45">
        <f t="shared" si="540"/>
        <v>1.2367890994092929</v>
      </c>
      <c r="BB1004" s="45" t="e">
        <f t="shared" si="541"/>
        <v>#NUM!</v>
      </c>
      <c r="BC1004" s="45" t="e">
        <f t="shared" si="542"/>
        <v>#VALUE!</v>
      </c>
      <c r="BD1004" s="45" t="e">
        <f t="shared" si="543"/>
        <v>#VALUE!</v>
      </c>
      <c r="BE1004" s="45" t="e">
        <f t="shared" si="544"/>
        <v>#VALUE!</v>
      </c>
      <c r="BF1004" s="45" t="e">
        <f t="shared" si="545"/>
        <v>#VALUE!</v>
      </c>
      <c r="BG1004" s="45" t="e">
        <f t="shared" si="546"/>
        <v>#VALUE!</v>
      </c>
      <c r="BH1004" s="45" t="e">
        <f t="shared" si="547"/>
        <v>#NUM!</v>
      </c>
      <c r="BI1004" s="43" t="e">
        <f t="shared" si="548"/>
        <v>#VALUE!</v>
      </c>
      <c r="BJ1004" s="18"/>
      <c r="BK1004" s="18"/>
      <c r="BL1004" s="20"/>
      <c r="BM1004" s="41"/>
      <c r="BN1004" s="41"/>
      <c r="BO1004" s="41"/>
      <c r="BP1004" s="41"/>
      <c r="BQ1004" s="41"/>
      <c r="BR1004" s="41"/>
      <c r="BS1004" s="18"/>
      <c r="BT1004" s="18"/>
      <c r="BU1004" s="41"/>
      <c r="BV1004" s="41"/>
      <c r="BW1004" s="41"/>
      <c r="BX1004" s="41"/>
      <c r="BY1004" s="41"/>
      <c r="BZ1004" s="41"/>
      <c r="CA1004" s="41" t="s">
        <v>22</v>
      </c>
      <c r="CB1004" s="18"/>
      <c r="CC1004" s="18" t="s">
        <v>22</v>
      </c>
      <c r="CD1004" s="18"/>
      <c r="CE1004" s="41" t="s">
        <v>22</v>
      </c>
      <c r="CF1004" s="41" t="s">
        <v>22</v>
      </c>
      <c r="CG1004" s="41" t="e">
        <f t="shared" si="560"/>
        <v>#VALUE!</v>
      </c>
      <c r="CH1004" s="41" t="e">
        <f t="shared" si="561"/>
        <v>#VALUE!</v>
      </c>
      <c r="CI1004" s="41" t="str">
        <f t="shared" si="562"/>
        <v>Not Reported/ Can not calculate</v>
      </c>
      <c r="CJ1004" s="41" t="e">
        <f t="shared" si="563"/>
        <v>#VALUE!</v>
      </c>
      <c r="CK1004" s="18"/>
      <c r="CL1004" s="9" t="s">
        <v>1269</v>
      </c>
      <c r="CM1004" s="18" t="s">
        <v>1284</v>
      </c>
      <c r="CN1004" s="54" t="s">
        <v>1284</v>
      </c>
      <c r="CO1004" s="18" t="s">
        <v>1284</v>
      </c>
    </row>
    <row r="1005" spans="1:93" s="1" customFormat="1" x14ac:dyDescent="0.25">
      <c r="A1005" s="18" t="s">
        <v>266</v>
      </c>
      <c r="B1005" s="41">
        <f>C1005*D1005</f>
        <v>1.6771697452229171</v>
      </c>
      <c r="C1005" s="41">
        <v>1.20063694267515</v>
      </c>
      <c r="D1005" s="41">
        <v>1.3969</v>
      </c>
      <c r="E1005" s="41" t="s">
        <v>22</v>
      </c>
      <c r="F1005" s="18">
        <v>60.02</v>
      </c>
      <c r="G1005" s="18" t="s">
        <v>52</v>
      </c>
      <c r="H1005" s="18" t="s">
        <v>22</v>
      </c>
      <c r="I1005" s="18" t="s">
        <v>22</v>
      </c>
      <c r="J1005" s="41" t="s">
        <v>22</v>
      </c>
      <c r="K1005" s="18" t="s">
        <v>22</v>
      </c>
      <c r="L1005" s="41"/>
      <c r="M1005" s="18" t="s">
        <v>45</v>
      </c>
      <c r="N1005" s="41">
        <f>1000*O1005*C1005</f>
        <v>3301.7515923566625</v>
      </c>
      <c r="O1005" s="41">
        <v>2.75</v>
      </c>
      <c r="P1005" s="41" t="s">
        <v>22</v>
      </c>
      <c r="Q1005" s="41"/>
      <c r="R1005" s="41">
        <f>N1005*B1005</f>
        <v>5537.5978769421845</v>
      </c>
      <c r="S1005" s="41">
        <f t="shared" si="565"/>
        <v>3.841475</v>
      </c>
      <c r="T1005" s="41" t="s">
        <v>22</v>
      </c>
      <c r="U1005" s="41" t="s">
        <v>22</v>
      </c>
      <c r="V1005" s="18">
        <v>20200510</v>
      </c>
      <c r="W1005" s="21"/>
      <c r="X1005" s="18">
        <v>2019</v>
      </c>
      <c r="Y1005" s="18" t="s">
        <v>76</v>
      </c>
      <c r="Z1005" s="18" t="s">
        <v>263</v>
      </c>
      <c r="AA1005" s="18"/>
      <c r="AB1005" s="41"/>
      <c r="AC1005" s="18" t="s">
        <v>514</v>
      </c>
      <c r="AD1005" s="41" t="s">
        <v>22</v>
      </c>
      <c r="AE1005" s="41" t="s">
        <v>22</v>
      </c>
      <c r="AF1005" s="41" t="s">
        <v>22</v>
      </c>
      <c r="AG1005" s="41" t="s">
        <v>22</v>
      </c>
      <c r="AH1005" s="41" t="s">
        <v>22</v>
      </c>
      <c r="AI1005" s="41" t="s">
        <v>22</v>
      </c>
      <c r="AJ1005" s="41" t="s">
        <v>22</v>
      </c>
      <c r="AK1005" s="41" t="s">
        <v>22</v>
      </c>
      <c r="AL1005" s="41" t="s">
        <v>22</v>
      </c>
      <c r="AM1005" s="43" t="e">
        <f t="shared" si="531"/>
        <v>#VALUE!</v>
      </c>
      <c r="AN1005" s="43" t="e">
        <f t="shared" si="532"/>
        <v>#VALUE!</v>
      </c>
      <c r="AO1005" s="19" t="s">
        <v>262</v>
      </c>
      <c r="AP1005" s="18"/>
      <c r="AQ1005" s="18"/>
      <c r="AR1005" s="18"/>
      <c r="AS1005" s="18"/>
      <c r="AT1005" s="2">
        <f t="shared" si="533"/>
        <v>16</v>
      </c>
      <c r="AU1005" s="45">
        <f t="shared" si="534"/>
        <v>0.22457701948322961</v>
      </c>
      <c r="AV1005" s="45">
        <f t="shared" si="535"/>
        <v>7.9411702132574577E-2</v>
      </c>
      <c r="AW1005" s="45">
        <f t="shared" si="536"/>
        <v>0.14516531735065505</v>
      </c>
      <c r="AX1005" s="45">
        <f t="shared" si="537"/>
        <v>3.5187443959628371</v>
      </c>
      <c r="AY1005" s="45">
        <f t="shared" si="538"/>
        <v>0.43933269383026263</v>
      </c>
      <c r="AZ1005" s="45" t="e">
        <f t="shared" si="539"/>
        <v>#VALUE!</v>
      </c>
      <c r="BA1005" s="45" t="e">
        <f t="shared" si="540"/>
        <v>#VALUE!</v>
      </c>
      <c r="BB1005" s="45" t="e">
        <f t="shared" si="541"/>
        <v>#NUM!</v>
      </c>
      <c r="BC1005" s="45" t="e">
        <f t="shared" si="542"/>
        <v>#VALUE!</v>
      </c>
      <c r="BD1005" s="45" t="e">
        <f t="shared" si="543"/>
        <v>#VALUE!</v>
      </c>
      <c r="BE1005" s="45" t="e">
        <f t="shared" si="544"/>
        <v>#VALUE!</v>
      </c>
      <c r="BF1005" s="45" t="e">
        <f t="shared" si="545"/>
        <v>#VALUE!</v>
      </c>
      <c r="BG1005" s="45" t="e">
        <f t="shared" si="546"/>
        <v>#VALUE!</v>
      </c>
      <c r="BH1005" s="45" t="e">
        <f t="shared" si="547"/>
        <v>#NUM!</v>
      </c>
      <c r="BI1005" s="43" t="e">
        <f t="shared" si="548"/>
        <v>#VALUE!</v>
      </c>
      <c r="BJ1005" s="18"/>
      <c r="BK1005" s="18"/>
      <c r="BL1005" s="20"/>
      <c r="BM1005" s="41"/>
      <c r="BN1005" s="41"/>
      <c r="BO1005" s="41"/>
      <c r="BP1005" s="41"/>
      <c r="BQ1005" s="41"/>
      <c r="BR1005" s="41"/>
      <c r="BS1005" s="18"/>
      <c r="BT1005" s="18"/>
      <c r="BU1005" s="41"/>
      <c r="BV1005" s="41"/>
      <c r="BW1005" s="41"/>
      <c r="BX1005" s="41"/>
      <c r="BY1005" s="41"/>
      <c r="BZ1005" s="41"/>
      <c r="CA1005" s="41" t="s">
        <v>22</v>
      </c>
      <c r="CB1005" s="18"/>
      <c r="CC1005" s="18" t="s">
        <v>22</v>
      </c>
      <c r="CD1005" s="18"/>
      <c r="CE1005" s="41" t="s">
        <v>22</v>
      </c>
      <c r="CF1005" s="41" t="s">
        <v>22</v>
      </c>
      <c r="CG1005" s="41" t="e">
        <f t="shared" si="560"/>
        <v>#VALUE!</v>
      </c>
      <c r="CH1005" s="41" t="e">
        <f t="shared" si="561"/>
        <v>#VALUE!</v>
      </c>
      <c r="CI1005" s="41" t="str">
        <f t="shared" si="562"/>
        <v>Not Reported/ Can not calculate</v>
      </c>
      <c r="CJ1005" s="41" t="e">
        <f t="shared" si="563"/>
        <v>#VALUE!</v>
      </c>
      <c r="CK1005" s="18"/>
      <c r="CL1005" s="9" t="s">
        <v>1269</v>
      </c>
      <c r="CM1005" s="18" t="s">
        <v>1284</v>
      </c>
      <c r="CN1005" s="54" t="s">
        <v>1284</v>
      </c>
      <c r="CO1005" s="18" t="s">
        <v>1284</v>
      </c>
    </row>
    <row r="1006" spans="1:93" s="1" customFormat="1" x14ac:dyDescent="0.25">
      <c r="A1006" s="18" t="s">
        <v>266</v>
      </c>
      <c r="B1006" s="41" t="s">
        <v>22</v>
      </c>
      <c r="C1006" s="41" t="s">
        <v>22</v>
      </c>
      <c r="D1006" s="41">
        <v>1.5234000000000001</v>
      </c>
      <c r="E1006" s="41" t="s">
        <v>22</v>
      </c>
      <c r="F1006" s="18">
        <v>107.03</v>
      </c>
      <c r="G1006" s="18" t="s">
        <v>52</v>
      </c>
      <c r="H1006" s="18" t="s">
        <v>22</v>
      </c>
      <c r="I1006" s="18" t="s">
        <v>22</v>
      </c>
      <c r="J1006" s="41" t="s">
        <v>22</v>
      </c>
      <c r="K1006" s="18" t="s">
        <v>22</v>
      </c>
      <c r="L1006" s="41"/>
      <c r="M1006" s="18" t="s">
        <v>45</v>
      </c>
      <c r="N1006" s="41" t="s">
        <v>22</v>
      </c>
      <c r="O1006" s="41">
        <v>3.88</v>
      </c>
      <c r="P1006" s="41" t="s">
        <v>22</v>
      </c>
      <c r="Q1006" s="41"/>
      <c r="R1006" s="41" t="s">
        <v>22</v>
      </c>
      <c r="S1006" s="41">
        <f t="shared" si="565"/>
        <v>5.9107919999999998</v>
      </c>
      <c r="T1006" s="41" t="s">
        <v>22</v>
      </c>
      <c r="U1006" s="41" t="s">
        <v>22</v>
      </c>
      <c r="V1006" s="18">
        <v>20200510</v>
      </c>
      <c r="W1006" s="21"/>
      <c r="X1006" s="18">
        <v>2019</v>
      </c>
      <c r="Y1006" s="18" t="s">
        <v>76</v>
      </c>
      <c r="Z1006" s="18" t="s">
        <v>263</v>
      </c>
      <c r="AA1006" s="18"/>
      <c r="AB1006" s="41"/>
      <c r="AC1006" s="18" t="s">
        <v>514</v>
      </c>
      <c r="AD1006" s="41" t="s">
        <v>22</v>
      </c>
      <c r="AE1006" s="41" t="s">
        <v>22</v>
      </c>
      <c r="AF1006" s="41" t="s">
        <v>22</v>
      </c>
      <c r="AG1006" s="41" t="s">
        <v>22</v>
      </c>
      <c r="AH1006" s="41" t="s">
        <v>22</v>
      </c>
      <c r="AI1006" s="41" t="s">
        <v>22</v>
      </c>
      <c r="AJ1006" s="41" t="s">
        <v>22</v>
      </c>
      <c r="AK1006" s="41" t="s">
        <v>22</v>
      </c>
      <c r="AL1006" s="41" t="s">
        <v>22</v>
      </c>
      <c r="AM1006" s="43" t="e">
        <f t="shared" si="531"/>
        <v>#VALUE!</v>
      </c>
      <c r="AN1006" s="43" t="e">
        <f t="shared" si="532"/>
        <v>#VALUE!</v>
      </c>
      <c r="AO1006" s="19" t="s">
        <v>262</v>
      </c>
      <c r="AP1006" s="18"/>
      <c r="AQ1006" s="18"/>
      <c r="AR1006" s="18"/>
      <c r="AS1006" s="18"/>
      <c r="AT1006" s="2">
        <f t="shared" si="533"/>
        <v>16</v>
      </c>
      <c r="AU1006" s="45" t="e">
        <f t="shared" si="534"/>
        <v>#VALUE!</v>
      </c>
      <c r="AV1006" s="45" t="e">
        <f t="shared" si="535"/>
        <v>#VALUE!</v>
      </c>
      <c r="AW1006" s="45">
        <f t="shared" si="536"/>
        <v>0.18281395125736588</v>
      </c>
      <c r="AX1006" s="45" t="e">
        <f t="shared" si="537"/>
        <v>#VALUE!</v>
      </c>
      <c r="AY1006" s="45">
        <f t="shared" si="538"/>
        <v>0.58883172559420727</v>
      </c>
      <c r="AZ1006" s="45" t="e">
        <f t="shared" si="539"/>
        <v>#VALUE!</v>
      </c>
      <c r="BA1006" s="45" t="e">
        <f t="shared" si="540"/>
        <v>#VALUE!</v>
      </c>
      <c r="BB1006" s="45" t="e">
        <f t="shared" si="541"/>
        <v>#NUM!</v>
      </c>
      <c r="BC1006" s="45" t="e">
        <f t="shared" si="542"/>
        <v>#VALUE!</v>
      </c>
      <c r="BD1006" s="45" t="e">
        <f t="shared" si="543"/>
        <v>#VALUE!</v>
      </c>
      <c r="BE1006" s="45" t="e">
        <f t="shared" si="544"/>
        <v>#VALUE!</v>
      </c>
      <c r="BF1006" s="45" t="e">
        <f t="shared" si="545"/>
        <v>#VALUE!</v>
      </c>
      <c r="BG1006" s="45" t="e">
        <f t="shared" si="546"/>
        <v>#VALUE!</v>
      </c>
      <c r="BH1006" s="45" t="e">
        <f t="shared" si="547"/>
        <v>#NUM!</v>
      </c>
      <c r="BI1006" s="43" t="e">
        <f t="shared" si="548"/>
        <v>#VALUE!</v>
      </c>
      <c r="BJ1006" s="18"/>
      <c r="BK1006" s="18"/>
      <c r="BL1006" s="20"/>
      <c r="BM1006" s="41"/>
      <c r="BN1006" s="41"/>
      <c r="BO1006" s="41"/>
      <c r="BP1006" s="41"/>
      <c r="BQ1006" s="41"/>
      <c r="BR1006" s="41"/>
      <c r="BS1006" s="18"/>
      <c r="BT1006" s="18"/>
      <c r="BU1006" s="41"/>
      <c r="BV1006" s="41"/>
      <c r="BW1006" s="41"/>
      <c r="BX1006" s="41"/>
      <c r="BY1006" s="41"/>
      <c r="BZ1006" s="41"/>
      <c r="CA1006" s="41" t="s">
        <v>22</v>
      </c>
      <c r="CB1006" s="18"/>
      <c r="CC1006" s="18" t="s">
        <v>22</v>
      </c>
      <c r="CD1006" s="18"/>
      <c r="CE1006" s="41" t="s">
        <v>22</v>
      </c>
      <c r="CF1006" s="41" t="s">
        <v>22</v>
      </c>
      <c r="CG1006" s="41" t="e">
        <f t="shared" si="560"/>
        <v>#VALUE!</v>
      </c>
      <c r="CH1006" s="41" t="e">
        <f t="shared" si="561"/>
        <v>#VALUE!</v>
      </c>
      <c r="CI1006" s="41" t="str">
        <f t="shared" si="562"/>
        <v>Not Reported/ Can not calculate</v>
      </c>
      <c r="CJ1006" s="41" t="e">
        <f t="shared" si="563"/>
        <v>#VALUE!</v>
      </c>
      <c r="CK1006" s="18"/>
      <c r="CL1006" s="9" t="s">
        <v>1269</v>
      </c>
      <c r="CM1006" s="18" t="s">
        <v>1284</v>
      </c>
      <c r="CN1006" s="54" t="s">
        <v>1284</v>
      </c>
      <c r="CO1006" s="18" t="s">
        <v>1284</v>
      </c>
    </row>
    <row r="1007" spans="1:93" s="1" customFormat="1" x14ac:dyDescent="0.25">
      <c r="A1007" s="18" t="s">
        <v>266</v>
      </c>
      <c r="B1007" s="41">
        <f>C1007*D1007</f>
        <v>2.4990900000000003</v>
      </c>
      <c r="C1007" s="41">
        <v>1.1000000000000001</v>
      </c>
      <c r="D1007" s="41">
        <v>2.2719</v>
      </c>
      <c r="E1007" s="41" t="s">
        <v>22</v>
      </c>
      <c r="F1007" s="18">
        <v>65.31</v>
      </c>
      <c r="G1007" s="18" t="s">
        <v>52</v>
      </c>
      <c r="H1007" s="18" t="s">
        <v>22</v>
      </c>
      <c r="I1007" s="18" t="s">
        <v>22</v>
      </c>
      <c r="J1007" s="41" t="s">
        <v>22</v>
      </c>
      <c r="K1007" s="18" t="s">
        <v>22</v>
      </c>
      <c r="L1007" s="41"/>
      <c r="M1007" s="18" t="s">
        <v>45</v>
      </c>
      <c r="N1007" s="41">
        <f t="shared" ref="N1007:N1015" si="566">1000*O1007*C1007</f>
        <v>4488</v>
      </c>
      <c r="O1007" s="41">
        <v>4.08</v>
      </c>
      <c r="P1007" s="41">
        <f>187.5*C1007</f>
        <v>206.25000000000003</v>
      </c>
      <c r="Q1007" s="41"/>
      <c r="R1007" s="41">
        <f>N1007*B1007</f>
        <v>11215.915920000001</v>
      </c>
      <c r="S1007" s="41">
        <f t="shared" si="565"/>
        <v>9.2693519999999996</v>
      </c>
      <c r="T1007" s="41" t="s">
        <v>22</v>
      </c>
      <c r="U1007" s="41" t="s">
        <v>22</v>
      </c>
      <c r="V1007" s="18">
        <v>20200510</v>
      </c>
      <c r="W1007" s="21"/>
      <c r="X1007" s="18">
        <v>2019</v>
      </c>
      <c r="Y1007" s="18" t="s">
        <v>76</v>
      </c>
      <c r="Z1007" s="18" t="s">
        <v>263</v>
      </c>
      <c r="AA1007" s="18"/>
      <c r="AB1007" s="41"/>
      <c r="AC1007" s="18" t="s">
        <v>514</v>
      </c>
      <c r="AD1007" s="41" t="s">
        <v>22</v>
      </c>
      <c r="AE1007" s="41" t="s">
        <v>22</v>
      </c>
      <c r="AF1007" s="41" t="s">
        <v>22</v>
      </c>
      <c r="AG1007" s="41" t="s">
        <v>22</v>
      </c>
      <c r="AH1007" s="41" t="s">
        <v>22</v>
      </c>
      <c r="AI1007" s="41" t="s">
        <v>22</v>
      </c>
      <c r="AJ1007" s="41" t="s">
        <v>22</v>
      </c>
      <c r="AK1007" s="41" t="s">
        <v>22</v>
      </c>
      <c r="AL1007" s="41" t="s">
        <v>22</v>
      </c>
      <c r="AM1007" s="43" t="e">
        <f t="shared" si="531"/>
        <v>#VALUE!</v>
      </c>
      <c r="AN1007" s="43" t="e">
        <f t="shared" si="532"/>
        <v>#VALUE!</v>
      </c>
      <c r="AO1007" s="19" t="s">
        <v>262</v>
      </c>
      <c r="AP1007" s="18"/>
      <c r="AQ1007" s="18"/>
      <c r="AR1007" s="18"/>
      <c r="AS1007" s="18"/>
      <c r="AT1007" s="2">
        <f t="shared" si="533"/>
        <v>16</v>
      </c>
      <c r="AU1007" s="45">
        <f t="shared" si="534"/>
        <v>0.3977818967025003</v>
      </c>
      <c r="AV1007" s="45">
        <f t="shared" si="535"/>
        <v>4.1392685158225077E-2</v>
      </c>
      <c r="AW1007" s="45">
        <f t="shared" si="536"/>
        <v>0.35638921154427528</v>
      </c>
      <c r="AX1007" s="45">
        <f t="shared" si="537"/>
        <v>3.6520528482481049</v>
      </c>
      <c r="AY1007" s="45">
        <f t="shared" si="538"/>
        <v>0.61066016308987991</v>
      </c>
      <c r="AZ1007" s="45">
        <f t="shared" si="539"/>
        <v>2.3143939572219629</v>
      </c>
      <c r="BA1007" s="45" t="e">
        <f t="shared" si="540"/>
        <v>#VALUE!</v>
      </c>
      <c r="BB1007" s="45" t="e">
        <f t="shared" si="541"/>
        <v>#NUM!</v>
      </c>
      <c r="BC1007" s="45" t="e">
        <f t="shared" si="542"/>
        <v>#VALUE!</v>
      </c>
      <c r="BD1007" s="45" t="e">
        <f t="shared" si="543"/>
        <v>#VALUE!</v>
      </c>
      <c r="BE1007" s="45" t="e">
        <f t="shared" si="544"/>
        <v>#VALUE!</v>
      </c>
      <c r="BF1007" s="45" t="e">
        <f t="shared" si="545"/>
        <v>#VALUE!</v>
      </c>
      <c r="BG1007" s="45" t="e">
        <f t="shared" si="546"/>
        <v>#VALUE!</v>
      </c>
      <c r="BH1007" s="45" t="e">
        <f t="shared" si="547"/>
        <v>#NUM!</v>
      </c>
      <c r="BI1007" s="43" t="e">
        <f t="shared" si="548"/>
        <v>#VALUE!</v>
      </c>
      <c r="BJ1007" s="18"/>
      <c r="BK1007" s="18"/>
      <c r="BL1007" s="20"/>
      <c r="BM1007" s="41"/>
      <c r="BN1007" s="41"/>
      <c r="BO1007" s="41"/>
      <c r="BP1007" s="41"/>
      <c r="BQ1007" s="41"/>
      <c r="BR1007" s="41"/>
      <c r="BS1007" s="18"/>
      <c r="BT1007" s="18"/>
      <c r="BU1007" s="41"/>
      <c r="BV1007" s="41"/>
      <c r="BW1007" s="41"/>
      <c r="BX1007" s="41"/>
      <c r="BY1007" s="41"/>
      <c r="BZ1007" s="41"/>
      <c r="CA1007" s="41" t="s">
        <v>22</v>
      </c>
      <c r="CB1007" s="18"/>
      <c r="CC1007" s="18" t="s">
        <v>22</v>
      </c>
      <c r="CD1007" s="18"/>
      <c r="CE1007" s="41" t="s">
        <v>22</v>
      </c>
      <c r="CF1007" s="41" t="s">
        <v>22</v>
      </c>
      <c r="CG1007" s="41" t="e">
        <f t="shared" si="560"/>
        <v>#VALUE!</v>
      </c>
      <c r="CH1007" s="41" t="e">
        <f t="shared" si="561"/>
        <v>#VALUE!</v>
      </c>
      <c r="CI1007" s="41" t="str">
        <f t="shared" si="562"/>
        <v>Not Reported/ Can not calculate</v>
      </c>
      <c r="CJ1007" s="41" t="e">
        <f t="shared" si="563"/>
        <v>#VALUE!</v>
      </c>
      <c r="CK1007" s="18"/>
      <c r="CL1007" s="9" t="s">
        <v>1269</v>
      </c>
      <c r="CM1007" s="18" t="s">
        <v>1284</v>
      </c>
      <c r="CN1007" s="54" t="s">
        <v>1284</v>
      </c>
      <c r="CO1007" s="18" t="s">
        <v>1284</v>
      </c>
    </row>
    <row r="1008" spans="1:93" s="1" customFormat="1" x14ac:dyDescent="0.25">
      <c r="A1008" s="18" t="s">
        <v>266</v>
      </c>
      <c r="B1008" s="41" t="s">
        <v>22</v>
      </c>
      <c r="C1008" s="41">
        <v>0.55196537113167998</v>
      </c>
      <c r="D1008" s="41" t="s">
        <v>22</v>
      </c>
      <c r="E1008" s="41" t="s">
        <v>22</v>
      </c>
      <c r="F1008" s="18">
        <v>4.5494505494505404</v>
      </c>
      <c r="G1008" s="18" t="s">
        <v>52</v>
      </c>
      <c r="H1008" s="18" t="s">
        <v>22</v>
      </c>
      <c r="I1008" s="18" t="s">
        <v>22</v>
      </c>
      <c r="J1008" s="41">
        <v>11.6</v>
      </c>
      <c r="K1008" s="18" t="s">
        <v>22</v>
      </c>
      <c r="L1008" s="41"/>
      <c r="M1008" s="18" t="s">
        <v>23</v>
      </c>
      <c r="N1008" s="41">
        <f t="shared" si="566"/>
        <v>1275.5435795564963</v>
      </c>
      <c r="O1008" s="41">
        <v>2.3109123257882702</v>
      </c>
      <c r="P1008" s="41" t="s">
        <v>22</v>
      </c>
      <c r="Q1008" s="41"/>
      <c r="R1008" s="41" t="s">
        <v>22</v>
      </c>
      <c r="S1008" s="41" t="s">
        <v>22</v>
      </c>
      <c r="T1008" s="41" t="s">
        <v>22</v>
      </c>
      <c r="U1008" s="41" t="s">
        <v>22</v>
      </c>
      <c r="V1008" s="18">
        <v>20200510</v>
      </c>
      <c r="W1008" s="21"/>
      <c r="X1008" s="18">
        <v>2019</v>
      </c>
      <c r="Y1008" s="18" t="s">
        <v>76</v>
      </c>
      <c r="Z1008" s="18" t="s">
        <v>32</v>
      </c>
      <c r="AA1008" s="18"/>
      <c r="AB1008" s="41"/>
      <c r="AC1008" s="18" t="s">
        <v>514</v>
      </c>
      <c r="AD1008" s="41" t="s">
        <v>22</v>
      </c>
      <c r="AE1008" s="41" t="s">
        <v>22</v>
      </c>
      <c r="AF1008" s="41" t="s">
        <v>22</v>
      </c>
      <c r="AG1008" s="41" t="s">
        <v>22</v>
      </c>
      <c r="AH1008" s="41" t="s">
        <v>22</v>
      </c>
      <c r="AI1008" s="41" t="s">
        <v>22</v>
      </c>
      <c r="AJ1008" s="41" t="s">
        <v>22</v>
      </c>
      <c r="AK1008" s="41" t="s">
        <v>22</v>
      </c>
      <c r="AL1008" s="41" t="s">
        <v>22</v>
      </c>
      <c r="AM1008" s="43" t="e">
        <f t="shared" si="531"/>
        <v>#VALUE!</v>
      </c>
      <c r="AN1008" s="43" t="e">
        <f t="shared" si="532"/>
        <v>#VALUE!</v>
      </c>
      <c r="AO1008" s="19" t="s">
        <v>262</v>
      </c>
      <c r="AP1008" s="18"/>
      <c r="AQ1008" s="18"/>
      <c r="AR1008" s="18"/>
      <c r="AS1008" s="18"/>
      <c r="AT1008" s="2">
        <f t="shared" si="533"/>
        <v>16</v>
      </c>
      <c r="AU1008" s="45" t="e">
        <f t="shared" si="534"/>
        <v>#VALUE!</v>
      </c>
      <c r="AV1008" s="45">
        <f t="shared" si="535"/>
        <v>-0.25808816791966677</v>
      </c>
      <c r="AW1008" s="45" t="e">
        <f t="shared" si="536"/>
        <v>#VALUE!</v>
      </c>
      <c r="AX1008" s="45">
        <f t="shared" si="537"/>
        <v>3.1056953010779864</v>
      </c>
      <c r="AY1008" s="45">
        <f t="shared" si="538"/>
        <v>0.36378346899765313</v>
      </c>
      <c r="AZ1008" s="45" t="e">
        <f t="shared" si="539"/>
        <v>#VALUE!</v>
      </c>
      <c r="BA1008" s="45">
        <f t="shared" si="540"/>
        <v>1.0644579892269184</v>
      </c>
      <c r="BB1008" s="45" t="e">
        <f t="shared" si="541"/>
        <v>#NUM!</v>
      </c>
      <c r="BC1008" s="45" t="e">
        <f t="shared" si="542"/>
        <v>#VALUE!</v>
      </c>
      <c r="BD1008" s="45" t="e">
        <f t="shared" si="543"/>
        <v>#VALUE!</v>
      </c>
      <c r="BE1008" s="45" t="e">
        <f t="shared" si="544"/>
        <v>#VALUE!</v>
      </c>
      <c r="BF1008" s="45" t="e">
        <f t="shared" si="545"/>
        <v>#VALUE!</v>
      </c>
      <c r="BG1008" s="45" t="e">
        <f t="shared" si="546"/>
        <v>#VALUE!</v>
      </c>
      <c r="BH1008" s="45" t="e">
        <f t="shared" si="547"/>
        <v>#NUM!</v>
      </c>
      <c r="BI1008" s="43" t="e">
        <f t="shared" si="548"/>
        <v>#VALUE!</v>
      </c>
      <c r="BJ1008" s="18"/>
      <c r="BK1008" s="18"/>
      <c r="BL1008" s="20"/>
      <c r="BM1008" s="41"/>
      <c r="BN1008" s="41"/>
      <c r="BO1008" s="41"/>
      <c r="BP1008" s="41"/>
      <c r="BQ1008" s="41"/>
      <c r="BR1008" s="41"/>
      <c r="BS1008" s="18"/>
      <c r="BT1008" s="18"/>
      <c r="BU1008" s="41"/>
      <c r="BV1008" s="41"/>
      <c r="BW1008" s="41"/>
      <c r="BX1008" s="41"/>
      <c r="BY1008" s="41"/>
      <c r="BZ1008" s="41"/>
      <c r="CA1008" s="41" t="s">
        <v>22</v>
      </c>
      <c r="CB1008" s="18"/>
      <c r="CC1008" s="18" t="s">
        <v>22</v>
      </c>
      <c r="CD1008" s="18"/>
      <c r="CE1008" s="41" t="s">
        <v>22</v>
      </c>
      <c r="CF1008" s="41" t="s">
        <v>22</v>
      </c>
      <c r="CG1008" s="41" t="e">
        <f t="shared" si="560"/>
        <v>#VALUE!</v>
      </c>
      <c r="CH1008" s="41" t="e">
        <f t="shared" si="561"/>
        <v>#VALUE!</v>
      </c>
      <c r="CI1008" s="41" t="str">
        <f t="shared" si="562"/>
        <v>Not Reported/ Can not calculate</v>
      </c>
      <c r="CJ1008" s="41" t="e">
        <f t="shared" si="563"/>
        <v>#VALUE!</v>
      </c>
      <c r="CK1008" s="18"/>
      <c r="CL1008" s="9" t="s">
        <v>1269</v>
      </c>
      <c r="CM1008" s="18" t="s">
        <v>1284</v>
      </c>
      <c r="CN1008" s="54" t="s">
        <v>1284</v>
      </c>
      <c r="CO1008" s="18" t="s">
        <v>1284</v>
      </c>
    </row>
    <row r="1009" spans="1:93" s="1" customFormat="1" x14ac:dyDescent="0.25">
      <c r="A1009" s="18" t="s">
        <v>266</v>
      </c>
      <c r="B1009" s="41" t="s">
        <v>22</v>
      </c>
      <c r="C1009" s="41">
        <v>1.0000110343262101</v>
      </c>
      <c r="D1009" s="41" t="s">
        <v>22</v>
      </c>
      <c r="E1009" s="41" t="s">
        <v>22</v>
      </c>
      <c r="F1009" s="18">
        <v>3.71428571428571</v>
      </c>
      <c r="G1009" s="18" t="s">
        <v>52</v>
      </c>
      <c r="H1009" s="18" t="s">
        <v>22</v>
      </c>
      <c r="I1009" s="18" t="s">
        <v>22</v>
      </c>
      <c r="J1009" s="41"/>
      <c r="K1009" s="18" t="s">
        <v>22</v>
      </c>
      <c r="L1009" s="41"/>
      <c r="M1009" s="18" t="s">
        <v>45</v>
      </c>
      <c r="N1009" s="41">
        <f t="shared" si="566"/>
        <v>2770.2687806210811</v>
      </c>
      <c r="O1009" s="41">
        <v>2.7702382129089602</v>
      </c>
      <c r="P1009" s="41" t="s">
        <v>22</v>
      </c>
      <c r="Q1009" s="41"/>
      <c r="R1009" s="41" t="s">
        <v>22</v>
      </c>
      <c r="S1009" s="41" t="s">
        <v>22</v>
      </c>
      <c r="T1009" s="41" t="s">
        <v>22</v>
      </c>
      <c r="U1009" s="41" t="s">
        <v>22</v>
      </c>
      <c r="V1009" s="18">
        <v>20200510</v>
      </c>
      <c r="W1009" s="21"/>
      <c r="X1009" s="18">
        <v>2019</v>
      </c>
      <c r="Y1009" s="18" t="s">
        <v>76</v>
      </c>
      <c r="Z1009" s="18" t="s">
        <v>263</v>
      </c>
      <c r="AA1009" s="18"/>
      <c r="AB1009" s="41"/>
      <c r="AC1009" s="18" t="s">
        <v>514</v>
      </c>
      <c r="AD1009" s="41" t="s">
        <v>22</v>
      </c>
      <c r="AE1009" s="41" t="s">
        <v>22</v>
      </c>
      <c r="AF1009" s="41" t="s">
        <v>22</v>
      </c>
      <c r="AG1009" s="41" t="s">
        <v>22</v>
      </c>
      <c r="AH1009" s="41" t="s">
        <v>22</v>
      </c>
      <c r="AI1009" s="41" t="s">
        <v>22</v>
      </c>
      <c r="AJ1009" s="41" t="s">
        <v>22</v>
      </c>
      <c r="AK1009" s="41" t="s">
        <v>22</v>
      </c>
      <c r="AL1009" s="41" t="s">
        <v>22</v>
      </c>
      <c r="AM1009" s="43" t="e">
        <f t="shared" si="531"/>
        <v>#VALUE!</v>
      </c>
      <c r="AN1009" s="43" t="e">
        <f t="shared" si="532"/>
        <v>#VALUE!</v>
      </c>
      <c r="AO1009" s="19" t="s">
        <v>262</v>
      </c>
      <c r="AP1009" s="18"/>
      <c r="AQ1009" s="18"/>
      <c r="AR1009" s="18"/>
      <c r="AS1009" s="18"/>
      <c r="AT1009" s="2">
        <f t="shared" si="533"/>
        <v>16</v>
      </c>
      <c r="AU1009" s="45" t="e">
        <f t="shared" si="534"/>
        <v>#VALUE!</v>
      </c>
      <c r="AV1009" s="45">
        <f t="shared" si="535"/>
        <v>4.7921205456960431E-6</v>
      </c>
      <c r="AW1009" s="45" t="e">
        <f t="shared" si="536"/>
        <v>#VALUE!</v>
      </c>
      <c r="AX1009" s="45">
        <f t="shared" si="537"/>
        <v>3.4425219077928357</v>
      </c>
      <c r="AY1009" s="45">
        <f t="shared" si="538"/>
        <v>0.44251711567229018</v>
      </c>
      <c r="AZ1009" s="45" t="e">
        <f t="shared" si="539"/>
        <v>#VALUE!</v>
      </c>
      <c r="BA1009" s="45" t="e">
        <f t="shared" si="540"/>
        <v>#NUM!</v>
      </c>
      <c r="BB1009" s="45" t="e">
        <f t="shared" si="541"/>
        <v>#NUM!</v>
      </c>
      <c r="BC1009" s="45" t="e">
        <f t="shared" si="542"/>
        <v>#VALUE!</v>
      </c>
      <c r="BD1009" s="45" t="e">
        <f t="shared" si="543"/>
        <v>#VALUE!</v>
      </c>
      <c r="BE1009" s="45" t="e">
        <f t="shared" si="544"/>
        <v>#VALUE!</v>
      </c>
      <c r="BF1009" s="45" t="e">
        <f t="shared" si="545"/>
        <v>#VALUE!</v>
      </c>
      <c r="BG1009" s="45" t="e">
        <f t="shared" si="546"/>
        <v>#VALUE!</v>
      </c>
      <c r="BH1009" s="45" t="e">
        <f t="shared" si="547"/>
        <v>#NUM!</v>
      </c>
      <c r="BI1009" s="43" t="e">
        <f t="shared" si="548"/>
        <v>#VALUE!</v>
      </c>
      <c r="BJ1009" s="18"/>
      <c r="BK1009" s="18"/>
      <c r="BL1009" s="20"/>
      <c r="BM1009" s="41"/>
      <c r="BN1009" s="41"/>
      <c r="BO1009" s="41"/>
      <c r="BP1009" s="41"/>
      <c r="BQ1009" s="41"/>
      <c r="BR1009" s="41"/>
      <c r="BS1009" s="18"/>
      <c r="BT1009" s="18"/>
      <c r="BU1009" s="41"/>
      <c r="BV1009" s="41"/>
      <c r="BW1009" s="41"/>
      <c r="BX1009" s="41"/>
      <c r="BY1009" s="41"/>
      <c r="BZ1009" s="41"/>
      <c r="CA1009" s="41" t="s">
        <v>22</v>
      </c>
      <c r="CB1009" s="18"/>
      <c r="CC1009" s="18" t="s">
        <v>22</v>
      </c>
      <c r="CD1009" s="18"/>
      <c r="CE1009" s="41" t="s">
        <v>22</v>
      </c>
      <c r="CF1009" s="41" t="s">
        <v>22</v>
      </c>
      <c r="CG1009" s="41" t="e">
        <f t="shared" si="560"/>
        <v>#VALUE!</v>
      </c>
      <c r="CH1009" s="41" t="e">
        <f t="shared" si="561"/>
        <v>#VALUE!</v>
      </c>
      <c r="CI1009" s="41" t="str">
        <f t="shared" si="562"/>
        <v>Not Reported/ Can not calculate</v>
      </c>
      <c r="CJ1009" s="41" t="e">
        <f t="shared" si="563"/>
        <v>#VALUE!</v>
      </c>
      <c r="CK1009" s="18"/>
      <c r="CL1009" s="9" t="s">
        <v>1269</v>
      </c>
      <c r="CM1009" s="18" t="s">
        <v>1284</v>
      </c>
      <c r="CN1009" s="54" t="s">
        <v>1284</v>
      </c>
      <c r="CO1009" s="18" t="s">
        <v>1284</v>
      </c>
    </row>
    <row r="1010" spans="1:93" s="1" customFormat="1" x14ac:dyDescent="0.25">
      <c r="A1010" s="18" t="s">
        <v>266</v>
      </c>
      <c r="B1010" s="41" t="s">
        <v>22</v>
      </c>
      <c r="C1010" s="41">
        <v>1.0992868672602001</v>
      </c>
      <c r="D1010" s="41" t="s">
        <v>22</v>
      </c>
      <c r="E1010" s="41" t="s">
        <v>22</v>
      </c>
      <c r="F1010" s="18">
        <v>6.3956043956043898</v>
      </c>
      <c r="G1010" s="18" t="s">
        <v>52</v>
      </c>
      <c r="H1010" s="18" t="s">
        <v>22</v>
      </c>
      <c r="I1010" s="18" t="s">
        <v>22</v>
      </c>
      <c r="J1010" s="41"/>
      <c r="K1010" s="18" t="s">
        <v>22</v>
      </c>
      <c r="L1010" s="41"/>
      <c r="M1010" s="18" t="s">
        <v>45</v>
      </c>
      <c r="N1010" s="41">
        <f t="shared" si="566"/>
        <v>3616.3354271181097</v>
      </c>
      <c r="O1010" s="41">
        <v>3.2897103884550698</v>
      </c>
      <c r="P1010" s="41" t="s">
        <v>22</v>
      </c>
      <c r="Q1010" s="41"/>
      <c r="R1010" s="41" t="s">
        <v>22</v>
      </c>
      <c r="S1010" s="41" t="s">
        <v>22</v>
      </c>
      <c r="T1010" s="41" t="s">
        <v>22</v>
      </c>
      <c r="U1010" s="41" t="s">
        <v>22</v>
      </c>
      <c r="V1010" s="18">
        <v>20200510</v>
      </c>
      <c r="W1010" s="21"/>
      <c r="X1010" s="18">
        <v>2019</v>
      </c>
      <c r="Y1010" s="18" t="s">
        <v>76</v>
      </c>
      <c r="Z1010" s="18" t="s">
        <v>263</v>
      </c>
      <c r="AA1010" s="18"/>
      <c r="AB1010" s="41"/>
      <c r="AC1010" s="18" t="s">
        <v>514</v>
      </c>
      <c r="AD1010" s="41" t="s">
        <v>22</v>
      </c>
      <c r="AE1010" s="41" t="s">
        <v>22</v>
      </c>
      <c r="AF1010" s="41" t="s">
        <v>22</v>
      </c>
      <c r="AG1010" s="41" t="s">
        <v>22</v>
      </c>
      <c r="AH1010" s="41" t="s">
        <v>22</v>
      </c>
      <c r="AI1010" s="41" t="s">
        <v>22</v>
      </c>
      <c r="AJ1010" s="41" t="s">
        <v>22</v>
      </c>
      <c r="AK1010" s="41" t="s">
        <v>22</v>
      </c>
      <c r="AL1010" s="41" t="s">
        <v>22</v>
      </c>
      <c r="AM1010" s="43" t="e">
        <f t="shared" si="531"/>
        <v>#VALUE!</v>
      </c>
      <c r="AN1010" s="43" t="e">
        <f t="shared" si="532"/>
        <v>#VALUE!</v>
      </c>
      <c r="AO1010" s="19" t="s">
        <v>262</v>
      </c>
      <c r="AP1010" s="18"/>
      <c r="AQ1010" s="18"/>
      <c r="AR1010" s="18"/>
      <c r="AS1010" s="18"/>
      <c r="AT1010" s="2">
        <f t="shared" si="533"/>
        <v>16</v>
      </c>
      <c r="AU1010" s="45" t="e">
        <f t="shared" si="534"/>
        <v>#VALUE!</v>
      </c>
      <c r="AV1010" s="45">
        <f t="shared" si="535"/>
        <v>4.1111039658290792E-2</v>
      </c>
      <c r="AW1010" s="45" t="e">
        <f t="shared" si="536"/>
        <v>#VALUE!</v>
      </c>
      <c r="AX1010" s="45">
        <f t="shared" si="537"/>
        <v>3.5582687059267735</v>
      </c>
      <c r="AY1010" s="45">
        <f t="shared" si="538"/>
        <v>0.51715766626848247</v>
      </c>
      <c r="AZ1010" s="45" t="e">
        <f t="shared" si="539"/>
        <v>#VALUE!</v>
      </c>
      <c r="BA1010" s="45" t="e">
        <f t="shared" si="540"/>
        <v>#NUM!</v>
      </c>
      <c r="BB1010" s="45" t="e">
        <f t="shared" si="541"/>
        <v>#NUM!</v>
      </c>
      <c r="BC1010" s="45" t="e">
        <f t="shared" si="542"/>
        <v>#VALUE!</v>
      </c>
      <c r="BD1010" s="45" t="e">
        <f t="shared" si="543"/>
        <v>#VALUE!</v>
      </c>
      <c r="BE1010" s="45" t="e">
        <f t="shared" si="544"/>
        <v>#VALUE!</v>
      </c>
      <c r="BF1010" s="45" t="e">
        <f t="shared" si="545"/>
        <v>#VALUE!</v>
      </c>
      <c r="BG1010" s="45" t="e">
        <f t="shared" si="546"/>
        <v>#VALUE!</v>
      </c>
      <c r="BH1010" s="45" t="e">
        <f t="shared" si="547"/>
        <v>#NUM!</v>
      </c>
      <c r="BI1010" s="43" t="e">
        <f t="shared" si="548"/>
        <v>#VALUE!</v>
      </c>
      <c r="BJ1010" s="18"/>
      <c r="BK1010" s="18"/>
      <c r="BL1010" s="20"/>
      <c r="BM1010" s="41"/>
      <c r="BN1010" s="41"/>
      <c r="BO1010" s="41"/>
      <c r="BP1010" s="41"/>
      <c r="BQ1010" s="41"/>
      <c r="BR1010" s="41"/>
      <c r="BS1010" s="18"/>
      <c r="BT1010" s="18"/>
      <c r="BU1010" s="41"/>
      <c r="BV1010" s="41"/>
      <c r="BW1010" s="41"/>
      <c r="BX1010" s="41"/>
      <c r="BY1010" s="41"/>
      <c r="BZ1010" s="41"/>
      <c r="CA1010" s="41" t="s">
        <v>22</v>
      </c>
      <c r="CB1010" s="18"/>
      <c r="CC1010" s="18" t="s">
        <v>22</v>
      </c>
      <c r="CD1010" s="18"/>
      <c r="CE1010" s="41" t="s">
        <v>22</v>
      </c>
      <c r="CF1010" s="41" t="s">
        <v>22</v>
      </c>
      <c r="CG1010" s="41" t="e">
        <f t="shared" si="560"/>
        <v>#VALUE!</v>
      </c>
      <c r="CH1010" s="41" t="e">
        <f t="shared" si="561"/>
        <v>#VALUE!</v>
      </c>
      <c r="CI1010" s="41" t="str">
        <f t="shared" si="562"/>
        <v>Not Reported/ Can not calculate</v>
      </c>
      <c r="CJ1010" s="41" t="e">
        <f t="shared" si="563"/>
        <v>#VALUE!</v>
      </c>
      <c r="CK1010" s="18"/>
      <c r="CL1010" s="9" t="s">
        <v>1269</v>
      </c>
      <c r="CM1010" s="18" t="s">
        <v>1284</v>
      </c>
      <c r="CN1010" s="54" t="s">
        <v>1284</v>
      </c>
      <c r="CO1010" s="18" t="s">
        <v>1284</v>
      </c>
    </row>
    <row r="1011" spans="1:93" s="1" customFormat="1" x14ac:dyDescent="0.25">
      <c r="A1011" s="18" t="s">
        <v>266</v>
      </c>
      <c r="B1011" s="41" t="s">
        <v>22</v>
      </c>
      <c r="C1011" s="41">
        <v>1.0967158692526899</v>
      </c>
      <c r="D1011" s="41" t="s">
        <v>22</v>
      </c>
      <c r="E1011" s="41" t="s">
        <v>22</v>
      </c>
      <c r="F1011" s="18">
        <v>8.2857142857142794</v>
      </c>
      <c r="G1011" s="18" t="s">
        <v>52</v>
      </c>
      <c r="H1011" s="18" t="s">
        <v>22</v>
      </c>
      <c r="I1011" s="18" t="s">
        <v>22</v>
      </c>
      <c r="J1011" s="41"/>
      <c r="K1011" s="18" t="s">
        <v>22</v>
      </c>
      <c r="L1011" s="41"/>
      <c r="M1011" s="18" t="s">
        <v>45</v>
      </c>
      <c r="N1011" s="41">
        <f t="shared" si="566"/>
        <v>3886.9076018507862</v>
      </c>
      <c r="O1011" s="41">
        <v>3.5441336364534899</v>
      </c>
      <c r="P1011" s="41" t="s">
        <v>22</v>
      </c>
      <c r="Q1011" s="41"/>
      <c r="R1011" s="41" t="s">
        <v>22</v>
      </c>
      <c r="S1011" s="41" t="s">
        <v>22</v>
      </c>
      <c r="T1011" s="41" t="s">
        <v>22</v>
      </c>
      <c r="U1011" s="41" t="s">
        <v>22</v>
      </c>
      <c r="V1011" s="18">
        <v>20200510</v>
      </c>
      <c r="W1011" s="21"/>
      <c r="X1011" s="18">
        <v>2019</v>
      </c>
      <c r="Y1011" s="18" t="s">
        <v>76</v>
      </c>
      <c r="Z1011" s="18" t="s">
        <v>263</v>
      </c>
      <c r="AA1011" s="18"/>
      <c r="AB1011" s="41"/>
      <c r="AC1011" s="18" t="s">
        <v>514</v>
      </c>
      <c r="AD1011" s="41" t="s">
        <v>22</v>
      </c>
      <c r="AE1011" s="41" t="s">
        <v>22</v>
      </c>
      <c r="AF1011" s="41" t="s">
        <v>22</v>
      </c>
      <c r="AG1011" s="41" t="s">
        <v>22</v>
      </c>
      <c r="AH1011" s="41" t="s">
        <v>22</v>
      </c>
      <c r="AI1011" s="41" t="s">
        <v>22</v>
      </c>
      <c r="AJ1011" s="41" t="s">
        <v>22</v>
      </c>
      <c r="AK1011" s="41" t="s">
        <v>22</v>
      </c>
      <c r="AL1011" s="41" t="s">
        <v>22</v>
      </c>
      <c r="AM1011" s="43" t="e">
        <f t="shared" si="531"/>
        <v>#VALUE!</v>
      </c>
      <c r="AN1011" s="43" t="e">
        <f t="shared" si="532"/>
        <v>#VALUE!</v>
      </c>
      <c r="AO1011" s="19" t="s">
        <v>262</v>
      </c>
      <c r="AP1011" s="18"/>
      <c r="AQ1011" s="18"/>
      <c r="AR1011" s="18"/>
      <c r="AS1011" s="18"/>
      <c r="AT1011" s="2">
        <f t="shared" si="533"/>
        <v>16</v>
      </c>
      <c r="AU1011" s="45" t="e">
        <f t="shared" si="534"/>
        <v>#VALUE!</v>
      </c>
      <c r="AV1011" s="45">
        <f t="shared" si="535"/>
        <v>4.009412766702905E-2</v>
      </c>
      <c r="AW1011" s="45" t="e">
        <f t="shared" si="536"/>
        <v>#VALUE!</v>
      </c>
      <c r="AX1011" s="45">
        <f t="shared" si="537"/>
        <v>3.5896042168640188</v>
      </c>
      <c r="AY1011" s="45">
        <f t="shared" si="538"/>
        <v>0.54951008919698963</v>
      </c>
      <c r="AZ1011" s="45" t="e">
        <f t="shared" si="539"/>
        <v>#VALUE!</v>
      </c>
      <c r="BA1011" s="45" t="e">
        <f t="shared" si="540"/>
        <v>#NUM!</v>
      </c>
      <c r="BB1011" s="45" t="e">
        <f t="shared" si="541"/>
        <v>#NUM!</v>
      </c>
      <c r="BC1011" s="45" t="e">
        <f t="shared" si="542"/>
        <v>#VALUE!</v>
      </c>
      <c r="BD1011" s="45" t="e">
        <f t="shared" si="543"/>
        <v>#VALUE!</v>
      </c>
      <c r="BE1011" s="45" t="e">
        <f t="shared" si="544"/>
        <v>#VALUE!</v>
      </c>
      <c r="BF1011" s="45" t="e">
        <f t="shared" si="545"/>
        <v>#VALUE!</v>
      </c>
      <c r="BG1011" s="45" t="e">
        <f t="shared" si="546"/>
        <v>#VALUE!</v>
      </c>
      <c r="BH1011" s="45" t="e">
        <f t="shared" si="547"/>
        <v>#NUM!</v>
      </c>
      <c r="BI1011" s="43" t="e">
        <f t="shared" si="548"/>
        <v>#VALUE!</v>
      </c>
      <c r="BJ1011" s="18"/>
      <c r="BK1011" s="18"/>
      <c r="BL1011" s="20"/>
      <c r="BM1011" s="41"/>
      <c r="BN1011" s="41"/>
      <c r="BO1011" s="41"/>
      <c r="BP1011" s="41"/>
      <c r="BQ1011" s="41"/>
      <c r="BR1011" s="41"/>
      <c r="BS1011" s="18"/>
      <c r="BT1011" s="18"/>
      <c r="BU1011" s="41"/>
      <c r="BV1011" s="41"/>
      <c r="BW1011" s="41"/>
      <c r="BX1011" s="41"/>
      <c r="BY1011" s="41"/>
      <c r="BZ1011" s="41"/>
      <c r="CA1011" s="41" t="s">
        <v>22</v>
      </c>
      <c r="CB1011" s="18"/>
      <c r="CC1011" s="18" t="s">
        <v>22</v>
      </c>
      <c r="CD1011" s="18"/>
      <c r="CE1011" s="41" t="s">
        <v>22</v>
      </c>
      <c r="CF1011" s="41" t="s">
        <v>22</v>
      </c>
      <c r="CG1011" s="41" t="e">
        <f t="shared" si="560"/>
        <v>#VALUE!</v>
      </c>
      <c r="CH1011" s="41" t="e">
        <f t="shared" si="561"/>
        <v>#VALUE!</v>
      </c>
      <c r="CI1011" s="41" t="str">
        <f t="shared" si="562"/>
        <v>Not Reported/ Can not calculate</v>
      </c>
      <c r="CJ1011" s="41" t="e">
        <f t="shared" si="563"/>
        <v>#VALUE!</v>
      </c>
      <c r="CK1011" s="18"/>
      <c r="CL1011" s="9" t="s">
        <v>1269</v>
      </c>
      <c r="CM1011" s="18" t="s">
        <v>1284</v>
      </c>
      <c r="CN1011" s="54" t="s">
        <v>1284</v>
      </c>
      <c r="CO1011" s="18" t="s">
        <v>1284</v>
      </c>
    </row>
    <row r="1012" spans="1:93" s="1" customFormat="1" x14ac:dyDescent="0.25">
      <c r="A1012" s="18" t="s">
        <v>266</v>
      </c>
      <c r="B1012" s="41" t="s">
        <v>22</v>
      </c>
      <c r="C1012" s="41">
        <v>0.55271084337349397</v>
      </c>
      <c r="D1012" s="41" t="s">
        <v>22</v>
      </c>
      <c r="E1012" s="41" t="s">
        <v>22</v>
      </c>
      <c r="F1012" s="18">
        <v>4.5340314136125599</v>
      </c>
      <c r="G1012" s="18" t="s">
        <v>52</v>
      </c>
      <c r="H1012" s="18" t="s">
        <v>22</v>
      </c>
      <c r="I1012" s="18" t="s">
        <v>22</v>
      </c>
      <c r="J1012" s="41">
        <v>11.6</v>
      </c>
      <c r="K1012" s="18" t="s">
        <v>22</v>
      </c>
      <c r="L1012" s="41"/>
      <c r="M1012" s="18" t="s">
        <v>23</v>
      </c>
      <c r="N1012" s="41">
        <f t="shared" si="566"/>
        <v>1275.5167656098211</v>
      </c>
      <c r="O1012" s="41">
        <v>2.30774695467281</v>
      </c>
      <c r="P1012" s="41" t="s">
        <v>22</v>
      </c>
      <c r="Q1012" s="41"/>
      <c r="R1012" s="41" t="s">
        <v>22</v>
      </c>
      <c r="S1012" s="41" t="s">
        <v>22</v>
      </c>
      <c r="T1012" s="41" t="s">
        <v>22</v>
      </c>
      <c r="U1012" s="41" t="s">
        <v>22</v>
      </c>
      <c r="V1012" s="18">
        <v>20200510</v>
      </c>
      <c r="W1012" s="21"/>
      <c r="X1012" s="18">
        <v>2019</v>
      </c>
      <c r="Y1012" s="18" t="s">
        <v>76</v>
      </c>
      <c r="Z1012" s="18" t="s">
        <v>32</v>
      </c>
      <c r="AA1012" s="18"/>
      <c r="AB1012" s="41"/>
      <c r="AC1012" s="18" t="s">
        <v>514</v>
      </c>
      <c r="AD1012" s="41" t="s">
        <v>22</v>
      </c>
      <c r="AE1012" s="41" t="s">
        <v>22</v>
      </c>
      <c r="AF1012" s="41" t="s">
        <v>22</v>
      </c>
      <c r="AG1012" s="41" t="s">
        <v>22</v>
      </c>
      <c r="AH1012" s="41" t="s">
        <v>22</v>
      </c>
      <c r="AI1012" s="41" t="s">
        <v>22</v>
      </c>
      <c r="AJ1012" s="41" t="s">
        <v>22</v>
      </c>
      <c r="AK1012" s="41" t="s">
        <v>22</v>
      </c>
      <c r="AL1012" s="41" t="s">
        <v>22</v>
      </c>
      <c r="AM1012" s="43" t="e">
        <f t="shared" si="531"/>
        <v>#VALUE!</v>
      </c>
      <c r="AN1012" s="43" t="e">
        <f t="shared" si="532"/>
        <v>#VALUE!</v>
      </c>
      <c r="AO1012" s="19" t="s">
        <v>262</v>
      </c>
      <c r="AP1012" s="18"/>
      <c r="AQ1012" s="18"/>
      <c r="AR1012" s="18"/>
      <c r="AS1012" s="18"/>
      <c r="AT1012" s="2">
        <f t="shared" si="533"/>
        <v>16</v>
      </c>
      <c r="AU1012" s="45" t="e">
        <f t="shared" si="534"/>
        <v>#VALUE!</v>
      </c>
      <c r="AV1012" s="45">
        <f t="shared" si="535"/>
        <v>-0.25750201511592818</v>
      </c>
      <c r="AW1012" s="45" t="e">
        <f t="shared" si="536"/>
        <v>#VALUE!</v>
      </c>
      <c r="AX1012" s="45">
        <f t="shared" si="537"/>
        <v>3.1056861714240354</v>
      </c>
      <c r="AY1012" s="45">
        <f t="shared" si="538"/>
        <v>0.36318818653996365</v>
      </c>
      <c r="AZ1012" s="45" t="e">
        <f t="shared" si="539"/>
        <v>#VALUE!</v>
      </c>
      <c r="BA1012" s="45">
        <f t="shared" si="540"/>
        <v>1.0644579892269184</v>
      </c>
      <c r="BB1012" s="45" t="e">
        <f t="shared" si="541"/>
        <v>#NUM!</v>
      </c>
      <c r="BC1012" s="45" t="e">
        <f t="shared" si="542"/>
        <v>#VALUE!</v>
      </c>
      <c r="BD1012" s="45" t="e">
        <f t="shared" si="543"/>
        <v>#VALUE!</v>
      </c>
      <c r="BE1012" s="45" t="e">
        <f t="shared" si="544"/>
        <v>#VALUE!</v>
      </c>
      <c r="BF1012" s="45" t="e">
        <f t="shared" si="545"/>
        <v>#VALUE!</v>
      </c>
      <c r="BG1012" s="45" t="e">
        <f t="shared" si="546"/>
        <v>#VALUE!</v>
      </c>
      <c r="BH1012" s="45" t="e">
        <f t="shared" si="547"/>
        <v>#NUM!</v>
      </c>
      <c r="BI1012" s="43" t="e">
        <f t="shared" si="548"/>
        <v>#VALUE!</v>
      </c>
      <c r="BJ1012" s="18"/>
      <c r="BK1012" s="18"/>
      <c r="BL1012" s="20"/>
      <c r="BM1012" s="41"/>
      <c r="BN1012" s="41"/>
      <c r="BO1012" s="41"/>
      <c r="BP1012" s="41"/>
      <c r="BQ1012" s="41"/>
      <c r="BR1012" s="41"/>
      <c r="BS1012" s="18"/>
      <c r="BT1012" s="18"/>
      <c r="BU1012" s="41"/>
      <c r="BV1012" s="41"/>
      <c r="BW1012" s="41"/>
      <c r="BX1012" s="41"/>
      <c r="BY1012" s="41"/>
      <c r="BZ1012" s="41"/>
      <c r="CA1012" s="41" t="s">
        <v>22</v>
      </c>
      <c r="CB1012" s="18"/>
      <c r="CC1012" s="18" t="s">
        <v>22</v>
      </c>
      <c r="CD1012" s="18"/>
      <c r="CE1012" s="41" t="s">
        <v>22</v>
      </c>
      <c r="CF1012" s="41" t="s">
        <v>22</v>
      </c>
      <c r="CG1012" s="41" t="e">
        <f t="shared" si="560"/>
        <v>#VALUE!</v>
      </c>
      <c r="CH1012" s="41" t="e">
        <f t="shared" si="561"/>
        <v>#VALUE!</v>
      </c>
      <c r="CI1012" s="41" t="str">
        <f t="shared" si="562"/>
        <v>Not Reported/ Can not calculate</v>
      </c>
      <c r="CJ1012" s="41" t="e">
        <f t="shared" si="563"/>
        <v>#VALUE!</v>
      </c>
      <c r="CK1012" s="18"/>
      <c r="CL1012" s="9" t="s">
        <v>1269</v>
      </c>
      <c r="CM1012" s="18" t="s">
        <v>1284</v>
      </c>
      <c r="CN1012" s="54" t="s">
        <v>1284</v>
      </c>
      <c r="CO1012" s="18" t="s">
        <v>1284</v>
      </c>
    </row>
    <row r="1013" spans="1:93" s="1" customFormat="1" x14ac:dyDescent="0.25">
      <c r="A1013" s="18" t="s">
        <v>266</v>
      </c>
      <c r="B1013" s="41" t="s">
        <v>22</v>
      </c>
      <c r="C1013" s="41">
        <v>0.80873493975903599</v>
      </c>
      <c r="D1013" s="41" t="s">
        <v>22</v>
      </c>
      <c r="E1013" s="41" t="s">
        <v>22</v>
      </c>
      <c r="F1013" s="18">
        <v>5.7486910994764298</v>
      </c>
      <c r="G1013" s="18" t="s">
        <v>52</v>
      </c>
      <c r="H1013" s="18" t="s">
        <v>22</v>
      </c>
      <c r="I1013" s="18" t="s">
        <v>22</v>
      </c>
      <c r="J1013" s="41"/>
      <c r="K1013" s="18" t="s">
        <v>22</v>
      </c>
      <c r="L1013" s="41"/>
      <c r="M1013" s="18" t="s">
        <v>45</v>
      </c>
      <c r="N1013" s="41">
        <f t="shared" si="566"/>
        <v>2620.0718733487629</v>
      </c>
      <c r="O1013" s="41">
        <v>3.2397164318502401</v>
      </c>
      <c r="P1013" s="41" t="s">
        <v>22</v>
      </c>
      <c r="Q1013" s="41"/>
      <c r="R1013" s="41" t="s">
        <v>22</v>
      </c>
      <c r="S1013" s="41" t="s">
        <v>22</v>
      </c>
      <c r="T1013" s="41" t="s">
        <v>22</v>
      </c>
      <c r="U1013" s="41" t="s">
        <v>22</v>
      </c>
      <c r="V1013" s="18">
        <v>20200510</v>
      </c>
      <c r="W1013" s="21"/>
      <c r="X1013" s="18">
        <v>2019</v>
      </c>
      <c r="Y1013" s="18" t="s">
        <v>76</v>
      </c>
      <c r="Z1013" s="18" t="s">
        <v>263</v>
      </c>
      <c r="AA1013" s="18"/>
      <c r="AB1013" s="41"/>
      <c r="AC1013" s="18" t="s">
        <v>514</v>
      </c>
      <c r="AD1013" s="41" t="s">
        <v>22</v>
      </c>
      <c r="AE1013" s="41" t="s">
        <v>22</v>
      </c>
      <c r="AF1013" s="41" t="s">
        <v>22</v>
      </c>
      <c r="AG1013" s="41" t="s">
        <v>22</v>
      </c>
      <c r="AH1013" s="41" t="s">
        <v>22</v>
      </c>
      <c r="AI1013" s="41" t="s">
        <v>22</v>
      </c>
      <c r="AJ1013" s="41" t="s">
        <v>22</v>
      </c>
      <c r="AK1013" s="41" t="s">
        <v>22</v>
      </c>
      <c r="AL1013" s="41" t="s">
        <v>22</v>
      </c>
      <c r="AM1013" s="43" t="e">
        <f t="shared" si="531"/>
        <v>#VALUE!</v>
      </c>
      <c r="AN1013" s="43" t="e">
        <f t="shared" si="532"/>
        <v>#VALUE!</v>
      </c>
      <c r="AO1013" s="19" t="s">
        <v>262</v>
      </c>
      <c r="AP1013" s="18"/>
      <c r="AQ1013" s="18"/>
      <c r="AR1013" s="18"/>
      <c r="AS1013" s="18"/>
      <c r="AT1013" s="2">
        <f t="shared" si="533"/>
        <v>16</v>
      </c>
      <c r="AU1013" s="45" t="e">
        <f t="shared" si="534"/>
        <v>#VALUE!</v>
      </c>
      <c r="AV1013" s="45">
        <f t="shared" si="535"/>
        <v>-9.2193793668461962E-2</v>
      </c>
      <c r="AW1013" s="45" t="e">
        <f t="shared" si="536"/>
        <v>#VALUE!</v>
      </c>
      <c r="AX1013" s="45">
        <f t="shared" si="537"/>
        <v>3.418313204972657</v>
      </c>
      <c r="AY1013" s="45">
        <f t="shared" si="538"/>
        <v>0.51050699864111904</v>
      </c>
      <c r="AZ1013" s="45" t="e">
        <f t="shared" si="539"/>
        <v>#VALUE!</v>
      </c>
      <c r="BA1013" s="45" t="e">
        <f t="shared" si="540"/>
        <v>#NUM!</v>
      </c>
      <c r="BB1013" s="45" t="e">
        <f t="shared" si="541"/>
        <v>#NUM!</v>
      </c>
      <c r="BC1013" s="45" t="e">
        <f t="shared" si="542"/>
        <v>#VALUE!</v>
      </c>
      <c r="BD1013" s="45" t="e">
        <f t="shared" si="543"/>
        <v>#VALUE!</v>
      </c>
      <c r="BE1013" s="45" t="e">
        <f t="shared" si="544"/>
        <v>#VALUE!</v>
      </c>
      <c r="BF1013" s="45" t="e">
        <f t="shared" si="545"/>
        <v>#VALUE!</v>
      </c>
      <c r="BG1013" s="45" t="e">
        <f t="shared" si="546"/>
        <v>#VALUE!</v>
      </c>
      <c r="BH1013" s="45" t="e">
        <f t="shared" si="547"/>
        <v>#NUM!</v>
      </c>
      <c r="BI1013" s="43" t="e">
        <f t="shared" si="548"/>
        <v>#VALUE!</v>
      </c>
      <c r="BJ1013" s="18"/>
      <c r="BK1013" s="18"/>
      <c r="BL1013" s="20"/>
      <c r="BM1013" s="41"/>
      <c r="BN1013" s="41"/>
      <c r="BO1013" s="41"/>
      <c r="BP1013" s="41"/>
      <c r="BQ1013" s="41"/>
      <c r="BR1013" s="41"/>
      <c r="BS1013" s="18"/>
      <c r="BT1013" s="18"/>
      <c r="BU1013" s="41"/>
      <c r="BV1013" s="41"/>
      <c r="BW1013" s="41"/>
      <c r="BX1013" s="41"/>
      <c r="BY1013" s="41"/>
      <c r="BZ1013" s="41"/>
      <c r="CA1013" s="41" t="s">
        <v>22</v>
      </c>
      <c r="CB1013" s="18"/>
      <c r="CC1013" s="18" t="s">
        <v>22</v>
      </c>
      <c r="CD1013" s="18"/>
      <c r="CE1013" s="41" t="s">
        <v>22</v>
      </c>
      <c r="CF1013" s="41" t="s">
        <v>22</v>
      </c>
      <c r="CG1013" s="41" t="e">
        <f t="shared" si="560"/>
        <v>#VALUE!</v>
      </c>
      <c r="CH1013" s="41" t="e">
        <f t="shared" si="561"/>
        <v>#VALUE!</v>
      </c>
      <c r="CI1013" s="41" t="str">
        <f t="shared" si="562"/>
        <v>Not Reported/ Can not calculate</v>
      </c>
      <c r="CJ1013" s="41" t="e">
        <f t="shared" si="563"/>
        <v>#VALUE!</v>
      </c>
      <c r="CK1013" s="18"/>
      <c r="CL1013" s="9" t="s">
        <v>1269</v>
      </c>
      <c r="CM1013" s="18" t="s">
        <v>1284</v>
      </c>
      <c r="CN1013" s="54" t="s">
        <v>1284</v>
      </c>
      <c r="CO1013" s="18" t="s">
        <v>1284</v>
      </c>
    </row>
    <row r="1014" spans="1:93" s="1" customFormat="1" x14ac:dyDescent="0.25">
      <c r="A1014" s="18" t="s">
        <v>266</v>
      </c>
      <c r="B1014" s="41" t="s">
        <v>22</v>
      </c>
      <c r="C1014" s="41">
        <v>1.0978915662650599</v>
      </c>
      <c r="D1014" s="41" t="s">
        <v>22</v>
      </c>
      <c r="E1014" s="41" t="s">
        <v>22</v>
      </c>
      <c r="F1014" s="18">
        <v>8.3141361256544393</v>
      </c>
      <c r="G1014" s="18" t="s">
        <v>52</v>
      </c>
      <c r="H1014" s="18" t="s">
        <v>22</v>
      </c>
      <c r="I1014" s="18" t="s">
        <v>22</v>
      </c>
      <c r="J1014" s="41"/>
      <c r="K1014" s="18" t="s">
        <v>22</v>
      </c>
      <c r="L1014" s="41"/>
      <c r="M1014" s="18" t="s">
        <v>45</v>
      </c>
      <c r="N1014" s="41">
        <f t="shared" si="566"/>
        <v>3871.2715182212037</v>
      </c>
      <c r="O1014" s="41">
        <v>3.52609641714524</v>
      </c>
      <c r="P1014" s="41" t="s">
        <v>22</v>
      </c>
      <c r="Q1014" s="41"/>
      <c r="R1014" s="41" t="s">
        <v>22</v>
      </c>
      <c r="S1014" s="41" t="s">
        <v>22</v>
      </c>
      <c r="T1014" s="41" t="s">
        <v>22</v>
      </c>
      <c r="U1014" s="41" t="s">
        <v>22</v>
      </c>
      <c r="V1014" s="18">
        <v>20200510</v>
      </c>
      <c r="W1014" s="21"/>
      <c r="X1014" s="18">
        <v>2019</v>
      </c>
      <c r="Y1014" s="18" t="s">
        <v>76</v>
      </c>
      <c r="Z1014" s="18" t="s">
        <v>263</v>
      </c>
      <c r="AA1014" s="18"/>
      <c r="AB1014" s="41"/>
      <c r="AC1014" s="18" t="s">
        <v>514</v>
      </c>
      <c r="AD1014" s="41" t="s">
        <v>22</v>
      </c>
      <c r="AE1014" s="41" t="s">
        <v>22</v>
      </c>
      <c r="AF1014" s="41" t="s">
        <v>22</v>
      </c>
      <c r="AG1014" s="41" t="s">
        <v>22</v>
      </c>
      <c r="AH1014" s="41" t="s">
        <v>22</v>
      </c>
      <c r="AI1014" s="41" t="s">
        <v>22</v>
      </c>
      <c r="AJ1014" s="41" t="s">
        <v>22</v>
      </c>
      <c r="AK1014" s="41" t="s">
        <v>22</v>
      </c>
      <c r="AL1014" s="41" t="s">
        <v>22</v>
      </c>
      <c r="AM1014" s="43" t="e">
        <f t="shared" si="531"/>
        <v>#VALUE!</v>
      </c>
      <c r="AN1014" s="43" t="e">
        <f t="shared" si="532"/>
        <v>#VALUE!</v>
      </c>
      <c r="AO1014" s="19" t="s">
        <v>262</v>
      </c>
      <c r="AP1014" s="18"/>
      <c r="AQ1014" s="18"/>
      <c r="AR1014" s="18"/>
      <c r="AS1014" s="18"/>
      <c r="AT1014" s="2">
        <f t="shared" si="533"/>
        <v>16</v>
      </c>
      <c r="AU1014" s="45" t="e">
        <f t="shared" si="534"/>
        <v>#VALUE!</v>
      </c>
      <c r="AV1014" s="45">
        <f t="shared" si="535"/>
        <v>4.0559448949957E-2</v>
      </c>
      <c r="AW1014" s="45" t="e">
        <f t="shared" si="536"/>
        <v>#VALUE!</v>
      </c>
      <c r="AX1014" s="45">
        <f t="shared" si="537"/>
        <v>3.5878536323703343</v>
      </c>
      <c r="AY1014" s="45">
        <f t="shared" si="538"/>
        <v>0.54729418342037706</v>
      </c>
      <c r="AZ1014" s="45" t="e">
        <f t="shared" si="539"/>
        <v>#VALUE!</v>
      </c>
      <c r="BA1014" s="45" t="e">
        <f t="shared" si="540"/>
        <v>#NUM!</v>
      </c>
      <c r="BB1014" s="45" t="e">
        <f t="shared" si="541"/>
        <v>#NUM!</v>
      </c>
      <c r="BC1014" s="45" t="e">
        <f t="shared" si="542"/>
        <v>#VALUE!</v>
      </c>
      <c r="BD1014" s="45" t="e">
        <f t="shared" si="543"/>
        <v>#VALUE!</v>
      </c>
      <c r="BE1014" s="45" t="e">
        <f t="shared" si="544"/>
        <v>#VALUE!</v>
      </c>
      <c r="BF1014" s="45" t="e">
        <f t="shared" si="545"/>
        <v>#VALUE!</v>
      </c>
      <c r="BG1014" s="45" t="e">
        <f t="shared" si="546"/>
        <v>#VALUE!</v>
      </c>
      <c r="BH1014" s="45" t="e">
        <f t="shared" si="547"/>
        <v>#NUM!</v>
      </c>
      <c r="BI1014" s="43" t="e">
        <f t="shared" si="548"/>
        <v>#VALUE!</v>
      </c>
      <c r="BJ1014" s="18"/>
      <c r="BK1014" s="18"/>
      <c r="BL1014" s="20"/>
      <c r="BM1014" s="41"/>
      <c r="BN1014" s="41"/>
      <c r="BO1014" s="41"/>
      <c r="BP1014" s="41"/>
      <c r="BQ1014" s="41"/>
      <c r="BR1014" s="41"/>
      <c r="BS1014" s="18"/>
      <c r="BT1014" s="18"/>
      <c r="BU1014" s="41"/>
      <c r="BV1014" s="41"/>
      <c r="BW1014" s="41"/>
      <c r="BX1014" s="41"/>
      <c r="BY1014" s="41"/>
      <c r="BZ1014" s="41"/>
      <c r="CA1014" s="41" t="s">
        <v>22</v>
      </c>
      <c r="CB1014" s="18"/>
      <c r="CC1014" s="18" t="s">
        <v>22</v>
      </c>
      <c r="CD1014" s="18"/>
      <c r="CE1014" s="41" t="s">
        <v>22</v>
      </c>
      <c r="CF1014" s="41" t="s">
        <v>22</v>
      </c>
      <c r="CG1014" s="41" t="e">
        <f t="shared" si="560"/>
        <v>#VALUE!</v>
      </c>
      <c r="CH1014" s="41" t="e">
        <f t="shared" si="561"/>
        <v>#VALUE!</v>
      </c>
      <c r="CI1014" s="41" t="str">
        <f t="shared" si="562"/>
        <v>Not Reported/ Can not calculate</v>
      </c>
      <c r="CJ1014" s="41" t="e">
        <f t="shared" si="563"/>
        <v>#VALUE!</v>
      </c>
      <c r="CK1014" s="18"/>
      <c r="CL1014" s="9" t="s">
        <v>1269</v>
      </c>
      <c r="CM1014" s="18" t="s">
        <v>1284</v>
      </c>
      <c r="CN1014" s="54" t="s">
        <v>1284</v>
      </c>
      <c r="CO1014" s="18" t="s">
        <v>1284</v>
      </c>
    </row>
    <row r="1015" spans="1:93" s="1" customFormat="1" x14ac:dyDescent="0.25">
      <c r="A1015" s="18" t="s">
        <v>266</v>
      </c>
      <c r="B1015" s="41" t="s">
        <v>22</v>
      </c>
      <c r="C1015" s="41">
        <v>0.999999999999999</v>
      </c>
      <c r="D1015" s="41" t="s">
        <v>22</v>
      </c>
      <c r="E1015" s="41" t="s">
        <v>22</v>
      </c>
      <c r="F1015" s="18">
        <v>8.4293193717277397</v>
      </c>
      <c r="G1015" s="18" t="s">
        <v>52</v>
      </c>
      <c r="H1015" s="18" t="s">
        <v>22</v>
      </c>
      <c r="I1015" s="18" t="s">
        <v>22</v>
      </c>
      <c r="J1015" s="41"/>
      <c r="K1015" s="18" t="s">
        <v>22</v>
      </c>
      <c r="L1015" s="41"/>
      <c r="M1015" s="18" t="s">
        <v>45</v>
      </c>
      <c r="N1015" s="41">
        <f t="shared" si="566"/>
        <v>3255.5243129384071</v>
      </c>
      <c r="O1015" s="41">
        <v>3.2555243129384102</v>
      </c>
      <c r="P1015" s="41" t="s">
        <v>22</v>
      </c>
      <c r="Q1015" s="41"/>
      <c r="R1015" s="41" t="s">
        <v>22</v>
      </c>
      <c r="S1015" s="41" t="s">
        <v>22</v>
      </c>
      <c r="T1015" s="41" t="s">
        <v>22</v>
      </c>
      <c r="U1015" s="41" t="s">
        <v>22</v>
      </c>
      <c r="V1015" s="18">
        <v>20200510</v>
      </c>
      <c r="W1015" s="21"/>
      <c r="X1015" s="18">
        <v>2019</v>
      </c>
      <c r="Y1015" s="18" t="s">
        <v>76</v>
      </c>
      <c r="Z1015" s="18" t="s">
        <v>263</v>
      </c>
      <c r="AA1015" s="18"/>
      <c r="AB1015" s="41"/>
      <c r="AC1015" s="18" t="s">
        <v>514</v>
      </c>
      <c r="AD1015" s="41" t="s">
        <v>22</v>
      </c>
      <c r="AE1015" s="41" t="s">
        <v>22</v>
      </c>
      <c r="AF1015" s="41" t="s">
        <v>22</v>
      </c>
      <c r="AG1015" s="41" t="s">
        <v>22</v>
      </c>
      <c r="AH1015" s="41" t="s">
        <v>22</v>
      </c>
      <c r="AI1015" s="41" t="s">
        <v>22</v>
      </c>
      <c r="AJ1015" s="41" t="s">
        <v>22</v>
      </c>
      <c r="AK1015" s="41" t="s">
        <v>22</v>
      </c>
      <c r="AL1015" s="41" t="s">
        <v>22</v>
      </c>
      <c r="AM1015" s="43" t="e">
        <f t="shared" si="531"/>
        <v>#VALUE!</v>
      </c>
      <c r="AN1015" s="43" t="e">
        <f t="shared" si="532"/>
        <v>#VALUE!</v>
      </c>
      <c r="AO1015" s="19" t="s">
        <v>262</v>
      </c>
      <c r="AP1015" s="18"/>
      <c r="AQ1015" s="18"/>
      <c r="AR1015" s="18"/>
      <c r="AS1015" s="18"/>
      <c r="AT1015" s="2">
        <f t="shared" si="533"/>
        <v>16</v>
      </c>
      <c r="AU1015" s="45" t="e">
        <f t="shared" si="534"/>
        <v>#VALUE!</v>
      </c>
      <c r="AV1015" s="45">
        <f t="shared" si="535"/>
        <v>-4.339473599489794E-16</v>
      </c>
      <c r="AW1015" s="45" t="e">
        <f t="shared" si="536"/>
        <v>#VALUE!</v>
      </c>
      <c r="AX1015" s="45">
        <f t="shared" si="537"/>
        <v>3.5126209430973097</v>
      </c>
      <c r="AY1015" s="45">
        <f t="shared" si="538"/>
        <v>0.51262094309731021</v>
      </c>
      <c r="AZ1015" s="45" t="e">
        <f t="shared" si="539"/>
        <v>#VALUE!</v>
      </c>
      <c r="BA1015" s="45" t="e">
        <f t="shared" si="540"/>
        <v>#NUM!</v>
      </c>
      <c r="BB1015" s="45" t="e">
        <f t="shared" si="541"/>
        <v>#NUM!</v>
      </c>
      <c r="BC1015" s="45" t="e">
        <f t="shared" si="542"/>
        <v>#VALUE!</v>
      </c>
      <c r="BD1015" s="45" t="e">
        <f t="shared" si="543"/>
        <v>#VALUE!</v>
      </c>
      <c r="BE1015" s="45" t="e">
        <f t="shared" si="544"/>
        <v>#VALUE!</v>
      </c>
      <c r="BF1015" s="45" t="e">
        <f t="shared" si="545"/>
        <v>#VALUE!</v>
      </c>
      <c r="BG1015" s="45" t="e">
        <f t="shared" si="546"/>
        <v>#VALUE!</v>
      </c>
      <c r="BH1015" s="45" t="e">
        <f t="shared" si="547"/>
        <v>#NUM!</v>
      </c>
      <c r="BI1015" s="43" t="e">
        <f t="shared" si="548"/>
        <v>#VALUE!</v>
      </c>
      <c r="BJ1015" s="18"/>
      <c r="BK1015" s="18"/>
      <c r="BL1015" s="20"/>
      <c r="BM1015" s="41"/>
      <c r="BN1015" s="41"/>
      <c r="BO1015" s="41"/>
      <c r="BP1015" s="41"/>
      <c r="BQ1015" s="41"/>
      <c r="BR1015" s="41"/>
      <c r="BS1015" s="18"/>
      <c r="BT1015" s="18"/>
      <c r="BU1015" s="41"/>
      <c r="BV1015" s="41"/>
      <c r="BW1015" s="41"/>
      <c r="BX1015" s="41"/>
      <c r="BY1015" s="41"/>
      <c r="BZ1015" s="41"/>
      <c r="CA1015" s="41" t="s">
        <v>22</v>
      </c>
      <c r="CB1015" s="18"/>
      <c r="CC1015" s="18" t="s">
        <v>22</v>
      </c>
      <c r="CD1015" s="18"/>
      <c r="CE1015" s="41" t="s">
        <v>22</v>
      </c>
      <c r="CF1015" s="41" t="s">
        <v>22</v>
      </c>
      <c r="CG1015" s="41" t="e">
        <f t="shared" si="560"/>
        <v>#VALUE!</v>
      </c>
      <c r="CH1015" s="41" t="e">
        <f t="shared" si="561"/>
        <v>#VALUE!</v>
      </c>
      <c r="CI1015" s="41" t="str">
        <f t="shared" si="562"/>
        <v>Not Reported/ Can not calculate</v>
      </c>
      <c r="CJ1015" s="41" t="e">
        <f t="shared" si="563"/>
        <v>#VALUE!</v>
      </c>
      <c r="CK1015" s="18"/>
      <c r="CL1015" s="9" t="s">
        <v>1269</v>
      </c>
      <c r="CM1015" s="18" t="s">
        <v>1284</v>
      </c>
      <c r="CN1015" s="54" t="s">
        <v>1284</v>
      </c>
      <c r="CO1015" s="18" t="s">
        <v>1284</v>
      </c>
    </row>
    <row r="1016" spans="1:93" s="1" customFormat="1" x14ac:dyDescent="0.25">
      <c r="A1016" s="18" t="s">
        <v>266</v>
      </c>
      <c r="B1016" s="41" t="s">
        <v>22</v>
      </c>
      <c r="C1016" s="41" t="s">
        <v>22</v>
      </c>
      <c r="D1016" s="41">
        <v>1.595</v>
      </c>
      <c r="E1016" s="41" t="s">
        <v>22</v>
      </c>
      <c r="F1016" s="18">
        <v>15</v>
      </c>
      <c r="G1016" s="18" t="s">
        <v>52</v>
      </c>
      <c r="H1016" s="18" t="s">
        <v>22</v>
      </c>
      <c r="I1016" s="18" t="s">
        <v>22</v>
      </c>
      <c r="J1016" s="41" t="s">
        <v>22</v>
      </c>
      <c r="K1016" s="18" t="s">
        <v>22</v>
      </c>
      <c r="L1016" s="41" t="e">
        <f t="shared" ref="L1016:L1040" si="567">IF((10^-12)*J1016*K1016^4=0,"",(10^-12)*J1016*K1016^4)</f>
        <v>#VALUE!</v>
      </c>
      <c r="M1016" s="18" t="s">
        <v>23</v>
      </c>
      <c r="N1016" s="41" t="s">
        <v>22</v>
      </c>
      <c r="O1016" s="41">
        <v>1.6</v>
      </c>
      <c r="P1016" s="41" t="s">
        <v>22</v>
      </c>
      <c r="Q1016" s="41"/>
      <c r="R1016" s="41" t="s">
        <v>22</v>
      </c>
      <c r="S1016" s="41">
        <f>O1016*D1016</f>
        <v>2.552</v>
      </c>
      <c r="T1016" s="41" t="s">
        <v>22</v>
      </c>
      <c r="U1016" s="41" t="s">
        <v>22</v>
      </c>
      <c r="V1016" s="18">
        <v>20200511</v>
      </c>
      <c r="W1016" s="21"/>
      <c r="X1016" s="18">
        <v>2019</v>
      </c>
      <c r="Y1016" s="18" t="s">
        <v>76</v>
      </c>
      <c r="Z1016" s="18" t="s">
        <v>264</v>
      </c>
      <c r="AA1016" s="18"/>
      <c r="AB1016" s="41"/>
      <c r="AC1016" s="18" t="s">
        <v>514</v>
      </c>
      <c r="AD1016" s="41" t="s">
        <v>22</v>
      </c>
      <c r="AE1016" s="41" t="s">
        <v>22</v>
      </c>
      <c r="AF1016" s="41" t="s">
        <v>22</v>
      </c>
      <c r="AG1016" s="41" t="s">
        <v>22</v>
      </c>
      <c r="AH1016" s="41" t="s">
        <v>22</v>
      </c>
      <c r="AI1016" s="41" t="s">
        <v>22</v>
      </c>
      <c r="AJ1016" s="41" t="s">
        <v>22</v>
      </c>
      <c r="AK1016" s="41" t="s">
        <v>22</v>
      </c>
      <c r="AL1016" s="41" t="s">
        <v>22</v>
      </c>
      <c r="AM1016" s="43" t="e">
        <f t="shared" si="531"/>
        <v>#VALUE!</v>
      </c>
      <c r="AN1016" s="43" t="e">
        <f t="shared" si="532"/>
        <v>#VALUE!</v>
      </c>
      <c r="AO1016" s="6" t="s">
        <v>265</v>
      </c>
      <c r="AP1016" s="18"/>
      <c r="AQ1016" s="18"/>
      <c r="AR1016" s="18"/>
      <c r="AS1016" s="18"/>
      <c r="AT1016" s="2">
        <f t="shared" si="533"/>
        <v>25</v>
      </c>
      <c r="AU1016" s="45" t="e">
        <f t="shared" si="534"/>
        <v>#VALUE!</v>
      </c>
      <c r="AV1016" s="45" t="e">
        <f t="shared" si="535"/>
        <v>#VALUE!</v>
      </c>
      <c r="AW1016" s="45">
        <f t="shared" si="536"/>
        <v>0.20276068739319991</v>
      </c>
      <c r="AX1016" s="45" t="e">
        <f t="shared" si="537"/>
        <v>#VALUE!</v>
      </c>
      <c r="AY1016" s="45">
        <f t="shared" si="538"/>
        <v>0.20411998265592479</v>
      </c>
      <c r="AZ1016" s="45" t="e">
        <f t="shared" si="539"/>
        <v>#VALUE!</v>
      </c>
      <c r="BA1016" s="45" t="e">
        <f t="shared" si="540"/>
        <v>#VALUE!</v>
      </c>
      <c r="BB1016" s="45" t="e">
        <f t="shared" si="541"/>
        <v>#VALUE!</v>
      </c>
      <c r="BC1016" s="45" t="e">
        <f t="shared" si="542"/>
        <v>#VALUE!</v>
      </c>
      <c r="BD1016" s="45" t="e">
        <f t="shared" si="543"/>
        <v>#VALUE!</v>
      </c>
      <c r="BE1016" s="45" t="e">
        <f t="shared" si="544"/>
        <v>#VALUE!</v>
      </c>
      <c r="BF1016" s="45" t="e">
        <f t="shared" si="545"/>
        <v>#VALUE!</v>
      </c>
      <c r="BG1016" s="45" t="e">
        <f t="shared" si="546"/>
        <v>#VALUE!</v>
      </c>
      <c r="BH1016" s="45" t="e">
        <f t="shared" si="547"/>
        <v>#NUM!</v>
      </c>
      <c r="BI1016" s="43" t="e">
        <f t="shared" si="548"/>
        <v>#VALUE!</v>
      </c>
      <c r="BJ1016" s="18"/>
      <c r="BK1016" s="18"/>
      <c r="BL1016" s="20"/>
      <c r="BM1016" s="41"/>
      <c r="BN1016" s="41"/>
      <c r="BO1016" s="41"/>
      <c r="BP1016" s="41"/>
      <c r="BQ1016" s="41"/>
      <c r="BR1016" s="41"/>
      <c r="BS1016" s="18"/>
      <c r="BT1016" s="18"/>
      <c r="BU1016" s="41"/>
      <c r="BV1016" s="41"/>
      <c r="BW1016" s="41"/>
      <c r="BX1016" s="41"/>
      <c r="BY1016" s="41"/>
      <c r="BZ1016" s="41"/>
      <c r="CA1016" s="41" t="s">
        <v>22</v>
      </c>
      <c r="CB1016" s="18"/>
      <c r="CC1016" s="18" t="s">
        <v>22</v>
      </c>
      <c r="CD1016" s="18"/>
      <c r="CE1016" s="41" t="s">
        <v>22</v>
      </c>
      <c r="CF1016" s="41" t="s">
        <v>22</v>
      </c>
      <c r="CG1016" s="41" t="e">
        <f t="shared" si="560"/>
        <v>#VALUE!</v>
      </c>
      <c r="CH1016" s="41" t="e">
        <f t="shared" si="561"/>
        <v>#VALUE!</v>
      </c>
      <c r="CI1016" s="41" t="str">
        <f t="shared" si="562"/>
        <v>Not Reported/ Can not calculate</v>
      </c>
      <c r="CJ1016" s="41" t="e">
        <f t="shared" si="563"/>
        <v>#VALUE!</v>
      </c>
      <c r="CK1016" s="18"/>
      <c r="CL1016" s="9" t="s">
        <v>1269</v>
      </c>
      <c r="CM1016" s="18" t="s">
        <v>1284</v>
      </c>
      <c r="CN1016" s="54" t="s">
        <v>1284</v>
      </c>
      <c r="CO1016" s="18" t="s">
        <v>1284</v>
      </c>
    </row>
    <row r="1017" spans="1:93" s="1" customFormat="1" x14ac:dyDescent="0.25">
      <c r="A1017" s="18" t="s">
        <v>266</v>
      </c>
      <c r="B1017" s="41" t="s">
        <v>22</v>
      </c>
      <c r="C1017" s="41" t="s">
        <v>22</v>
      </c>
      <c r="D1017" s="41">
        <v>1.3440000000000001</v>
      </c>
      <c r="E1017" s="41" t="s">
        <v>22</v>
      </c>
      <c r="F1017" s="18">
        <v>15</v>
      </c>
      <c r="G1017" s="18" t="s">
        <v>52</v>
      </c>
      <c r="H1017" s="18" t="s">
        <v>22</v>
      </c>
      <c r="I1017" s="18" t="s">
        <v>22</v>
      </c>
      <c r="J1017" s="41">
        <v>32.799999999999997</v>
      </c>
      <c r="K1017" s="18">
        <v>785</v>
      </c>
      <c r="L1017" s="41">
        <f t="shared" si="567"/>
        <v>12.455250620499999</v>
      </c>
      <c r="M1017" s="18" t="s">
        <v>23</v>
      </c>
      <c r="N1017" s="41" t="s">
        <v>22</v>
      </c>
      <c r="O1017" s="41" t="s">
        <v>22</v>
      </c>
      <c r="P1017" s="41" t="s">
        <v>22</v>
      </c>
      <c r="Q1017" s="41"/>
      <c r="R1017" s="41" t="s">
        <v>22</v>
      </c>
      <c r="S1017" s="41" t="s">
        <v>22</v>
      </c>
      <c r="T1017" s="41" t="s">
        <v>22</v>
      </c>
      <c r="U1017" s="41" t="s">
        <v>22</v>
      </c>
      <c r="V1017" s="18">
        <v>20200511</v>
      </c>
      <c r="W1017" s="21"/>
      <c r="X1017" s="18">
        <v>2019</v>
      </c>
      <c r="Y1017" s="18" t="s">
        <v>76</v>
      </c>
      <c r="Z1017" s="18" t="s">
        <v>264</v>
      </c>
      <c r="AA1017" s="18"/>
      <c r="AB1017" s="41"/>
      <c r="AC1017" s="18" t="s">
        <v>514</v>
      </c>
      <c r="AD1017" s="41" t="s">
        <v>22</v>
      </c>
      <c r="AE1017" s="41" t="s">
        <v>22</v>
      </c>
      <c r="AF1017" s="41" t="s">
        <v>22</v>
      </c>
      <c r="AG1017" s="41" t="s">
        <v>22</v>
      </c>
      <c r="AH1017" s="41" t="s">
        <v>22</v>
      </c>
      <c r="AI1017" s="41" t="s">
        <v>22</v>
      </c>
      <c r="AJ1017" s="41" t="s">
        <v>22</v>
      </c>
      <c r="AK1017" s="41" t="s">
        <v>22</v>
      </c>
      <c r="AL1017" s="41" t="s">
        <v>22</v>
      </c>
      <c r="AM1017" s="43" t="e">
        <f t="shared" si="531"/>
        <v>#VALUE!</v>
      </c>
      <c r="AN1017" s="43" t="e">
        <f t="shared" si="532"/>
        <v>#VALUE!</v>
      </c>
      <c r="AO1017" s="6" t="s">
        <v>265</v>
      </c>
      <c r="AP1017" s="18"/>
      <c r="AQ1017" s="18"/>
      <c r="AR1017" s="18"/>
      <c r="AS1017" s="18"/>
      <c r="AT1017" s="2">
        <f t="shared" si="533"/>
        <v>25</v>
      </c>
      <c r="AU1017" s="45" t="e">
        <f t="shared" si="534"/>
        <v>#VALUE!</v>
      </c>
      <c r="AV1017" s="45" t="e">
        <f t="shared" si="535"/>
        <v>#VALUE!</v>
      </c>
      <c r="AW1017" s="45">
        <f t="shared" si="536"/>
        <v>0.12839926871780646</v>
      </c>
      <c r="AX1017" s="45" t="e">
        <f t="shared" si="537"/>
        <v>#VALUE!</v>
      </c>
      <c r="AY1017" s="45" t="e">
        <f t="shared" si="538"/>
        <v>#VALUE!</v>
      </c>
      <c r="AZ1017" s="45" t="e">
        <f t="shared" si="539"/>
        <v>#VALUE!</v>
      </c>
      <c r="BA1017" s="45">
        <f t="shared" si="540"/>
        <v>1.515873843711679</v>
      </c>
      <c r="BB1017" s="45">
        <f t="shared" si="541"/>
        <v>1.0953524706926892</v>
      </c>
      <c r="BC1017" s="45" t="e">
        <f t="shared" si="542"/>
        <v>#VALUE!</v>
      </c>
      <c r="BD1017" s="45" t="e">
        <f t="shared" si="543"/>
        <v>#VALUE!</v>
      </c>
      <c r="BE1017" s="45" t="e">
        <f t="shared" si="544"/>
        <v>#VALUE!</v>
      </c>
      <c r="BF1017" s="45" t="e">
        <f t="shared" si="545"/>
        <v>#VALUE!</v>
      </c>
      <c r="BG1017" s="45" t="e">
        <f t="shared" si="546"/>
        <v>#VALUE!</v>
      </c>
      <c r="BH1017" s="45" t="e">
        <f t="shared" si="547"/>
        <v>#NUM!</v>
      </c>
      <c r="BI1017" s="43" t="e">
        <f t="shared" si="548"/>
        <v>#VALUE!</v>
      </c>
      <c r="BJ1017" s="18"/>
      <c r="BK1017" s="18"/>
      <c r="BL1017" s="20"/>
      <c r="BM1017" s="41"/>
      <c r="BN1017" s="41"/>
      <c r="BO1017" s="41"/>
      <c r="BP1017" s="41"/>
      <c r="BQ1017" s="41"/>
      <c r="BR1017" s="41"/>
      <c r="BS1017" s="18"/>
      <c r="BT1017" s="18"/>
      <c r="BU1017" s="41"/>
      <c r="BV1017" s="41"/>
      <c r="BW1017" s="41"/>
      <c r="BX1017" s="41"/>
      <c r="BY1017" s="41"/>
      <c r="BZ1017" s="41"/>
      <c r="CA1017" s="41" t="s">
        <v>22</v>
      </c>
      <c r="CB1017" s="18"/>
      <c r="CC1017" s="18" t="s">
        <v>22</v>
      </c>
      <c r="CD1017" s="18"/>
      <c r="CE1017" s="41" t="s">
        <v>22</v>
      </c>
      <c r="CF1017" s="41" t="s">
        <v>22</v>
      </c>
      <c r="CG1017" s="41" t="e">
        <f t="shared" si="560"/>
        <v>#VALUE!</v>
      </c>
      <c r="CH1017" s="41" t="e">
        <f t="shared" si="561"/>
        <v>#VALUE!</v>
      </c>
      <c r="CI1017" s="41" t="str">
        <f t="shared" si="562"/>
        <v>Not Reported/ Can not calculate</v>
      </c>
      <c r="CJ1017" s="41" t="e">
        <f t="shared" si="563"/>
        <v>#VALUE!</v>
      </c>
      <c r="CK1017" s="18"/>
      <c r="CL1017" s="9" t="s">
        <v>1269</v>
      </c>
      <c r="CM1017" s="18" t="s">
        <v>1284</v>
      </c>
      <c r="CN1017" s="54" t="s">
        <v>1284</v>
      </c>
      <c r="CO1017" s="18" t="s">
        <v>1284</v>
      </c>
    </row>
    <row r="1018" spans="1:93" s="9" customFormat="1" x14ac:dyDescent="0.25">
      <c r="A1018" s="9" t="s">
        <v>266</v>
      </c>
      <c r="B1018" s="50" t="s">
        <v>22</v>
      </c>
      <c r="C1018" s="50" t="s">
        <v>22</v>
      </c>
      <c r="D1018" s="50">
        <v>1.0147368421052601</v>
      </c>
      <c r="E1018" s="50" t="s">
        <v>22</v>
      </c>
      <c r="F1018" s="9" t="s">
        <v>22</v>
      </c>
      <c r="G1018" s="9" t="s">
        <v>22</v>
      </c>
      <c r="H1018" s="9" t="s">
        <v>22</v>
      </c>
      <c r="I1018" s="9" t="s">
        <v>22</v>
      </c>
      <c r="J1018" s="50" t="s">
        <v>22</v>
      </c>
      <c r="K1018" s="9" t="s">
        <v>22</v>
      </c>
      <c r="L1018" s="50" t="e">
        <f t="shared" si="567"/>
        <v>#VALUE!</v>
      </c>
      <c r="M1018" s="9" t="s">
        <v>23</v>
      </c>
      <c r="N1018" s="50" t="s">
        <v>22</v>
      </c>
      <c r="O1018" s="50">
        <v>1.44310344827586</v>
      </c>
      <c r="P1018" s="50" t="s">
        <v>22</v>
      </c>
      <c r="Q1018" s="50"/>
      <c r="R1018" s="50" t="s">
        <v>22</v>
      </c>
      <c r="S1018" s="50">
        <f t="shared" ref="S1018:S1028" si="568">O1018*D1018</f>
        <v>1.4643702359346578</v>
      </c>
      <c r="T1018" s="50" t="s">
        <v>22</v>
      </c>
      <c r="U1018" s="50" t="s">
        <v>22</v>
      </c>
      <c r="V1018" s="9">
        <v>20200719</v>
      </c>
      <c r="W1018" s="21"/>
      <c r="X1018" s="21">
        <v>2019</v>
      </c>
      <c r="Y1018" s="9" t="s">
        <v>76</v>
      </c>
      <c r="Z1018" s="9" t="s">
        <v>1121</v>
      </c>
      <c r="AB1018" s="50"/>
      <c r="AC1018" s="9" t="s">
        <v>514</v>
      </c>
      <c r="AD1018" s="50" t="s">
        <v>22</v>
      </c>
      <c r="AE1018" s="50"/>
      <c r="AF1018" s="50" t="s">
        <v>22</v>
      </c>
      <c r="AG1018" s="50" t="s">
        <v>22</v>
      </c>
      <c r="AH1018" s="50" t="s">
        <v>22</v>
      </c>
      <c r="AI1018" s="50" t="s">
        <v>22</v>
      </c>
      <c r="AJ1018" s="50" t="s">
        <v>22</v>
      </c>
      <c r="AK1018" s="50" t="s">
        <v>22</v>
      </c>
      <c r="AL1018" s="50" t="s">
        <v>22</v>
      </c>
      <c r="AM1018" s="43" t="e">
        <f t="shared" si="531"/>
        <v>#VALUE!</v>
      </c>
      <c r="AN1018" s="43" t="e">
        <f t="shared" si="532"/>
        <v>#VALUE!</v>
      </c>
      <c r="AO1018" s="21" t="s">
        <v>265</v>
      </c>
      <c r="AT1018" s="2">
        <f t="shared" si="533"/>
        <v>25</v>
      </c>
      <c r="AU1018" s="45" t="e">
        <f t="shared" si="534"/>
        <v>#VALUE!</v>
      </c>
      <c r="AV1018" s="45" t="e">
        <f t="shared" si="535"/>
        <v>#VALUE!</v>
      </c>
      <c r="AW1018" s="45">
        <f t="shared" si="536"/>
        <v>6.3534286139816784E-3</v>
      </c>
      <c r="AX1018" s="45" t="e">
        <f t="shared" si="537"/>
        <v>#VALUE!</v>
      </c>
      <c r="AY1018" s="45">
        <f t="shared" si="538"/>
        <v>0.15929746443032208</v>
      </c>
      <c r="AZ1018" s="45" t="e">
        <f t="shared" si="539"/>
        <v>#VALUE!</v>
      </c>
      <c r="BA1018" s="45" t="e">
        <f t="shared" si="540"/>
        <v>#VALUE!</v>
      </c>
      <c r="BB1018" s="45" t="e">
        <f t="shared" si="541"/>
        <v>#VALUE!</v>
      </c>
      <c r="BC1018" s="45" t="e">
        <f t="shared" si="542"/>
        <v>#VALUE!</v>
      </c>
      <c r="BD1018" s="45" t="e">
        <f t="shared" si="543"/>
        <v>#VALUE!</v>
      </c>
      <c r="BE1018" s="45" t="e">
        <f t="shared" si="544"/>
        <v>#VALUE!</v>
      </c>
      <c r="BF1018" s="45" t="e">
        <f t="shared" si="545"/>
        <v>#VALUE!</v>
      </c>
      <c r="BG1018" s="45" t="e">
        <f t="shared" si="546"/>
        <v>#VALUE!</v>
      </c>
      <c r="BH1018" s="45" t="e">
        <f t="shared" si="547"/>
        <v>#NUM!</v>
      </c>
      <c r="BI1018" s="43" t="e">
        <f t="shared" si="548"/>
        <v>#VALUE!</v>
      </c>
      <c r="BL1018" s="20"/>
      <c r="BM1018" s="50"/>
      <c r="BN1018" s="50"/>
      <c r="BO1018" s="50"/>
      <c r="BP1018" s="50"/>
      <c r="BQ1018" s="50"/>
      <c r="BR1018" s="50"/>
      <c r="BU1018" s="50"/>
      <c r="BV1018" s="50"/>
      <c r="BW1018" s="50"/>
      <c r="BX1018" s="50"/>
      <c r="BY1018" s="50"/>
      <c r="BZ1018" s="50"/>
      <c r="CA1018" s="50" t="s">
        <v>22</v>
      </c>
      <c r="CE1018" s="50"/>
      <c r="CF1018" s="50"/>
      <c r="CG1018" s="50"/>
      <c r="CH1018" s="50"/>
      <c r="CI1018" s="50" t="str">
        <f t="shared" ref="CI1018:CI1040" si="569">IF(ISNUMBER(CG1018),CG1018,U1018)</f>
        <v>Not Reported/ Can not calculate</v>
      </c>
      <c r="CJ1018" s="50" t="e">
        <f t="shared" ref="CJ1018:CJ1040" si="570">LOG10(CI1018)</f>
        <v>#VALUE!</v>
      </c>
      <c r="CL1018" s="9" t="s">
        <v>1269</v>
      </c>
      <c r="CM1018" s="9" t="s">
        <v>1284</v>
      </c>
      <c r="CN1018" s="55" t="s">
        <v>1284</v>
      </c>
      <c r="CO1018" s="9" t="s">
        <v>1284</v>
      </c>
    </row>
    <row r="1019" spans="1:93" s="9" customFormat="1" x14ac:dyDescent="0.25">
      <c r="A1019" s="9" t="s">
        <v>266</v>
      </c>
      <c r="B1019" s="50" t="s">
        <v>22</v>
      </c>
      <c r="C1019" s="50" t="s">
        <v>22</v>
      </c>
      <c r="D1019" s="50">
        <v>1.2421052631578899</v>
      </c>
      <c r="E1019" s="50" t="s">
        <v>22</v>
      </c>
      <c r="F1019" s="9" t="s">
        <v>22</v>
      </c>
      <c r="G1019" s="9" t="s">
        <v>22</v>
      </c>
      <c r="H1019" s="9" t="s">
        <v>22</v>
      </c>
      <c r="I1019" s="9" t="s">
        <v>22</v>
      </c>
      <c r="J1019" s="50" t="s">
        <v>22</v>
      </c>
      <c r="K1019" s="9" t="s">
        <v>22</v>
      </c>
      <c r="L1019" s="50" t="e">
        <f t="shared" si="567"/>
        <v>#VALUE!</v>
      </c>
      <c r="M1019" s="9" t="s">
        <v>23</v>
      </c>
      <c r="N1019" s="50" t="s">
        <v>22</v>
      </c>
      <c r="O1019" s="50">
        <v>1.2362068965517199</v>
      </c>
      <c r="P1019" s="50" t="s">
        <v>22</v>
      </c>
      <c r="Q1019" s="50"/>
      <c r="R1019" s="50" t="s">
        <v>22</v>
      </c>
      <c r="S1019" s="50">
        <f t="shared" si="568"/>
        <v>1.5354990925589724</v>
      </c>
      <c r="T1019" s="50" t="s">
        <v>22</v>
      </c>
      <c r="U1019" s="50" t="s">
        <v>22</v>
      </c>
      <c r="V1019" s="9">
        <v>20200719</v>
      </c>
      <c r="W1019" s="21"/>
      <c r="X1019" s="21">
        <v>2019</v>
      </c>
      <c r="Y1019" s="9" t="s">
        <v>76</v>
      </c>
      <c r="Z1019" s="9" t="s">
        <v>1121</v>
      </c>
      <c r="AB1019" s="50"/>
      <c r="AC1019" s="9" t="s">
        <v>514</v>
      </c>
      <c r="AD1019" s="50" t="s">
        <v>22</v>
      </c>
      <c r="AE1019" s="50"/>
      <c r="AF1019" s="50" t="s">
        <v>22</v>
      </c>
      <c r="AG1019" s="50" t="s">
        <v>22</v>
      </c>
      <c r="AH1019" s="50" t="s">
        <v>22</v>
      </c>
      <c r="AI1019" s="50" t="s">
        <v>22</v>
      </c>
      <c r="AJ1019" s="50" t="s">
        <v>22</v>
      </c>
      <c r="AK1019" s="50" t="s">
        <v>22</v>
      </c>
      <c r="AL1019" s="50" t="s">
        <v>22</v>
      </c>
      <c r="AM1019" s="43" t="e">
        <f t="shared" si="531"/>
        <v>#VALUE!</v>
      </c>
      <c r="AN1019" s="43" t="e">
        <f t="shared" si="532"/>
        <v>#VALUE!</v>
      </c>
      <c r="AO1019" s="21" t="s">
        <v>265</v>
      </c>
      <c r="AT1019" s="2">
        <f t="shared" si="533"/>
        <v>25</v>
      </c>
      <c r="AU1019" s="45" t="e">
        <f t="shared" si="534"/>
        <v>#VALUE!</v>
      </c>
      <c r="AV1019" s="45" t="e">
        <f t="shared" si="535"/>
        <v>#VALUE!</v>
      </c>
      <c r="AW1019" s="45">
        <f t="shared" si="536"/>
        <v>9.4158402017275947E-2</v>
      </c>
      <c r="AX1019" s="45" t="e">
        <f t="shared" si="537"/>
        <v>#VALUE!</v>
      </c>
      <c r="AY1019" s="45">
        <f t="shared" si="538"/>
        <v>9.2091162104861346E-2</v>
      </c>
      <c r="AZ1019" s="45" t="e">
        <f t="shared" si="539"/>
        <v>#VALUE!</v>
      </c>
      <c r="BA1019" s="45" t="e">
        <f t="shared" si="540"/>
        <v>#VALUE!</v>
      </c>
      <c r="BB1019" s="45" t="e">
        <f t="shared" si="541"/>
        <v>#VALUE!</v>
      </c>
      <c r="BC1019" s="45" t="e">
        <f t="shared" si="542"/>
        <v>#VALUE!</v>
      </c>
      <c r="BD1019" s="45" t="e">
        <f t="shared" si="543"/>
        <v>#VALUE!</v>
      </c>
      <c r="BE1019" s="45" t="e">
        <f t="shared" si="544"/>
        <v>#VALUE!</v>
      </c>
      <c r="BF1019" s="45" t="e">
        <f t="shared" si="545"/>
        <v>#VALUE!</v>
      </c>
      <c r="BG1019" s="45" t="e">
        <f t="shared" si="546"/>
        <v>#VALUE!</v>
      </c>
      <c r="BH1019" s="45" t="e">
        <f t="shared" si="547"/>
        <v>#NUM!</v>
      </c>
      <c r="BI1019" s="43" t="e">
        <f t="shared" si="548"/>
        <v>#VALUE!</v>
      </c>
      <c r="BL1019" s="20"/>
      <c r="BM1019" s="50"/>
      <c r="BN1019" s="50"/>
      <c r="BO1019" s="50"/>
      <c r="BP1019" s="50"/>
      <c r="BQ1019" s="50"/>
      <c r="BR1019" s="50"/>
      <c r="BU1019" s="50"/>
      <c r="BV1019" s="50"/>
      <c r="BW1019" s="50"/>
      <c r="BX1019" s="50"/>
      <c r="BY1019" s="50"/>
      <c r="BZ1019" s="50"/>
      <c r="CA1019" s="50" t="s">
        <v>22</v>
      </c>
      <c r="CE1019" s="50"/>
      <c r="CF1019" s="50"/>
      <c r="CG1019" s="50"/>
      <c r="CH1019" s="50"/>
      <c r="CI1019" s="50" t="str">
        <f t="shared" si="569"/>
        <v>Not Reported/ Can not calculate</v>
      </c>
      <c r="CJ1019" s="50" t="e">
        <f t="shared" si="570"/>
        <v>#VALUE!</v>
      </c>
      <c r="CL1019" s="9" t="s">
        <v>1269</v>
      </c>
      <c r="CM1019" s="9" t="s">
        <v>1284</v>
      </c>
      <c r="CN1019" s="55" t="s">
        <v>1284</v>
      </c>
      <c r="CO1019" s="9" t="s">
        <v>1284</v>
      </c>
    </row>
    <row r="1020" spans="1:93" s="9" customFormat="1" x14ac:dyDescent="0.25">
      <c r="A1020" s="9" t="s">
        <v>266</v>
      </c>
      <c r="B1020" s="50" t="s">
        <v>22</v>
      </c>
      <c r="C1020" s="50" t="s">
        <v>22</v>
      </c>
      <c r="D1020" s="50">
        <v>1.1347368421052599</v>
      </c>
      <c r="E1020" s="50" t="s">
        <v>22</v>
      </c>
      <c r="F1020" s="9" t="s">
        <v>22</v>
      </c>
      <c r="G1020" s="9" t="s">
        <v>22</v>
      </c>
      <c r="H1020" s="9" t="s">
        <v>22</v>
      </c>
      <c r="I1020" s="9" t="s">
        <v>22</v>
      </c>
      <c r="J1020" s="50" t="s">
        <v>22</v>
      </c>
      <c r="K1020" s="9" t="s">
        <v>22</v>
      </c>
      <c r="L1020" s="50" t="e">
        <f t="shared" si="567"/>
        <v>#VALUE!</v>
      </c>
      <c r="M1020" s="9" t="s">
        <v>23</v>
      </c>
      <c r="N1020" s="50" t="s">
        <v>22</v>
      </c>
      <c r="O1020" s="50">
        <v>1.2850574712643601</v>
      </c>
      <c r="P1020" s="50" t="s">
        <v>22</v>
      </c>
      <c r="Q1020" s="50"/>
      <c r="R1020" s="50" t="s">
        <v>22</v>
      </c>
      <c r="S1020" s="50">
        <f t="shared" si="568"/>
        <v>1.4582020568662908</v>
      </c>
      <c r="T1020" s="50" t="s">
        <v>22</v>
      </c>
      <c r="U1020" s="50" t="s">
        <v>22</v>
      </c>
      <c r="V1020" s="9">
        <v>20200719</v>
      </c>
      <c r="W1020" s="21"/>
      <c r="X1020" s="21">
        <v>2019</v>
      </c>
      <c r="Y1020" s="9" t="s">
        <v>76</v>
      </c>
      <c r="Z1020" s="9" t="s">
        <v>1121</v>
      </c>
      <c r="AB1020" s="50"/>
      <c r="AC1020" s="9" t="s">
        <v>514</v>
      </c>
      <c r="AD1020" s="50" t="s">
        <v>22</v>
      </c>
      <c r="AE1020" s="50"/>
      <c r="AF1020" s="50" t="s">
        <v>22</v>
      </c>
      <c r="AG1020" s="50" t="s">
        <v>22</v>
      </c>
      <c r="AH1020" s="50" t="s">
        <v>22</v>
      </c>
      <c r="AI1020" s="50" t="s">
        <v>22</v>
      </c>
      <c r="AJ1020" s="50" t="s">
        <v>22</v>
      </c>
      <c r="AK1020" s="50" t="s">
        <v>22</v>
      </c>
      <c r="AL1020" s="50" t="s">
        <v>22</v>
      </c>
      <c r="AM1020" s="43" t="e">
        <f t="shared" si="531"/>
        <v>#VALUE!</v>
      </c>
      <c r="AN1020" s="43" t="e">
        <f t="shared" si="532"/>
        <v>#VALUE!</v>
      </c>
      <c r="AO1020" s="21" t="s">
        <v>265</v>
      </c>
      <c r="AT1020" s="2">
        <f t="shared" si="533"/>
        <v>25</v>
      </c>
      <c r="AU1020" s="45" t="e">
        <f t="shared" si="534"/>
        <v>#VALUE!</v>
      </c>
      <c r="AV1020" s="45" t="e">
        <f t="shared" si="535"/>
        <v>#VALUE!</v>
      </c>
      <c r="AW1020" s="45">
        <f t="shared" si="536"/>
        <v>5.4895155561870898E-2</v>
      </c>
      <c r="AX1020" s="45" t="e">
        <f t="shared" si="537"/>
        <v>#VALUE!</v>
      </c>
      <c r="AY1020" s="45">
        <f t="shared" si="538"/>
        <v>0.10892255093178335</v>
      </c>
      <c r="AZ1020" s="45" t="e">
        <f t="shared" si="539"/>
        <v>#VALUE!</v>
      </c>
      <c r="BA1020" s="45" t="e">
        <f t="shared" si="540"/>
        <v>#VALUE!</v>
      </c>
      <c r="BB1020" s="45" t="e">
        <f t="shared" si="541"/>
        <v>#VALUE!</v>
      </c>
      <c r="BC1020" s="45" t="e">
        <f t="shared" si="542"/>
        <v>#VALUE!</v>
      </c>
      <c r="BD1020" s="45" t="e">
        <f t="shared" si="543"/>
        <v>#VALUE!</v>
      </c>
      <c r="BE1020" s="45" t="e">
        <f t="shared" si="544"/>
        <v>#VALUE!</v>
      </c>
      <c r="BF1020" s="45" t="e">
        <f t="shared" si="545"/>
        <v>#VALUE!</v>
      </c>
      <c r="BG1020" s="45" t="e">
        <f t="shared" si="546"/>
        <v>#VALUE!</v>
      </c>
      <c r="BH1020" s="45" t="e">
        <f t="shared" si="547"/>
        <v>#NUM!</v>
      </c>
      <c r="BI1020" s="43" t="e">
        <f t="shared" si="548"/>
        <v>#VALUE!</v>
      </c>
      <c r="BL1020" s="20"/>
      <c r="BM1020" s="50"/>
      <c r="BN1020" s="50"/>
      <c r="BO1020" s="50"/>
      <c r="BP1020" s="50"/>
      <c r="BQ1020" s="50"/>
      <c r="BR1020" s="50"/>
      <c r="BU1020" s="50"/>
      <c r="BV1020" s="50"/>
      <c r="BW1020" s="50"/>
      <c r="BX1020" s="50"/>
      <c r="BY1020" s="50"/>
      <c r="BZ1020" s="50"/>
      <c r="CA1020" s="50" t="s">
        <v>22</v>
      </c>
      <c r="CE1020" s="50"/>
      <c r="CF1020" s="50"/>
      <c r="CG1020" s="50"/>
      <c r="CH1020" s="50"/>
      <c r="CI1020" s="50" t="str">
        <f t="shared" si="569"/>
        <v>Not Reported/ Can not calculate</v>
      </c>
      <c r="CJ1020" s="50" t="e">
        <f t="shared" si="570"/>
        <v>#VALUE!</v>
      </c>
      <c r="CL1020" s="9" t="s">
        <v>1269</v>
      </c>
      <c r="CM1020" s="9" t="s">
        <v>1284</v>
      </c>
      <c r="CN1020" s="55" t="s">
        <v>1284</v>
      </c>
      <c r="CO1020" s="9" t="s">
        <v>1284</v>
      </c>
    </row>
    <row r="1021" spans="1:93" s="9" customFormat="1" x14ac:dyDescent="0.25">
      <c r="A1021" s="9" t="s">
        <v>266</v>
      </c>
      <c r="B1021" s="50" t="s">
        <v>22</v>
      </c>
      <c r="C1021" s="50" t="s">
        <v>22</v>
      </c>
      <c r="D1021" s="50">
        <v>1.2778947368421001</v>
      </c>
      <c r="E1021" s="50" t="s">
        <v>22</v>
      </c>
      <c r="F1021" s="9" t="s">
        <v>22</v>
      </c>
      <c r="G1021" s="9" t="s">
        <v>22</v>
      </c>
      <c r="H1021" s="9" t="s">
        <v>22</v>
      </c>
      <c r="I1021" s="9" t="s">
        <v>22</v>
      </c>
      <c r="J1021" s="50" t="s">
        <v>22</v>
      </c>
      <c r="K1021" s="9" t="s">
        <v>22</v>
      </c>
      <c r="L1021" s="50" t="e">
        <f t="shared" si="567"/>
        <v>#VALUE!</v>
      </c>
      <c r="M1021" s="9" t="s">
        <v>23</v>
      </c>
      <c r="N1021" s="50" t="s">
        <v>22</v>
      </c>
      <c r="O1021" s="50">
        <v>1.1241379310344799</v>
      </c>
      <c r="P1021" s="50" t="s">
        <v>22</v>
      </c>
      <c r="Q1021" s="50"/>
      <c r="R1021" s="50" t="s">
        <v>22</v>
      </c>
      <c r="S1021" s="50">
        <f t="shared" si="568"/>
        <v>1.4365299455535296</v>
      </c>
      <c r="T1021" s="50" t="s">
        <v>22</v>
      </c>
      <c r="U1021" s="50" t="s">
        <v>22</v>
      </c>
      <c r="V1021" s="9">
        <v>20200719</v>
      </c>
      <c r="W1021" s="21"/>
      <c r="X1021" s="21">
        <v>2019</v>
      </c>
      <c r="Y1021" s="9" t="s">
        <v>76</v>
      </c>
      <c r="Z1021" s="9" t="s">
        <v>1121</v>
      </c>
      <c r="AB1021" s="50"/>
      <c r="AC1021" s="9" t="s">
        <v>514</v>
      </c>
      <c r="AD1021" s="50" t="s">
        <v>22</v>
      </c>
      <c r="AE1021" s="50"/>
      <c r="AF1021" s="50" t="s">
        <v>22</v>
      </c>
      <c r="AG1021" s="50" t="s">
        <v>22</v>
      </c>
      <c r="AH1021" s="50" t="s">
        <v>22</v>
      </c>
      <c r="AI1021" s="50" t="s">
        <v>22</v>
      </c>
      <c r="AJ1021" s="50" t="s">
        <v>22</v>
      </c>
      <c r="AK1021" s="50" t="s">
        <v>22</v>
      </c>
      <c r="AL1021" s="50" t="s">
        <v>22</v>
      </c>
      <c r="AM1021" s="43" t="e">
        <f t="shared" si="531"/>
        <v>#VALUE!</v>
      </c>
      <c r="AN1021" s="43" t="e">
        <f t="shared" si="532"/>
        <v>#VALUE!</v>
      </c>
      <c r="AO1021" s="21" t="s">
        <v>265</v>
      </c>
      <c r="AT1021" s="2">
        <f t="shared" si="533"/>
        <v>25</v>
      </c>
      <c r="AU1021" s="45" t="e">
        <f t="shared" si="534"/>
        <v>#VALUE!</v>
      </c>
      <c r="AV1021" s="45" t="e">
        <f t="shared" si="535"/>
        <v>#VALUE!</v>
      </c>
      <c r="AW1021" s="45">
        <f t="shared" si="536"/>
        <v>0.10649508145038925</v>
      </c>
      <c r="AX1021" s="45" t="e">
        <f t="shared" si="537"/>
        <v>#VALUE!</v>
      </c>
      <c r="AY1021" s="45">
        <f t="shared" si="538"/>
        <v>5.0819602168981813E-2</v>
      </c>
      <c r="AZ1021" s="45" t="e">
        <f t="shared" si="539"/>
        <v>#VALUE!</v>
      </c>
      <c r="BA1021" s="45" t="e">
        <f t="shared" si="540"/>
        <v>#VALUE!</v>
      </c>
      <c r="BB1021" s="45" t="e">
        <f t="shared" si="541"/>
        <v>#VALUE!</v>
      </c>
      <c r="BC1021" s="45" t="e">
        <f t="shared" si="542"/>
        <v>#VALUE!</v>
      </c>
      <c r="BD1021" s="45" t="e">
        <f t="shared" si="543"/>
        <v>#VALUE!</v>
      </c>
      <c r="BE1021" s="45" t="e">
        <f t="shared" si="544"/>
        <v>#VALUE!</v>
      </c>
      <c r="BF1021" s="45" t="e">
        <f t="shared" si="545"/>
        <v>#VALUE!</v>
      </c>
      <c r="BG1021" s="45" t="e">
        <f t="shared" si="546"/>
        <v>#VALUE!</v>
      </c>
      <c r="BH1021" s="45" t="e">
        <f t="shared" si="547"/>
        <v>#NUM!</v>
      </c>
      <c r="BI1021" s="43" t="e">
        <f t="shared" si="548"/>
        <v>#VALUE!</v>
      </c>
      <c r="BL1021" s="20"/>
      <c r="BM1021" s="50"/>
      <c r="BN1021" s="50"/>
      <c r="BO1021" s="50"/>
      <c r="BP1021" s="50"/>
      <c r="BQ1021" s="50"/>
      <c r="BR1021" s="50"/>
      <c r="BU1021" s="50"/>
      <c r="BV1021" s="50"/>
      <c r="BW1021" s="50"/>
      <c r="BX1021" s="50"/>
      <c r="BY1021" s="50"/>
      <c r="BZ1021" s="50"/>
      <c r="CA1021" s="50" t="s">
        <v>22</v>
      </c>
      <c r="CE1021" s="50"/>
      <c r="CF1021" s="50"/>
      <c r="CG1021" s="50"/>
      <c r="CH1021" s="50"/>
      <c r="CI1021" s="50" t="str">
        <f t="shared" si="569"/>
        <v>Not Reported/ Can not calculate</v>
      </c>
      <c r="CJ1021" s="50" t="e">
        <f t="shared" si="570"/>
        <v>#VALUE!</v>
      </c>
      <c r="CL1021" s="9" t="s">
        <v>1269</v>
      </c>
      <c r="CM1021" s="9" t="s">
        <v>1284</v>
      </c>
      <c r="CN1021" s="55" t="s">
        <v>1284</v>
      </c>
      <c r="CO1021" s="9" t="s">
        <v>1284</v>
      </c>
    </row>
    <row r="1022" spans="1:93" s="9" customFormat="1" x14ac:dyDescent="0.25">
      <c r="A1022" s="9" t="s">
        <v>266</v>
      </c>
      <c r="B1022" s="50" t="s">
        <v>22</v>
      </c>
      <c r="C1022" s="50" t="s">
        <v>22</v>
      </c>
      <c r="D1022" s="50">
        <v>1.2757894736842099</v>
      </c>
      <c r="E1022" s="50" t="s">
        <v>22</v>
      </c>
      <c r="F1022" s="9" t="s">
        <v>22</v>
      </c>
      <c r="G1022" s="9" t="s">
        <v>22</v>
      </c>
      <c r="H1022" s="9" t="s">
        <v>22</v>
      </c>
      <c r="I1022" s="9" t="s">
        <v>22</v>
      </c>
      <c r="J1022" s="50" t="s">
        <v>22</v>
      </c>
      <c r="K1022" s="9" t="s">
        <v>22</v>
      </c>
      <c r="L1022" s="50" t="e">
        <f t="shared" si="567"/>
        <v>#VALUE!</v>
      </c>
      <c r="M1022" s="9" t="s">
        <v>23</v>
      </c>
      <c r="N1022" s="50" t="s">
        <v>22</v>
      </c>
      <c r="O1022" s="50">
        <v>0.89137931034482698</v>
      </c>
      <c r="P1022" s="50" t="s">
        <v>22</v>
      </c>
      <c r="Q1022" s="50"/>
      <c r="R1022" s="50" t="s">
        <v>22</v>
      </c>
      <c r="S1022" s="50">
        <f t="shared" si="568"/>
        <v>1.1372123411978208</v>
      </c>
      <c r="T1022" s="50" t="s">
        <v>22</v>
      </c>
      <c r="U1022" s="50" t="s">
        <v>22</v>
      </c>
      <c r="V1022" s="9">
        <v>20200719</v>
      </c>
      <c r="W1022" s="21"/>
      <c r="X1022" s="21">
        <v>2019</v>
      </c>
      <c r="Y1022" s="9" t="s">
        <v>76</v>
      </c>
      <c r="Z1022" s="9" t="s">
        <v>1121</v>
      </c>
      <c r="AB1022" s="50"/>
      <c r="AC1022" s="9" t="s">
        <v>514</v>
      </c>
      <c r="AD1022" s="50" t="s">
        <v>22</v>
      </c>
      <c r="AE1022" s="50"/>
      <c r="AF1022" s="50" t="s">
        <v>22</v>
      </c>
      <c r="AG1022" s="50" t="s">
        <v>22</v>
      </c>
      <c r="AH1022" s="50" t="s">
        <v>22</v>
      </c>
      <c r="AI1022" s="50" t="s">
        <v>22</v>
      </c>
      <c r="AJ1022" s="50" t="s">
        <v>22</v>
      </c>
      <c r="AK1022" s="50" t="s">
        <v>22</v>
      </c>
      <c r="AL1022" s="50" t="s">
        <v>22</v>
      </c>
      <c r="AM1022" s="43" t="e">
        <f t="shared" si="531"/>
        <v>#VALUE!</v>
      </c>
      <c r="AN1022" s="43" t="e">
        <f t="shared" si="532"/>
        <v>#VALUE!</v>
      </c>
      <c r="AO1022" s="21" t="s">
        <v>265</v>
      </c>
      <c r="AT1022" s="2">
        <f t="shared" si="533"/>
        <v>25</v>
      </c>
      <c r="AU1022" s="45" t="e">
        <f t="shared" si="534"/>
        <v>#VALUE!</v>
      </c>
      <c r="AV1022" s="45" t="e">
        <f t="shared" si="535"/>
        <v>#VALUE!</v>
      </c>
      <c r="AW1022" s="45">
        <f t="shared" si="536"/>
        <v>0.10577901454141943</v>
      </c>
      <c r="AX1022" s="45" t="e">
        <f t="shared" si="537"/>
        <v>#VALUE!</v>
      </c>
      <c r="AY1022" s="45">
        <f t="shared" si="538"/>
        <v>-4.9937450468995073E-2</v>
      </c>
      <c r="AZ1022" s="45" t="e">
        <f t="shared" si="539"/>
        <v>#VALUE!</v>
      </c>
      <c r="BA1022" s="45" t="e">
        <f t="shared" si="540"/>
        <v>#VALUE!</v>
      </c>
      <c r="BB1022" s="45" t="e">
        <f t="shared" si="541"/>
        <v>#VALUE!</v>
      </c>
      <c r="BC1022" s="45" t="e">
        <f t="shared" si="542"/>
        <v>#VALUE!</v>
      </c>
      <c r="BD1022" s="45" t="e">
        <f t="shared" si="543"/>
        <v>#VALUE!</v>
      </c>
      <c r="BE1022" s="45" t="e">
        <f t="shared" si="544"/>
        <v>#VALUE!</v>
      </c>
      <c r="BF1022" s="45" t="e">
        <f t="shared" si="545"/>
        <v>#VALUE!</v>
      </c>
      <c r="BG1022" s="45" t="e">
        <f t="shared" si="546"/>
        <v>#VALUE!</v>
      </c>
      <c r="BH1022" s="45" t="e">
        <f t="shared" si="547"/>
        <v>#NUM!</v>
      </c>
      <c r="BI1022" s="43" t="e">
        <f t="shared" si="548"/>
        <v>#VALUE!</v>
      </c>
      <c r="BL1022" s="20"/>
      <c r="BM1022" s="50"/>
      <c r="BN1022" s="50"/>
      <c r="BO1022" s="50"/>
      <c r="BP1022" s="50"/>
      <c r="BQ1022" s="50"/>
      <c r="BR1022" s="50"/>
      <c r="BU1022" s="50"/>
      <c r="BV1022" s="50"/>
      <c r="BW1022" s="50"/>
      <c r="BX1022" s="50"/>
      <c r="BY1022" s="50"/>
      <c r="BZ1022" s="50"/>
      <c r="CA1022" s="50" t="s">
        <v>22</v>
      </c>
      <c r="CE1022" s="50"/>
      <c r="CF1022" s="50"/>
      <c r="CG1022" s="50"/>
      <c r="CH1022" s="50"/>
      <c r="CI1022" s="50" t="str">
        <f t="shared" si="569"/>
        <v>Not Reported/ Can not calculate</v>
      </c>
      <c r="CJ1022" s="50" t="e">
        <f t="shared" si="570"/>
        <v>#VALUE!</v>
      </c>
      <c r="CL1022" s="9" t="s">
        <v>1269</v>
      </c>
      <c r="CM1022" s="9" t="s">
        <v>1284</v>
      </c>
      <c r="CN1022" s="55" t="s">
        <v>1284</v>
      </c>
      <c r="CO1022" s="9" t="s">
        <v>1284</v>
      </c>
    </row>
    <row r="1023" spans="1:93" s="9" customFormat="1" x14ac:dyDescent="0.25">
      <c r="A1023" s="9" t="s">
        <v>266</v>
      </c>
      <c r="B1023" s="50" t="s">
        <v>22</v>
      </c>
      <c r="C1023" s="50" t="s">
        <v>22</v>
      </c>
      <c r="D1023" s="50">
        <v>0.84842105263157896</v>
      </c>
      <c r="E1023" s="50" t="s">
        <v>22</v>
      </c>
      <c r="F1023" s="9" t="s">
        <v>22</v>
      </c>
      <c r="G1023" s="9" t="s">
        <v>22</v>
      </c>
      <c r="H1023" s="9" t="s">
        <v>22</v>
      </c>
      <c r="I1023" s="9" t="s">
        <v>22</v>
      </c>
      <c r="J1023" s="50" t="s">
        <v>22</v>
      </c>
      <c r="K1023" s="9" t="s">
        <v>22</v>
      </c>
      <c r="L1023" s="50" t="e">
        <f t="shared" si="567"/>
        <v>#VALUE!</v>
      </c>
      <c r="M1023" s="9" t="s">
        <v>23</v>
      </c>
      <c r="N1023" s="50" t="s">
        <v>22</v>
      </c>
      <c r="O1023" s="50">
        <v>0.63850574712643604</v>
      </c>
      <c r="P1023" s="50" t="s">
        <v>22</v>
      </c>
      <c r="Q1023" s="50"/>
      <c r="R1023" s="50" t="s">
        <v>22</v>
      </c>
      <c r="S1023" s="50">
        <f t="shared" si="568"/>
        <v>0.54172171808832359</v>
      </c>
      <c r="T1023" s="50" t="s">
        <v>22</v>
      </c>
      <c r="U1023" s="50" t="s">
        <v>22</v>
      </c>
      <c r="V1023" s="9">
        <v>20200719</v>
      </c>
      <c r="W1023" s="21"/>
      <c r="X1023" s="21">
        <v>2019</v>
      </c>
      <c r="Y1023" s="9" t="s">
        <v>76</v>
      </c>
      <c r="Z1023" s="9" t="s">
        <v>1121</v>
      </c>
      <c r="AB1023" s="50"/>
      <c r="AC1023" s="9" t="s">
        <v>514</v>
      </c>
      <c r="AD1023" s="50" t="s">
        <v>22</v>
      </c>
      <c r="AE1023" s="50"/>
      <c r="AF1023" s="50" t="s">
        <v>22</v>
      </c>
      <c r="AG1023" s="50" t="s">
        <v>22</v>
      </c>
      <c r="AH1023" s="50" t="s">
        <v>22</v>
      </c>
      <c r="AI1023" s="50" t="s">
        <v>22</v>
      </c>
      <c r="AJ1023" s="50" t="s">
        <v>22</v>
      </c>
      <c r="AK1023" s="50" t="s">
        <v>22</v>
      </c>
      <c r="AL1023" s="50" t="s">
        <v>22</v>
      </c>
      <c r="AM1023" s="43" t="e">
        <f t="shared" si="531"/>
        <v>#VALUE!</v>
      </c>
      <c r="AN1023" s="43" t="e">
        <f t="shared" si="532"/>
        <v>#VALUE!</v>
      </c>
      <c r="AO1023" s="21" t="s">
        <v>265</v>
      </c>
      <c r="AT1023" s="2">
        <f t="shared" si="533"/>
        <v>25</v>
      </c>
      <c r="AU1023" s="45" t="e">
        <f t="shared" si="534"/>
        <v>#VALUE!</v>
      </c>
      <c r="AV1023" s="45" t="e">
        <f t="shared" si="535"/>
        <v>#VALUE!</v>
      </c>
      <c r="AW1023" s="45">
        <f t="shared" si="536"/>
        <v>-7.138856348375712E-2</v>
      </c>
      <c r="AX1023" s="45" t="e">
        <f t="shared" si="537"/>
        <v>#VALUE!</v>
      </c>
      <c r="AY1023" s="45">
        <f t="shared" si="538"/>
        <v>-0.19483518934173261</v>
      </c>
      <c r="AZ1023" s="45" t="e">
        <f t="shared" si="539"/>
        <v>#VALUE!</v>
      </c>
      <c r="BA1023" s="45" t="e">
        <f t="shared" si="540"/>
        <v>#VALUE!</v>
      </c>
      <c r="BB1023" s="45" t="e">
        <f t="shared" si="541"/>
        <v>#VALUE!</v>
      </c>
      <c r="BC1023" s="45" t="e">
        <f t="shared" si="542"/>
        <v>#VALUE!</v>
      </c>
      <c r="BD1023" s="45" t="e">
        <f t="shared" si="543"/>
        <v>#VALUE!</v>
      </c>
      <c r="BE1023" s="45" t="e">
        <f t="shared" si="544"/>
        <v>#VALUE!</v>
      </c>
      <c r="BF1023" s="45" t="e">
        <f t="shared" si="545"/>
        <v>#VALUE!</v>
      </c>
      <c r="BG1023" s="45" t="e">
        <f t="shared" si="546"/>
        <v>#VALUE!</v>
      </c>
      <c r="BH1023" s="45" t="e">
        <f t="shared" si="547"/>
        <v>#NUM!</v>
      </c>
      <c r="BI1023" s="43" t="e">
        <f t="shared" si="548"/>
        <v>#VALUE!</v>
      </c>
      <c r="BL1023" s="20"/>
      <c r="BM1023" s="50"/>
      <c r="BN1023" s="50"/>
      <c r="BO1023" s="50"/>
      <c r="BP1023" s="50"/>
      <c r="BQ1023" s="50"/>
      <c r="BR1023" s="50"/>
      <c r="BU1023" s="50"/>
      <c r="BV1023" s="50"/>
      <c r="BW1023" s="50"/>
      <c r="BX1023" s="50"/>
      <c r="BY1023" s="50"/>
      <c r="BZ1023" s="50"/>
      <c r="CA1023" s="50" t="s">
        <v>22</v>
      </c>
      <c r="CE1023" s="50"/>
      <c r="CF1023" s="50"/>
      <c r="CG1023" s="50"/>
      <c r="CH1023" s="50"/>
      <c r="CI1023" s="50" t="str">
        <f t="shared" si="569"/>
        <v>Not Reported/ Can not calculate</v>
      </c>
      <c r="CJ1023" s="50" t="e">
        <f t="shared" si="570"/>
        <v>#VALUE!</v>
      </c>
      <c r="CL1023" s="9" t="s">
        <v>1269</v>
      </c>
      <c r="CM1023" s="9" t="s">
        <v>1284</v>
      </c>
      <c r="CN1023" s="55" t="s">
        <v>1284</v>
      </c>
      <c r="CO1023" s="9" t="s">
        <v>1284</v>
      </c>
    </row>
    <row r="1024" spans="1:93" s="9" customFormat="1" x14ac:dyDescent="0.25">
      <c r="A1024" s="9" t="s">
        <v>266</v>
      </c>
      <c r="B1024" s="50" t="s">
        <v>22</v>
      </c>
      <c r="C1024" s="50" t="s">
        <v>22</v>
      </c>
      <c r="D1024" s="50">
        <v>0.66315789473684195</v>
      </c>
      <c r="E1024" s="50" t="s">
        <v>22</v>
      </c>
      <c r="F1024" s="9" t="s">
        <v>22</v>
      </c>
      <c r="G1024" s="9" t="s">
        <v>22</v>
      </c>
      <c r="H1024" s="9" t="s">
        <v>22</v>
      </c>
      <c r="I1024" s="9" t="s">
        <v>22</v>
      </c>
      <c r="J1024" s="50" t="s">
        <v>22</v>
      </c>
      <c r="K1024" s="9" t="s">
        <v>22</v>
      </c>
      <c r="L1024" s="50" t="e">
        <f t="shared" si="567"/>
        <v>#VALUE!</v>
      </c>
      <c r="M1024" s="9" t="s">
        <v>23</v>
      </c>
      <c r="N1024" s="50" t="s">
        <v>22</v>
      </c>
      <c r="O1024" s="50">
        <v>0.89999999999999902</v>
      </c>
      <c r="P1024" s="50" t="s">
        <v>22</v>
      </c>
      <c r="Q1024" s="50"/>
      <c r="R1024" s="50" t="s">
        <v>22</v>
      </c>
      <c r="S1024" s="50">
        <f t="shared" si="568"/>
        <v>0.59684210526315706</v>
      </c>
      <c r="T1024" s="50" t="s">
        <v>22</v>
      </c>
      <c r="U1024" s="50" t="s">
        <v>22</v>
      </c>
      <c r="V1024" s="9">
        <v>20200719</v>
      </c>
      <c r="W1024" s="21"/>
      <c r="X1024" s="21">
        <v>2019</v>
      </c>
      <c r="Y1024" s="9" t="s">
        <v>76</v>
      </c>
      <c r="Z1024" s="9" t="s">
        <v>1121</v>
      </c>
      <c r="AB1024" s="50"/>
      <c r="AC1024" s="9" t="s">
        <v>514</v>
      </c>
      <c r="AD1024" s="50" t="s">
        <v>22</v>
      </c>
      <c r="AE1024" s="50"/>
      <c r="AF1024" s="50" t="s">
        <v>22</v>
      </c>
      <c r="AG1024" s="50" t="s">
        <v>22</v>
      </c>
      <c r="AH1024" s="50" t="s">
        <v>22</v>
      </c>
      <c r="AI1024" s="50" t="s">
        <v>22</v>
      </c>
      <c r="AJ1024" s="50" t="s">
        <v>22</v>
      </c>
      <c r="AK1024" s="50" t="s">
        <v>22</v>
      </c>
      <c r="AL1024" s="50" t="s">
        <v>22</v>
      </c>
      <c r="AM1024" s="43" t="e">
        <f t="shared" si="531"/>
        <v>#VALUE!</v>
      </c>
      <c r="AN1024" s="43" t="e">
        <f t="shared" si="532"/>
        <v>#VALUE!</v>
      </c>
      <c r="AO1024" s="21" t="s">
        <v>265</v>
      </c>
      <c r="AT1024" s="2">
        <f t="shared" si="533"/>
        <v>25</v>
      </c>
      <c r="AU1024" s="45" t="e">
        <f t="shared" si="534"/>
        <v>#VALUE!</v>
      </c>
      <c r="AV1024" s="45" t="e">
        <f t="shared" si="535"/>
        <v>#VALUE!</v>
      </c>
      <c r="AW1024" s="45">
        <f t="shared" si="536"/>
        <v>-0.17838305583526617</v>
      </c>
      <c r="AX1024" s="45" t="e">
        <f t="shared" si="537"/>
        <v>#VALUE!</v>
      </c>
      <c r="AY1024" s="45">
        <f t="shared" si="538"/>
        <v>-4.5757490560675594E-2</v>
      </c>
      <c r="AZ1024" s="45" t="e">
        <f t="shared" si="539"/>
        <v>#VALUE!</v>
      </c>
      <c r="BA1024" s="45" t="e">
        <f t="shared" si="540"/>
        <v>#VALUE!</v>
      </c>
      <c r="BB1024" s="45" t="e">
        <f t="shared" si="541"/>
        <v>#VALUE!</v>
      </c>
      <c r="BC1024" s="45" t="e">
        <f t="shared" si="542"/>
        <v>#VALUE!</v>
      </c>
      <c r="BD1024" s="45" t="e">
        <f t="shared" si="543"/>
        <v>#VALUE!</v>
      </c>
      <c r="BE1024" s="45" t="e">
        <f t="shared" si="544"/>
        <v>#VALUE!</v>
      </c>
      <c r="BF1024" s="45" t="e">
        <f t="shared" si="545"/>
        <v>#VALUE!</v>
      </c>
      <c r="BG1024" s="45" t="e">
        <f t="shared" si="546"/>
        <v>#VALUE!</v>
      </c>
      <c r="BH1024" s="45" t="e">
        <f t="shared" si="547"/>
        <v>#NUM!</v>
      </c>
      <c r="BI1024" s="43" t="e">
        <f t="shared" si="548"/>
        <v>#VALUE!</v>
      </c>
      <c r="BL1024" s="20"/>
      <c r="BM1024" s="50"/>
      <c r="BN1024" s="50"/>
      <c r="BO1024" s="50"/>
      <c r="BP1024" s="50"/>
      <c r="BQ1024" s="50"/>
      <c r="BR1024" s="50"/>
      <c r="BU1024" s="50"/>
      <c r="BV1024" s="50"/>
      <c r="BW1024" s="50"/>
      <c r="BX1024" s="50"/>
      <c r="BY1024" s="50"/>
      <c r="BZ1024" s="50"/>
      <c r="CA1024" s="50" t="s">
        <v>22</v>
      </c>
      <c r="CE1024" s="50"/>
      <c r="CF1024" s="50"/>
      <c r="CG1024" s="50"/>
      <c r="CH1024" s="50"/>
      <c r="CI1024" s="50" t="str">
        <f t="shared" si="569"/>
        <v>Not Reported/ Can not calculate</v>
      </c>
      <c r="CJ1024" s="50" t="e">
        <f t="shared" si="570"/>
        <v>#VALUE!</v>
      </c>
      <c r="CL1024" s="9" t="s">
        <v>1269</v>
      </c>
      <c r="CM1024" s="9" t="s">
        <v>1284</v>
      </c>
      <c r="CN1024" s="55" t="s">
        <v>1284</v>
      </c>
      <c r="CO1024" s="9" t="s">
        <v>1284</v>
      </c>
    </row>
    <row r="1025" spans="1:93" s="9" customFormat="1" x14ac:dyDescent="0.25">
      <c r="A1025" s="9" t="s">
        <v>266</v>
      </c>
      <c r="B1025" s="50" t="s">
        <v>22</v>
      </c>
      <c r="C1025" s="50" t="s">
        <v>22</v>
      </c>
      <c r="D1025" s="50">
        <v>0.48210526315789404</v>
      </c>
      <c r="E1025" s="50" t="s">
        <v>22</v>
      </c>
      <c r="F1025" s="9" t="s">
        <v>22</v>
      </c>
      <c r="G1025" s="9" t="s">
        <v>22</v>
      </c>
      <c r="H1025" s="9" t="s">
        <v>22</v>
      </c>
      <c r="I1025" s="9" t="s">
        <v>22</v>
      </c>
      <c r="J1025" s="50" t="s">
        <v>22</v>
      </c>
      <c r="K1025" s="9" t="s">
        <v>22</v>
      </c>
      <c r="L1025" s="50" t="e">
        <f t="shared" si="567"/>
        <v>#VALUE!</v>
      </c>
      <c r="M1025" s="9" t="s">
        <v>23</v>
      </c>
      <c r="N1025" s="50" t="s">
        <v>22</v>
      </c>
      <c r="O1025" s="50">
        <v>0.59540229885057405</v>
      </c>
      <c r="P1025" s="50" t="s">
        <v>22</v>
      </c>
      <c r="Q1025" s="50"/>
      <c r="R1025" s="50" t="s">
        <v>22</v>
      </c>
      <c r="S1025" s="50">
        <f t="shared" si="568"/>
        <v>0.28704658197217109</v>
      </c>
      <c r="T1025" s="50" t="s">
        <v>22</v>
      </c>
      <c r="U1025" s="50" t="s">
        <v>22</v>
      </c>
      <c r="V1025" s="9">
        <v>20200719</v>
      </c>
      <c r="W1025" s="21"/>
      <c r="X1025" s="21">
        <v>2019</v>
      </c>
      <c r="Y1025" s="9" t="s">
        <v>76</v>
      </c>
      <c r="Z1025" s="9" t="s">
        <v>1121</v>
      </c>
      <c r="AB1025" s="50"/>
      <c r="AC1025" s="9" t="s">
        <v>514</v>
      </c>
      <c r="AD1025" s="50" t="s">
        <v>22</v>
      </c>
      <c r="AE1025" s="50"/>
      <c r="AF1025" s="50" t="s">
        <v>22</v>
      </c>
      <c r="AG1025" s="50" t="s">
        <v>22</v>
      </c>
      <c r="AH1025" s="50" t="s">
        <v>22</v>
      </c>
      <c r="AI1025" s="50" t="s">
        <v>22</v>
      </c>
      <c r="AJ1025" s="50" t="s">
        <v>22</v>
      </c>
      <c r="AK1025" s="50" t="s">
        <v>22</v>
      </c>
      <c r="AL1025" s="50" t="s">
        <v>22</v>
      </c>
      <c r="AM1025" s="43" t="e">
        <f t="shared" si="531"/>
        <v>#VALUE!</v>
      </c>
      <c r="AN1025" s="43" t="e">
        <f t="shared" si="532"/>
        <v>#VALUE!</v>
      </c>
      <c r="AO1025" s="21" t="s">
        <v>265</v>
      </c>
      <c r="AT1025" s="2">
        <f t="shared" si="533"/>
        <v>25</v>
      </c>
      <c r="AU1025" s="45" t="e">
        <f t="shared" si="534"/>
        <v>#VALUE!</v>
      </c>
      <c r="AV1025" s="45" t="e">
        <f t="shared" si="535"/>
        <v>#VALUE!</v>
      </c>
      <c r="AW1025" s="45">
        <f t="shared" si="536"/>
        <v>-0.3168581272849792</v>
      </c>
      <c r="AX1025" s="45" t="e">
        <f t="shared" si="537"/>
        <v>#VALUE!</v>
      </c>
      <c r="AY1025" s="45">
        <f t="shared" si="538"/>
        <v>-0.22518949287338599</v>
      </c>
      <c r="AZ1025" s="45" t="e">
        <f t="shared" si="539"/>
        <v>#VALUE!</v>
      </c>
      <c r="BA1025" s="45" t="e">
        <f t="shared" si="540"/>
        <v>#VALUE!</v>
      </c>
      <c r="BB1025" s="45" t="e">
        <f t="shared" si="541"/>
        <v>#VALUE!</v>
      </c>
      <c r="BC1025" s="45" t="e">
        <f t="shared" si="542"/>
        <v>#VALUE!</v>
      </c>
      <c r="BD1025" s="45" t="e">
        <f t="shared" si="543"/>
        <v>#VALUE!</v>
      </c>
      <c r="BE1025" s="45" t="e">
        <f t="shared" si="544"/>
        <v>#VALUE!</v>
      </c>
      <c r="BF1025" s="45" t="e">
        <f t="shared" si="545"/>
        <v>#VALUE!</v>
      </c>
      <c r="BG1025" s="45" t="e">
        <f t="shared" si="546"/>
        <v>#VALUE!</v>
      </c>
      <c r="BH1025" s="45" t="e">
        <f t="shared" si="547"/>
        <v>#NUM!</v>
      </c>
      <c r="BI1025" s="43" t="e">
        <f t="shared" si="548"/>
        <v>#VALUE!</v>
      </c>
      <c r="BL1025" s="20"/>
      <c r="BM1025" s="50"/>
      <c r="BN1025" s="50"/>
      <c r="BO1025" s="50"/>
      <c r="BP1025" s="50"/>
      <c r="BQ1025" s="50"/>
      <c r="BR1025" s="50"/>
      <c r="BU1025" s="50"/>
      <c r="BV1025" s="50"/>
      <c r="BW1025" s="50"/>
      <c r="BX1025" s="50"/>
      <c r="BY1025" s="50"/>
      <c r="BZ1025" s="50"/>
      <c r="CA1025" s="50" t="s">
        <v>22</v>
      </c>
      <c r="CE1025" s="50"/>
      <c r="CF1025" s="50"/>
      <c r="CG1025" s="50"/>
      <c r="CH1025" s="50"/>
      <c r="CI1025" s="50" t="str">
        <f t="shared" si="569"/>
        <v>Not Reported/ Can not calculate</v>
      </c>
      <c r="CJ1025" s="50" t="e">
        <f t="shared" si="570"/>
        <v>#VALUE!</v>
      </c>
      <c r="CL1025" s="9" t="s">
        <v>1269</v>
      </c>
      <c r="CM1025" s="9" t="s">
        <v>1284</v>
      </c>
      <c r="CN1025" s="55" t="s">
        <v>1284</v>
      </c>
      <c r="CO1025" s="9" t="s">
        <v>1284</v>
      </c>
    </row>
    <row r="1026" spans="1:93" s="9" customFormat="1" x14ac:dyDescent="0.25">
      <c r="A1026" s="9" t="s">
        <v>266</v>
      </c>
      <c r="B1026" s="50" t="s">
        <v>22</v>
      </c>
      <c r="C1026" s="50" t="s">
        <v>22</v>
      </c>
      <c r="D1026" s="50">
        <v>0.785263157894736</v>
      </c>
      <c r="E1026" s="50" t="s">
        <v>22</v>
      </c>
      <c r="F1026" s="9" t="s">
        <v>22</v>
      </c>
      <c r="G1026" s="9" t="s">
        <v>22</v>
      </c>
      <c r="H1026" s="9" t="s">
        <v>22</v>
      </c>
      <c r="I1026" s="9" t="s">
        <v>22</v>
      </c>
      <c r="J1026" s="50" t="s">
        <v>22</v>
      </c>
      <c r="K1026" s="9" t="s">
        <v>22</v>
      </c>
      <c r="L1026" s="50" t="e">
        <f t="shared" si="567"/>
        <v>#VALUE!</v>
      </c>
      <c r="M1026" s="9" t="s">
        <v>23</v>
      </c>
      <c r="N1026" s="50" t="s">
        <v>22</v>
      </c>
      <c r="O1026" s="50">
        <v>0.39999999999999902</v>
      </c>
      <c r="P1026" s="50" t="s">
        <v>22</v>
      </c>
      <c r="Q1026" s="50"/>
      <c r="R1026" s="50" t="s">
        <v>22</v>
      </c>
      <c r="S1026" s="50">
        <f t="shared" si="568"/>
        <v>0.31410526315789361</v>
      </c>
      <c r="T1026" s="50" t="s">
        <v>22</v>
      </c>
      <c r="U1026" s="50" t="s">
        <v>22</v>
      </c>
      <c r="V1026" s="9">
        <v>20200719</v>
      </c>
      <c r="W1026" s="21"/>
      <c r="X1026" s="21">
        <v>2019</v>
      </c>
      <c r="Y1026" s="9" t="s">
        <v>76</v>
      </c>
      <c r="Z1026" s="9" t="s">
        <v>1121</v>
      </c>
      <c r="AB1026" s="50"/>
      <c r="AC1026" s="9" t="s">
        <v>514</v>
      </c>
      <c r="AD1026" s="50" t="s">
        <v>22</v>
      </c>
      <c r="AE1026" s="50"/>
      <c r="AF1026" s="50" t="s">
        <v>22</v>
      </c>
      <c r="AG1026" s="50" t="s">
        <v>22</v>
      </c>
      <c r="AH1026" s="50" t="s">
        <v>22</v>
      </c>
      <c r="AI1026" s="50" t="s">
        <v>22</v>
      </c>
      <c r="AJ1026" s="50" t="s">
        <v>22</v>
      </c>
      <c r="AK1026" s="50" t="s">
        <v>22</v>
      </c>
      <c r="AL1026" s="50" t="s">
        <v>22</v>
      </c>
      <c r="AM1026" s="43" t="e">
        <f t="shared" ref="AM1026:AM1089" si="571">AL1026/AI1026</f>
        <v>#VALUE!</v>
      </c>
      <c r="AN1026" s="43" t="e">
        <f t="shared" ref="AN1026:AN1089" si="572">AL1026/AJ1026</f>
        <v>#VALUE!</v>
      </c>
      <c r="AO1026" s="21" t="s">
        <v>265</v>
      </c>
      <c r="AT1026" s="2">
        <f t="shared" ref="AT1026:AT1089" si="573">COUNTIF($AO$2:$AO$1400,AO1026)</f>
        <v>25</v>
      </c>
      <c r="AU1026" s="45" t="e">
        <f t="shared" ref="AU1026:AU1089" si="574">LOG10(B1026)</f>
        <v>#VALUE!</v>
      </c>
      <c r="AV1026" s="45" t="e">
        <f t="shared" ref="AV1026:AV1089" si="575">LOG10(C1026)</f>
        <v>#VALUE!</v>
      </c>
      <c r="AW1026" s="45">
        <f t="shared" ref="AW1026:AW1089" si="576">LOG10(D1026)</f>
        <v>-0.10498477781617943</v>
      </c>
      <c r="AX1026" s="45" t="e">
        <f t="shared" ref="AX1026:AX1089" si="577">LOG10(N1026)</f>
        <v>#VALUE!</v>
      </c>
      <c r="AY1026" s="45">
        <f t="shared" ref="AY1026:AY1089" si="578">LOG10(O1026)</f>
        <v>-0.39794000867203866</v>
      </c>
      <c r="AZ1026" s="45" t="e">
        <f t="shared" ref="AZ1026:AZ1089" si="579">LOG10(P1026)</f>
        <v>#VALUE!</v>
      </c>
      <c r="BA1026" s="45" t="e">
        <f t="shared" ref="BA1026:BA1089" si="580">LOG10(J1026)</f>
        <v>#VALUE!</v>
      </c>
      <c r="BB1026" s="45" t="e">
        <f t="shared" ref="BB1026:BB1089" si="581">LOG10(L1026)</f>
        <v>#VALUE!</v>
      </c>
      <c r="BC1026" s="45" t="e">
        <f t="shared" ref="BC1026:BC1089" si="582">LOG10(U1026)</f>
        <v>#VALUE!</v>
      </c>
      <c r="BD1026" s="45" t="e">
        <f t="shared" ref="BD1026:BD1089" si="583">LOG10(AD1026)</f>
        <v>#VALUE!</v>
      </c>
      <c r="BE1026" s="45" t="e">
        <f t="shared" ref="BE1026:BE1089" si="584">LOG10(AF1026)</f>
        <v>#VALUE!</v>
      </c>
      <c r="BF1026" s="45" t="e">
        <f t="shared" ref="BF1026:BF1089" si="585">LOG10(AM1026)</f>
        <v>#VALUE!</v>
      </c>
      <c r="BG1026" s="45" t="e">
        <f t="shared" ref="BG1026:BG1089" si="586">LOG10(AN1026)</f>
        <v>#VALUE!</v>
      </c>
      <c r="BH1026" s="45" t="e">
        <f t="shared" ref="BH1026:BH1089" si="587">LOG10(AB1026)</f>
        <v>#NUM!</v>
      </c>
      <c r="BI1026" s="43" t="e">
        <f t="shared" ref="BI1026:BI1089" si="588">LOG10(AF1026)</f>
        <v>#VALUE!</v>
      </c>
      <c r="BL1026" s="20"/>
      <c r="BM1026" s="50"/>
      <c r="BN1026" s="50"/>
      <c r="BO1026" s="50"/>
      <c r="BP1026" s="50"/>
      <c r="BQ1026" s="50"/>
      <c r="BR1026" s="50"/>
      <c r="BU1026" s="50"/>
      <c r="BV1026" s="50"/>
      <c r="BW1026" s="50"/>
      <c r="BX1026" s="50"/>
      <c r="BY1026" s="50"/>
      <c r="BZ1026" s="50"/>
      <c r="CA1026" s="50" t="s">
        <v>22</v>
      </c>
      <c r="CE1026" s="50"/>
      <c r="CF1026" s="50"/>
      <c r="CG1026" s="50"/>
      <c r="CH1026" s="50"/>
      <c r="CI1026" s="50" t="str">
        <f t="shared" si="569"/>
        <v>Not Reported/ Can not calculate</v>
      </c>
      <c r="CJ1026" s="50" t="e">
        <f t="shared" si="570"/>
        <v>#VALUE!</v>
      </c>
      <c r="CL1026" s="9" t="s">
        <v>1269</v>
      </c>
      <c r="CM1026" s="9" t="s">
        <v>1284</v>
      </c>
      <c r="CN1026" s="55" t="s">
        <v>1284</v>
      </c>
      <c r="CO1026" s="9" t="s">
        <v>1284</v>
      </c>
    </row>
    <row r="1027" spans="1:93" s="9" customFormat="1" x14ac:dyDescent="0.25">
      <c r="A1027" s="9" t="s">
        <v>266</v>
      </c>
      <c r="B1027" s="50" t="s">
        <v>22</v>
      </c>
      <c r="C1027" s="50" t="s">
        <v>22</v>
      </c>
      <c r="D1027" s="50">
        <v>1.20631578947368</v>
      </c>
      <c r="E1027" s="50" t="s">
        <v>22</v>
      </c>
      <c r="F1027" s="9" t="s">
        <v>22</v>
      </c>
      <c r="G1027" s="9" t="s">
        <v>22</v>
      </c>
      <c r="H1027" s="9" t="s">
        <v>22</v>
      </c>
      <c r="I1027" s="9" t="s">
        <v>22</v>
      </c>
      <c r="J1027" s="50" t="s">
        <v>22</v>
      </c>
      <c r="K1027" s="9" t="s">
        <v>22</v>
      </c>
      <c r="L1027" s="50" t="e">
        <f t="shared" si="567"/>
        <v>#VALUE!</v>
      </c>
      <c r="M1027" s="9" t="s">
        <v>23</v>
      </c>
      <c r="N1027" s="50" t="s">
        <v>22</v>
      </c>
      <c r="O1027" s="50">
        <v>1.19310344827586</v>
      </c>
      <c r="P1027" s="50" t="s">
        <v>22</v>
      </c>
      <c r="Q1027" s="50"/>
      <c r="R1027" s="50" t="s">
        <v>22</v>
      </c>
      <c r="S1027" s="50">
        <f t="shared" si="568"/>
        <v>1.4392595281306639</v>
      </c>
      <c r="T1027" s="50" t="s">
        <v>22</v>
      </c>
      <c r="U1027" s="50" t="s">
        <v>22</v>
      </c>
      <c r="V1027" s="9">
        <v>20200719</v>
      </c>
      <c r="W1027" s="21"/>
      <c r="X1027" s="21">
        <v>2019</v>
      </c>
      <c r="Y1027" s="9" t="s">
        <v>76</v>
      </c>
      <c r="Z1027" s="9" t="s">
        <v>1121</v>
      </c>
      <c r="AB1027" s="50"/>
      <c r="AC1027" s="9" t="s">
        <v>514</v>
      </c>
      <c r="AD1027" s="50" t="s">
        <v>22</v>
      </c>
      <c r="AE1027" s="50"/>
      <c r="AF1027" s="50" t="s">
        <v>22</v>
      </c>
      <c r="AG1027" s="50" t="s">
        <v>22</v>
      </c>
      <c r="AH1027" s="50" t="s">
        <v>22</v>
      </c>
      <c r="AI1027" s="50" t="s">
        <v>22</v>
      </c>
      <c r="AJ1027" s="50" t="s">
        <v>22</v>
      </c>
      <c r="AK1027" s="50" t="s">
        <v>22</v>
      </c>
      <c r="AL1027" s="50" t="s">
        <v>22</v>
      </c>
      <c r="AM1027" s="43" t="e">
        <f t="shared" si="571"/>
        <v>#VALUE!</v>
      </c>
      <c r="AN1027" s="43" t="e">
        <f t="shared" si="572"/>
        <v>#VALUE!</v>
      </c>
      <c r="AO1027" s="21" t="s">
        <v>265</v>
      </c>
      <c r="AT1027" s="2">
        <f t="shared" si="573"/>
        <v>25</v>
      </c>
      <c r="AU1027" s="45" t="e">
        <f t="shared" si="574"/>
        <v>#VALUE!</v>
      </c>
      <c r="AV1027" s="45" t="e">
        <f t="shared" si="575"/>
        <v>#VALUE!</v>
      </c>
      <c r="AW1027" s="45">
        <f t="shared" si="576"/>
        <v>8.1461012342521885E-2</v>
      </c>
      <c r="AX1027" s="45" t="e">
        <f t="shared" si="577"/>
        <v>#VALUE!</v>
      </c>
      <c r="AY1027" s="45">
        <f t="shared" si="578"/>
        <v>7.6678100893819767E-2</v>
      </c>
      <c r="AZ1027" s="45" t="e">
        <f t="shared" si="579"/>
        <v>#VALUE!</v>
      </c>
      <c r="BA1027" s="45" t="e">
        <f t="shared" si="580"/>
        <v>#VALUE!</v>
      </c>
      <c r="BB1027" s="45" t="e">
        <f t="shared" si="581"/>
        <v>#VALUE!</v>
      </c>
      <c r="BC1027" s="45" t="e">
        <f t="shared" si="582"/>
        <v>#VALUE!</v>
      </c>
      <c r="BD1027" s="45" t="e">
        <f t="shared" si="583"/>
        <v>#VALUE!</v>
      </c>
      <c r="BE1027" s="45" t="e">
        <f t="shared" si="584"/>
        <v>#VALUE!</v>
      </c>
      <c r="BF1027" s="45" t="e">
        <f t="shared" si="585"/>
        <v>#VALUE!</v>
      </c>
      <c r="BG1027" s="45" t="e">
        <f t="shared" si="586"/>
        <v>#VALUE!</v>
      </c>
      <c r="BH1027" s="45" t="e">
        <f t="shared" si="587"/>
        <v>#NUM!</v>
      </c>
      <c r="BI1027" s="43" t="e">
        <f t="shared" si="588"/>
        <v>#VALUE!</v>
      </c>
      <c r="BL1027" s="20"/>
      <c r="BM1027" s="50"/>
      <c r="BN1027" s="50"/>
      <c r="BO1027" s="50"/>
      <c r="BP1027" s="50"/>
      <c r="BQ1027" s="50"/>
      <c r="BR1027" s="50"/>
      <c r="BU1027" s="50"/>
      <c r="BV1027" s="50"/>
      <c r="BW1027" s="50"/>
      <c r="BX1027" s="50"/>
      <c r="BY1027" s="50"/>
      <c r="BZ1027" s="50"/>
      <c r="CA1027" s="50" t="s">
        <v>22</v>
      </c>
      <c r="CE1027" s="50"/>
      <c r="CF1027" s="50"/>
      <c r="CG1027" s="50"/>
      <c r="CH1027" s="50"/>
      <c r="CI1027" s="50" t="str">
        <f t="shared" si="569"/>
        <v>Not Reported/ Can not calculate</v>
      </c>
      <c r="CJ1027" s="50" t="e">
        <f t="shared" si="570"/>
        <v>#VALUE!</v>
      </c>
      <c r="CL1027" s="9" t="s">
        <v>1269</v>
      </c>
      <c r="CM1027" s="9" t="s">
        <v>1284</v>
      </c>
      <c r="CN1027" s="55" t="s">
        <v>1284</v>
      </c>
      <c r="CO1027" s="9" t="s">
        <v>1284</v>
      </c>
    </row>
    <row r="1028" spans="1:93" s="9" customFormat="1" x14ac:dyDescent="0.25">
      <c r="A1028" s="9" t="s">
        <v>266</v>
      </c>
      <c r="B1028" s="50" t="s">
        <v>22</v>
      </c>
      <c r="C1028" s="50" t="s">
        <v>22</v>
      </c>
      <c r="D1028" s="50">
        <v>0.46105263157894699</v>
      </c>
      <c r="E1028" s="50" t="s">
        <v>22</v>
      </c>
      <c r="F1028" s="9" t="s">
        <v>22</v>
      </c>
      <c r="G1028" s="9" t="s">
        <v>22</v>
      </c>
      <c r="H1028" s="9" t="s">
        <v>22</v>
      </c>
      <c r="I1028" s="9" t="s">
        <v>22</v>
      </c>
      <c r="J1028" s="50" t="s">
        <v>22</v>
      </c>
      <c r="K1028" s="9" t="s">
        <v>22</v>
      </c>
      <c r="L1028" s="50" t="e">
        <f t="shared" si="567"/>
        <v>#VALUE!</v>
      </c>
      <c r="M1028" s="9" t="s">
        <v>23</v>
      </c>
      <c r="N1028" s="50" t="s">
        <v>22</v>
      </c>
      <c r="O1028" s="50">
        <v>0.52068965517241295</v>
      </c>
      <c r="P1028" s="50" t="s">
        <v>22</v>
      </c>
      <c r="Q1028" s="50"/>
      <c r="R1028" s="50" t="s">
        <v>22</v>
      </c>
      <c r="S1028" s="50">
        <f t="shared" si="568"/>
        <v>0.24006533575317546</v>
      </c>
      <c r="T1028" s="50" t="s">
        <v>22</v>
      </c>
      <c r="U1028" s="50" t="s">
        <v>22</v>
      </c>
      <c r="V1028" s="9">
        <v>20200719</v>
      </c>
      <c r="W1028" s="21"/>
      <c r="X1028" s="21">
        <v>2019</v>
      </c>
      <c r="Y1028" s="9" t="s">
        <v>76</v>
      </c>
      <c r="Z1028" s="9" t="s">
        <v>1121</v>
      </c>
      <c r="AB1028" s="50"/>
      <c r="AC1028" s="9" t="s">
        <v>514</v>
      </c>
      <c r="AD1028" s="50" t="s">
        <v>22</v>
      </c>
      <c r="AE1028" s="50"/>
      <c r="AF1028" s="50" t="s">
        <v>22</v>
      </c>
      <c r="AG1028" s="50" t="s">
        <v>22</v>
      </c>
      <c r="AH1028" s="50" t="s">
        <v>22</v>
      </c>
      <c r="AI1028" s="50" t="s">
        <v>22</v>
      </c>
      <c r="AJ1028" s="50" t="s">
        <v>22</v>
      </c>
      <c r="AK1028" s="50" t="s">
        <v>22</v>
      </c>
      <c r="AL1028" s="50" t="s">
        <v>22</v>
      </c>
      <c r="AM1028" s="43" t="e">
        <f t="shared" si="571"/>
        <v>#VALUE!</v>
      </c>
      <c r="AN1028" s="43" t="e">
        <f t="shared" si="572"/>
        <v>#VALUE!</v>
      </c>
      <c r="AO1028" s="21" t="s">
        <v>265</v>
      </c>
      <c r="AT1028" s="2">
        <f t="shared" si="573"/>
        <v>25</v>
      </c>
      <c r="AU1028" s="45" t="e">
        <f t="shared" si="574"/>
        <v>#VALUE!</v>
      </c>
      <c r="AV1028" s="45" t="e">
        <f t="shared" si="575"/>
        <v>#VALUE!</v>
      </c>
      <c r="AW1028" s="45">
        <f t="shared" si="576"/>
        <v>-0.33624949478474858</v>
      </c>
      <c r="AX1028" s="45" t="e">
        <f t="shared" si="577"/>
        <v>#VALUE!</v>
      </c>
      <c r="AY1028" s="45">
        <f t="shared" si="578"/>
        <v>-0.28342105060578737</v>
      </c>
      <c r="AZ1028" s="45" t="e">
        <f t="shared" si="579"/>
        <v>#VALUE!</v>
      </c>
      <c r="BA1028" s="45" t="e">
        <f t="shared" si="580"/>
        <v>#VALUE!</v>
      </c>
      <c r="BB1028" s="45" t="e">
        <f t="shared" si="581"/>
        <v>#VALUE!</v>
      </c>
      <c r="BC1028" s="45" t="e">
        <f t="shared" si="582"/>
        <v>#VALUE!</v>
      </c>
      <c r="BD1028" s="45" t="e">
        <f t="shared" si="583"/>
        <v>#VALUE!</v>
      </c>
      <c r="BE1028" s="45" t="e">
        <f t="shared" si="584"/>
        <v>#VALUE!</v>
      </c>
      <c r="BF1028" s="45" t="e">
        <f t="shared" si="585"/>
        <v>#VALUE!</v>
      </c>
      <c r="BG1028" s="45" t="e">
        <f t="shared" si="586"/>
        <v>#VALUE!</v>
      </c>
      <c r="BH1028" s="45" t="e">
        <f t="shared" si="587"/>
        <v>#NUM!</v>
      </c>
      <c r="BI1028" s="43" t="e">
        <f t="shared" si="588"/>
        <v>#VALUE!</v>
      </c>
      <c r="BL1028" s="20"/>
      <c r="BM1028" s="50"/>
      <c r="BN1028" s="50"/>
      <c r="BO1028" s="50"/>
      <c r="BP1028" s="50"/>
      <c r="BQ1028" s="50"/>
      <c r="BR1028" s="50"/>
      <c r="BU1028" s="50"/>
      <c r="BV1028" s="50"/>
      <c r="BW1028" s="50"/>
      <c r="BX1028" s="50"/>
      <c r="BY1028" s="50"/>
      <c r="BZ1028" s="50"/>
      <c r="CA1028" s="50" t="s">
        <v>22</v>
      </c>
      <c r="CE1028" s="50"/>
      <c r="CF1028" s="50"/>
      <c r="CG1028" s="50"/>
      <c r="CH1028" s="50"/>
      <c r="CI1028" s="50" t="str">
        <f t="shared" si="569"/>
        <v>Not Reported/ Can not calculate</v>
      </c>
      <c r="CJ1028" s="50" t="e">
        <f t="shared" si="570"/>
        <v>#VALUE!</v>
      </c>
      <c r="CL1028" s="9" t="s">
        <v>1269</v>
      </c>
      <c r="CM1028" s="9" t="s">
        <v>1284</v>
      </c>
      <c r="CN1028" s="55" t="s">
        <v>1284</v>
      </c>
      <c r="CO1028" s="9" t="s">
        <v>1284</v>
      </c>
    </row>
    <row r="1029" spans="1:93" s="9" customFormat="1" x14ac:dyDescent="0.25">
      <c r="A1029" s="9" t="s">
        <v>266</v>
      </c>
      <c r="B1029" s="50" t="s">
        <v>22</v>
      </c>
      <c r="C1029" s="50" t="s">
        <v>22</v>
      </c>
      <c r="D1029" s="50">
        <v>0.31188185882671704</v>
      </c>
      <c r="E1029" s="50" t="s">
        <v>22</v>
      </c>
      <c r="F1029" s="9" t="s">
        <v>22</v>
      </c>
      <c r="G1029" s="9" t="s">
        <v>22</v>
      </c>
      <c r="H1029" s="9" t="s">
        <v>22</v>
      </c>
      <c r="I1029" s="9" t="s">
        <v>22</v>
      </c>
      <c r="J1029" s="50">
        <v>2.64462809917354</v>
      </c>
      <c r="K1029" s="9">
        <v>785</v>
      </c>
      <c r="L1029" s="50">
        <f t="shared" si="567"/>
        <v>1.0042532247933831</v>
      </c>
      <c r="M1029" s="9" t="s">
        <v>23</v>
      </c>
      <c r="N1029" s="50" t="s">
        <v>22</v>
      </c>
      <c r="O1029" s="50" t="s">
        <v>22</v>
      </c>
      <c r="P1029" s="50" t="s">
        <v>22</v>
      </c>
      <c r="Q1029" s="50"/>
      <c r="R1029" s="50" t="s">
        <v>22</v>
      </c>
      <c r="S1029" s="50" t="s">
        <v>22</v>
      </c>
      <c r="T1029" s="50" t="s">
        <v>22</v>
      </c>
      <c r="U1029" s="50" t="s">
        <v>22</v>
      </c>
      <c r="V1029" s="9">
        <v>20200719</v>
      </c>
      <c r="W1029" s="21"/>
      <c r="X1029" s="21">
        <v>2019</v>
      </c>
      <c r="Y1029" s="9" t="s">
        <v>76</v>
      </c>
      <c r="Z1029" s="9" t="s">
        <v>1121</v>
      </c>
      <c r="AB1029" s="50"/>
      <c r="AC1029" s="9" t="s">
        <v>514</v>
      </c>
      <c r="AD1029" s="50" t="s">
        <v>22</v>
      </c>
      <c r="AE1029" s="50"/>
      <c r="AF1029" s="50" t="s">
        <v>22</v>
      </c>
      <c r="AG1029" s="50" t="s">
        <v>22</v>
      </c>
      <c r="AH1029" s="50" t="s">
        <v>22</v>
      </c>
      <c r="AI1029" s="50" t="s">
        <v>22</v>
      </c>
      <c r="AJ1029" s="50" t="s">
        <v>22</v>
      </c>
      <c r="AK1029" s="50" t="s">
        <v>22</v>
      </c>
      <c r="AL1029" s="50" t="s">
        <v>22</v>
      </c>
      <c r="AM1029" s="43" t="e">
        <f t="shared" si="571"/>
        <v>#VALUE!</v>
      </c>
      <c r="AN1029" s="43" t="e">
        <f t="shared" si="572"/>
        <v>#VALUE!</v>
      </c>
      <c r="AO1029" s="21" t="s">
        <v>265</v>
      </c>
      <c r="AT1029" s="2">
        <f t="shared" si="573"/>
        <v>25</v>
      </c>
      <c r="AU1029" s="45" t="e">
        <f t="shared" si="574"/>
        <v>#VALUE!</v>
      </c>
      <c r="AV1029" s="45" t="e">
        <f t="shared" si="575"/>
        <v>#VALUE!</v>
      </c>
      <c r="AW1029" s="45">
        <f t="shared" si="576"/>
        <v>-0.50600988603344443</v>
      </c>
      <c r="AX1029" s="45" t="e">
        <f t="shared" si="577"/>
        <v>#VALUE!</v>
      </c>
      <c r="AY1029" s="45" t="e">
        <f t="shared" si="578"/>
        <v>#VALUE!</v>
      </c>
      <c r="AZ1029" s="45" t="e">
        <f t="shared" si="579"/>
        <v>#VALUE!</v>
      </c>
      <c r="BA1029" s="45">
        <f t="shared" si="580"/>
        <v>0.42236460800345366</v>
      </c>
      <c r="BB1029" s="45">
        <f t="shared" si="581"/>
        <v>1.8432349844637477E-3</v>
      </c>
      <c r="BC1029" s="45" t="e">
        <f t="shared" si="582"/>
        <v>#VALUE!</v>
      </c>
      <c r="BD1029" s="45" t="e">
        <f t="shared" si="583"/>
        <v>#VALUE!</v>
      </c>
      <c r="BE1029" s="45" t="e">
        <f t="shared" si="584"/>
        <v>#VALUE!</v>
      </c>
      <c r="BF1029" s="45" t="e">
        <f t="shared" si="585"/>
        <v>#VALUE!</v>
      </c>
      <c r="BG1029" s="45" t="e">
        <f t="shared" si="586"/>
        <v>#VALUE!</v>
      </c>
      <c r="BH1029" s="45" t="e">
        <f t="shared" si="587"/>
        <v>#NUM!</v>
      </c>
      <c r="BI1029" s="43" t="e">
        <f t="shared" si="588"/>
        <v>#VALUE!</v>
      </c>
      <c r="BL1029" s="20"/>
      <c r="BM1029" s="50"/>
      <c r="BN1029" s="50"/>
      <c r="BO1029" s="50"/>
      <c r="BP1029" s="50"/>
      <c r="BQ1029" s="50"/>
      <c r="BR1029" s="50"/>
      <c r="BU1029" s="50"/>
      <c r="BV1029" s="50"/>
      <c r="BW1029" s="50"/>
      <c r="BX1029" s="50"/>
      <c r="BY1029" s="50"/>
      <c r="BZ1029" s="50"/>
      <c r="CA1029" s="50" t="s">
        <v>22</v>
      </c>
      <c r="CE1029" s="50"/>
      <c r="CF1029" s="50"/>
      <c r="CG1029" s="50"/>
      <c r="CH1029" s="50"/>
      <c r="CI1029" s="50" t="str">
        <f t="shared" si="569"/>
        <v>Not Reported/ Can not calculate</v>
      </c>
      <c r="CJ1029" s="50" t="e">
        <f t="shared" si="570"/>
        <v>#VALUE!</v>
      </c>
      <c r="CL1029" s="9" t="s">
        <v>1269</v>
      </c>
      <c r="CM1029" s="9" t="s">
        <v>1284</v>
      </c>
      <c r="CN1029" s="55" t="s">
        <v>1284</v>
      </c>
      <c r="CO1029" s="9" t="s">
        <v>1284</v>
      </c>
    </row>
    <row r="1030" spans="1:93" s="9" customFormat="1" ht="15.75" thickBot="1" x14ac:dyDescent="0.3">
      <c r="A1030" s="9" t="s">
        <v>266</v>
      </c>
      <c r="B1030" s="50" t="s">
        <v>22</v>
      </c>
      <c r="C1030" s="50" t="s">
        <v>22</v>
      </c>
      <c r="D1030" s="50">
        <v>0.627004470938896</v>
      </c>
      <c r="E1030" s="50" t="s">
        <v>22</v>
      </c>
      <c r="F1030" s="9" t="s">
        <v>22</v>
      </c>
      <c r="G1030" s="9" t="s">
        <v>22</v>
      </c>
      <c r="H1030" s="9" t="s">
        <v>22</v>
      </c>
      <c r="I1030" s="9" t="s">
        <v>22</v>
      </c>
      <c r="J1030" s="50">
        <v>6.8595041322313799</v>
      </c>
      <c r="K1030" s="9">
        <v>785</v>
      </c>
      <c r="L1030" s="50">
        <f t="shared" si="567"/>
        <v>2.6047818018078419</v>
      </c>
      <c r="M1030" s="9" t="s">
        <v>23</v>
      </c>
      <c r="N1030" s="50" t="s">
        <v>22</v>
      </c>
      <c r="O1030" s="50" t="s">
        <v>22</v>
      </c>
      <c r="P1030" s="50" t="s">
        <v>22</v>
      </c>
      <c r="Q1030" s="50"/>
      <c r="R1030" s="50" t="s">
        <v>22</v>
      </c>
      <c r="S1030" s="50" t="s">
        <v>22</v>
      </c>
      <c r="T1030" s="50" t="s">
        <v>22</v>
      </c>
      <c r="U1030" s="50" t="s">
        <v>22</v>
      </c>
      <c r="V1030" s="9">
        <v>20200719</v>
      </c>
      <c r="W1030" s="21"/>
      <c r="X1030" s="21">
        <v>2019</v>
      </c>
      <c r="Y1030" s="9" t="s">
        <v>76</v>
      </c>
      <c r="Z1030" s="9" t="s">
        <v>1121</v>
      </c>
      <c r="AB1030" s="50"/>
      <c r="AC1030" s="9" t="s">
        <v>514</v>
      </c>
      <c r="AD1030" s="50" t="s">
        <v>22</v>
      </c>
      <c r="AE1030" s="50"/>
      <c r="AF1030" s="50" t="s">
        <v>22</v>
      </c>
      <c r="AG1030" s="50" t="s">
        <v>22</v>
      </c>
      <c r="AH1030" s="50" t="s">
        <v>22</v>
      </c>
      <c r="AI1030" s="50" t="s">
        <v>22</v>
      </c>
      <c r="AJ1030" s="50" t="s">
        <v>22</v>
      </c>
      <c r="AK1030" s="50" t="s">
        <v>22</v>
      </c>
      <c r="AL1030" s="50" t="s">
        <v>22</v>
      </c>
      <c r="AM1030" s="43" t="e">
        <f t="shared" si="571"/>
        <v>#VALUE!</v>
      </c>
      <c r="AN1030" s="43" t="e">
        <f t="shared" si="572"/>
        <v>#VALUE!</v>
      </c>
      <c r="AO1030" s="21" t="s">
        <v>265</v>
      </c>
      <c r="AT1030" s="2">
        <f t="shared" si="573"/>
        <v>25</v>
      </c>
      <c r="AU1030" s="45" t="e">
        <f t="shared" si="574"/>
        <v>#VALUE!</v>
      </c>
      <c r="AV1030" s="45" t="e">
        <f t="shared" si="575"/>
        <v>#VALUE!</v>
      </c>
      <c r="AW1030" s="45">
        <f t="shared" si="576"/>
        <v>-0.20272936236359193</v>
      </c>
      <c r="AX1030" s="45" t="e">
        <f t="shared" si="577"/>
        <v>#VALUE!</v>
      </c>
      <c r="AY1030" s="45" t="e">
        <f t="shared" si="578"/>
        <v>#VALUE!</v>
      </c>
      <c r="AZ1030" s="45" t="e">
        <f t="shared" si="579"/>
        <v>#VALUE!</v>
      </c>
      <c r="BA1030" s="45">
        <f t="shared" si="580"/>
        <v>0.83629272205962224</v>
      </c>
      <c r="BB1030" s="45">
        <f t="shared" si="581"/>
        <v>0.41577134904063245</v>
      </c>
      <c r="BC1030" s="45" t="e">
        <f t="shared" si="582"/>
        <v>#VALUE!</v>
      </c>
      <c r="BD1030" s="45" t="e">
        <f t="shared" si="583"/>
        <v>#VALUE!</v>
      </c>
      <c r="BE1030" s="45" t="e">
        <f t="shared" si="584"/>
        <v>#VALUE!</v>
      </c>
      <c r="BF1030" s="45" t="e">
        <f t="shared" si="585"/>
        <v>#VALUE!</v>
      </c>
      <c r="BG1030" s="45" t="e">
        <f t="shared" si="586"/>
        <v>#VALUE!</v>
      </c>
      <c r="BH1030" s="45" t="e">
        <f t="shared" si="587"/>
        <v>#NUM!</v>
      </c>
      <c r="BI1030" s="43" t="e">
        <f t="shared" si="588"/>
        <v>#VALUE!</v>
      </c>
      <c r="BL1030" s="20"/>
      <c r="BM1030" s="50"/>
      <c r="BN1030" s="50"/>
      <c r="BO1030" s="50"/>
      <c r="BP1030" s="50"/>
      <c r="BQ1030" s="50"/>
      <c r="BR1030" s="50"/>
      <c r="BU1030" s="50"/>
      <c r="BV1030" s="50"/>
      <c r="BW1030" s="50"/>
      <c r="BX1030" s="50"/>
      <c r="BY1030" s="50"/>
      <c r="BZ1030" s="50"/>
      <c r="CA1030" s="50" t="s">
        <v>22</v>
      </c>
      <c r="CE1030" s="50"/>
      <c r="CF1030" s="50"/>
      <c r="CG1030" s="50"/>
      <c r="CH1030" s="50"/>
      <c r="CI1030" s="50" t="str">
        <f t="shared" si="569"/>
        <v>Not Reported/ Can not calculate</v>
      </c>
      <c r="CJ1030" s="50" t="e">
        <f t="shared" si="570"/>
        <v>#VALUE!</v>
      </c>
      <c r="CL1030" s="9" t="s">
        <v>1269</v>
      </c>
      <c r="CM1030" s="9" t="s">
        <v>1284</v>
      </c>
      <c r="CN1030" s="55" t="s">
        <v>1284</v>
      </c>
      <c r="CO1030" s="9" t="s">
        <v>1284</v>
      </c>
    </row>
    <row r="1031" spans="1:93" s="9" customFormat="1" ht="15.75" thickBot="1" x14ac:dyDescent="0.3">
      <c r="A1031" s="9" t="s">
        <v>266</v>
      </c>
      <c r="B1031" s="50" t="s">
        <v>22</v>
      </c>
      <c r="C1031" s="50" t="s">
        <v>22</v>
      </c>
      <c r="D1031" s="50">
        <v>1.1109497358081502</v>
      </c>
      <c r="E1031" s="50" t="s">
        <v>22</v>
      </c>
      <c r="F1031" s="9" t="s">
        <v>22</v>
      </c>
      <c r="G1031" s="9" t="s">
        <v>22</v>
      </c>
      <c r="H1031" s="9" t="s">
        <v>22</v>
      </c>
      <c r="I1031" s="9" t="s">
        <v>22</v>
      </c>
      <c r="J1031" s="50">
        <v>21.983471074380098</v>
      </c>
      <c r="K1031" s="9">
        <v>785</v>
      </c>
      <c r="L1031" s="50">
        <f t="shared" si="567"/>
        <v>8.3478549310950161</v>
      </c>
      <c r="M1031" s="9" t="s">
        <v>23</v>
      </c>
      <c r="N1031" s="50" t="s">
        <v>22</v>
      </c>
      <c r="O1031" s="50" t="s">
        <v>22</v>
      </c>
      <c r="P1031" s="50" t="s">
        <v>22</v>
      </c>
      <c r="Q1031" s="50"/>
      <c r="R1031" s="50" t="s">
        <v>22</v>
      </c>
      <c r="S1031" s="50" t="s">
        <v>22</v>
      </c>
      <c r="T1031" s="50" t="s">
        <v>22</v>
      </c>
      <c r="U1031" s="50" t="s">
        <v>22</v>
      </c>
      <c r="V1031" s="9">
        <v>20200719</v>
      </c>
      <c r="W1031" s="21"/>
      <c r="X1031" s="21">
        <v>2019</v>
      </c>
      <c r="Y1031" s="9" t="s">
        <v>76</v>
      </c>
      <c r="Z1031" s="9" t="s">
        <v>1121</v>
      </c>
      <c r="AA1031" s="59"/>
      <c r="AB1031" s="50"/>
      <c r="AC1031" s="9" t="s">
        <v>514</v>
      </c>
      <c r="AD1031" s="50" t="s">
        <v>22</v>
      </c>
      <c r="AE1031" s="50"/>
      <c r="AF1031" s="50" t="s">
        <v>22</v>
      </c>
      <c r="AG1031" s="50" t="s">
        <v>22</v>
      </c>
      <c r="AH1031" s="50" t="s">
        <v>22</v>
      </c>
      <c r="AI1031" s="50" t="s">
        <v>22</v>
      </c>
      <c r="AJ1031" s="50" t="s">
        <v>22</v>
      </c>
      <c r="AK1031" s="50" t="s">
        <v>22</v>
      </c>
      <c r="AL1031" s="50" t="s">
        <v>22</v>
      </c>
      <c r="AM1031" s="43" t="e">
        <f t="shared" si="571"/>
        <v>#VALUE!</v>
      </c>
      <c r="AN1031" s="43" t="e">
        <f t="shared" si="572"/>
        <v>#VALUE!</v>
      </c>
      <c r="AO1031" s="21" t="s">
        <v>265</v>
      </c>
      <c r="AT1031" s="2">
        <f t="shared" si="573"/>
        <v>25</v>
      </c>
      <c r="AU1031" s="45" t="e">
        <f t="shared" si="574"/>
        <v>#VALUE!</v>
      </c>
      <c r="AV1031" s="45" t="e">
        <f t="shared" si="575"/>
        <v>#VALUE!</v>
      </c>
      <c r="AW1031" s="45">
        <f t="shared" si="576"/>
        <v>4.5694410016493096E-2</v>
      </c>
      <c r="AX1031" s="45" t="e">
        <f t="shared" si="577"/>
        <v>#VALUE!</v>
      </c>
      <c r="AY1031" s="45" t="e">
        <f t="shared" si="578"/>
        <v>#VALUE!</v>
      </c>
      <c r="AZ1031" s="45" t="e">
        <f t="shared" si="579"/>
        <v>#VALUE!</v>
      </c>
      <c r="BA1031" s="45">
        <f t="shared" si="580"/>
        <v>1.3420962663146156</v>
      </c>
      <c r="BB1031" s="45">
        <f t="shared" si="581"/>
        <v>0.92157489329562581</v>
      </c>
      <c r="BC1031" s="45" t="e">
        <f t="shared" si="582"/>
        <v>#VALUE!</v>
      </c>
      <c r="BD1031" s="45" t="e">
        <f t="shared" si="583"/>
        <v>#VALUE!</v>
      </c>
      <c r="BE1031" s="45" t="e">
        <f t="shared" si="584"/>
        <v>#VALUE!</v>
      </c>
      <c r="BF1031" s="45" t="e">
        <f t="shared" si="585"/>
        <v>#VALUE!</v>
      </c>
      <c r="BG1031" s="45" t="e">
        <f t="shared" si="586"/>
        <v>#VALUE!</v>
      </c>
      <c r="BH1031" s="45" t="e">
        <f t="shared" si="587"/>
        <v>#NUM!</v>
      </c>
      <c r="BI1031" s="43" t="e">
        <f t="shared" si="588"/>
        <v>#VALUE!</v>
      </c>
      <c r="BL1031" s="20"/>
      <c r="BM1031" s="50"/>
      <c r="BN1031" s="50"/>
      <c r="BO1031" s="50"/>
      <c r="BP1031" s="50"/>
      <c r="BQ1031" s="50"/>
      <c r="BR1031" s="50"/>
      <c r="BU1031" s="50"/>
      <c r="BV1031" s="50"/>
      <c r="BW1031" s="50"/>
      <c r="BX1031" s="50"/>
      <c r="BY1031" s="50"/>
      <c r="BZ1031" s="50"/>
      <c r="CA1031" s="50" t="s">
        <v>22</v>
      </c>
      <c r="CE1031" s="50"/>
      <c r="CF1031" s="50"/>
      <c r="CG1031" s="50"/>
      <c r="CH1031" s="50"/>
      <c r="CI1031" s="50" t="str">
        <f t="shared" si="569"/>
        <v>Not Reported/ Can not calculate</v>
      </c>
      <c r="CJ1031" s="50" t="e">
        <f t="shared" si="570"/>
        <v>#VALUE!</v>
      </c>
      <c r="CL1031" s="9" t="s">
        <v>1269</v>
      </c>
      <c r="CM1031" s="9" t="s">
        <v>1284</v>
      </c>
      <c r="CN1031" s="55" t="s">
        <v>1284</v>
      </c>
      <c r="CO1031" s="9" t="s">
        <v>1284</v>
      </c>
    </row>
    <row r="1032" spans="1:93" s="9" customFormat="1" ht="15.75" thickBot="1" x14ac:dyDescent="0.3">
      <c r="A1032" s="9" t="s">
        <v>266</v>
      </c>
      <c r="B1032" s="50" t="s">
        <v>22</v>
      </c>
      <c r="C1032" s="50" t="s">
        <v>22</v>
      </c>
      <c r="D1032" s="50">
        <v>0.71817910852188005</v>
      </c>
      <c r="E1032" s="50" t="s">
        <v>22</v>
      </c>
      <c r="F1032" s="9" t="s">
        <v>22</v>
      </c>
      <c r="G1032" s="9" t="s">
        <v>22</v>
      </c>
      <c r="H1032" s="9" t="s">
        <v>22</v>
      </c>
      <c r="I1032" s="9" t="s">
        <v>22</v>
      </c>
      <c r="J1032" s="50">
        <v>29.669421487603199</v>
      </c>
      <c r="K1032" s="9">
        <v>785</v>
      </c>
      <c r="L1032" s="50">
        <f t="shared" si="567"/>
        <v>11.266465865650785</v>
      </c>
      <c r="M1032" s="9" t="s">
        <v>23</v>
      </c>
      <c r="N1032" s="50" t="s">
        <v>22</v>
      </c>
      <c r="O1032" s="50" t="s">
        <v>22</v>
      </c>
      <c r="P1032" s="50" t="s">
        <v>22</v>
      </c>
      <c r="Q1032" s="50"/>
      <c r="R1032" s="50" t="s">
        <v>22</v>
      </c>
      <c r="S1032" s="50" t="s">
        <v>22</v>
      </c>
      <c r="T1032" s="50" t="s">
        <v>22</v>
      </c>
      <c r="U1032" s="50" t="s">
        <v>22</v>
      </c>
      <c r="V1032" s="9">
        <v>20200719</v>
      </c>
      <c r="W1032" s="21"/>
      <c r="X1032" s="21">
        <v>2019</v>
      </c>
      <c r="Y1032" s="9" t="s">
        <v>76</v>
      </c>
      <c r="Z1032" s="9" t="s">
        <v>1121</v>
      </c>
      <c r="AA1032" s="59"/>
      <c r="AB1032" s="50"/>
      <c r="AC1032" s="9" t="s">
        <v>514</v>
      </c>
      <c r="AD1032" s="50" t="s">
        <v>22</v>
      </c>
      <c r="AE1032" s="50"/>
      <c r="AF1032" s="50" t="s">
        <v>22</v>
      </c>
      <c r="AG1032" s="50" t="s">
        <v>22</v>
      </c>
      <c r="AH1032" s="50" t="s">
        <v>22</v>
      </c>
      <c r="AI1032" s="50" t="s">
        <v>22</v>
      </c>
      <c r="AJ1032" s="50" t="s">
        <v>22</v>
      </c>
      <c r="AK1032" s="50" t="s">
        <v>22</v>
      </c>
      <c r="AL1032" s="50" t="s">
        <v>22</v>
      </c>
      <c r="AM1032" s="43" t="e">
        <f t="shared" si="571"/>
        <v>#VALUE!</v>
      </c>
      <c r="AN1032" s="43" t="e">
        <f t="shared" si="572"/>
        <v>#VALUE!</v>
      </c>
      <c r="AO1032" s="21" t="s">
        <v>265</v>
      </c>
      <c r="AT1032" s="2">
        <f t="shared" si="573"/>
        <v>25</v>
      </c>
      <c r="AU1032" s="45" t="e">
        <f t="shared" si="574"/>
        <v>#VALUE!</v>
      </c>
      <c r="AV1032" s="45" t="e">
        <f t="shared" si="575"/>
        <v>#VALUE!</v>
      </c>
      <c r="AW1032" s="45">
        <f t="shared" si="576"/>
        <v>-0.143767232439729</v>
      </c>
      <c r="AX1032" s="45" t="e">
        <f t="shared" si="577"/>
        <v>#VALUE!</v>
      </c>
      <c r="AY1032" s="45" t="e">
        <f t="shared" si="578"/>
        <v>#VALUE!</v>
      </c>
      <c r="AZ1032" s="45" t="e">
        <f t="shared" si="579"/>
        <v>#VALUE!</v>
      </c>
      <c r="BA1032" s="45">
        <f t="shared" si="580"/>
        <v>1.4723090782618675</v>
      </c>
      <c r="BB1032" s="45">
        <f t="shared" si="581"/>
        <v>1.0517877052428777</v>
      </c>
      <c r="BC1032" s="45" t="e">
        <f t="shared" si="582"/>
        <v>#VALUE!</v>
      </c>
      <c r="BD1032" s="45" t="e">
        <f t="shared" si="583"/>
        <v>#VALUE!</v>
      </c>
      <c r="BE1032" s="45" t="e">
        <f t="shared" si="584"/>
        <v>#VALUE!</v>
      </c>
      <c r="BF1032" s="45" t="e">
        <f t="shared" si="585"/>
        <v>#VALUE!</v>
      </c>
      <c r="BG1032" s="45" t="e">
        <f t="shared" si="586"/>
        <v>#VALUE!</v>
      </c>
      <c r="BH1032" s="45" t="e">
        <f t="shared" si="587"/>
        <v>#NUM!</v>
      </c>
      <c r="BI1032" s="43" t="e">
        <f t="shared" si="588"/>
        <v>#VALUE!</v>
      </c>
      <c r="BL1032" s="20"/>
      <c r="BM1032" s="50"/>
      <c r="BN1032" s="50"/>
      <c r="BO1032" s="50"/>
      <c r="BP1032" s="50"/>
      <c r="BQ1032" s="50"/>
      <c r="BR1032" s="50"/>
      <c r="BU1032" s="50"/>
      <c r="BV1032" s="50"/>
      <c r="BW1032" s="50"/>
      <c r="BX1032" s="50"/>
      <c r="BY1032" s="50"/>
      <c r="BZ1032" s="50"/>
      <c r="CA1032" s="50" t="s">
        <v>22</v>
      </c>
      <c r="CE1032" s="50"/>
      <c r="CF1032" s="50"/>
      <c r="CG1032" s="50"/>
      <c r="CH1032" s="50"/>
      <c r="CI1032" s="50" t="str">
        <f t="shared" si="569"/>
        <v>Not Reported/ Can not calculate</v>
      </c>
      <c r="CJ1032" s="50" t="e">
        <f t="shared" si="570"/>
        <v>#VALUE!</v>
      </c>
      <c r="CL1032" s="9" t="s">
        <v>1269</v>
      </c>
      <c r="CM1032" s="9" t="s">
        <v>1284</v>
      </c>
      <c r="CN1032" s="55" t="s">
        <v>1284</v>
      </c>
      <c r="CO1032" s="9" t="s">
        <v>1284</v>
      </c>
    </row>
    <row r="1033" spans="1:93" s="9" customFormat="1" x14ac:dyDescent="0.25">
      <c r="A1033" s="9" t="s">
        <v>266</v>
      </c>
      <c r="B1033" s="50" t="s">
        <v>22</v>
      </c>
      <c r="C1033" s="50" t="s">
        <v>22</v>
      </c>
      <c r="D1033" s="50">
        <v>0.829958000270966</v>
      </c>
      <c r="E1033" s="50" t="s">
        <v>22</v>
      </c>
      <c r="F1033" s="9" t="s">
        <v>22</v>
      </c>
      <c r="G1033" s="9" t="s">
        <v>22</v>
      </c>
      <c r="H1033" s="9" t="s">
        <v>22</v>
      </c>
      <c r="I1033" s="9" t="s">
        <v>22</v>
      </c>
      <c r="J1033" s="50">
        <v>48.1404958677685</v>
      </c>
      <c r="K1033" s="9">
        <v>785</v>
      </c>
      <c r="L1033" s="50">
        <f t="shared" si="567"/>
        <v>18.280546982567113</v>
      </c>
      <c r="M1033" s="9" t="s">
        <v>23</v>
      </c>
      <c r="N1033" s="50" t="s">
        <v>22</v>
      </c>
      <c r="O1033" s="50" t="s">
        <v>22</v>
      </c>
      <c r="P1033" s="50" t="s">
        <v>22</v>
      </c>
      <c r="Q1033" s="50"/>
      <c r="R1033" s="50" t="s">
        <v>22</v>
      </c>
      <c r="S1033" s="50" t="s">
        <v>22</v>
      </c>
      <c r="T1033" s="50" t="s">
        <v>22</v>
      </c>
      <c r="U1033" s="50" t="s">
        <v>22</v>
      </c>
      <c r="V1033" s="9">
        <v>20200719</v>
      </c>
      <c r="W1033" s="21"/>
      <c r="X1033" s="21">
        <v>2019</v>
      </c>
      <c r="Y1033" s="9" t="s">
        <v>76</v>
      </c>
      <c r="Z1033" s="9" t="s">
        <v>1121</v>
      </c>
      <c r="AB1033" s="50"/>
      <c r="AC1033" s="9" t="s">
        <v>514</v>
      </c>
      <c r="AD1033" s="50" t="s">
        <v>22</v>
      </c>
      <c r="AE1033" s="50"/>
      <c r="AF1033" s="50" t="s">
        <v>22</v>
      </c>
      <c r="AG1033" s="50" t="s">
        <v>22</v>
      </c>
      <c r="AH1033" s="50" t="s">
        <v>22</v>
      </c>
      <c r="AI1033" s="50" t="s">
        <v>22</v>
      </c>
      <c r="AJ1033" s="50" t="s">
        <v>22</v>
      </c>
      <c r="AK1033" s="50" t="s">
        <v>22</v>
      </c>
      <c r="AL1033" s="50" t="s">
        <v>22</v>
      </c>
      <c r="AM1033" s="43" t="e">
        <f t="shared" si="571"/>
        <v>#VALUE!</v>
      </c>
      <c r="AN1033" s="43" t="e">
        <f t="shared" si="572"/>
        <v>#VALUE!</v>
      </c>
      <c r="AO1033" s="21" t="s">
        <v>265</v>
      </c>
      <c r="AT1033" s="2">
        <f t="shared" si="573"/>
        <v>25</v>
      </c>
      <c r="AU1033" s="45" t="e">
        <f t="shared" si="574"/>
        <v>#VALUE!</v>
      </c>
      <c r="AV1033" s="45" t="e">
        <f t="shared" si="575"/>
        <v>#VALUE!</v>
      </c>
      <c r="AW1033" s="45">
        <f t="shared" si="576"/>
        <v>-8.0943884385460796E-2</v>
      </c>
      <c r="AX1033" s="45" t="e">
        <f t="shared" si="577"/>
        <v>#VALUE!</v>
      </c>
      <c r="AY1033" s="45" t="e">
        <f t="shared" si="578"/>
        <v>#VALUE!</v>
      </c>
      <c r="AZ1033" s="45" t="e">
        <f t="shared" si="579"/>
        <v>#VALUE!</v>
      </c>
      <c r="BA1033" s="45">
        <f t="shared" si="580"/>
        <v>1.6825105593816057</v>
      </c>
      <c r="BB1033" s="45">
        <f t="shared" si="581"/>
        <v>1.2619891863626158</v>
      </c>
      <c r="BC1033" s="45" t="e">
        <f t="shared" si="582"/>
        <v>#VALUE!</v>
      </c>
      <c r="BD1033" s="45" t="e">
        <f t="shared" si="583"/>
        <v>#VALUE!</v>
      </c>
      <c r="BE1033" s="45" t="e">
        <f t="shared" si="584"/>
        <v>#VALUE!</v>
      </c>
      <c r="BF1033" s="45" t="e">
        <f t="shared" si="585"/>
        <v>#VALUE!</v>
      </c>
      <c r="BG1033" s="45" t="e">
        <f t="shared" si="586"/>
        <v>#VALUE!</v>
      </c>
      <c r="BH1033" s="45" t="e">
        <f t="shared" si="587"/>
        <v>#NUM!</v>
      </c>
      <c r="BI1033" s="43" t="e">
        <f t="shared" si="588"/>
        <v>#VALUE!</v>
      </c>
      <c r="BL1033" s="20"/>
      <c r="BM1033" s="50"/>
      <c r="BN1033" s="50"/>
      <c r="BO1033" s="50"/>
      <c r="BP1033" s="50"/>
      <c r="BQ1033" s="50"/>
      <c r="BR1033" s="50"/>
      <c r="BU1033" s="50"/>
      <c r="BV1033" s="50"/>
      <c r="BW1033" s="50"/>
      <c r="BX1033" s="50"/>
      <c r="BY1033" s="50"/>
      <c r="BZ1033" s="50"/>
      <c r="CA1033" s="50" t="s">
        <v>22</v>
      </c>
      <c r="CE1033" s="50"/>
      <c r="CF1033" s="50"/>
      <c r="CG1033" s="50"/>
      <c r="CH1033" s="50"/>
      <c r="CI1033" s="50" t="str">
        <f t="shared" si="569"/>
        <v>Not Reported/ Can not calculate</v>
      </c>
      <c r="CJ1033" s="50" t="e">
        <f t="shared" si="570"/>
        <v>#VALUE!</v>
      </c>
      <c r="CL1033" s="9" t="s">
        <v>1269</v>
      </c>
      <c r="CM1033" s="9" t="s">
        <v>1284</v>
      </c>
      <c r="CN1033" s="55" t="s">
        <v>1284</v>
      </c>
      <c r="CO1033" s="9" t="s">
        <v>1284</v>
      </c>
    </row>
    <row r="1034" spans="1:93" s="9" customFormat="1" x14ac:dyDescent="0.25">
      <c r="A1034" s="9" t="s">
        <v>266</v>
      </c>
      <c r="B1034" s="50" t="s">
        <v>22</v>
      </c>
      <c r="C1034" s="50" t="s">
        <v>22</v>
      </c>
      <c r="D1034" s="50">
        <v>1.12278553041593</v>
      </c>
      <c r="E1034" s="50" t="s">
        <v>22</v>
      </c>
      <c r="F1034" s="9" t="s">
        <v>22</v>
      </c>
      <c r="G1034" s="9" t="s">
        <v>22</v>
      </c>
      <c r="H1034" s="9" t="s">
        <v>22</v>
      </c>
      <c r="I1034" s="9" t="s">
        <v>22</v>
      </c>
      <c r="J1034" s="50">
        <v>37.355371900826398</v>
      </c>
      <c r="K1034" s="9">
        <v>785</v>
      </c>
      <c r="L1034" s="50">
        <f t="shared" si="567"/>
        <v>14.185076800206595</v>
      </c>
      <c r="M1034" s="9" t="s">
        <v>23</v>
      </c>
      <c r="N1034" s="50" t="s">
        <v>22</v>
      </c>
      <c r="O1034" s="50" t="s">
        <v>22</v>
      </c>
      <c r="P1034" s="50" t="s">
        <v>22</v>
      </c>
      <c r="Q1034" s="50"/>
      <c r="R1034" s="50" t="s">
        <v>22</v>
      </c>
      <c r="S1034" s="50" t="s">
        <v>22</v>
      </c>
      <c r="T1034" s="50" t="s">
        <v>22</v>
      </c>
      <c r="U1034" s="50" t="s">
        <v>22</v>
      </c>
      <c r="V1034" s="9">
        <v>20200719</v>
      </c>
      <c r="W1034" s="21"/>
      <c r="X1034" s="21">
        <v>2019</v>
      </c>
      <c r="Y1034" s="9" t="s">
        <v>76</v>
      </c>
      <c r="Z1034" s="9" t="s">
        <v>1121</v>
      </c>
      <c r="AB1034" s="50"/>
      <c r="AC1034" s="9" t="s">
        <v>514</v>
      </c>
      <c r="AD1034" s="50" t="s">
        <v>22</v>
      </c>
      <c r="AE1034" s="50"/>
      <c r="AF1034" s="50" t="s">
        <v>22</v>
      </c>
      <c r="AG1034" s="50" t="s">
        <v>22</v>
      </c>
      <c r="AH1034" s="50" t="s">
        <v>22</v>
      </c>
      <c r="AI1034" s="50" t="s">
        <v>22</v>
      </c>
      <c r="AJ1034" s="50" t="s">
        <v>22</v>
      </c>
      <c r="AK1034" s="50" t="s">
        <v>22</v>
      </c>
      <c r="AL1034" s="50" t="s">
        <v>22</v>
      </c>
      <c r="AM1034" s="43" t="e">
        <f t="shared" si="571"/>
        <v>#VALUE!</v>
      </c>
      <c r="AN1034" s="43" t="e">
        <f t="shared" si="572"/>
        <v>#VALUE!</v>
      </c>
      <c r="AO1034" s="21" t="s">
        <v>265</v>
      </c>
      <c r="AT1034" s="2">
        <f t="shared" si="573"/>
        <v>25</v>
      </c>
      <c r="AU1034" s="45" t="e">
        <f t="shared" si="574"/>
        <v>#VALUE!</v>
      </c>
      <c r="AV1034" s="45" t="e">
        <f t="shared" si="575"/>
        <v>#VALUE!</v>
      </c>
      <c r="AW1034" s="45">
        <f t="shared" si="576"/>
        <v>5.0296807149960397E-2</v>
      </c>
      <c r="AX1034" s="45" t="e">
        <f t="shared" si="577"/>
        <v>#VALUE!</v>
      </c>
      <c r="AY1034" s="45" t="e">
        <f t="shared" si="578"/>
        <v>#VALUE!</v>
      </c>
      <c r="AZ1034" s="45" t="e">
        <f t="shared" si="579"/>
        <v>#VALUE!</v>
      </c>
      <c r="BA1034" s="45">
        <f t="shared" si="580"/>
        <v>1.5723530644949315</v>
      </c>
      <c r="BB1034" s="45">
        <f t="shared" si="581"/>
        <v>1.1518316914759417</v>
      </c>
      <c r="BC1034" s="45" t="e">
        <f t="shared" si="582"/>
        <v>#VALUE!</v>
      </c>
      <c r="BD1034" s="45" t="e">
        <f t="shared" si="583"/>
        <v>#VALUE!</v>
      </c>
      <c r="BE1034" s="45" t="e">
        <f t="shared" si="584"/>
        <v>#VALUE!</v>
      </c>
      <c r="BF1034" s="45" t="e">
        <f t="shared" si="585"/>
        <v>#VALUE!</v>
      </c>
      <c r="BG1034" s="45" t="e">
        <f t="shared" si="586"/>
        <v>#VALUE!</v>
      </c>
      <c r="BH1034" s="45" t="e">
        <f t="shared" si="587"/>
        <v>#NUM!</v>
      </c>
      <c r="BI1034" s="43" t="e">
        <f t="shared" si="588"/>
        <v>#VALUE!</v>
      </c>
      <c r="BL1034" s="20"/>
      <c r="BM1034" s="50"/>
      <c r="BN1034" s="50"/>
      <c r="BO1034" s="50"/>
      <c r="BP1034" s="50"/>
      <c r="BQ1034" s="50"/>
      <c r="BR1034" s="50"/>
      <c r="BU1034" s="50"/>
      <c r="BV1034" s="50"/>
      <c r="BW1034" s="50"/>
      <c r="BX1034" s="50"/>
      <c r="BY1034" s="50"/>
      <c r="BZ1034" s="50"/>
      <c r="CA1034" s="50" t="s">
        <v>22</v>
      </c>
      <c r="CE1034" s="50"/>
      <c r="CF1034" s="50"/>
      <c r="CG1034" s="50"/>
      <c r="CH1034" s="50"/>
      <c r="CI1034" s="50" t="str">
        <f t="shared" si="569"/>
        <v>Not Reported/ Can not calculate</v>
      </c>
      <c r="CJ1034" s="50" t="e">
        <f t="shared" si="570"/>
        <v>#VALUE!</v>
      </c>
      <c r="CL1034" s="9" t="s">
        <v>1269</v>
      </c>
      <c r="CM1034" s="9" t="s">
        <v>1284</v>
      </c>
      <c r="CN1034" s="55" t="s">
        <v>1284</v>
      </c>
      <c r="CO1034" s="9" t="s">
        <v>1284</v>
      </c>
    </row>
    <row r="1035" spans="1:93" s="9" customFormat="1" x14ac:dyDescent="0.25">
      <c r="A1035" s="9" t="s">
        <v>266</v>
      </c>
      <c r="B1035" s="50" t="s">
        <v>22</v>
      </c>
      <c r="C1035" s="50" t="s">
        <v>22</v>
      </c>
      <c r="D1035" s="50">
        <v>1.1590516190218101</v>
      </c>
      <c r="E1035" s="50" t="s">
        <v>22</v>
      </c>
      <c r="F1035" s="9" t="s">
        <v>22</v>
      </c>
      <c r="G1035" s="9" t="s">
        <v>22</v>
      </c>
      <c r="H1035" s="9" t="s">
        <v>22</v>
      </c>
      <c r="I1035" s="9" t="s">
        <v>22</v>
      </c>
      <c r="J1035" s="50">
        <v>32.148760330578497</v>
      </c>
      <c r="K1035" s="9">
        <v>785</v>
      </c>
      <c r="L1035" s="50">
        <f t="shared" si="567"/>
        <v>12.207953263894622</v>
      </c>
      <c r="M1035" s="9" t="s">
        <v>23</v>
      </c>
      <c r="N1035" s="50" t="s">
        <v>22</v>
      </c>
      <c r="O1035" s="50" t="s">
        <v>22</v>
      </c>
      <c r="P1035" s="50" t="s">
        <v>22</v>
      </c>
      <c r="Q1035" s="50"/>
      <c r="R1035" s="50" t="s">
        <v>22</v>
      </c>
      <c r="S1035" s="50" t="s">
        <v>22</v>
      </c>
      <c r="T1035" s="50" t="s">
        <v>22</v>
      </c>
      <c r="U1035" s="50" t="s">
        <v>22</v>
      </c>
      <c r="V1035" s="9">
        <v>20200719</v>
      </c>
      <c r="W1035" s="21"/>
      <c r="X1035" s="21">
        <v>2019</v>
      </c>
      <c r="Y1035" s="9" t="s">
        <v>76</v>
      </c>
      <c r="Z1035" s="9" t="s">
        <v>1121</v>
      </c>
      <c r="AB1035" s="50"/>
      <c r="AC1035" s="9" t="s">
        <v>514</v>
      </c>
      <c r="AD1035" s="50" t="s">
        <v>22</v>
      </c>
      <c r="AE1035" s="50"/>
      <c r="AF1035" s="50" t="s">
        <v>22</v>
      </c>
      <c r="AG1035" s="50" t="s">
        <v>22</v>
      </c>
      <c r="AH1035" s="50" t="s">
        <v>22</v>
      </c>
      <c r="AI1035" s="50" t="s">
        <v>22</v>
      </c>
      <c r="AJ1035" s="50" t="s">
        <v>22</v>
      </c>
      <c r="AK1035" s="50" t="s">
        <v>22</v>
      </c>
      <c r="AL1035" s="50" t="s">
        <v>22</v>
      </c>
      <c r="AM1035" s="43" t="e">
        <f t="shared" si="571"/>
        <v>#VALUE!</v>
      </c>
      <c r="AN1035" s="43" t="e">
        <f t="shared" si="572"/>
        <v>#VALUE!</v>
      </c>
      <c r="AO1035" s="21" t="s">
        <v>265</v>
      </c>
      <c r="AT1035" s="2">
        <f t="shared" si="573"/>
        <v>25</v>
      </c>
      <c r="AU1035" s="45" t="e">
        <f t="shared" si="574"/>
        <v>#VALUE!</v>
      </c>
      <c r="AV1035" s="45" t="e">
        <f t="shared" si="575"/>
        <v>#VALUE!</v>
      </c>
      <c r="AW1035" s="45">
        <f t="shared" si="576"/>
        <v>6.4102777945589065E-2</v>
      </c>
      <c r="AX1035" s="45" t="e">
        <f t="shared" si="577"/>
        <v>#VALUE!</v>
      </c>
      <c r="AY1035" s="45" t="e">
        <f t="shared" si="578"/>
        <v>#VALUE!</v>
      </c>
      <c r="AZ1035" s="45" t="e">
        <f t="shared" si="579"/>
        <v>#VALUE!</v>
      </c>
      <c r="BA1035" s="45">
        <f t="shared" si="580"/>
        <v>1.5071642310092574</v>
      </c>
      <c r="BB1035" s="45">
        <f t="shared" si="581"/>
        <v>1.0866428579902676</v>
      </c>
      <c r="BC1035" s="45" t="e">
        <f t="shared" si="582"/>
        <v>#VALUE!</v>
      </c>
      <c r="BD1035" s="45" t="e">
        <f t="shared" si="583"/>
        <v>#VALUE!</v>
      </c>
      <c r="BE1035" s="45" t="e">
        <f t="shared" si="584"/>
        <v>#VALUE!</v>
      </c>
      <c r="BF1035" s="45" t="e">
        <f t="shared" si="585"/>
        <v>#VALUE!</v>
      </c>
      <c r="BG1035" s="45" t="e">
        <f t="shared" si="586"/>
        <v>#VALUE!</v>
      </c>
      <c r="BH1035" s="45" t="e">
        <f t="shared" si="587"/>
        <v>#NUM!</v>
      </c>
      <c r="BI1035" s="43" t="e">
        <f t="shared" si="588"/>
        <v>#VALUE!</v>
      </c>
      <c r="BL1035" s="20"/>
      <c r="BM1035" s="50"/>
      <c r="BN1035" s="50"/>
      <c r="BO1035" s="50"/>
      <c r="BP1035" s="50"/>
      <c r="BQ1035" s="50"/>
      <c r="BR1035" s="50"/>
      <c r="BU1035" s="50"/>
      <c r="BV1035" s="50"/>
      <c r="BW1035" s="50"/>
      <c r="BX1035" s="50"/>
      <c r="BY1035" s="50"/>
      <c r="BZ1035" s="50"/>
      <c r="CA1035" s="50" t="s">
        <v>22</v>
      </c>
      <c r="CE1035" s="50"/>
      <c r="CF1035" s="50"/>
      <c r="CG1035" s="50"/>
      <c r="CH1035" s="50"/>
      <c r="CI1035" s="50" t="str">
        <f t="shared" si="569"/>
        <v>Not Reported/ Can not calculate</v>
      </c>
      <c r="CJ1035" s="50" t="e">
        <f t="shared" si="570"/>
        <v>#VALUE!</v>
      </c>
      <c r="CL1035" s="9" t="s">
        <v>1269</v>
      </c>
      <c r="CM1035" s="9" t="s">
        <v>1284</v>
      </c>
      <c r="CN1035" s="55" t="s">
        <v>1284</v>
      </c>
      <c r="CO1035" s="9" t="s">
        <v>1284</v>
      </c>
    </row>
    <row r="1036" spans="1:93" s="9" customFormat="1" x14ac:dyDescent="0.25">
      <c r="A1036" s="9" t="s">
        <v>266</v>
      </c>
      <c r="B1036" s="50" t="s">
        <v>22</v>
      </c>
      <c r="C1036" s="50" t="s">
        <v>22</v>
      </c>
      <c r="D1036" s="50">
        <v>1.1920010838639701</v>
      </c>
      <c r="E1036" s="50" t="s">
        <v>22</v>
      </c>
      <c r="F1036" s="9" t="s">
        <v>22</v>
      </c>
      <c r="G1036" s="9" t="s">
        <v>22</v>
      </c>
      <c r="H1036" s="9" t="s">
        <v>22</v>
      </c>
      <c r="I1036" s="9" t="s">
        <v>22</v>
      </c>
      <c r="J1036" s="50">
        <v>19.008264462809802</v>
      </c>
      <c r="K1036" s="9">
        <v>785</v>
      </c>
      <c r="L1036" s="50">
        <f t="shared" si="567"/>
        <v>7.2180700532024353</v>
      </c>
      <c r="M1036" s="9" t="s">
        <v>23</v>
      </c>
      <c r="N1036" s="50" t="s">
        <v>22</v>
      </c>
      <c r="O1036" s="50" t="s">
        <v>22</v>
      </c>
      <c r="P1036" s="50" t="s">
        <v>22</v>
      </c>
      <c r="Q1036" s="50"/>
      <c r="R1036" s="50" t="s">
        <v>22</v>
      </c>
      <c r="S1036" s="50" t="s">
        <v>22</v>
      </c>
      <c r="T1036" s="50" t="s">
        <v>22</v>
      </c>
      <c r="U1036" s="50" t="s">
        <v>22</v>
      </c>
      <c r="V1036" s="9">
        <v>20200719</v>
      </c>
      <c r="W1036" s="21"/>
      <c r="X1036" s="21">
        <v>2019</v>
      </c>
      <c r="Y1036" s="9" t="s">
        <v>76</v>
      </c>
      <c r="Z1036" s="9" t="s">
        <v>1121</v>
      </c>
      <c r="AB1036" s="50"/>
      <c r="AC1036" s="9" t="s">
        <v>514</v>
      </c>
      <c r="AD1036" s="50" t="s">
        <v>22</v>
      </c>
      <c r="AE1036" s="50"/>
      <c r="AF1036" s="50" t="s">
        <v>22</v>
      </c>
      <c r="AG1036" s="50" t="s">
        <v>22</v>
      </c>
      <c r="AH1036" s="50" t="s">
        <v>22</v>
      </c>
      <c r="AI1036" s="50" t="s">
        <v>22</v>
      </c>
      <c r="AJ1036" s="50" t="s">
        <v>22</v>
      </c>
      <c r="AK1036" s="50" t="s">
        <v>22</v>
      </c>
      <c r="AL1036" s="50" t="s">
        <v>22</v>
      </c>
      <c r="AM1036" s="43" t="e">
        <f t="shared" si="571"/>
        <v>#VALUE!</v>
      </c>
      <c r="AN1036" s="43" t="e">
        <f t="shared" si="572"/>
        <v>#VALUE!</v>
      </c>
      <c r="AO1036" s="21" t="s">
        <v>265</v>
      </c>
      <c r="AT1036" s="2">
        <f t="shared" si="573"/>
        <v>25</v>
      </c>
      <c r="AU1036" s="45" t="e">
        <f t="shared" si="574"/>
        <v>#VALUE!</v>
      </c>
      <c r="AV1036" s="45" t="e">
        <f t="shared" si="575"/>
        <v>#VALUE!</v>
      </c>
      <c r="AW1036" s="45">
        <f t="shared" si="576"/>
        <v>7.6276650300129811E-2</v>
      </c>
      <c r="AX1036" s="45" t="e">
        <f t="shared" si="577"/>
        <v>#VALUE!</v>
      </c>
      <c r="AY1036" s="45" t="e">
        <f t="shared" si="578"/>
        <v>#VALUE!</v>
      </c>
      <c r="AZ1036" s="45" t="e">
        <f t="shared" si="579"/>
        <v>#VALUE!</v>
      </c>
      <c r="BA1036" s="45">
        <f t="shared" si="580"/>
        <v>1.2789424657011401</v>
      </c>
      <c r="BB1036" s="45">
        <f t="shared" si="581"/>
        <v>0.85842109268215028</v>
      </c>
      <c r="BC1036" s="45" t="e">
        <f t="shared" si="582"/>
        <v>#VALUE!</v>
      </c>
      <c r="BD1036" s="45" t="e">
        <f t="shared" si="583"/>
        <v>#VALUE!</v>
      </c>
      <c r="BE1036" s="45" t="e">
        <f t="shared" si="584"/>
        <v>#VALUE!</v>
      </c>
      <c r="BF1036" s="45" t="e">
        <f t="shared" si="585"/>
        <v>#VALUE!</v>
      </c>
      <c r="BG1036" s="45" t="e">
        <f t="shared" si="586"/>
        <v>#VALUE!</v>
      </c>
      <c r="BH1036" s="45" t="e">
        <f t="shared" si="587"/>
        <v>#NUM!</v>
      </c>
      <c r="BI1036" s="43" t="e">
        <f t="shared" si="588"/>
        <v>#VALUE!</v>
      </c>
      <c r="BL1036" s="20"/>
      <c r="BM1036" s="50"/>
      <c r="BN1036" s="50"/>
      <c r="BO1036" s="50"/>
      <c r="BP1036" s="50"/>
      <c r="BQ1036" s="50"/>
      <c r="BR1036" s="50"/>
      <c r="BU1036" s="50"/>
      <c r="BV1036" s="50"/>
      <c r="BW1036" s="50"/>
      <c r="BX1036" s="50"/>
      <c r="BY1036" s="50"/>
      <c r="BZ1036" s="50"/>
      <c r="CA1036" s="50" t="s">
        <v>22</v>
      </c>
      <c r="CE1036" s="50"/>
      <c r="CF1036" s="50"/>
      <c r="CG1036" s="50"/>
      <c r="CH1036" s="50"/>
      <c r="CI1036" s="50" t="str">
        <f t="shared" si="569"/>
        <v>Not Reported/ Can not calculate</v>
      </c>
      <c r="CJ1036" s="50" t="e">
        <f t="shared" si="570"/>
        <v>#VALUE!</v>
      </c>
      <c r="CL1036" s="9" t="s">
        <v>1269</v>
      </c>
      <c r="CM1036" s="9" t="s">
        <v>1284</v>
      </c>
      <c r="CN1036" s="55" t="s">
        <v>1284</v>
      </c>
      <c r="CO1036" s="9" t="s">
        <v>1284</v>
      </c>
    </row>
    <row r="1037" spans="1:93" s="9" customFormat="1" x14ac:dyDescent="0.25">
      <c r="A1037" s="9" t="s">
        <v>266</v>
      </c>
      <c r="B1037" s="50" t="s">
        <v>22</v>
      </c>
      <c r="C1037" s="50" t="s">
        <v>22</v>
      </c>
      <c r="D1037" s="50">
        <v>0.37010703156753799</v>
      </c>
      <c r="E1037" s="50" t="s">
        <v>22</v>
      </c>
      <c r="F1037" s="9" t="s">
        <v>22</v>
      </c>
      <c r="G1037" s="9" t="s">
        <v>22</v>
      </c>
      <c r="H1037" s="9" t="s">
        <v>22</v>
      </c>
      <c r="I1037" s="9" t="s">
        <v>22</v>
      </c>
      <c r="J1037" s="50">
        <v>8.5950413223140298</v>
      </c>
      <c r="K1037" s="9">
        <v>785</v>
      </c>
      <c r="L1037" s="50">
        <f t="shared" si="567"/>
        <v>3.2638229805785044</v>
      </c>
      <c r="M1037" s="9" t="s">
        <v>23</v>
      </c>
      <c r="N1037" s="50" t="s">
        <v>22</v>
      </c>
      <c r="O1037" s="50" t="s">
        <v>22</v>
      </c>
      <c r="P1037" s="50" t="s">
        <v>22</v>
      </c>
      <c r="Q1037" s="50"/>
      <c r="R1037" s="50" t="s">
        <v>22</v>
      </c>
      <c r="S1037" s="50" t="s">
        <v>22</v>
      </c>
      <c r="T1037" s="50" t="s">
        <v>22</v>
      </c>
      <c r="U1037" s="50" t="s">
        <v>22</v>
      </c>
      <c r="V1037" s="9">
        <v>20200719</v>
      </c>
      <c r="W1037" s="21"/>
      <c r="X1037" s="21">
        <v>2019</v>
      </c>
      <c r="Y1037" s="9" t="s">
        <v>76</v>
      </c>
      <c r="Z1037" s="9" t="s">
        <v>1121</v>
      </c>
      <c r="AB1037" s="50"/>
      <c r="AC1037" s="9" t="s">
        <v>514</v>
      </c>
      <c r="AD1037" s="50" t="s">
        <v>22</v>
      </c>
      <c r="AE1037" s="50"/>
      <c r="AF1037" s="50" t="s">
        <v>22</v>
      </c>
      <c r="AG1037" s="50" t="s">
        <v>22</v>
      </c>
      <c r="AH1037" s="50" t="s">
        <v>22</v>
      </c>
      <c r="AI1037" s="50" t="s">
        <v>22</v>
      </c>
      <c r="AJ1037" s="50" t="s">
        <v>22</v>
      </c>
      <c r="AK1037" s="50" t="s">
        <v>22</v>
      </c>
      <c r="AL1037" s="50" t="s">
        <v>22</v>
      </c>
      <c r="AM1037" s="43" t="e">
        <f t="shared" si="571"/>
        <v>#VALUE!</v>
      </c>
      <c r="AN1037" s="43" t="e">
        <f t="shared" si="572"/>
        <v>#VALUE!</v>
      </c>
      <c r="AO1037" s="21" t="s">
        <v>265</v>
      </c>
      <c r="AT1037" s="2">
        <f t="shared" si="573"/>
        <v>25</v>
      </c>
      <c r="AU1037" s="45" t="e">
        <f t="shared" si="574"/>
        <v>#VALUE!</v>
      </c>
      <c r="AV1037" s="45" t="e">
        <f t="shared" si="575"/>
        <v>#VALUE!</v>
      </c>
      <c r="AW1037" s="45">
        <f t="shared" si="576"/>
        <v>-0.43167266377824193</v>
      </c>
      <c r="AX1037" s="45" t="e">
        <f t="shared" si="577"/>
        <v>#VALUE!</v>
      </c>
      <c r="AY1037" s="45" t="e">
        <f t="shared" si="578"/>
        <v>#VALUE!</v>
      </c>
      <c r="AZ1037" s="45" t="e">
        <f t="shared" si="579"/>
        <v>#VALUE!</v>
      </c>
      <c r="BA1037" s="45">
        <f t="shared" si="580"/>
        <v>0.93424796898232931</v>
      </c>
      <c r="BB1037" s="45">
        <f t="shared" si="581"/>
        <v>0.51372659596333936</v>
      </c>
      <c r="BC1037" s="45" t="e">
        <f t="shared" si="582"/>
        <v>#VALUE!</v>
      </c>
      <c r="BD1037" s="45" t="e">
        <f t="shared" si="583"/>
        <v>#VALUE!</v>
      </c>
      <c r="BE1037" s="45" t="e">
        <f t="shared" si="584"/>
        <v>#VALUE!</v>
      </c>
      <c r="BF1037" s="45" t="e">
        <f t="shared" si="585"/>
        <v>#VALUE!</v>
      </c>
      <c r="BG1037" s="45" t="e">
        <f t="shared" si="586"/>
        <v>#VALUE!</v>
      </c>
      <c r="BH1037" s="45" t="e">
        <f t="shared" si="587"/>
        <v>#NUM!</v>
      </c>
      <c r="BI1037" s="43" t="e">
        <f t="shared" si="588"/>
        <v>#VALUE!</v>
      </c>
      <c r="BL1037" s="20"/>
      <c r="BM1037" s="50"/>
      <c r="BN1037" s="50"/>
      <c r="BO1037" s="50"/>
      <c r="BP1037" s="50"/>
      <c r="BQ1037" s="50"/>
      <c r="BR1037" s="50"/>
      <c r="BU1037" s="50"/>
      <c r="BV1037" s="50"/>
      <c r="BW1037" s="50"/>
      <c r="BX1037" s="50"/>
      <c r="BY1037" s="50"/>
      <c r="BZ1037" s="50"/>
      <c r="CA1037" s="50" t="s">
        <v>22</v>
      </c>
      <c r="CE1037" s="50"/>
      <c r="CF1037" s="50"/>
      <c r="CG1037" s="50"/>
      <c r="CH1037" s="50"/>
      <c r="CI1037" s="50" t="str">
        <f t="shared" si="569"/>
        <v>Not Reported/ Can not calculate</v>
      </c>
      <c r="CJ1037" s="50" t="e">
        <f t="shared" si="570"/>
        <v>#VALUE!</v>
      </c>
      <c r="CL1037" s="9" t="s">
        <v>1269</v>
      </c>
      <c r="CM1037" s="9" t="s">
        <v>1284</v>
      </c>
      <c r="CN1037" s="55" t="s">
        <v>1284</v>
      </c>
      <c r="CO1037" s="9" t="s">
        <v>1284</v>
      </c>
    </row>
    <row r="1038" spans="1:93" s="9" customFormat="1" x14ac:dyDescent="0.25">
      <c r="A1038" s="9" t="s">
        <v>266</v>
      </c>
      <c r="B1038" s="50" t="s">
        <v>22</v>
      </c>
      <c r="C1038" s="50" t="s">
        <v>22</v>
      </c>
      <c r="D1038" s="50">
        <v>0.48564693131012004</v>
      </c>
      <c r="E1038" s="50" t="s">
        <v>22</v>
      </c>
      <c r="F1038" s="9" t="s">
        <v>22</v>
      </c>
      <c r="G1038" s="9" t="s">
        <v>22</v>
      </c>
      <c r="H1038" s="9" t="s">
        <v>22</v>
      </c>
      <c r="I1038" s="9" t="s">
        <v>22</v>
      </c>
      <c r="J1038" s="50">
        <v>10.0826446280991</v>
      </c>
      <c r="K1038" s="9">
        <v>785</v>
      </c>
      <c r="L1038" s="50">
        <f t="shared" si="567"/>
        <v>3.8287154195247655</v>
      </c>
      <c r="M1038" s="9" t="s">
        <v>23</v>
      </c>
      <c r="N1038" s="50" t="s">
        <v>22</v>
      </c>
      <c r="O1038" s="50" t="s">
        <v>22</v>
      </c>
      <c r="P1038" s="50" t="s">
        <v>22</v>
      </c>
      <c r="Q1038" s="50"/>
      <c r="R1038" s="50" t="s">
        <v>22</v>
      </c>
      <c r="S1038" s="50" t="s">
        <v>22</v>
      </c>
      <c r="T1038" s="50" t="s">
        <v>22</v>
      </c>
      <c r="U1038" s="50" t="s">
        <v>22</v>
      </c>
      <c r="V1038" s="9">
        <v>20200719</v>
      </c>
      <c r="W1038" s="21"/>
      <c r="X1038" s="21">
        <v>2019</v>
      </c>
      <c r="Y1038" s="9" t="s">
        <v>76</v>
      </c>
      <c r="Z1038" s="9" t="s">
        <v>1121</v>
      </c>
      <c r="AB1038" s="50"/>
      <c r="AC1038" s="9" t="s">
        <v>514</v>
      </c>
      <c r="AD1038" s="50" t="s">
        <v>22</v>
      </c>
      <c r="AE1038" s="50"/>
      <c r="AF1038" s="50" t="s">
        <v>22</v>
      </c>
      <c r="AG1038" s="50" t="s">
        <v>22</v>
      </c>
      <c r="AH1038" s="50" t="s">
        <v>22</v>
      </c>
      <c r="AI1038" s="50" t="s">
        <v>22</v>
      </c>
      <c r="AJ1038" s="50" t="s">
        <v>22</v>
      </c>
      <c r="AK1038" s="50" t="s">
        <v>22</v>
      </c>
      <c r="AL1038" s="50" t="s">
        <v>22</v>
      </c>
      <c r="AM1038" s="43" t="e">
        <f t="shared" si="571"/>
        <v>#VALUE!</v>
      </c>
      <c r="AN1038" s="43" t="e">
        <f t="shared" si="572"/>
        <v>#VALUE!</v>
      </c>
      <c r="AO1038" s="21" t="s">
        <v>265</v>
      </c>
      <c r="AT1038" s="2">
        <f t="shared" si="573"/>
        <v>25</v>
      </c>
      <c r="AU1038" s="45" t="e">
        <f t="shared" si="574"/>
        <v>#VALUE!</v>
      </c>
      <c r="AV1038" s="45" t="e">
        <f t="shared" si="575"/>
        <v>#VALUE!</v>
      </c>
      <c r="AW1038" s="45">
        <f t="shared" si="576"/>
        <v>-0.31367935112522677</v>
      </c>
      <c r="AX1038" s="45" t="e">
        <f t="shared" si="577"/>
        <v>#VALUE!</v>
      </c>
      <c r="AY1038" s="45" t="e">
        <f t="shared" si="578"/>
        <v>#VALUE!</v>
      </c>
      <c r="AZ1038" s="45" t="e">
        <f t="shared" si="579"/>
        <v>#VALUE!</v>
      </c>
      <c r="BA1038" s="45">
        <f t="shared" si="580"/>
        <v>1.003574460358295</v>
      </c>
      <c r="BB1038" s="45">
        <f t="shared" si="581"/>
        <v>0.58305308733930516</v>
      </c>
      <c r="BC1038" s="45" t="e">
        <f t="shared" si="582"/>
        <v>#VALUE!</v>
      </c>
      <c r="BD1038" s="45" t="e">
        <f t="shared" si="583"/>
        <v>#VALUE!</v>
      </c>
      <c r="BE1038" s="45" t="e">
        <f t="shared" si="584"/>
        <v>#VALUE!</v>
      </c>
      <c r="BF1038" s="45" t="e">
        <f t="shared" si="585"/>
        <v>#VALUE!</v>
      </c>
      <c r="BG1038" s="45" t="e">
        <f t="shared" si="586"/>
        <v>#VALUE!</v>
      </c>
      <c r="BH1038" s="45" t="e">
        <f t="shared" si="587"/>
        <v>#NUM!</v>
      </c>
      <c r="BI1038" s="43" t="e">
        <f t="shared" si="588"/>
        <v>#VALUE!</v>
      </c>
      <c r="BL1038" s="20"/>
      <c r="BM1038" s="50"/>
      <c r="BN1038" s="50"/>
      <c r="BO1038" s="50"/>
      <c r="BP1038" s="50"/>
      <c r="BQ1038" s="50"/>
      <c r="BR1038" s="50"/>
      <c r="BU1038" s="50"/>
      <c r="BV1038" s="50"/>
      <c r="BW1038" s="50"/>
      <c r="BX1038" s="50"/>
      <c r="BY1038" s="50"/>
      <c r="BZ1038" s="50"/>
      <c r="CA1038" s="50" t="s">
        <v>22</v>
      </c>
      <c r="CE1038" s="50"/>
      <c r="CF1038" s="50"/>
      <c r="CG1038" s="50"/>
      <c r="CH1038" s="50"/>
      <c r="CI1038" s="50" t="str">
        <f t="shared" si="569"/>
        <v>Not Reported/ Can not calculate</v>
      </c>
      <c r="CJ1038" s="50" t="e">
        <f t="shared" si="570"/>
        <v>#VALUE!</v>
      </c>
      <c r="CL1038" s="9" t="s">
        <v>1269</v>
      </c>
      <c r="CM1038" s="9" t="s">
        <v>1284</v>
      </c>
      <c r="CN1038" s="55" t="s">
        <v>1284</v>
      </c>
      <c r="CO1038" s="9" t="s">
        <v>1284</v>
      </c>
    </row>
    <row r="1039" spans="1:93" s="9" customFormat="1" x14ac:dyDescent="0.25">
      <c r="A1039" s="9" t="s">
        <v>266</v>
      </c>
      <c r="B1039" s="50" t="s">
        <v>22</v>
      </c>
      <c r="C1039" s="50" t="s">
        <v>22</v>
      </c>
      <c r="D1039" s="50">
        <v>0.82749762904755408</v>
      </c>
      <c r="E1039" s="50" t="s">
        <v>22</v>
      </c>
      <c r="F1039" s="9" t="s">
        <v>22</v>
      </c>
      <c r="G1039" s="9" t="s">
        <v>22</v>
      </c>
      <c r="H1039" s="9" t="s">
        <v>22</v>
      </c>
      <c r="I1039" s="9" t="s">
        <v>22</v>
      </c>
      <c r="J1039" s="50">
        <v>19.999999999999901</v>
      </c>
      <c r="K1039" s="9">
        <v>785</v>
      </c>
      <c r="L1039" s="50">
        <f t="shared" si="567"/>
        <v>7.5946650124999611</v>
      </c>
      <c r="M1039" s="9" t="s">
        <v>23</v>
      </c>
      <c r="N1039" s="50" t="s">
        <v>22</v>
      </c>
      <c r="O1039" s="50" t="s">
        <v>22</v>
      </c>
      <c r="P1039" s="50" t="s">
        <v>22</v>
      </c>
      <c r="Q1039" s="50"/>
      <c r="R1039" s="50" t="s">
        <v>22</v>
      </c>
      <c r="S1039" s="50" t="s">
        <v>22</v>
      </c>
      <c r="T1039" s="50" t="s">
        <v>22</v>
      </c>
      <c r="U1039" s="50" t="s">
        <v>22</v>
      </c>
      <c r="V1039" s="9">
        <v>20200719</v>
      </c>
      <c r="W1039" s="21"/>
      <c r="X1039" s="21">
        <v>2019</v>
      </c>
      <c r="Y1039" s="9" t="s">
        <v>76</v>
      </c>
      <c r="Z1039" s="9" t="s">
        <v>1121</v>
      </c>
      <c r="AB1039" s="50"/>
      <c r="AC1039" s="9" t="s">
        <v>514</v>
      </c>
      <c r="AD1039" s="50" t="s">
        <v>22</v>
      </c>
      <c r="AE1039" s="50"/>
      <c r="AF1039" s="50" t="s">
        <v>22</v>
      </c>
      <c r="AG1039" s="50" t="s">
        <v>22</v>
      </c>
      <c r="AH1039" s="50" t="s">
        <v>22</v>
      </c>
      <c r="AI1039" s="50" t="s">
        <v>22</v>
      </c>
      <c r="AJ1039" s="50" t="s">
        <v>22</v>
      </c>
      <c r="AK1039" s="50" t="s">
        <v>22</v>
      </c>
      <c r="AL1039" s="50" t="s">
        <v>22</v>
      </c>
      <c r="AM1039" s="43" t="e">
        <f t="shared" si="571"/>
        <v>#VALUE!</v>
      </c>
      <c r="AN1039" s="43" t="e">
        <f t="shared" si="572"/>
        <v>#VALUE!</v>
      </c>
      <c r="AO1039" s="21" t="s">
        <v>265</v>
      </c>
      <c r="AT1039" s="2">
        <f t="shared" si="573"/>
        <v>25</v>
      </c>
      <c r="AU1039" s="45" t="e">
        <f t="shared" si="574"/>
        <v>#VALUE!</v>
      </c>
      <c r="AV1039" s="45" t="e">
        <f t="shared" si="575"/>
        <v>#VALUE!</v>
      </c>
      <c r="AW1039" s="45">
        <f t="shared" si="576"/>
        <v>-8.2233241894285047E-2</v>
      </c>
      <c r="AX1039" s="45" t="e">
        <f t="shared" si="577"/>
        <v>#VALUE!</v>
      </c>
      <c r="AY1039" s="45" t="e">
        <f t="shared" si="578"/>
        <v>#VALUE!</v>
      </c>
      <c r="AZ1039" s="45" t="e">
        <f t="shared" si="579"/>
        <v>#VALUE!</v>
      </c>
      <c r="BA1039" s="45">
        <f t="shared" si="580"/>
        <v>1.301029995663979</v>
      </c>
      <c r="BB1039" s="45">
        <f t="shared" si="581"/>
        <v>0.88050862264498908</v>
      </c>
      <c r="BC1039" s="45" t="e">
        <f t="shared" si="582"/>
        <v>#VALUE!</v>
      </c>
      <c r="BD1039" s="45" t="e">
        <f t="shared" si="583"/>
        <v>#VALUE!</v>
      </c>
      <c r="BE1039" s="45" t="e">
        <f t="shared" si="584"/>
        <v>#VALUE!</v>
      </c>
      <c r="BF1039" s="45" t="e">
        <f t="shared" si="585"/>
        <v>#VALUE!</v>
      </c>
      <c r="BG1039" s="45" t="e">
        <f t="shared" si="586"/>
        <v>#VALUE!</v>
      </c>
      <c r="BH1039" s="45" t="e">
        <f t="shared" si="587"/>
        <v>#NUM!</v>
      </c>
      <c r="BI1039" s="43" t="e">
        <f t="shared" si="588"/>
        <v>#VALUE!</v>
      </c>
      <c r="BL1039" s="20"/>
      <c r="BM1039" s="50"/>
      <c r="BN1039" s="50"/>
      <c r="BO1039" s="50"/>
      <c r="BP1039" s="50"/>
      <c r="BQ1039" s="50"/>
      <c r="BR1039" s="50"/>
      <c r="BU1039" s="50"/>
      <c r="BV1039" s="50"/>
      <c r="BW1039" s="50"/>
      <c r="BX1039" s="50"/>
      <c r="BY1039" s="50"/>
      <c r="BZ1039" s="50"/>
      <c r="CA1039" s="50" t="s">
        <v>22</v>
      </c>
      <c r="CE1039" s="50"/>
      <c r="CF1039" s="50"/>
      <c r="CG1039" s="50"/>
      <c r="CH1039" s="50"/>
      <c r="CI1039" s="50" t="str">
        <f t="shared" si="569"/>
        <v>Not Reported/ Can not calculate</v>
      </c>
      <c r="CJ1039" s="50" t="e">
        <f t="shared" si="570"/>
        <v>#VALUE!</v>
      </c>
      <c r="CL1039" s="9" t="s">
        <v>1269</v>
      </c>
      <c r="CM1039" s="9" t="s">
        <v>1284</v>
      </c>
      <c r="CN1039" s="55" t="s">
        <v>1284</v>
      </c>
      <c r="CO1039" s="9" t="s">
        <v>1284</v>
      </c>
    </row>
    <row r="1040" spans="1:93" s="9" customFormat="1" x14ac:dyDescent="0.25">
      <c r="A1040" s="9" t="s">
        <v>266</v>
      </c>
      <c r="B1040" s="50" t="s">
        <v>22</v>
      </c>
      <c r="C1040" s="50" t="s">
        <v>22</v>
      </c>
      <c r="D1040" s="50">
        <v>1.10217043761008</v>
      </c>
      <c r="E1040" s="50" t="s">
        <v>22</v>
      </c>
      <c r="F1040" s="9" t="s">
        <v>22</v>
      </c>
      <c r="G1040" s="9" t="s">
        <v>22</v>
      </c>
      <c r="H1040" s="9" t="s">
        <v>22</v>
      </c>
      <c r="I1040" s="9" t="s">
        <v>22</v>
      </c>
      <c r="J1040" s="50">
        <v>41.570247933884197</v>
      </c>
      <c r="K1040" s="9">
        <v>785</v>
      </c>
      <c r="L1040" s="50">
        <f t="shared" si="567"/>
        <v>15.785605377221035</v>
      </c>
      <c r="M1040" s="9" t="s">
        <v>23</v>
      </c>
      <c r="N1040" s="50" t="s">
        <v>22</v>
      </c>
      <c r="O1040" s="50" t="s">
        <v>22</v>
      </c>
      <c r="P1040" s="50" t="s">
        <v>22</v>
      </c>
      <c r="Q1040" s="50"/>
      <c r="R1040" s="50" t="s">
        <v>22</v>
      </c>
      <c r="S1040" s="50" t="s">
        <v>22</v>
      </c>
      <c r="T1040" s="50" t="s">
        <v>22</v>
      </c>
      <c r="U1040" s="50" t="s">
        <v>22</v>
      </c>
      <c r="V1040" s="9">
        <v>20200719</v>
      </c>
      <c r="W1040" s="21"/>
      <c r="X1040" s="21">
        <v>2019</v>
      </c>
      <c r="Y1040" s="9" t="s">
        <v>76</v>
      </c>
      <c r="Z1040" s="9" t="s">
        <v>1121</v>
      </c>
      <c r="AB1040" s="50"/>
      <c r="AC1040" s="9" t="s">
        <v>514</v>
      </c>
      <c r="AD1040" s="50" t="s">
        <v>22</v>
      </c>
      <c r="AE1040" s="50"/>
      <c r="AF1040" s="50" t="s">
        <v>22</v>
      </c>
      <c r="AG1040" s="50" t="s">
        <v>22</v>
      </c>
      <c r="AH1040" s="50" t="s">
        <v>22</v>
      </c>
      <c r="AI1040" s="50" t="s">
        <v>22</v>
      </c>
      <c r="AJ1040" s="50" t="s">
        <v>22</v>
      </c>
      <c r="AK1040" s="50" t="s">
        <v>22</v>
      </c>
      <c r="AL1040" s="50" t="s">
        <v>22</v>
      </c>
      <c r="AM1040" s="43" t="e">
        <f t="shared" si="571"/>
        <v>#VALUE!</v>
      </c>
      <c r="AN1040" s="43" t="e">
        <f t="shared" si="572"/>
        <v>#VALUE!</v>
      </c>
      <c r="AO1040" s="21" t="s">
        <v>265</v>
      </c>
      <c r="AT1040" s="2">
        <f t="shared" si="573"/>
        <v>25</v>
      </c>
      <c r="AU1040" s="45" t="e">
        <f t="shared" si="574"/>
        <v>#VALUE!</v>
      </c>
      <c r="AV1040" s="45" t="e">
        <f t="shared" si="575"/>
        <v>#VALUE!</v>
      </c>
      <c r="AW1040" s="45">
        <f t="shared" si="576"/>
        <v>4.2248758209145892E-2</v>
      </c>
      <c r="AX1040" s="45" t="e">
        <f t="shared" si="577"/>
        <v>#VALUE!</v>
      </c>
      <c r="AY1040" s="45" t="e">
        <f t="shared" si="578"/>
        <v>#VALUE!</v>
      </c>
      <c r="AZ1040" s="45" t="e">
        <f t="shared" si="579"/>
        <v>#VALUE!</v>
      </c>
      <c r="BA1040" s="45">
        <f t="shared" si="580"/>
        <v>1.6187826147394762</v>
      </c>
      <c r="BB1040" s="45">
        <f t="shared" si="581"/>
        <v>1.1982612417204863</v>
      </c>
      <c r="BC1040" s="45" t="e">
        <f t="shared" si="582"/>
        <v>#VALUE!</v>
      </c>
      <c r="BD1040" s="45" t="e">
        <f t="shared" si="583"/>
        <v>#VALUE!</v>
      </c>
      <c r="BE1040" s="45" t="e">
        <f t="shared" si="584"/>
        <v>#VALUE!</v>
      </c>
      <c r="BF1040" s="45" t="e">
        <f t="shared" si="585"/>
        <v>#VALUE!</v>
      </c>
      <c r="BG1040" s="45" t="e">
        <f t="shared" si="586"/>
        <v>#VALUE!</v>
      </c>
      <c r="BH1040" s="45" t="e">
        <f t="shared" si="587"/>
        <v>#NUM!</v>
      </c>
      <c r="BI1040" s="43" t="e">
        <f t="shared" si="588"/>
        <v>#VALUE!</v>
      </c>
      <c r="BL1040" s="20"/>
      <c r="BM1040" s="50"/>
      <c r="BN1040" s="50"/>
      <c r="BO1040" s="50"/>
      <c r="BP1040" s="50"/>
      <c r="BQ1040" s="50"/>
      <c r="BR1040" s="50"/>
      <c r="BU1040" s="50"/>
      <c r="BV1040" s="50"/>
      <c r="BW1040" s="50"/>
      <c r="BX1040" s="50"/>
      <c r="BY1040" s="50"/>
      <c r="BZ1040" s="50"/>
      <c r="CA1040" s="50" t="s">
        <v>22</v>
      </c>
      <c r="CE1040" s="50"/>
      <c r="CF1040" s="50"/>
      <c r="CG1040" s="50"/>
      <c r="CH1040" s="50"/>
      <c r="CI1040" s="50" t="str">
        <f t="shared" si="569"/>
        <v>Not Reported/ Can not calculate</v>
      </c>
      <c r="CJ1040" s="50" t="e">
        <f t="shared" si="570"/>
        <v>#VALUE!</v>
      </c>
      <c r="CL1040" s="9" t="s">
        <v>1269</v>
      </c>
      <c r="CM1040" s="9" t="s">
        <v>1284</v>
      </c>
      <c r="CN1040" s="55" t="s">
        <v>1284</v>
      </c>
      <c r="CO1040" s="9" t="s">
        <v>1284</v>
      </c>
    </row>
    <row r="1041" spans="1:93" x14ac:dyDescent="0.25">
      <c r="A1041" s="18" t="s">
        <v>365</v>
      </c>
      <c r="B1041" s="41" t="s">
        <v>22</v>
      </c>
      <c r="C1041" s="41">
        <v>2.09</v>
      </c>
      <c r="D1041" s="41" t="s">
        <v>22</v>
      </c>
      <c r="E1041" s="41" t="s">
        <v>22</v>
      </c>
      <c r="F1041" t="s">
        <v>22</v>
      </c>
      <c r="G1041" s="18" t="s">
        <v>22</v>
      </c>
      <c r="H1041" t="s">
        <v>22</v>
      </c>
      <c r="I1041" s="18" t="s">
        <v>22</v>
      </c>
      <c r="J1041" s="41" t="s">
        <v>22</v>
      </c>
      <c r="K1041" s="18">
        <v>532</v>
      </c>
      <c r="L1041" s="41" t="s">
        <v>22</v>
      </c>
      <c r="M1041" s="18" t="s">
        <v>23</v>
      </c>
      <c r="N1041" s="41">
        <v>96337</v>
      </c>
      <c r="O1041" s="41">
        <f>0.001*(N1041*10^6)/(C1041*100^3)</f>
        <v>46.094258373205747</v>
      </c>
      <c r="P1041" s="41">
        <v>981.4</v>
      </c>
      <c r="R1041" s="41" t="s">
        <v>22</v>
      </c>
      <c r="S1041" s="41" t="s">
        <v>22</v>
      </c>
      <c r="T1041" s="41">
        <v>1.45</v>
      </c>
      <c r="U1041" s="41">
        <v>1.45</v>
      </c>
      <c r="V1041" s="18">
        <v>20200512</v>
      </c>
      <c r="W1041" s="21" t="s">
        <v>939</v>
      </c>
      <c r="X1041" s="18">
        <v>2019</v>
      </c>
      <c r="Y1041" s="18" t="s">
        <v>76</v>
      </c>
      <c r="Z1041" s="18"/>
      <c r="AC1041" s="18" t="s">
        <v>269</v>
      </c>
      <c r="AD1041" s="41" t="s">
        <v>22</v>
      </c>
      <c r="AE1041" s="41" t="s">
        <v>22</v>
      </c>
      <c r="AF1041" s="41" t="s">
        <v>22</v>
      </c>
      <c r="AG1041" s="41" t="s">
        <v>22</v>
      </c>
      <c r="AH1041" s="41" t="s">
        <v>22</v>
      </c>
      <c r="AI1041" s="41" t="s">
        <v>22</v>
      </c>
      <c r="AJ1041" s="41" t="s">
        <v>22</v>
      </c>
      <c r="AK1041" s="41" t="s">
        <v>22</v>
      </c>
      <c r="AL1041" s="41" t="s">
        <v>22</v>
      </c>
      <c r="AM1041" s="43" t="e">
        <f t="shared" si="571"/>
        <v>#VALUE!</v>
      </c>
      <c r="AN1041" s="43" t="e">
        <f t="shared" si="572"/>
        <v>#VALUE!</v>
      </c>
      <c r="AO1041" s="19" t="s">
        <v>529</v>
      </c>
      <c r="AT1041" s="2">
        <f t="shared" si="573"/>
        <v>2</v>
      </c>
      <c r="AU1041" s="45" t="e">
        <f t="shared" si="574"/>
        <v>#VALUE!</v>
      </c>
      <c r="AV1041" s="45">
        <f t="shared" si="575"/>
        <v>0.32014628611105395</v>
      </c>
      <c r="AW1041" s="45" t="e">
        <f t="shared" si="576"/>
        <v>#VALUE!</v>
      </c>
      <c r="AX1041" s="45">
        <f t="shared" si="577"/>
        <v>4.9837931179621</v>
      </c>
      <c r="AY1041" s="45">
        <f t="shared" si="578"/>
        <v>1.6636468318510458</v>
      </c>
      <c r="AZ1041" s="45">
        <f t="shared" si="579"/>
        <v>2.9918460536448968</v>
      </c>
      <c r="BA1041" s="45" t="e">
        <f t="shared" si="580"/>
        <v>#VALUE!</v>
      </c>
      <c r="BB1041" s="45" t="e">
        <f t="shared" si="581"/>
        <v>#VALUE!</v>
      </c>
      <c r="BC1041" s="45">
        <f t="shared" si="582"/>
        <v>0.16136800223497488</v>
      </c>
      <c r="BD1041" s="45" t="e">
        <f t="shared" si="583"/>
        <v>#VALUE!</v>
      </c>
      <c r="BE1041" s="45" t="e">
        <f t="shared" si="584"/>
        <v>#VALUE!</v>
      </c>
      <c r="BF1041" s="45" t="e">
        <f t="shared" si="585"/>
        <v>#VALUE!</v>
      </c>
      <c r="BG1041" s="45" t="e">
        <f t="shared" si="586"/>
        <v>#VALUE!</v>
      </c>
      <c r="BH1041" s="45" t="e">
        <f t="shared" si="587"/>
        <v>#NUM!</v>
      </c>
      <c r="BI1041" s="43" t="e">
        <f t="shared" si="588"/>
        <v>#VALUE!</v>
      </c>
      <c r="CA1041" s="41" t="s">
        <v>22</v>
      </c>
      <c r="CC1041" s="18" t="s">
        <v>22</v>
      </c>
      <c r="CD1041" s="18"/>
      <c r="CE1041" s="41" t="s">
        <v>22</v>
      </c>
      <c r="CF1041" s="41" t="s">
        <v>22</v>
      </c>
      <c r="CG1041" s="41" t="e">
        <f t="shared" ref="CG1041:CG1059" si="589">AD1041*1000</f>
        <v>#VALUE!</v>
      </c>
      <c r="CH1041" s="41" t="e">
        <f t="shared" ref="CH1041:CH1059" si="590">LOG10(CG1041)</f>
        <v>#VALUE!</v>
      </c>
      <c r="CI1041" s="41">
        <f t="shared" ref="CI1041:CI1059" si="591">IF(ISNUMBER(CG1041),CG1041,U1041)</f>
        <v>1.45</v>
      </c>
      <c r="CJ1041" s="41">
        <f t="shared" ref="CJ1041:CJ1059" si="592">LOG10(CI1041)</f>
        <v>0.16136800223497488</v>
      </c>
      <c r="CK1041" s="18"/>
      <c r="CL1041" s="9" t="s">
        <v>1269</v>
      </c>
      <c r="CM1041" s="18" t="s">
        <v>1285</v>
      </c>
      <c r="CN1041" s="54" t="s">
        <v>1284</v>
      </c>
      <c r="CO1041" s="18" t="s">
        <v>1284</v>
      </c>
    </row>
    <row r="1042" spans="1:93" x14ac:dyDescent="0.25">
      <c r="A1042" s="18" t="s">
        <v>731</v>
      </c>
      <c r="B1042" s="41" t="s">
        <v>22</v>
      </c>
      <c r="C1042" s="41">
        <v>1.1000000000000001</v>
      </c>
      <c r="D1042" s="41" t="s">
        <v>22</v>
      </c>
      <c r="E1042" s="41" t="s">
        <v>22</v>
      </c>
      <c r="F1042" s="18" t="s">
        <v>22</v>
      </c>
      <c r="G1042" s="18" t="s">
        <v>22</v>
      </c>
      <c r="H1042" s="18" t="s">
        <v>22</v>
      </c>
      <c r="I1042" s="18" t="s">
        <v>22</v>
      </c>
      <c r="J1042" s="41" t="s">
        <v>22</v>
      </c>
      <c r="K1042" s="18">
        <v>532</v>
      </c>
      <c r="L1042" s="41" t="s">
        <v>22</v>
      </c>
      <c r="M1042" s="18" t="s">
        <v>23</v>
      </c>
      <c r="N1042" s="41">
        <v>53825</v>
      </c>
      <c r="O1042" s="41">
        <f>0.001*(N1042*10^6)/(C1042*100^3)</f>
        <v>48.93181818181818</v>
      </c>
      <c r="P1042" s="41">
        <v>230</v>
      </c>
      <c r="R1042" s="41" t="s">
        <v>22</v>
      </c>
      <c r="S1042" s="41" t="s">
        <v>22</v>
      </c>
      <c r="T1042" s="41">
        <v>1.36</v>
      </c>
      <c r="U1042" s="41">
        <v>1.36</v>
      </c>
      <c r="V1042" s="18">
        <v>20200512</v>
      </c>
      <c r="W1042" s="21" t="s">
        <v>940</v>
      </c>
      <c r="X1042" s="18">
        <v>2019</v>
      </c>
      <c r="Y1042" s="18" t="s">
        <v>76</v>
      </c>
      <c r="Z1042" s="18"/>
      <c r="AC1042" s="18" t="s">
        <v>269</v>
      </c>
      <c r="AD1042" s="41" t="s">
        <v>22</v>
      </c>
      <c r="AE1042" s="41">
        <v>1590</v>
      </c>
      <c r="AF1042" s="41" t="s">
        <v>22</v>
      </c>
      <c r="AG1042" s="41" t="s">
        <v>22</v>
      </c>
      <c r="AH1042" s="41" t="s">
        <v>22</v>
      </c>
      <c r="AI1042" s="41" t="s">
        <v>22</v>
      </c>
      <c r="AJ1042" s="41" t="s">
        <v>22</v>
      </c>
      <c r="AK1042" s="41" t="s">
        <v>22</v>
      </c>
      <c r="AL1042" s="41" t="s">
        <v>22</v>
      </c>
      <c r="AM1042" s="43" t="e">
        <f t="shared" si="571"/>
        <v>#VALUE!</v>
      </c>
      <c r="AN1042" s="43" t="e">
        <f t="shared" si="572"/>
        <v>#VALUE!</v>
      </c>
      <c r="AO1042" s="19" t="s">
        <v>529</v>
      </c>
      <c r="AT1042" s="2">
        <f t="shared" si="573"/>
        <v>2</v>
      </c>
      <c r="AU1042" s="45" t="e">
        <f t="shared" si="574"/>
        <v>#VALUE!</v>
      </c>
      <c r="AV1042" s="45">
        <f t="shared" si="575"/>
        <v>4.1392685158225077E-2</v>
      </c>
      <c r="AW1042" s="45" t="e">
        <f t="shared" si="576"/>
        <v>#VALUE!</v>
      </c>
      <c r="AX1042" s="45">
        <f t="shared" si="577"/>
        <v>4.7309840384955244</v>
      </c>
      <c r="AY1042" s="45">
        <f t="shared" si="578"/>
        <v>1.6895913533372997</v>
      </c>
      <c r="AZ1042" s="45">
        <f t="shared" si="579"/>
        <v>2.3617278360175931</v>
      </c>
      <c r="BA1042" s="45" t="e">
        <f t="shared" si="580"/>
        <v>#VALUE!</v>
      </c>
      <c r="BB1042" s="45" t="e">
        <f t="shared" si="581"/>
        <v>#VALUE!</v>
      </c>
      <c r="BC1042" s="45">
        <f t="shared" si="582"/>
        <v>0.13353890837021754</v>
      </c>
      <c r="BD1042" s="45" t="e">
        <f t="shared" si="583"/>
        <v>#VALUE!</v>
      </c>
      <c r="BE1042" s="45" t="e">
        <f t="shared" si="584"/>
        <v>#VALUE!</v>
      </c>
      <c r="BF1042" s="45" t="e">
        <f t="shared" si="585"/>
        <v>#VALUE!</v>
      </c>
      <c r="BG1042" s="45" t="e">
        <f t="shared" si="586"/>
        <v>#VALUE!</v>
      </c>
      <c r="BH1042" s="45" t="e">
        <f t="shared" si="587"/>
        <v>#NUM!</v>
      </c>
      <c r="BI1042" s="43" t="e">
        <f t="shared" si="588"/>
        <v>#VALUE!</v>
      </c>
      <c r="CA1042" s="41" t="s">
        <v>22</v>
      </c>
      <c r="CC1042" s="18" t="s">
        <v>22</v>
      </c>
      <c r="CD1042" s="18"/>
      <c r="CE1042" s="41" t="s">
        <v>22</v>
      </c>
      <c r="CF1042" s="41" t="s">
        <v>22</v>
      </c>
      <c r="CG1042" s="41" t="e">
        <f t="shared" si="589"/>
        <v>#VALUE!</v>
      </c>
      <c r="CH1042" s="41" t="e">
        <f t="shared" si="590"/>
        <v>#VALUE!</v>
      </c>
      <c r="CI1042" s="41">
        <f t="shared" si="591"/>
        <v>1.36</v>
      </c>
      <c r="CJ1042" s="41">
        <f t="shared" si="592"/>
        <v>0.13353890837021754</v>
      </c>
      <c r="CK1042" s="18"/>
      <c r="CL1042" s="9" t="s">
        <v>1269</v>
      </c>
      <c r="CM1042" s="18" t="s">
        <v>1285</v>
      </c>
      <c r="CN1042" s="54" t="s">
        <v>1284</v>
      </c>
      <c r="CO1042" s="18" t="s">
        <v>1284</v>
      </c>
    </row>
    <row r="1043" spans="1:93" x14ac:dyDescent="0.25">
      <c r="A1043" s="18" t="s">
        <v>141</v>
      </c>
      <c r="B1043" s="41">
        <v>4.2921146953405084E-2</v>
      </c>
      <c r="C1043" s="41" t="s">
        <v>22</v>
      </c>
      <c r="D1043" s="41" t="s">
        <v>22</v>
      </c>
      <c r="E1043" s="41" t="s">
        <v>22</v>
      </c>
      <c r="F1043" s="18" t="s">
        <v>22</v>
      </c>
      <c r="G1043" s="18" t="s">
        <v>22</v>
      </c>
      <c r="H1043" s="18" t="s">
        <v>22</v>
      </c>
      <c r="I1043" s="18" t="s">
        <v>22</v>
      </c>
      <c r="J1043" s="41">
        <v>2.1</v>
      </c>
      <c r="K1043" s="18">
        <v>532</v>
      </c>
      <c r="L1043" s="41">
        <f t="shared" ref="L1043:L1052" si="593">IF((10^-12)*J1043*K1043^4=0,"",(10^-12)*J1043*K1043^4)</f>
        <v>0.16821542760959998</v>
      </c>
      <c r="M1043" s="18" t="s">
        <v>23</v>
      </c>
      <c r="N1043" s="41" t="s">
        <v>22</v>
      </c>
      <c r="O1043" s="41" t="s">
        <v>22</v>
      </c>
      <c r="P1043" s="41" t="s">
        <v>22</v>
      </c>
      <c r="R1043" s="41" t="s">
        <v>22</v>
      </c>
      <c r="S1043" s="41" t="s">
        <v>22</v>
      </c>
      <c r="T1043" s="41">
        <v>7</v>
      </c>
      <c r="U1043" s="41">
        <v>7</v>
      </c>
      <c r="V1043" s="18">
        <v>20200513</v>
      </c>
      <c r="W1043" s="21" t="s">
        <v>707</v>
      </c>
      <c r="X1043" s="6">
        <v>2019</v>
      </c>
      <c r="Y1043" s="6" t="s">
        <v>26</v>
      </c>
      <c r="Z1043" s="6" t="s">
        <v>32</v>
      </c>
      <c r="AA1043" s="6"/>
      <c r="AB1043" s="47"/>
      <c r="AC1043" s="6" t="s">
        <v>514</v>
      </c>
      <c r="AD1043" s="41" t="s">
        <v>22</v>
      </c>
      <c r="AE1043" s="41">
        <v>1582.1</v>
      </c>
      <c r="AF1043" s="41" t="s">
        <v>22</v>
      </c>
      <c r="AG1043" s="41" t="s">
        <v>22</v>
      </c>
      <c r="AH1043" s="41">
        <v>4.7098121085594902E-5</v>
      </c>
      <c r="AI1043" s="41">
        <v>4.45511482254697E-5</v>
      </c>
      <c r="AJ1043" s="41">
        <v>3.9457202505219203E-5</v>
      </c>
      <c r="AK1043" s="41">
        <v>3.0104384133611599E-5</v>
      </c>
      <c r="AL1043" s="41">
        <v>2.3298538622129401E-5</v>
      </c>
      <c r="AM1043" s="43">
        <f t="shared" si="571"/>
        <v>0.52296157450796577</v>
      </c>
      <c r="AN1043" s="43">
        <f t="shared" si="572"/>
        <v>0.5904761904761896</v>
      </c>
      <c r="AO1043" s="19" t="s">
        <v>711</v>
      </c>
      <c r="AP1043" s="18"/>
      <c r="AQ1043" s="18"/>
      <c r="AR1043" s="18"/>
      <c r="AS1043" s="18"/>
      <c r="AT1043" s="2">
        <f t="shared" si="573"/>
        <v>10</v>
      </c>
      <c r="AU1043" s="45">
        <f t="shared" si="574"/>
        <v>-1.367328681186996</v>
      </c>
      <c r="AV1043" s="45" t="e">
        <f t="shared" si="575"/>
        <v>#VALUE!</v>
      </c>
      <c r="AW1043" s="45" t="e">
        <f t="shared" si="576"/>
        <v>#VALUE!</v>
      </c>
      <c r="AX1043" s="45" t="e">
        <f t="shared" si="577"/>
        <v>#VALUE!</v>
      </c>
      <c r="AY1043" s="45" t="e">
        <f t="shared" si="578"/>
        <v>#VALUE!</v>
      </c>
      <c r="AZ1043" s="45" t="e">
        <f t="shared" si="579"/>
        <v>#VALUE!</v>
      </c>
      <c r="BA1043" s="45">
        <f t="shared" si="580"/>
        <v>0.3222192947339193</v>
      </c>
      <c r="BB1043" s="45">
        <f t="shared" si="581"/>
        <v>-0.77413417608588808</v>
      </c>
      <c r="BC1043" s="45">
        <f t="shared" si="582"/>
        <v>0.84509804001425681</v>
      </c>
      <c r="BD1043" s="45" t="e">
        <f t="shared" si="583"/>
        <v>#VALUE!</v>
      </c>
      <c r="BE1043" s="45" t="e">
        <f t="shared" si="584"/>
        <v>#VALUE!</v>
      </c>
      <c r="BF1043" s="45">
        <f t="shared" si="585"/>
        <v>-0.28153022048689158</v>
      </c>
      <c r="BG1043" s="45">
        <f t="shared" si="586"/>
        <v>-0.22879760957168485</v>
      </c>
      <c r="BH1043" s="45" t="e">
        <f t="shared" si="587"/>
        <v>#NUM!</v>
      </c>
      <c r="BI1043" s="43" t="e">
        <f t="shared" si="588"/>
        <v>#VALUE!</v>
      </c>
      <c r="BJ1043" s="18"/>
      <c r="BK1043" s="18"/>
      <c r="BL1043" s="20"/>
      <c r="BS1043" s="18"/>
      <c r="BT1043" s="18"/>
      <c r="CA1043" s="41" t="s">
        <v>22</v>
      </c>
      <c r="CB1043" s="18"/>
      <c r="CC1043" s="18" t="s">
        <v>22</v>
      </c>
      <c r="CD1043" s="18"/>
      <c r="CE1043" s="41" t="s">
        <v>22</v>
      </c>
      <c r="CF1043" s="41" t="s">
        <v>22</v>
      </c>
      <c r="CG1043" s="41" t="e">
        <f t="shared" si="589"/>
        <v>#VALUE!</v>
      </c>
      <c r="CH1043" s="41" t="e">
        <f t="shared" si="590"/>
        <v>#VALUE!</v>
      </c>
      <c r="CI1043" s="41">
        <f t="shared" si="591"/>
        <v>7</v>
      </c>
      <c r="CJ1043" s="41">
        <f t="shared" si="592"/>
        <v>0.84509804001425681</v>
      </c>
      <c r="CK1043" s="18"/>
      <c r="CL1043" s="9" t="s">
        <v>1269</v>
      </c>
      <c r="CM1043" s="18" t="s">
        <v>1285</v>
      </c>
      <c r="CN1043" s="54" t="s">
        <v>1284</v>
      </c>
      <c r="CO1043" s="18" t="s">
        <v>1284</v>
      </c>
    </row>
    <row r="1044" spans="1:93" x14ac:dyDescent="0.25">
      <c r="A1044" s="18" t="s">
        <v>141</v>
      </c>
      <c r="B1044" s="41">
        <v>6.4729729729730026E-2</v>
      </c>
      <c r="C1044" s="41" t="s">
        <v>22</v>
      </c>
      <c r="D1044" s="41" t="s">
        <v>22</v>
      </c>
      <c r="E1044" s="41" t="s">
        <v>22</v>
      </c>
      <c r="F1044" s="18" t="s">
        <v>22</v>
      </c>
      <c r="G1044" s="18" t="s">
        <v>22</v>
      </c>
      <c r="H1044" s="18" t="s">
        <v>22</v>
      </c>
      <c r="I1044" s="18" t="s">
        <v>22</v>
      </c>
      <c r="J1044" s="41">
        <v>2.1</v>
      </c>
      <c r="K1044" s="18">
        <v>532</v>
      </c>
      <c r="L1044" s="41">
        <f t="shared" si="593"/>
        <v>0.16821542760959998</v>
      </c>
      <c r="M1044" s="18" t="s">
        <v>23</v>
      </c>
      <c r="N1044" s="41" t="s">
        <v>22</v>
      </c>
      <c r="O1044" s="41" t="s">
        <v>22</v>
      </c>
      <c r="P1044" s="41" t="s">
        <v>22</v>
      </c>
      <c r="R1044" s="41" t="s">
        <v>22</v>
      </c>
      <c r="S1044" s="41" t="s">
        <v>22</v>
      </c>
      <c r="T1044" s="41">
        <v>7</v>
      </c>
      <c r="U1044" s="41">
        <v>7</v>
      </c>
      <c r="V1044" s="18">
        <v>20200513</v>
      </c>
      <c r="W1044" s="21" t="s">
        <v>708</v>
      </c>
      <c r="X1044" s="6">
        <v>2019</v>
      </c>
      <c r="Y1044" s="6" t="s">
        <v>26</v>
      </c>
      <c r="Z1044" s="6" t="s">
        <v>40</v>
      </c>
      <c r="AA1044" s="6"/>
      <c r="AB1044" s="47"/>
      <c r="AC1044" s="6" t="s">
        <v>514</v>
      </c>
      <c r="AD1044" s="41" t="s">
        <v>22</v>
      </c>
      <c r="AE1044" s="41">
        <v>1582.1</v>
      </c>
      <c r="AF1044" s="41" t="s">
        <v>22</v>
      </c>
      <c r="AG1044" s="41" t="s">
        <v>22</v>
      </c>
      <c r="AH1044" s="41">
        <v>3.0605427974947801E-5</v>
      </c>
      <c r="AI1044" s="41">
        <v>2.8601252609603299E-5</v>
      </c>
      <c r="AJ1044" s="41">
        <v>2.5929018789144E-5</v>
      </c>
      <c r="AK1044" s="41">
        <v>2.0083507306889301E-5</v>
      </c>
      <c r="AL1044" s="41">
        <v>1.54488517745302E-5</v>
      </c>
      <c r="AM1044" s="43">
        <f t="shared" si="571"/>
        <v>0.54014598540145808</v>
      </c>
      <c r="AN1044" s="43">
        <f t="shared" si="572"/>
        <v>0.59581320450885511</v>
      </c>
      <c r="AO1044" s="19" t="s">
        <v>711</v>
      </c>
      <c r="AP1044" s="18"/>
      <c r="AQ1044" s="18"/>
      <c r="AR1044" s="18"/>
      <c r="AS1044" s="18"/>
      <c r="AT1044" s="2">
        <f t="shared" si="573"/>
        <v>10</v>
      </c>
      <c r="AU1044" s="45">
        <f t="shared" si="574"/>
        <v>-1.188896206316411</v>
      </c>
      <c r="AV1044" s="45" t="e">
        <f t="shared" si="575"/>
        <v>#VALUE!</v>
      </c>
      <c r="AW1044" s="45" t="e">
        <f t="shared" si="576"/>
        <v>#VALUE!</v>
      </c>
      <c r="AX1044" s="45" t="e">
        <f t="shared" si="577"/>
        <v>#VALUE!</v>
      </c>
      <c r="AY1044" s="45" t="e">
        <f t="shared" si="578"/>
        <v>#VALUE!</v>
      </c>
      <c r="AZ1044" s="45" t="e">
        <f t="shared" si="579"/>
        <v>#VALUE!</v>
      </c>
      <c r="BA1044" s="45">
        <f t="shared" si="580"/>
        <v>0.3222192947339193</v>
      </c>
      <c r="BB1044" s="45">
        <f t="shared" si="581"/>
        <v>-0.77413417608588808</v>
      </c>
      <c r="BC1044" s="45">
        <f t="shared" si="582"/>
        <v>0.84509804001425681</v>
      </c>
      <c r="BD1044" s="45" t="e">
        <f t="shared" si="583"/>
        <v>#VALUE!</v>
      </c>
      <c r="BE1044" s="45" t="e">
        <f t="shared" si="584"/>
        <v>#VALUE!</v>
      </c>
      <c r="BF1044" s="45">
        <f t="shared" si="585"/>
        <v>-0.267488847425432</v>
      </c>
      <c r="BG1044" s="45">
        <f t="shared" si="586"/>
        <v>-0.22488987610958633</v>
      </c>
      <c r="BH1044" s="45" t="e">
        <f t="shared" si="587"/>
        <v>#NUM!</v>
      </c>
      <c r="BI1044" s="43" t="e">
        <f t="shared" si="588"/>
        <v>#VALUE!</v>
      </c>
      <c r="BJ1044" s="18"/>
      <c r="BK1044" s="18"/>
      <c r="BL1044" s="20"/>
      <c r="BS1044" s="18"/>
      <c r="BT1044" s="18"/>
      <c r="CA1044" s="41" t="s">
        <v>22</v>
      </c>
      <c r="CB1044" s="18"/>
      <c r="CC1044" s="18" t="s">
        <v>22</v>
      </c>
      <c r="CD1044" s="18"/>
      <c r="CE1044" s="41" t="s">
        <v>22</v>
      </c>
      <c r="CF1044" s="41" t="s">
        <v>22</v>
      </c>
      <c r="CG1044" s="41" t="e">
        <f t="shared" si="589"/>
        <v>#VALUE!</v>
      </c>
      <c r="CH1044" s="41" t="e">
        <f t="shared" si="590"/>
        <v>#VALUE!</v>
      </c>
      <c r="CI1044" s="41">
        <f t="shared" si="591"/>
        <v>7</v>
      </c>
      <c r="CJ1044" s="41">
        <f t="shared" si="592"/>
        <v>0.84509804001425681</v>
      </c>
      <c r="CK1044" s="18"/>
      <c r="CL1044" s="9" t="s">
        <v>1269</v>
      </c>
      <c r="CM1044" s="18" t="s">
        <v>1285</v>
      </c>
      <c r="CN1044" s="54" t="s">
        <v>1284</v>
      </c>
      <c r="CO1044" s="18" t="s">
        <v>1284</v>
      </c>
    </row>
    <row r="1045" spans="1:93" x14ac:dyDescent="0.25">
      <c r="A1045" s="18" t="s">
        <v>141</v>
      </c>
      <c r="B1045" s="41">
        <v>8.8376383763837676E-2</v>
      </c>
      <c r="C1045" s="41" t="s">
        <v>22</v>
      </c>
      <c r="D1045" s="41" t="s">
        <v>22</v>
      </c>
      <c r="E1045" s="41" t="s">
        <v>22</v>
      </c>
      <c r="F1045" s="18" t="s">
        <v>22</v>
      </c>
      <c r="G1045" s="18" t="s">
        <v>22</v>
      </c>
      <c r="H1045" s="18" t="s">
        <v>22</v>
      </c>
      <c r="I1045" s="18" t="s">
        <v>22</v>
      </c>
      <c r="J1045" s="41">
        <v>2.1</v>
      </c>
      <c r="K1045" s="18">
        <v>532</v>
      </c>
      <c r="L1045" s="41">
        <f t="shared" si="593"/>
        <v>0.16821542760959998</v>
      </c>
      <c r="M1045" s="18" t="s">
        <v>23</v>
      </c>
      <c r="N1045" s="41" t="s">
        <v>22</v>
      </c>
      <c r="O1045" s="41" t="s">
        <v>22</v>
      </c>
      <c r="P1045" s="41" t="s">
        <v>22</v>
      </c>
      <c r="R1045" s="41" t="s">
        <v>22</v>
      </c>
      <c r="S1045" s="41" t="s">
        <v>22</v>
      </c>
      <c r="T1045" s="41">
        <v>7</v>
      </c>
      <c r="U1045" s="41">
        <v>7</v>
      </c>
      <c r="V1045" s="18">
        <v>20200513</v>
      </c>
      <c r="W1045" s="21" t="s">
        <v>709</v>
      </c>
      <c r="X1045" s="6">
        <v>2019</v>
      </c>
      <c r="Y1045" s="6" t="s">
        <v>26</v>
      </c>
      <c r="Z1045" s="6" t="s">
        <v>40</v>
      </c>
      <c r="AA1045" s="6"/>
      <c r="AB1045" s="47"/>
      <c r="AC1045" s="6" t="s">
        <v>514</v>
      </c>
      <c r="AD1045" s="41" t="s">
        <v>22</v>
      </c>
      <c r="AE1045" s="41">
        <v>1582.1</v>
      </c>
      <c r="AF1045" s="41" t="s">
        <v>22</v>
      </c>
      <c r="AG1045" s="41" t="s">
        <v>22</v>
      </c>
      <c r="AH1045" s="41">
        <v>2.26304801670146E-5</v>
      </c>
      <c r="AI1045" s="41">
        <v>2.1377870563674299E-5</v>
      </c>
      <c r="AJ1045" s="41">
        <v>1.9749478079331901E-5</v>
      </c>
      <c r="AK1045" s="41">
        <v>1.50313152400835E-5</v>
      </c>
      <c r="AL1045" s="41">
        <v>1.13152400835073E-5</v>
      </c>
      <c r="AM1045" s="43">
        <f t="shared" si="571"/>
        <v>0.52929687500000022</v>
      </c>
      <c r="AN1045" s="43">
        <f t="shared" si="572"/>
        <v>0.57293868921775981</v>
      </c>
      <c r="AO1045" s="19" t="s">
        <v>711</v>
      </c>
      <c r="AT1045" s="2">
        <f t="shared" si="573"/>
        <v>10</v>
      </c>
      <c r="AU1045" s="45">
        <f t="shared" si="574"/>
        <v>-1.0536637731238234</v>
      </c>
      <c r="AV1045" s="45" t="e">
        <f t="shared" si="575"/>
        <v>#VALUE!</v>
      </c>
      <c r="AW1045" s="45" t="e">
        <f t="shared" si="576"/>
        <v>#VALUE!</v>
      </c>
      <c r="AX1045" s="45" t="e">
        <f t="shared" si="577"/>
        <v>#VALUE!</v>
      </c>
      <c r="AY1045" s="45" t="e">
        <f t="shared" si="578"/>
        <v>#VALUE!</v>
      </c>
      <c r="AZ1045" s="45" t="e">
        <f t="shared" si="579"/>
        <v>#VALUE!</v>
      </c>
      <c r="BA1045" s="45">
        <f t="shared" si="580"/>
        <v>0.3222192947339193</v>
      </c>
      <c r="BB1045" s="45">
        <f t="shared" si="581"/>
        <v>-0.77413417608588808</v>
      </c>
      <c r="BC1045" s="45">
        <f t="shared" si="582"/>
        <v>0.84509804001425681</v>
      </c>
      <c r="BD1045" s="45" t="e">
        <f t="shared" si="583"/>
        <v>#VALUE!</v>
      </c>
      <c r="BE1045" s="45" t="e">
        <f t="shared" si="584"/>
        <v>#VALUE!</v>
      </c>
      <c r="BF1045" s="45">
        <f t="shared" si="585"/>
        <v>-0.27630067010142484</v>
      </c>
      <c r="BG1045" s="45">
        <f t="shared" si="586"/>
        <v>-0.2418918498634052</v>
      </c>
      <c r="BH1045" s="45" t="e">
        <f t="shared" si="587"/>
        <v>#NUM!</v>
      </c>
      <c r="BI1045" s="43" t="e">
        <f t="shared" si="588"/>
        <v>#VALUE!</v>
      </c>
      <c r="CA1045" s="41" t="s">
        <v>22</v>
      </c>
      <c r="CC1045" t="s">
        <v>22</v>
      </c>
      <c r="CE1045" s="41" t="s">
        <v>22</v>
      </c>
      <c r="CF1045" s="41" t="s">
        <v>22</v>
      </c>
      <c r="CG1045" s="41" t="e">
        <f t="shared" si="589"/>
        <v>#VALUE!</v>
      </c>
      <c r="CH1045" s="41" t="e">
        <f t="shared" si="590"/>
        <v>#VALUE!</v>
      </c>
      <c r="CI1045" s="41">
        <f t="shared" si="591"/>
        <v>7</v>
      </c>
      <c r="CJ1045" s="41">
        <f t="shared" si="592"/>
        <v>0.84509804001425681</v>
      </c>
      <c r="CL1045" s="9" t="s">
        <v>1269</v>
      </c>
      <c r="CM1045" s="18" t="s">
        <v>1285</v>
      </c>
      <c r="CN1045" s="54" t="s">
        <v>1284</v>
      </c>
      <c r="CO1045" s="18" t="s">
        <v>1284</v>
      </c>
    </row>
    <row r="1046" spans="1:93" x14ac:dyDescent="0.25">
      <c r="A1046" s="18" t="s">
        <v>141</v>
      </c>
      <c r="B1046" s="41">
        <v>9.28294573643412E-2</v>
      </c>
      <c r="C1046" s="41" t="s">
        <v>22</v>
      </c>
      <c r="D1046" s="41" t="s">
        <v>22</v>
      </c>
      <c r="E1046" s="41" t="s">
        <v>22</v>
      </c>
      <c r="F1046" s="18" t="s">
        <v>22</v>
      </c>
      <c r="G1046" s="18" t="s">
        <v>22</v>
      </c>
      <c r="H1046" s="18" t="s">
        <v>22</v>
      </c>
      <c r="I1046" s="18" t="s">
        <v>22</v>
      </c>
      <c r="J1046" s="41">
        <v>2.1</v>
      </c>
      <c r="K1046">
        <v>532</v>
      </c>
      <c r="L1046" s="41">
        <f t="shared" si="593"/>
        <v>0.16821542760959998</v>
      </c>
      <c r="M1046" s="18" t="s">
        <v>23</v>
      </c>
      <c r="N1046" s="41" t="s">
        <v>22</v>
      </c>
      <c r="O1046" s="41" t="s">
        <v>22</v>
      </c>
      <c r="P1046" s="41" t="s">
        <v>22</v>
      </c>
      <c r="R1046" s="41" t="s">
        <v>22</v>
      </c>
      <c r="S1046" s="41" t="s">
        <v>22</v>
      </c>
      <c r="T1046" s="41">
        <v>7</v>
      </c>
      <c r="U1046" s="41">
        <v>7</v>
      </c>
      <c r="V1046" s="18">
        <v>20200513</v>
      </c>
      <c r="W1046" s="21" t="s">
        <v>710</v>
      </c>
      <c r="X1046" s="6">
        <v>2019</v>
      </c>
      <c r="Y1046" s="6" t="s">
        <v>26</v>
      </c>
      <c r="Z1046" s="6" t="s">
        <v>40</v>
      </c>
      <c r="AA1046" s="6"/>
      <c r="AB1046" s="47"/>
      <c r="AC1046" s="6" t="s">
        <v>514</v>
      </c>
      <c r="AD1046" s="41" t="s">
        <v>22</v>
      </c>
      <c r="AE1046" s="41">
        <v>1582.1</v>
      </c>
      <c r="AF1046" s="41" t="s">
        <v>22</v>
      </c>
      <c r="AG1046" s="41" t="s">
        <v>22</v>
      </c>
      <c r="AH1046" s="41">
        <v>2.00417536534446E-5</v>
      </c>
      <c r="AI1046" s="41">
        <v>1.9290187891440399E-5</v>
      </c>
      <c r="AJ1046" s="41">
        <v>1.8079331941544798E-5</v>
      </c>
      <c r="AK1046" s="41">
        <v>1.40292275574112E-5</v>
      </c>
      <c r="AL1046" s="41">
        <v>1.07724425887265E-5</v>
      </c>
      <c r="AM1046" s="43">
        <f t="shared" si="571"/>
        <v>0.55844155844156063</v>
      </c>
      <c r="AN1046" s="43">
        <f t="shared" si="572"/>
        <v>0.59584295612009441</v>
      </c>
      <c r="AO1046" s="19" t="s">
        <v>711</v>
      </c>
      <c r="AT1046" s="2">
        <f t="shared" si="573"/>
        <v>10</v>
      </c>
      <c r="AU1046" s="45">
        <f t="shared" si="574"/>
        <v>-1.0323141882126476</v>
      </c>
      <c r="AV1046" s="45" t="e">
        <f t="shared" si="575"/>
        <v>#VALUE!</v>
      </c>
      <c r="AW1046" s="45" t="e">
        <f t="shared" si="576"/>
        <v>#VALUE!</v>
      </c>
      <c r="AX1046" s="45" t="e">
        <f t="shared" si="577"/>
        <v>#VALUE!</v>
      </c>
      <c r="AY1046" s="45" t="e">
        <f t="shared" si="578"/>
        <v>#VALUE!</v>
      </c>
      <c r="AZ1046" s="45" t="e">
        <f t="shared" si="579"/>
        <v>#VALUE!</v>
      </c>
      <c r="BA1046" s="45">
        <f t="shared" si="580"/>
        <v>0.3222192947339193</v>
      </c>
      <c r="BB1046" s="45">
        <f t="shared" si="581"/>
        <v>-0.77413417608588808</v>
      </c>
      <c r="BC1046" s="45">
        <f t="shared" si="582"/>
        <v>0.84509804001425681</v>
      </c>
      <c r="BD1046" s="45" t="e">
        <f t="shared" si="583"/>
        <v>#VALUE!</v>
      </c>
      <c r="BE1046" s="45" t="e">
        <f t="shared" si="584"/>
        <v>#VALUE!</v>
      </c>
      <c r="BF1046" s="45">
        <f t="shared" si="585"/>
        <v>-0.25302226959289364</v>
      </c>
      <c r="BG1046" s="45">
        <f t="shared" si="586"/>
        <v>-0.22486819039013381</v>
      </c>
      <c r="BH1046" s="45" t="e">
        <f t="shared" si="587"/>
        <v>#NUM!</v>
      </c>
      <c r="BI1046" s="43" t="e">
        <f t="shared" si="588"/>
        <v>#VALUE!</v>
      </c>
      <c r="CA1046" s="41" t="s">
        <v>22</v>
      </c>
      <c r="CC1046" s="2" t="s">
        <v>22</v>
      </c>
      <c r="CD1046" s="2"/>
      <c r="CE1046" s="41" t="s">
        <v>22</v>
      </c>
      <c r="CF1046" s="41" t="s">
        <v>22</v>
      </c>
      <c r="CG1046" s="41" t="e">
        <f t="shared" si="589"/>
        <v>#VALUE!</v>
      </c>
      <c r="CH1046" s="41" t="e">
        <f t="shared" si="590"/>
        <v>#VALUE!</v>
      </c>
      <c r="CI1046" s="41">
        <f t="shared" si="591"/>
        <v>7</v>
      </c>
      <c r="CJ1046" s="41">
        <f t="shared" si="592"/>
        <v>0.84509804001425681</v>
      </c>
      <c r="CK1046" s="2"/>
      <c r="CL1046" s="9" t="s">
        <v>1269</v>
      </c>
      <c r="CM1046" s="18" t="s">
        <v>1285</v>
      </c>
      <c r="CN1046" s="54" t="s">
        <v>1284</v>
      </c>
      <c r="CO1046" s="18" t="s">
        <v>1284</v>
      </c>
    </row>
    <row r="1047" spans="1:93" x14ac:dyDescent="0.25">
      <c r="A1047" s="18" t="s">
        <v>141</v>
      </c>
      <c r="B1047" s="41">
        <v>2.05305407434501E-2</v>
      </c>
      <c r="C1047" s="41" t="s">
        <v>22</v>
      </c>
      <c r="D1047" s="41" t="s">
        <v>22</v>
      </c>
      <c r="E1047" s="41" t="s">
        <v>22</v>
      </c>
      <c r="F1047" t="s">
        <v>22</v>
      </c>
      <c r="G1047" s="18" t="s">
        <v>22</v>
      </c>
      <c r="H1047" s="18" t="s">
        <v>22</v>
      </c>
      <c r="I1047" s="18" t="s">
        <v>22</v>
      </c>
      <c r="J1047" s="41">
        <v>2.1</v>
      </c>
      <c r="K1047">
        <v>532</v>
      </c>
      <c r="L1047" s="41">
        <f t="shared" si="593"/>
        <v>0.16821542760959998</v>
      </c>
      <c r="M1047" s="18" t="s">
        <v>23</v>
      </c>
      <c r="N1047" s="41" t="s">
        <v>22</v>
      </c>
      <c r="O1047" s="41" t="s">
        <v>22</v>
      </c>
      <c r="P1047" s="41" t="s">
        <v>22</v>
      </c>
      <c r="R1047" s="41" t="s">
        <v>22</v>
      </c>
      <c r="S1047" s="41" t="s">
        <v>22</v>
      </c>
      <c r="T1047" s="41">
        <v>7</v>
      </c>
      <c r="U1047" s="41">
        <v>7</v>
      </c>
      <c r="V1047" s="18">
        <v>20200513</v>
      </c>
      <c r="W1047" s="21" t="s">
        <v>712</v>
      </c>
      <c r="X1047" s="6">
        <v>2019</v>
      </c>
      <c r="Y1047" s="6" t="s">
        <v>26</v>
      </c>
      <c r="Z1047" s="6" t="s">
        <v>40</v>
      </c>
      <c r="AA1047" s="6"/>
      <c r="AB1047" s="47"/>
      <c r="AC1047" s="6" t="s">
        <v>514</v>
      </c>
      <c r="AD1047" s="41" t="s">
        <v>22</v>
      </c>
      <c r="AE1047" s="41">
        <v>1581.7</v>
      </c>
      <c r="AF1047" s="41" t="s">
        <v>22</v>
      </c>
      <c r="AG1047" s="41" t="s">
        <v>22</v>
      </c>
      <c r="AH1047" s="41">
        <v>1.1625035161744E-4</v>
      </c>
      <c r="AI1047" s="41">
        <v>1.0571729957805901E-4</v>
      </c>
      <c r="AJ1047" s="41">
        <v>9.2344116268166897E-5</v>
      </c>
      <c r="AK1047" s="41">
        <v>6.6453586497890193E-5</v>
      </c>
      <c r="AL1047" s="41">
        <v>4.8707923112986299E-5</v>
      </c>
      <c r="AM1047" s="43">
        <f t="shared" si="571"/>
        <v>0.46073748863611097</v>
      </c>
      <c r="AN1047" s="43">
        <f t="shared" si="572"/>
        <v>0.52746103467533012</v>
      </c>
      <c r="AO1047" s="19" t="s">
        <v>711</v>
      </c>
      <c r="AT1047" s="2">
        <f t="shared" si="573"/>
        <v>10</v>
      </c>
      <c r="AU1047" s="45">
        <f t="shared" si="574"/>
        <v>-1.6875996118177283</v>
      </c>
      <c r="AV1047" s="45" t="e">
        <f t="shared" si="575"/>
        <v>#VALUE!</v>
      </c>
      <c r="AW1047" s="45" t="e">
        <f t="shared" si="576"/>
        <v>#VALUE!</v>
      </c>
      <c r="AX1047" s="45" t="e">
        <f t="shared" si="577"/>
        <v>#VALUE!</v>
      </c>
      <c r="AY1047" s="45" t="e">
        <f t="shared" si="578"/>
        <v>#VALUE!</v>
      </c>
      <c r="AZ1047" s="45" t="e">
        <f t="shared" si="579"/>
        <v>#VALUE!</v>
      </c>
      <c r="BA1047" s="45">
        <f t="shared" si="580"/>
        <v>0.3222192947339193</v>
      </c>
      <c r="BB1047" s="45">
        <f t="shared" si="581"/>
        <v>-0.77413417608588808</v>
      </c>
      <c r="BC1047" s="45">
        <f t="shared" si="582"/>
        <v>0.84509804001425681</v>
      </c>
      <c r="BD1047" s="45" t="e">
        <f t="shared" si="583"/>
        <v>#VALUE!</v>
      </c>
      <c r="BE1047" s="45" t="e">
        <f t="shared" si="584"/>
        <v>#VALUE!</v>
      </c>
      <c r="BF1047" s="45">
        <f t="shared" si="585"/>
        <v>-0.33654644925066302</v>
      </c>
      <c r="BG1047" s="45">
        <f t="shared" si="586"/>
        <v>-0.27780961764265383</v>
      </c>
      <c r="BH1047" s="45" t="e">
        <f t="shared" si="587"/>
        <v>#NUM!</v>
      </c>
      <c r="BI1047" s="43" t="e">
        <f t="shared" si="588"/>
        <v>#VALUE!</v>
      </c>
      <c r="CA1047" s="41" t="s">
        <v>22</v>
      </c>
      <c r="CC1047" s="2" t="s">
        <v>22</v>
      </c>
      <c r="CD1047" s="2"/>
      <c r="CE1047" s="41" t="s">
        <v>22</v>
      </c>
      <c r="CF1047" s="41" t="s">
        <v>22</v>
      </c>
      <c r="CG1047" s="41" t="e">
        <f t="shared" si="589"/>
        <v>#VALUE!</v>
      </c>
      <c r="CH1047" s="41" t="e">
        <f t="shared" si="590"/>
        <v>#VALUE!</v>
      </c>
      <c r="CI1047" s="41">
        <f t="shared" si="591"/>
        <v>7</v>
      </c>
      <c r="CJ1047" s="41">
        <f t="shared" si="592"/>
        <v>0.84509804001425681</v>
      </c>
      <c r="CK1047" s="2"/>
      <c r="CL1047" s="9" t="s">
        <v>1269</v>
      </c>
      <c r="CM1047" s="18" t="s">
        <v>1285</v>
      </c>
      <c r="CN1047" s="54" t="s">
        <v>1284</v>
      </c>
      <c r="CO1047" s="18" t="s">
        <v>1284</v>
      </c>
    </row>
    <row r="1048" spans="1:93" x14ac:dyDescent="0.25">
      <c r="A1048" s="18" t="s">
        <v>141</v>
      </c>
      <c r="B1048" s="41">
        <v>4.5930232558139696E-2</v>
      </c>
      <c r="C1048" s="41" t="s">
        <v>22</v>
      </c>
      <c r="D1048" s="41" t="s">
        <v>22</v>
      </c>
      <c r="E1048" s="41" t="s">
        <v>22</v>
      </c>
      <c r="F1048" s="18" t="s">
        <v>22</v>
      </c>
      <c r="G1048" s="18" t="s">
        <v>22</v>
      </c>
      <c r="H1048" s="18" t="s">
        <v>22</v>
      </c>
      <c r="I1048" s="18" t="s">
        <v>22</v>
      </c>
      <c r="J1048" s="41">
        <v>1.9</v>
      </c>
      <c r="K1048" s="18">
        <v>532</v>
      </c>
      <c r="L1048" s="41">
        <f t="shared" si="593"/>
        <v>0.1521949106944</v>
      </c>
      <c r="M1048" s="18" t="s">
        <v>23</v>
      </c>
      <c r="N1048" s="41" t="s">
        <v>22</v>
      </c>
      <c r="O1048" s="41" t="s">
        <v>22</v>
      </c>
      <c r="P1048" s="41" t="s">
        <v>22</v>
      </c>
      <c r="R1048" s="41" t="s">
        <v>22</v>
      </c>
      <c r="S1048" s="41" t="s">
        <v>22</v>
      </c>
      <c r="T1048" s="41">
        <v>7</v>
      </c>
      <c r="U1048" s="41">
        <v>7</v>
      </c>
      <c r="V1048" s="18">
        <v>20200513</v>
      </c>
      <c r="W1048" s="21" t="s">
        <v>713</v>
      </c>
      <c r="X1048" s="6">
        <v>2019</v>
      </c>
      <c r="Y1048" s="6" t="s">
        <v>26</v>
      </c>
      <c r="Z1048" s="6" t="s">
        <v>40</v>
      </c>
      <c r="AA1048" s="6"/>
      <c r="AB1048" s="47"/>
      <c r="AC1048" s="6" t="s">
        <v>514</v>
      </c>
      <c r="AD1048" s="41" t="s">
        <v>22</v>
      </c>
      <c r="AE1048" s="41">
        <v>1582.5</v>
      </c>
      <c r="AF1048" s="41" t="s">
        <v>22</v>
      </c>
      <c r="AG1048" s="41" t="s">
        <v>22</v>
      </c>
      <c r="AH1048" s="41">
        <v>4.7997187060478199E-5</v>
      </c>
      <c r="AI1048" s="41">
        <v>4.4654008438818502E-5</v>
      </c>
      <c r="AJ1048" s="41">
        <v>3.9382090951711098E-5</v>
      </c>
      <c r="AK1048" s="41">
        <v>2.89852320675105E-5</v>
      </c>
      <c r="AL1048" s="41">
        <v>2.1772151898734101E-5</v>
      </c>
      <c r="AM1048" s="43">
        <f t="shared" si="571"/>
        <v>0.48757441179249639</v>
      </c>
      <c r="AN1048" s="43">
        <f t="shared" si="572"/>
        <v>0.55284397990523992</v>
      </c>
      <c r="AO1048" s="19" t="s">
        <v>711</v>
      </c>
      <c r="AT1048" s="2">
        <f t="shared" si="573"/>
        <v>10</v>
      </c>
      <c r="AU1048" s="45">
        <f t="shared" si="574"/>
        <v>-1.337901355617106</v>
      </c>
      <c r="AV1048" s="45" t="e">
        <f t="shared" si="575"/>
        <v>#VALUE!</v>
      </c>
      <c r="AW1048" s="45" t="e">
        <f t="shared" si="576"/>
        <v>#VALUE!</v>
      </c>
      <c r="AX1048" s="45" t="e">
        <f t="shared" si="577"/>
        <v>#VALUE!</v>
      </c>
      <c r="AY1048" s="45" t="e">
        <f t="shared" si="578"/>
        <v>#VALUE!</v>
      </c>
      <c r="AZ1048" s="45" t="e">
        <f t="shared" si="579"/>
        <v>#VALUE!</v>
      </c>
      <c r="BA1048" s="45">
        <f t="shared" si="580"/>
        <v>0.27875360095282892</v>
      </c>
      <c r="BB1048" s="45">
        <f t="shared" si="581"/>
        <v>-0.8175998698669783</v>
      </c>
      <c r="BC1048" s="45">
        <f t="shared" si="582"/>
        <v>0.84509804001425681</v>
      </c>
      <c r="BD1048" s="45" t="e">
        <f t="shared" si="583"/>
        <v>#VALUE!</v>
      </c>
      <c r="BE1048" s="45" t="e">
        <f t="shared" si="584"/>
        <v>#VALUE!</v>
      </c>
      <c r="BF1048" s="45">
        <f t="shared" si="585"/>
        <v>-0.31195909449934739</v>
      </c>
      <c r="BG1048" s="45">
        <f t="shared" si="586"/>
        <v>-0.25739741521705561</v>
      </c>
      <c r="BH1048" s="45" t="e">
        <f t="shared" si="587"/>
        <v>#NUM!</v>
      </c>
      <c r="BI1048" s="43" t="e">
        <f t="shared" si="588"/>
        <v>#VALUE!</v>
      </c>
      <c r="CA1048" s="41" t="s">
        <v>22</v>
      </c>
      <c r="CC1048" s="2" t="s">
        <v>22</v>
      </c>
      <c r="CD1048" s="2"/>
      <c r="CE1048" s="41" t="s">
        <v>22</v>
      </c>
      <c r="CF1048" s="41" t="s">
        <v>22</v>
      </c>
      <c r="CG1048" s="41" t="e">
        <f t="shared" si="589"/>
        <v>#VALUE!</v>
      </c>
      <c r="CH1048" s="41" t="e">
        <f t="shared" si="590"/>
        <v>#VALUE!</v>
      </c>
      <c r="CI1048" s="41">
        <f t="shared" si="591"/>
        <v>7</v>
      </c>
      <c r="CJ1048" s="41">
        <f t="shared" si="592"/>
        <v>0.84509804001425681</v>
      </c>
      <c r="CK1048" s="2"/>
      <c r="CL1048" s="9" t="s">
        <v>1269</v>
      </c>
      <c r="CM1048" s="18" t="s">
        <v>1285</v>
      </c>
      <c r="CN1048" s="54" t="s">
        <v>1284</v>
      </c>
      <c r="CO1048" s="18" t="s">
        <v>1284</v>
      </c>
    </row>
    <row r="1049" spans="1:93" x14ac:dyDescent="0.25">
      <c r="A1049" s="18" t="s">
        <v>141</v>
      </c>
      <c r="B1049" s="41">
        <v>3.8127413127413162E-2</v>
      </c>
      <c r="C1049" s="41" t="s">
        <v>22</v>
      </c>
      <c r="D1049" s="41" t="s">
        <v>22</v>
      </c>
      <c r="E1049" s="41" t="s">
        <v>22</v>
      </c>
      <c r="F1049" s="18" t="s">
        <v>22</v>
      </c>
      <c r="G1049" s="18" t="s">
        <v>22</v>
      </c>
      <c r="H1049" s="18" t="s">
        <v>22</v>
      </c>
      <c r="I1049" s="18" t="s">
        <v>22</v>
      </c>
      <c r="J1049" s="41">
        <v>2.2000000000000002</v>
      </c>
      <c r="K1049" s="18">
        <v>532</v>
      </c>
      <c r="L1049" s="41">
        <f t="shared" si="593"/>
        <v>0.17622568606720002</v>
      </c>
      <c r="M1049" s="18" t="s">
        <v>23</v>
      </c>
      <c r="N1049" s="41" t="s">
        <v>22</v>
      </c>
      <c r="O1049" s="41" t="s">
        <v>22</v>
      </c>
      <c r="P1049" s="41" t="s">
        <v>22</v>
      </c>
      <c r="R1049" s="41" t="s">
        <v>22</v>
      </c>
      <c r="S1049" s="41" t="s">
        <v>22</v>
      </c>
      <c r="T1049" s="41">
        <v>7</v>
      </c>
      <c r="U1049" s="41">
        <v>7</v>
      </c>
      <c r="V1049" s="18">
        <v>20200513</v>
      </c>
      <c r="W1049" s="21" t="s">
        <v>714</v>
      </c>
      <c r="X1049" s="6">
        <v>2019</v>
      </c>
      <c r="Y1049" s="6" t="s">
        <v>26</v>
      </c>
      <c r="Z1049" s="6" t="s">
        <v>40</v>
      </c>
      <c r="AA1049" s="6"/>
      <c r="AB1049" s="47"/>
      <c r="AC1049" s="6" t="s">
        <v>514</v>
      </c>
      <c r="AD1049" s="41" t="s">
        <v>22</v>
      </c>
      <c r="AE1049" s="41">
        <v>1582.8</v>
      </c>
      <c r="AF1049" s="41" t="s">
        <v>22</v>
      </c>
      <c r="AG1049" s="41" t="s">
        <v>22</v>
      </c>
      <c r="AH1049" s="41">
        <v>6.4807313642756601E-5</v>
      </c>
      <c r="AI1049" s="41">
        <v>6.0552742616033702E-5</v>
      </c>
      <c r="AJ1049" s="41">
        <v>5.1128926394749102E-5</v>
      </c>
      <c r="AK1049" s="41">
        <v>3.6175105485231998E-5</v>
      </c>
      <c r="AL1049" s="41">
        <v>2.6227848101265799E-5</v>
      </c>
      <c r="AM1049" s="43">
        <f t="shared" si="571"/>
        <v>0.43314054769702459</v>
      </c>
      <c r="AN1049" s="43">
        <f t="shared" si="572"/>
        <v>0.51297474738212723</v>
      </c>
      <c r="AO1049" s="19" t="s">
        <v>711</v>
      </c>
      <c r="AT1049" s="2">
        <f t="shared" si="573"/>
        <v>10</v>
      </c>
      <c r="AU1049" s="45">
        <f t="shared" si="574"/>
        <v>-1.4187626597827536</v>
      </c>
      <c r="AV1049" s="45" t="e">
        <f t="shared" si="575"/>
        <v>#VALUE!</v>
      </c>
      <c r="AW1049" s="45" t="e">
        <f t="shared" si="576"/>
        <v>#VALUE!</v>
      </c>
      <c r="AX1049" s="45" t="e">
        <f t="shared" si="577"/>
        <v>#VALUE!</v>
      </c>
      <c r="AY1049" s="45" t="e">
        <f t="shared" si="578"/>
        <v>#VALUE!</v>
      </c>
      <c r="AZ1049" s="45" t="e">
        <f t="shared" si="579"/>
        <v>#VALUE!</v>
      </c>
      <c r="BA1049" s="45">
        <f t="shared" si="580"/>
        <v>0.34242268082220628</v>
      </c>
      <c r="BB1049" s="45">
        <f t="shared" si="581"/>
        <v>-0.75393078999760099</v>
      </c>
      <c r="BC1049" s="45">
        <f t="shared" si="582"/>
        <v>0.84509804001425681</v>
      </c>
      <c r="BD1049" s="45" t="e">
        <f t="shared" si="583"/>
        <v>#VALUE!</v>
      </c>
      <c r="BE1049" s="45" t="e">
        <f t="shared" si="584"/>
        <v>#VALUE!</v>
      </c>
      <c r="BF1049" s="45">
        <f t="shared" si="585"/>
        <v>-0.36337115864651875</v>
      </c>
      <c r="BG1049" s="45">
        <f t="shared" si="586"/>
        <v>-0.28990401372353219</v>
      </c>
      <c r="BH1049" s="45" t="e">
        <f t="shared" si="587"/>
        <v>#NUM!</v>
      </c>
      <c r="BI1049" s="43" t="e">
        <f t="shared" si="588"/>
        <v>#VALUE!</v>
      </c>
      <c r="CA1049" s="41" t="s">
        <v>22</v>
      </c>
      <c r="CC1049" s="2" t="s">
        <v>22</v>
      </c>
      <c r="CD1049" s="2"/>
      <c r="CE1049" s="41" t="s">
        <v>22</v>
      </c>
      <c r="CF1049" s="41" t="s">
        <v>22</v>
      </c>
      <c r="CG1049" s="41" t="e">
        <f t="shared" si="589"/>
        <v>#VALUE!</v>
      </c>
      <c r="CH1049" s="41" t="e">
        <f t="shared" si="590"/>
        <v>#VALUE!</v>
      </c>
      <c r="CI1049" s="41">
        <f t="shared" si="591"/>
        <v>7</v>
      </c>
      <c r="CJ1049" s="41">
        <f t="shared" si="592"/>
        <v>0.84509804001425681</v>
      </c>
      <c r="CK1049" s="2"/>
      <c r="CL1049" s="9" t="s">
        <v>1269</v>
      </c>
      <c r="CM1049" s="18" t="s">
        <v>1285</v>
      </c>
      <c r="CN1049" s="54" t="s">
        <v>1284</v>
      </c>
      <c r="CO1049" s="18" t="s">
        <v>1284</v>
      </c>
    </row>
    <row r="1050" spans="1:93" x14ac:dyDescent="0.25">
      <c r="A1050" s="18" t="s">
        <v>141</v>
      </c>
      <c r="B1050" s="41">
        <v>7.112866686216858E-2</v>
      </c>
      <c r="C1050" s="41" t="s">
        <v>22</v>
      </c>
      <c r="D1050" s="41" t="s">
        <v>22</v>
      </c>
      <c r="E1050" s="41" t="s">
        <v>22</v>
      </c>
      <c r="F1050" s="18" t="s">
        <v>22</v>
      </c>
      <c r="G1050" s="18" t="s">
        <v>22</v>
      </c>
      <c r="H1050" s="18" t="s">
        <v>22</v>
      </c>
      <c r="I1050" s="18" t="s">
        <v>22</v>
      </c>
      <c r="J1050" s="41">
        <v>1.75</v>
      </c>
      <c r="K1050" s="18">
        <v>532</v>
      </c>
      <c r="L1050" s="41">
        <f t="shared" si="593"/>
        <v>0.14017952300799999</v>
      </c>
      <c r="M1050" s="18" t="s">
        <v>45</v>
      </c>
      <c r="N1050" s="41" t="s">
        <v>22</v>
      </c>
      <c r="O1050" s="41" t="s">
        <v>22</v>
      </c>
      <c r="P1050" s="41" t="s">
        <v>22</v>
      </c>
      <c r="R1050" s="41" t="s">
        <v>22</v>
      </c>
      <c r="S1050" s="41" t="s">
        <v>22</v>
      </c>
      <c r="T1050" s="41">
        <v>7</v>
      </c>
      <c r="U1050" s="41">
        <v>7</v>
      </c>
      <c r="V1050" s="18">
        <v>20200513</v>
      </c>
      <c r="W1050" s="21" t="s">
        <v>715</v>
      </c>
      <c r="X1050" s="6">
        <v>2019</v>
      </c>
      <c r="Y1050" s="6" t="s">
        <v>26</v>
      </c>
      <c r="Z1050" s="6" t="s">
        <v>221</v>
      </c>
      <c r="AA1050" s="6" t="s">
        <v>737</v>
      </c>
      <c r="AB1050" s="41">
        <v>4.2921146953405084E-2</v>
      </c>
      <c r="AC1050" s="6" t="s">
        <v>514</v>
      </c>
      <c r="AD1050" s="41" t="s">
        <v>22</v>
      </c>
      <c r="AE1050" s="41">
        <v>1583.7</v>
      </c>
      <c r="AF1050" s="41" t="s">
        <v>22</v>
      </c>
      <c r="AG1050" s="41" t="s">
        <v>22</v>
      </c>
      <c r="AH1050" s="41">
        <v>2.9522497808324001E-5</v>
      </c>
      <c r="AI1050" s="41">
        <v>2.6755526761099401E-5</v>
      </c>
      <c r="AJ1050" s="41">
        <v>2.3442256418155901E-5</v>
      </c>
      <c r="AK1050" s="41">
        <v>1.7561497180836401E-5</v>
      </c>
      <c r="AL1050" s="41">
        <v>1.4059029138529701E-5</v>
      </c>
      <c r="AM1050" s="43">
        <f t="shared" si="571"/>
        <v>0.52546261802516669</v>
      </c>
      <c r="AN1050" s="43">
        <f t="shared" si="572"/>
        <v>0.59973020035908564</v>
      </c>
      <c r="AO1050" s="19" t="s">
        <v>711</v>
      </c>
      <c r="AT1050" s="2">
        <f t="shared" si="573"/>
        <v>10</v>
      </c>
      <c r="AU1050" s="45">
        <f t="shared" si="574"/>
        <v>-1.147955331043883</v>
      </c>
      <c r="AV1050" s="45" t="e">
        <f t="shared" si="575"/>
        <v>#VALUE!</v>
      </c>
      <c r="AW1050" s="45" t="e">
        <f t="shared" si="576"/>
        <v>#VALUE!</v>
      </c>
      <c r="AX1050" s="45" t="e">
        <f t="shared" si="577"/>
        <v>#VALUE!</v>
      </c>
      <c r="AY1050" s="45" t="e">
        <f t="shared" si="578"/>
        <v>#VALUE!</v>
      </c>
      <c r="AZ1050" s="45" t="e">
        <f t="shared" si="579"/>
        <v>#VALUE!</v>
      </c>
      <c r="BA1050" s="45">
        <f t="shared" si="580"/>
        <v>0.24303804868629444</v>
      </c>
      <c r="BB1050" s="45">
        <f t="shared" si="581"/>
        <v>-0.85331542213351286</v>
      </c>
      <c r="BC1050" s="45">
        <f t="shared" si="582"/>
        <v>0.84509804001425681</v>
      </c>
      <c r="BD1050" s="45" t="e">
        <f t="shared" si="583"/>
        <v>#VALUE!</v>
      </c>
      <c r="BE1050" s="45" t="e">
        <f t="shared" si="584"/>
        <v>#VALUE!</v>
      </c>
      <c r="BF1050" s="45">
        <f t="shared" si="585"/>
        <v>-0.27945817471254031</v>
      </c>
      <c r="BG1050" s="45">
        <f t="shared" si="586"/>
        <v>-0.22204408102871684</v>
      </c>
      <c r="BH1050" s="45">
        <f t="shared" si="587"/>
        <v>-1.367328681186996</v>
      </c>
      <c r="BI1050" s="43" t="e">
        <f t="shared" si="588"/>
        <v>#VALUE!</v>
      </c>
      <c r="CA1050" s="41" t="s">
        <v>22</v>
      </c>
      <c r="CC1050" s="2" t="s">
        <v>22</v>
      </c>
      <c r="CD1050" s="2"/>
      <c r="CE1050" s="41" t="s">
        <v>22</v>
      </c>
      <c r="CF1050" s="41" t="s">
        <v>22</v>
      </c>
      <c r="CG1050" s="41" t="e">
        <f t="shared" si="589"/>
        <v>#VALUE!</v>
      </c>
      <c r="CH1050" s="41" t="e">
        <f t="shared" si="590"/>
        <v>#VALUE!</v>
      </c>
      <c r="CI1050" s="41">
        <f t="shared" si="591"/>
        <v>7</v>
      </c>
      <c r="CJ1050" s="41">
        <f t="shared" si="592"/>
        <v>0.84509804001425681</v>
      </c>
      <c r="CK1050" s="2"/>
      <c r="CL1050" s="9" t="s">
        <v>1269</v>
      </c>
      <c r="CM1050" s="18" t="s">
        <v>1285</v>
      </c>
      <c r="CN1050" s="54" t="s">
        <v>1284</v>
      </c>
      <c r="CO1050" s="18" t="s">
        <v>1284</v>
      </c>
    </row>
    <row r="1051" spans="1:93" x14ac:dyDescent="0.25">
      <c r="A1051" s="18" t="s">
        <v>141</v>
      </c>
      <c r="B1051" s="41">
        <v>6.9556263550647909E-2</v>
      </c>
      <c r="C1051" s="41" t="s">
        <v>22</v>
      </c>
      <c r="D1051" s="41" t="s">
        <v>22</v>
      </c>
      <c r="E1051" s="41" t="s">
        <v>22</v>
      </c>
      <c r="F1051" s="18" t="s">
        <v>22</v>
      </c>
      <c r="G1051" s="18" t="s">
        <v>22</v>
      </c>
      <c r="H1051" s="18" t="s">
        <v>22</v>
      </c>
      <c r="I1051" s="18" t="s">
        <v>22</v>
      </c>
      <c r="J1051" s="41">
        <v>1.78</v>
      </c>
      <c r="K1051" s="18">
        <v>532</v>
      </c>
      <c r="L1051" s="41">
        <f t="shared" si="593"/>
        <v>0.14258260054528002</v>
      </c>
      <c r="M1051" s="18" t="s">
        <v>45</v>
      </c>
      <c r="N1051" s="41" t="s">
        <v>22</v>
      </c>
      <c r="O1051" s="41" t="s">
        <v>22</v>
      </c>
      <c r="P1051" s="41" t="s">
        <v>22</v>
      </c>
      <c r="R1051" s="41" t="s">
        <v>22</v>
      </c>
      <c r="S1051" s="41" t="s">
        <v>22</v>
      </c>
      <c r="T1051" s="41">
        <v>7</v>
      </c>
      <c r="U1051" s="41">
        <v>7</v>
      </c>
      <c r="V1051" s="18">
        <v>20200513</v>
      </c>
      <c r="W1051" s="21" t="s">
        <v>716</v>
      </c>
      <c r="X1051" s="6">
        <v>2019</v>
      </c>
      <c r="Y1051" s="6" t="s">
        <v>26</v>
      </c>
      <c r="Z1051" s="6" t="s">
        <v>221</v>
      </c>
      <c r="AA1051" s="6" t="s">
        <v>737</v>
      </c>
      <c r="AB1051" s="41">
        <v>4.2921146953405084E-2</v>
      </c>
      <c r="AC1051" s="6" t="s">
        <v>514</v>
      </c>
      <c r="AD1051" s="41" t="s">
        <v>22</v>
      </c>
      <c r="AE1051" s="41">
        <v>1582.6</v>
      </c>
      <c r="AF1051" s="41" t="s">
        <v>22</v>
      </c>
      <c r="AG1051" s="41" t="s">
        <v>22</v>
      </c>
      <c r="AH1051" s="41">
        <v>3.63251880763767E-5</v>
      </c>
      <c r="AI1051" s="41">
        <v>3.30594436880866E-5</v>
      </c>
      <c r="AJ1051" s="41">
        <v>2.70250066259969E-5</v>
      </c>
      <c r="AK1051" s="41">
        <v>1.8468522549910101E-5</v>
      </c>
      <c r="AL1051" s="41">
        <v>1.43768504654055E-5</v>
      </c>
      <c r="AM1051" s="43">
        <f t="shared" si="571"/>
        <v>0.4348787777873705</v>
      </c>
      <c r="AN1051" s="43">
        <f t="shared" si="572"/>
        <v>0.53198323554065607</v>
      </c>
      <c r="AO1051" s="19" t="s">
        <v>711</v>
      </c>
      <c r="AT1051" s="2">
        <f t="shared" si="573"/>
        <v>10</v>
      </c>
      <c r="AU1051" s="45">
        <f t="shared" si="574"/>
        <v>-1.1576637556359679</v>
      </c>
      <c r="AV1051" s="45" t="e">
        <f t="shared" si="575"/>
        <v>#VALUE!</v>
      </c>
      <c r="AW1051" s="45" t="e">
        <f t="shared" si="576"/>
        <v>#VALUE!</v>
      </c>
      <c r="AX1051" s="45" t="e">
        <f t="shared" si="577"/>
        <v>#VALUE!</v>
      </c>
      <c r="AY1051" s="45" t="e">
        <f t="shared" si="578"/>
        <v>#VALUE!</v>
      </c>
      <c r="AZ1051" s="45" t="e">
        <f t="shared" si="579"/>
        <v>#VALUE!</v>
      </c>
      <c r="BA1051" s="45">
        <f t="shared" si="580"/>
        <v>0.250420002308894</v>
      </c>
      <c r="BB1051" s="45">
        <f t="shared" si="581"/>
        <v>-0.84593346851091322</v>
      </c>
      <c r="BC1051" s="45">
        <f t="shared" si="582"/>
        <v>0.84509804001425681</v>
      </c>
      <c r="BD1051" s="45" t="e">
        <f t="shared" si="583"/>
        <v>#VALUE!</v>
      </c>
      <c r="BE1051" s="45" t="e">
        <f t="shared" si="584"/>
        <v>#VALUE!</v>
      </c>
      <c r="BF1051" s="45">
        <f t="shared" si="585"/>
        <v>-0.36163178551636949</v>
      </c>
      <c r="BG1051" s="45">
        <f t="shared" si="586"/>
        <v>-0.27410205346980704</v>
      </c>
      <c r="BH1051" s="45">
        <f t="shared" si="587"/>
        <v>-1.367328681186996</v>
      </c>
      <c r="BI1051" s="43" t="e">
        <f t="shared" si="588"/>
        <v>#VALUE!</v>
      </c>
      <c r="CA1051" s="41" t="s">
        <v>22</v>
      </c>
      <c r="CC1051" s="2" t="s">
        <v>22</v>
      </c>
      <c r="CD1051" s="2"/>
      <c r="CE1051" s="41" t="s">
        <v>22</v>
      </c>
      <c r="CF1051" s="41" t="s">
        <v>22</v>
      </c>
      <c r="CG1051" s="41" t="e">
        <f t="shared" si="589"/>
        <v>#VALUE!</v>
      </c>
      <c r="CH1051" s="41" t="e">
        <f t="shared" si="590"/>
        <v>#VALUE!</v>
      </c>
      <c r="CI1051" s="41">
        <f t="shared" si="591"/>
        <v>7</v>
      </c>
      <c r="CJ1051" s="41">
        <f t="shared" si="592"/>
        <v>0.84509804001425681</v>
      </c>
      <c r="CK1051" s="2"/>
      <c r="CL1051" s="9" t="s">
        <v>1269</v>
      </c>
      <c r="CM1051" s="18" t="s">
        <v>1285</v>
      </c>
      <c r="CN1051" s="54" t="s">
        <v>1284</v>
      </c>
      <c r="CO1051" s="18" t="s">
        <v>1284</v>
      </c>
    </row>
    <row r="1052" spans="1:93" x14ac:dyDescent="0.25">
      <c r="A1052" s="18" t="s">
        <v>141</v>
      </c>
      <c r="B1052" s="41">
        <v>6.2818830721592306E-2</v>
      </c>
      <c r="C1052" s="41" t="s">
        <v>22</v>
      </c>
      <c r="D1052" s="41" t="s">
        <v>22</v>
      </c>
      <c r="E1052" s="41" t="s">
        <v>22</v>
      </c>
      <c r="F1052" s="18" t="s">
        <v>22</v>
      </c>
      <c r="G1052" s="18" t="s">
        <v>22</v>
      </c>
      <c r="H1052" s="18" t="s">
        <v>22</v>
      </c>
      <c r="I1052" s="18" t="s">
        <v>22</v>
      </c>
      <c r="J1052" s="41">
        <v>1</v>
      </c>
      <c r="K1052" s="18">
        <v>532</v>
      </c>
      <c r="L1052" s="41">
        <f t="shared" si="593"/>
        <v>8.0102584576000002E-2</v>
      </c>
      <c r="M1052" s="18" t="s">
        <v>45</v>
      </c>
      <c r="N1052" s="41" t="s">
        <v>22</v>
      </c>
      <c r="O1052" s="41" t="s">
        <v>22</v>
      </c>
      <c r="P1052" s="41" t="s">
        <v>22</v>
      </c>
      <c r="R1052" s="41" t="s">
        <v>22</v>
      </c>
      <c r="S1052" s="41" t="s">
        <v>22</v>
      </c>
      <c r="T1052" s="41">
        <v>7</v>
      </c>
      <c r="U1052" s="41">
        <v>7</v>
      </c>
      <c r="V1052" s="18">
        <v>20200513</v>
      </c>
      <c r="W1052" s="21" t="s">
        <v>718</v>
      </c>
      <c r="X1052" s="6">
        <v>2019</v>
      </c>
      <c r="Y1052" s="6" t="s">
        <v>26</v>
      </c>
      <c r="Z1052" s="6" t="s">
        <v>717</v>
      </c>
      <c r="AA1052" s="31" t="s">
        <v>755</v>
      </c>
      <c r="AB1052" s="41">
        <v>4.2921146953405084E-2</v>
      </c>
      <c r="AC1052" s="6" t="s">
        <v>514</v>
      </c>
      <c r="AD1052" s="41" t="s">
        <v>22</v>
      </c>
      <c r="AE1052" s="41">
        <v>1583.5</v>
      </c>
      <c r="AF1052" s="41" t="s">
        <v>22</v>
      </c>
      <c r="AG1052" s="41" t="s">
        <v>22</v>
      </c>
      <c r="AH1052" s="41">
        <v>3.1109882816127997E-5</v>
      </c>
      <c r="AI1052" s="41">
        <v>2.96580079421352E-5</v>
      </c>
      <c r="AJ1052" s="41">
        <v>2.6798250283728499E-5</v>
      </c>
      <c r="AK1052" s="41">
        <v>2.0418627093418602E-5</v>
      </c>
      <c r="AL1052" s="41">
        <v>1.5918793592830701E-5</v>
      </c>
      <c r="AM1052" s="43">
        <f t="shared" si="571"/>
        <v>0.53674520634997991</v>
      </c>
      <c r="AN1052" s="43">
        <f t="shared" si="572"/>
        <v>0.59402361812018589</v>
      </c>
      <c r="AO1052" s="19" t="s">
        <v>711</v>
      </c>
      <c r="AT1052" s="2">
        <f t="shared" si="573"/>
        <v>10</v>
      </c>
      <c r="AU1052" s="45">
        <f t="shared" si="574"/>
        <v>-1.2019101516033261</v>
      </c>
      <c r="AV1052" s="45" t="e">
        <f t="shared" si="575"/>
        <v>#VALUE!</v>
      </c>
      <c r="AW1052" s="45" t="e">
        <f t="shared" si="576"/>
        <v>#VALUE!</v>
      </c>
      <c r="AX1052" s="45" t="e">
        <f t="shared" si="577"/>
        <v>#VALUE!</v>
      </c>
      <c r="AY1052" s="45" t="e">
        <f t="shared" si="578"/>
        <v>#VALUE!</v>
      </c>
      <c r="AZ1052" s="45" t="e">
        <f t="shared" si="579"/>
        <v>#VALUE!</v>
      </c>
      <c r="BA1052" s="45">
        <f t="shared" si="580"/>
        <v>0</v>
      </c>
      <c r="BB1052" s="45">
        <f t="shared" si="581"/>
        <v>-1.0963534708198073</v>
      </c>
      <c r="BC1052" s="45">
        <f t="shared" si="582"/>
        <v>0.84509804001425681</v>
      </c>
      <c r="BD1052" s="45" t="e">
        <f t="shared" si="583"/>
        <v>#VALUE!</v>
      </c>
      <c r="BE1052" s="45" t="e">
        <f t="shared" si="584"/>
        <v>#VALUE!</v>
      </c>
      <c r="BF1052" s="45">
        <f t="shared" si="585"/>
        <v>-0.27023182554108188</v>
      </c>
      <c r="BG1052" s="45">
        <f t="shared" si="586"/>
        <v>-0.22619628731618746</v>
      </c>
      <c r="BH1052" s="45">
        <f t="shared" si="587"/>
        <v>-1.367328681186996</v>
      </c>
      <c r="BI1052" s="43" t="e">
        <f t="shared" si="588"/>
        <v>#VALUE!</v>
      </c>
      <c r="CA1052" s="41" t="s">
        <v>22</v>
      </c>
      <c r="CC1052" s="2" t="s">
        <v>22</v>
      </c>
      <c r="CD1052" s="2"/>
      <c r="CE1052" s="41" t="s">
        <v>22</v>
      </c>
      <c r="CF1052" s="41" t="s">
        <v>22</v>
      </c>
      <c r="CG1052" s="41" t="e">
        <f t="shared" si="589"/>
        <v>#VALUE!</v>
      </c>
      <c r="CH1052" s="41" t="e">
        <f t="shared" si="590"/>
        <v>#VALUE!</v>
      </c>
      <c r="CI1052" s="41">
        <f t="shared" si="591"/>
        <v>7</v>
      </c>
      <c r="CJ1052" s="41">
        <f t="shared" si="592"/>
        <v>0.84509804001425681</v>
      </c>
      <c r="CK1052" s="2"/>
      <c r="CL1052" s="9" t="s">
        <v>1269</v>
      </c>
      <c r="CM1052" s="18" t="s">
        <v>1285</v>
      </c>
      <c r="CN1052" s="54" t="s">
        <v>1284</v>
      </c>
      <c r="CO1052" s="18" t="s">
        <v>1284</v>
      </c>
    </row>
    <row r="1053" spans="1:93" x14ac:dyDescent="0.25">
      <c r="A1053" s="18" t="s">
        <v>315</v>
      </c>
      <c r="B1053" s="41">
        <v>0.27</v>
      </c>
      <c r="C1053" s="41" t="s">
        <v>22</v>
      </c>
      <c r="D1053" s="41" t="s">
        <v>22</v>
      </c>
      <c r="E1053" s="41" t="s">
        <v>22</v>
      </c>
      <c r="F1053" s="18" t="s">
        <v>22</v>
      </c>
      <c r="G1053" s="18" t="s">
        <v>22</v>
      </c>
      <c r="H1053" s="18" t="s">
        <v>22</v>
      </c>
      <c r="I1053" s="18" t="s">
        <v>22</v>
      </c>
      <c r="J1053" s="41" t="s">
        <v>22</v>
      </c>
      <c r="K1053" s="18" t="s">
        <v>22</v>
      </c>
      <c r="M1053" s="18" t="s">
        <v>45</v>
      </c>
      <c r="N1053" s="41" t="s">
        <v>22</v>
      </c>
      <c r="O1053" s="41" t="s">
        <v>22</v>
      </c>
      <c r="P1053" s="41" t="s">
        <v>22</v>
      </c>
      <c r="R1053" s="41" t="s">
        <v>22</v>
      </c>
      <c r="S1053" s="41" t="s">
        <v>22</v>
      </c>
      <c r="T1053" s="41">
        <v>1.35</v>
      </c>
      <c r="U1053" s="41">
        <v>1.35</v>
      </c>
      <c r="V1053" s="18">
        <v>20200512</v>
      </c>
      <c r="W1053" s="21" t="s">
        <v>124</v>
      </c>
      <c r="X1053" s="6">
        <v>2019</v>
      </c>
      <c r="Y1053" s="18" t="s">
        <v>328</v>
      </c>
      <c r="Z1053" s="18" t="s">
        <v>606</v>
      </c>
      <c r="AA1053" s="38" t="s">
        <v>754</v>
      </c>
      <c r="AB1053" s="41">
        <v>6.0000000000000001E-3</v>
      </c>
      <c r="AC1053" s="18" t="s">
        <v>285</v>
      </c>
      <c r="AD1053" s="41" t="s">
        <v>22</v>
      </c>
      <c r="AE1053" s="41" t="s">
        <v>22</v>
      </c>
      <c r="AF1053" s="41" t="s">
        <v>22</v>
      </c>
      <c r="AG1053" s="41" t="s">
        <v>22</v>
      </c>
      <c r="AH1053" s="41" t="s">
        <v>22</v>
      </c>
      <c r="AI1053" s="41" t="s">
        <v>22</v>
      </c>
      <c r="AJ1053" s="41" t="s">
        <v>22</v>
      </c>
      <c r="AK1053" s="41" t="s">
        <v>22</v>
      </c>
      <c r="AL1053" s="41" t="s">
        <v>22</v>
      </c>
      <c r="AM1053" s="43" t="e">
        <f t="shared" si="571"/>
        <v>#VALUE!</v>
      </c>
      <c r="AN1053" s="43" t="e">
        <f t="shared" si="572"/>
        <v>#VALUE!</v>
      </c>
      <c r="AO1053" s="19" t="s">
        <v>607</v>
      </c>
      <c r="AT1053" s="2">
        <f t="shared" si="573"/>
        <v>2</v>
      </c>
      <c r="AU1053" s="45">
        <f t="shared" si="574"/>
        <v>-0.56863623584101264</v>
      </c>
      <c r="AV1053" s="45" t="e">
        <f t="shared" si="575"/>
        <v>#VALUE!</v>
      </c>
      <c r="AW1053" s="45" t="e">
        <f t="shared" si="576"/>
        <v>#VALUE!</v>
      </c>
      <c r="AX1053" s="45" t="e">
        <f t="shared" si="577"/>
        <v>#VALUE!</v>
      </c>
      <c r="AY1053" s="45" t="e">
        <f t="shared" si="578"/>
        <v>#VALUE!</v>
      </c>
      <c r="AZ1053" s="45" t="e">
        <f t="shared" si="579"/>
        <v>#VALUE!</v>
      </c>
      <c r="BA1053" s="45" t="e">
        <f t="shared" si="580"/>
        <v>#VALUE!</v>
      </c>
      <c r="BB1053" s="45" t="e">
        <f t="shared" si="581"/>
        <v>#NUM!</v>
      </c>
      <c r="BC1053" s="45">
        <f t="shared" si="582"/>
        <v>0.13033376849500614</v>
      </c>
      <c r="BD1053" s="45" t="e">
        <f t="shared" si="583"/>
        <v>#VALUE!</v>
      </c>
      <c r="BE1053" s="45" t="e">
        <f t="shared" si="584"/>
        <v>#VALUE!</v>
      </c>
      <c r="BF1053" s="45" t="e">
        <f t="shared" si="585"/>
        <v>#VALUE!</v>
      </c>
      <c r="BG1053" s="45" t="e">
        <f t="shared" si="586"/>
        <v>#VALUE!</v>
      </c>
      <c r="BH1053" s="45">
        <f t="shared" si="587"/>
        <v>-2.2218487496163561</v>
      </c>
      <c r="BI1053" s="43" t="e">
        <f t="shared" si="588"/>
        <v>#VALUE!</v>
      </c>
      <c r="CA1053" s="41" t="s">
        <v>22</v>
      </c>
      <c r="CC1053" s="2" t="s">
        <v>22</v>
      </c>
      <c r="CD1053" s="2"/>
      <c r="CE1053" s="41" t="s">
        <v>22</v>
      </c>
      <c r="CF1053" s="41" t="s">
        <v>22</v>
      </c>
      <c r="CG1053" s="41" t="e">
        <f t="shared" si="589"/>
        <v>#VALUE!</v>
      </c>
      <c r="CH1053" s="41" t="e">
        <f t="shared" si="590"/>
        <v>#VALUE!</v>
      </c>
      <c r="CI1053" s="41">
        <f t="shared" si="591"/>
        <v>1.35</v>
      </c>
      <c r="CJ1053" s="41">
        <f t="shared" si="592"/>
        <v>0.13033376849500614</v>
      </c>
      <c r="CK1053" s="2"/>
      <c r="CL1053" s="9" t="s">
        <v>1269</v>
      </c>
      <c r="CM1053" s="18" t="s">
        <v>1285</v>
      </c>
      <c r="CN1053" s="54" t="s">
        <v>1284</v>
      </c>
      <c r="CO1053" s="18" t="s">
        <v>1284</v>
      </c>
    </row>
    <row r="1054" spans="1:93" x14ac:dyDescent="0.25">
      <c r="A1054" s="18" t="s">
        <v>315</v>
      </c>
      <c r="B1054" s="41">
        <v>6.0000000000000001E-3</v>
      </c>
      <c r="C1054" s="41" t="s">
        <v>22</v>
      </c>
      <c r="D1054" s="41" t="s">
        <v>22</v>
      </c>
      <c r="E1054" s="41" t="s">
        <v>22</v>
      </c>
      <c r="F1054" s="18" t="s">
        <v>22</v>
      </c>
      <c r="G1054" s="18" t="s">
        <v>22</v>
      </c>
      <c r="H1054" s="18" t="s">
        <v>22</v>
      </c>
      <c r="I1054" s="18" t="s">
        <v>22</v>
      </c>
      <c r="J1054" s="41" t="s">
        <v>22</v>
      </c>
      <c r="K1054" s="18" t="s">
        <v>22</v>
      </c>
      <c r="M1054" s="18" t="s">
        <v>23</v>
      </c>
      <c r="N1054" s="41" t="s">
        <v>22</v>
      </c>
      <c r="O1054" s="41" t="s">
        <v>22</v>
      </c>
      <c r="P1054" s="41" t="s">
        <v>22</v>
      </c>
      <c r="R1054" s="41" t="s">
        <v>22</v>
      </c>
      <c r="S1054" s="41" t="s">
        <v>22</v>
      </c>
      <c r="T1054" s="41">
        <v>1.35</v>
      </c>
      <c r="U1054" s="41">
        <v>1.35</v>
      </c>
      <c r="V1054" s="18">
        <v>20200512</v>
      </c>
      <c r="W1054" s="21"/>
      <c r="X1054" s="6">
        <v>2019</v>
      </c>
      <c r="Y1054" s="18" t="s">
        <v>328</v>
      </c>
      <c r="Z1054" s="18" t="s">
        <v>534</v>
      </c>
      <c r="AC1054" s="18" t="s">
        <v>285</v>
      </c>
      <c r="AD1054" s="41" t="s">
        <v>22</v>
      </c>
      <c r="AE1054" s="41" t="s">
        <v>22</v>
      </c>
      <c r="AF1054" s="41" t="s">
        <v>22</v>
      </c>
      <c r="AG1054" s="41" t="s">
        <v>22</v>
      </c>
      <c r="AH1054" s="41" t="s">
        <v>22</v>
      </c>
      <c r="AI1054" s="41" t="s">
        <v>22</v>
      </c>
      <c r="AJ1054" s="41" t="s">
        <v>22</v>
      </c>
      <c r="AK1054" s="41" t="s">
        <v>22</v>
      </c>
      <c r="AL1054" s="41" t="s">
        <v>22</v>
      </c>
      <c r="AM1054" s="43" t="e">
        <f t="shared" si="571"/>
        <v>#VALUE!</v>
      </c>
      <c r="AN1054" s="43" t="e">
        <f t="shared" si="572"/>
        <v>#VALUE!</v>
      </c>
      <c r="AO1054" s="19" t="s">
        <v>607</v>
      </c>
      <c r="AT1054" s="2">
        <f t="shared" si="573"/>
        <v>2</v>
      </c>
      <c r="AU1054" s="45">
        <f t="shared" si="574"/>
        <v>-2.2218487496163561</v>
      </c>
      <c r="AV1054" s="45" t="e">
        <f t="shared" si="575"/>
        <v>#VALUE!</v>
      </c>
      <c r="AW1054" s="45" t="e">
        <f t="shared" si="576"/>
        <v>#VALUE!</v>
      </c>
      <c r="AX1054" s="45" t="e">
        <f t="shared" si="577"/>
        <v>#VALUE!</v>
      </c>
      <c r="AY1054" s="45" t="e">
        <f t="shared" si="578"/>
        <v>#VALUE!</v>
      </c>
      <c r="AZ1054" s="45" t="e">
        <f t="shared" si="579"/>
        <v>#VALUE!</v>
      </c>
      <c r="BA1054" s="45" t="e">
        <f t="shared" si="580"/>
        <v>#VALUE!</v>
      </c>
      <c r="BB1054" s="45" t="e">
        <f t="shared" si="581"/>
        <v>#NUM!</v>
      </c>
      <c r="BC1054" s="45">
        <f t="shared" si="582"/>
        <v>0.13033376849500614</v>
      </c>
      <c r="BD1054" s="45" t="e">
        <f t="shared" si="583"/>
        <v>#VALUE!</v>
      </c>
      <c r="BE1054" s="45" t="e">
        <f t="shared" si="584"/>
        <v>#VALUE!</v>
      </c>
      <c r="BF1054" s="45" t="e">
        <f t="shared" si="585"/>
        <v>#VALUE!</v>
      </c>
      <c r="BG1054" s="45" t="e">
        <f t="shared" si="586"/>
        <v>#VALUE!</v>
      </c>
      <c r="BH1054" s="45" t="e">
        <f t="shared" si="587"/>
        <v>#NUM!</v>
      </c>
      <c r="BI1054" s="43" t="e">
        <f t="shared" si="588"/>
        <v>#VALUE!</v>
      </c>
      <c r="CA1054" s="41" t="s">
        <v>22</v>
      </c>
      <c r="CC1054" s="2" t="s">
        <v>22</v>
      </c>
      <c r="CD1054" s="2"/>
      <c r="CE1054" s="41" t="s">
        <v>22</v>
      </c>
      <c r="CF1054" s="41" t="s">
        <v>22</v>
      </c>
      <c r="CG1054" s="41" t="e">
        <f t="shared" si="589"/>
        <v>#VALUE!</v>
      </c>
      <c r="CH1054" s="41" t="e">
        <f t="shared" si="590"/>
        <v>#VALUE!</v>
      </c>
      <c r="CI1054" s="41">
        <f t="shared" si="591"/>
        <v>1.35</v>
      </c>
      <c r="CJ1054" s="41">
        <f t="shared" si="592"/>
        <v>0.13033376849500614</v>
      </c>
      <c r="CK1054" s="2"/>
      <c r="CL1054" s="9" t="s">
        <v>1269</v>
      </c>
      <c r="CM1054" s="18" t="s">
        <v>1285</v>
      </c>
      <c r="CN1054" s="54" t="s">
        <v>1284</v>
      </c>
      <c r="CO1054" s="18" t="s">
        <v>1284</v>
      </c>
    </row>
    <row r="1055" spans="1:93" x14ac:dyDescent="0.25">
      <c r="A1055" s="18" t="s">
        <v>141</v>
      </c>
      <c r="B1055" s="41">
        <v>4.6199999999999998E-2</v>
      </c>
      <c r="C1055" s="41">
        <v>1.5277777777777779</v>
      </c>
      <c r="D1055" s="41">
        <f t="shared" ref="D1055:D1099" si="594">0.001*(B1055*10^6)/(C1055*0.001*100^3)</f>
        <v>3.024E-2</v>
      </c>
      <c r="E1055" s="41" t="s">
        <v>22</v>
      </c>
      <c r="F1055" s="18">
        <v>1.5</v>
      </c>
      <c r="G1055" s="18" t="s">
        <v>52</v>
      </c>
      <c r="H1055" s="18" t="s">
        <v>22</v>
      </c>
      <c r="I1055" s="18" t="s">
        <v>22</v>
      </c>
      <c r="J1055" s="41">
        <v>0.94339622641509424</v>
      </c>
      <c r="K1055" s="18">
        <v>532</v>
      </c>
      <c r="L1055" s="41">
        <f t="shared" ref="L1055:L1099" si="595">IF((10^-12)*J1055*K1055^4=0,"",(10^-12)*J1055*K1055^4)</f>
        <v>7.5568476015094324E-2</v>
      </c>
      <c r="M1055" s="18" t="s">
        <v>23</v>
      </c>
      <c r="N1055" s="41">
        <v>1100</v>
      </c>
      <c r="O1055" s="41">
        <v>0.72</v>
      </c>
      <c r="P1055" s="41">
        <v>25.14</v>
      </c>
      <c r="R1055" s="41">
        <f>N1055*B1055</f>
        <v>50.82</v>
      </c>
      <c r="S1055" s="41">
        <f>O1055*D1055</f>
        <v>2.1772799999999998E-2</v>
      </c>
      <c r="T1055" s="41" t="s">
        <v>22</v>
      </c>
      <c r="U1055" s="41" t="s">
        <v>22</v>
      </c>
      <c r="V1055" s="18">
        <v>20200601</v>
      </c>
      <c r="W1055" s="21" t="s">
        <v>152</v>
      </c>
      <c r="X1055" s="6">
        <v>2019</v>
      </c>
      <c r="Y1055" s="6" t="s">
        <v>452</v>
      </c>
      <c r="Z1055" s="6" t="s">
        <v>32</v>
      </c>
      <c r="AC1055" s="18" t="s">
        <v>514</v>
      </c>
      <c r="AD1055" s="41">
        <v>14.5</v>
      </c>
      <c r="AF1055" s="41" t="s">
        <v>22</v>
      </c>
      <c r="AG1055" s="41" t="s">
        <v>22</v>
      </c>
      <c r="AH1055" s="41" t="s">
        <v>22</v>
      </c>
      <c r="AI1055" s="41" t="s">
        <v>22</v>
      </c>
      <c r="AJ1055" s="41" t="s">
        <v>22</v>
      </c>
      <c r="AK1055" s="41" t="s">
        <v>22</v>
      </c>
      <c r="AL1055" s="41" t="s">
        <v>22</v>
      </c>
      <c r="AM1055" s="43" t="e">
        <f t="shared" si="571"/>
        <v>#VALUE!</v>
      </c>
      <c r="AN1055" s="43" t="e">
        <f t="shared" si="572"/>
        <v>#VALUE!</v>
      </c>
      <c r="AO1055" s="19" t="s">
        <v>970</v>
      </c>
      <c r="AT1055" s="2">
        <f t="shared" si="573"/>
        <v>5</v>
      </c>
      <c r="AU1055" s="45">
        <f t="shared" si="574"/>
        <v>-1.3353580244438745</v>
      </c>
      <c r="AV1055" s="45">
        <f t="shared" si="575"/>
        <v>0.18406018872695662</v>
      </c>
      <c r="AW1055" s="45">
        <f t="shared" si="576"/>
        <v>-1.5194182131708311</v>
      </c>
      <c r="AX1055" s="45">
        <f t="shared" si="577"/>
        <v>3.0413926851582249</v>
      </c>
      <c r="AY1055" s="45">
        <f t="shared" si="578"/>
        <v>-0.14266750356873156</v>
      </c>
      <c r="AZ1055" s="45">
        <f t="shared" si="579"/>
        <v>1.400365273349939</v>
      </c>
      <c r="BA1055" s="45">
        <f t="shared" si="580"/>
        <v>-2.5305865264770286E-2</v>
      </c>
      <c r="BB1055" s="45">
        <f t="shared" si="581"/>
        <v>-1.1216593360845777</v>
      </c>
      <c r="BC1055" s="45" t="e">
        <f t="shared" si="582"/>
        <v>#VALUE!</v>
      </c>
      <c r="BD1055" s="45">
        <f t="shared" si="583"/>
        <v>1.1613680022349748</v>
      </c>
      <c r="BE1055" s="45" t="e">
        <f t="shared" si="584"/>
        <v>#VALUE!</v>
      </c>
      <c r="BF1055" s="45" t="e">
        <f t="shared" si="585"/>
        <v>#VALUE!</v>
      </c>
      <c r="BG1055" s="45" t="e">
        <f t="shared" si="586"/>
        <v>#VALUE!</v>
      </c>
      <c r="BH1055" s="45" t="e">
        <f t="shared" si="587"/>
        <v>#NUM!</v>
      </c>
      <c r="BI1055" s="43" t="e">
        <f t="shared" si="588"/>
        <v>#VALUE!</v>
      </c>
      <c r="CA1055" s="41" t="s">
        <v>22</v>
      </c>
      <c r="CC1055" s="2" t="s">
        <v>22</v>
      </c>
      <c r="CD1055" s="2"/>
      <c r="CE1055" s="41" t="s">
        <v>22</v>
      </c>
      <c r="CF1055" s="41" t="s">
        <v>22</v>
      </c>
      <c r="CG1055" s="41">
        <f t="shared" si="589"/>
        <v>14500</v>
      </c>
      <c r="CH1055" s="41">
        <f t="shared" si="590"/>
        <v>4.1613680022349753</v>
      </c>
      <c r="CI1055" s="41">
        <f t="shared" si="591"/>
        <v>14500</v>
      </c>
      <c r="CJ1055" s="41">
        <f t="shared" si="592"/>
        <v>4.1613680022349753</v>
      </c>
      <c r="CK1055" s="2"/>
      <c r="CL1055" s="9" t="s">
        <v>1269</v>
      </c>
      <c r="CM1055" s="18" t="s">
        <v>1283</v>
      </c>
      <c r="CN1055" s="54" t="s">
        <v>1284</v>
      </c>
      <c r="CO1055" s="18" t="s">
        <v>1284</v>
      </c>
    </row>
    <row r="1056" spans="1:93" x14ac:dyDescent="0.25">
      <c r="A1056" s="18" t="s">
        <v>141</v>
      </c>
      <c r="B1056" s="41" t="s">
        <v>22</v>
      </c>
      <c r="C1056" s="41" t="s">
        <v>22</v>
      </c>
      <c r="D1056" s="41" t="e">
        <f t="shared" si="594"/>
        <v>#VALUE!</v>
      </c>
      <c r="E1056" s="41" t="s">
        <v>22</v>
      </c>
      <c r="F1056" s="18">
        <v>1.6</v>
      </c>
      <c r="G1056" s="18" t="s">
        <v>52</v>
      </c>
      <c r="H1056" s="18" t="s">
        <v>22</v>
      </c>
      <c r="I1056" s="18" t="s">
        <v>22</v>
      </c>
      <c r="J1056" s="41">
        <v>1.1904761904761905</v>
      </c>
      <c r="K1056" s="18">
        <v>532</v>
      </c>
      <c r="L1056" s="41">
        <f t="shared" si="595"/>
        <v>9.5360219733333321E-2</v>
      </c>
      <c r="M1056" s="18" t="s">
        <v>23</v>
      </c>
      <c r="N1056" s="41">
        <v>1660</v>
      </c>
      <c r="O1056" s="41" t="s">
        <v>22</v>
      </c>
      <c r="P1056" s="41">
        <v>38.549999999999997</v>
      </c>
      <c r="R1056" s="41" t="s">
        <v>22</v>
      </c>
      <c r="S1056" s="41" t="s">
        <v>22</v>
      </c>
      <c r="T1056" s="41" t="s">
        <v>22</v>
      </c>
      <c r="U1056" s="41" t="s">
        <v>22</v>
      </c>
      <c r="V1056" s="18">
        <v>20200601</v>
      </c>
      <c r="W1056" s="21" t="s">
        <v>34</v>
      </c>
      <c r="X1056" s="6">
        <v>2019</v>
      </c>
      <c r="Y1056" s="6" t="s">
        <v>452</v>
      </c>
      <c r="Z1056" s="6" t="s">
        <v>34</v>
      </c>
      <c r="AC1056" s="18" t="s">
        <v>514</v>
      </c>
      <c r="AD1056" s="41" t="s">
        <v>22</v>
      </c>
      <c r="AF1056" s="41" t="s">
        <v>22</v>
      </c>
      <c r="AG1056" s="41" t="s">
        <v>22</v>
      </c>
      <c r="AH1056" s="41" t="s">
        <v>22</v>
      </c>
      <c r="AI1056" s="41" t="s">
        <v>22</v>
      </c>
      <c r="AJ1056" s="41" t="s">
        <v>22</v>
      </c>
      <c r="AK1056" s="41" t="s">
        <v>22</v>
      </c>
      <c r="AL1056" s="41" t="s">
        <v>22</v>
      </c>
      <c r="AM1056" s="43" t="e">
        <f t="shared" si="571"/>
        <v>#VALUE!</v>
      </c>
      <c r="AN1056" s="43" t="e">
        <f t="shared" si="572"/>
        <v>#VALUE!</v>
      </c>
      <c r="AO1056" s="19" t="s">
        <v>970</v>
      </c>
      <c r="AT1056" s="2">
        <f t="shared" si="573"/>
        <v>5</v>
      </c>
      <c r="AU1056" s="45" t="e">
        <f t="shared" si="574"/>
        <v>#VALUE!</v>
      </c>
      <c r="AV1056" s="45" t="e">
        <f t="shared" si="575"/>
        <v>#VALUE!</v>
      </c>
      <c r="AW1056" s="45" t="e">
        <f t="shared" si="576"/>
        <v>#VALUE!</v>
      </c>
      <c r="AX1056" s="45">
        <f t="shared" si="577"/>
        <v>3.220108088040055</v>
      </c>
      <c r="AY1056" s="45" t="e">
        <f t="shared" si="578"/>
        <v>#VALUE!</v>
      </c>
      <c r="AZ1056" s="45">
        <f t="shared" si="579"/>
        <v>1.5860243823869757</v>
      </c>
      <c r="BA1056" s="45">
        <f t="shared" si="580"/>
        <v>7.5720713938118342E-2</v>
      </c>
      <c r="BB1056" s="45">
        <f t="shared" si="581"/>
        <v>-1.0206327568816891</v>
      </c>
      <c r="BC1056" s="45" t="e">
        <f t="shared" si="582"/>
        <v>#VALUE!</v>
      </c>
      <c r="BD1056" s="45" t="e">
        <f t="shared" si="583"/>
        <v>#VALUE!</v>
      </c>
      <c r="BE1056" s="45" t="e">
        <f t="shared" si="584"/>
        <v>#VALUE!</v>
      </c>
      <c r="BF1056" s="45" t="e">
        <f t="shared" si="585"/>
        <v>#VALUE!</v>
      </c>
      <c r="BG1056" s="45" t="e">
        <f t="shared" si="586"/>
        <v>#VALUE!</v>
      </c>
      <c r="BH1056" s="45" t="e">
        <f t="shared" si="587"/>
        <v>#NUM!</v>
      </c>
      <c r="BI1056" s="43" t="e">
        <f t="shared" si="588"/>
        <v>#VALUE!</v>
      </c>
      <c r="CA1056" s="41" t="s">
        <v>22</v>
      </c>
      <c r="CC1056" s="2" t="s">
        <v>22</v>
      </c>
      <c r="CD1056" s="2"/>
      <c r="CE1056" s="41" t="s">
        <v>22</v>
      </c>
      <c r="CF1056" s="41" t="s">
        <v>22</v>
      </c>
      <c r="CG1056" s="41" t="e">
        <f t="shared" si="589"/>
        <v>#VALUE!</v>
      </c>
      <c r="CH1056" s="41" t="e">
        <f t="shared" si="590"/>
        <v>#VALUE!</v>
      </c>
      <c r="CI1056" s="41" t="str">
        <f t="shared" si="591"/>
        <v>Not Reported/ Can not calculate</v>
      </c>
      <c r="CJ1056" s="41" t="e">
        <f t="shared" si="592"/>
        <v>#VALUE!</v>
      </c>
      <c r="CK1056" s="2"/>
      <c r="CL1056" s="9" t="s">
        <v>1269</v>
      </c>
      <c r="CM1056" s="18" t="s">
        <v>1284</v>
      </c>
      <c r="CN1056" s="54" t="s">
        <v>1284</v>
      </c>
      <c r="CO1056" s="18" t="s">
        <v>1284</v>
      </c>
    </row>
    <row r="1057" spans="1:93" x14ac:dyDescent="0.25">
      <c r="A1057" s="18" t="s">
        <v>141</v>
      </c>
      <c r="B1057" s="41" t="s">
        <v>22</v>
      </c>
      <c r="C1057" s="41" t="s">
        <v>22</v>
      </c>
      <c r="D1057" s="41" t="e">
        <f t="shared" si="594"/>
        <v>#VALUE!</v>
      </c>
      <c r="E1057" s="41" t="s">
        <v>22</v>
      </c>
      <c r="F1057" s="18" t="s">
        <v>22</v>
      </c>
      <c r="G1057" s="18"/>
      <c r="H1057" s="18" t="s">
        <v>22</v>
      </c>
      <c r="I1057" s="18" t="s">
        <v>22</v>
      </c>
      <c r="J1057" s="41">
        <v>1.1904761904761905</v>
      </c>
      <c r="K1057" s="18">
        <v>532</v>
      </c>
      <c r="L1057" s="41">
        <f t="shared" si="595"/>
        <v>9.5360219733333321E-2</v>
      </c>
      <c r="M1057" s="18" t="s">
        <v>23</v>
      </c>
      <c r="N1057" s="41">
        <v>2594</v>
      </c>
      <c r="O1057" s="41" t="s">
        <v>22</v>
      </c>
      <c r="P1057" s="41">
        <v>72.069999999999993</v>
      </c>
      <c r="R1057" s="41" t="s">
        <v>22</v>
      </c>
      <c r="S1057" s="41" t="s">
        <v>22</v>
      </c>
      <c r="T1057" s="41" t="s">
        <v>22</v>
      </c>
      <c r="U1057" s="41" t="s">
        <v>22</v>
      </c>
      <c r="V1057" s="18">
        <v>20200601</v>
      </c>
      <c r="W1057" s="21" t="s">
        <v>966</v>
      </c>
      <c r="X1057" s="6">
        <v>2019</v>
      </c>
      <c r="Y1057" s="6" t="s">
        <v>452</v>
      </c>
      <c r="Z1057" s="6" t="s">
        <v>969</v>
      </c>
      <c r="AC1057" s="18" t="s">
        <v>514</v>
      </c>
      <c r="AD1057" s="41">
        <v>12</v>
      </c>
      <c r="AF1057" s="41" t="s">
        <v>22</v>
      </c>
      <c r="AG1057" s="41" t="s">
        <v>22</v>
      </c>
      <c r="AH1057" s="41" t="s">
        <v>22</v>
      </c>
      <c r="AI1057" s="41" t="s">
        <v>22</v>
      </c>
      <c r="AJ1057" s="41" t="s">
        <v>22</v>
      </c>
      <c r="AK1057" s="41" t="s">
        <v>22</v>
      </c>
      <c r="AL1057" s="41" t="s">
        <v>22</v>
      </c>
      <c r="AM1057" s="43" t="e">
        <f t="shared" si="571"/>
        <v>#VALUE!</v>
      </c>
      <c r="AN1057" s="43" t="e">
        <f t="shared" si="572"/>
        <v>#VALUE!</v>
      </c>
      <c r="AO1057" s="19" t="s">
        <v>970</v>
      </c>
      <c r="AT1057" s="2">
        <f t="shared" si="573"/>
        <v>5</v>
      </c>
      <c r="AU1057" s="45" t="e">
        <f t="shared" si="574"/>
        <v>#VALUE!</v>
      </c>
      <c r="AV1057" s="45" t="e">
        <f t="shared" si="575"/>
        <v>#VALUE!</v>
      </c>
      <c r="AW1057" s="45" t="e">
        <f t="shared" si="576"/>
        <v>#VALUE!</v>
      </c>
      <c r="AX1057" s="45">
        <f t="shared" si="577"/>
        <v>3.4139699717480614</v>
      </c>
      <c r="AY1057" s="45" t="e">
        <f t="shared" si="578"/>
        <v>#VALUE!</v>
      </c>
      <c r="AZ1057" s="45">
        <f t="shared" si="579"/>
        <v>1.8577545220594422</v>
      </c>
      <c r="BA1057" s="45">
        <f t="shared" si="580"/>
        <v>7.5720713938118342E-2</v>
      </c>
      <c r="BB1057" s="45">
        <f t="shared" si="581"/>
        <v>-1.0206327568816891</v>
      </c>
      <c r="BC1057" s="45" t="e">
        <f t="shared" si="582"/>
        <v>#VALUE!</v>
      </c>
      <c r="BD1057" s="45">
        <f t="shared" si="583"/>
        <v>1.0791812460476249</v>
      </c>
      <c r="BE1057" s="45" t="e">
        <f t="shared" si="584"/>
        <v>#VALUE!</v>
      </c>
      <c r="BF1057" s="45" t="e">
        <f t="shared" si="585"/>
        <v>#VALUE!</v>
      </c>
      <c r="BG1057" s="45" t="e">
        <f t="shared" si="586"/>
        <v>#VALUE!</v>
      </c>
      <c r="BH1057" s="45" t="e">
        <f t="shared" si="587"/>
        <v>#NUM!</v>
      </c>
      <c r="BI1057" s="43" t="e">
        <f t="shared" si="588"/>
        <v>#VALUE!</v>
      </c>
      <c r="CA1057" s="41" t="s">
        <v>22</v>
      </c>
      <c r="CC1057" s="2" t="s">
        <v>22</v>
      </c>
      <c r="CD1057" s="2"/>
      <c r="CE1057" s="41" t="s">
        <v>22</v>
      </c>
      <c r="CF1057" s="41" t="s">
        <v>22</v>
      </c>
      <c r="CG1057" s="41">
        <f t="shared" si="589"/>
        <v>12000</v>
      </c>
      <c r="CH1057" s="41">
        <f t="shared" si="590"/>
        <v>4.0791812460476251</v>
      </c>
      <c r="CI1057" s="41">
        <f t="shared" si="591"/>
        <v>12000</v>
      </c>
      <c r="CJ1057" s="41">
        <f t="shared" si="592"/>
        <v>4.0791812460476251</v>
      </c>
      <c r="CK1057" s="2"/>
      <c r="CL1057" s="9" t="s">
        <v>1269</v>
      </c>
      <c r="CM1057" s="18" t="s">
        <v>1283</v>
      </c>
      <c r="CN1057" s="54" t="s">
        <v>1284</v>
      </c>
      <c r="CO1057" s="18" t="s">
        <v>1284</v>
      </c>
    </row>
    <row r="1058" spans="1:93" x14ac:dyDescent="0.25">
      <c r="A1058" s="18" t="s">
        <v>141</v>
      </c>
      <c r="B1058" s="41" t="s">
        <v>22</v>
      </c>
      <c r="C1058" s="41">
        <v>1.4823809523809524</v>
      </c>
      <c r="D1058" s="41" t="e">
        <f t="shared" si="594"/>
        <v>#VALUE!</v>
      </c>
      <c r="E1058" s="41" t="s">
        <v>22</v>
      </c>
      <c r="F1058" s="18">
        <v>3.5</v>
      </c>
      <c r="G1058" s="18" t="s">
        <v>52</v>
      </c>
      <c r="H1058" s="18" t="s">
        <v>22</v>
      </c>
      <c r="I1058" s="18" t="s">
        <v>22</v>
      </c>
      <c r="J1058" s="41">
        <v>1.1904761904761905</v>
      </c>
      <c r="K1058" s="18">
        <v>532</v>
      </c>
      <c r="L1058" s="41">
        <f t="shared" si="595"/>
        <v>9.5360219733333321E-2</v>
      </c>
      <c r="M1058" s="18" t="s">
        <v>23</v>
      </c>
      <c r="N1058" s="41">
        <v>3113</v>
      </c>
      <c r="O1058" s="41">
        <v>2.1</v>
      </c>
      <c r="P1058" s="41">
        <v>145.81</v>
      </c>
      <c r="R1058" s="41" t="s">
        <v>22</v>
      </c>
      <c r="S1058" s="41" t="s">
        <v>22</v>
      </c>
      <c r="T1058" s="41" t="s">
        <v>22</v>
      </c>
      <c r="U1058" s="41" t="s">
        <v>22</v>
      </c>
      <c r="V1058" s="18">
        <v>20200601</v>
      </c>
      <c r="W1058" s="21" t="s">
        <v>967</v>
      </c>
      <c r="X1058" s="6">
        <v>2019</v>
      </c>
      <c r="Y1058" s="6" t="s">
        <v>452</v>
      </c>
      <c r="Z1058" s="6" t="s">
        <v>969</v>
      </c>
      <c r="AC1058" s="18" t="s">
        <v>514</v>
      </c>
      <c r="AD1058" s="41">
        <v>10</v>
      </c>
      <c r="AF1058" s="41" t="s">
        <v>22</v>
      </c>
      <c r="AG1058" s="41" t="s">
        <v>22</v>
      </c>
      <c r="AH1058" s="41" t="s">
        <v>22</v>
      </c>
      <c r="AI1058" s="41" t="s">
        <v>22</v>
      </c>
      <c r="AJ1058" s="41" t="s">
        <v>22</v>
      </c>
      <c r="AK1058" s="41" t="s">
        <v>22</v>
      </c>
      <c r="AL1058" s="41" t="s">
        <v>22</v>
      </c>
      <c r="AM1058" s="43" t="e">
        <f t="shared" si="571"/>
        <v>#VALUE!</v>
      </c>
      <c r="AN1058" s="43" t="e">
        <f t="shared" si="572"/>
        <v>#VALUE!</v>
      </c>
      <c r="AO1058" s="19" t="s">
        <v>970</v>
      </c>
      <c r="AT1058" s="2">
        <f t="shared" si="573"/>
        <v>5</v>
      </c>
      <c r="AU1058" s="45" t="e">
        <f t="shared" si="574"/>
        <v>#VALUE!</v>
      </c>
      <c r="AV1058" s="45">
        <f t="shared" si="575"/>
        <v>0.17095982594859599</v>
      </c>
      <c r="AW1058" s="45" t="e">
        <f t="shared" si="576"/>
        <v>#VALUE!</v>
      </c>
      <c r="AX1058" s="45">
        <f t="shared" si="577"/>
        <v>3.4931791206825151</v>
      </c>
      <c r="AY1058" s="45">
        <f t="shared" si="578"/>
        <v>0.3222192947339193</v>
      </c>
      <c r="AZ1058" s="45">
        <f t="shared" si="579"/>
        <v>2.1637873099620029</v>
      </c>
      <c r="BA1058" s="45">
        <f t="shared" si="580"/>
        <v>7.5720713938118342E-2</v>
      </c>
      <c r="BB1058" s="45">
        <f t="shared" si="581"/>
        <v>-1.0206327568816891</v>
      </c>
      <c r="BC1058" s="45" t="e">
        <f t="shared" si="582"/>
        <v>#VALUE!</v>
      </c>
      <c r="BD1058" s="45">
        <f t="shared" si="583"/>
        <v>1</v>
      </c>
      <c r="BE1058" s="45" t="e">
        <f t="shared" si="584"/>
        <v>#VALUE!</v>
      </c>
      <c r="BF1058" s="45" t="e">
        <f t="shared" si="585"/>
        <v>#VALUE!</v>
      </c>
      <c r="BG1058" s="45" t="e">
        <f t="shared" si="586"/>
        <v>#VALUE!</v>
      </c>
      <c r="BH1058" s="45" t="e">
        <f t="shared" si="587"/>
        <v>#NUM!</v>
      </c>
      <c r="BI1058" s="43" t="e">
        <f t="shared" si="588"/>
        <v>#VALUE!</v>
      </c>
      <c r="CA1058" s="41" t="s">
        <v>22</v>
      </c>
      <c r="CC1058" s="2" t="s">
        <v>22</v>
      </c>
      <c r="CD1058" s="2"/>
      <c r="CE1058" s="41" t="s">
        <v>22</v>
      </c>
      <c r="CF1058" s="41" t="s">
        <v>22</v>
      </c>
      <c r="CG1058" s="41">
        <f t="shared" si="589"/>
        <v>10000</v>
      </c>
      <c r="CH1058" s="41">
        <f t="shared" si="590"/>
        <v>4</v>
      </c>
      <c r="CI1058" s="41">
        <f t="shared" si="591"/>
        <v>10000</v>
      </c>
      <c r="CJ1058" s="41">
        <f t="shared" si="592"/>
        <v>4</v>
      </c>
      <c r="CK1058" s="2"/>
      <c r="CL1058" s="9" t="s">
        <v>1269</v>
      </c>
      <c r="CM1058" s="18" t="s">
        <v>1283</v>
      </c>
      <c r="CN1058" s="54" t="s">
        <v>1284</v>
      </c>
      <c r="CO1058" s="18" t="s">
        <v>1284</v>
      </c>
    </row>
    <row r="1059" spans="1:93" x14ac:dyDescent="0.25">
      <c r="A1059" s="18" t="s">
        <v>141</v>
      </c>
      <c r="B1059" s="41">
        <v>0.152</v>
      </c>
      <c r="C1059" s="41">
        <v>1.4339622641509433</v>
      </c>
      <c r="D1059" s="41">
        <f t="shared" si="594"/>
        <v>0.106</v>
      </c>
      <c r="E1059" s="41" t="s">
        <v>22</v>
      </c>
      <c r="F1059" s="18" t="s">
        <v>22</v>
      </c>
      <c r="G1059" s="18"/>
      <c r="H1059" s="18" t="s">
        <v>22</v>
      </c>
      <c r="I1059" s="18" t="s">
        <v>22</v>
      </c>
      <c r="J1059" s="41">
        <v>1.3513513513513513</v>
      </c>
      <c r="K1059" s="18">
        <v>532</v>
      </c>
      <c r="L1059" s="41">
        <f t="shared" si="595"/>
        <v>0.10824673591351351</v>
      </c>
      <c r="M1059" s="18" t="s">
        <v>23</v>
      </c>
      <c r="N1059" s="41">
        <v>3300</v>
      </c>
      <c r="O1059" s="41">
        <v>2.3013157894736844</v>
      </c>
      <c r="P1059" s="41">
        <v>122.35</v>
      </c>
      <c r="R1059" s="41">
        <f t="shared" ref="R1059:R1099" si="596">N1059*B1059</f>
        <v>501.59999999999997</v>
      </c>
      <c r="S1059" s="41">
        <f t="shared" ref="S1059:S1099" si="597">O1059*D1059</f>
        <v>0.24393947368421054</v>
      </c>
      <c r="T1059" s="41" t="s">
        <v>22</v>
      </c>
      <c r="U1059" s="41" t="s">
        <v>22</v>
      </c>
      <c r="V1059" s="18">
        <v>20200601</v>
      </c>
      <c r="W1059" s="21" t="s">
        <v>968</v>
      </c>
      <c r="X1059" s="6">
        <v>2019</v>
      </c>
      <c r="Y1059" s="6" t="s">
        <v>452</v>
      </c>
      <c r="Z1059" s="6" t="s">
        <v>969</v>
      </c>
      <c r="AC1059" s="18" t="s">
        <v>514</v>
      </c>
      <c r="AD1059" s="41" t="s">
        <v>22</v>
      </c>
      <c r="AF1059" s="41" t="s">
        <v>22</v>
      </c>
      <c r="AG1059" s="41" t="s">
        <v>22</v>
      </c>
      <c r="AH1059" s="41" t="s">
        <v>22</v>
      </c>
      <c r="AI1059" s="41" t="s">
        <v>22</v>
      </c>
      <c r="AJ1059" s="41" t="s">
        <v>22</v>
      </c>
      <c r="AK1059" s="41" t="s">
        <v>22</v>
      </c>
      <c r="AL1059" s="41" t="s">
        <v>22</v>
      </c>
      <c r="AM1059" s="43" t="e">
        <f t="shared" si="571"/>
        <v>#VALUE!</v>
      </c>
      <c r="AN1059" s="43" t="e">
        <f t="shared" si="572"/>
        <v>#VALUE!</v>
      </c>
      <c r="AO1059" s="19" t="s">
        <v>970</v>
      </c>
      <c r="AT1059" s="2">
        <f t="shared" si="573"/>
        <v>5</v>
      </c>
      <c r="AU1059" s="45">
        <f t="shared" si="574"/>
        <v>-0.81815641205522749</v>
      </c>
      <c r="AV1059" s="45">
        <f t="shared" si="575"/>
        <v>0.15653772268000227</v>
      </c>
      <c r="AW1059" s="45">
        <f t="shared" si="576"/>
        <v>-0.97469413473522981</v>
      </c>
      <c r="AX1059" s="45">
        <f t="shared" si="577"/>
        <v>3.5185139398778875</v>
      </c>
      <c r="AY1059" s="45">
        <f t="shared" si="578"/>
        <v>0.3619762171978852</v>
      </c>
      <c r="AZ1059" s="45">
        <f t="shared" si="579"/>
        <v>2.0876039736878078</v>
      </c>
      <c r="BA1059" s="45">
        <f t="shared" si="580"/>
        <v>0.13076828026902379</v>
      </c>
      <c r="BB1059" s="45">
        <f t="shared" si="581"/>
        <v>-0.96558519055078351</v>
      </c>
      <c r="BC1059" s="45" t="e">
        <f t="shared" si="582"/>
        <v>#VALUE!</v>
      </c>
      <c r="BD1059" s="45" t="e">
        <f t="shared" si="583"/>
        <v>#VALUE!</v>
      </c>
      <c r="BE1059" s="45" t="e">
        <f t="shared" si="584"/>
        <v>#VALUE!</v>
      </c>
      <c r="BF1059" s="45" t="e">
        <f t="shared" si="585"/>
        <v>#VALUE!</v>
      </c>
      <c r="BG1059" s="45" t="e">
        <f t="shared" si="586"/>
        <v>#VALUE!</v>
      </c>
      <c r="BH1059" s="45" t="e">
        <f t="shared" si="587"/>
        <v>#NUM!</v>
      </c>
      <c r="BI1059" s="43" t="e">
        <f t="shared" si="588"/>
        <v>#VALUE!</v>
      </c>
      <c r="CA1059" s="41" t="s">
        <v>22</v>
      </c>
      <c r="CC1059" s="2" t="s">
        <v>22</v>
      </c>
      <c r="CD1059" s="2"/>
      <c r="CE1059" s="41" t="s">
        <v>22</v>
      </c>
      <c r="CF1059" s="41" t="s">
        <v>22</v>
      </c>
      <c r="CG1059" s="41" t="e">
        <f t="shared" si="589"/>
        <v>#VALUE!</v>
      </c>
      <c r="CH1059" s="41" t="e">
        <f t="shared" si="590"/>
        <v>#VALUE!</v>
      </c>
      <c r="CI1059" s="41" t="str">
        <f t="shared" si="591"/>
        <v>Not Reported/ Can not calculate</v>
      </c>
      <c r="CJ1059" s="41" t="e">
        <f t="shared" si="592"/>
        <v>#VALUE!</v>
      </c>
      <c r="CK1059" s="2"/>
      <c r="CL1059" s="9" t="s">
        <v>1269</v>
      </c>
      <c r="CM1059" s="18" t="s">
        <v>1284</v>
      </c>
      <c r="CN1059" s="54" t="s">
        <v>1284</v>
      </c>
      <c r="CO1059" s="18" t="s">
        <v>1284</v>
      </c>
    </row>
    <row r="1060" spans="1:93" s="9" customFormat="1" x14ac:dyDescent="0.25">
      <c r="A1060" s="9" t="s">
        <v>266</v>
      </c>
      <c r="B1060" s="50">
        <v>6.5517241379310295E-2</v>
      </c>
      <c r="C1060" s="50">
        <v>0.19443155452436101</v>
      </c>
      <c r="D1060" s="50">
        <f t="shared" si="594"/>
        <v>0.33696815076948533</v>
      </c>
      <c r="E1060" s="50" t="s">
        <v>22</v>
      </c>
      <c r="F1060" s="9" t="s">
        <v>22</v>
      </c>
      <c r="G1060" s="9" t="s">
        <v>22</v>
      </c>
      <c r="H1060" s="9" t="s">
        <v>22</v>
      </c>
      <c r="I1060" s="9" t="s">
        <v>22</v>
      </c>
      <c r="J1060" s="50">
        <v>25.374677002583901</v>
      </c>
      <c r="K1060" s="9">
        <v>532</v>
      </c>
      <c r="L1060" s="50">
        <f t="shared" si="595"/>
        <v>2.0325772106881588</v>
      </c>
      <c r="M1060" s="9" t="s">
        <v>23</v>
      </c>
      <c r="N1060" s="50">
        <v>28.250137741046899</v>
      </c>
      <c r="O1060" s="50">
        <f t="shared" ref="O1060:O1099" si="598">0.001*(N1060*10^6)/(C1060*100^3)</f>
        <v>0.14529605449154262</v>
      </c>
      <c r="P1060" s="50">
        <v>2.2845575477154298</v>
      </c>
      <c r="Q1060" s="50"/>
      <c r="R1060" s="50">
        <f t="shared" si="596"/>
        <v>1.8508710933789334</v>
      </c>
      <c r="S1060" s="50">
        <f t="shared" si="597"/>
        <v>4.896014279611749E-2</v>
      </c>
      <c r="T1060" s="50" t="s">
        <v>22</v>
      </c>
      <c r="U1060" s="50" t="s">
        <v>22</v>
      </c>
      <c r="V1060" s="9">
        <v>20201128</v>
      </c>
      <c r="W1060" s="9" t="s">
        <v>1165</v>
      </c>
      <c r="X1060" s="21">
        <v>2019</v>
      </c>
      <c r="Y1060" s="9" t="s">
        <v>143</v>
      </c>
      <c r="Z1060" s="9" t="s">
        <v>32</v>
      </c>
      <c r="AB1060" s="50"/>
      <c r="AC1060" s="9" t="s">
        <v>514</v>
      </c>
      <c r="AD1060" s="50" t="s">
        <v>22</v>
      </c>
      <c r="AE1060" s="50" t="s">
        <v>22</v>
      </c>
      <c r="AF1060" s="50" t="s">
        <v>22</v>
      </c>
      <c r="AG1060" s="50" t="s">
        <v>22</v>
      </c>
      <c r="AH1060" s="50" t="s">
        <v>22</v>
      </c>
      <c r="AI1060" s="50" t="s">
        <v>22</v>
      </c>
      <c r="AJ1060" s="50" t="s">
        <v>22</v>
      </c>
      <c r="AK1060" s="50" t="s">
        <v>22</v>
      </c>
      <c r="AL1060" s="50" t="s">
        <v>22</v>
      </c>
      <c r="AM1060" s="43" t="e">
        <f t="shared" si="571"/>
        <v>#VALUE!</v>
      </c>
      <c r="AN1060" s="43" t="e">
        <f t="shared" si="572"/>
        <v>#VALUE!</v>
      </c>
      <c r="AO1060" s="57" t="s">
        <v>1169</v>
      </c>
      <c r="AT1060" s="2">
        <f t="shared" si="573"/>
        <v>40</v>
      </c>
      <c r="AU1060" s="45">
        <f t="shared" si="574"/>
        <v>-1.1836443969461274</v>
      </c>
      <c r="AV1060" s="45">
        <f t="shared" si="575"/>
        <v>-0.71123325153045724</v>
      </c>
      <c r="AW1060" s="45">
        <f t="shared" si="576"/>
        <v>-0.47241114541567031</v>
      </c>
      <c r="AX1060" s="45">
        <f t="shared" si="577"/>
        <v>1.4510205696786702</v>
      </c>
      <c r="AY1060" s="45">
        <f t="shared" si="578"/>
        <v>-0.83774617879087254</v>
      </c>
      <c r="AZ1060" s="45">
        <f t="shared" si="579"/>
        <v>0.35880210235253529</v>
      </c>
      <c r="BA1060" s="45">
        <f t="shared" si="580"/>
        <v>1.404400522768037</v>
      </c>
      <c r="BB1060" s="45">
        <f t="shared" si="581"/>
        <v>0.30804705194822957</v>
      </c>
      <c r="BC1060" s="45" t="e">
        <f t="shared" si="582"/>
        <v>#VALUE!</v>
      </c>
      <c r="BD1060" s="45" t="e">
        <f t="shared" si="583"/>
        <v>#VALUE!</v>
      </c>
      <c r="BE1060" s="45" t="e">
        <f t="shared" si="584"/>
        <v>#VALUE!</v>
      </c>
      <c r="BF1060" s="45" t="e">
        <f t="shared" si="585"/>
        <v>#VALUE!</v>
      </c>
      <c r="BG1060" s="45" t="e">
        <f t="shared" si="586"/>
        <v>#VALUE!</v>
      </c>
      <c r="BH1060" s="45" t="e">
        <f t="shared" si="587"/>
        <v>#NUM!</v>
      </c>
      <c r="BI1060" s="43" t="e">
        <f t="shared" si="588"/>
        <v>#VALUE!</v>
      </c>
      <c r="BL1060" s="20"/>
      <c r="BM1060" s="50"/>
      <c r="BN1060" s="50"/>
      <c r="BO1060" s="50"/>
      <c r="BP1060" s="50"/>
      <c r="BQ1060" s="50"/>
      <c r="BR1060" s="50"/>
      <c r="BU1060" s="50"/>
      <c r="BV1060" s="50"/>
      <c r="BW1060" s="50"/>
      <c r="BX1060" s="50"/>
      <c r="BY1060" s="50"/>
      <c r="BZ1060" s="50"/>
      <c r="CA1060" s="50" t="s">
        <v>22</v>
      </c>
      <c r="CE1060" s="50"/>
      <c r="CF1060" s="50"/>
      <c r="CG1060" s="50"/>
      <c r="CH1060" s="50"/>
      <c r="CI1060" s="50" t="str">
        <f t="shared" ref="CI1060:CI1099" si="599">IF(ISNUMBER(CG1060),CG1060,U1060)</f>
        <v>Not Reported/ Can not calculate</v>
      </c>
      <c r="CJ1060" s="50" t="e">
        <f t="shared" ref="CJ1060:CJ1099" si="600">LOG10(CI1060)</f>
        <v>#VALUE!</v>
      </c>
      <c r="CL1060" s="9" t="s">
        <v>1269</v>
      </c>
      <c r="CM1060" s="9" t="s">
        <v>1284</v>
      </c>
      <c r="CN1060" s="55" t="s">
        <v>1284</v>
      </c>
      <c r="CO1060" s="9" t="s">
        <v>1284</v>
      </c>
    </row>
    <row r="1061" spans="1:93" s="9" customFormat="1" x14ac:dyDescent="0.25">
      <c r="A1061" s="9" t="s">
        <v>266</v>
      </c>
      <c r="B1061" s="50">
        <v>0.29172413793103402</v>
      </c>
      <c r="C1061" s="50">
        <v>0.58422273781902501</v>
      </c>
      <c r="D1061" s="50">
        <f t="shared" si="594"/>
        <v>0.49933718605351785</v>
      </c>
      <c r="E1061" s="50" t="s">
        <v>22</v>
      </c>
      <c r="F1061" s="9" t="s">
        <v>22</v>
      </c>
      <c r="G1061" s="9" t="s">
        <v>22</v>
      </c>
      <c r="H1061" s="9" t="s">
        <v>22</v>
      </c>
      <c r="I1061" s="9" t="s">
        <v>22</v>
      </c>
      <c r="J1061" s="50">
        <v>33.643410852713103</v>
      </c>
      <c r="K1061" s="9">
        <v>532</v>
      </c>
      <c r="L1061" s="50">
        <f t="shared" si="595"/>
        <v>2.6949241632545675</v>
      </c>
      <c r="M1061" s="9" t="s">
        <v>23</v>
      </c>
      <c r="N1061" s="50">
        <v>141.38953168044</v>
      </c>
      <c r="O1061" s="50">
        <f t="shared" si="598"/>
        <v>0.24201305859519337</v>
      </c>
      <c r="P1061" s="50">
        <v>10.994794679005199</v>
      </c>
      <c r="Q1061" s="50"/>
      <c r="R1061" s="50">
        <f t="shared" si="596"/>
        <v>41.246739241948987</v>
      </c>
      <c r="S1061" s="50">
        <f t="shared" si="597"/>
        <v>0.12084611966712899</v>
      </c>
      <c r="T1061" s="50" t="s">
        <v>22</v>
      </c>
      <c r="U1061" s="50" t="s">
        <v>22</v>
      </c>
      <c r="V1061" s="9">
        <v>20201128</v>
      </c>
      <c r="W1061" s="9" t="s">
        <v>1165</v>
      </c>
      <c r="X1061" s="21">
        <v>2019</v>
      </c>
      <c r="Y1061" s="9" t="s">
        <v>143</v>
      </c>
      <c r="Z1061" s="9" t="s">
        <v>32</v>
      </c>
      <c r="AB1061" s="50"/>
      <c r="AC1061" s="9" t="s">
        <v>514</v>
      </c>
      <c r="AD1061" s="50" t="s">
        <v>22</v>
      </c>
      <c r="AE1061" s="50" t="s">
        <v>22</v>
      </c>
      <c r="AF1061" s="50" t="s">
        <v>22</v>
      </c>
      <c r="AG1061" s="50" t="s">
        <v>22</v>
      </c>
      <c r="AH1061" s="50" t="s">
        <v>22</v>
      </c>
      <c r="AI1061" s="50" t="s">
        <v>22</v>
      </c>
      <c r="AJ1061" s="50" t="s">
        <v>22</v>
      </c>
      <c r="AK1061" s="50" t="s">
        <v>22</v>
      </c>
      <c r="AL1061" s="50" t="s">
        <v>22</v>
      </c>
      <c r="AM1061" s="43" t="e">
        <f t="shared" si="571"/>
        <v>#VALUE!</v>
      </c>
      <c r="AN1061" s="43" t="e">
        <f t="shared" si="572"/>
        <v>#VALUE!</v>
      </c>
      <c r="AO1061" s="57" t="s">
        <v>1169</v>
      </c>
      <c r="AT1061" s="2">
        <f t="shared" si="573"/>
        <v>40</v>
      </c>
      <c r="AU1061" s="45">
        <f t="shared" si="574"/>
        <v>-0.53502763485993321</v>
      </c>
      <c r="AV1061" s="45">
        <f t="shared" si="575"/>
        <v>-0.23342154438888818</v>
      </c>
      <c r="AW1061" s="45">
        <f t="shared" si="576"/>
        <v>-0.30160609047104497</v>
      </c>
      <c r="AX1061" s="45">
        <f t="shared" si="577"/>
        <v>2.1504172559833825</v>
      </c>
      <c r="AY1061" s="45">
        <f t="shared" si="578"/>
        <v>-0.61616119962772931</v>
      </c>
      <c r="AZ1061" s="45">
        <f t="shared" si="579"/>
        <v>1.0411871235915204</v>
      </c>
      <c r="BA1061" s="45">
        <f t="shared" si="580"/>
        <v>1.5269000192132607</v>
      </c>
      <c r="BB1061" s="45">
        <f t="shared" si="581"/>
        <v>0.43054654839345347</v>
      </c>
      <c r="BC1061" s="45" t="e">
        <f t="shared" si="582"/>
        <v>#VALUE!</v>
      </c>
      <c r="BD1061" s="45" t="e">
        <f t="shared" si="583"/>
        <v>#VALUE!</v>
      </c>
      <c r="BE1061" s="45" t="e">
        <f t="shared" si="584"/>
        <v>#VALUE!</v>
      </c>
      <c r="BF1061" s="45" t="e">
        <f t="shared" si="585"/>
        <v>#VALUE!</v>
      </c>
      <c r="BG1061" s="45" t="e">
        <f t="shared" si="586"/>
        <v>#VALUE!</v>
      </c>
      <c r="BH1061" s="45" t="e">
        <f t="shared" si="587"/>
        <v>#NUM!</v>
      </c>
      <c r="BI1061" s="43" t="e">
        <f t="shared" si="588"/>
        <v>#VALUE!</v>
      </c>
      <c r="BL1061" s="20"/>
      <c r="BM1061" s="50"/>
      <c r="BN1061" s="50"/>
      <c r="BO1061" s="50"/>
      <c r="BP1061" s="50"/>
      <c r="BQ1061" s="50"/>
      <c r="BR1061" s="50"/>
      <c r="BU1061" s="50"/>
      <c r="BV1061" s="50"/>
      <c r="BW1061" s="50"/>
      <c r="BX1061" s="50"/>
      <c r="BY1061" s="50"/>
      <c r="BZ1061" s="50"/>
      <c r="CA1061" s="50" t="s">
        <v>22</v>
      </c>
      <c r="CE1061" s="50"/>
      <c r="CF1061" s="50"/>
      <c r="CG1061" s="50"/>
      <c r="CH1061" s="50"/>
      <c r="CI1061" s="50" t="str">
        <f t="shared" si="599"/>
        <v>Not Reported/ Can not calculate</v>
      </c>
      <c r="CJ1061" s="50" t="e">
        <f t="shared" si="600"/>
        <v>#VALUE!</v>
      </c>
      <c r="CL1061" s="9" t="s">
        <v>1269</v>
      </c>
      <c r="CM1061" s="9" t="s">
        <v>1284</v>
      </c>
      <c r="CN1061" s="55" t="s">
        <v>1284</v>
      </c>
      <c r="CO1061" s="9" t="s">
        <v>1284</v>
      </c>
    </row>
    <row r="1062" spans="1:93" s="9" customFormat="1" x14ac:dyDescent="0.25">
      <c r="A1062" s="9" t="s">
        <v>266</v>
      </c>
      <c r="B1062" s="50">
        <v>0.366206896551724</v>
      </c>
      <c r="C1062" s="50">
        <v>0.56566125290023106</v>
      </c>
      <c r="D1062" s="50">
        <f t="shared" si="594"/>
        <v>0.64739611326412339</v>
      </c>
      <c r="E1062" s="50" t="s">
        <v>22</v>
      </c>
      <c r="F1062" s="9" t="s">
        <v>22</v>
      </c>
      <c r="G1062" s="9" t="s">
        <v>22</v>
      </c>
      <c r="H1062" s="9" t="s">
        <v>22</v>
      </c>
      <c r="I1062" s="9" t="s">
        <v>22</v>
      </c>
      <c r="J1062" s="50">
        <v>35.813953488372</v>
      </c>
      <c r="K1062" s="9">
        <v>532</v>
      </c>
      <c r="L1062" s="50">
        <f t="shared" si="595"/>
        <v>2.8687902383032484</v>
      </c>
      <c r="M1062" s="9" t="s">
        <v>23</v>
      </c>
      <c r="N1062" s="50">
        <v>170.290909090909</v>
      </c>
      <c r="O1062" s="50">
        <f t="shared" si="598"/>
        <v>0.30104750540681668</v>
      </c>
      <c r="P1062" s="50">
        <v>13.959899749373401</v>
      </c>
      <c r="Q1062" s="50"/>
      <c r="R1062" s="50">
        <f t="shared" si="596"/>
        <v>62.361705329153551</v>
      </c>
      <c r="S1062" s="50">
        <f t="shared" si="597"/>
        <v>0.19489698490823329</v>
      </c>
      <c r="T1062" s="50" t="s">
        <v>22</v>
      </c>
      <c r="U1062" s="50" t="s">
        <v>22</v>
      </c>
      <c r="V1062" s="9">
        <v>20201128</v>
      </c>
      <c r="W1062" s="9" t="s">
        <v>1165</v>
      </c>
      <c r="X1062" s="21">
        <v>2019</v>
      </c>
      <c r="Y1062" s="9" t="s">
        <v>143</v>
      </c>
      <c r="Z1062" s="9" t="s">
        <v>32</v>
      </c>
      <c r="AB1062" s="50"/>
      <c r="AC1062" s="9" t="s">
        <v>514</v>
      </c>
      <c r="AD1062" s="50" t="s">
        <v>22</v>
      </c>
      <c r="AE1062" s="50" t="s">
        <v>22</v>
      </c>
      <c r="AF1062" s="50" t="s">
        <v>22</v>
      </c>
      <c r="AG1062" s="50" t="s">
        <v>22</v>
      </c>
      <c r="AH1062" s="50" t="s">
        <v>22</v>
      </c>
      <c r="AI1062" s="50" t="s">
        <v>22</v>
      </c>
      <c r="AJ1062" s="50" t="s">
        <v>22</v>
      </c>
      <c r="AK1062" s="50" t="s">
        <v>22</v>
      </c>
      <c r="AL1062" s="50" t="s">
        <v>22</v>
      </c>
      <c r="AM1062" s="43" t="e">
        <f t="shared" si="571"/>
        <v>#VALUE!</v>
      </c>
      <c r="AN1062" s="43" t="e">
        <f t="shared" si="572"/>
        <v>#VALUE!</v>
      </c>
      <c r="AO1062" s="57" t="s">
        <v>1169</v>
      </c>
      <c r="AT1062" s="2">
        <f t="shared" si="573"/>
        <v>40</v>
      </c>
      <c r="AU1062" s="45">
        <f t="shared" si="574"/>
        <v>-0.436273481153506</v>
      </c>
      <c r="AV1062" s="45">
        <f t="shared" si="575"/>
        <v>-0.24744356887836921</v>
      </c>
      <c r="AW1062" s="45">
        <f t="shared" si="576"/>
        <v>-0.18882991227513685</v>
      </c>
      <c r="AX1062" s="45">
        <f t="shared" si="577"/>
        <v>2.2311914639518169</v>
      </c>
      <c r="AY1062" s="45">
        <f t="shared" si="578"/>
        <v>-0.52136496716981373</v>
      </c>
      <c r="AZ1062" s="45">
        <f t="shared" si="579"/>
        <v>1.1448822994869796</v>
      </c>
      <c r="BA1062" s="45">
        <f t="shared" si="580"/>
        <v>1.5540522652568753</v>
      </c>
      <c r="BB1062" s="45">
        <f t="shared" si="581"/>
        <v>0.45769879443706812</v>
      </c>
      <c r="BC1062" s="45" t="e">
        <f t="shared" si="582"/>
        <v>#VALUE!</v>
      </c>
      <c r="BD1062" s="45" t="e">
        <f t="shared" si="583"/>
        <v>#VALUE!</v>
      </c>
      <c r="BE1062" s="45" t="e">
        <f t="shared" si="584"/>
        <v>#VALUE!</v>
      </c>
      <c r="BF1062" s="45" t="e">
        <f t="shared" si="585"/>
        <v>#VALUE!</v>
      </c>
      <c r="BG1062" s="45" t="e">
        <f t="shared" si="586"/>
        <v>#VALUE!</v>
      </c>
      <c r="BH1062" s="45" t="e">
        <f t="shared" si="587"/>
        <v>#NUM!</v>
      </c>
      <c r="BI1062" s="43" t="e">
        <f t="shared" si="588"/>
        <v>#VALUE!</v>
      </c>
      <c r="BL1062" s="20"/>
      <c r="BM1062" s="50"/>
      <c r="BN1062" s="50"/>
      <c r="BO1062" s="50"/>
      <c r="BP1062" s="50"/>
      <c r="BQ1062" s="50"/>
      <c r="BR1062" s="50"/>
      <c r="BU1062" s="50"/>
      <c r="BV1062" s="50"/>
      <c r="BW1062" s="50"/>
      <c r="BX1062" s="50"/>
      <c r="BY1062" s="50"/>
      <c r="BZ1062" s="50"/>
      <c r="CA1062" s="50" t="s">
        <v>22</v>
      </c>
      <c r="CE1062" s="50"/>
      <c r="CF1062" s="50"/>
      <c r="CG1062" s="50"/>
      <c r="CH1062" s="50"/>
      <c r="CI1062" s="50" t="str">
        <f t="shared" si="599"/>
        <v>Not Reported/ Can not calculate</v>
      </c>
      <c r="CJ1062" s="50" t="e">
        <f t="shared" si="600"/>
        <v>#VALUE!</v>
      </c>
      <c r="CL1062" s="9" t="s">
        <v>1269</v>
      </c>
      <c r="CM1062" s="9" t="s">
        <v>1284</v>
      </c>
      <c r="CN1062" s="55" t="s">
        <v>1284</v>
      </c>
      <c r="CO1062" s="9" t="s">
        <v>1284</v>
      </c>
    </row>
    <row r="1063" spans="1:93" s="9" customFormat="1" x14ac:dyDescent="0.25">
      <c r="A1063" s="9" t="s">
        <v>266</v>
      </c>
      <c r="B1063" s="50">
        <v>0.12965517241379299</v>
      </c>
      <c r="C1063" s="50">
        <v>0.27610208816705301</v>
      </c>
      <c r="D1063" s="50">
        <f t="shared" si="594"/>
        <v>0.46959142277600718</v>
      </c>
      <c r="E1063" s="50" t="s">
        <v>22</v>
      </c>
      <c r="F1063" s="9" t="s">
        <v>22</v>
      </c>
      <c r="G1063" s="9" t="s">
        <v>22</v>
      </c>
      <c r="H1063" s="9" t="s">
        <v>22</v>
      </c>
      <c r="I1063" s="9" t="s">
        <v>22</v>
      </c>
      <c r="J1063" s="50">
        <v>35.917312661498698</v>
      </c>
      <c r="K1063" s="9">
        <v>532</v>
      </c>
      <c r="L1063" s="50">
        <f t="shared" si="595"/>
        <v>2.877069575210335</v>
      </c>
      <c r="M1063" s="9" t="s">
        <v>23</v>
      </c>
      <c r="N1063" s="50">
        <v>65.331129476584096</v>
      </c>
      <c r="O1063" s="50">
        <f t="shared" si="598"/>
        <v>0.23661946894460323</v>
      </c>
      <c r="P1063" s="50">
        <v>4.1795785009081303</v>
      </c>
      <c r="Q1063" s="50"/>
      <c r="R1063" s="50">
        <f t="shared" si="596"/>
        <v>8.4705188562743441</v>
      </c>
      <c r="S1063" s="50">
        <f t="shared" si="597"/>
        <v>0.11111447307819948</v>
      </c>
      <c r="T1063" s="50" t="s">
        <v>22</v>
      </c>
      <c r="U1063" s="50" t="s">
        <v>22</v>
      </c>
      <c r="V1063" s="9">
        <v>20201128</v>
      </c>
      <c r="W1063" s="9" t="s">
        <v>1165</v>
      </c>
      <c r="X1063" s="21">
        <v>2019</v>
      </c>
      <c r="Y1063" s="9" t="s">
        <v>143</v>
      </c>
      <c r="Z1063" s="9" t="s">
        <v>32</v>
      </c>
      <c r="AB1063" s="50"/>
      <c r="AC1063" s="9" t="s">
        <v>514</v>
      </c>
      <c r="AD1063" s="50" t="s">
        <v>22</v>
      </c>
      <c r="AE1063" s="50" t="s">
        <v>22</v>
      </c>
      <c r="AF1063" s="50" t="s">
        <v>22</v>
      </c>
      <c r="AG1063" s="50" t="s">
        <v>22</v>
      </c>
      <c r="AH1063" s="50" t="s">
        <v>22</v>
      </c>
      <c r="AI1063" s="50" t="s">
        <v>22</v>
      </c>
      <c r="AJ1063" s="50" t="s">
        <v>22</v>
      </c>
      <c r="AK1063" s="50" t="s">
        <v>22</v>
      </c>
      <c r="AL1063" s="50" t="s">
        <v>22</v>
      </c>
      <c r="AM1063" s="43" t="e">
        <f t="shared" si="571"/>
        <v>#VALUE!</v>
      </c>
      <c r="AN1063" s="43" t="e">
        <f t="shared" si="572"/>
        <v>#VALUE!</v>
      </c>
      <c r="AO1063" s="57" t="s">
        <v>1169</v>
      </c>
      <c r="AT1063" s="2">
        <f t="shared" si="573"/>
        <v>40</v>
      </c>
      <c r="AU1063" s="45">
        <f t="shared" si="574"/>
        <v>-0.88721015297129546</v>
      </c>
      <c r="AV1063" s="45">
        <f t="shared" si="575"/>
        <v>-0.55893030876820138</v>
      </c>
      <c r="AW1063" s="45">
        <f t="shared" si="576"/>
        <v>-0.32827984420309397</v>
      </c>
      <c r="AX1063" s="45">
        <f t="shared" si="577"/>
        <v>1.8151201665505605</v>
      </c>
      <c r="AY1063" s="45">
        <f t="shared" si="578"/>
        <v>-0.62594952468123799</v>
      </c>
      <c r="AZ1063" s="45">
        <f t="shared" si="579"/>
        <v>0.62113248656936504</v>
      </c>
      <c r="BA1063" s="45">
        <f t="shared" si="580"/>
        <v>1.5553038352351836</v>
      </c>
      <c r="BB1063" s="45">
        <f t="shared" si="581"/>
        <v>0.45895036441537629</v>
      </c>
      <c r="BC1063" s="45" t="e">
        <f t="shared" si="582"/>
        <v>#VALUE!</v>
      </c>
      <c r="BD1063" s="45" t="e">
        <f t="shared" si="583"/>
        <v>#VALUE!</v>
      </c>
      <c r="BE1063" s="45" t="e">
        <f t="shared" si="584"/>
        <v>#VALUE!</v>
      </c>
      <c r="BF1063" s="45" t="e">
        <f t="shared" si="585"/>
        <v>#VALUE!</v>
      </c>
      <c r="BG1063" s="45" t="e">
        <f t="shared" si="586"/>
        <v>#VALUE!</v>
      </c>
      <c r="BH1063" s="45" t="e">
        <f t="shared" si="587"/>
        <v>#NUM!</v>
      </c>
      <c r="BI1063" s="43" t="e">
        <f t="shared" si="588"/>
        <v>#VALUE!</v>
      </c>
      <c r="BL1063" s="20"/>
      <c r="BM1063" s="50"/>
      <c r="BN1063" s="50"/>
      <c r="BO1063" s="50"/>
      <c r="BP1063" s="50"/>
      <c r="BQ1063" s="50"/>
      <c r="BR1063" s="50"/>
      <c r="BU1063" s="50"/>
      <c r="BV1063" s="50"/>
      <c r="BW1063" s="50"/>
      <c r="BX1063" s="50"/>
      <c r="BY1063" s="50"/>
      <c r="BZ1063" s="50"/>
      <c r="CA1063" s="50" t="s">
        <v>22</v>
      </c>
      <c r="CE1063" s="50"/>
      <c r="CF1063" s="50"/>
      <c r="CG1063" s="50"/>
      <c r="CH1063" s="50"/>
      <c r="CI1063" s="50" t="str">
        <f t="shared" si="599"/>
        <v>Not Reported/ Can not calculate</v>
      </c>
      <c r="CJ1063" s="50" t="e">
        <f t="shared" si="600"/>
        <v>#VALUE!</v>
      </c>
      <c r="CL1063" s="9" t="s">
        <v>1269</v>
      </c>
      <c r="CM1063" s="9" t="s">
        <v>1284</v>
      </c>
      <c r="CN1063" s="55" t="s">
        <v>1284</v>
      </c>
      <c r="CO1063" s="9" t="s">
        <v>1284</v>
      </c>
    </row>
    <row r="1064" spans="1:93" s="9" customFormat="1" x14ac:dyDescent="0.25">
      <c r="A1064" s="9" t="s">
        <v>266</v>
      </c>
      <c r="B1064" s="50">
        <v>0.24482758620689599</v>
      </c>
      <c r="C1064" s="50">
        <v>0.42645011600928001</v>
      </c>
      <c r="D1064" s="50">
        <f t="shared" si="594"/>
        <v>0.57410603729691168</v>
      </c>
      <c r="E1064" s="50" t="s">
        <v>22</v>
      </c>
      <c r="F1064" s="9" t="s">
        <v>22</v>
      </c>
      <c r="G1064" s="9" t="s">
        <v>22</v>
      </c>
      <c r="H1064" s="9" t="s">
        <v>22</v>
      </c>
      <c r="I1064" s="9" t="s">
        <v>22</v>
      </c>
      <c r="J1064" s="50">
        <v>37.157622739018002</v>
      </c>
      <c r="K1064" s="9">
        <v>532</v>
      </c>
      <c r="L1064" s="50">
        <f t="shared" si="595"/>
        <v>2.9764216180952903</v>
      </c>
      <c r="M1064" s="9" t="s">
        <v>23</v>
      </c>
      <c r="N1064" s="50">
        <v>90.112396694214894</v>
      </c>
      <c r="O1064" s="50">
        <f t="shared" si="598"/>
        <v>0.21130817723181006</v>
      </c>
      <c r="P1064" s="50">
        <v>8.2811279210171094</v>
      </c>
      <c r="Q1064" s="50"/>
      <c r="R1064" s="50">
        <f t="shared" si="596"/>
        <v>22.062000569962905</v>
      </c>
      <c r="S1064" s="50">
        <f t="shared" si="597"/>
        <v>0.12131330027898797</v>
      </c>
      <c r="T1064" s="50" t="s">
        <v>22</v>
      </c>
      <c r="U1064" s="50" t="s">
        <v>22</v>
      </c>
      <c r="V1064" s="9">
        <v>20201128</v>
      </c>
      <c r="W1064" s="9" t="s">
        <v>1165</v>
      </c>
      <c r="X1064" s="21">
        <v>2019</v>
      </c>
      <c r="Y1064" s="9" t="s">
        <v>143</v>
      </c>
      <c r="Z1064" s="9" t="s">
        <v>32</v>
      </c>
      <c r="AB1064" s="50"/>
      <c r="AC1064" s="9" t="s">
        <v>514</v>
      </c>
      <c r="AD1064" s="50" t="s">
        <v>22</v>
      </c>
      <c r="AE1064" s="50" t="s">
        <v>22</v>
      </c>
      <c r="AF1064" s="50" t="s">
        <v>22</v>
      </c>
      <c r="AG1064" s="50" t="s">
        <v>22</v>
      </c>
      <c r="AH1064" s="50" t="s">
        <v>22</v>
      </c>
      <c r="AI1064" s="50" t="s">
        <v>22</v>
      </c>
      <c r="AJ1064" s="50" t="s">
        <v>22</v>
      </c>
      <c r="AK1064" s="50" t="s">
        <v>22</v>
      </c>
      <c r="AL1064" s="50" t="s">
        <v>22</v>
      </c>
      <c r="AM1064" s="43" t="e">
        <f t="shared" si="571"/>
        <v>#VALUE!</v>
      </c>
      <c r="AN1064" s="43" t="e">
        <f t="shared" si="572"/>
        <v>#VALUE!</v>
      </c>
      <c r="AO1064" s="57" t="s">
        <v>1169</v>
      </c>
      <c r="AT1064" s="2">
        <f t="shared" si="573"/>
        <v>40</v>
      </c>
      <c r="AU1064" s="45">
        <f t="shared" si="574"/>
        <v>-0.61113964917988184</v>
      </c>
      <c r="AV1064" s="45">
        <f t="shared" si="575"/>
        <v>-0.37013176311063989</v>
      </c>
      <c r="AW1064" s="45">
        <f t="shared" si="576"/>
        <v>-0.24100788606924187</v>
      </c>
      <c r="AX1064" s="45">
        <f t="shared" si="577"/>
        <v>1.9547845406522111</v>
      </c>
      <c r="AY1064" s="45">
        <f t="shared" si="578"/>
        <v>-0.67508369623714892</v>
      </c>
      <c r="AZ1064" s="45">
        <f t="shared" si="579"/>
        <v>0.91808949336851953</v>
      </c>
      <c r="BA1064" s="45">
        <f t="shared" si="580"/>
        <v>1.5700479210279514</v>
      </c>
      <c r="BB1064" s="45">
        <f t="shared" si="581"/>
        <v>0.4736944502081441</v>
      </c>
      <c r="BC1064" s="45" t="e">
        <f t="shared" si="582"/>
        <v>#VALUE!</v>
      </c>
      <c r="BD1064" s="45" t="e">
        <f t="shared" si="583"/>
        <v>#VALUE!</v>
      </c>
      <c r="BE1064" s="45" t="e">
        <f t="shared" si="584"/>
        <v>#VALUE!</v>
      </c>
      <c r="BF1064" s="45" t="e">
        <f t="shared" si="585"/>
        <v>#VALUE!</v>
      </c>
      <c r="BG1064" s="45" t="e">
        <f t="shared" si="586"/>
        <v>#VALUE!</v>
      </c>
      <c r="BH1064" s="45" t="e">
        <f t="shared" si="587"/>
        <v>#NUM!</v>
      </c>
      <c r="BI1064" s="43" t="e">
        <f t="shared" si="588"/>
        <v>#VALUE!</v>
      </c>
      <c r="BL1064" s="20"/>
      <c r="BM1064" s="50"/>
      <c r="BN1064" s="50"/>
      <c r="BO1064" s="50"/>
      <c r="BP1064" s="50"/>
      <c r="BQ1064" s="50"/>
      <c r="BR1064" s="50"/>
      <c r="BU1064" s="50"/>
      <c r="BV1064" s="50"/>
      <c r="BW1064" s="50"/>
      <c r="BX1064" s="50"/>
      <c r="BY1064" s="50"/>
      <c r="BZ1064" s="50"/>
      <c r="CA1064" s="50" t="s">
        <v>22</v>
      </c>
      <c r="CE1064" s="50"/>
      <c r="CF1064" s="50"/>
      <c r="CG1064" s="50"/>
      <c r="CH1064" s="50"/>
      <c r="CI1064" s="50" t="str">
        <f t="shared" si="599"/>
        <v>Not Reported/ Can not calculate</v>
      </c>
      <c r="CJ1064" s="50" t="e">
        <f t="shared" si="600"/>
        <v>#VALUE!</v>
      </c>
      <c r="CL1064" s="9" t="s">
        <v>1269</v>
      </c>
      <c r="CM1064" s="9" t="s">
        <v>1284</v>
      </c>
      <c r="CN1064" s="55" t="s">
        <v>1284</v>
      </c>
      <c r="CO1064" s="9" t="s">
        <v>1284</v>
      </c>
    </row>
    <row r="1065" spans="1:93" s="9" customFormat="1" x14ac:dyDescent="0.25">
      <c r="A1065" s="9" t="s">
        <v>266</v>
      </c>
      <c r="B1065" s="50">
        <v>0.23517241379310297</v>
      </c>
      <c r="C1065" s="50">
        <v>0.365197215777262</v>
      </c>
      <c r="D1065" s="50">
        <f t="shared" si="594"/>
        <v>0.64396004031021237</v>
      </c>
      <c r="E1065" s="50" t="s">
        <v>22</v>
      </c>
      <c r="F1065" s="9" t="s">
        <v>22</v>
      </c>
      <c r="G1065" s="9" t="s">
        <v>22</v>
      </c>
      <c r="H1065" s="9" t="s">
        <v>22</v>
      </c>
      <c r="I1065" s="9" t="s">
        <v>22</v>
      </c>
      <c r="J1065" s="50">
        <v>37.571059431524503</v>
      </c>
      <c r="K1065" s="9">
        <v>532</v>
      </c>
      <c r="L1065" s="50">
        <f t="shared" si="595"/>
        <v>3.009538965723614</v>
      </c>
      <c r="M1065" s="9" t="s">
        <v>23</v>
      </c>
      <c r="N1065" s="50">
        <v>103.333333333333</v>
      </c>
      <c r="O1065" s="50">
        <f t="shared" si="598"/>
        <v>0.28295213892418392</v>
      </c>
      <c r="P1065" s="50">
        <v>9.0865828538958695</v>
      </c>
      <c r="Q1065" s="50"/>
      <c r="R1065" s="50">
        <f t="shared" si="596"/>
        <v>24.301149425287228</v>
      </c>
      <c r="S1065" s="50">
        <f t="shared" si="597"/>
        <v>0.18220987078747827</v>
      </c>
      <c r="T1065" s="50" t="s">
        <v>22</v>
      </c>
      <c r="U1065" s="50" t="s">
        <v>22</v>
      </c>
      <c r="V1065" s="9">
        <v>20201128</v>
      </c>
      <c r="W1065" s="9" t="s">
        <v>1165</v>
      </c>
      <c r="X1065" s="21">
        <v>2019</v>
      </c>
      <c r="Y1065" s="9" t="s">
        <v>143</v>
      </c>
      <c r="Z1065" s="9" t="s">
        <v>32</v>
      </c>
      <c r="AB1065" s="50"/>
      <c r="AC1065" s="9" t="s">
        <v>514</v>
      </c>
      <c r="AD1065" s="50" t="s">
        <v>22</v>
      </c>
      <c r="AE1065" s="50" t="s">
        <v>22</v>
      </c>
      <c r="AF1065" s="50" t="s">
        <v>22</v>
      </c>
      <c r="AG1065" s="50" t="s">
        <v>22</v>
      </c>
      <c r="AH1065" s="50" t="s">
        <v>22</v>
      </c>
      <c r="AI1065" s="50" t="s">
        <v>22</v>
      </c>
      <c r="AJ1065" s="50" t="s">
        <v>22</v>
      </c>
      <c r="AK1065" s="50" t="s">
        <v>22</v>
      </c>
      <c r="AL1065" s="50" t="s">
        <v>22</v>
      </c>
      <c r="AM1065" s="43" t="e">
        <f t="shared" si="571"/>
        <v>#VALUE!</v>
      </c>
      <c r="AN1065" s="43" t="e">
        <f t="shared" si="572"/>
        <v>#VALUE!</v>
      </c>
      <c r="AO1065" s="57" t="s">
        <v>1169</v>
      </c>
      <c r="AT1065" s="2">
        <f t="shared" si="573"/>
        <v>40</v>
      </c>
      <c r="AU1065" s="45">
        <f t="shared" si="574"/>
        <v>-0.62861362324247805</v>
      </c>
      <c r="AV1065" s="45">
        <f t="shared" si="575"/>
        <v>-0.43747254213768605</v>
      </c>
      <c r="AW1065" s="45">
        <f t="shared" si="576"/>
        <v>-0.191141081104792</v>
      </c>
      <c r="AX1065" s="45">
        <f t="shared" si="577"/>
        <v>2.0142404391146087</v>
      </c>
      <c r="AY1065" s="45">
        <f t="shared" si="578"/>
        <v>-0.54828701874770502</v>
      </c>
      <c r="AZ1065" s="45">
        <f t="shared" si="579"/>
        <v>0.95840059095451613</v>
      </c>
      <c r="BA1065" s="45">
        <f t="shared" si="580"/>
        <v>1.5748534415041071</v>
      </c>
      <c r="BB1065" s="45">
        <f t="shared" si="581"/>
        <v>0.47849997068429984</v>
      </c>
      <c r="BC1065" s="45" t="e">
        <f t="shared" si="582"/>
        <v>#VALUE!</v>
      </c>
      <c r="BD1065" s="45" t="e">
        <f t="shared" si="583"/>
        <v>#VALUE!</v>
      </c>
      <c r="BE1065" s="45" t="e">
        <f t="shared" si="584"/>
        <v>#VALUE!</v>
      </c>
      <c r="BF1065" s="45" t="e">
        <f t="shared" si="585"/>
        <v>#VALUE!</v>
      </c>
      <c r="BG1065" s="45" t="e">
        <f t="shared" si="586"/>
        <v>#VALUE!</v>
      </c>
      <c r="BH1065" s="45" t="e">
        <f t="shared" si="587"/>
        <v>#NUM!</v>
      </c>
      <c r="BI1065" s="43" t="e">
        <f t="shared" si="588"/>
        <v>#VALUE!</v>
      </c>
      <c r="BL1065" s="20"/>
      <c r="BM1065" s="50"/>
      <c r="BN1065" s="50"/>
      <c r="BO1065" s="50"/>
      <c r="BP1065" s="50"/>
      <c r="BQ1065" s="50"/>
      <c r="BR1065" s="50"/>
      <c r="BU1065" s="50"/>
      <c r="BV1065" s="50"/>
      <c r="BW1065" s="50"/>
      <c r="BX1065" s="50"/>
      <c r="BY1065" s="50"/>
      <c r="BZ1065" s="50"/>
      <c r="CA1065" s="50" t="s">
        <v>22</v>
      </c>
      <c r="CE1065" s="50"/>
      <c r="CF1065" s="50"/>
      <c r="CG1065" s="50"/>
      <c r="CH1065" s="50"/>
      <c r="CI1065" s="50" t="str">
        <f t="shared" si="599"/>
        <v>Not Reported/ Can not calculate</v>
      </c>
      <c r="CJ1065" s="50" t="e">
        <f t="shared" si="600"/>
        <v>#VALUE!</v>
      </c>
      <c r="CL1065" s="9" t="s">
        <v>1269</v>
      </c>
      <c r="CM1065" s="9" t="s">
        <v>1284</v>
      </c>
      <c r="CN1065" s="55" t="s">
        <v>1284</v>
      </c>
      <c r="CO1065" s="9" t="s">
        <v>1284</v>
      </c>
    </row>
    <row r="1066" spans="1:93" s="9" customFormat="1" x14ac:dyDescent="0.25">
      <c r="A1066" s="9" t="s">
        <v>266</v>
      </c>
      <c r="B1066" s="50">
        <v>0.23103448275862001</v>
      </c>
      <c r="C1066" s="50">
        <v>0.420881670533642</v>
      </c>
      <c r="D1066" s="50">
        <f t="shared" si="594"/>
        <v>0.54892977987301761</v>
      </c>
      <c r="E1066" s="50" t="s">
        <v>22</v>
      </c>
      <c r="F1066" s="9" t="s">
        <v>22</v>
      </c>
      <c r="G1066" s="9" t="s">
        <v>22</v>
      </c>
      <c r="H1066" s="9" t="s">
        <v>22</v>
      </c>
      <c r="I1066" s="9" t="s">
        <v>22</v>
      </c>
      <c r="J1066" s="50">
        <v>38.604651162790603</v>
      </c>
      <c r="K1066" s="9">
        <v>532</v>
      </c>
      <c r="L1066" s="50">
        <f t="shared" si="595"/>
        <v>3.0923323347944112</v>
      </c>
      <c r="M1066" s="9" t="s">
        <v>23</v>
      </c>
      <c r="N1066" s="50">
        <v>106.62589531680401</v>
      </c>
      <c r="O1066" s="50">
        <f t="shared" si="598"/>
        <v>0.25333936538887875</v>
      </c>
      <c r="P1066" s="50">
        <v>10.1844692703418</v>
      </c>
      <c r="Q1066" s="50"/>
      <c r="R1066" s="50">
        <f t="shared" si="596"/>
        <v>24.634258573192579</v>
      </c>
      <c r="S1066" s="50">
        <f t="shared" si="597"/>
        <v>0.13906552207608719</v>
      </c>
      <c r="T1066" s="50" t="s">
        <v>22</v>
      </c>
      <c r="U1066" s="50" t="s">
        <v>22</v>
      </c>
      <c r="V1066" s="9">
        <v>20201128</v>
      </c>
      <c r="W1066" s="9" t="s">
        <v>1165</v>
      </c>
      <c r="X1066" s="21">
        <v>2019</v>
      </c>
      <c r="Y1066" s="9" t="s">
        <v>143</v>
      </c>
      <c r="Z1066" s="9" t="s">
        <v>32</v>
      </c>
      <c r="AB1066" s="50"/>
      <c r="AC1066" s="9" t="s">
        <v>514</v>
      </c>
      <c r="AD1066" s="50" t="s">
        <v>22</v>
      </c>
      <c r="AE1066" s="50" t="s">
        <v>22</v>
      </c>
      <c r="AF1066" s="50" t="s">
        <v>22</v>
      </c>
      <c r="AG1066" s="50" t="s">
        <v>22</v>
      </c>
      <c r="AH1066" s="50" t="s">
        <v>22</v>
      </c>
      <c r="AI1066" s="50" t="s">
        <v>22</v>
      </c>
      <c r="AJ1066" s="50" t="s">
        <v>22</v>
      </c>
      <c r="AK1066" s="50" t="s">
        <v>22</v>
      </c>
      <c r="AL1066" s="50" t="s">
        <v>22</v>
      </c>
      <c r="AM1066" s="43" t="e">
        <f t="shared" si="571"/>
        <v>#VALUE!</v>
      </c>
      <c r="AN1066" s="43" t="e">
        <f t="shared" si="572"/>
        <v>#VALUE!</v>
      </c>
      <c r="AO1066" s="57" t="s">
        <v>1169</v>
      </c>
      <c r="AT1066" s="2">
        <f t="shared" si="573"/>
        <v>40</v>
      </c>
      <c r="AU1066" s="45">
        <f t="shared" si="574"/>
        <v>-0.63632319519813096</v>
      </c>
      <c r="AV1066" s="45">
        <f t="shared" si="575"/>
        <v>-0.37583998743665586</v>
      </c>
      <c r="AW1066" s="45">
        <f t="shared" si="576"/>
        <v>-0.26048320776147504</v>
      </c>
      <c r="AX1066" s="45">
        <f t="shared" si="577"/>
        <v>2.0278626908767756</v>
      </c>
      <c r="AY1066" s="45">
        <f t="shared" si="578"/>
        <v>-0.59629732168656835</v>
      </c>
      <c r="AZ1066" s="45">
        <f t="shared" si="579"/>
        <v>1.0079384021169862</v>
      </c>
      <c r="BA1066" s="45">
        <f t="shared" si="580"/>
        <v>1.5866396324604675</v>
      </c>
      <c r="BB1066" s="45">
        <f t="shared" si="581"/>
        <v>0.49028616164066025</v>
      </c>
      <c r="BC1066" s="45" t="e">
        <f t="shared" si="582"/>
        <v>#VALUE!</v>
      </c>
      <c r="BD1066" s="45" t="e">
        <f t="shared" si="583"/>
        <v>#VALUE!</v>
      </c>
      <c r="BE1066" s="45" t="e">
        <f t="shared" si="584"/>
        <v>#VALUE!</v>
      </c>
      <c r="BF1066" s="45" t="e">
        <f t="shared" si="585"/>
        <v>#VALUE!</v>
      </c>
      <c r="BG1066" s="45" t="e">
        <f t="shared" si="586"/>
        <v>#VALUE!</v>
      </c>
      <c r="BH1066" s="45" t="e">
        <f t="shared" si="587"/>
        <v>#NUM!</v>
      </c>
      <c r="BI1066" s="43" t="e">
        <f t="shared" si="588"/>
        <v>#VALUE!</v>
      </c>
      <c r="BL1066" s="20"/>
      <c r="BM1066" s="50"/>
      <c r="BN1066" s="50"/>
      <c r="BO1066" s="50"/>
      <c r="BP1066" s="50"/>
      <c r="BQ1066" s="50"/>
      <c r="BR1066" s="50"/>
      <c r="BU1066" s="50"/>
      <c r="BV1066" s="50"/>
      <c r="BW1066" s="50"/>
      <c r="BX1066" s="50"/>
      <c r="BY1066" s="50"/>
      <c r="BZ1066" s="50"/>
      <c r="CA1066" s="50" t="s">
        <v>22</v>
      </c>
      <c r="CE1066" s="50"/>
      <c r="CF1066" s="50"/>
      <c r="CG1066" s="50"/>
      <c r="CH1066" s="50"/>
      <c r="CI1066" s="50" t="str">
        <f t="shared" si="599"/>
        <v>Not Reported/ Can not calculate</v>
      </c>
      <c r="CJ1066" s="50" t="e">
        <f t="shared" si="600"/>
        <v>#VALUE!</v>
      </c>
      <c r="CL1066" s="9" t="s">
        <v>1269</v>
      </c>
      <c r="CM1066" s="9" t="s">
        <v>1284</v>
      </c>
      <c r="CN1066" s="55" t="s">
        <v>1284</v>
      </c>
      <c r="CO1066" s="9" t="s">
        <v>1284</v>
      </c>
    </row>
    <row r="1067" spans="1:93" s="9" customFormat="1" x14ac:dyDescent="0.25">
      <c r="A1067" s="9" t="s">
        <v>266</v>
      </c>
      <c r="B1067" s="50">
        <v>0.18965517241379301</v>
      </c>
      <c r="C1067" s="50">
        <v>0.35220417633410606</v>
      </c>
      <c r="D1067" s="50">
        <f t="shared" si="594"/>
        <v>0.53848075962019071</v>
      </c>
      <c r="E1067" s="50" t="s">
        <v>22</v>
      </c>
      <c r="F1067" s="9" t="s">
        <v>22</v>
      </c>
      <c r="G1067" s="9" t="s">
        <v>22</v>
      </c>
      <c r="H1067" s="9" t="s">
        <v>22</v>
      </c>
      <c r="I1067" s="9" t="s">
        <v>22</v>
      </c>
      <c r="J1067" s="50">
        <v>47.493540051679503</v>
      </c>
      <c r="K1067" s="9">
        <v>532</v>
      </c>
      <c r="L1067" s="50">
        <f t="shared" si="595"/>
        <v>3.8043553088033009</v>
      </c>
      <c r="M1067" s="9" t="s">
        <v>23</v>
      </c>
      <c r="N1067" s="50">
        <v>71.4104683195593</v>
      </c>
      <c r="O1067" s="50">
        <f t="shared" si="598"/>
        <v>0.20275304246199025</v>
      </c>
      <c r="P1067" s="50">
        <v>6.4767181110671297</v>
      </c>
      <c r="Q1067" s="50"/>
      <c r="R1067" s="50">
        <f t="shared" si="596"/>
        <v>13.543364681295722</v>
      </c>
      <c r="S1067" s="50">
        <f t="shared" si="597"/>
        <v>0.10917861232023729</v>
      </c>
      <c r="T1067" s="50" t="s">
        <v>22</v>
      </c>
      <c r="U1067" s="50" t="s">
        <v>22</v>
      </c>
      <c r="V1067" s="9">
        <v>20201128</v>
      </c>
      <c r="W1067" s="9" t="s">
        <v>1165</v>
      </c>
      <c r="X1067" s="21">
        <v>2019</v>
      </c>
      <c r="Y1067" s="9" t="s">
        <v>143</v>
      </c>
      <c r="Z1067" s="9" t="s">
        <v>32</v>
      </c>
      <c r="AB1067" s="50"/>
      <c r="AC1067" s="9" t="s">
        <v>514</v>
      </c>
      <c r="AD1067" s="50" t="s">
        <v>22</v>
      </c>
      <c r="AE1067" s="50" t="s">
        <v>22</v>
      </c>
      <c r="AF1067" s="50" t="s">
        <v>22</v>
      </c>
      <c r="AG1067" s="50" t="s">
        <v>22</v>
      </c>
      <c r="AH1067" s="50" t="s">
        <v>22</v>
      </c>
      <c r="AI1067" s="50" t="s">
        <v>22</v>
      </c>
      <c r="AJ1067" s="50" t="s">
        <v>22</v>
      </c>
      <c r="AK1067" s="50" t="s">
        <v>22</v>
      </c>
      <c r="AL1067" s="50" t="s">
        <v>22</v>
      </c>
      <c r="AM1067" s="43" t="e">
        <f t="shared" si="571"/>
        <v>#VALUE!</v>
      </c>
      <c r="AN1067" s="43" t="e">
        <f t="shared" si="572"/>
        <v>#VALUE!</v>
      </c>
      <c r="AO1067" s="57" t="s">
        <v>1169</v>
      </c>
      <c r="AT1067" s="2">
        <f t="shared" si="573"/>
        <v>40</v>
      </c>
      <c r="AU1067" s="45">
        <f t="shared" si="574"/>
        <v>-0.72203530840471242</v>
      </c>
      <c r="AV1067" s="45">
        <f t="shared" si="575"/>
        <v>-0.45320549860127085</v>
      </c>
      <c r="AW1067" s="45">
        <f t="shared" si="576"/>
        <v>-0.26882980980344157</v>
      </c>
      <c r="AX1067" s="45">
        <f t="shared" si="577"/>
        <v>1.8537618812463617</v>
      </c>
      <c r="AY1067" s="45">
        <f t="shared" si="578"/>
        <v>-0.69303262015236744</v>
      </c>
      <c r="AZ1067" s="45">
        <f t="shared" si="579"/>
        <v>0.81135499548339052</v>
      </c>
      <c r="BA1067" s="45">
        <f t="shared" si="580"/>
        <v>1.6766345420311803</v>
      </c>
      <c r="BB1067" s="45">
        <f t="shared" si="581"/>
        <v>0.58028107121137307</v>
      </c>
      <c r="BC1067" s="45" t="e">
        <f t="shared" si="582"/>
        <v>#VALUE!</v>
      </c>
      <c r="BD1067" s="45" t="e">
        <f t="shared" si="583"/>
        <v>#VALUE!</v>
      </c>
      <c r="BE1067" s="45" t="e">
        <f t="shared" si="584"/>
        <v>#VALUE!</v>
      </c>
      <c r="BF1067" s="45" t="e">
        <f t="shared" si="585"/>
        <v>#VALUE!</v>
      </c>
      <c r="BG1067" s="45" t="e">
        <f t="shared" si="586"/>
        <v>#VALUE!</v>
      </c>
      <c r="BH1067" s="45" t="e">
        <f t="shared" si="587"/>
        <v>#NUM!</v>
      </c>
      <c r="BI1067" s="43" t="e">
        <f t="shared" si="588"/>
        <v>#VALUE!</v>
      </c>
      <c r="BL1067" s="20"/>
      <c r="BM1067" s="50"/>
      <c r="BN1067" s="50"/>
      <c r="BO1067" s="50"/>
      <c r="BP1067" s="50"/>
      <c r="BQ1067" s="50"/>
      <c r="BR1067" s="50"/>
      <c r="BU1067" s="50"/>
      <c r="BV1067" s="50"/>
      <c r="BW1067" s="50"/>
      <c r="BX1067" s="50"/>
      <c r="BY1067" s="50"/>
      <c r="BZ1067" s="50"/>
      <c r="CA1067" s="50" t="s">
        <v>22</v>
      </c>
      <c r="CE1067" s="50"/>
      <c r="CF1067" s="50"/>
      <c r="CG1067" s="50"/>
      <c r="CH1067" s="50"/>
      <c r="CI1067" s="50" t="str">
        <f t="shared" si="599"/>
        <v>Not Reported/ Can not calculate</v>
      </c>
      <c r="CJ1067" s="50" t="e">
        <f t="shared" si="600"/>
        <v>#VALUE!</v>
      </c>
      <c r="CL1067" s="9" t="s">
        <v>1269</v>
      </c>
      <c r="CM1067" s="9" t="s">
        <v>1284</v>
      </c>
      <c r="CN1067" s="55" t="s">
        <v>1284</v>
      </c>
      <c r="CO1067" s="9" t="s">
        <v>1284</v>
      </c>
    </row>
    <row r="1068" spans="1:93" s="9" customFormat="1" x14ac:dyDescent="0.25">
      <c r="A1068" s="9" t="s">
        <v>266</v>
      </c>
      <c r="B1068" s="50">
        <v>0.29448275862068896</v>
      </c>
      <c r="C1068" s="50">
        <v>0.50626450116009203</v>
      </c>
      <c r="D1068" s="50">
        <f t="shared" si="594"/>
        <v>0.58167767628559641</v>
      </c>
      <c r="E1068" s="50" t="s">
        <v>22</v>
      </c>
      <c r="F1068" s="9" t="s">
        <v>22</v>
      </c>
      <c r="G1068" s="9" t="s">
        <v>22</v>
      </c>
      <c r="H1068" s="9" t="s">
        <v>22</v>
      </c>
      <c r="I1068" s="9" t="s">
        <v>22</v>
      </c>
      <c r="J1068" s="50">
        <v>47.803617571059398</v>
      </c>
      <c r="K1068" s="9">
        <v>532</v>
      </c>
      <c r="L1068" s="50">
        <f t="shared" si="595"/>
        <v>3.8291933195245451</v>
      </c>
      <c r="M1068" s="9" t="s">
        <v>23</v>
      </c>
      <c r="N1068" s="50">
        <v>129.259504132231</v>
      </c>
      <c r="O1068" s="50">
        <f t="shared" si="598"/>
        <v>0.25532010211270234</v>
      </c>
      <c r="P1068" s="50">
        <v>8.7109474090083392</v>
      </c>
      <c r="Q1068" s="50"/>
      <c r="R1068" s="50">
        <f t="shared" si="596"/>
        <v>38.064695354801728</v>
      </c>
      <c r="S1068" s="50">
        <f t="shared" si="597"/>
        <v>0.14851400370591789</v>
      </c>
      <c r="T1068" s="50" t="s">
        <v>22</v>
      </c>
      <c r="U1068" s="50" t="s">
        <v>22</v>
      </c>
      <c r="V1068" s="9">
        <v>20201128</v>
      </c>
      <c r="W1068" s="9" t="s">
        <v>1165</v>
      </c>
      <c r="X1068" s="21">
        <v>2019</v>
      </c>
      <c r="Y1068" s="9" t="s">
        <v>143</v>
      </c>
      <c r="Z1068" s="9" t="s">
        <v>32</v>
      </c>
      <c r="AB1068" s="50"/>
      <c r="AC1068" s="9" t="s">
        <v>514</v>
      </c>
      <c r="AD1068" s="50" t="s">
        <v>22</v>
      </c>
      <c r="AE1068" s="50" t="s">
        <v>22</v>
      </c>
      <c r="AF1068" s="50" t="s">
        <v>22</v>
      </c>
      <c r="AG1068" s="50" t="s">
        <v>22</v>
      </c>
      <c r="AH1068" s="50" t="s">
        <v>22</v>
      </c>
      <c r="AI1068" s="50" t="s">
        <v>22</v>
      </c>
      <c r="AJ1068" s="50" t="s">
        <v>22</v>
      </c>
      <c r="AK1068" s="50" t="s">
        <v>22</v>
      </c>
      <c r="AL1068" s="50" t="s">
        <v>22</v>
      </c>
      <c r="AM1068" s="43" t="e">
        <f t="shared" si="571"/>
        <v>#VALUE!</v>
      </c>
      <c r="AN1068" s="43" t="e">
        <f t="shared" si="572"/>
        <v>#VALUE!</v>
      </c>
      <c r="AO1068" s="57" t="s">
        <v>1169</v>
      </c>
      <c r="AT1068" s="2">
        <f t="shared" si="573"/>
        <v>40</v>
      </c>
      <c r="AU1068" s="45">
        <f t="shared" si="574"/>
        <v>-0.5309401272099521</v>
      </c>
      <c r="AV1068" s="45">
        <f t="shared" si="575"/>
        <v>-0.29562252390840921</v>
      </c>
      <c r="AW1068" s="45">
        <f t="shared" si="576"/>
        <v>-0.23531760330154286</v>
      </c>
      <c r="AX1068" s="45">
        <f t="shared" si="577"/>
        <v>2.1114624855410953</v>
      </c>
      <c r="AY1068" s="45">
        <f t="shared" si="578"/>
        <v>-0.59291499055049535</v>
      </c>
      <c r="AZ1068" s="45">
        <f t="shared" si="579"/>
        <v>0.94006539176180437</v>
      </c>
      <c r="BA1068" s="45">
        <f t="shared" si="580"/>
        <v>1.6794607633841021</v>
      </c>
      <c r="BB1068" s="45">
        <f t="shared" si="581"/>
        <v>0.58310729256429483</v>
      </c>
      <c r="BC1068" s="45" t="e">
        <f t="shared" si="582"/>
        <v>#VALUE!</v>
      </c>
      <c r="BD1068" s="45" t="e">
        <f t="shared" si="583"/>
        <v>#VALUE!</v>
      </c>
      <c r="BE1068" s="45" t="e">
        <f t="shared" si="584"/>
        <v>#VALUE!</v>
      </c>
      <c r="BF1068" s="45" t="e">
        <f t="shared" si="585"/>
        <v>#VALUE!</v>
      </c>
      <c r="BG1068" s="45" t="e">
        <f t="shared" si="586"/>
        <v>#VALUE!</v>
      </c>
      <c r="BH1068" s="45" t="e">
        <f t="shared" si="587"/>
        <v>#NUM!</v>
      </c>
      <c r="BI1068" s="43" t="e">
        <f t="shared" si="588"/>
        <v>#VALUE!</v>
      </c>
      <c r="BL1068" s="20"/>
      <c r="BM1068" s="50"/>
      <c r="BN1068" s="50"/>
      <c r="BO1068" s="50"/>
      <c r="BP1068" s="50"/>
      <c r="BQ1068" s="50"/>
      <c r="BR1068" s="50"/>
      <c r="BU1068" s="50"/>
      <c r="BV1068" s="50"/>
      <c r="BW1068" s="50"/>
      <c r="BX1068" s="50"/>
      <c r="BY1068" s="50"/>
      <c r="BZ1068" s="50"/>
      <c r="CA1068" s="50" t="s">
        <v>22</v>
      </c>
      <c r="CE1068" s="50"/>
      <c r="CF1068" s="50"/>
      <c r="CG1068" s="50"/>
      <c r="CH1068" s="50"/>
      <c r="CI1068" s="50" t="str">
        <f t="shared" si="599"/>
        <v>Not Reported/ Can not calculate</v>
      </c>
      <c r="CJ1068" s="50" t="e">
        <f t="shared" si="600"/>
        <v>#VALUE!</v>
      </c>
      <c r="CL1068" s="9" t="s">
        <v>1269</v>
      </c>
      <c r="CM1068" s="9" t="s">
        <v>1284</v>
      </c>
      <c r="CN1068" s="55" t="s">
        <v>1284</v>
      </c>
      <c r="CO1068" s="9" t="s">
        <v>1284</v>
      </c>
    </row>
    <row r="1069" spans="1:93" s="9" customFormat="1" x14ac:dyDescent="0.25">
      <c r="A1069" s="9" t="s">
        <v>266</v>
      </c>
      <c r="B1069" s="50">
        <v>0.24482758620689599</v>
      </c>
      <c r="C1069" s="50">
        <v>0.446867749419953</v>
      </c>
      <c r="D1069" s="50">
        <f t="shared" si="594"/>
        <v>0.54787481648583758</v>
      </c>
      <c r="E1069" s="50" t="s">
        <v>22</v>
      </c>
      <c r="F1069" s="9" t="s">
        <v>22</v>
      </c>
      <c r="G1069" s="9" t="s">
        <v>22</v>
      </c>
      <c r="H1069" s="9" t="s">
        <v>22</v>
      </c>
      <c r="I1069" s="9" t="s">
        <v>22</v>
      </c>
      <c r="J1069" s="50">
        <v>49.974160206718302</v>
      </c>
      <c r="K1069" s="9">
        <v>532</v>
      </c>
      <c r="L1069" s="50">
        <f t="shared" si="595"/>
        <v>4.0030593945732269</v>
      </c>
      <c r="M1069" s="9" t="s">
        <v>23</v>
      </c>
      <c r="N1069" s="50">
        <v>48.657851239669498</v>
      </c>
      <c r="O1069" s="50">
        <f t="shared" si="598"/>
        <v>0.10888646876582336</v>
      </c>
      <c r="P1069" s="50">
        <v>4.7528740880541296</v>
      </c>
      <c r="Q1069" s="50"/>
      <c r="R1069" s="50">
        <f t="shared" si="596"/>
        <v>11.912784269022504</v>
      </c>
      <c r="S1069" s="50">
        <f t="shared" si="597"/>
        <v>5.9656154092866363E-2</v>
      </c>
      <c r="T1069" s="50" t="s">
        <v>22</v>
      </c>
      <c r="U1069" s="50" t="s">
        <v>22</v>
      </c>
      <c r="V1069" s="9">
        <v>20201128</v>
      </c>
      <c r="W1069" s="9" t="s">
        <v>1165</v>
      </c>
      <c r="X1069" s="21">
        <v>2019</v>
      </c>
      <c r="Y1069" s="9" t="s">
        <v>143</v>
      </c>
      <c r="Z1069" s="9" t="s">
        <v>32</v>
      </c>
      <c r="AB1069" s="50"/>
      <c r="AC1069" s="9" t="s">
        <v>514</v>
      </c>
      <c r="AD1069" s="50" t="s">
        <v>22</v>
      </c>
      <c r="AE1069" s="50" t="s">
        <v>22</v>
      </c>
      <c r="AF1069" s="50" t="s">
        <v>22</v>
      </c>
      <c r="AG1069" s="50" t="s">
        <v>22</v>
      </c>
      <c r="AH1069" s="50" t="s">
        <v>22</v>
      </c>
      <c r="AI1069" s="50" t="s">
        <v>22</v>
      </c>
      <c r="AJ1069" s="50" t="s">
        <v>22</v>
      </c>
      <c r="AK1069" s="50" t="s">
        <v>22</v>
      </c>
      <c r="AL1069" s="50" t="s">
        <v>22</v>
      </c>
      <c r="AM1069" s="43" t="e">
        <f t="shared" si="571"/>
        <v>#VALUE!</v>
      </c>
      <c r="AN1069" s="43" t="e">
        <f t="shared" si="572"/>
        <v>#VALUE!</v>
      </c>
      <c r="AO1069" s="57" t="s">
        <v>1169</v>
      </c>
      <c r="AT1069" s="2">
        <f t="shared" si="573"/>
        <v>40</v>
      </c>
      <c r="AU1069" s="45">
        <f t="shared" si="574"/>
        <v>-0.61113964917988184</v>
      </c>
      <c r="AV1069" s="45">
        <f t="shared" si="575"/>
        <v>-0.34982098737221645</v>
      </c>
      <c r="AW1069" s="45">
        <f t="shared" si="576"/>
        <v>-0.26131866180766533</v>
      </c>
      <c r="AX1069" s="45">
        <f t="shared" si="577"/>
        <v>1.6871529263095677</v>
      </c>
      <c r="AY1069" s="45">
        <f t="shared" si="578"/>
        <v>-0.96302608631821596</v>
      </c>
      <c r="AZ1069" s="45">
        <f t="shared" si="579"/>
        <v>0.67695630922688277</v>
      </c>
      <c r="BA1069" s="45">
        <f t="shared" si="580"/>
        <v>1.6987455047280711</v>
      </c>
      <c r="BB1069" s="45">
        <f t="shared" si="581"/>
        <v>0.6023920339082639</v>
      </c>
      <c r="BC1069" s="45" t="e">
        <f t="shared" si="582"/>
        <v>#VALUE!</v>
      </c>
      <c r="BD1069" s="45" t="e">
        <f t="shared" si="583"/>
        <v>#VALUE!</v>
      </c>
      <c r="BE1069" s="45" t="e">
        <f t="shared" si="584"/>
        <v>#VALUE!</v>
      </c>
      <c r="BF1069" s="45" t="e">
        <f t="shared" si="585"/>
        <v>#VALUE!</v>
      </c>
      <c r="BG1069" s="45" t="e">
        <f t="shared" si="586"/>
        <v>#VALUE!</v>
      </c>
      <c r="BH1069" s="45" t="e">
        <f t="shared" si="587"/>
        <v>#NUM!</v>
      </c>
      <c r="BI1069" s="43" t="e">
        <f t="shared" si="588"/>
        <v>#VALUE!</v>
      </c>
      <c r="BL1069" s="20"/>
      <c r="BM1069" s="50"/>
      <c r="BN1069" s="50"/>
      <c r="BO1069" s="50"/>
      <c r="BP1069" s="50"/>
      <c r="BQ1069" s="50"/>
      <c r="BR1069" s="50"/>
      <c r="BU1069" s="50"/>
      <c r="BV1069" s="50"/>
      <c r="BW1069" s="50"/>
      <c r="BX1069" s="50"/>
      <c r="BY1069" s="50"/>
      <c r="BZ1069" s="50"/>
      <c r="CA1069" s="50" t="s">
        <v>22</v>
      </c>
      <c r="CE1069" s="50"/>
      <c r="CF1069" s="50"/>
      <c r="CG1069" s="50"/>
      <c r="CH1069" s="50"/>
      <c r="CI1069" s="50" t="str">
        <f t="shared" si="599"/>
        <v>Not Reported/ Can not calculate</v>
      </c>
      <c r="CJ1069" s="50" t="e">
        <f t="shared" si="600"/>
        <v>#VALUE!</v>
      </c>
      <c r="CL1069" s="9" t="s">
        <v>1269</v>
      </c>
      <c r="CM1069" s="9" t="s">
        <v>1284</v>
      </c>
      <c r="CN1069" s="55" t="s">
        <v>1284</v>
      </c>
      <c r="CO1069" s="9" t="s">
        <v>1284</v>
      </c>
    </row>
    <row r="1070" spans="1:93" s="9" customFormat="1" x14ac:dyDescent="0.25">
      <c r="A1070" s="9" t="s">
        <v>266</v>
      </c>
      <c r="B1070" s="50">
        <v>0.23999999999999899</v>
      </c>
      <c r="C1070" s="50">
        <v>0.48584686774941904</v>
      </c>
      <c r="D1070" s="50">
        <f t="shared" si="594"/>
        <v>0.49398280802292144</v>
      </c>
      <c r="E1070" s="50" t="s">
        <v>22</v>
      </c>
      <c r="F1070" s="9" t="s">
        <v>22</v>
      </c>
      <c r="G1070" s="9" t="s">
        <v>22</v>
      </c>
      <c r="H1070" s="9" t="s">
        <v>22</v>
      </c>
      <c r="I1070" s="9" t="s">
        <v>22</v>
      </c>
      <c r="J1070" s="50">
        <v>54.625322997415999</v>
      </c>
      <c r="K1070" s="9">
        <v>532</v>
      </c>
      <c r="L1070" s="50">
        <f t="shared" si="595"/>
        <v>4.375629555391833</v>
      </c>
      <c r="M1070" s="9" t="s">
        <v>23</v>
      </c>
      <c r="N1070" s="50">
        <v>70.924517906336206</v>
      </c>
      <c r="O1070" s="50">
        <f t="shared" si="598"/>
        <v>0.14598121880435033</v>
      </c>
      <c r="P1070" s="50">
        <v>5.1881728613030402</v>
      </c>
      <c r="Q1070" s="50"/>
      <c r="R1070" s="50">
        <f t="shared" si="596"/>
        <v>17.021884297520618</v>
      </c>
      <c r="S1070" s="50">
        <f t="shared" si="597"/>
        <v>7.2112212383581481E-2</v>
      </c>
      <c r="T1070" s="50" t="s">
        <v>22</v>
      </c>
      <c r="U1070" s="50" t="s">
        <v>22</v>
      </c>
      <c r="V1070" s="9">
        <v>20201128</v>
      </c>
      <c r="W1070" s="9" t="s">
        <v>1165</v>
      </c>
      <c r="X1070" s="21">
        <v>2019</v>
      </c>
      <c r="Y1070" s="9" t="s">
        <v>143</v>
      </c>
      <c r="Z1070" s="9" t="s">
        <v>32</v>
      </c>
      <c r="AB1070" s="50"/>
      <c r="AC1070" s="9" t="s">
        <v>514</v>
      </c>
      <c r="AD1070" s="50" t="s">
        <v>22</v>
      </c>
      <c r="AE1070" s="50" t="s">
        <v>22</v>
      </c>
      <c r="AF1070" s="50" t="s">
        <v>22</v>
      </c>
      <c r="AG1070" s="50" t="s">
        <v>22</v>
      </c>
      <c r="AH1070" s="50" t="s">
        <v>22</v>
      </c>
      <c r="AI1070" s="50" t="s">
        <v>22</v>
      </c>
      <c r="AJ1070" s="50" t="s">
        <v>22</v>
      </c>
      <c r="AK1070" s="50" t="s">
        <v>22</v>
      </c>
      <c r="AL1070" s="50" t="s">
        <v>22</v>
      </c>
      <c r="AM1070" s="43" t="e">
        <f t="shared" si="571"/>
        <v>#VALUE!</v>
      </c>
      <c r="AN1070" s="43" t="e">
        <f t="shared" si="572"/>
        <v>#VALUE!</v>
      </c>
      <c r="AO1070" s="57" t="s">
        <v>1169</v>
      </c>
      <c r="AT1070" s="2">
        <f t="shared" si="573"/>
        <v>40</v>
      </c>
      <c r="AU1070" s="45">
        <f t="shared" si="574"/>
        <v>-0.61978875828839575</v>
      </c>
      <c r="AV1070" s="45">
        <f t="shared" si="575"/>
        <v>-0.31350059281790887</v>
      </c>
      <c r="AW1070" s="45">
        <f t="shared" si="576"/>
        <v>-0.30628816547048698</v>
      </c>
      <c r="AX1070" s="45">
        <f t="shared" si="577"/>
        <v>1.8507963924576041</v>
      </c>
      <c r="AY1070" s="45">
        <f t="shared" si="578"/>
        <v>-0.83570301472448705</v>
      </c>
      <c r="AZ1070" s="45">
        <f t="shared" si="579"/>
        <v>0.71501443762395112</v>
      </c>
      <c r="BA1070" s="45">
        <f t="shared" si="580"/>
        <v>1.7373940179524958</v>
      </c>
      <c r="BB1070" s="45">
        <f t="shared" si="581"/>
        <v>0.64104054713268865</v>
      </c>
      <c r="BC1070" s="45" t="e">
        <f t="shared" si="582"/>
        <v>#VALUE!</v>
      </c>
      <c r="BD1070" s="45" t="e">
        <f t="shared" si="583"/>
        <v>#VALUE!</v>
      </c>
      <c r="BE1070" s="45" t="e">
        <f t="shared" si="584"/>
        <v>#VALUE!</v>
      </c>
      <c r="BF1070" s="45" t="e">
        <f t="shared" si="585"/>
        <v>#VALUE!</v>
      </c>
      <c r="BG1070" s="45" t="e">
        <f t="shared" si="586"/>
        <v>#VALUE!</v>
      </c>
      <c r="BH1070" s="45" t="e">
        <f t="shared" si="587"/>
        <v>#NUM!</v>
      </c>
      <c r="BI1070" s="43" t="e">
        <f t="shared" si="588"/>
        <v>#VALUE!</v>
      </c>
      <c r="BL1070" s="20"/>
      <c r="BM1070" s="50"/>
      <c r="BN1070" s="50"/>
      <c r="BO1070" s="50"/>
      <c r="BP1070" s="50"/>
      <c r="BQ1070" s="50"/>
      <c r="BR1070" s="50"/>
      <c r="BU1070" s="50"/>
      <c r="BV1070" s="50"/>
      <c r="BW1070" s="50"/>
      <c r="BX1070" s="50"/>
      <c r="BY1070" s="50"/>
      <c r="BZ1070" s="50"/>
      <c r="CA1070" s="50" t="s">
        <v>22</v>
      </c>
      <c r="CE1070" s="50"/>
      <c r="CF1070" s="50"/>
      <c r="CG1070" s="50"/>
      <c r="CH1070" s="50"/>
      <c r="CI1070" s="50" t="str">
        <f t="shared" si="599"/>
        <v>Not Reported/ Can not calculate</v>
      </c>
      <c r="CJ1070" s="50" t="e">
        <f t="shared" si="600"/>
        <v>#VALUE!</v>
      </c>
      <c r="CL1070" s="9" t="s">
        <v>1269</v>
      </c>
      <c r="CM1070" s="9" t="s">
        <v>1284</v>
      </c>
      <c r="CN1070" s="55" t="s">
        <v>1284</v>
      </c>
      <c r="CO1070" s="9" t="s">
        <v>1284</v>
      </c>
    </row>
    <row r="1071" spans="1:93" s="9" customFormat="1" x14ac:dyDescent="0.25">
      <c r="A1071" s="9" t="s">
        <v>266</v>
      </c>
      <c r="B1071" s="50">
        <v>0.12827586206896499</v>
      </c>
      <c r="C1071" s="50">
        <v>0.34849187935034798</v>
      </c>
      <c r="D1071" s="50">
        <f t="shared" si="594"/>
        <v>0.36808852564396755</v>
      </c>
      <c r="E1071" s="50" t="s">
        <v>22</v>
      </c>
      <c r="F1071" s="9" t="s">
        <v>22</v>
      </c>
      <c r="G1071" s="9" t="s">
        <v>22</v>
      </c>
      <c r="H1071" s="9" t="s">
        <v>22</v>
      </c>
      <c r="I1071" s="9" t="s">
        <v>22</v>
      </c>
      <c r="J1071" s="50">
        <v>25.994832041343599</v>
      </c>
      <c r="K1071" s="9">
        <v>532</v>
      </c>
      <c r="L1071" s="50">
        <f t="shared" si="595"/>
        <v>2.0822532321306402</v>
      </c>
      <c r="M1071" s="9" t="s">
        <v>23</v>
      </c>
      <c r="N1071" s="50">
        <v>34.028650137741103</v>
      </c>
      <c r="O1071" s="50">
        <f t="shared" si="598"/>
        <v>9.764546078140092E-2</v>
      </c>
      <c r="P1071" s="50">
        <v>4.4816494677990404</v>
      </c>
      <c r="Q1071" s="50"/>
      <c r="R1071" s="50">
        <f t="shared" si="596"/>
        <v>4.3650544314619442</v>
      </c>
      <c r="S1071" s="50">
        <f t="shared" si="597"/>
        <v>3.5942173694851719E-2</v>
      </c>
      <c r="T1071" s="50" t="s">
        <v>22</v>
      </c>
      <c r="U1071" s="50" t="s">
        <v>22</v>
      </c>
      <c r="V1071" s="9">
        <v>20201128</v>
      </c>
      <c r="W1071" s="9" t="s">
        <v>1166</v>
      </c>
      <c r="X1071" s="21">
        <v>2019</v>
      </c>
      <c r="Y1071" s="9" t="s">
        <v>143</v>
      </c>
      <c r="Z1071" s="9" t="s">
        <v>32</v>
      </c>
      <c r="AB1071" s="50"/>
      <c r="AC1071" s="9" t="s">
        <v>514</v>
      </c>
      <c r="AD1071" s="50" t="s">
        <v>22</v>
      </c>
      <c r="AE1071" s="50" t="s">
        <v>22</v>
      </c>
      <c r="AF1071" s="50" t="s">
        <v>22</v>
      </c>
      <c r="AG1071" s="50" t="s">
        <v>22</v>
      </c>
      <c r="AH1071" s="50" t="s">
        <v>22</v>
      </c>
      <c r="AI1071" s="50" t="s">
        <v>22</v>
      </c>
      <c r="AJ1071" s="50" t="s">
        <v>22</v>
      </c>
      <c r="AK1071" s="50" t="s">
        <v>22</v>
      </c>
      <c r="AL1071" s="50" t="s">
        <v>22</v>
      </c>
      <c r="AM1071" s="43" t="e">
        <f t="shared" si="571"/>
        <v>#VALUE!</v>
      </c>
      <c r="AN1071" s="43" t="e">
        <f t="shared" si="572"/>
        <v>#VALUE!</v>
      </c>
      <c r="AO1071" s="57" t="s">
        <v>1169</v>
      </c>
      <c r="AT1071" s="2">
        <f t="shared" si="573"/>
        <v>40</v>
      </c>
      <c r="AU1071" s="45">
        <f t="shared" si="574"/>
        <v>-0.89185505801706033</v>
      </c>
      <c r="AV1071" s="45">
        <f t="shared" si="575"/>
        <v>-0.45780733749258207</v>
      </c>
      <c r="AW1071" s="45">
        <f t="shared" si="576"/>
        <v>-0.43404772052447821</v>
      </c>
      <c r="AX1071" s="45">
        <f t="shared" si="577"/>
        <v>1.5318447216683109</v>
      </c>
      <c r="AY1071" s="45">
        <f t="shared" si="578"/>
        <v>-1.010347940839107</v>
      </c>
      <c r="AZ1071" s="45">
        <f t="shared" si="579"/>
        <v>0.6514378851856667</v>
      </c>
      <c r="BA1071" s="45">
        <f t="shared" si="580"/>
        <v>1.4148870157009961</v>
      </c>
      <c r="BB1071" s="45">
        <f t="shared" si="581"/>
        <v>0.31853354488118873</v>
      </c>
      <c r="BC1071" s="45" t="e">
        <f t="shared" si="582"/>
        <v>#VALUE!</v>
      </c>
      <c r="BD1071" s="45" t="e">
        <f t="shared" si="583"/>
        <v>#VALUE!</v>
      </c>
      <c r="BE1071" s="45" t="e">
        <f t="shared" si="584"/>
        <v>#VALUE!</v>
      </c>
      <c r="BF1071" s="45" t="e">
        <f t="shared" si="585"/>
        <v>#VALUE!</v>
      </c>
      <c r="BG1071" s="45" t="e">
        <f t="shared" si="586"/>
        <v>#VALUE!</v>
      </c>
      <c r="BH1071" s="45" t="e">
        <f t="shared" si="587"/>
        <v>#NUM!</v>
      </c>
      <c r="BI1071" s="43" t="e">
        <f t="shared" si="588"/>
        <v>#VALUE!</v>
      </c>
      <c r="BL1071" s="20"/>
      <c r="BM1071" s="50"/>
      <c r="BN1071" s="50"/>
      <c r="BO1071" s="50"/>
      <c r="BP1071" s="50"/>
      <c r="BQ1071" s="50"/>
      <c r="BR1071" s="50"/>
      <c r="BU1071" s="50"/>
      <c r="BV1071" s="50"/>
      <c r="BW1071" s="50"/>
      <c r="BX1071" s="50"/>
      <c r="BY1071" s="50"/>
      <c r="BZ1071" s="50"/>
      <c r="CA1071" s="50" t="s">
        <v>22</v>
      </c>
      <c r="CE1071" s="50"/>
      <c r="CF1071" s="50"/>
      <c r="CG1071" s="50"/>
      <c r="CH1071" s="50"/>
      <c r="CI1071" s="50" t="str">
        <f t="shared" si="599"/>
        <v>Not Reported/ Can not calculate</v>
      </c>
      <c r="CJ1071" s="50" t="e">
        <f t="shared" si="600"/>
        <v>#VALUE!</v>
      </c>
      <c r="CL1071" s="9" t="s">
        <v>1269</v>
      </c>
      <c r="CM1071" s="9" t="s">
        <v>1284</v>
      </c>
      <c r="CN1071" s="55" t="s">
        <v>1284</v>
      </c>
      <c r="CO1071" s="9" t="s">
        <v>1284</v>
      </c>
    </row>
    <row r="1072" spans="1:93" s="9" customFormat="1" x14ac:dyDescent="0.25">
      <c r="A1072" s="9" t="s">
        <v>266</v>
      </c>
      <c r="B1072" s="50">
        <v>6.8275862068965382E-2</v>
      </c>
      <c r="C1072" s="50">
        <v>0.1415313225058</v>
      </c>
      <c r="D1072" s="50">
        <f t="shared" si="594"/>
        <v>0.48240814019219957</v>
      </c>
      <c r="E1072" s="50" t="s">
        <v>22</v>
      </c>
      <c r="F1072" s="9" t="s">
        <v>22</v>
      </c>
      <c r="G1072" s="9" t="s">
        <v>22</v>
      </c>
      <c r="H1072" s="9" t="s">
        <v>22</v>
      </c>
      <c r="I1072" s="9" t="s">
        <v>22</v>
      </c>
      <c r="J1072" s="50">
        <v>28.062015503875902</v>
      </c>
      <c r="K1072" s="9">
        <v>532</v>
      </c>
      <c r="L1072" s="50">
        <f t="shared" si="595"/>
        <v>2.2478399702722425</v>
      </c>
      <c r="M1072" s="9" t="s">
        <v>23</v>
      </c>
      <c r="N1072" s="50">
        <v>25.744352617080001</v>
      </c>
      <c r="O1072" s="50">
        <f t="shared" si="598"/>
        <v>0.18189862258953307</v>
      </c>
      <c r="P1072" s="50">
        <v>1.87909043864721</v>
      </c>
      <c r="Q1072" s="50"/>
      <c r="R1072" s="50">
        <f t="shared" si="596"/>
        <v>1.7577178683385621</v>
      </c>
      <c r="S1072" s="50">
        <f t="shared" si="597"/>
        <v>8.7749376226939471E-2</v>
      </c>
      <c r="T1072" s="50" t="s">
        <v>22</v>
      </c>
      <c r="U1072" s="50" t="s">
        <v>22</v>
      </c>
      <c r="V1072" s="9">
        <v>20201128</v>
      </c>
      <c r="W1072" s="9" t="s">
        <v>1166</v>
      </c>
      <c r="X1072" s="21">
        <v>2019</v>
      </c>
      <c r="Y1072" s="9" t="s">
        <v>143</v>
      </c>
      <c r="Z1072" s="9" t="s">
        <v>32</v>
      </c>
      <c r="AB1072" s="50"/>
      <c r="AC1072" s="9" t="s">
        <v>514</v>
      </c>
      <c r="AD1072" s="50" t="s">
        <v>22</v>
      </c>
      <c r="AE1072" s="50" t="s">
        <v>22</v>
      </c>
      <c r="AF1072" s="50" t="s">
        <v>22</v>
      </c>
      <c r="AG1072" s="50" t="s">
        <v>22</v>
      </c>
      <c r="AH1072" s="50" t="s">
        <v>22</v>
      </c>
      <c r="AI1072" s="50" t="s">
        <v>22</v>
      </c>
      <c r="AJ1072" s="50" t="s">
        <v>22</v>
      </c>
      <c r="AK1072" s="50" t="s">
        <v>22</v>
      </c>
      <c r="AL1072" s="50" t="s">
        <v>22</v>
      </c>
      <c r="AM1072" s="43" t="e">
        <f t="shared" si="571"/>
        <v>#VALUE!</v>
      </c>
      <c r="AN1072" s="43" t="e">
        <f t="shared" si="572"/>
        <v>#VALUE!</v>
      </c>
      <c r="AO1072" s="57" t="s">
        <v>1169</v>
      </c>
      <c r="AT1072" s="2">
        <f t="shared" si="573"/>
        <v>40</v>
      </c>
      <c r="AU1072" s="45">
        <f t="shared" si="574"/>
        <v>-1.1657328076374258</v>
      </c>
      <c r="AV1072" s="45">
        <f t="shared" si="575"/>
        <v>-0.84914743514996605</v>
      </c>
      <c r="AW1072" s="45">
        <f t="shared" si="576"/>
        <v>-0.31658537248745988</v>
      </c>
      <c r="AX1072" s="45">
        <f t="shared" si="577"/>
        <v>1.4106819752712416</v>
      </c>
      <c r="AY1072" s="45">
        <f t="shared" si="578"/>
        <v>-0.74017058957879245</v>
      </c>
      <c r="AZ1072" s="45">
        <f t="shared" si="579"/>
        <v>0.27394768274035447</v>
      </c>
      <c r="BA1072" s="45">
        <f t="shared" si="580"/>
        <v>1.4481188602339157</v>
      </c>
      <c r="BB1072" s="45">
        <f t="shared" si="581"/>
        <v>0.3517653894141084</v>
      </c>
      <c r="BC1072" s="45" t="e">
        <f t="shared" si="582"/>
        <v>#VALUE!</v>
      </c>
      <c r="BD1072" s="45" t="e">
        <f t="shared" si="583"/>
        <v>#VALUE!</v>
      </c>
      <c r="BE1072" s="45" t="e">
        <f t="shared" si="584"/>
        <v>#VALUE!</v>
      </c>
      <c r="BF1072" s="45" t="e">
        <f t="shared" si="585"/>
        <v>#VALUE!</v>
      </c>
      <c r="BG1072" s="45" t="e">
        <f t="shared" si="586"/>
        <v>#VALUE!</v>
      </c>
      <c r="BH1072" s="45" t="e">
        <f t="shared" si="587"/>
        <v>#NUM!</v>
      </c>
      <c r="BI1072" s="43" t="e">
        <f t="shared" si="588"/>
        <v>#VALUE!</v>
      </c>
      <c r="BL1072" s="20"/>
      <c r="BM1072" s="50"/>
      <c r="BN1072" s="50"/>
      <c r="BO1072" s="50"/>
      <c r="BP1072" s="50"/>
      <c r="BQ1072" s="50"/>
      <c r="BR1072" s="50"/>
      <c r="BU1072" s="50"/>
      <c r="BV1072" s="50"/>
      <c r="BW1072" s="50"/>
      <c r="BX1072" s="50"/>
      <c r="BY1072" s="50"/>
      <c r="BZ1072" s="50"/>
      <c r="CA1072" s="50" t="s">
        <v>22</v>
      </c>
      <c r="CE1072" s="50"/>
      <c r="CF1072" s="50"/>
      <c r="CG1072" s="50"/>
      <c r="CH1072" s="50"/>
      <c r="CI1072" s="50" t="str">
        <f t="shared" si="599"/>
        <v>Not Reported/ Can not calculate</v>
      </c>
      <c r="CJ1072" s="50" t="e">
        <f t="shared" si="600"/>
        <v>#VALUE!</v>
      </c>
      <c r="CL1072" s="9" t="s">
        <v>1269</v>
      </c>
      <c r="CM1072" s="9" t="s">
        <v>1284</v>
      </c>
      <c r="CN1072" s="55" t="s">
        <v>1284</v>
      </c>
      <c r="CO1072" s="9" t="s">
        <v>1284</v>
      </c>
    </row>
    <row r="1073" spans="1:93" s="9" customFormat="1" x14ac:dyDescent="0.25">
      <c r="A1073" s="9" t="s">
        <v>266</v>
      </c>
      <c r="B1073" s="50">
        <v>0.14344827586206799</v>
      </c>
      <c r="C1073" s="50">
        <v>0.35034802784222702</v>
      </c>
      <c r="D1073" s="50">
        <f t="shared" si="594"/>
        <v>0.40944507878510839</v>
      </c>
      <c r="E1073" s="50" t="s">
        <v>22</v>
      </c>
      <c r="F1073" s="9" t="s">
        <v>22</v>
      </c>
      <c r="G1073" s="9" t="s">
        <v>22</v>
      </c>
      <c r="H1073" s="9" t="s">
        <v>22</v>
      </c>
      <c r="I1073" s="9" t="s">
        <v>22</v>
      </c>
      <c r="J1073" s="50">
        <v>30.025839793281602</v>
      </c>
      <c r="K1073" s="9">
        <v>532</v>
      </c>
      <c r="L1073" s="50">
        <f t="shared" si="595"/>
        <v>2.4051473715067657</v>
      </c>
      <c r="M1073" s="9" t="s">
        <v>23</v>
      </c>
      <c r="N1073" s="50">
        <v>85.226446280991794</v>
      </c>
      <c r="O1073" s="50">
        <f t="shared" si="598"/>
        <v>0.24326224070932118</v>
      </c>
      <c r="P1073" s="50">
        <v>5.3571174900814702</v>
      </c>
      <c r="Q1073" s="50"/>
      <c r="R1073" s="50">
        <f t="shared" si="596"/>
        <v>12.22558677685943</v>
      </c>
      <c r="S1073" s="50">
        <f t="shared" si="597"/>
        <v>9.9602527312670011E-2</v>
      </c>
      <c r="T1073" s="50" t="s">
        <v>22</v>
      </c>
      <c r="U1073" s="50" t="s">
        <v>22</v>
      </c>
      <c r="V1073" s="9">
        <v>20201128</v>
      </c>
      <c r="W1073" s="9" t="s">
        <v>1166</v>
      </c>
      <c r="X1073" s="21">
        <v>2019</v>
      </c>
      <c r="Y1073" s="9" t="s">
        <v>143</v>
      </c>
      <c r="Z1073" s="9" t="s">
        <v>32</v>
      </c>
      <c r="AB1073" s="50"/>
      <c r="AC1073" s="9" t="s">
        <v>514</v>
      </c>
      <c r="AD1073" s="50" t="s">
        <v>22</v>
      </c>
      <c r="AE1073" s="50" t="s">
        <v>22</v>
      </c>
      <c r="AF1073" s="50" t="s">
        <v>22</v>
      </c>
      <c r="AG1073" s="50" t="s">
        <v>22</v>
      </c>
      <c r="AH1073" s="50" t="s">
        <v>22</v>
      </c>
      <c r="AI1073" s="50" t="s">
        <v>22</v>
      </c>
      <c r="AJ1073" s="50" t="s">
        <v>22</v>
      </c>
      <c r="AK1073" s="50" t="s">
        <v>22</v>
      </c>
      <c r="AL1073" s="50" t="s">
        <v>22</v>
      </c>
      <c r="AM1073" s="43" t="e">
        <f t="shared" si="571"/>
        <v>#VALUE!</v>
      </c>
      <c r="AN1073" s="43" t="e">
        <f t="shared" si="572"/>
        <v>#VALUE!</v>
      </c>
      <c r="AO1073" s="57" t="s">
        <v>1169</v>
      </c>
      <c r="AT1073" s="2">
        <f t="shared" si="573"/>
        <v>40</v>
      </c>
      <c r="AU1073" s="45">
        <f t="shared" si="574"/>
        <v>-0.84330466727221631</v>
      </c>
      <c r="AV1073" s="45">
        <f t="shared" si="575"/>
        <v>-0.45550032286756259</v>
      </c>
      <c r="AW1073" s="45">
        <f t="shared" si="576"/>
        <v>-0.38780434440465367</v>
      </c>
      <c r="AX1073" s="45">
        <f t="shared" si="577"/>
        <v>1.9305743798806825</v>
      </c>
      <c r="AY1073" s="45">
        <f t="shared" si="578"/>
        <v>-0.61392529725175504</v>
      </c>
      <c r="AZ1073" s="45">
        <f t="shared" si="579"/>
        <v>0.72893117124396711</v>
      </c>
      <c r="BA1073" s="45">
        <f t="shared" si="580"/>
        <v>1.4774951630353998</v>
      </c>
      <c r="BB1073" s="45">
        <f t="shared" si="581"/>
        <v>0.38114169221559246</v>
      </c>
      <c r="BC1073" s="45" t="e">
        <f t="shared" si="582"/>
        <v>#VALUE!</v>
      </c>
      <c r="BD1073" s="45" t="e">
        <f t="shared" si="583"/>
        <v>#VALUE!</v>
      </c>
      <c r="BE1073" s="45" t="e">
        <f t="shared" si="584"/>
        <v>#VALUE!</v>
      </c>
      <c r="BF1073" s="45" t="e">
        <f t="shared" si="585"/>
        <v>#VALUE!</v>
      </c>
      <c r="BG1073" s="45" t="e">
        <f t="shared" si="586"/>
        <v>#VALUE!</v>
      </c>
      <c r="BH1073" s="45" t="e">
        <f t="shared" si="587"/>
        <v>#NUM!</v>
      </c>
      <c r="BI1073" s="43" t="e">
        <f t="shared" si="588"/>
        <v>#VALUE!</v>
      </c>
      <c r="BL1073" s="20"/>
      <c r="BM1073" s="50"/>
      <c r="BN1073" s="50"/>
      <c r="BO1073" s="50"/>
      <c r="BP1073" s="50"/>
      <c r="BQ1073" s="50"/>
      <c r="BR1073" s="50"/>
      <c r="BU1073" s="50"/>
      <c r="BV1073" s="50"/>
      <c r="BW1073" s="50"/>
      <c r="BX1073" s="50"/>
      <c r="BY1073" s="50"/>
      <c r="BZ1073" s="50"/>
      <c r="CA1073" s="50" t="s">
        <v>22</v>
      </c>
      <c r="CE1073" s="50"/>
      <c r="CF1073" s="50"/>
      <c r="CG1073" s="50"/>
      <c r="CH1073" s="50"/>
      <c r="CI1073" s="50" t="str">
        <f t="shared" si="599"/>
        <v>Not Reported/ Can not calculate</v>
      </c>
      <c r="CJ1073" s="50" t="e">
        <f t="shared" si="600"/>
        <v>#VALUE!</v>
      </c>
      <c r="CL1073" s="9" t="s">
        <v>1269</v>
      </c>
      <c r="CM1073" s="9" t="s">
        <v>1284</v>
      </c>
      <c r="CN1073" s="55" t="s">
        <v>1284</v>
      </c>
      <c r="CO1073" s="9" t="s">
        <v>1284</v>
      </c>
    </row>
    <row r="1074" spans="1:93" s="9" customFormat="1" x14ac:dyDescent="0.25">
      <c r="A1074" s="9" t="s">
        <v>266</v>
      </c>
      <c r="B1074" s="50">
        <v>0.47310344827586193</v>
      </c>
      <c r="C1074" s="50">
        <v>0.79025522041763308</v>
      </c>
      <c r="D1074" s="50">
        <f t="shared" si="594"/>
        <v>0.59867171522870399</v>
      </c>
      <c r="E1074" s="50" t="s">
        <v>22</v>
      </c>
      <c r="F1074" s="9" t="s">
        <v>22</v>
      </c>
      <c r="G1074" s="9" t="s">
        <v>22</v>
      </c>
      <c r="H1074" s="9" t="s">
        <v>22</v>
      </c>
      <c r="I1074" s="9" t="s">
        <v>22</v>
      </c>
      <c r="J1074" s="50">
        <v>30.956072351421099</v>
      </c>
      <c r="K1074" s="9">
        <v>532</v>
      </c>
      <c r="L1074" s="50">
        <f t="shared" si="595"/>
        <v>2.4796614036704838</v>
      </c>
      <c r="M1074" s="9" t="s">
        <v>23</v>
      </c>
      <c r="N1074" s="50">
        <v>219.92837465564699</v>
      </c>
      <c r="O1074" s="50">
        <f t="shared" si="598"/>
        <v>0.27830043886254813</v>
      </c>
      <c r="P1074" s="50">
        <v>23.561433949245501</v>
      </c>
      <c r="Q1074" s="50"/>
      <c r="R1074" s="50">
        <f t="shared" si="596"/>
        <v>104.04887242329227</v>
      </c>
      <c r="S1074" s="50">
        <f t="shared" si="597"/>
        <v>0.16661060108274275</v>
      </c>
      <c r="T1074" s="50" t="s">
        <v>22</v>
      </c>
      <c r="U1074" s="50" t="s">
        <v>22</v>
      </c>
      <c r="V1074" s="9">
        <v>20201128</v>
      </c>
      <c r="W1074" s="9" t="s">
        <v>1166</v>
      </c>
      <c r="X1074" s="21">
        <v>2019</v>
      </c>
      <c r="Y1074" s="9" t="s">
        <v>143</v>
      </c>
      <c r="Z1074" s="9" t="s">
        <v>32</v>
      </c>
      <c r="AB1074" s="50"/>
      <c r="AC1074" s="9" t="s">
        <v>514</v>
      </c>
      <c r="AD1074" s="50" t="s">
        <v>22</v>
      </c>
      <c r="AE1074" s="50" t="s">
        <v>22</v>
      </c>
      <c r="AF1074" s="50" t="s">
        <v>22</v>
      </c>
      <c r="AG1074" s="50" t="s">
        <v>22</v>
      </c>
      <c r="AH1074" s="50" t="s">
        <v>22</v>
      </c>
      <c r="AI1074" s="50" t="s">
        <v>22</v>
      </c>
      <c r="AJ1074" s="50" t="s">
        <v>22</v>
      </c>
      <c r="AK1074" s="50" t="s">
        <v>22</v>
      </c>
      <c r="AL1074" s="50" t="s">
        <v>22</v>
      </c>
      <c r="AM1074" s="43" t="e">
        <f t="shared" si="571"/>
        <v>#VALUE!</v>
      </c>
      <c r="AN1074" s="43" t="e">
        <f t="shared" si="572"/>
        <v>#VALUE!</v>
      </c>
      <c r="AO1074" s="57" t="s">
        <v>1169</v>
      </c>
      <c r="AT1074" s="2">
        <f t="shared" si="573"/>
        <v>40</v>
      </c>
      <c r="AU1074" s="45">
        <f t="shared" si="574"/>
        <v>-0.32504388652822336</v>
      </c>
      <c r="AV1074" s="45">
        <f t="shared" si="575"/>
        <v>-0.10223262653414956</v>
      </c>
      <c r="AW1074" s="45">
        <f t="shared" si="576"/>
        <v>-0.22281125999407378</v>
      </c>
      <c r="AX1074" s="45">
        <f t="shared" si="577"/>
        <v>2.3422812646559219</v>
      </c>
      <c r="AY1074" s="45">
        <f t="shared" si="578"/>
        <v>-0.55548610880992866</v>
      </c>
      <c r="AZ1074" s="45">
        <f t="shared" si="579"/>
        <v>1.3722017180884847</v>
      </c>
      <c r="BA1074" s="45">
        <f t="shared" si="580"/>
        <v>1.49074585303438</v>
      </c>
      <c r="BB1074" s="45">
        <f t="shared" si="581"/>
        <v>0.39439238221457268</v>
      </c>
      <c r="BC1074" s="45" t="e">
        <f t="shared" si="582"/>
        <v>#VALUE!</v>
      </c>
      <c r="BD1074" s="45" t="e">
        <f t="shared" si="583"/>
        <v>#VALUE!</v>
      </c>
      <c r="BE1074" s="45" t="e">
        <f t="shared" si="584"/>
        <v>#VALUE!</v>
      </c>
      <c r="BF1074" s="45" t="e">
        <f t="shared" si="585"/>
        <v>#VALUE!</v>
      </c>
      <c r="BG1074" s="45" t="e">
        <f t="shared" si="586"/>
        <v>#VALUE!</v>
      </c>
      <c r="BH1074" s="45" t="e">
        <f t="shared" si="587"/>
        <v>#NUM!</v>
      </c>
      <c r="BI1074" s="43" t="e">
        <f t="shared" si="588"/>
        <v>#VALUE!</v>
      </c>
      <c r="BL1074" s="20"/>
      <c r="BM1074" s="50"/>
      <c r="BN1074" s="50"/>
      <c r="BO1074" s="50"/>
      <c r="BP1074" s="50"/>
      <c r="BQ1074" s="50"/>
      <c r="BR1074" s="50"/>
      <c r="BU1074" s="50"/>
      <c r="BV1074" s="50"/>
      <c r="BW1074" s="50"/>
      <c r="BX1074" s="50"/>
      <c r="BY1074" s="50"/>
      <c r="BZ1074" s="50"/>
      <c r="CA1074" s="50" t="s">
        <v>22</v>
      </c>
      <c r="CE1074" s="50"/>
      <c r="CF1074" s="50"/>
      <c r="CG1074" s="50"/>
      <c r="CH1074" s="50"/>
      <c r="CI1074" s="50" t="str">
        <f t="shared" si="599"/>
        <v>Not Reported/ Can not calculate</v>
      </c>
      <c r="CJ1074" s="50" t="e">
        <f t="shared" si="600"/>
        <v>#VALUE!</v>
      </c>
      <c r="CL1074" s="9" t="s">
        <v>1269</v>
      </c>
      <c r="CM1074" s="9" t="s">
        <v>1284</v>
      </c>
      <c r="CN1074" s="55" t="s">
        <v>1284</v>
      </c>
      <c r="CO1074" s="9" t="s">
        <v>1284</v>
      </c>
    </row>
    <row r="1075" spans="1:93" s="9" customFormat="1" x14ac:dyDescent="0.25">
      <c r="A1075" s="9" t="s">
        <v>266</v>
      </c>
      <c r="B1075" s="50">
        <v>0.45724137931034398</v>
      </c>
      <c r="C1075" s="50">
        <v>0.70858468677494102</v>
      </c>
      <c r="D1075" s="50">
        <f t="shared" si="594"/>
        <v>0.64528825960300773</v>
      </c>
      <c r="E1075" s="50" t="s">
        <v>22</v>
      </c>
      <c r="F1075" s="9" t="s">
        <v>22</v>
      </c>
      <c r="G1075" s="9" t="s">
        <v>22</v>
      </c>
      <c r="H1075" s="9" t="s">
        <v>22</v>
      </c>
      <c r="I1075" s="9" t="s">
        <v>22</v>
      </c>
      <c r="J1075" s="50">
        <v>37.054263565891397</v>
      </c>
      <c r="K1075" s="9">
        <v>532</v>
      </c>
      <c r="L1075" s="50">
        <f t="shared" si="595"/>
        <v>2.9681422811882112</v>
      </c>
      <c r="M1075" s="9" t="s">
        <v>23</v>
      </c>
      <c r="N1075" s="50">
        <v>263.66611570247898</v>
      </c>
      <c r="O1075" s="50">
        <f t="shared" si="598"/>
        <v>0.37210247500906546</v>
      </c>
      <c r="P1075" s="50">
        <v>24.618124258013399</v>
      </c>
      <c r="Q1075" s="50"/>
      <c r="R1075" s="50">
        <f t="shared" si="596"/>
        <v>120.55905842120224</v>
      </c>
      <c r="S1075" s="50">
        <f t="shared" si="597"/>
        <v>0.24011335849257154</v>
      </c>
      <c r="T1075" s="50" t="s">
        <v>22</v>
      </c>
      <c r="U1075" s="50" t="s">
        <v>22</v>
      </c>
      <c r="V1075" s="9">
        <v>20201128</v>
      </c>
      <c r="W1075" s="9" t="s">
        <v>1166</v>
      </c>
      <c r="X1075" s="21">
        <v>2019</v>
      </c>
      <c r="Y1075" s="9" t="s">
        <v>143</v>
      </c>
      <c r="Z1075" s="9" t="s">
        <v>32</v>
      </c>
      <c r="AB1075" s="50"/>
      <c r="AC1075" s="9" t="s">
        <v>514</v>
      </c>
      <c r="AD1075" s="50" t="s">
        <v>22</v>
      </c>
      <c r="AE1075" s="50" t="s">
        <v>22</v>
      </c>
      <c r="AF1075" s="50" t="s">
        <v>22</v>
      </c>
      <c r="AG1075" s="50" t="s">
        <v>22</v>
      </c>
      <c r="AH1075" s="50" t="s">
        <v>22</v>
      </c>
      <c r="AI1075" s="50" t="s">
        <v>22</v>
      </c>
      <c r="AJ1075" s="50" t="s">
        <v>22</v>
      </c>
      <c r="AK1075" s="50" t="s">
        <v>22</v>
      </c>
      <c r="AL1075" s="50" t="s">
        <v>22</v>
      </c>
      <c r="AM1075" s="43" t="e">
        <f t="shared" si="571"/>
        <v>#VALUE!</v>
      </c>
      <c r="AN1075" s="43" t="e">
        <f t="shared" si="572"/>
        <v>#VALUE!</v>
      </c>
      <c r="AO1075" s="57" t="s">
        <v>1169</v>
      </c>
      <c r="AT1075" s="2">
        <f t="shared" si="573"/>
        <v>40</v>
      </c>
      <c r="AU1075" s="45">
        <f t="shared" si="574"/>
        <v>-0.33985447383020256</v>
      </c>
      <c r="AV1075" s="45">
        <f t="shared" si="575"/>
        <v>-0.14960823744032983</v>
      </c>
      <c r="AW1075" s="45">
        <f t="shared" si="576"/>
        <v>-0.19024623638987267</v>
      </c>
      <c r="AX1075" s="45">
        <f t="shared" si="577"/>
        <v>2.4210543212649052</v>
      </c>
      <c r="AY1075" s="45">
        <f t="shared" si="578"/>
        <v>-0.4293374412947652</v>
      </c>
      <c r="AZ1075" s="45">
        <f t="shared" si="579"/>
        <v>1.3912549594227539</v>
      </c>
      <c r="BA1075" s="45">
        <f t="shared" si="580"/>
        <v>1.5688381863128691</v>
      </c>
      <c r="BB1075" s="45">
        <f t="shared" si="581"/>
        <v>0.47248471549306181</v>
      </c>
      <c r="BC1075" s="45" t="e">
        <f t="shared" si="582"/>
        <v>#VALUE!</v>
      </c>
      <c r="BD1075" s="45" t="e">
        <f t="shared" si="583"/>
        <v>#VALUE!</v>
      </c>
      <c r="BE1075" s="45" t="e">
        <f t="shared" si="584"/>
        <v>#VALUE!</v>
      </c>
      <c r="BF1075" s="45" t="e">
        <f t="shared" si="585"/>
        <v>#VALUE!</v>
      </c>
      <c r="BG1075" s="45" t="e">
        <f t="shared" si="586"/>
        <v>#VALUE!</v>
      </c>
      <c r="BH1075" s="45" t="e">
        <f t="shared" si="587"/>
        <v>#NUM!</v>
      </c>
      <c r="BI1075" s="43" t="e">
        <f t="shared" si="588"/>
        <v>#VALUE!</v>
      </c>
      <c r="BL1075" s="20"/>
      <c r="BM1075" s="50"/>
      <c r="BN1075" s="50"/>
      <c r="BO1075" s="50"/>
      <c r="BP1075" s="50"/>
      <c r="BQ1075" s="50"/>
      <c r="BR1075" s="50"/>
      <c r="BU1075" s="50"/>
      <c r="BV1075" s="50"/>
      <c r="BW1075" s="50"/>
      <c r="BX1075" s="50"/>
      <c r="BY1075" s="50"/>
      <c r="BZ1075" s="50"/>
      <c r="CA1075" s="50" t="s">
        <v>22</v>
      </c>
      <c r="CE1075" s="50"/>
      <c r="CF1075" s="50"/>
      <c r="CG1075" s="50"/>
      <c r="CH1075" s="50"/>
      <c r="CI1075" s="50" t="str">
        <f t="shared" si="599"/>
        <v>Not Reported/ Can not calculate</v>
      </c>
      <c r="CJ1075" s="50" t="e">
        <f t="shared" si="600"/>
        <v>#VALUE!</v>
      </c>
      <c r="CL1075" s="9" t="s">
        <v>1269</v>
      </c>
      <c r="CM1075" s="9" t="s">
        <v>1284</v>
      </c>
      <c r="CN1075" s="55" t="s">
        <v>1284</v>
      </c>
      <c r="CO1075" s="9" t="s">
        <v>1284</v>
      </c>
    </row>
    <row r="1076" spans="1:93" s="9" customFormat="1" x14ac:dyDescent="0.25">
      <c r="A1076" s="9" t="s">
        <v>266</v>
      </c>
      <c r="B1076" s="50">
        <v>0.58551724137930994</v>
      </c>
      <c r="C1076" s="50">
        <v>0.89419953596287605</v>
      </c>
      <c r="D1076" s="50">
        <f t="shared" si="594"/>
        <v>0.65479483921765136</v>
      </c>
      <c r="E1076" s="50" t="s">
        <v>22</v>
      </c>
      <c r="F1076" s="9" t="s">
        <v>22</v>
      </c>
      <c r="G1076" s="9" t="s">
        <v>22</v>
      </c>
      <c r="H1076" s="9" t="s">
        <v>22</v>
      </c>
      <c r="I1076" s="9" t="s">
        <v>22</v>
      </c>
      <c r="J1076" s="50">
        <v>43.979328165374604</v>
      </c>
      <c r="K1076" s="9">
        <v>532</v>
      </c>
      <c r="L1076" s="50">
        <f t="shared" si="595"/>
        <v>3.5228578539625777</v>
      </c>
      <c r="M1076" s="9" t="s">
        <v>23</v>
      </c>
      <c r="N1076" s="50">
        <v>317.31460055096397</v>
      </c>
      <c r="O1076" s="50">
        <f t="shared" si="598"/>
        <v>0.354858829365505</v>
      </c>
      <c r="P1076" s="50">
        <v>23.366411981370401</v>
      </c>
      <c r="Q1076" s="50"/>
      <c r="R1076" s="50">
        <f t="shared" si="596"/>
        <v>185.7931695639781</v>
      </c>
      <c r="S1076" s="50">
        <f t="shared" si="597"/>
        <v>0.23235973011934982</v>
      </c>
      <c r="T1076" s="50" t="s">
        <v>22</v>
      </c>
      <c r="U1076" s="50" t="s">
        <v>22</v>
      </c>
      <c r="V1076" s="9">
        <v>20201128</v>
      </c>
      <c r="W1076" s="9" t="s">
        <v>1166</v>
      </c>
      <c r="X1076" s="21">
        <v>2019</v>
      </c>
      <c r="Y1076" s="9" t="s">
        <v>143</v>
      </c>
      <c r="Z1076" s="9" t="s">
        <v>32</v>
      </c>
      <c r="AB1076" s="50"/>
      <c r="AC1076" s="9" t="s">
        <v>514</v>
      </c>
      <c r="AD1076" s="50" t="s">
        <v>22</v>
      </c>
      <c r="AE1076" s="50" t="s">
        <v>22</v>
      </c>
      <c r="AF1076" s="50" t="s">
        <v>22</v>
      </c>
      <c r="AG1076" s="50" t="s">
        <v>22</v>
      </c>
      <c r="AH1076" s="50" t="s">
        <v>22</v>
      </c>
      <c r="AI1076" s="50" t="s">
        <v>22</v>
      </c>
      <c r="AJ1076" s="50" t="s">
        <v>22</v>
      </c>
      <c r="AK1076" s="50" t="s">
        <v>22</v>
      </c>
      <c r="AL1076" s="50" t="s">
        <v>22</v>
      </c>
      <c r="AM1076" s="43" t="e">
        <f t="shared" si="571"/>
        <v>#VALUE!</v>
      </c>
      <c r="AN1076" s="43" t="e">
        <f t="shared" si="572"/>
        <v>#VALUE!</v>
      </c>
      <c r="AO1076" s="57" t="s">
        <v>1169</v>
      </c>
      <c r="AT1076" s="2">
        <f t="shared" si="573"/>
        <v>40</v>
      </c>
      <c r="AU1076" s="45">
        <f t="shared" si="574"/>
        <v>-0.23246031199102252</v>
      </c>
      <c r="AV1076" s="45">
        <f t="shared" si="575"/>
        <v>-4.8565559841297921E-2</v>
      </c>
      <c r="AW1076" s="45">
        <f t="shared" si="576"/>
        <v>-0.18389475214972464</v>
      </c>
      <c r="AX1076" s="45">
        <f t="shared" si="577"/>
        <v>2.501490055689545</v>
      </c>
      <c r="AY1076" s="45">
        <f t="shared" si="578"/>
        <v>-0.44994438446915708</v>
      </c>
      <c r="AZ1076" s="45">
        <f t="shared" si="579"/>
        <v>1.3685920296226775</v>
      </c>
      <c r="BA1076" s="45">
        <f t="shared" si="580"/>
        <v>1.643248590729657</v>
      </c>
      <c r="BB1076" s="45">
        <f t="shared" si="581"/>
        <v>0.54689511990984963</v>
      </c>
      <c r="BC1076" s="45" t="e">
        <f t="shared" si="582"/>
        <v>#VALUE!</v>
      </c>
      <c r="BD1076" s="45" t="e">
        <f t="shared" si="583"/>
        <v>#VALUE!</v>
      </c>
      <c r="BE1076" s="45" t="e">
        <f t="shared" si="584"/>
        <v>#VALUE!</v>
      </c>
      <c r="BF1076" s="45" t="e">
        <f t="shared" si="585"/>
        <v>#VALUE!</v>
      </c>
      <c r="BG1076" s="45" t="e">
        <f t="shared" si="586"/>
        <v>#VALUE!</v>
      </c>
      <c r="BH1076" s="45" t="e">
        <f t="shared" si="587"/>
        <v>#NUM!</v>
      </c>
      <c r="BI1076" s="43" t="e">
        <f t="shared" si="588"/>
        <v>#VALUE!</v>
      </c>
      <c r="BL1076" s="20"/>
      <c r="BM1076" s="50"/>
      <c r="BN1076" s="50"/>
      <c r="BO1076" s="50"/>
      <c r="BP1076" s="50"/>
      <c r="BQ1076" s="50"/>
      <c r="BR1076" s="50"/>
      <c r="BU1076" s="50"/>
      <c r="BV1076" s="50"/>
      <c r="BW1076" s="50"/>
      <c r="BX1076" s="50"/>
      <c r="BY1076" s="50"/>
      <c r="BZ1076" s="50"/>
      <c r="CA1076" s="50" t="s">
        <v>22</v>
      </c>
      <c r="CE1076" s="50"/>
      <c r="CF1076" s="50"/>
      <c r="CG1076" s="50"/>
      <c r="CH1076" s="50"/>
      <c r="CI1076" s="50" t="str">
        <f t="shared" si="599"/>
        <v>Not Reported/ Can not calculate</v>
      </c>
      <c r="CJ1076" s="50" t="e">
        <f t="shared" si="600"/>
        <v>#VALUE!</v>
      </c>
      <c r="CL1076" s="9" t="s">
        <v>1269</v>
      </c>
      <c r="CM1076" s="9" t="s">
        <v>1284</v>
      </c>
      <c r="CN1076" s="55" t="s">
        <v>1284</v>
      </c>
      <c r="CO1076" s="9" t="s">
        <v>1284</v>
      </c>
    </row>
    <row r="1077" spans="1:93" s="9" customFormat="1" x14ac:dyDescent="0.25">
      <c r="A1077" s="9" t="s">
        <v>266</v>
      </c>
      <c r="B1077" s="50">
        <v>0.32620689655172397</v>
      </c>
      <c r="C1077" s="50">
        <v>0.51368909512761007</v>
      </c>
      <c r="D1077" s="50">
        <f t="shared" si="594"/>
        <v>0.63502787901442204</v>
      </c>
      <c r="E1077" s="50" t="s">
        <v>22</v>
      </c>
      <c r="F1077" s="9" t="s">
        <v>22</v>
      </c>
      <c r="G1077" s="9" t="s">
        <v>22</v>
      </c>
      <c r="H1077" s="9" t="s">
        <v>22</v>
      </c>
      <c r="I1077" s="9" t="s">
        <v>22</v>
      </c>
      <c r="J1077" s="50">
        <v>46.046511627906902</v>
      </c>
      <c r="K1077" s="9">
        <v>532</v>
      </c>
      <c r="L1077" s="50">
        <f t="shared" si="595"/>
        <v>3.6884445921041804</v>
      </c>
      <c r="M1077" s="9" t="s">
        <v>23</v>
      </c>
      <c r="N1077" s="50">
        <v>114.81322314049601</v>
      </c>
      <c r="O1077" s="50">
        <f t="shared" si="598"/>
        <v>0.22350722300611467</v>
      </c>
      <c r="P1077" s="50">
        <v>8.1630188832404702</v>
      </c>
      <c r="Q1077" s="50"/>
      <c r="R1077" s="50">
        <f t="shared" si="596"/>
        <v>37.452865203761782</v>
      </c>
      <c r="S1077" s="50">
        <f t="shared" si="597"/>
        <v>0.14193331776997642</v>
      </c>
      <c r="T1077" s="50" t="s">
        <v>22</v>
      </c>
      <c r="U1077" s="50" t="s">
        <v>22</v>
      </c>
      <c r="V1077" s="9">
        <v>20201128</v>
      </c>
      <c r="W1077" s="9" t="s">
        <v>1166</v>
      </c>
      <c r="X1077" s="21">
        <v>2019</v>
      </c>
      <c r="Y1077" s="9" t="s">
        <v>143</v>
      </c>
      <c r="Z1077" s="9" t="s">
        <v>32</v>
      </c>
      <c r="AB1077" s="50"/>
      <c r="AC1077" s="9" t="s">
        <v>514</v>
      </c>
      <c r="AD1077" s="50" t="s">
        <v>22</v>
      </c>
      <c r="AE1077" s="50" t="s">
        <v>22</v>
      </c>
      <c r="AF1077" s="50" t="s">
        <v>22</v>
      </c>
      <c r="AG1077" s="50" t="s">
        <v>22</v>
      </c>
      <c r="AH1077" s="50" t="s">
        <v>22</v>
      </c>
      <c r="AI1077" s="50" t="s">
        <v>22</v>
      </c>
      <c r="AJ1077" s="50" t="s">
        <v>22</v>
      </c>
      <c r="AK1077" s="50" t="s">
        <v>22</v>
      </c>
      <c r="AL1077" s="50" t="s">
        <v>22</v>
      </c>
      <c r="AM1077" s="43" t="e">
        <f t="shared" si="571"/>
        <v>#VALUE!</v>
      </c>
      <c r="AN1077" s="43" t="e">
        <f t="shared" si="572"/>
        <v>#VALUE!</v>
      </c>
      <c r="AO1077" s="57" t="s">
        <v>1169</v>
      </c>
      <c r="AT1077" s="2">
        <f t="shared" si="573"/>
        <v>40</v>
      </c>
      <c r="AU1077" s="45">
        <f t="shared" si="574"/>
        <v>-0.48650686149716355</v>
      </c>
      <c r="AV1077" s="45">
        <f t="shared" si="575"/>
        <v>-0.28929965361802773</v>
      </c>
      <c r="AW1077" s="45">
        <f t="shared" si="576"/>
        <v>-0.19720720787913593</v>
      </c>
      <c r="AX1077" s="45">
        <f t="shared" si="577"/>
        <v>2.0599919090222345</v>
      </c>
      <c r="AY1077" s="45">
        <f t="shared" si="578"/>
        <v>-0.65070843735973793</v>
      </c>
      <c r="AZ1077" s="45">
        <f t="shared" si="579"/>
        <v>0.91185080113958317</v>
      </c>
      <c r="BA1077" s="45">
        <f t="shared" si="580"/>
        <v>1.6631967346819438</v>
      </c>
      <c r="BB1077" s="45">
        <f t="shared" si="581"/>
        <v>0.56684326386213668</v>
      </c>
      <c r="BC1077" s="45" t="e">
        <f t="shared" si="582"/>
        <v>#VALUE!</v>
      </c>
      <c r="BD1077" s="45" t="e">
        <f t="shared" si="583"/>
        <v>#VALUE!</v>
      </c>
      <c r="BE1077" s="45" t="e">
        <f t="shared" si="584"/>
        <v>#VALUE!</v>
      </c>
      <c r="BF1077" s="45" t="e">
        <f t="shared" si="585"/>
        <v>#VALUE!</v>
      </c>
      <c r="BG1077" s="45" t="e">
        <f t="shared" si="586"/>
        <v>#VALUE!</v>
      </c>
      <c r="BH1077" s="45" t="e">
        <f t="shared" si="587"/>
        <v>#NUM!</v>
      </c>
      <c r="BI1077" s="43" t="e">
        <f t="shared" si="588"/>
        <v>#VALUE!</v>
      </c>
      <c r="BL1077" s="20"/>
      <c r="BM1077" s="50"/>
      <c r="BN1077" s="50"/>
      <c r="BO1077" s="50"/>
      <c r="BP1077" s="50"/>
      <c r="BQ1077" s="50"/>
      <c r="BR1077" s="50"/>
      <c r="BU1077" s="50"/>
      <c r="BV1077" s="50"/>
      <c r="BW1077" s="50"/>
      <c r="BX1077" s="50"/>
      <c r="BY1077" s="50"/>
      <c r="BZ1077" s="50"/>
      <c r="CA1077" s="50" t="s">
        <v>22</v>
      </c>
      <c r="CE1077" s="50"/>
      <c r="CF1077" s="50"/>
      <c r="CG1077" s="50"/>
      <c r="CH1077" s="50"/>
      <c r="CI1077" s="50" t="str">
        <f t="shared" si="599"/>
        <v>Not Reported/ Can not calculate</v>
      </c>
      <c r="CJ1077" s="50" t="e">
        <f t="shared" si="600"/>
        <v>#VALUE!</v>
      </c>
      <c r="CL1077" s="9" t="s">
        <v>1269</v>
      </c>
      <c r="CM1077" s="9" t="s">
        <v>1284</v>
      </c>
      <c r="CN1077" s="55" t="s">
        <v>1284</v>
      </c>
      <c r="CO1077" s="9" t="s">
        <v>1284</v>
      </c>
    </row>
    <row r="1078" spans="1:93" s="9" customFormat="1" x14ac:dyDescent="0.25">
      <c r="A1078" s="9" t="s">
        <v>266</v>
      </c>
      <c r="B1078" s="50">
        <v>0.41793103448275792</v>
      </c>
      <c r="C1078" s="50">
        <v>0.68074245939675104</v>
      </c>
      <c r="D1078" s="50">
        <f t="shared" si="594"/>
        <v>0.61393413722586521</v>
      </c>
      <c r="E1078" s="50" t="s">
        <v>22</v>
      </c>
      <c r="F1078" s="9" t="s">
        <v>22</v>
      </c>
      <c r="G1078" s="9" t="s">
        <v>22</v>
      </c>
      <c r="H1078" s="9" t="s">
        <v>22</v>
      </c>
      <c r="I1078" s="9" t="s">
        <v>22</v>
      </c>
      <c r="J1078" s="50">
        <v>50.077519379844901</v>
      </c>
      <c r="K1078" s="9">
        <v>532</v>
      </c>
      <c r="L1078" s="50">
        <f t="shared" si="595"/>
        <v>4.0113387314803051</v>
      </c>
      <c r="M1078" s="9" t="s">
        <v>23</v>
      </c>
      <c r="N1078" s="50">
        <v>184.60826446281001</v>
      </c>
      <c r="O1078" s="50">
        <f t="shared" si="598"/>
        <v>0.27118664616043353</v>
      </c>
      <c r="P1078" s="50">
        <v>12.151938550830501</v>
      </c>
      <c r="Q1078" s="50"/>
      <c r="R1078" s="50">
        <f t="shared" si="596"/>
        <v>77.153522941008745</v>
      </c>
      <c r="S1078" s="50">
        <f t="shared" si="597"/>
        <v>0.16649073963768174</v>
      </c>
      <c r="T1078" s="50" t="s">
        <v>22</v>
      </c>
      <c r="U1078" s="50" t="s">
        <v>22</v>
      </c>
      <c r="V1078" s="9">
        <v>20201128</v>
      </c>
      <c r="W1078" s="9" t="s">
        <v>1166</v>
      </c>
      <c r="X1078" s="21">
        <v>2019</v>
      </c>
      <c r="Y1078" s="9" t="s">
        <v>143</v>
      </c>
      <c r="Z1078" s="9" t="s">
        <v>32</v>
      </c>
      <c r="AB1078" s="50"/>
      <c r="AC1078" s="9" t="s">
        <v>514</v>
      </c>
      <c r="AD1078" s="50" t="s">
        <v>22</v>
      </c>
      <c r="AE1078" s="50" t="s">
        <v>22</v>
      </c>
      <c r="AF1078" s="50" t="s">
        <v>22</v>
      </c>
      <c r="AG1078" s="50" t="s">
        <v>22</v>
      </c>
      <c r="AH1078" s="50" t="s">
        <v>22</v>
      </c>
      <c r="AI1078" s="50" t="s">
        <v>22</v>
      </c>
      <c r="AJ1078" s="50" t="s">
        <v>22</v>
      </c>
      <c r="AK1078" s="50" t="s">
        <v>22</v>
      </c>
      <c r="AL1078" s="50" t="s">
        <v>22</v>
      </c>
      <c r="AM1078" s="43" t="e">
        <f t="shared" si="571"/>
        <v>#VALUE!</v>
      </c>
      <c r="AN1078" s="43" t="e">
        <f t="shared" si="572"/>
        <v>#VALUE!</v>
      </c>
      <c r="AO1078" s="57" t="s">
        <v>1169</v>
      </c>
      <c r="AT1078" s="2">
        <f t="shared" si="573"/>
        <v>40</v>
      </c>
      <c r="AU1078" s="45">
        <f t="shared" si="574"/>
        <v>-0.37889537806868939</v>
      </c>
      <c r="AV1078" s="45">
        <f t="shared" si="575"/>
        <v>-0.16701716065346817</v>
      </c>
      <c r="AW1078" s="45">
        <f t="shared" si="576"/>
        <v>-0.21187821741522123</v>
      </c>
      <c r="AX1078" s="45">
        <f t="shared" si="577"/>
        <v>2.2662511394323253</v>
      </c>
      <c r="AY1078" s="45">
        <f t="shared" si="578"/>
        <v>-0.56673169991420647</v>
      </c>
      <c r="AZ1078" s="45">
        <f t="shared" si="579"/>
        <v>1.0846455647468707</v>
      </c>
      <c r="BA1078" s="45">
        <f t="shared" si="580"/>
        <v>1.6996428076958345</v>
      </c>
      <c r="BB1078" s="45">
        <f t="shared" si="581"/>
        <v>0.60328933687602726</v>
      </c>
      <c r="BC1078" s="45" t="e">
        <f t="shared" si="582"/>
        <v>#VALUE!</v>
      </c>
      <c r="BD1078" s="45" t="e">
        <f t="shared" si="583"/>
        <v>#VALUE!</v>
      </c>
      <c r="BE1078" s="45" t="e">
        <f t="shared" si="584"/>
        <v>#VALUE!</v>
      </c>
      <c r="BF1078" s="45" t="e">
        <f t="shared" si="585"/>
        <v>#VALUE!</v>
      </c>
      <c r="BG1078" s="45" t="e">
        <f t="shared" si="586"/>
        <v>#VALUE!</v>
      </c>
      <c r="BH1078" s="45" t="e">
        <f t="shared" si="587"/>
        <v>#NUM!</v>
      </c>
      <c r="BI1078" s="43" t="e">
        <f t="shared" si="588"/>
        <v>#VALUE!</v>
      </c>
      <c r="BL1078" s="20"/>
      <c r="BM1078" s="50"/>
      <c r="BN1078" s="50"/>
      <c r="BO1078" s="50"/>
      <c r="BP1078" s="50"/>
      <c r="BQ1078" s="50"/>
      <c r="BR1078" s="50"/>
      <c r="BU1078" s="50"/>
      <c r="BV1078" s="50"/>
      <c r="BW1078" s="50"/>
      <c r="BX1078" s="50"/>
      <c r="BY1078" s="50"/>
      <c r="BZ1078" s="50"/>
      <c r="CA1078" s="50" t="s">
        <v>22</v>
      </c>
      <c r="CE1078" s="50"/>
      <c r="CF1078" s="50"/>
      <c r="CG1078" s="50"/>
      <c r="CH1078" s="50"/>
      <c r="CI1078" s="50" t="str">
        <f t="shared" si="599"/>
        <v>Not Reported/ Can not calculate</v>
      </c>
      <c r="CJ1078" s="50" t="e">
        <f t="shared" si="600"/>
        <v>#VALUE!</v>
      </c>
      <c r="CL1078" s="9" t="s">
        <v>1269</v>
      </c>
      <c r="CM1078" s="9" t="s">
        <v>1284</v>
      </c>
      <c r="CN1078" s="55" t="s">
        <v>1284</v>
      </c>
      <c r="CO1078" s="9" t="s">
        <v>1284</v>
      </c>
    </row>
    <row r="1079" spans="1:93" s="9" customFormat="1" x14ac:dyDescent="0.25">
      <c r="A1079" s="9" t="s">
        <v>266</v>
      </c>
      <c r="B1079" s="50">
        <v>0.42827586206896501</v>
      </c>
      <c r="C1079" s="50">
        <v>0.66032482598607811</v>
      </c>
      <c r="D1079" s="50">
        <f t="shared" si="594"/>
        <v>0.64858361402573483</v>
      </c>
      <c r="E1079" s="50" t="s">
        <v>22</v>
      </c>
      <c r="F1079" s="9" t="s">
        <v>22</v>
      </c>
      <c r="G1079" s="9" t="s">
        <v>22</v>
      </c>
      <c r="H1079" s="9" t="s">
        <v>22</v>
      </c>
      <c r="I1079" s="9" t="s">
        <v>22</v>
      </c>
      <c r="J1079" s="50">
        <v>54.935400516795802</v>
      </c>
      <c r="K1079" s="9">
        <v>532</v>
      </c>
      <c r="L1079" s="50">
        <f t="shared" si="595"/>
        <v>4.4004675661130701</v>
      </c>
      <c r="M1079" s="9" t="s">
        <v>23</v>
      </c>
      <c r="N1079" s="50">
        <v>177.530578512396</v>
      </c>
      <c r="O1079" s="50">
        <f t="shared" si="598"/>
        <v>0.26885340596922969</v>
      </c>
      <c r="P1079" s="50">
        <v>15.627327427881401</v>
      </c>
      <c r="Q1079" s="50"/>
      <c r="R1079" s="50">
        <f t="shared" si="596"/>
        <v>76.032061555998467</v>
      </c>
      <c r="S1079" s="50">
        <f t="shared" si="597"/>
        <v>0.17437391368665106</v>
      </c>
      <c r="T1079" s="50" t="s">
        <v>22</v>
      </c>
      <c r="U1079" s="50" t="s">
        <v>22</v>
      </c>
      <c r="V1079" s="9">
        <v>20201128</v>
      </c>
      <c r="W1079" s="9" t="s">
        <v>1166</v>
      </c>
      <c r="X1079" s="21">
        <v>2019</v>
      </c>
      <c r="Y1079" s="9" t="s">
        <v>143</v>
      </c>
      <c r="Z1079" s="9" t="s">
        <v>32</v>
      </c>
      <c r="AB1079" s="50"/>
      <c r="AC1079" s="9" t="s">
        <v>514</v>
      </c>
      <c r="AD1079" s="50" t="s">
        <v>22</v>
      </c>
      <c r="AE1079" s="50" t="s">
        <v>22</v>
      </c>
      <c r="AF1079" s="50" t="s">
        <v>22</v>
      </c>
      <c r="AG1079" s="50" t="s">
        <v>22</v>
      </c>
      <c r="AH1079" s="50" t="s">
        <v>22</v>
      </c>
      <c r="AI1079" s="50" t="s">
        <v>22</v>
      </c>
      <c r="AJ1079" s="50" t="s">
        <v>22</v>
      </c>
      <c r="AK1079" s="50" t="s">
        <v>22</v>
      </c>
      <c r="AL1079" s="50" t="s">
        <v>22</v>
      </c>
      <c r="AM1079" s="43" t="e">
        <f t="shared" si="571"/>
        <v>#VALUE!</v>
      </c>
      <c r="AN1079" s="43" t="e">
        <f t="shared" si="572"/>
        <v>#VALUE!</v>
      </c>
      <c r="AO1079" s="57" t="s">
        <v>1169</v>
      </c>
      <c r="AT1079" s="2">
        <f t="shared" si="573"/>
        <v>40</v>
      </c>
      <c r="AU1079" s="45">
        <f t="shared" si="574"/>
        <v>-0.36827640205839524</v>
      </c>
      <c r="AV1079" s="45">
        <f t="shared" si="575"/>
        <v>-0.18024237441246657</v>
      </c>
      <c r="AW1079" s="45">
        <f t="shared" si="576"/>
        <v>-0.18803402764592864</v>
      </c>
      <c r="AX1079" s="45">
        <f t="shared" si="577"/>
        <v>2.2492731682949336</v>
      </c>
      <c r="AY1079" s="45">
        <f t="shared" si="578"/>
        <v>-0.57048445729259989</v>
      </c>
      <c r="AZ1079" s="45">
        <f t="shared" si="579"/>
        <v>1.1938847117000908</v>
      </c>
      <c r="BA1079" s="45">
        <f t="shared" si="580"/>
        <v>1.7398522951683661</v>
      </c>
      <c r="BB1079" s="45">
        <f t="shared" si="581"/>
        <v>0.64349882434855876</v>
      </c>
      <c r="BC1079" s="45" t="e">
        <f t="shared" si="582"/>
        <v>#VALUE!</v>
      </c>
      <c r="BD1079" s="45" t="e">
        <f t="shared" si="583"/>
        <v>#VALUE!</v>
      </c>
      <c r="BE1079" s="45" t="e">
        <f t="shared" si="584"/>
        <v>#VALUE!</v>
      </c>
      <c r="BF1079" s="45" t="e">
        <f t="shared" si="585"/>
        <v>#VALUE!</v>
      </c>
      <c r="BG1079" s="45" t="e">
        <f t="shared" si="586"/>
        <v>#VALUE!</v>
      </c>
      <c r="BH1079" s="45" t="e">
        <f t="shared" si="587"/>
        <v>#NUM!</v>
      </c>
      <c r="BI1079" s="43" t="e">
        <f t="shared" si="588"/>
        <v>#VALUE!</v>
      </c>
      <c r="BL1079" s="20"/>
      <c r="BM1079" s="50"/>
      <c r="BN1079" s="50"/>
      <c r="BO1079" s="50"/>
      <c r="BP1079" s="50"/>
      <c r="BQ1079" s="50"/>
      <c r="BR1079" s="50"/>
      <c r="BU1079" s="50"/>
      <c r="BV1079" s="50"/>
      <c r="BW1079" s="50"/>
      <c r="BX1079" s="50"/>
      <c r="BY1079" s="50"/>
      <c r="BZ1079" s="50"/>
      <c r="CA1079" s="50" t="s">
        <v>22</v>
      </c>
      <c r="CE1079" s="50"/>
      <c r="CF1079" s="50"/>
      <c r="CG1079" s="50"/>
      <c r="CH1079" s="50"/>
      <c r="CI1079" s="50" t="str">
        <f t="shared" si="599"/>
        <v>Not Reported/ Can not calculate</v>
      </c>
      <c r="CJ1079" s="50" t="e">
        <f t="shared" si="600"/>
        <v>#VALUE!</v>
      </c>
      <c r="CL1079" s="9" t="s">
        <v>1269</v>
      </c>
      <c r="CM1079" s="9" t="s">
        <v>1284</v>
      </c>
      <c r="CN1079" s="55" t="s">
        <v>1284</v>
      </c>
      <c r="CO1079" s="9" t="s">
        <v>1284</v>
      </c>
    </row>
    <row r="1080" spans="1:93" s="9" customFormat="1" x14ac:dyDescent="0.25">
      <c r="A1080" s="9" t="s">
        <v>266</v>
      </c>
      <c r="B1080" s="50">
        <v>0.42827586206896501</v>
      </c>
      <c r="C1080" s="50">
        <v>0.68259860788863103</v>
      </c>
      <c r="D1080" s="50">
        <f t="shared" si="594"/>
        <v>0.62741977074005417</v>
      </c>
      <c r="E1080" s="50" t="s">
        <v>22</v>
      </c>
      <c r="F1080" s="9" t="s">
        <v>22</v>
      </c>
      <c r="G1080" s="9" t="s">
        <v>22</v>
      </c>
      <c r="H1080" s="9" t="s">
        <v>22</v>
      </c>
      <c r="I1080" s="9" t="s">
        <v>22</v>
      </c>
      <c r="J1080" s="50">
        <v>62.170542635658897</v>
      </c>
      <c r="K1080" s="9">
        <v>532</v>
      </c>
      <c r="L1080" s="50">
        <f t="shared" si="595"/>
        <v>4.9800211496086799</v>
      </c>
      <c r="M1080" s="9" t="s">
        <v>23</v>
      </c>
      <c r="N1080" s="50">
        <v>262.58181818181799</v>
      </c>
      <c r="O1080" s="50">
        <f t="shared" si="598"/>
        <v>0.38467968605154168</v>
      </c>
      <c r="P1080" s="50">
        <v>26.023763863098999</v>
      </c>
      <c r="Q1080" s="50"/>
      <c r="R1080" s="50">
        <f t="shared" si="596"/>
        <v>112.45745454545433</v>
      </c>
      <c r="S1080" s="50">
        <f t="shared" si="597"/>
        <v>0.24135564043081428</v>
      </c>
      <c r="T1080" s="50" t="s">
        <v>22</v>
      </c>
      <c r="U1080" s="50" t="s">
        <v>22</v>
      </c>
      <c r="V1080" s="9">
        <v>20201128</v>
      </c>
      <c r="W1080" s="9" t="s">
        <v>1166</v>
      </c>
      <c r="X1080" s="21">
        <v>2019</v>
      </c>
      <c r="Y1080" s="9" t="s">
        <v>143</v>
      </c>
      <c r="Z1080" s="9" t="s">
        <v>32</v>
      </c>
      <c r="AB1080" s="50"/>
      <c r="AC1080" s="9" t="s">
        <v>514</v>
      </c>
      <c r="AD1080" s="50" t="s">
        <v>22</v>
      </c>
      <c r="AE1080" s="50" t="s">
        <v>22</v>
      </c>
      <c r="AF1080" s="50" t="s">
        <v>22</v>
      </c>
      <c r="AG1080" s="50" t="s">
        <v>22</v>
      </c>
      <c r="AH1080" s="50" t="s">
        <v>22</v>
      </c>
      <c r="AI1080" s="50" t="s">
        <v>22</v>
      </c>
      <c r="AJ1080" s="50" t="s">
        <v>22</v>
      </c>
      <c r="AK1080" s="50" t="s">
        <v>22</v>
      </c>
      <c r="AL1080" s="50" t="s">
        <v>22</v>
      </c>
      <c r="AM1080" s="43" t="e">
        <f t="shared" si="571"/>
        <v>#VALUE!</v>
      </c>
      <c r="AN1080" s="43" t="e">
        <f t="shared" si="572"/>
        <v>#VALUE!</v>
      </c>
      <c r="AO1080" s="57" t="s">
        <v>1169</v>
      </c>
      <c r="AT1080" s="2">
        <f t="shared" si="573"/>
        <v>40</v>
      </c>
      <c r="AU1080" s="45">
        <f t="shared" si="574"/>
        <v>-0.36827640205839524</v>
      </c>
      <c r="AV1080" s="45">
        <f t="shared" si="575"/>
        <v>-0.16583460176922032</v>
      </c>
      <c r="AW1080" s="45">
        <f t="shared" si="576"/>
        <v>-0.20244180028917488</v>
      </c>
      <c r="AX1080" s="45">
        <f t="shared" si="577"/>
        <v>2.4192646511644296</v>
      </c>
      <c r="AY1080" s="45">
        <f t="shared" si="578"/>
        <v>-0.41490074706635022</v>
      </c>
      <c r="AZ1080" s="45">
        <f t="shared" si="579"/>
        <v>1.4153701095491447</v>
      </c>
      <c r="BA1080" s="45">
        <f t="shared" si="580"/>
        <v>1.7935846579849144</v>
      </c>
      <c r="BB1080" s="45">
        <f t="shared" si="581"/>
        <v>0.69723118716510712</v>
      </c>
      <c r="BC1080" s="45" t="e">
        <f t="shared" si="582"/>
        <v>#VALUE!</v>
      </c>
      <c r="BD1080" s="45" t="e">
        <f t="shared" si="583"/>
        <v>#VALUE!</v>
      </c>
      <c r="BE1080" s="45" t="e">
        <f t="shared" si="584"/>
        <v>#VALUE!</v>
      </c>
      <c r="BF1080" s="45" t="e">
        <f t="shared" si="585"/>
        <v>#VALUE!</v>
      </c>
      <c r="BG1080" s="45" t="e">
        <f t="shared" si="586"/>
        <v>#VALUE!</v>
      </c>
      <c r="BH1080" s="45" t="e">
        <f t="shared" si="587"/>
        <v>#NUM!</v>
      </c>
      <c r="BI1080" s="43" t="e">
        <f t="shared" si="588"/>
        <v>#VALUE!</v>
      </c>
      <c r="BL1080" s="20"/>
      <c r="BM1080" s="50"/>
      <c r="BN1080" s="50"/>
      <c r="BO1080" s="50"/>
      <c r="BP1080" s="50"/>
      <c r="BQ1080" s="50"/>
      <c r="BR1080" s="50"/>
      <c r="BU1080" s="50"/>
      <c r="BV1080" s="50"/>
      <c r="BW1080" s="50"/>
      <c r="BX1080" s="50"/>
      <c r="BY1080" s="50"/>
      <c r="BZ1080" s="50"/>
      <c r="CA1080" s="50" t="s">
        <v>22</v>
      </c>
      <c r="CE1080" s="50"/>
      <c r="CF1080" s="50"/>
      <c r="CG1080" s="50"/>
      <c r="CH1080" s="50"/>
      <c r="CI1080" s="50" t="str">
        <f t="shared" si="599"/>
        <v>Not Reported/ Can not calculate</v>
      </c>
      <c r="CJ1080" s="50" t="e">
        <f t="shared" si="600"/>
        <v>#VALUE!</v>
      </c>
      <c r="CL1080" s="9" t="s">
        <v>1269</v>
      </c>
      <c r="CM1080" s="9" t="s">
        <v>1284</v>
      </c>
      <c r="CN1080" s="55" t="s">
        <v>1284</v>
      </c>
      <c r="CO1080" s="9" t="s">
        <v>1284</v>
      </c>
    </row>
    <row r="1081" spans="1:93" s="9" customFormat="1" x14ac:dyDescent="0.25">
      <c r="A1081" s="9" t="s">
        <v>266</v>
      </c>
      <c r="B1081" s="50">
        <v>0.29310344827586199</v>
      </c>
      <c r="C1081" s="50">
        <v>0.46264501160092697</v>
      </c>
      <c r="D1081" s="50">
        <f t="shared" si="594"/>
        <v>0.6335385466745076</v>
      </c>
      <c r="E1081" s="50" t="s">
        <v>22</v>
      </c>
      <c r="F1081" s="9" t="s">
        <v>22</v>
      </c>
      <c r="G1081" s="9" t="s">
        <v>22</v>
      </c>
      <c r="H1081" s="9" t="s">
        <v>22</v>
      </c>
      <c r="I1081" s="9" t="s">
        <v>22</v>
      </c>
      <c r="J1081" s="50">
        <v>70.025839793281605</v>
      </c>
      <c r="K1081" s="9">
        <v>532</v>
      </c>
      <c r="L1081" s="50">
        <f t="shared" si="595"/>
        <v>5.6092507545467658</v>
      </c>
      <c r="M1081" s="9" t="s">
        <v>23</v>
      </c>
      <c r="N1081" s="50">
        <v>86.466115702479499</v>
      </c>
      <c r="O1081" s="50">
        <f t="shared" si="598"/>
        <v>0.18689516483334379</v>
      </c>
      <c r="P1081" s="50">
        <v>6.6391687721327504</v>
      </c>
      <c r="Q1081" s="50"/>
      <c r="R1081" s="50">
        <f t="shared" si="596"/>
        <v>25.343516671416399</v>
      </c>
      <c r="S1081" s="50">
        <f t="shared" si="597"/>
        <v>0.11840529110900916</v>
      </c>
      <c r="T1081" s="50" t="s">
        <v>22</v>
      </c>
      <c r="U1081" s="50" t="s">
        <v>22</v>
      </c>
      <c r="V1081" s="9">
        <v>20201128</v>
      </c>
      <c r="W1081" s="9" t="s">
        <v>1166</v>
      </c>
      <c r="X1081" s="21">
        <v>2019</v>
      </c>
      <c r="Y1081" s="9" t="s">
        <v>143</v>
      </c>
      <c r="Z1081" s="9" t="s">
        <v>32</v>
      </c>
      <c r="AB1081" s="50"/>
      <c r="AC1081" s="9" t="s">
        <v>514</v>
      </c>
      <c r="AD1081" s="50" t="s">
        <v>22</v>
      </c>
      <c r="AE1081" s="50" t="s">
        <v>22</v>
      </c>
      <c r="AF1081" s="50" t="s">
        <v>22</v>
      </c>
      <c r="AG1081" s="50" t="s">
        <v>22</v>
      </c>
      <c r="AH1081" s="50" t="s">
        <v>22</v>
      </c>
      <c r="AI1081" s="50" t="s">
        <v>22</v>
      </c>
      <c r="AJ1081" s="50" t="s">
        <v>22</v>
      </c>
      <c r="AK1081" s="50" t="s">
        <v>22</v>
      </c>
      <c r="AL1081" s="50" t="s">
        <v>22</v>
      </c>
      <c r="AM1081" s="43" t="e">
        <f t="shared" si="571"/>
        <v>#VALUE!</v>
      </c>
      <c r="AN1081" s="43" t="e">
        <f t="shared" si="572"/>
        <v>#VALUE!</v>
      </c>
      <c r="AO1081" s="57" t="s">
        <v>1169</v>
      </c>
      <c r="AT1081" s="2">
        <f t="shared" si="573"/>
        <v>40</v>
      </c>
      <c r="AU1081" s="45">
        <f t="shared" si="574"/>
        <v>-0.53297907218466345</v>
      </c>
      <c r="AV1081" s="45">
        <f t="shared" si="575"/>
        <v>-0.3347521161850957</v>
      </c>
      <c r="AW1081" s="45">
        <f t="shared" si="576"/>
        <v>-0.19822695599956777</v>
      </c>
      <c r="AX1081" s="45">
        <f t="shared" si="577"/>
        <v>1.9368459497022397</v>
      </c>
      <c r="AY1081" s="45">
        <f t="shared" si="578"/>
        <v>-0.72840193411266463</v>
      </c>
      <c r="AZ1081" s="45">
        <f t="shared" si="579"/>
        <v>0.82211370884488955</v>
      </c>
      <c r="BA1081" s="45">
        <f t="shared" si="580"/>
        <v>1.845258325855494</v>
      </c>
      <c r="BB1081" s="45">
        <f t="shared" si="581"/>
        <v>0.74890485503568671</v>
      </c>
      <c r="BC1081" s="45" t="e">
        <f t="shared" si="582"/>
        <v>#VALUE!</v>
      </c>
      <c r="BD1081" s="45" t="e">
        <f t="shared" si="583"/>
        <v>#VALUE!</v>
      </c>
      <c r="BE1081" s="45" t="e">
        <f t="shared" si="584"/>
        <v>#VALUE!</v>
      </c>
      <c r="BF1081" s="45" t="e">
        <f t="shared" si="585"/>
        <v>#VALUE!</v>
      </c>
      <c r="BG1081" s="45" t="e">
        <f t="shared" si="586"/>
        <v>#VALUE!</v>
      </c>
      <c r="BH1081" s="45" t="e">
        <f t="shared" si="587"/>
        <v>#NUM!</v>
      </c>
      <c r="BI1081" s="43" t="e">
        <f t="shared" si="588"/>
        <v>#VALUE!</v>
      </c>
      <c r="BL1081" s="20"/>
      <c r="BM1081" s="50"/>
      <c r="BN1081" s="50"/>
      <c r="BO1081" s="50"/>
      <c r="BP1081" s="50"/>
      <c r="BQ1081" s="50"/>
      <c r="BR1081" s="50"/>
      <c r="BU1081" s="50"/>
      <c r="BV1081" s="50"/>
      <c r="BW1081" s="50"/>
      <c r="BX1081" s="50"/>
      <c r="BY1081" s="50"/>
      <c r="BZ1081" s="50"/>
      <c r="CA1081" s="50" t="s">
        <v>22</v>
      </c>
      <c r="CE1081" s="50"/>
      <c r="CF1081" s="50"/>
      <c r="CG1081" s="50"/>
      <c r="CH1081" s="50"/>
      <c r="CI1081" s="50" t="str">
        <f t="shared" si="599"/>
        <v>Not Reported/ Can not calculate</v>
      </c>
      <c r="CJ1081" s="50" t="e">
        <f t="shared" si="600"/>
        <v>#VALUE!</v>
      </c>
      <c r="CL1081" s="9" t="s">
        <v>1269</v>
      </c>
      <c r="CM1081" s="9" t="s">
        <v>1284</v>
      </c>
      <c r="CN1081" s="55" t="s">
        <v>1284</v>
      </c>
      <c r="CO1081" s="9" t="s">
        <v>1284</v>
      </c>
    </row>
    <row r="1082" spans="1:93" s="9" customFormat="1" x14ac:dyDescent="0.25">
      <c r="A1082" s="9" t="s">
        <v>266</v>
      </c>
      <c r="B1082" s="50">
        <v>0.26080355881937495</v>
      </c>
      <c r="C1082" s="50">
        <v>0.39396751740139097</v>
      </c>
      <c r="D1082" s="50">
        <f t="shared" si="594"/>
        <v>0.66199254329299717</v>
      </c>
      <c r="E1082" s="50" t="s">
        <v>22</v>
      </c>
      <c r="F1082" s="9" t="s">
        <v>22</v>
      </c>
      <c r="G1082" s="9" t="s">
        <v>22</v>
      </c>
      <c r="H1082" s="9" t="s">
        <v>22</v>
      </c>
      <c r="I1082" s="9" t="s">
        <v>22</v>
      </c>
      <c r="J1082" s="50">
        <v>49.072164948453597</v>
      </c>
      <c r="K1082" s="9">
        <v>532</v>
      </c>
      <c r="L1082" s="50">
        <f t="shared" si="595"/>
        <v>3.9308072431109267</v>
      </c>
      <c r="M1082" s="9" t="s">
        <v>23</v>
      </c>
      <c r="N1082" s="50">
        <v>161.889807162534</v>
      </c>
      <c r="O1082" s="50">
        <f t="shared" si="598"/>
        <v>0.41092171311573833</v>
      </c>
      <c r="P1082" s="50">
        <v>10.980792061124401</v>
      </c>
      <c r="Q1082" s="50"/>
      <c r="R1082" s="50">
        <f t="shared" si="596"/>
        <v>42.221437844571206</v>
      </c>
      <c r="S1082" s="50">
        <f t="shared" si="597"/>
        <v>0.27202710995980295</v>
      </c>
      <c r="T1082" s="50" t="s">
        <v>22</v>
      </c>
      <c r="U1082" s="50" t="s">
        <v>22</v>
      </c>
      <c r="V1082" s="9">
        <v>20201128</v>
      </c>
      <c r="W1082" s="9" t="s">
        <v>1167</v>
      </c>
      <c r="X1082" s="21">
        <v>2019</v>
      </c>
      <c r="Y1082" s="9" t="s">
        <v>143</v>
      </c>
      <c r="Z1082" s="9" t="s">
        <v>32</v>
      </c>
      <c r="AB1082" s="50"/>
      <c r="AC1082" s="9" t="s">
        <v>514</v>
      </c>
      <c r="AD1082" s="50" t="s">
        <v>22</v>
      </c>
      <c r="AE1082" s="50" t="s">
        <v>22</v>
      </c>
      <c r="AF1082" s="50" t="s">
        <v>22</v>
      </c>
      <c r="AG1082" s="50" t="s">
        <v>22</v>
      </c>
      <c r="AH1082" s="50" t="s">
        <v>22</v>
      </c>
      <c r="AI1082" s="50" t="s">
        <v>22</v>
      </c>
      <c r="AJ1082" s="50" t="s">
        <v>22</v>
      </c>
      <c r="AK1082" s="50" t="s">
        <v>22</v>
      </c>
      <c r="AL1082" s="50" t="s">
        <v>22</v>
      </c>
      <c r="AM1082" s="43" t="e">
        <f t="shared" si="571"/>
        <v>#VALUE!</v>
      </c>
      <c r="AN1082" s="43" t="e">
        <f t="shared" si="572"/>
        <v>#VALUE!</v>
      </c>
      <c r="AO1082" s="57" t="s">
        <v>1169</v>
      </c>
      <c r="AT1082" s="2">
        <f t="shared" si="573"/>
        <v>40</v>
      </c>
      <c r="AU1082" s="45">
        <f t="shared" si="574"/>
        <v>-0.58368648669367784</v>
      </c>
      <c r="AV1082" s="45">
        <f t="shared" si="575"/>
        <v>-0.40453958425279901</v>
      </c>
      <c r="AW1082" s="45">
        <f t="shared" si="576"/>
        <v>-0.17914690244087891</v>
      </c>
      <c r="AX1082" s="45">
        <f t="shared" si="577"/>
        <v>2.2092195057489308</v>
      </c>
      <c r="AY1082" s="45">
        <f t="shared" si="578"/>
        <v>-0.38624090999826993</v>
      </c>
      <c r="AZ1082" s="45">
        <f t="shared" si="579"/>
        <v>1.0406336675611751</v>
      </c>
      <c r="BA1082" s="45">
        <f t="shared" si="580"/>
        <v>1.6908352184542481</v>
      </c>
      <c r="BB1082" s="45">
        <f t="shared" si="581"/>
        <v>0.59448174763444095</v>
      </c>
      <c r="BC1082" s="45" t="e">
        <f t="shared" si="582"/>
        <v>#VALUE!</v>
      </c>
      <c r="BD1082" s="45" t="e">
        <f t="shared" si="583"/>
        <v>#VALUE!</v>
      </c>
      <c r="BE1082" s="45" t="e">
        <f t="shared" si="584"/>
        <v>#VALUE!</v>
      </c>
      <c r="BF1082" s="45" t="e">
        <f t="shared" si="585"/>
        <v>#VALUE!</v>
      </c>
      <c r="BG1082" s="45" t="e">
        <f t="shared" si="586"/>
        <v>#VALUE!</v>
      </c>
      <c r="BH1082" s="45" t="e">
        <f t="shared" si="587"/>
        <v>#NUM!</v>
      </c>
      <c r="BI1082" s="43" t="e">
        <f t="shared" si="588"/>
        <v>#VALUE!</v>
      </c>
      <c r="BL1082" s="20"/>
      <c r="BM1082" s="50"/>
      <c r="BN1082" s="50"/>
      <c r="BO1082" s="50"/>
      <c r="BP1082" s="50"/>
      <c r="BQ1082" s="50"/>
      <c r="BR1082" s="50"/>
      <c r="BU1082" s="50"/>
      <c r="BV1082" s="50"/>
      <c r="BW1082" s="50"/>
      <c r="BX1082" s="50"/>
      <c r="BY1082" s="50"/>
      <c r="BZ1082" s="50"/>
      <c r="CA1082" s="50" t="s">
        <v>22</v>
      </c>
      <c r="CE1082" s="50"/>
      <c r="CF1082" s="50"/>
      <c r="CG1082" s="50"/>
      <c r="CH1082" s="50"/>
      <c r="CI1082" s="50" t="str">
        <f t="shared" si="599"/>
        <v>Not Reported/ Can not calculate</v>
      </c>
      <c r="CJ1082" s="50" t="e">
        <f t="shared" si="600"/>
        <v>#VALUE!</v>
      </c>
      <c r="CL1082" s="9" t="s">
        <v>1269</v>
      </c>
      <c r="CM1082" s="9" t="s">
        <v>1284</v>
      </c>
      <c r="CN1082" s="55" t="s">
        <v>1284</v>
      </c>
      <c r="CO1082" s="9" t="s">
        <v>1284</v>
      </c>
    </row>
    <row r="1083" spans="1:93" s="9" customFormat="1" x14ac:dyDescent="0.25">
      <c r="A1083" s="9" t="s">
        <v>266</v>
      </c>
      <c r="B1083" s="50">
        <v>0.490859341900861</v>
      </c>
      <c r="C1083" s="50">
        <v>0.62969837587006894</v>
      </c>
      <c r="D1083" s="50">
        <f t="shared" si="594"/>
        <v>0.77951501974676241</v>
      </c>
      <c r="E1083" s="50" t="s">
        <v>22</v>
      </c>
      <c r="F1083" s="9" t="s">
        <v>22</v>
      </c>
      <c r="G1083" s="9" t="s">
        <v>22</v>
      </c>
      <c r="H1083" s="9" t="s">
        <v>22</v>
      </c>
      <c r="I1083" s="9" t="s">
        <v>22</v>
      </c>
      <c r="J1083" s="50">
        <v>53.814432989690701</v>
      </c>
      <c r="K1083" s="9">
        <v>532</v>
      </c>
      <c r="L1083" s="50">
        <f t="shared" si="595"/>
        <v>4.3106751699661841</v>
      </c>
      <c r="M1083" s="9" t="s">
        <v>23</v>
      </c>
      <c r="N1083" s="50">
        <v>256.88044077134901</v>
      </c>
      <c r="O1083" s="50">
        <f t="shared" si="598"/>
        <v>0.40794204116599686</v>
      </c>
      <c r="P1083" s="50">
        <v>19.034935516929899</v>
      </c>
      <c r="Q1083" s="50"/>
      <c r="R1083" s="50">
        <f t="shared" si="596"/>
        <v>126.09216410422748</v>
      </c>
      <c r="S1083" s="50">
        <f t="shared" si="597"/>
        <v>0.3179969482750466</v>
      </c>
      <c r="T1083" s="50" t="s">
        <v>22</v>
      </c>
      <c r="U1083" s="50" t="s">
        <v>22</v>
      </c>
      <c r="V1083" s="9">
        <v>20201128</v>
      </c>
      <c r="W1083" s="9" t="s">
        <v>1167</v>
      </c>
      <c r="X1083" s="21">
        <v>2019</v>
      </c>
      <c r="Y1083" s="9" t="s">
        <v>143</v>
      </c>
      <c r="Z1083" s="9" t="s">
        <v>32</v>
      </c>
      <c r="AB1083" s="50"/>
      <c r="AC1083" s="9" t="s">
        <v>514</v>
      </c>
      <c r="AD1083" s="50" t="s">
        <v>22</v>
      </c>
      <c r="AE1083" s="50" t="s">
        <v>22</v>
      </c>
      <c r="AF1083" s="50" t="s">
        <v>22</v>
      </c>
      <c r="AG1083" s="50" t="s">
        <v>22</v>
      </c>
      <c r="AH1083" s="50" t="s">
        <v>22</v>
      </c>
      <c r="AI1083" s="50" t="s">
        <v>22</v>
      </c>
      <c r="AJ1083" s="50" t="s">
        <v>22</v>
      </c>
      <c r="AK1083" s="50" t="s">
        <v>22</v>
      </c>
      <c r="AL1083" s="50" t="s">
        <v>22</v>
      </c>
      <c r="AM1083" s="43" t="e">
        <f t="shared" si="571"/>
        <v>#VALUE!</v>
      </c>
      <c r="AN1083" s="43" t="e">
        <f t="shared" si="572"/>
        <v>#VALUE!</v>
      </c>
      <c r="AO1083" s="57" t="s">
        <v>1169</v>
      </c>
      <c r="AT1083" s="2">
        <f t="shared" si="573"/>
        <v>40</v>
      </c>
      <c r="AU1083" s="45">
        <f t="shared" si="574"/>
        <v>-0.30904293921684173</v>
      </c>
      <c r="AV1083" s="45">
        <f t="shared" si="575"/>
        <v>-0.20086742683701381</v>
      </c>
      <c r="AW1083" s="45">
        <f t="shared" si="576"/>
        <v>-0.10817551237982795</v>
      </c>
      <c r="AX1083" s="45">
        <f t="shared" si="577"/>
        <v>2.4097310377484198</v>
      </c>
      <c r="AY1083" s="45">
        <f t="shared" si="578"/>
        <v>-0.38940153541456646</v>
      </c>
      <c r="AZ1083" s="45">
        <f t="shared" si="579"/>
        <v>1.279551409929532</v>
      </c>
      <c r="BA1083" s="45">
        <f t="shared" si="580"/>
        <v>1.7308987687360171</v>
      </c>
      <c r="BB1083" s="45">
        <f t="shared" si="581"/>
        <v>0.63454529791620984</v>
      </c>
      <c r="BC1083" s="45" t="e">
        <f t="shared" si="582"/>
        <v>#VALUE!</v>
      </c>
      <c r="BD1083" s="45" t="e">
        <f t="shared" si="583"/>
        <v>#VALUE!</v>
      </c>
      <c r="BE1083" s="45" t="e">
        <f t="shared" si="584"/>
        <v>#VALUE!</v>
      </c>
      <c r="BF1083" s="45" t="e">
        <f t="shared" si="585"/>
        <v>#VALUE!</v>
      </c>
      <c r="BG1083" s="45" t="e">
        <f t="shared" si="586"/>
        <v>#VALUE!</v>
      </c>
      <c r="BH1083" s="45" t="e">
        <f t="shared" si="587"/>
        <v>#NUM!</v>
      </c>
      <c r="BI1083" s="43" t="e">
        <f t="shared" si="588"/>
        <v>#VALUE!</v>
      </c>
      <c r="BL1083" s="20"/>
      <c r="BM1083" s="50"/>
      <c r="BN1083" s="50"/>
      <c r="BO1083" s="50"/>
      <c r="BP1083" s="50"/>
      <c r="BQ1083" s="50"/>
      <c r="BR1083" s="50"/>
      <c r="BU1083" s="50"/>
      <c r="BV1083" s="50"/>
      <c r="BW1083" s="50"/>
      <c r="BX1083" s="50"/>
      <c r="BY1083" s="50"/>
      <c r="BZ1083" s="50"/>
      <c r="CA1083" s="50" t="s">
        <v>22</v>
      </c>
      <c r="CE1083" s="50"/>
      <c r="CF1083" s="50"/>
      <c r="CG1083" s="50"/>
      <c r="CH1083" s="50"/>
      <c r="CI1083" s="50" t="str">
        <f t="shared" si="599"/>
        <v>Not Reported/ Can not calculate</v>
      </c>
      <c r="CJ1083" s="50" t="e">
        <f t="shared" si="600"/>
        <v>#VALUE!</v>
      </c>
      <c r="CL1083" s="9" t="s">
        <v>1269</v>
      </c>
      <c r="CM1083" s="9" t="s">
        <v>1284</v>
      </c>
      <c r="CN1083" s="55" t="s">
        <v>1284</v>
      </c>
      <c r="CO1083" s="9" t="s">
        <v>1284</v>
      </c>
    </row>
    <row r="1084" spans="1:93" s="9" customFormat="1" x14ac:dyDescent="0.25">
      <c r="A1084" s="9" t="s">
        <v>266</v>
      </c>
      <c r="B1084" s="50">
        <v>0.42363013698630103</v>
      </c>
      <c r="C1084" s="50">
        <v>0.56009280742459311</v>
      </c>
      <c r="D1084" s="50">
        <f t="shared" si="594"/>
        <v>0.75635703828125944</v>
      </c>
      <c r="E1084" s="50" t="s">
        <v>22</v>
      </c>
      <c r="F1084" s="9" t="s">
        <v>22</v>
      </c>
      <c r="G1084" s="9" t="s">
        <v>22</v>
      </c>
      <c r="H1084" s="9" t="s">
        <v>22</v>
      </c>
      <c r="I1084" s="9" t="s">
        <v>22</v>
      </c>
      <c r="J1084" s="50">
        <v>60</v>
      </c>
      <c r="K1084" s="9">
        <v>532</v>
      </c>
      <c r="L1084" s="50">
        <f t="shared" si="595"/>
        <v>4.8061550745600004</v>
      </c>
      <c r="M1084" s="9" t="s">
        <v>23</v>
      </c>
      <c r="N1084" s="50">
        <v>227.89311294765801</v>
      </c>
      <c r="O1084" s="50">
        <f t="shared" si="598"/>
        <v>0.40688455542850349</v>
      </c>
      <c r="P1084" s="50">
        <v>12.289326555254499</v>
      </c>
      <c r="Q1084" s="50"/>
      <c r="R1084" s="50">
        <f t="shared" si="596"/>
        <v>96.54239065625093</v>
      </c>
      <c r="S1084" s="50">
        <f t="shared" si="597"/>
        <v>0.30774999726628982</v>
      </c>
      <c r="T1084" s="50" t="s">
        <v>22</v>
      </c>
      <c r="U1084" s="50" t="s">
        <v>22</v>
      </c>
      <c r="V1084" s="9">
        <v>20201128</v>
      </c>
      <c r="W1084" s="9" t="s">
        <v>1167</v>
      </c>
      <c r="X1084" s="21">
        <v>2019</v>
      </c>
      <c r="Y1084" s="9" t="s">
        <v>143</v>
      </c>
      <c r="Z1084" s="9" t="s">
        <v>32</v>
      </c>
      <c r="AB1084" s="50"/>
      <c r="AC1084" s="9" t="s">
        <v>514</v>
      </c>
      <c r="AD1084" s="50" t="s">
        <v>22</v>
      </c>
      <c r="AE1084" s="50" t="s">
        <v>22</v>
      </c>
      <c r="AF1084" s="50" t="s">
        <v>22</v>
      </c>
      <c r="AG1084" s="50" t="s">
        <v>22</v>
      </c>
      <c r="AH1084" s="50" t="s">
        <v>22</v>
      </c>
      <c r="AI1084" s="50" t="s">
        <v>22</v>
      </c>
      <c r="AJ1084" s="50" t="s">
        <v>22</v>
      </c>
      <c r="AK1084" s="50" t="s">
        <v>22</v>
      </c>
      <c r="AL1084" s="50" t="s">
        <v>22</v>
      </c>
      <c r="AM1084" s="43" t="e">
        <f t="shared" si="571"/>
        <v>#VALUE!</v>
      </c>
      <c r="AN1084" s="43" t="e">
        <f t="shared" si="572"/>
        <v>#VALUE!</v>
      </c>
      <c r="AO1084" s="57" t="s">
        <v>1169</v>
      </c>
      <c r="AT1084" s="2">
        <f t="shared" si="573"/>
        <v>40</v>
      </c>
      <c r="AU1084" s="45">
        <f t="shared" si="574"/>
        <v>-0.37301315181929801</v>
      </c>
      <c r="AV1084" s="45">
        <f t="shared" si="575"/>
        <v>-0.25174000439940186</v>
      </c>
      <c r="AW1084" s="45">
        <f t="shared" si="576"/>
        <v>-0.12127314741989612</v>
      </c>
      <c r="AX1084" s="45">
        <f t="shared" si="577"/>
        <v>2.3577312007660569</v>
      </c>
      <c r="AY1084" s="45">
        <f t="shared" si="578"/>
        <v>-0.39052879483454117</v>
      </c>
      <c r="AZ1084" s="45">
        <f t="shared" si="579"/>
        <v>1.0895280845666544</v>
      </c>
      <c r="BA1084" s="45">
        <f t="shared" si="580"/>
        <v>1.7781512503836436</v>
      </c>
      <c r="BB1084" s="45">
        <f t="shared" si="581"/>
        <v>0.68179777956383636</v>
      </c>
      <c r="BC1084" s="45" t="e">
        <f t="shared" si="582"/>
        <v>#VALUE!</v>
      </c>
      <c r="BD1084" s="45" t="e">
        <f t="shared" si="583"/>
        <v>#VALUE!</v>
      </c>
      <c r="BE1084" s="45" t="e">
        <f t="shared" si="584"/>
        <v>#VALUE!</v>
      </c>
      <c r="BF1084" s="45" t="e">
        <f t="shared" si="585"/>
        <v>#VALUE!</v>
      </c>
      <c r="BG1084" s="45" t="e">
        <f t="shared" si="586"/>
        <v>#VALUE!</v>
      </c>
      <c r="BH1084" s="45" t="e">
        <f t="shared" si="587"/>
        <v>#NUM!</v>
      </c>
      <c r="BI1084" s="43" t="e">
        <f t="shared" si="588"/>
        <v>#VALUE!</v>
      </c>
      <c r="BL1084" s="20"/>
      <c r="BM1084" s="50"/>
      <c r="BN1084" s="50"/>
      <c r="BO1084" s="50"/>
      <c r="BP1084" s="50"/>
      <c r="BQ1084" s="50"/>
      <c r="BR1084" s="50"/>
      <c r="BU1084" s="50"/>
      <c r="BV1084" s="50"/>
      <c r="BW1084" s="50"/>
      <c r="BX1084" s="50"/>
      <c r="BY1084" s="50"/>
      <c r="BZ1084" s="50"/>
      <c r="CA1084" s="50" t="s">
        <v>22</v>
      </c>
      <c r="CE1084" s="50"/>
      <c r="CF1084" s="50"/>
      <c r="CG1084" s="50"/>
      <c r="CH1084" s="50"/>
      <c r="CI1084" s="50" t="str">
        <f t="shared" si="599"/>
        <v>Not Reported/ Can not calculate</v>
      </c>
      <c r="CJ1084" s="50" t="e">
        <f t="shared" si="600"/>
        <v>#VALUE!</v>
      </c>
      <c r="CL1084" s="9" t="s">
        <v>1269</v>
      </c>
      <c r="CM1084" s="9" t="s">
        <v>1284</v>
      </c>
      <c r="CN1084" s="55" t="s">
        <v>1284</v>
      </c>
      <c r="CO1084" s="9" t="s">
        <v>1284</v>
      </c>
    </row>
    <row r="1085" spans="1:93" s="9" customFormat="1" x14ac:dyDescent="0.25">
      <c r="A1085" s="9" t="s">
        <v>266</v>
      </c>
      <c r="B1085" s="50">
        <v>0.54827531422115494</v>
      </c>
      <c r="C1085" s="50">
        <v>0.610208816705336</v>
      </c>
      <c r="D1085" s="50">
        <f t="shared" si="594"/>
        <v>0.8985044122787752</v>
      </c>
      <c r="E1085" s="50" t="s">
        <v>22</v>
      </c>
      <c r="F1085" s="9" t="s">
        <v>22</v>
      </c>
      <c r="G1085" s="9" t="s">
        <v>22</v>
      </c>
      <c r="H1085" s="9" t="s">
        <v>22</v>
      </c>
      <c r="I1085" s="9" t="s">
        <v>22</v>
      </c>
      <c r="J1085" s="50">
        <v>60.721649484536002</v>
      </c>
      <c r="K1085" s="9">
        <v>532</v>
      </c>
      <c r="L1085" s="50">
        <f t="shared" si="595"/>
        <v>4.8639610634292714</v>
      </c>
      <c r="M1085" s="9" t="s">
        <v>23</v>
      </c>
      <c r="N1085" s="50">
        <v>324.16418732782302</v>
      </c>
      <c r="O1085" s="50">
        <f t="shared" si="598"/>
        <v>0.53123484691365719</v>
      </c>
      <c r="P1085" s="50">
        <v>18.185950706726299</v>
      </c>
      <c r="Q1085" s="50"/>
      <c r="R1085" s="50">
        <f t="shared" si="596"/>
        <v>177.73122166640749</v>
      </c>
      <c r="S1085" s="50">
        <f t="shared" si="597"/>
        <v>0.47731685390816064</v>
      </c>
      <c r="T1085" s="50" t="s">
        <v>22</v>
      </c>
      <c r="U1085" s="50" t="s">
        <v>22</v>
      </c>
      <c r="V1085" s="9">
        <v>20201128</v>
      </c>
      <c r="W1085" s="9" t="s">
        <v>1167</v>
      </c>
      <c r="X1085" s="21">
        <v>2019</v>
      </c>
      <c r="Y1085" s="9" t="s">
        <v>143</v>
      </c>
      <c r="Z1085" s="9" t="s">
        <v>32</v>
      </c>
      <c r="AB1085" s="50"/>
      <c r="AC1085" s="9" t="s">
        <v>514</v>
      </c>
      <c r="AD1085" s="50" t="s">
        <v>22</v>
      </c>
      <c r="AE1085" s="50" t="s">
        <v>22</v>
      </c>
      <c r="AF1085" s="50" t="s">
        <v>22</v>
      </c>
      <c r="AG1085" s="50" t="s">
        <v>22</v>
      </c>
      <c r="AH1085" s="50" t="s">
        <v>22</v>
      </c>
      <c r="AI1085" s="50" t="s">
        <v>22</v>
      </c>
      <c r="AJ1085" s="50" t="s">
        <v>22</v>
      </c>
      <c r="AK1085" s="50" t="s">
        <v>22</v>
      </c>
      <c r="AL1085" s="50" t="s">
        <v>22</v>
      </c>
      <c r="AM1085" s="43" t="e">
        <f t="shared" si="571"/>
        <v>#VALUE!</v>
      </c>
      <c r="AN1085" s="43" t="e">
        <f t="shared" si="572"/>
        <v>#VALUE!</v>
      </c>
      <c r="AO1085" s="57" t="s">
        <v>1169</v>
      </c>
      <c r="AT1085" s="2">
        <f t="shared" si="573"/>
        <v>40</v>
      </c>
      <c r="AU1085" s="45">
        <f t="shared" si="574"/>
        <v>-0.26100130753413969</v>
      </c>
      <c r="AV1085" s="45">
        <f t="shared" si="575"/>
        <v>-0.21452152167097405</v>
      </c>
      <c r="AW1085" s="45">
        <f t="shared" si="576"/>
        <v>-4.6479785863165778E-2</v>
      </c>
      <c r="AX1085" s="45">
        <f t="shared" si="577"/>
        <v>2.5107650336308964</v>
      </c>
      <c r="AY1085" s="45">
        <f t="shared" si="578"/>
        <v>-0.27471344469812958</v>
      </c>
      <c r="AZ1085" s="45">
        <f t="shared" si="579"/>
        <v>1.2597360095915948</v>
      </c>
      <c r="BA1085" s="45">
        <f t="shared" si="580"/>
        <v>1.7833435605208563</v>
      </c>
      <c r="BB1085" s="45">
        <f t="shared" si="581"/>
        <v>0.68699008970104891</v>
      </c>
      <c r="BC1085" s="45" t="e">
        <f t="shared" si="582"/>
        <v>#VALUE!</v>
      </c>
      <c r="BD1085" s="45" t="e">
        <f t="shared" si="583"/>
        <v>#VALUE!</v>
      </c>
      <c r="BE1085" s="45" t="e">
        <f t="shared" si="584"/>
        <v>#VALUE!</v>
      </c>
      <c r="BF1085" s="45" t="e">
        <f t="shared" si="585"/>
        <v>#VALUE!</v>
      </c>
      <c r="BG1085" s="45" t="e">
        <f t="shared" si="586"/>
        <v>#VALUE!</v>
      </c>
      <c r="BH1085" s="45" t="e">
        <f t="shared" si="587"/>
        <v>#NUM!</v>
      </c>
      <c r="BI1085" s="43" t="e">
        <f t="shared" si="588"/>
        <v>#VALUE!</v>
      </c>
      <c r="BL1085" s="20"/>
      <c r="BM1085" s="50"/>
      <c r="BN1085" s="50"/>
      <c r="BO1085" s="50"/>
      <c r="BP1085" s="50"/>
      <c r="BQ1085" s="50"/>
      <c r="BR1085" s="50"/>
      <c r="BU1085" s="50"/>
      <c r="BV1085" s="50"/>
      <c r="BW1085" s="50"/>
      <c r="BX1085" s="50"/>
      <c r="BY1085" s="50"/>
      <c r="BZ1085" s="50"/>
      <c r="CA1085" s="50" t="s">
        <v>22</v>
      </c>
      <c r="CE1085" s="50"/>
      <c r="CF1085" s="50"/>
      <c r="CG1085" s="50"/>
      <c r="CH1085" s="50"/>
      <c r="CI1085" s="50" t="str">
        <f t="shared" si="599"/>
        <v>Not Reported/ Can not calculate</v>
      </c>
      <c r="CJ1085" s="50" t="e">
        <f t="shared" si="600"/>
        <v>#VALUE!</v>
      </c>
      <c r="CL1085" s="9" t="s">
        <v>1269</v>
      </c>
      <c r="CM1085" s="9" t="s">
        <v>1284</v>
      </c>
      <c r="CN1085" s="55" t="s">
        <v>1284</v>
      </c>
      <c r="CO1085" s="9" t="s">
        <v>1284</v>
      </c>
    </row>
    <row r="1086" spans="1:93" s="9" customFormat="1" x14ac:dyDescent="0.25">
      <c r="A1086" s="9" t="s">
        <v>266</v>
      </c>
      <c r="B1086" s="50">
        <v>0.28859800875582498</v>
      </c>
      <c r="C1086" s="50">
        <v>0.496983758700696</v>
      </c>
      <c r="D1086" s="50">
        <f t="shared" si="594"/>
        <v>0.58069907457404568</v>
      </c>
      <c r="E1086" s="50" t="s">
        <v>22</v>
      </c>
      <c r="F1086" s="9" t="s">
        <v>22</v>
      </c>
      <c r="G1086" s="9" t="s">
        <v>22</v>
      </c>
      <c r="H1086" s="9" t="s">
        <v>22</v>
      </c>
      <c r="I1086" s="9" t="s">
        <v>22</v>
      </c>
      <c r="J1086" s="50">
        <v>65.876288659793801</v>
      </c>
      <c r="K1086" s="9">
        <v>532</v>
      </c>
      <c r="L1086" s="50">
        <f t="shared" si="595"/>
        <v>5.2768609839241227</v>
      </c>
      <c r="M1086" s="9" t="s">
        <v>23</v>
      </c>
      <c r="N1086" s="50">
        <v>136.92231404958599</v>
      </c>
      <c r="O1086" s="50">
        <f t="shared" si="598"/>
        <v>0.27550661697185613</v>
      </c>
      <c r="P1086" s="50">
        <v>6.4963014824510497</v>
      </c>
      <c r="Q1086" s="50"/>
      <c r="R1086" s="50">
        <f t="shared" si="596"/>
        <v>39.515507188950238</v>
      </c>
      <c r="S1086" s="50">
        <f t="shared" si="597"/>
        <v>0.15998643751458291</v>
      </c>
      <c r="T1086" s="50" t="s">
        <v>22</v>
      </c>
      <c r="U1086" s="50" t="s">
        <v>22</v>
      </c>
      <c r="V1086" s="9">
        <v>20201128</v>
      </c>
      <c r="W1086" s="9" t="s">
        <v>1167</v>
      </c>
      <c r="X1086" s="21">
        <v>2019</v>
      </c>
      <c r="Y1086" s="9" t="s">
        <v>143</v>
      </c>
      <c r="Z1086" s="9" t="s">
        <v>32</v>
      </c>
      <c r="AB1086" s="50"/>
      <c r="AC1086" s="9" t="s">
        <v>514</v>
      </c>
      <c r="AD1086" s="50" t="s">
        <v>22</v>
      </c>
      <c r="AE1086" s="50" t="s">
        <v>22</v>
      </c>
      <c r="AF1086" s="50" t="s">
        <v>22</v>
      </c>
      <c r="AG1086" s="50" t="s">
        <v>22</v>
      </c>
      <c r="AH1086" s="50" t="s">
        <v>22</v>
      </c>
      <c r="AI1086" s="50" t="s">
        <v>22</v>
      </c>
      <c r="AJ1086" s="50" t="s">
        <v>22</v>
      </c>
      <c r="AK1086" s="50" t="s">
        <v>22</v>
      </c>
      <c r="AL1086" s="50" t="s">
        <v>22</v>
      </c>
      <c r="AM1086" s="43" t="e">
        <f t="shared" si="571"/>
        <v>#VALUE!</v>
      </c>
      <c r="AN1086" s="43" t="e">
        <f t="shared" si="572"/>
        <v>#VALUE!</v>
      </c>
      <c r="AO1086" s="57" t="s">
        <v>1169</v>
      </c>
      <c r="AT1086" s="2">
        <f t="shared" si="573"/>
        <v>40</v>
      </c>
      <c r="AU1086" s="45">
        <f t="shared" si="574"/>
        <v>-0.53970666974058668</v>
      </c>
      <c r="AV1086" s="45">
        <f t="shared" si="575"/>
        <v>-0.30365780366489481</v>
      </c>
      <c r="AW1086" s="45">
        <f t="shared" si="576"/>
        <v>-0.23604886607569184</v>
      </c>
      <c r="AX1086" s="45">
        <f t="shared" si="577"/>
        <v>2.1364742303027784</v>
      </c>
      <c r="AY1086" s="45">
        <f t="shared" si="578"/>
        <v>-0.55986796603232658</v>
      </c>
      <c r="AZ1086" s="45">
        <f t="shared" si="579"/>
        <v>0.81266617157897225</v>
      </c>
      <c r="BA1086" s="45">
        <f t="shared" si="580"/>
        <v>1.8187291238921552</v>
      </c>
      <c r="BB1086" s="45">
        <f t="shared" si="581"/>
        <v>0.72237565307234797</v>
      </c>
      <c r="BC1086" s="45" t="e">
        <f t="shared" si="582"/>
        <v>#VALUE!</v>
      </c>
      <c r="BD1086" s="45" t="e">
        <f t="shared" si="583"/>
        <v>#VALUE!</v>
      </c>
      <c r="BE1086" s="45" t="e">
        <f t="shared" si="584"/>
        <v>#VALUE!</v>
      </c>
      <c r="BF1086" s="45" t="e">
        <f t="shared" si="585"/>
        <v>#VALUE!</v>
      </c>
      <c r="BG1086" s="45" t="e">
        <f t="shared" si="586"/>
        <v>#VALUE!</v>
      </c>
      <c r="BH1086" s="45" t="e">
        <f t="shared" si="587"/>
        <v>#NUM!</v>
      </c>
      <c r="BI1086" s="43" t="e">
        <f t="shared" si="588"/>
        <v>#VALUE!</v>
      </c>
      <c r="BL1086" s="20"/>
      <c r="BM1086" s="50"/>
      <c r="BN1086" s="50"/>
      <c r="BO1086" s="50"/>
      <c r="BP1086" s="50"/>
      <c r="BQ1086" s="50"/>
      <c r="BR1086" s="50"/>
      <c r="BU1086" s="50"/>
      <c r="BV1086" s="50"/>
      <c r="BW1086" s="50"/>
      <c r="BX1086" s="50"/>
      <c r="BY1086" s="50"/>
      <c r="BZ1086" s="50"/>
      <c r="CA1086" s="50" t="s">
        <v>22</v>
      </c>
      <c r="CE1086" s="50"/>
      <c r="CF1086" s="50"/>
      <c r="CG1086" s="50"/>
      <c r="CH1086" s="50"/>
      <c r="CI1086" s="50" t="str">
        <f t="shared" si="599"/>
        <v>Not Reported/ Can not calculate</v>
      </c>
      <c r="CJ1086" s="50" t="e">
        <f t="shared" si="600"/>
        <v>#VALUE!</v>
      </c>
      <c r="CL1086" s="9" t="s">
        <v>1269</v>
      </c>
      <c r="CM1086" s="9" t="s">
        <v>1284</v>
      </c>
      <c r="CN1086" s="55" t="s">
        <v>1284</v>
      </c>
      <c r="CO1086" s="9" t="s">
        <v>1284</v>
      </c>
    </row>
    <row r="1087" spans="1:93" s="9" customFormat="1" x14ac:dyDescent="0.25">
      <c r="A1087" s="9" t="s">
        <v>266</v>
      </c>
      <c r="B1087" s="50">
        <v>0.269404038977545</v>
      </c>
      <c r="C1087" s="50">
        <v>0.43851508120649602</v>
      </c>
      <c r="D1087" s="50">
        <f t="shared" si="594"/>
        <v>0.61435524232445515</v>
      </c>
      <c r="E1087" s="50" t="s">
        <v>22</v>
      </c>
      <c r="F1087" s="9" t="s">
        <v>22</v>
      </c>
      <c r="G1087" s="9" t="s">
        <v>22</v>
      </c>
      <c r="H1087" s="9" t="s">
        <v>22</v>
      </c>
      <c r="I1087" s="9" t="s">
        <v>22</v>
      </c>
      <c r="J1087" s="50">
        <v>66.804123711340196</v>
      </c>
      <c r="K1087" s="9">
        <v>532</v>
      </c>
      <c r="L1087" s="50">
        <f t="shared" si="595"/>
        <v>5.3511829696131956</v>
      </c>
      <c r="M1087" s="9" t="s">
        <v>23</v>
      </c>
      <c r="N1087" s="50">
        <v>99.307988980716402</v>
      </c>
      <c r="O1087" s="50">
        <f t="shared" si="598"/>
        <v>0.22646425000364459</v>
      </c>
      <c r="P1087" s="50">
        <v>6.2024494434466604</v>
      </c>
      <c r="Q1087" s="50"/>
      <c r="R1087" s="50">
        <f t="shared" si="596"/>
        <v>26.753973334142533</v>
      </c>
      <c r="S1087" s="50">
        <f t="shared" si="597"/>
        <v>0.13912949918881506</v>
      </c>
      <c r="T1087" s="50" t="s">
        <v>22</v>
      </c>
      <c r="U1087" s="50" t="s">
        <v>22</v>
      </c>
      <c r="V1087" s="9">
        <v>20201128</v>
      </c>
      <c r="W1087" s="9" t="s">
        <v>1167</v>
      </c>
      <c r="X1087" s="21">
        <v>2019</v>
      </c>
      <c r="Y1087" s="9" t="s">
        <v>143</v>
      </c>
      <c r="Z1087" s="9" t="s">
        <v>32</v>
      </c>
      <c r="AB1087" s="50"/>
      <c r="AC1087" s="9" t="s">
        <v>514</v>
      </c>
      <c r="AD1087" s="50" t="s">
        <v>22</v>
      </c>
      <c r="AE1087" s="50" t="s">
        <v>22</v>
      </c>
      <c r="AF1087" s="50" t="s">
        <v>22</v>
      </c>
      <c r="AG1087" s="50" t="s">
        <v>22</v>
      </c>
      <c r="AH1087" s="50" t="s">
        <v>22</v>
      </c>
      <c r="AI1087" s="50" t="s">
        <v>22</v>
      </c>
      <c r="AJ1087" s="50" t="s">
        <v>22</v>
      </c>
      <c r="AK1087" s="50" t="s">
        <v>22</v>
      </c>
      <c r="AL1087" s="50" t="s">
        <v>22</v>
      </c>
      <c r="AM1087" s="43" t="e">
        <f t="shared" si="571"/>
        <v>#VALUE!</v>
      </c>
      <c r="AN1087" s="43" t="e">
        <f t="shared" si="572"/>
        <v>#VALUE!</v>
      </c>
      <c r="AO1087" s="57" t="s">
        <v>1169</v>
      </c>
      <c r="AT1087" s="2">
        <f t="shared" si="573"/>
        <v>40</v>
      </c>
      <c r="AU1087" s="45">
        <f t="shared" si="574"/>
        <v>-0.56959589750497364</v>
      </c>
      <c r="AV1087" s="45">
        <f t="shared" si="575"/>
        <v>-0.35801546598748796</v>
      </c>
      <c r="AW1087" s="45">
        <f t="shared" si="576"/>
        <v>-0.21158043151748568</v>
      </c>
      <c r="AX1087" s="45">
        <f t="shared" si="577"/>
        <v>1.9969841873743341</v>
      </c>
      <c r="AY1087" s="45">
        <f t="shared" si="578"/>
        <v>-0.64500034663817785</v>
      </c>
      <c r="AZ1087" s="45">
        <f t="shared" si="579"/>
        <v>0.79256323299718934</v>
      </c>
      <c r="BA1087" s="45">
        <f t="shared" si="580"/>
        <v>1.8248032716043485</v>
      </c>
      <c r="BB1087" s="45">
        <f t="shared" si="581"/>
        <v>0.72844980078454125</v>
      </c>
      <c r="BC1087" s="45" t="e">
        <f t="shared" si="582"/>
        <v>#VALUE!</v>
      </c>
      <c r="BD1087" s="45" t="e">
        <f t="shared" si="583"/>
        <v>#VALUE!</v>
      </c>
      <c r="BE1087" s="45" t="e">
        <f t="shared" si="584"/>
        <v>#VALUE!</v>
      </c>
      <c r="BF1087" s="45" t="e">
        <f t="shared" si="585"/>
        <v>#VALUE!</v>
      </c>
      <c r="BG1087" s="45" t="e">
        <f t="shared" si="586"/>
        <v>#VALUE!</v>
      </c>
      <c r="BH1087" s="45" t="e">
        <f t="shared" si="587"/>
        <v>#NUM!</v>
      </c>
      <c r="BI1087" s="43" t="e">
        <f t="shared" si="588"/>
        <v>#VALUE!</v>
      </c>
      <c r="BL1087" s="20"/>
      <c r="BM1087" s="50"/>
      <c r="BN1087" s="50"/>
      <c r="BO1087" s="50"/>
      <c r="BP1087" s="50"/>
      <c r="BQ1087" s="50"/>
      <c r="BR1087" s="50"/>
      <c r="BU1087" s="50"/>
      <c r="BV1087" s="50"/>
      <c r="BW1087" s="50"/>
      <c r="BX1087" s="50"/>
      <c r="BY1087" s="50"/>
      <c r="BZ1087" s="50"/>
      <c r="CA1087" s="50" t="s">
        <v>22</v>
      </c>
      <c r="CE1087" s="50"/>
      <c r="CF1087" s="50"/>
      <c r="CG1087" s="50"/>
      <c r="CH1087" s="50"/>
      <c r="CI1087" s="50" t="str">
        <f t="shared" si="599"/>
        <v>Not Reported/ Can not calculate</v>
      </c>
      <c r="CJ1087" s="50" t="e">
        <f t="shared" si="600"/>
        <v>#VALUE!</v>
      </c>
      <c r="CL1087" s="9" t="s">
        <v>1269</v>
      </c>
      <c r="CM1087" s="9" t="s">
        <v>1284</v>
      </c>
      <c r="CN1087" s="55" t="s">
        <v>1284</v>
      </c>
      <c r="CO1087" s="9" t="s">
        <v>1284</v>
      </c>
    </row>
    <row r="1088" spans="1:93" s="9" customFormat="1" x14ac:dyDescent="0.25">
      <c r="A1088" s="9" t="s">
        <v>266</v>
      </c>
      <c r="B1088" s="50">
        <v>0.27404321423527694</v>
      </c>
      <c r="C1088" s="50">
        <v>0.48027842227378104</v>
      </c>
      <c r="D1088" s="50">
        <f t="shared" si="594"/>
        <v>0.5705923929246598</v>
      </c>
      <c r="E1088" s="50" t="s">
        <v>22</v>
      </c>
      <c r="F1088" s="9" t="s">
        <v>22</v>
      </c>
      <c r="G1088" s="9" t="s">
        <v>22</v>
      </c>
      <c r="H1088" s="9" t="s">
        <v>22</v>
      </c>
      <c r="I1088" s="9" t="s">
        <v>22</v>
      </c>
      <c r="J1088" s="50">
        <v>75.876288659793801</v>
      </c>
      <c r="K1088" s="9">
        <v>532</v>
      </c>
      <c r="L1088" s="50">
        <f t="shared" si="595"/>
        <v>6.0778868296841218</v>
      </c>
      <c r="M1088" s="9" t="s">
        <v>23</v>
      </c>
      <c r="N1088" s="50">
        <v>105.41157024793399</v>
      </c>
      <c r="O1088" s="50">
        <f t="shared" si="598"/>
        <v>0.21948012935680983</v>
      </c>
      <c r="P1088" s="50">
        <v>8.3186711718567601</v>
      </c>
      <c r="Q1088" s="50"/>
      <c r="R1088" s="50">
        <f t="shared" si="596"/>
        <v>28.88732552833152</v>
      </c>
      <c r="S1088" s="50">
        <f t="shared" si="597"/>
        <v>0.12523369220911598</v>
      </c>
      <c r="T1088" s="50" t="s">
        <v>22</v>
      </c>
      <c r="U1088" s="50" t="s">
        <v>22</v>
      </c>
      <c r="V1088" s="9">
        <v>20201128</v>
      </c>
      <c r="W1088" s="9" t="s">
        <v>1167</v>
      </c>
      <c r="X1088" s="21">
        <v>2019</v>
      </c>
      <c r="Y1088" s="9" t="s">
        <v>143</v>
      </c>
      <c r="Z1088" s="9" t="s">
        <v>32</v>
      </c>
      <c r="AB1088" s="50"/>
      <c r="AC1088" s="9" t="s">
        <v>514</v>
      </c>
      <c r="AD1088" s="50" t="s">
        <v>22</v>
      </c>
      <c r="AE1088" s="50" t="s">
        <v>22</v>
      </c>
      <c r="AF1088" s="50" t="s">
        <v>22</v>
      </c>
      <c r="AG1088" s="50" t="s">
        <v>22</v>
      </c>
      <c r="AH1088" s="50" t="s">
        <v>22</v>
      </c>
      <c r="AI1088" s="50" t="s">
        <v>22</v>
      </c>
      <c r="AJ1088" s="50" t="s">
        <v>22</v>
      </c>
      <c r="AK1088" s="50" t="s">
        <v>22</v>
      </c>
      <c r="AL1088" s="50" t="s">
        <v>22</v>
      </c>
      <c r="AM1088" s="43" t="e">
        <f t="shared" si="571"/>
        <v>#VALUE!</v>
      </c>
      <c r="AN1088" s="43" t="e">
        <f t="shared" si="572"/>
        <v>#VALUE!</v>
      </c>
      <c r="AO1088" s="57" t="s">
        <v>1169</v>
      </c>
      <c r="AT1088" s="2">
        <f t="shared" si="573"/>
        <v>40</v>
      </c>
      <c r="AU1088" s="45">
        <f t="shared" si="574"/>
        <v>-0.56218094731066792</v>
      </c>
      <c r="AV1088" s="45">
        <f t="shared" si="575"/>
        <v>-0.31850692470381464</v>
      </c>
      <c r="AW1088" s="45">
        <f t="shared" si="576"/>
        <v>-0.24367402260685328</v>
      </c>
      <c r="AX1088" s="45">
        <f t="shared" si="577"/>
        <v>2.0228882827840149</v>
      </c>
      <c r="AY1088" s="45">
        <f t="shared" si="578"/>
        <v>-0.65860479251217052</v>
      </c>
      <c r="AZ1088" s="45">
        <f t="shared" si="579"/>
        <v>0.92005395744206131</v>
      </c>
      <c r="BA1088" s="45">
        <f t="shared" si="580"/>
        <v>1.8801060800712539</v>
      </c>
      <c r="BB1088" s="45">
        <f t="shared" si="581"/>
        <v>0.78375260925144663</v>
      </c>
      <c r="BC1088" s="45" t="e">
        <f t="shared" si="582"/>
        <v>#VALUE!</v>
      </c>
      <c r="BD1088" s="45" t="e">
        <f t="shared" si="583"/>
        <v>#VALUE!</v>
      </c>
      <c r="BE1088" s="45" t="e">
        <f t="shared" si="584"/>
        <v>#VALUE!</v>
      </c>
      <c r="BF1088" s="45" t="e">
        <f t="shared" si="585"/>
        <v>#VALUE!</v>
      </c>
      <c r="BG1088" s="45" t="e">
        <f t="shared" si="586"/>
        <v>#VALUE!</v>
      </c>
      <c r="BH1088" s="45" t="e">
        <f t="shared" si="587"/>
        <v>#NUM!</v>
      </c>
      <c r="BI1088" s="43" t="e">
        <f t="shared" si="588"/>
        <v>#VALUE!</v>
      </c>
      <c r="BL1088" s="20"/>
      <c r="BM1088" s="50"/>
      <c r="BN1088" s="50"/>
      <c r="BO1088" s="50"/>
      <c r="BP1088" s="50"/>
      <c r="BQ1088" s="50"/>
      <c r="BR1088" s="50"/>
      <c r="BU1088" s="50"/>
      <c r="BV1088" s="50"/>
      <c r="BW1088" s="50"/>
      <c r="BX1088" s="50"/>
      <c r="BY1088" s="50"/>
      <c r="BZ1088" s="50"/>
      <c r="CA1088" s="50" t="s">
        <v>22</v>
      </c>
      <c r="CE1088" s="50"/>
      <c r="CF1088" s="50"/>
      <c r="CG1088" s="50"/>
      <c r="CH1088" s="50"/>
      <c r="CI1088" s="50" t="str">
        <f t="shared" si="599"/>
        <v>Not Reported/ Can not calculate</v>
      </c>
      <c r="CJ1088" s="50" t="e">
        <f t="shared" si="600"/>
        <v>#VALUE!</v>
      </c>
      <c r="CL1088" s="9" t="s">
        <v>1269</v>
      </c>
      <c r="CM1088" s="9" t="s">
        <v>1284</v>
      </c>
      <c r="CN1088" s="55" t="s">
        <v>1284</v>
      </c>
      <c r="CO1088" s="9" t="s">
        <v>1284</v>
      </c>
    </row>
    <row r="1089" spans="1:93" s="9" customFormat="1" x14ac:dyDescent="0.25">
      <c r="A1089" s="9" t="s">
        <v>266</v>
      </c>
      <c r="B1089" s="50">
        <v>0.32001835898884295</v>
      </c>
      <c r="C1089" s="50">
        <v>0.52575406032482497</v>
      </c>
      <c r="D1089" s="50">
        <f t="shared" si="594"/>
        <v>0.60868452217207214</v>
      </c>
      <c r="E1089" s="50" t="s">
        <v>22</v>
      </c>
      <c r="F1089" s="9" t="s">
        <v>22</v>
      </c>
      <c r="G1089" s="9" t="s">
        <v>22</v>
      </c>
      <c r="H1089" s="9" t="s">
        <v>22</v>
      </c>
      <c r="I1089" s="9" t="s">
        <v>22</v>
      </c>
      <c r="J1089" s="50">
        <v>110.927835051546</v>
      </c>
      <c r="K1089" s="9">
        <v>532</v>
      </c>
      <c r="L1089" s="50">
        <f t="shared" si="595"/>
        <v>8.8856062890490417</v>
      </c>
      <c r="M1089" s="9" t="s">
        <v>23</v>
      </c>
      <c r="N1089" s="50">
        <v>76.953168044077302</v>
      </c>
      <c r="O1089" s="50">
        <f t="shared" si="598"/>
        <v>0.14636723489407494</v>
      </c>
      <c r="P1089" s="50">
        <v>6.01574787170353</v>
      </c>
      <c r="Q1089" s="50"/>
      <c r="R1089" s="50">
        <f t="shared" si="596"/>
        <v>24.626426556458288</v>
      </c>
      <c r="S1089" s="50">
        <f t="shared" si="597"/>
        <v>8.9091470433147454E-2</v>
      </c>
      <c r="T1089" s="50" t="s">
        <v>22</v>
      </c>
      <c r="U1089" s="50" t="s">
        <v>22</v>
      </c>
      <c r="V1089" s="9">
        <v>20201128</v>
      </c>
      <c r="W1089" s="9" t="s">
        <v>1167</v>
      </c>
      <c r="X1089" s="21">
        <v>2019</v>
      </c>
      <c r="Y1089" s="9" t="s">
        <v>143</v>
      </c>
      <c r="Z1089" s="9" t="s">
        <v>32</v>
      </c>
      <c r="AB1089" s="50"/>
      <c r="AC1089" s="9" t="s">
        <v>514</v>
      </c>
      <c r="AD1089" s="50" t="s">
        <v>22</v>
      </c>
      <c r="AE1089" s="50" t="s">
        <v>22</v>
      </c>
      <c r="AF1089" s="50" t="s">
        <v>22</v>
      </c>
      <c r="AG1089" s="50" t="s">
        <v>22</v>
      </c>
      <c r="AH1089" s="50" t="s">
        <v>22</v>
      </c>
      <c r="AI1089" s="50" t="s">
        <v>22</v>
      </c>
      <c r="AJ1089" s="50" t="s">
        <v>22</v>
      </c>
      <c r="AK1089" s="50" t="s">
        <v>22</v>
      </c>
      <c r="AL1089" s="50" t="s">
        <v>22</v>
      </c>
      <c r="AM1089" s="43" t="e">
        <f t="shared" si="571"/>
        <v>#VALUE!</v>
      </c>
      <c r="AN1089" s="43" t="e">
        <f t="shared" si="572"/>
        <v>#VALUE!</v>
      </c>
      <c r="AO1089" s="57" t="s">
        <v>1169</v>
      </c>
      <c r="AT1089" s="2">
        <f t="shared" si="573"/>
        <v>40</v>
      </c>
      <c r="AU1089" s="45">
        <f t="shared" si="574"/>
        <v>-0.49482510612122599</v>
      </c>
      <c r="AV1089" s="45">
        <f t="shared" si="575"/>
        <v>-0.279217364633354</v>
      </c>
      <c r="AW1089" s="45">
        <f t="shared" si="576"/>
        <v>-0.2156077414878721</v>
      </c>
      <c r="AX1089" s="45">
        <f t="shared" si="577"/>
        <v>1.8862265037742512</v>
      </c>
      <c r="AY1089" s="45">
        <f t="shared" si="578"/>
        <v>-0.83455613159239472</v>
      </c>
      <c r="AZ1089" s="45">
        <f t="shared" si="579"/>
        <v>0.77928962608384167</v>
      </c>
      <c r="BA1089" s="45">
        <f t="shared" si="580"/>
        <v>2.045040537064124</v>
      </c>
      <c r="BB1089" s="45">
        <f t="shared" si="581"/>
        <v>0.94868706624431676</v>
      </c>
      <c r="BC1089" s="45" t="e">
        <f t="shared" si="582"/>
        <v>#VALUE!</v>
      </c>
      <c r="BD1089" s="45" t="e">
        <f t="shared" si="583"/>
        <v>#VALUE!</v>
      </c>
      <c r="BE1089" s="45" t="e">
        <f t="shared" si="584"/>
        <v>#VALUE!</v>
      </c>
      <c r="BF1089" s="45" t="e">
        <f t="shared" si="585"/>
        <v>#VALUE!</v>
      </c>
      <c r="BG1089" s="45" t="e">
        <f t="shared" si="586"/>
        <v>#VALUE!</v>
      </c>
      <c r="BH1089" s="45" t="e">
        <f t="shared" si="587"/>
        <v>#NUM!</v>
      </c>
      <c r="BI1089" s="43" t="e">
        <f t="shared" si="588"/>
        <v>#VALUE!</v>
      </c>
      <c r="BL1089" s="20"/>
      <c r="BM1089" s="50"/>
      <c r="BN1089" s="50"/>
      <c r="BO1089" s="50"/>
      <c r="BP1089" s="50"/>
      <c r="BQ1089" s="50"/>
      <c r="BR1089" s="50"/>
      <c r="BU1089" s="50"/>
      <c r="BV1089" s="50"/>
      <c r="BW1089" s="50"/>
      <c r="BX1089" s="50"/>
      <c r="BY1089" s="50"/>
      <c r="BZ1089" s="50"/>
      <c r="CA1089" s="50" t="s">
        <v>22</v>
      </c>
      <c r="CE1089" s="50"/>
      <c r="CF1089" s="50"/>
      <c r="CG1089" s="50"/>
      <c r="CH1089" s="50"/>
      <c r="CI1089" s="50" t="str">
        <f t="shared" si="599"/>
        <v>Not Reported/ Can not calculate</v>
      </c>
      <c r="CJ1089" s="50" t="e">
        <f t="shared" si="600"/>
        <v>#VALUE!</v>
      </c>
      <c r="CL1089" s="9" t="s">
        <v>1269</v>
      </c>
      <c r="CM1089" s="9" t="s">
        <v>1284</v>
      </c>
      <c r="CN1089" s="55" t="s">
        <v>1284</v>
      </c>
      <c r="CO1089" s="9" t="s">
        <v>1284</v>
      </c>
    </row>
    <row r="1090" spans="1:93" s="9" customFormat="1" x14ac:dyDescent="0.25">
      <c r="A1090" s="9" t="s">
        <v>266</v>
      </c>
      <c r="B1090" s="50">
        <v>9.3277785623498803E-3</v>
      </c>
      <c r="C1090" s="50">
        <v>0.16481481481481403</v>
      </c>
      <c r="D1090" s="50">
        <f t="shared" si="594"/>
        <v>5.6595510378302911E-2</v>
      </c>
      <c r="E1090" s="50" t="s">
        <v>22</v>
      </c>
      <c r="F1090" s="9" t="s">
        <v>22</v>
      </c>
      <c r="G1090" s="9" t="s">
        <v>22</v>
      </c>
      <c r="H1090" s="9" t="s">
        <v>22</v>
      </c>
      <c r="I1090" s="9" t="s">
        <v>22</v>
      </c>
      <c r="J1090" s="50">
        <v>15.2577319587628</v>
      </c>
      <c r="K1090" s="9">
        <v>532</v>
      </c>
      <c r="L1090" s="50">
        <f t="shared" si="595"/>
        <v>1.2221837646647353</v>
      </c>
      <c r="M1090" s="9" t="s">
        <v>23</v>
      </c>
      <c r="N1090" s="50">
        <v>6.0418732782370599</v>
      </c>
      <c r="O1090" s="50">
        <f t="shared" si="598"/>
        <v>3.6658556969078965E-2</v>
      </c>
      <c r="P1090" s="50">
        <v>0.60870800482988496</v>
      </c>
      <c r="Q1090" s="50"/>
      <c r="R1090" s="50">
        <f t="shared" si="596"/>
        <v>5.6357256041174239E-2</v>
      </c>
      <c r="S1090" s="50">
        <f t="shared" si="597"/>
        <v>2.074709741397117E-3</v>
      </c>
      <c r="T1090" s="50" t="s">
        <v>22</v>
      </c>
      <c r="U1090" s="50" t="s">
        <v>22</v>
      </c>
      <c r="V1090" s="9">
        <v>20201128</v>
      </c>
      <c r="W1090" s="9" t="s">
        <v>1168</v>
      </c>
      <c r="X1090" s="21">
        <v>2019</v>
      </c>
      <c r="Y1090" s="9" t="s">
        <v>143</v>
      </c>
      <c r="Z1090" s="9" t="s">
        <v>32</v>
      </c>
      <c r="AB1090" s="50"/>
      <c r="AC1090" s="9" t="s">
        <v>514</v>
      </c>
      <c r="AD1090" s="50" t="s">
        <v>22</v>
      </c>
      <c r="AE1090" s="50" t="s">
        <v>22</v>
      </c>
      <c r="AF1090" s="50" t="s">
        <v>22</v>
      </c>
      <c r="AG1090" s="50" t="s">
        <v>22</v>
      </c>
      <c r="AH1090" s="50" t="s">
        <v>22</v>
      </c>
      <c r="AI1090" s="50" t="s">
        <v>22</v>
      </c>
      <c r="AJ1090" s="50" t="s">
        <v>22</v>
      </c>
      <c r="AK1090" s="50" t="s">
        <v>22</v>
      </c>
      <c r="AL1090" s="50" t="s">
        <v>22</v>
      </c>
      <c r="AM1090" s="43" t="e">
        <f t="shared" ref="AM1090:AM1153" si="601">AL1090/AI1090</f>
        <v>#VALUE!</v>
      </c>
      <c r="AN1090" s="43" t="e">
        <f t="shared" ref="AN1090:AN1153" si="602">AL1090/AJ1090</f>
        <v>#VALUE!</v>
      </c>
      <c r="AO1090" s="57" t="s">
        <v>1169</v>
      </c>
      <c r="AT1090" s="2">
        <f t="shared" ref="AT1090:AT1153" si="603">COUNTIF($AO$2:$AO$1400,AO1090)</f>
        <v>40</v>
      </c>
      <c r="AU1090" s="45">
        <f t="shared" ref="AU1090:AU1153" si="604">LOG10(B1090)</f>
        <v>-2.0302217724361582</v>
      </c>
      <c r="AV1090" s="45">
        <f t="shared" ref="AV1090:AV1153" si="605">LOG10(C1090)</f>
        <v>-0.78300375317805782</v>
      </c>
      <c r="AW1090" s="45">
        <f t="shared" ref="AW1090:AW1153" si="606">LOG10(D1090)</f>
        <v>-1.2472180192581002</v>
      </c>
      <c r="AX1090" s="45">
        <f t="shared" ref="AX1090:AX1153" si="607">LOG10(N1090)</f>
        <v>0.78117161217534126</v>
      </c>
      <c r="AY1090" s="45">
        <f t="shared" ref="AY1090:AY1153" si="608">LOG10(O1090)</f>
        <v>-1.435824634646601</v>
      </c>
      <c r="AZ1090" s="45">
        <f t="shared" ref="AZ1090:AZ1153" si="609">LOG10(P1090)</f>
        <v>-0.21559098700896148</v>
      </c>
      <c r="BA1090" s="45">
        <f t="shared" ref="BA1090:BA1153" si="610">LOG10(J1090)</f>
        <v>1.1834899811287101</v>
      </c>
      <c r="BB1090" s="45">
        <f t="shared" ref="BB1090:BB1153" si="611">LOG10(L1090)</f>
        <v>8.7136510308902806E-2</v>
      </c>
      <c r="BC1090" s="45" t="e">
        <f t="shared" ref="BC1090:BC1153" si="612">LOG10(U1090)</f>
        <v>#VALUE!</v>
      </c>
      <c r="BD1090" s="45" t="e">
        <f t="shared" ref="BD1090:BD1153" si="613">LOG10(AD1090)</f>
        <v>#VALUE!</v>
      </c>
      <c r="BE1090" s="45" t="e">
        <f t="shared" ref="BE1090:BE1153" si="614">LOG10(AF1090)</f>
        <v>#VALUE!</v>
      </c>
      <c r="BF1090" s="45" t="e">
        <f t="shared" ref="BF1090:BF1153" si="615">LOG10(AM1090)</f>
        <v>#VALUE!</v>
      </c>
      <c r="BG1090" s="45" t="e">
        <f t="shared" ref="BG1090:BG1153" si="616">LOG10(AN1090)</f>
        <v>#VALUE!</v>
      </c>
      <c r="BH1090" s="45" t="e">
        <f t="shared" ref="BH1090:BH1153" si="617">LOG10(AB1090)</f>
        <v>#NUM!</v>
      </c>
      <c r="BI1090" s="43" t="e">
        <f t="shared" ref="BI1090:BI1153" si="618">LOG10(AF1090)</f>
        <v>#VALUE!</v>
      </c>
      <c r="BL1090" s="20"/>
      <c r="BM1090" s="50"/>
      <c r="BN1090" s="50"/>
      <c r="BO1090" s="50"/>
      <c r="BP1090" s="50"/>
      <c r="BQ1090" s="50"/>
      <c r="BR1090" s="50"/>
      <c r="BU1090" s="50"/>
      <c r="BV1090" s="50"/>
      <c r="BW1090" s="50"/>
      <c r="BX1090" s="50"/>
      <c r="BY1090" s="50"/>
      <c r="BZ1090" s="50"/>
      <c r="CA1090" s="50" t="s">
        <v>22</v>
      </c>
      <c r="CE1090" s="50"/>
      <c r="CF1090" s="50"/>
      <c r="CG1090" s="50"/>
      <c r="CH1090" s="50"/>
      <c r="CI1090" s="50" t="str">
        <f t="shared" si="599"/>
        <v>Not Reported/ Can not calculate</v>
      </c>
      <c r="CJ1090" s="50" t="e">
        <f t="shared" si="600"/>
        <v>#VALUE!</v>
      </c>
      <c r="CL1090" s="9" t="s">
        <v>1269</v>
      </c>
      <c r="CM1090" s="9" t="s">
        <v>1284</v>
      </c>
      <c r="CN1090" s="55" t="s">
        <v>1284</v>
      </c>
      <c r="CO1090" s="9" t="s">
        <v>1284</v>
      </c>
    </row>
    <row r="1091" spans="1:93" s="9" customFormat="1" x14ac:dyDescent="0.25">
      <c r="A1091" s="9" t="s">
        <v>266</v>
      </c>
      <c r="B1091" s="50">
        <v>3.9376500494280299E-2</v>
      </c>
      <c r="C1091" s="50">
        <v>0.24814814814814801</v>
      </c>
      <c r="D1091" s="50">
        <f t="shared" si="594"/>
        <v>0.15868141990232368</v>
      </c>
      <c r="E1091" s="50" t="s">
        <v>22</v>
      </c>
      <c r="F1091" s="9" t="s">
        <v>22</v>
      </c>
      <c r="G1091" s="9" t="s">
        <v>22</v>
      </c>
      <c r="H1091" s="9" t="s">
        <v>22</v>
      </c>
      <c r="I1091" s="9" t="s">
        <v>22</v>
      </c>
      <c r="J1091" s="50">
        <v>20.412371134020599</v>
      </c>
      <c r="K1091" s="9">
        <v>532</v>
      </c>
      <c r="L1091" s="50">
        <f t="shared" si="595"/>
        <v>1.6350836851595862</v>
      </c>
      <c r="M1091" s="9" t="s">
        <v>23</v>
      </c>
      <c r="N1091" s="50">
        <v>23.342148760330701</v>
      </c>
      <c r="O1091" s="50">
        <f t="shared" si="598"/>
        <v>9.406537560133274E-2</v>
      </c>
      <c r="P1091" s="50">
        <v>2.0692419307377601</v>
      </c>
      <c r="Q1091" s="50"/>
      <c r="R1091" s="50">
        <f t="shared" si="596"/>
        <v>0.91913213219872614</v>
      </c>
      <c r="S1091" s="50">
        <f t="shared" si="597"/>
        <v>1.4926427364064873E-2</v>
      </c>
      <c r="T1091" s="50" t="s">
        <v>22</v>
      </c>
      <c r="U1091" s="50" t="s">
        <v>22</v>
      </c>
      <c r="V1091" s="9">
        <v>20201128</v>
      </c>
      <c r="W1091" s="9" t="s">
        <v>1168</v>
      </c>
      <c r="X1091" s="21">
        <v>2019</v>
      </c>
      <c r="Y1091" s="9" t="s">
        <v>143</v>
      </c>
      <c r="Z1091" s="9" t="s">
        <v>32</v>
      </c>
      <c r="AB1091" s="50"/>
      <c r="AC1091" s="9" t="s">
        <v>514</v>
      </c>
      <c r="AD1091" s="50" t="s">
        <v>22</v>
      </c>
      <c r="AE1091" s="50" t="s">
        <v>22</v>
      </c>
      <c r="AF1091" s="50" t="s">
        <v>22</v>
      </c>
      <c r="AG1091" s="50" t="s">
        <v>22</v>
      </c>
      <c r="AH1091" s="50" t="s">
        <v>22</v>
      </c>
      <c r="AI1091" s="50" t="s">
        <v>22</v>
      </c>
      <c r="AJ1091" s="50" t="s">
        <v>22</v>
      </c>
      <c r="AK1091" s="50" t="s">
        <v>22</v>
      </c>
      <c r="AL1091" s="50" t="s">
        <v>22</v>
      </c>
      <c r="AM1091" s="43" t="e">
        <f t="shared" si="601"/>
        <v>#VALUE!</v>
      </c>
      <c r="AN1091" s="43" t="e">
        <f t="shared" si="602"/>
        <v>#VALUE!</v>
      </c>
      <c r="AO1091" s="57" t="s">
        <v>1169</v>
      </c>
      <c r="AT1091" s="2">
        <f t="shared" si="603"/>
        <v>40</v>
      </c>
      <c r="AU1091" s="45">
        <f t="shared" si="604"/>
        <v>-1.4047628835142216</v>
      </c>
      <c r="AV1091" s="45">
        <f t="shared" si="605"/>
        <v>-0.60528896145816113</v>
      </c>
      <c r="AW1091" s="45">
        <f t="shared" si="606"/>
        <v>-0.79947392205606049</v>
      </c>
      <c r="AX1091" s="45">
        <f t="shared" si="607"/>
        <v>1.368140832506294</v>
      </c>
      <c r="AY1091" s="45">
        <f t="shared" si="608"/>
        <v>-1.0265702060355448</v>
      </c>
      <c r="AZ1091" s="45">
        <f t="shared" si="609"/>
        <v>0.31581127028968614</v>
      </c>
      <c r="BA1091" s="45">
        <f t="shared" si="610"/>
        <v>1.3098934559952859</v>
      </c>
      <c r="BB1091" s="45">
        <f t="shared" si="611"/>
        <v>0.21353998517547862</v>
      </c>
      <c r="BC1091" s="45" t="e">
        <f t="shared" si="612"/>
        <v>#VALUE!</v>
      </c>
      <c r="BD1091" s="45" t="e">
        <f t="shared" si="613"/>
        <v>#VALUE!</v>
      </c>
      <c r="BE1091" s="45" t="e">
        <f t="shared" si="614"/>
        <v>#VALUE!</v>
      </c>
      <c r="BF1091" s="45" t="e">
        <f t="shared" si="615"/>
        <v>#VALUE!</v>
      </c>
      <c r="BG1091" s="45" t="e">
        <f t="shared" si="616"/>
        <v>#VALUE!</v>
      </c>
      <c r="BH1091" s="45" t="e">
        <f t="shared" si="617"/>
        <v>#NUM!</v>
      </c>
      <c r="BI1091" s="43" t="e">
        <f t="shared" si="618"/>
        <v>#VALUE!</v>
      </c>
      <c r="BL1091" s="20"/>
      <c r="BM1091" s="50"/>
      <c r="BN1091" s="50"/>
      <c r="BO1091" s="50"/>
      <c r="BP1091" s="50"/>
      <c r="BQ1091" s="50"/>
      <c r="BR1091" s="50"/>
      <c r="BU1091" s="50"/>
      <c r="BV1091" s="50"/>
      <c r="BW1091" s="50"/>
      <c r="BX1091" s="50"/>
      <c r="BY1091" s="50"/>
      <c r="BZ1091" s="50"/>
      <c r="CA1091" s="50" t="s">
        <v>22</v>
      </c>
      <c r="CE1091" s="50"/>
      <c r="CF1091" s="50"/>
      <c r="CG1091" s="50"/>
      <c r="CH1091" s="50"/>
      <c r="CI1091" s="50" t="str">
        <f t="shared" si="599"/>
        <v>Not Reported/ Can not calculate</v>
      </c>
      <c r="CJ1091" s="50" t="e">
        <f t="shared" si="600"/>
        <v>#VALUE!</v>
      </c>
      <c r="CL1091" s="9" t="s">
        <v>1269</v>
      </c>
      <c r="CM1091" s="9" t="s">
        <v>1284</v>
      </c>
      <c r="CN1091" s="55" t="s">
        <v>1284</v>
      </c>
      <c r="CO1091" s="9" t="s">
        <v>1284</v>
      </c>
    </row>
    <row r="1092" spans="1:93" s="9" customFormat="1" x14ac:dyDescent="0.25">
      <c r="A1092" s="9" t="s">
        <v>266</v>
      </c>
      <c r="B1092" s="50">
        <v>0.17963211410817601</v>
      </c>
      <c r="C1092" s="50">
        <v>0.422222222222222</v>
      </c>
      <c r="D1092" s="50">
        <f t="shared" si="594"/>
        <v>0.42544448078252234</v>
      </c>
      <c r="E1092" s="50" t="s">
        <v>22</v>
      </c>
      <c r="F1092" s="9" t="s">
        <v>22</v>
      </c>
      <c r="G1092" s="9" t="s">
        <v>22</v>
      </c>
      <c r="H1092" s="9" t="s">
        <v>22</v>
      </c>
      <c r="I1092" s="9" t="s">
        <v>22</v>
      </c>
      <c r="J1092" s="50">
        <v>29.4845360824742</v>
      </c>
      <c r="K1092" s="9">
        <v>532</v>
      </c>
      <c r="L1092" s="50">
        <f t="shared" si="595"/>
        <v>2.3617875452305133</v>
      </c>
      <c r="M1092" s="9" t="s">
        <v>23</v>
      </c>
      <c r="N1092" s="50">
        <v>120.77024793388399</v>
      </c>
      <c r="O1092" s="50">
        <f t="shared" si="598"/>
        <v>0.28603479773814644</v>
      </c>
      <c r="P1092" s="50">
        <v>11.8777713514555</v>
      </c>
      <c r="Q1092" s="50"/>
      <c r="R1092" s="50">
        <f t="shared" si="596"/>
        <v>21.694214957732157</v>
      </c>
      <c r="S1092" s="50">
        <f t="shared" si="597"/>
        <v>0.12169192600943951</v>
      </c>
      <c r="T1092" s="50" t="s">
        <v>22</v>
      </c>
      <c r="U1092" s="50" t="s">
        <v>22</v>
      </c>
      <c r="V1092" s="9">
        <v>20201128</v>
      </c>
      <c r="W1092" s="9" t="s">
        <v>1168</v>
      </c>
      <c r="X1092" s="21">
        <v>2019</v>
      </c>
      <c r="Y1092" s="9" t="s">
        <v>143</v>
      </c>
      <c r="Z1092" s="9" t="s">
        <v>32</v>
      </c>
      <c r="AB1092" s="50"/>
      <c r="AC1092" s="9" t="s">
        <v>514</v>
      </c>
      <c r="AD1092" s="50" t="s">
        <v>22</v>
      </c>
      <c r="AE1092" s="50" t="s">
        <v>22</v>
      </c>
      <c r="AF1092" s="50" t="s">
        <v>22</v>
      </c>
      <c r="AG1092" s="50" t="s">
        <v>22</v>
      </c>
      <c r="AH1092" s="50" t="s">
        <v>22</v>
      </c>
      <c r="AI1092" s="50" t="s">
        <v>22</v>
      </c>
      <c r="AJ1092" s="50" t="s">
        <v>22</v>
      </c>
      <c r="AK1092" s="50" t="s">
        <v>22</v>
      </c>
      <c r="AL1092" s="50" t="s">
        <v>22</v>
      </c>
      <c r="AM1092" s="43" t="e">
        <f t="shared" si="601"/>
        <v>#VALUE!</v>
      </c>
      <c r="AN1092" s="43" t="e">
        <f t="shared" si="602"/>
        <v>#VALUE!</v>
      </c>
      <c r="AO1092" s="57" t="s">
        <v>1169</v>
      </c>
      <c r="AT1092" s="2">
        <f t="shared" si="603"/>
        <v>40</v>
      </c>
      <c r="AU1092" s="45">
        <f t="shared" si="604"/>
        <v>-0.74561601882017614</v>
      </c>
      <c r="AV1092" s="45">
        <f t="shared" si="605"/>
        <v>-0.37445891282251492</v>
      </c>
      <c r="AW1092" s="45">
        <f t="shared" si="606"/>
        <v>-0.37115710599766122</v>
      </c>
      <c r="AX1092" s="45">
        <f t="shared" si="607"/>
        <v>2.0819599578812285</v>
      </c>
      <c r="AY1092" s="45">
        <f t="shared" si="608"/>
        <v>-0.54358112929625657</v>
      </c>
      <c r="AZ1092" s="45">
        <f t="shared" si="609"/>
        <v>1.0747349607998224</v>
      </c>
      <c r="BA1092" s="45">
        <f t="shared" si="610"/>
        <v>1.4695942988627977</v>
      </c>
      <c r="BB1092" s="45">
        <f t="shared" si="611"/>
        <v>0.37324082804299047</v>
      </c>
      <c r="BC1092" s="45" t="e">
        <f t="shared" si="612"/>
        <v>#VALUE!</v>
      </c>
      <c r="BD1092" s="45" t="e">
        <f t="shared" si="613"/>
        <v>#VALUE!</v>
      </c>
      <c r="BE1092" s="45" t="e">
        <f t="shared" si="614"/>
        <v>#VALUE!</v>
      </c>
      <c r="BF1092" s="45" t="e">
        <f t="shared" si="615"/>
        <v>#VALUE!</v>
      </c>
      <c r="BG1092" s="45" t="e">
        <f t="shared" si="616"/>
        <v>#VALUE!</v>
      </c>
      <c r="BH1092" s="45" t="e">
        <f t="shared" si="617"/>
        <v>#NUM!</v>
      </c>
      <c r="BI1092" s="43" t="e">
        <f t="shared" si="618"/>
        <v>#VALUE!</v>
      </c>
      <c r="BL1092" s="20"/>
      <c r="BM1092" s="50"/>
      <c r="BN1092" s="50"/>
      <c r="BO1092" s="50"/>
      <c r="BP1092" s="50"/>
      <c r="BQ1092" s="50"/>
      <c r="BR1092" s="50"/>
      <c r="BU1092" s="50"/>
      <c r="BV1092" s="50"/>
      <c r="BW1092" s="50"/>
      <c r="BX1092" s="50"/>
      <c r="BY1092" s="50"/>
      <c r="BZ1092" s="50"/>
      <c r="CA1092" s="50" t="s">
        <v>22</v>
      </c>
      <c r="CE1092" s="50"/>
      <c r="CF1092" s="50"/>
      <c r="CG1092" s="50"/>
      <c r="CH1092" s="50"/>
      <c r="CI1092" s="50" t="str">
        <f t="shared" si="599"/>
        <v>Not Reported/ Can not calculate</v>
      </c>
      <c r="CJ1092" s="50" t="e">
        <f t="shared" si="600"/>
        <v>#VALUE!</v>
      </c>
      <c r="CL1092" s="9" t="s">
        <v>1269</v>
      </c>
      <c r="CM1092" s="9" t="s">
        <v>1284</v>
      </c>
      <c r="CN1092" s="55" t="s">
        <v>1284</v>
      </c>
      <c r="CO1092" s="9" t="s">
        <v>1284</v>
      </c>
    </row>
    <row r="1093" spans="1:93" s="9" customFormat="1" x14ac:dyDescent="0.25">
      <c r="A1093" s="9" t="s">
        <v>266</v>
      </c>
      <c r="B1093" s="50">
        <v>0.18165513345572598</v>
      </c>
      <c r="C1093" s="50">
        <v>0.44351851851851803</v>
      </c>
      <c r="D1093" s="50">
        <f t="shared" si="594"/>
        <v>0.40957733639286897</v>
      </c>
      <c r="E1093" s="50" t="s">
        <v>22</v>
      </c>
      <c r="F1093" s="9" t="s">
        <v>22</v>
      </c>
      <c r="G1093" s="9" t="s">
        <v>22</v>
      </c>
      <c r="H1093" s="9" t="s">
        <v>22</v>
      </c>
      <c r="I1093" s="9" t="s">
        <v>22</v>
      </c>
      <c r="J1093" s="50">
        <v>31.340206185566998</v>
      </c>
      <c r="K1093" s="9">
        <v>532</v>
      </c>
      <c r="L1093" s="50">
        <f t="shared" si="595"/>
        <v>2.510431516608659</v>
      </c>
      <c r="M1093" s="9" t="s">
        <v>23</v>
      </c>
      <c r="N1093" s="50">
        <v>150.50247933884299</v>
      </c>
      <c r="O1093" s="50">
        <f t="shared" si="598"/>
        <v>0.33933753170344599</v>
      </c>
      <c r="P1093" s="50">
        <v>14.073747120838499</v>
      </c>
      <c r="Q1093" s="50"/>
      <c r="R1093" s="50">
        <f t="shared" si="596"/>
        <v>27.339547969715166</v>
      </c>
      <c r="S1093" s="50">
        <f t="shared" si="597"/>
        <v>0.13898496237322813</v>
      </c>
      <c r="T1093" s="50" t="s">
        <v>22</v>
      </c>
      <c r="U1093" s="50" t="s">
        <v>22</v>
      </c>
      <c r="V1093" s="9">
        <v>20201128</v>
      </c>
      <c r="W1093" s="9" t="s">
        <v>1168</v>
      </c>
      <c r="X1093" s="21">
        <v>2019</v>
      </c>
      <c r="Y1093" s="9" t="s">
        <v>143</v>
      </c>
      <c r="Z1093" s="9" t="s">
        <v>32</v>
      </c>
      <c r="AB1093" s="50"/>
      <c r="AC1093" s="9" t="s">
        <v>514</v>
      </c>
      <c r="AD1093" s="50" t="s">
        <v>22</v>
      </c>
      <c r="AE1093" s="50" t="s">
        <v>22</v>
      </c>
      <c r="AF1093" s="50" t="s">
        <v>22</v>
      </c>
      <c r="AG1093" s="50" t="s">
        <v>22</v>
      </c>
      <c r="AH1093" s="50" t="s">
        <v>22</v>
      </c>
      <c r="AI1093" s="50" t="s">
        <v>22</v>
      </c>
      <c r="AJ1093" s="50" t="s">
        <v>22</v>
      </c>
      <c r="AK1093" s="50" t="s">
        <v>22</v>
      </c>
      <c r="AL1093" s="50" t="s">
        <v>22</v>
      </c>
      <c r="AM1093" s="43" t="e">
        <f t="shared" si="601"/>
        <v>#VALUE!</v>
      </c>
      <c r="AN1093" s="43" t="e">
        <f t="shared" si="602"/>
        <v>#VALUE!</v>
      </c>
      <c r="AO1093" s="57" t="s">
        <v>1169</v>
      </c>
      <c r="AT1093" s="2">
        <f t="shared" si="603"/>
        <v>40</v>
      </c>
      <c r="AU1093" s="45">
        <f t="shared" si="604"/>
        <v>-0.74075232474872899</v>
      </c>
      <c r="AV1093" s="45">
        <f t="shared" si="605"/>
        <v>-0.35308824207238698</v>
      </c>
      <c r="AW1093" s="45">
        <f t="shared" si="606"/>
        <v>-0.38766408267634206</v>
      </c>
      <c r="AX1093" s="45">
        <f t="shared" si="607"/>
        <v>2.1775436544435438</v>
      </c>
      <c r="AY1093" s="45">
        <f t="shared" si="608"/>
        <v>-0.46936810348406927</v>
      </c>
      <c r="AZ1093" s="45">
        <f t="shared" si="609"/>
        <v>1.148409743294255</v>
      </c>
      <c r="BA1093" s="45">
        <f t="shared" si="610"/>
        <v>1.4961018493425087</v>
      </c>
      <c r="BB1093" s="45">
        <f t="shared" si="611"/>
        <v>0.39974837852270151</v>
      </c>
      <c r="BC1093" s="45" t="e">
        <f t="shared" si="612"/>
        <v>#VALUE!</v>
      </c>
      <c r="BD1093" s="45" t="e">
        <f t="shared" si="613"/>
        <v>#VALUE!</v>
      </c>
      <c r="BE1093" s="45" t="e">
        <f t="shared" si="614"/>
        <v>#VALUE!</v>
      </c>
      <c r="BF1093" s="45" t="e">
        <f t="shared" si="615"/>
        <v>#VALUE!</v>
      </c>
      <c r="BG1093" s="45" t="e">
        <f t="shared" si="616"/>
        <v>#VALUE!</v>
      </c>
      <c r="BH1093" s="45" t="e">
        <f t="shared" si="617"/>
        <v>#NUM!</v>
      </c>
      <c r="BI1093" s="43" t="e">
        <f t="shared" si="618"/>
        <v>#VALUE!</v>
      </c>
      <c r="BL1093" s="20"/>
      <c r="BM1093" s="50"/>
      <c r="BN1093" s="50"/>
      <c r="BO1093" s="50"/>
      <c r="BP1093" s="50"/>
      <c r="BQ1093" s="50"/>
      <c r="BR1093" s="50"/>
      <c r="BU1093" s="50"/>
      <c r="BV1093" s="50"/>
      <c r="BW1093" s="50"/>
      <c r="BX1093" s="50"/>
      <c r="BY1093" s="50"/>
      <c r="BZ1093" s="50"/>
      <c r="CA1093" s="50" t="s">
        <v>22</v>
      </c>
      <c r="CE1093" s="50"/>
      <c r="CF1093" s="50"/>
      <c r="CG1093" s="50"/>
      <c r="CH1093" s="50"/>
      <c r="CI1093" s="50" t="str">
        <f t="shared" si="599"/>
        <v>Not Reported/ Can not calculate</v>
      </c>
      <c r="CJ1093" s="50" t="e">
        <f t="shared" si="600"/>
        <v>#VALUE!</v>
      </c>
      <c r="CL1093" s="9" t="s">
        <v>1269</v>
      </c>
      <c r="CM1093" s="9" t="s">
        <v>1284</v>
      </c>
      <c r="CN1093" s="55" t="s">
        <v>1284</v>
      </c>
      <c r="CO1093" s="9" t="s">
        <v>1284</v>
      </c>
    </row>
    <row r="1094" spans="1:93" s="9" customFormat="1" x14ac:dyDescent="0.25">
      <c r="A1094" s="9" t="s">
        <v>266</v>
      </c>
      <c r="B1094" s="50">
        <v>0.27343595537353399</v>
      </c>
      <c r="C1094" s="50">
        <v>0.66111111111111098</v>
      </c>
      <c r="D1094" s="50">
        <f t="shared" si="594"/>
        <v>0.41360060476669019</v>
      </c>
      <c r="E1094" s="50" t="s">
        <v>22</v>
      </c>
      <c r="F1094" s="9" t="s">
        <v>22</v>
      </c>
      <c r="G1094" s="9" t="s">
        <v>22</v>
      </c>
      <c r="H1094" s="9" t="s">
        <v>22</v>
      </c>
      <c r="I1094" s="9" t="s">
        <v>22</v>
      </c>
      <c r="J1094" s="50">
        <v>31.340206185566998</v>
      </c>
      <c r="K1094" s="9">
        <v>532</v>
      </c>
      <c r="L1094" s="50">
        <f t="shared" si="595"/>
        <v>2.510431516608659</v>
      </c>
      <c r="M1094" s="9" t="s">
        <v>23</v>
      </c>
      <c r="N1094" s="50">
        <v>98.436363636363694</v>
      </c>
      <c r="O1094" s="50">
        <f t="shared" si="598"/>
        <v>0.14889533995416362</v>
      </c>
      <c r="P1094" s="50">
        <v>8.2129412600326592</v>
      </c>
      <c r="Q1094" s="50"/>
      <c r="R1094" s="50">
        <f t="shared" si="596"/>
        <v>26.916041134405706</v>
      </c>
      <c r="S1094" s="50">
        <f t="shared" si="597"/>
        <v>6.1583202651984005E-2</v>
      </c>
      <c r="T1094" s="50" t="s">
        <v>22</v>
      </c>
      <c r="U1094" s="50" t="s">
        <v>22</v>
      </c>
      <c r="V1094" s="9">
        <v>20201128</v>
      </c>
      <c r="W1094" s="9" t="s">
        <v>1168</v>
      </c>
      <c r="X1094" s="21">
        <v>2019</v>
      </c>
      <c r="Y1094" s="9" t="s">
        <v>143</v>
      </c>
      <c r="Z1094" s="9" t="s">
        <v>32</v>
      </c>
      <c r="AB1094" s="50"/>
      <c r="AC1094" s="9" t="s">
        <v>514</v>
      </c>
      <c r="AD1094" s="50" t="s">
        <v>22</v>
      </c>
      <c r="AE1094" s="50" t="s">
        <v>22</v>
      </c>
      <c r="AF1094" s="50" t="s">
        <v>22</v>
      </c>
      <c r="AG1094" s="50" t="s">
        <v>22</v>
      </c>
      <c r="AH1094" s="50" t="s">
        <v>22</v>
      </c>
      <c r="AI1094" s="50" t="s">
        <v>22</v>
      </c>
      <c r="AJ1094" s="50" t="s">
        <v>22</v>
      </c>
      <c r="AK1094" s="50" t="s">
        <v>22</v>
      </c>
      <c r="AL1094" s="50" t="s">
        <v>22</v>
      </c>
      <c r="AM1094" s="43" t="e">
        <f t="shared" si="601"/>
        <v>#VALUE!</v>
      </c>
      <c r="AN1094" s="43" t="e">
        <f t="shared" si="602"/>
        <v>#VALUE!</v>
      </c>
      <c r="AO1094" s="57" t="s">
        <v>1169</v>
      </c>
      <c r="AT1094" s="2">
        <f t="shared" si="603"/>
        <v>40</v>
      </c>
      <c r="AU1094" s="45">
        <f t="shared" si="604"/>
        <v>-0.56314437859915345</v>
      </c>
      <c r="AV1094" s="45">
        <f t="shared" si="605"/>
        <v>-0.1797255437107754</v>
      </c>
      <c r="AW1094" s="45">
        <f t="shared" si="606"/>
        <v>-0.38341883488837802</v>
      </c>
      <c r="AX1094" s="45">
        <f t="shared" si="607"/>
        <v>1.9931555619402441</v>
      </c>
      <c r="AY1094" s="45">
        <f t="shared" si="608"/>
        <v>-0.82711889434898056</v>
      </c>
      <c r="AZ1094" s="45">
        <f t="shared" si="609"/>
        <v>0.91449871671080241</v>
      </c>
      <c r="BA1094" s="45">
        <f t="shared" si="610"/>
        <v>1.4961018493425087</v>
      </c>
      <c r="BB1094" s="45">
        <f t="shared" si="611"/>
        <v>0.39974837852270151</v>
      </c>
      <c r="BC1094" s="45" t="e">
        <f t="shared" si="612"/>
        <v>#VALUE!</v>
      </c>
      <c r="BD1094" s="45" t="e">
        <f t="shared" si="613"/>
        <v>#VALUE!</v>
      </c>
      <c r="BE1094" s="45" t="e">
        <f t="shared" si="614"/>
        <v>#VALUE!</v>
      </c>
      <c r="BF1094" s="45" t="e">
        <f t="shared" si="615"/>
        <v>#VALUE!</v>
      </c>
      <c r="BG1094" s="45" t="e">
        <f t="shared" si="616"/>
        <v>#VALUE!</v>
      </c>
      <c r="BH1094" s="45" t="e">
        <f t="shared" si="617"/>
        <v>#NUM!</v>
      </c>
      <c r="BI1094" s="43" t="e">
        <f t="shared" si="618"/>
        <v>#VALUE!</v>
      </c>
      <c r="BL1094" s="20"/>
      <c r="BM1094" s="50"/>
      <c r="BN1094" s="50"/>
      <c r="BO1094" s="50"/>
      <c r="BP1094" s="50"/>
      <c r="BQ1094" s="50"/>
      <c r="BR1094" s="50"/>
      <c r="BU1094" s="50"/>
      <c r="BV1094" s="50"/>
      <c r="BW1094" s="50"/>
      <c r="BX1094" s="50"/>
      <c r="BY1094" s="50"/>
      <c r="BZ1094" s="50"/>
      <c r="CA1094" s="50" t="s">
        <v>22</v>
      </c>
      <c r="CE1094" s="50"/>
      <c r="CF1094" s="50"/>
      <c r="CG1094" s="50"/>
      <c r="CH1094" s="50"/>
      <c r="CI1094" s="50" t="str">
        <f t="shared" si="599"/>
        <v>Not Reported/ Can not calculate</v>
      </c>
      <c r="CJ1094" s="50" t="e">
        <f t="shared" si="600"/>
        <v>#VALUE!</v>
      </c>
      <c r="CL1094" s="9" t="s">
        <v>1269</v>
      </c>
      <c r="CM1094" s="9" t="s">
        <v>1284</v>
      </c>
      <c r="CN1094" s="55" t="s">
        <v>1284</v>
      </c>
      <c r="CO1094" s="9" t="s">
        <v>1284</v>
      </c>
    </row>
    <row r="1095" spans="1:93" s="9" customFormat="1" x14ac:dyDescent="0.25">
      <c r="A1095" s="9" t="s">
        <v>266</v>
      </c>
      <c r="B1095" s="50">
        <v>0.18643376641717199</v>
      </c>
      <c r="C1095" s="50">
        <v>0.49259259259259197</v>
      </c>
      <c r="D1095" s="50">
        <f t="shared" si="594"/>
        <v>0.37847456340328195</v>
      </c>
      <c r="E1095" s="50" t="s">
        <v>22</v>
      </c>
      <c r="F1095" s="9" t="s">
        <v>22</v>
      </c>
      <c r="G1095" s="9" t="s">
        <v>22</v>
      </c>
      <c r="H1095" s="9" t="s">
        <v>22</v>
      </c>
      <c r="I1095" s="9" t="s">
        <v>22</v>
      </c>
      <c r="J1095" s="50">
        <v>32.268041237113401</v>
      </c>
      <c r="K1095" s="9">
        <v>532</v>
      </c>
      <c r="L1095" s="50">
        <f t="shared" si="595"/>
        <v>2.5847535022977319</v>
      </c>
      <c r="M1095" s="9" t="s">
        <v>23</v>
      </c>
      <c r="N1095" s="50">
        <v>87.683746556473906</v>
      </c>
      <c r="O1095" s="50">
        <f t="shared" si="598"/>
        <v>0.17800459827254125</v>
      </c>
      <c r="P1095" s="50">
        <v>7.0399683419073904</v>
      </c>
      <c r="Q1095" s="50"/>
      <c r="R1095" s="50">
        <f t="shared" si="596"/>
        <v>16.347211124092166</v>
      </c>
      <c r="S1095" s="50">
        <f t="shared" si="597"/>
        <v>6.7370212614976652E-2</v>
      </c>
      <c r="T1095" s="50" t="s">
        <v>22</v>
      </c>
      <c r="U1095" s="50" t="s">
        <v>22</v>
      </c>
      <c r="V1095" s="9">
        <v>20201128</v>
      </c>
      <c r="W1095" s="9" t="s">
        <v>1168</v>
      </c>
      <c r="X1095" s="21">
        <v>2019</v>
      </c>
      <c r="Y1095" s="9" t="s">
        <v>143</v>
      </c>
      <c r="Z1095" s="9" t="s">
        <v>32</v>
      </c>
      <c r="AB1095" s="50"/>
      <c r="AC1095" s="9" t="s">
        <v>514</v>
      </c>
      <c r="AD1095" s="50" t="s">
        <v>22</v>
      </c>
      <c r="AE1095" s="50" t="s">
        <v>22</v>
      </c>
      <c r="AF1095" s="50" t="s">
        <v>22</v>
      </c>
      <c r="AG1095" s="50" t="s">
        <v>22</v>
      </c>
      <c r="AH1095" s="50" t="s">
        <v>22</v>
      </c>
      <c r="AI1095" s="50" t="s">
        <v>22</v>
      </c>
      <c r="AJ1095" s="50" t="s">
        <v>22</v>
      </c>
      <c r="AK1095" s="50" t="s">
        <v>22</v>
      </c>
      <c r="AL1095" s="50" t="s">
        <v>22</v>
      </c>
      <c r="AM1095" s="43" t="e">
        <f t="shared" si="601"/>
        <v>#VALUE!</v>
      </c>
      <c r="AN1095" s="43" t="e">
        <f t="shared" si="602"/>
        <v>#VALUE!</v>
      </c>
      <c r="AO1095" s="57" t="s">
        <v>1169</v>
      </c>
      <c r="AT1095" s="2">
        <f t="shared" si="603"/>
        <v>40</v>
      </c>
      <c r="AU1095" s="45">
        <f t="shared" si="604"/>
        <v>-0.72947542652835573</v>
      </c>
      <c r="AV1095" s="45">
        <f t="shared" si="605"/>
        <v>-0.30751212319190208</v>
      </c>
      <c r="AW1095" s="45">
        <f t="shared" si="606"/>
        <v>-0.42196330333645365</v>
      </c>
      <c r="AX1095" s="45">
        <f t="shared" si="607"/>
        <v>1.9429190980978746</v>
      </c>
      <c r="AY1095" s="45">
        <f t="shared" si="608"/>
        <v>-0.74956877871022343</v>
      </c>
      <c r="AZ1095" s="45">
        <f t="shared" si="609"/>
        <v>0.84757070616400965</v>
      </c>
      <c r="BA1095" s="45">
        <f t="shared" si="610"/>
        <v>1.5087726032802036</v>
      </c>
      <c r="BB1095" s="45">
        <f t="shared" si="611"/>
        <v>0.41241913246039635</v>
      </c>
      <c r="BC1095" s="45" t="e">
        <f t="shared" si="612"/>
        <v>#VALUE!</v>
      </c>
      <c r="BD1095" s="45" t="e">
        <f t="shared" si="613"/>
        <v>#VALUE!</v>
      </c>
      <c r="BE1095" s="45" t="e">
        <f t="shared" si="614"/>
        <v>#VALUE!</v>
      </c>
      <c r="BF1095" s="45" t="e">
        <f t="shared" si="615"/>
        <v>#VALUE!</v>
      </c>
      <c r="BG1095" s="45" t="e">
        <f t="shared" si="616"/>
        <v>#VALUE!</v>
      </c>
      <c r="BH1095" s="45" t="e">
        <f t="shared" si="617"/>
        <v>#NUM!</v>
      </c>
      <c r="BI1095" s="43" t="e">
        <f t="shared" si="618"/>
        <v>#VALUE!</v>
      </c>
      <c r="BL1095" s="20"/>
      <c r="BM1095" s="50"/>
      <c r="BN1095" s="50"/>
      <c r="BO1095" s="50"/>
      <c r="BP1095" s="50"/>
      <c r="BQ1095" s="50"/>
      <c r="BR1095" s="50"/>
      <c r="BU1095" s="50"/>
      <c r="BV1095" s="50"/>
      <c r="BW1095" s="50"/>
      <c r="BX1095" s="50"/>
      <c r="BY1095" s="50"/>
      <c r="BZ1095" s="50"/>
      <c r="CA1095" s="50" t="s">
        <v>22</v>
      </c>
      <c r="CE1095" s="50"/>
      <c r="CF1095" s="50"/>
      <c r="CG1095" s="50"/>
      <c r="CH1095" s="50"/>
      <c r="CI1095" s="50" t="str">
        <f t="shared" si="599"/>
        <v>Not Reported/ Can not calculate</v>
      </c>
      <c r="CJ1095" s="50" t="e">
        <f t="shared" si="600"/>
        <v>#VALUE!</v>
      </c>
      <c r="CL1095" s="9" t="s">
        <v>1269</v>
      </c>
      <c r="CM1095" s="9" t="s">
        <v>1284</v>
      </c>
      <c r="CN1095" s="55" t="s">
        <v>1284</v>
      </c>
      <c r="CO1095" s="9" t="s">
        <v>1284</v>
      </c>
    </row>
    <row r="1096" spans="1:93" s="9" customFormat="1" x14ac:dyDescent="0.25">
      <c r="A1096" s="9" t="s">
        <v>266</v>
      </c>
      <c r="B1096" s="50">
        <v>0.17669644118062397</v>
      </c>
      <c r="C1096" s="50">
        <v>0.60740740740740706</v>
      </c>
      <c r="D1096" s="50">
        <f t="shared" si="594"/>
        <v>0.29090267755346649</v>
      </c>
      <c r="E1096" s="50" t="s">
        <v>22</v>
      </c>
      <c r="F1096" s="9" t="s">
        <v>22</v>
      </c>
      <c r="G1096" s="9" t="s">
        <v>22</v>
      </c>
      <c r="H1096" s="9" t="s">
        <v>22</v>
      </c>
      <c r="I1096" s="9" t="s">
        <v>22</v>
      </c>
      <c r="J1096" s="50">
        <v>40.927835051546303</v>
      </c>
      <c r="K1096" s="9">
        <v>532</v>
      </c>
      <c r="L1096" s="50">
        <f t="shared" si="595"/>
        <v>3.278425368729065</v>
      </c>
      <c r="M1096" s="9" t="s">
        <v>23</v>
      </c>
      <c r="N1096" s="50">
        <v>112.388980716253</v>
      </c>
      <c r="O1096" s="50">
        <f t="shared" si="598"/>
        <v>0.18503063898407518</v>
      </c>
      <c r="P1096" s="50">
        <v>8.4973567522043894</v>
      </c>
      <c r="Q1096" s="50"/>
      <c r="R1096" s="50">
        <f t="shared" si="596"/>
        <v>19.858732920479682</v>
      </c>
      <c r="S1096" s="50">
        <f t="shared" si="597"/>
        <v>5.3825908309896288E-2</v>
      </c>
      <c r="T1096" s="50" t="s">
        <v>22</v>
      </c>
      <c r="U1096" s="50" t="s">
        <v>22</v>
      </c>
      <c r="V1096" s="9">
        <v>20201128</v>
      </c>
      <c r="W1096" s="9" t="s">
        <v>1168</v>
      </c>
      <c r="X1096" s="21">
        <v>2019</v>
      </c>
      <c r="Y1096" s="9" t="s">
        <v>143</v>
      </c>
      <c r="Z1096" s="9" t="s">
        <v>32</v>
      </c>
      <c r="AB1096" s="50"/>
      <c r="AC1096" s="9" t="s">
        <v>514</v>
      </c>
      <c r="AD1096" s="50" t="s">
        <v>22</v>
      </c>
      <c r="AE1096" s="50" t="s">
        <v>22</v>
      </c>
      <c r="AF1096" s="50" t="s">
        <v>22</v>
      </c>
      <c r="AG1096" s="50" t="s">
        <v>22</v>
      </c>
      <c r="AH1096" s="50" t="s">
        <v>22</v>
      </c>
      <c r="AI1096" s="50" t="s">
        <v>22</v>
      </c>
      <c r="AJ1096" s="50" t="s">
        <v>22</v>
      </c>
      <c r="AK1096" s="50" t="s">
        <v>22</v>
      </c>
      <c r="AL1096" s="50" t="s">
        <v>22</v>
      </c>
      <c r="AM1096" s="43" t="e">
        <f t="shared" si="601"/>
        <v>#VALUE!</v>
      </c>
      <c r="AN1096" s="43" t="e">
        <f t="shared" si="602"/>
        <v>#VALUE!</v>
      </c>
      <c r="AO1096" s="57" t="s">
        <v>1169</v>
      </c>
      <c r="AT1096" s="2">
        <f t="shared" si="603"/>
        <v>40</v>
      </c>
      <c r="AU1096" s="45">
        <f t="shared" si="604"/>
        <v>-0.75277219747219237</v>
      </c>
      <c r="AV1096" s="45">
        <f t="shared" si="605"/>
        <v>-0.21651991611128968</v>
      </c>
      <c r="AW1096" s="45">
        <f t="shared" si="606"/>
        <v>-0.53625228136090264</v>
      </c>
      <c r="AX1096" s="45">
        <f t="shared" si="607"/>
        <v>2.050723732507747</v>
      </c>
      <c r="AY1096" s="45">
        <f t="shared" si="608"/>
        <v>-0.73275635138096351</v>
      </c>
      <c r="AZ1096" s="45">
        <f t="shared" si="609"/>
        <v>0.9292838520133726</v>
      </c>
      <c r="BA1096" s="45">
        <f t="shared" si="610"/>
        <v>1.6120187724968693</v>
      </c>
      <c r="BB1096" s="45">
        <f t="shared" si="611"/>
        <v>0.51566530167706204</v>
      </c>
      <c r="BC1096" s="45" t="e">
        <f t="shared" si="612"/>
        <v>#VALUE!</v>
      </c>
      <c r="BD1096" s="45" t="e">
        <f t="shared" si="613"/>
        <v>#VALUE!</v>
      </c>
      <c r="BE1096" s="45" t="e">
        <f t="shared" si="614"/>
        <v>#VALUE!</v>
      </c>
      <c r="BF1096" s="45" t="e">
        <f t="shared" si="615"/>
        <v>#VALUE!</v>
      </c>
      <c r="BG1096" s="45" t="e">
        <f t="shared" si="616"/>
        <v>#VALUE!</v>
      </c>
      <c r="BH1096" s="45" t="e">
        <f t="shared" si="617"/>
        <v>#NUM!</v>
      </c>
      <c r="BI1096" s="43" t="e">
        <f t="shared" si="618"/>
        <v>#VALUE!</v>
      </c>
      <c r="BL1096" s="20"/>
      <c r="BM1096" s="50"/>
      <c r="BN1096" s="50"/>
      <c r="BO1096" s="50"/>
      <c r="BP1096" s="50"/>
      <c r="BQ1096" s="50"/>
      <c r="BR1096" s="50"/>
      <c r="BU1096" s="50"/>
      <c r="BV1096" s="50"/>
      <c r="BW1096" s="50"/>
      <c r="BX1096" s="50"/>
      <c r="BY1096" s="50"/>
      <c r="BZ1096" s="50"/>
      <c r="CA1096" s="50" t="s">
        <v>22</v>
      </c>
      <c r="CE1096" s="50"/>
      <c r="CF1096" s="50"/>
      <c r="CG1096" s="50"/>
      <c r="CH1096" s="50"/>
      <c r="CI1096" s="50" t="str">
        <f t="shared" si="599"/>
        <v>Not Reported/ Can not calculate</v>
      </c>
      <c r="CJ1096" s="50" t="e">
        <f t="shared" si="600"/>
        <v>#VALUE!</v>
      </c>
      <c r="CL1096" s="9" t="s">
        <v>1269</v>
      </c>
      <c r="CM1096" s="9" t="s">
        <v>1284</v>
      </c>
      <c r="CN1096" s="55" t="s">
        <v>1284</v>
      </c>
      <c r="CO1096" s="9" t="s">
        <v>1284</v>
      </c>
    </row>
    <row r="1097" spans="1:93" s="9" customFormat="1" x14ac:dyDescent="0.25">
      <c r="A1097" s="9" t="s">
        <v>266</v>
      </c>
      <c r="B1097" s="50">
        <v>0.23282198841971397</v>
      </c>
      <c r="C1097" s="50">
        <v>0.57592592592592495</v>
      </c>
      <c r="D1097" s="50">
        <f t="shared" si="594"/>
        <v>0.40425682876734975</v>
      </c>
      <c r="E1097" s="50" t="s">
        <v>22</v>
      </c>
      <c r="F1097" s="9" t="s">
        <v>22</v>
      </c>
      <c r="G1097" s="9" t="s">
        <v>22</v>
      </c>
      <c r="H1097" s="9" t="s">
        <v>22</v>
      </c>
      <c r="I1097" s="9" t="s">
        <v>22</v>
      </c>
      <c r="J1097" s="50">
        <v>43.195876288659697</v>
      </c>
      <c r="K1097" s="9">
        <v>532</v>
      </c>
      <c r="L1097" s="50">
        <f t="shared" si="595"/>
        <v>3.4601013337467963</v>
      </c>
      <c r="M1097" s="9" t="s">
        <v>23</v>
      </c>
      <c r="N1097" s="50">
        <v>168.148760330578</v>
      </c>
      <c r="O1097" s="50">
        <f t="shared" si="598"/>
        <v>0.29196247774441247</v>
      </c>
      <c r="P1097" s="50">
        <v>13.9897314135541</v>
      </c>
      <c r="Q1097" s="50"/>
      <c r="R1097" s="50">
        <f t="shared" si="596"/>
        <v>39.148728730475092</v>
      </c>
      <c r="S1097" s="50">
        <f t="shared" si="597"/>
        <v>0.11802782537201412</v>
      </c>
      <c r="T1097" s="50" t="s">
        <v>22</v>
      </c>
      <c r="U1097" s="50" t="s">
        <v>22</v>
      </c>
      <c r="V1097" s="9">
        <v>20201128</v>
      </c>
      <c r="W1097" s="9" t="s">
        <v>1168</v>
      </c>
      <c r="X1097" s="21">
        <v>2019</v>
      </c>
      <c r="Y1097" s="9" t="s">
        <v>143</v>
      </c>
      <c r="Z1097" s="9" t="s">
        <v>32</v>
      </c>
      <c r="AA1097" s="60"/>
      <c r="AB1097" s="50"/>
      <c r="AC1097" s="9" t="s">
        <v>514</v>
      </c>
      <c r="AD1097" s="50" t="s">
        <v>22</v>
      </c>
      <c r="AE1097" s="50" t="s">
        <v>22</v>
      </c>
      <c r="AF1097" s="50" t="s">
        <v>22</v>
      </c>
      <c r="AG1097" s="50" t="s">
        <v>22</v>
      </c>
      <c r="AH1097" s="50" t="s">
        <v>22</v>
      </c>
      <c r="AI1097" s="50" t="s">
        <v>22</v>
      </c>
      <c r="AJ1097" s="50" t="s">
        <v>22</v>
      </c>
      <c r="AK1097" s="50" t="s">
        <v>22</v>
      </c>
      <c r="AL1097" s="50" t="s">
        <v>22</v>
      </c>
      <c r="AM1097" s="43" t="e">
        <f t="shared" si="601"/>
        <v>#VALUE!</v>
      </c>
      <c r="AN1097" s="43" t="e">
        <f t="shared" si="602"/>
        <v>#VALUE!</v>
      </c>
      <c r="AO1097" s="57" t="s">
        <v>1169</v>
      </c>
      <c r="AT1097" s="2">
        <f t="shared" si="603"/>
        <v>40</v>
      </c>
      <c r="AU1097" s="45">
        <f t="shared" si="604"/>
        <v>-0.63297600598781167</v>
      </c>
      <c r="AV1097" s="45">
        <f t="shared" si="605"/>
        <v>-0.23963337079613173</v>
      </c>
      <c r="AW1097" s="45">
        <f t="shared" si="606"/>
        <v>-0.39334263519167983</v>
      </c>
      <c r="AX1097" s="45">
        <f t="shared" si="607"/>
        <v>2.2256936698452785</v>
      </c>
      <c r="AY1097" s="45">
        <f t="shared" si="608"/>
        <v>-0.53467295935858972</v>
      </c>
      <c r="AZ1097" s="45">
        <f t="shared" si="609"/>
        <v>1.1458093766268462</v>
      </c>
      <c r="BA1097" s="45">
        <f t="shared" si="610"/>
        <v>1.6354422887000495</v>
      </c>
      <c r="BB1097" s="45">
        <f t="shared" si="611"/>
        <v>0.53908881788024221</v>
      </c>
      <c r="BC1097" s="45" t="e">
        <f t="shared" si="612"/>
        <v>#VALUE!</v>
      </c>
      <c r="BD1097" s="45" t="e">
        <f t="shared" si="613"/>
        <v>#VALUE!</v>
      </c>
      <c r="BE1097" s="45" t="e">
        <f t="shared" si="614"/>
        <v>#VALUE!</v>
      </c>
      <c r="BF1097" s="45" t="e">
        <f t="shared" si="615"/>
        <v>#VALUE!</v>
      </c>
      <c r="BG1097" s="45" t="e">
        <f t="shared" si="616"/>
        <v>#VALUE!</v>
      </c>
      <c r="BH1097" s="45" t="e">
        <f t="shared" si="617"/>
        <v>#NUM!</v>
      </c>
      <c r="BI1097" s="43" t="e">
        <f t="shared" si="618"/>
        <v>#VALUE!</v>
      </c>
      <c r="BL1097" s="20"/>
      <c r="BM1097" s="50"/>
      <c r="BN1097" s="50"/>
      <c r="BO1097" s="50"/>
      <c r="BP1097" s="50"/>
      <c r="BQ1097" s="50"/>
      <c r="BR1097" s="50"/>
      <c r="BU1097" s="50"/>
      <c r="BV1097" s="50"/>
      <c r="BW1097" s="50"/>
      <c r="BX1097" s="50"/>
      <c r="BY1097" s="50"/>
      <c r="BZ1097" s="50"/>
      <c r="CA1097" s="50" t="s">
        <v>22</v>
      </c>
      <c r="CE1097" s="50"/>
      <c r="CF1097" s="50"/>
      <c r="CG1097" s="50"/>
      <c r="CH1097" s="50"/>
      <c r="CI1097" s="50" t="str">
        <f t="shared" si="599"/>
        <v>Not Reported/ Can not calculate</v>
      </c>
      <c r="CJ1097" s="50" t="e">
        <f t="shared" si="600"/>
        <v>#VALUE!</v>
      </c>
      <c r="CL1097" s="9" t="s">
        <v>1269</v>
      </c>
      <c r="CM1097" s="9" t="s">
        <v>1284</v>
      </c>
      <c r="CN1097" s="55" t="s">
        <v>1284</v>
      </c>
      <c r="CO1097" s="9" t="s">
        <v>1284</v>
      </c>
    </row>
    <row r="1098" spans="1:93" s="9" customFormat="1" x14ac:dyDescent="0.25">
      <c r="A1098" s="9" t="s">
        <v>266</v>
      </c>
      <c r="B1098" s="50">
        <v>0.24293885044485197</v>
      </c>
      <c r="C1098" s="50">
        <v>0.58703703703703691</v>
      </c>
      <c r="D1098" s="50">
        <f t="shared" si="594"/>
        <v>0.41383905123097819</v>
      </c>
      <c r="E1098" s="50" t="s">
        <v>22</v>
      </c>
      <c r="F1098" s="9" t="s">
        <v>22</v>
      </c>
      <c r="G1098" s="9" t="s">
        <v>22</v>
      </c>
      <c r="H1098" s="9" t="s">
        <v>22</v>
      </c>
      <c r="I1098" s="9" t="s">
        <v>22</v>
      </c>
      <c r="J1098" s="50">
        <v>52.371134020618499</v>
      </c>
      <c r="K1098" s="9">
        <v>532</v>
      </c>
      <c r="L1098" s="50">
        <f t="shared" si="595"/>
        <v>4.1950631922276242</v>
      </c>
      <c r="M1098" s="9" t="s">
        <v>23</v>
      </c>
      <c r="N1098" s="50">
        <v>70.119008264462906</v>
      </c>
      <c r="O1098" s="50">
        <f t="shared" si="598"/>
        <v>0.11944562922022073</v>
      </c>
      <c r="P1098" s="50">
        <v>7.3878014875244702</v>
      </c>
      <c r="Q1098" s="50"/>
      <c r="R1098" s="50">
        <f t="shared" si="596"/>
        <v>17.034631262101694</v>
      </c>
      <c r="S1098" s="50">
        <f t="shared" si="597"/>
        <v>4.9431265870183351E-2</v>
      </c>
      <c r="T1098" s="50" t="s">
        <v>22</v>
      </c>
      <c r="U1098" s="50" t="s">
        <v>22</v>
      </c>
      <c r="V1098" s="9">
        <v>20201128</v>
      </c>
      <c r="W1098" s="9" t="s">
        <v>1168</v>
      </c>
      <c r="X1098" s="21">
        <v>2019</v>
      </c>
      <c r="Y1098" s="9" t="s">
        <v>143</v>
      </c>
      <c r="Z1098" s="9" t="s">
        <v>32</v>
      </c>
      <c r="AA1098" s="60"/>
      <c r="AB1098" s="50"/>
      <c r="AC1098" s="9" t="s">
        <v>514</v>
      </c>
      <c r="AD1098" s="50" t="s">
        <v>22</v>
      </c>
      <c r="AE1098" s="50" t="s">
        <v>22</v>
      </c>
      <c r="AF1098" s="50" t="s">
        <v>22</v>
      </c>
      <c r="AG1098" s="50" t="s">
        <v>22</v>
      </c>
      <c r="AH1098" s="50" t="s">
        <v>22</v>
      </c>
      <c r="AI1098" s="50" t="s">
        <v>22</v>
      </c>
      <c r="AJ1098" s="50" t="s">
        <v>22</v>
      </c>
      <c r="AK1098" s="50" t="s">
        <v>22</v>
      </c>
      <c r="AL1098" s="50" t="s">
        <v>22</v>
      </c>
      <c r="AM1098" s="43" t="e">
        <f t="shared" si="601"/>
        <v>#VALUE!</v>
      </c>
      <c r="AN1098" s="43" t="e">
        <f t="shared" si="602"/>
        <v>#VALUE!</v>
      </c>
      <c r="AO1098" s="57" t="s">
        <v>1169</v>
      </c>
      <c r="AT1098" s="2">
        <f t="shared" si="603"/>
        <v>40</v>
      </c>
      <c r="AU1098" s="45">
        <f t="shared" si="604"/>
        <v>-0.61450302786827149</v>
      </c>
      <c r="AV1098" s="45">
        <f t="shared" si="605"/>
        <v>-0.2313344976052171</v>
      </c>
      <c r="AW1098" s="45">
        <f t="shared" si="606"/>
        <v>-0.38316853026305442</v>
      </c>
      <c r="AX1098" s="45">
        <f t="shared" si="607"/>
        <v>1.845835764975706</v>
      </c>
      <c r="AY1098" s="45">
        <f t="shared" si="608"/>
        <v>-0.92282973741907692</v>
      </c>
      <c r="AZ1098" s="45">
        <f t="shared" si="609"/>
        <v>0.86851521730001424</v>
      </c>
      <c r="BA1098" s="45">
        <f t="shared" si="610"/>
        <v>1.7190919780176739</v>
      </c>
      <c r="BB1098" s="45">
        <f t="shared" si="611"/>
        <v>0.62273850719786661</v>
      </c>
      <c r="BC1098" s="45" t="e">
        <f t="shared" si="612"/>
        <v>#VALUE!</v>
      </c>
      <c r="BD1098" s="45" t="e">
        <f t="shared" si="613"/>
        <v>#VALUE!</v>
      </c>
      <c r="BE1098" s="45" t="e">
        <f t="shared" si="614"/>
        <v>#VALUE!</v>
      </c>
      <c r="BF1098" s="45" t="e">
        <f t="shared" si="615"/>
        <v>#VALUE!</v>
      </c>
      <c r="BG1098" s="45" t="e">
        <f t="shared" si="616"/>
        <v>#VALUE!</v>
      </c>
      <c r="BH1098" s="45" t="e">
        <f t="shared" si="617"/>
        <v>#NUM!</v>
      </c>
      <c r="BI1098" s="43" t="e">
        <f t="shared" si="618"/>
        <v>#VALUE!</v>
      </c>
      <c r="BL1098" s="20"/>
      <c r="BM1098" s="50"/>
      <c r="BN1098" s="50"/>
      <c r="BO1098" s="50"/>
      <c r="BP1098" s="50"/>
      <c r="BQ1098" s="50"/>
      <c r="BR1098" s="50"/>
      <c r="BU1098" s="50"/>
      <c r="BV1098" s="50"/>
      <c r="BW1098" s="50"/>
      <c r="BX1098" s="50"/>
      <c r="BY1098" s="50"/>
      <c r="BZ1098" s="50"/>
      <c r="CA1098" s="50" t="s">
        <v>22</v>
      </c>
      <c r="CE1098" s="50"/>
      <c r="CF1098" s="50"/>
      <c r="CG1098" s="50"/>
      <c r="CH1098" s="50"/>
      <c r="CI1098" s="50" t="str">
        <f t="shared" si="599"/>
        <v>Not Reported/ Can not calculate</v>
      </c>
      <c r="CJ1098" s="50" t="e">
        <f t="shared" si="600"/>
        <v>#VALUE!</v>
      </c>
      <c r="CL1098" s="9" t="s">
        <v>1269</v>
      </c>
      <c r="CM1098" s="9" t="s">
        <v>1284</v>
      </c>
      <c r="CN1098" s="55" t="s">
        <v>1284</v>
      </c>
      <c r="CO1098" s="9" t="s">
        <v>1284</v>
      </c>
    </row>
    <row r="1099" spans="1:93" s="9" customFormat="1" x14ac:dyDescent="0.25">
      <c r="A1099" s="9" t="s">
        <v>266</v>
      </c>
      <c r="B1099" s="50">
        <v>0.22506708092077299</v>
      </c>
      <c r="C1099" s="50">
        <v>0.49444444444444402</v>
      </c>
      <c r="D1099" s="50">
        <f t="shared" si="594"/>
        <v>0.45519184905324905</v>
      </c>
      <c r="E1099" s="50" t="s">
        <v>22</v>
      </c>
      <c r="F1099" s="9" t="s">
        <v>22</v>
      </c>
      <c r="G1099" s="9" t="s">
        <v>22</v>
      </c>
      <c r="H1099" s="9" t="s">
        <v>22</v>
      </c>
      <c r="I1099" s="9" t="s">
        <v>22</v>
      </c>
      <c r="J1099" s="50">
        <v>56.082474226804102</v>
      </c>
      <c r="K1099" s="9">
        <v>532</v>
      </c>
      <c r="L1099" s="50">
        <f t="shared" si="595"/>
        <v>4.4923511349839158</v>
      </c>
      <c r="M1099" s="9" t="s">
        <v>23</v>
      </c>
      <c r="N1099" s="50">
        <v>84.957575757575796</v>
      </c>
      <c r="O1099" s="50">
        <f t="shared" si="598"/>
        <v>0.17182431052093997</v>
      </c>
      <c r="P1099" s="50">
        <v>5.9926131117266701</v>
      </c>
      <c r="Q1099" s="50"/>
      <c r="R1099" s="50">
        <f t="shared" si="596"/>
        <v>19.121153577863012</v>
      </c>
      <c r="S1099" s="50">
        <f t="shared" si="597"/>
        <v>7.8213025618326298E-2</v>
      </c>
      <c r="T1099" s="50" t="s">
        <v>22</v>
      </c>
      <c r="U1099" s="50" t="s">
        <v>22</v>
      </c>
      <c r="V1099" s="9">
        <v>20201128</v>
      </c>
      <c r="W1099" s="9" t="s">
        <v>1168</v>
      </c>
      <c r="X1099" s="21">
        <v>2019</v>
      </c>
      <c r="Y1099" s="9" t="s">
        <v>143</v>
      </c>
      <c r="Z1099" s="9" t="s">
        <v>32</v>
      </c>
      <c r="AB1099" s="50"/>
      <c r="AC1099" s="9" t="s">
        <v>514</v>
      </c>
      <c r="AD1099" s="50" t="s">
        <v>22</v>
      </c>
      <c r="AE1099" s="50" t="s">
        <v>22</v>
      </c>
      <c r="AF1099" s="50" t="s">
        <v>22</v>
      </c>
      <c r="AG1099" s="50" t="s">
        <v>22</v>
      </c>
      <c r="AH1099" s="50" t="s">
        <v>22</v>
      </c>
      <c r="AI1099" s="50" t="s">
        <v>22</v>
      </c>
      <c r="AJ1099" s="50" t="s">
        <v>22</v>
      </c>
      <c r="AK1099" s="50" t="s">
        <v>22</v>
      </c>
      <c r="AL1099" s="50" t="s">
        <v>22</v>
      </c>
      <c r="AM1099" s="43" t="e">
        <f t="shared" si="601"/>
        <v>#VALUE!</v>
      </c>
      <c r="AN1099" s="43" t="e">
        <f t="shared" si="602"/>
        <v>#VALUE!</v>
      </c>
      <c r="AO1099" s="57" t="s">
        <v>1169</v>
      </c>
      <c r="AT1099" s="2">
        <f t="shared" si="603"/>
        <v>40</v>
      </c>
      <c r="AU1099" s="45">
        <f t="shared" si="604"/>
        <v>-0.64768802174732332</v>
      </c>
      <c r="AV1099" s="45">
        <f t="shared" si="605"/>
        <v>-0.30588249845839366</v>
      </c>
      <c r="AW1099" s="45">
        <f t="shared" si="606"/>
        <v>-0.34180552328892977</v>
      </c>
      <c r="AX1099" s="45">
        <f t="shared" si="607"/>
        <v>1.9292021114336195</v>
      </c>
      <c r="AY1099" s="45">
        <f t="shared" si="608"/>
        <v>-0.76491539010798693</v>
      </c>
      <c r="AZ1099" s="45">
        <f t="shared" si="609"/>
        <v>0.77761624017504782</v>
      </c>
      <c r="BA1099" s="45">
        <f t="shared" si="610"/>
        <v>1.7488271654319349</v>
      </c>
      <c r="BB1099" s="45">
        <f t="shared" si="611"/>
        <v>0.65247369461212756</v>
      </c>
      <c r="BC1099" s="45" t="e">
        <f t="shared" si="612"/>
        <v>#VALUE!</v>
      </c>
      <c r="BD1099" s="45" t="e">
        <f t="shared" si="613"/>
        <v>#VALUE!</v>
      </c>
      <c r="BE1099" s="45" t="e">
        <f t="shared" si="614"/>
        <v>#VALUE!</v>
      </c>
      <c r="BF1099" s="45" t="e">
        <f t="shared" si="615"/>
        <v>#VALUE!</v>
      </c>
      <c r="BG1099" s="45" t="e">
        <f t="shared" si="616"/>
        <v>#VALUE!</v>
      </c>
      <c r="BH1099" s="45" t="e">
        <f t="shared" si="617"/>
        <v>#NUM!</v>
      </c>
      <c r="BI1099" s="43" t="e">
        <f t="shared" si="618"/>
        <v>#VALUE!</v>
      </c>
      <c r="BL1099" s="20"/>
      <c r="BM1099" s="50"/>
      <c r="BN1099" s="50"/>
      <c r="BO1099" s="50"/>
      <c r="BP1099" s="50"/>
      <c r="BQ1099" s="50"/>
      <c r="BR1099" s="50"/>
      <c r="BU1099" s="50"/>
      <c r="BV1099" s="50"/>
      <c r="BW1099" s="50"/>
      <c r="BX1099" s="50"/>
      <c r="BY1099" s="50"/>
      <c r="BZ1099" s="50"/>
      <c r="CA1099" s="50" t="s">
        <v>22</v>
      </c>
      <c r="CE1099" s="50"/>
      <c r="CF1099" s="50"/>
      <c r="CG1099" s="50"/>
      <c r="CH1099" s="50"/>
      <c r="CI1099" s="50" t="str">
        <f t="shared" si="599"/>
        <v>Not Reported/ Can not calculate</v>
      </c>
      <c r="CJ1099" s="50" t="e">
        <f t="shared" si="600"/>
        <v>#VALUE!</v>
      </c>
      <c r="CL1099" s="9" t="s">
        <v>1269</v>
      </c>
      <c r="CM1099" s="9" t="s">
        <v>1284</v>
      </c>
      <c r="CN1099" s="55" t="s">
        <v>1284</v>
      </c>
      <c r="CO1099" s="9" t="s">
        <v>1284</v>
      </c>
    </row>
    <row r="1100" spans="1:93" x14ac:dyDescent="0.25">
      <c r="A1100" s="18" t="s">
        <v>266</v>
      </c>
      <c r="B1100" s="41" t="s">
        <v>22</v>
      </c>
      <c r="C1100" s="41" t="s">
        <v>22</v>
      </c>
      <c r="D1100" s="41" t="s">
        <v>22</v>
      </c>
      <c r="E1100" s="41" t="s">
        <v>22</v>
      </c>
      <c r="F1100" s="18" t="s">
        <v>22</v>
      </c>
      <c r="G1100" s="18" t="s">
        <v>22</v>
      </c>
      <c r="H1100" s="18" t="s">
        <v>22</v>
      </c>
      <c r="I1100" s="18" t="s">
        <v>22</v>
      </c>
      <c r="J1100" s="41" t="s">
        <v>22</v>
      </c>
      <c r="K1100" s="18" t="s">
        <v>22</v>
      </c>
      <c r="M1100" t="s">
        <v>23</v>
      </c>
      <c r="N1100" s="41" t="s">
        <v>22</v>
      </c>
      <c r="O1100" s="41" t="s">
        <v>22</v>
      </c>
      <c r="P1100" s="41" t="s">
        <v>22</v>
      </c>
      <c r="R1100" s="41" t="s">
        <v>22</v>
      </c>
      <c r="S1100" s="41" t="s">
        <v>22</v>
      </c>
      <c r="T1100" s="41">
        <v>1.4</v>
      </c>
      <c r="U1100" s="41">
        <v>1.4</v>
      </c>
      <c r="V1100" s="18">
        <v>20200514</v>
      </c>
      <c r="W1100" s="21" t="s">
        <v>733</v>
      </c>
      <c r="X1100" s="6">
        <v>2019</v>
      </c>
      <c r="Y1100" s="18" t="s">
        <v>59</v>
      </c>
      <c r="Z1100" s="18" t="s">
        <v>32</v>
      </c>
      <c r="AA1100" s="18"/>
      <c r="AC1100" s="6" t="s">
        <v>514</v>
      </c>
      <c r="AD1100" s="41" t="s">
        <v>22</v>
      </c>
      <c r="AE1100" s="41" t="s">
        <v>22</v>
      </c>
      <c r="AF1100" s="41">
        <v>43</v>
      </c>
      <c r="AG1100" s="41" t="s">
        <v>22</v>
      </c>
      <c r="AH1100" s="41" t="s">
        <v>22</v>
      </c>
      <c r="AI1100" s="41" t="s">
        <v>22</v>
      </c>
      <c r="AJ1100" s="41" t="s">
        <v>22</v>
      </c>
      <c r="AK1100" s="41" t="s">
        <v>22</v>
      </c>
      <c r="AL1100" s="41" t="s">
        <v>22</v>
      </c>
      <c r="AM1100" s="43" t="e">
        <f t="shared" si="601"/>
        <v>#VALUE!</v>
      </c>
      <c r="AN1100" s="43" t="e">
        <f t="shared" si="602"/>
        <v>#VALUE!</v>
      </c>
      <c r="AO1100" s="19" t="s">
        <v>736</v>
      </c>
      <c r="AT1100" s="2">
        <f t="shared" si="603"/>
        <v>3</v>
      </c>
      <c r="AU1100" s="45" t="e">
        <f t="shared" si="604"/>
        <v>#VALUE!</v>
      </c>
      <c r="AV1100" s="45" t="e">
        <f t="shared" si="605"/>
        <v>#VALUE!</v>
      </c>
      <c r="AW1100" s="45" t="e">
        <f t="shared" si="606"/>
        <v>#VALUE!</v>
      </c>
      <c r="AX1100" s="45" t="e">
        <f t="shared" si="607"/>
        <v>#VALUE!</v>
      </c>
      <c r="AY1100" s="45" t="e">
        <f t="shared" si="608"/>
        <v>#VALUE!</v>
      </c>
      <c r="AZ1100" s="45" t="e">
        <f t="shared" si="609"/>
        <v>#VALUE!</v>
      </c>
      <c r="BA1100" s="45" t="e">
        <f t="shared" si="610"/>
        <v>#VALUE!</v>
      </c>
      <c r="BB1100" s="45" t="e">
        <f t="shared" si="611"/>
        <v>#NUM!</v>
      </c>
      <c r="BC1100" s="45">
        <f t="shared" si="612"/>
        <v>0.14612803567823801</v>
      </c>
      <c r="BD1100" s="45" t="e">
        <f t="shared" si="613"/>
        <v>#VALUE!</v>
      </c>
      <c r="BE1100" s="45">
        <f t="shared" si="614"/>
        <v>1.6334684555795864</v>
      </c>
      <c r="BF1100" s="45" t="e">
        <f t="shared" si="615"/>
        <v>#VALUE!</v>
      </c>
      <c r="BG1100" s="45" t="e">
        <f t="shared" si="616"/>
        <v>#VALUE!</v>
      </c>
      <c r="BH1100" s="45" t="e">
        <f t="shared" si="617"/>
        <v>#NUM!</v>
      </c>
      <c r="BI1100" s="43">
        <f t="shared" si="618"/>
        <v>1.6334684555795864</v>
      </c>
      <c r="CA1100" s="41" t="s">
        <v>22</v>
      </c>
      <c r="CC1100" s="2" t="s">
        <v>22</v>
      </c>
      <c r="CD1100" s="2"/>
      <c r="CE1100" s="41" t="s">
        <v>22</v>
      </c>
      <c r="CF1100" s="41" t="s">
        <v>22</v>
      </c>
      <c r="CG1100" s="41" t="e">
        <f t="shared" ref="CG1100:CG1131" si="619">AD1100*1000</f>
        <v>#VALUE!</v>
      </c>
      <c r="CH1100" s="41" t="e">
        <f t="shared" ref="CH1100:CH1131" si="620">LOG10(CG1100)</f>
        <v>#VALUE!</v>
      </c>
      <c r="CI1100" s="41">
        <f t="shared" ref="CI1100:CI1131" si="621">IF(ISNUMBER(CG1100),CG1100,U1100)</f>
        <v>1.4</v>
      </c>
      <c r="CJ1100" s="41">
        <f t="shared" ref="CJ1100:CJ1131" si="622">LOG10(CI1100)</f>
        <v>0.14612803567823801</v>
      </c>
      <c r="CK1100" s="2"/>
      <c r="CL1100" s="9" t="s">
        <v>1269</v>
      </c>
      <c r="CM1100" s="18" t="s">
        <v>1285</v>
      </c>
      <c r="CN1100" s="54" t="s">
        <v>1284</v>
      </c>
      <c r="CO1100" s="18" t="s">
        <v>1284</v>
      </c>
    </row>
    <row r="1101" spans="1:93" x14ac:dyDescent="0.25">
      <c r="A1101" s="18" t="s">
        <v>266</v>
      </c>
      <c r="B1101" s="41" t="s">
        <v>22</v>
      </c>
      <c r="C1101" s="41" t="s">
        <v>22</v>
      </c>
      <c r="D1101" s="41" t="s">
        <v>22</v>
      </c>
      <c r="E1101" s="41" t="s">
        <v>22</v>
      </c>
      <c r="F1101" s="18" t="s">
        <v>22</v>
      </c>
      <c r="G1101" s="18" t="s">
        <v>22</v>
      </c>
      <c r="H1101" s="18" t="s">
        <v>22</v>
      </c>
      <c r="I1101" s="18" t="s">
        <v>22</v>
      </c>
      <c r="J1101" s="41" t="s">
        <v>22</v>
      </c>
      <c r="K1101" s="18" t="s">
        <v>22</v>
      </c>
      <c r="M1101" t="s">
        <v>23</v>
      </c>
      <c r="N1101" s="41" t="s">
        <v>22</v>
      </c>
      <c r="O1101" s="41" t="s">
        <v>22</v>
      </c>
      <c r="P1101" s="41" t="s">
        <v>22</v>
      </c>
      <c r="R1101" s="41" t="s">
        <v>22</v>
      </c>
      <c r="S1101" s="41" t="s">
        <v>22</v>
      </c>
      <c r="T1101" s="41">
        <v>1.4</v>
      </c>
      <c r="U1101" s="41">
        <v>1.4</v>
      </c>
      <c r="V1101">
        <v>20200514</v>
      </c>
      <c r="W1101" s="21" t="s">
        <v>734</v>
      </c>
      <c r="X1101" s="6">
        <v>2019</v>
      </c>
      <c r="Y1101" s="18" t="s">
        <v>59</v>
      </c>
      <c r="Z1101" s="18" t="s">
        <v>32</v>
      </c>
      <c r="AA1101" s="18"/>
      <c r="AC1101" s="6" t="s">
        <v>514</v>
      </c>
      <c r="AD1101" s="41" t="s">
        <v>22</v>
      </c>
      <c r="AE1101" s="41" t="s">
        <v>22</v>
      </c>
      <c r="AF1101" s="41">
        <v>28</v>
      </c>
      <c r="AG1101" s="41" t="s">
        <v>22</v>
      </c>
      <c r="AH1101" s="41" t="s">
        <v>22</v>
      </c>
      <c r="AI1101" s="41" t="s">
        <v>22</v>
      </c>
      <c r="AJ1101" s="41" t="s">
        <v>22</v>
      </c>
      <c r="AK1101" s="41" t="s">
        <v>22</v>
      </c>
      <c r="AL1101" s="41" t="s">
        <v>22</v>
      </c>
      <c r="AM1101" s="43" t="e">
        <f t="shared" si="601"/>
        <v>#VALUE!</v>
      </c>
      <c r="AN1101" s="43" t="e">
        <f t="shared" si="602"/>
        <v>#VALUE!</v>
      </c>
      <c r="AO1101" s="19" t="s">
        <v>736</v>
      </c>
      <c r="AT1101" s="2">
        <f t="shared" si="603"/>
        <v>3</v>
      </c>
      <c r="AU1101" s="45" t="e">
        <f t="shared" si="604"/>
        <v>#VALUE!</v>
      </c>
      <c r="AV1101" s="45" t="e">
        <f t="shared" si="605"/>
        <v>#VALUE!</v>
      </c>
      <c r="AW1101" s="45" t="e">
        <f t="shared" si="606"/>
        <v>#VALUE!</v>
      </c>
      <c r="AX1101" s="45" t="e">
        <f t="shared" si="607"/>
        <v>#VALUE!</v>
      </c>
      <c r="AY1101" s="45" t="e">
        <f t="shared" si="608"/>
        <v>#VALUE!</v>
      </c>
      <c r="AZ1101" s="45" t="e">
        <f t="shared" si="609"/>
        <v>#VALUE!</v>
      </c>
      <c r="BA1101" s="45" t="e">
        <f t="shared" si="610"/>
        <v>#VALUE!</v>
      </c>
      <c r="BB1101" s="45" t="e">
        <f t="shared" si="611"/>
        <v>#NUM!</v>
      </c>
      <c r="BC1101" s="45">
        <f t="shared" si="612"/>
        <v>0.14612803567823801</v>
      </c>
      <c r="BD1101" s="45" t="e">
        <f t="shared" si="613"/>
        <v>#VALUE!</v>
      </c>
      <c r="BE1101" s="45">
        <f t="shared" si="614"/>
        <v>1.4471580313422192</v>
      </c>
      <c r="BF1101" s="45" t="e">
        <f t="shared" si="615"/>
        <v>#VALUE!</v>
      </c>
      <c r="BG1101" s="45" t="e">
        <f t="shared" si="616"/>
        <v>#VALUE!</v>
      </c>
      <c r="BH1101" s="45" t="e">
        <f t="shared" si="617"/>
        <v>#NUM!</v>
      </c>
      <c r="BI1101" s="43">
        <f t="shared" si="618"/>
        <v>1.4471580313422192</v>
      </c>
      <c r="CA1101" s="41" t="s">
        <v>22</v>
      </c>
      <c r="CC1101" s="2" t="s">
        <v>22</v>
      </c>
      <c r="CD1101" s="2"/>
      <c r="CE1101" s="41" t="s">
        <v>22</v>
      </c>
      <c r="CF1101" s="41" t="s">
        <v>22</v>
      </c>
      <c r="CG1101" s="41" t="e">
        <f t="shared" si="619"/>
        <v>#VALUE!</v>
      </c>
      <c r="CH1101" s="41" t="e">
        <f t="shared" si="620"/>
        <v>#VALUE!</v>
      </c>
      <c r="CI1101" s="41">
        <f t="shared" si="621"/>
        <v>1.4</v>
      </c>
      <c r="CJ1101" s="41">
        <f t="shared" si="622"/>
        <v>0.14612803567823801</v>
      </c>
      <c r="CK1101" s="2"/>
      <c r="CL1101" s="9" t="s">
        <v>1269</v>
      </c>
      <c r="CM1101" s="18" t="s">
        <v>1285</v>
      </c>
      <c r="CN1101" s="54" t="s">
        <v>1284</v>
      </c>
      <c r="CO1101" s="18" t="s">
        <v>1284</v>
      </c>
    </row>
    <row r="1102" spans="1:93" x14ac:dyDescent="0.25">
      <c r="A1102" s="18" t="s">
        <v>315</v>
      </c>
      <c r="B1102" s="41" t="s">
        <v>22</v>
      </c>
      <c r="C1102" s="41" t="s">
        <v>22</v>
      </c>
      <c r="D1102" s="41" t="s">
        <v>22</v>
      </c>
      <c r="E1102" s="41" t="s">
        <v>22</v>
      </c>
      <c r="F1102" s="18" t="s">
        <v>22</v>
      </c>
      <c r="G1102" s="18" t="s">
        <v>22</v>
      </c>
      <c r="H1102" s="18" t="s">
        <v>22</v>
      </c>
      <c r="I1102" s="18" t="s">
        <v>22</v>
      </c>
      <c r="J1102" s="41" t="s">
        <v>22</v>
      </c>
      <c r="K1102" t="s">
        <v>22</v>
      </c>
      <c r="M1102" t="s">
        <v>23</v>
      </c>
      <c r="N1102" s="41" t="s">
        <v>22</v>
      </c>
      <c r="O1102" s="41" t="s">
        <v>22</v>
      </c>
      <c r="P1102" s="41" t="s">
        <v>22</v>
      </c>
      <c r="R1102" s="41" t="s">
        <v>22</v>
      </c>
      <c r="S1102" s="41" t="s">
        <v>22</v>
      </c>
      <c r="T1102" s="41">
        <v>1.4</v>
      </c>
      <c r="U1102" s="41">
        <v>1.4</v>
      </c>
      <c r="V1102" s="18">
        <v>20200514</v>
      </c>
      <c r="W1102" s="21" t="s">
        <v>735</v>
      </c>
      <c r="X1102" s="6">
        <v>2019</v>
      </c>
      <c r="Y1102" s="18" t="s">
        <v>328</v>
      </c>
      <c r="Z1102" s="18" t="s">
        <v>32</v>
      </c>
      <c r="AA1102" s="18"/>
      <c r="AC1102" s="6" t="s">
        <v>514</v>
      </c>
      <c r="AD1102" s="41" t="s">
        <v>22</v>
      </c>
      <c r="AE1102" s="41" t="s">
        <v>22</v>
      </c>
      <c r="AF1102" s="41">
        <v>14</v>
      </c>
      <c r="AG1102" s="41" t="s">
        <v>22</v>
      </c>
      <c r="AH1102" s="41" t="s">
        <v>22</v>
      </c>
      <c r="AI1102" s="41" t="s">
        <v>22</v>
      </c>
      <c r="AJ1102" s="41" t="s">
        <v>22</v>
      </c>
      <c r="AK1102" s="41" t="s">
        <v>22</v>
      </c>
      <c r="AL1102" s="41" t="s">
        <v>22</v>
      </c>
      <c r="AM1102" s="43" t="e">
        <f t="shared" si="601"/>
        <v>#VALUE!</v>
      </c>
      <c r="AN1102" s="43" t="e">
        <f t="shared" si="602"/>
        <v>#VALUE!</v>
      </c>
      <c r="AO1102" s="19" t="s">
        <v>736</v>
      </c>
      <c r="AT1102" s="2">
        <f t="shared" si="603"/>
        <v>3</v>
      </c>
      <c r="AU1102" s="45" t="e">
        <f t="shared" si="604"/>
        <v>#VALUE!</v>
      </c>
      <c r="AV1102" s="45" t="e">
        <f t="shared" si="605"/>
        <v>#VALUE!</v>
      </c>
      <c r="AW1102" s="45" t="e">
        <f t="shared" si="606"/>
        <v>#VALUE!</v>
      </c>
      <c r="AX1102" s="45" t="e">
        <f t="shared" si="607"/>
        <v>#VALUE!</v>
      </c>
      <c r="AY1102" s="45" t="e">
        <f t="shared" si="608"/>
        <v>#VALUE!</v>
      </c>
      <c r="AZ1102" s="45" t="e">
        <f t="shared" si="609"/>
        <v>#VALUE!</v>
      </c>
      <c r="BA1102" s="45" t="e">
        <f t="shared" si="610"/>
        <v>#VALUE!</v>
      </c>
      <c r="BB1102" s="45" t="e">
        <f t="shared" si="611"/>
        <v>#NUM!</v>
      </c>
      <c r="BC1102" s="45">
        <f t="shared" si="612"/>
        <v>0.14612803567823801</v>
      </c>
      <c r="BD1102" s="45" t="e">
        <f t="shared" si="613"/>
        <v>#VALUE!</v>
      </c>
      <c r="BE1102" s="45">
        <f t="shared" si="614"/>
        <v>1.146128035678238</v>
      </c>
      <c r="BF1102" s="45" t="e">
        <f t="shared" si="615"/>
        <v>#VALUE!</v>
      </c>
      <c r="BG1102" s="45" t="e">
        <f t="shared" si="616"/>
        <v>#VALUE!</v>
      </c>
      <c r="BH1102" s="45" t="e">
        <f t="shared" si="617"/>
        <v>#NUM!</v>
      </c>
      <c r="BI1102" s="43">
        <f t="shared" si="618"/>
        <v>1.146128035678238</v>
      </c>
      <c r="CA1102" s="41" t="s">
        <v>22</v>
      </c>
      <c r="CC1102" s="2" t="s">
        <v>22</v>
      </c>
      <c r="CD1102" s="2"/>
      <c r="CE1102" s="41" t="s">
        <v>22</v>
      </c>
      <c r="CF1102" s="41" t="s">
        <v>22</v>
      </c>
      <c r="CG1102" s="41" t="e">
        <f t="shared" si="619"/>
        <v>#VALUE!</v>
      </c>
      <c r="CH1102" s="41" t="e">
        <f t="shared" si="620"/>
        <v>#VALUE!</v>
      </c>
      <c r="CI1102" s="41">
        <f t="shared" si="621"/>
        <v>1.4</v>
      </c>
      <c r="CJ1102" s="41">
        <f t="shared" si="622"/>
        <v>0.14612803567823801</v>
      </c>
      <c r="CK1102" s="2"/>
      <c r="CL1102" s="9" t="s">
        <v>1269</v>
      </c>
      <c r="CM1102" s="18" t="s">
        <v>1285</v>
      </c>
      <c r="CN1102" s="54" t="s">
        <v>1284</v>
      </c>
      <c r="CO1102" s="18" t="s">
        <v>1284</v>
      </c>
    </row>
    <row r="1103" spans="1:93" x14ac:dyDescent="0.25">
      <c r="A1103" s="18" t="s">
        <v>315</v>
      </c>
      <c r="B1103" s="41">
        <v>3.5761589403973497E-2</v>
      </c>
      <c r="C1103" s="41" t="s">
        <v>22</v>
      </c>
      <c r="D1103" s="41" t="s">
        <v>22</v>
      </c>
      <c r="E1103" s="41" t="s">
        <v>22</v>
      </c>
      <c r="F1103" s="18" t="s">
        <v>22</v>
      </c>
      <c r="G1103" s="18" t="s">
        <v>22</v>
      </c>
      <c r="H1103" s="18" t="s">
        <v>22</v>
      </c>
      <c r="I1103" s="18" t="s">
        <v>22</v>
      </c>
      <c r="J1103" s="41">
        <v>55.555555555555557</v>
      </c>
      <c r="K1103" s="18">
        <v>514</v>
      </c>
      <c r="L1103" s="41">
        <f t="shared" ref="L1103:L1150" si="623">IF((10^-12)*J1103*K1103^4=0,"",(10^-12)*J1103*K1103^4)</f>
        <v>3.8777514675555556</v>
      </c>
      <c r="M1103" s="18" t="s">
        <v>23</v>
      </c>
      <c r="N1103" s="41" t="s">
        <v>22</v>
      </c>
      <c r="O1103" s="41" t="s">
        <v>22</v>
      </c>
      <c r="P1103" s="41" t="s">
        <v>22</v>
      </c>
      <c r="R1103" s="41" t="s">
        <v>22</v>
      </c>
      <c r="S1103" s="41" t="s">
        <v>22</v>
      </c>
      <c r="T1103" s="41" t="s">
        <v>22</v>
      </c>
      <c r="U1103" s="41" t="s">
        <v>22</v>
      </c>
      <c r="V1103" s="18">
        <v>20200511</v>
      </c>
      <c r="W1103" s="21" t="s">
        <v>312</v>
      </c>
      <c r="X1103" s="18">
        <v>2019</v>
      </c>
      <c r="Y1103" s="18" t="s">
        <v>328</v>
      </c>
      <c r="Z1103" s="18" t="s">
        <v>43</v>
      </c>
      <c r="AA1103" s="18"/>
      <c r="AC1103" s="18" t="s">
        <v>269</v>
      </c>
      <c r="AD1103" s="41" t="s">
        <v>22</v>
      </c>
      <c r="AE1103" s="41" t="s">
        <v>22</v>
      </c>
      <c r="AF1103" s="41">
        <v>81.696984963803999</v>
      </c>
      <c r="AG1103" s="41" t="s">
        <v>22</v>
      </c>
      <c r="AH1103" s="41" t="s">
        <v>22</v>
      </c>
      <c r="AI1103" s="41" t="s">
        <v>22</v>
      </c>
      <c r="AJ1103" s="41" t="s">
        <v>22</v>
      </c>
      <c r="AK1103" s="41" t="s">
        <v>22</v>
      </c>
      <c r="AL1103" s="41" t="s">
        <v>22</v>
      </c>
      <c r="AM1103" s="43" t="e">
        <f t="shared" si="601"/>
        <v>#VALUE!</v>
      </c>
      <c r="AN1103" s="43" t="e">
        <f t="shared" si="602"/>
        <v>#VALUE!</v>
      </c>
      <c r="AO1103" s="19" t="s">
        <v>313</v>
      </c>
      <c r="AT1103" s="2">
        <f t="shared" si="603"/>
        <v>12</v>
      </c>
      <c r="AU1103" s="45">
        <f t="shared" si="604"/>
        <v>-1.4465831874702011</v>
      </c>
      <c r="AV1103" s="45" t="e">
        <f t="shared" si="605"/>
        <v>#VALUE!</v>
      </c>
      <c r="AW1103" s="45" t="e">
        <f t="shared" si="606"/>
        <v>#VALUE!</v>
      </c>
      <c r="AX1103" s="45" t="e">
        <f t="shared" si="607"/>
        <v>#VALUE!</v>
      </c>
      <c r="AY1103" s="45" t="e">
        <f t="shared" si="608"/>
        <v>#VALUE!</v>
      </c>
      <c r="AZ1103" s="45" t="e">
        <f t="shared" si="609"/>
        <v>#VALUE!</v>
      </c>
      <c r="BA1103" s="45">
        <f t="shared" si="610"/>
        <v>1.744727494896694</v>
      </c>
      <c r="BB1103" s="45">
        <f t="shared" si="611"/>
        <v>0.5885799708777969</v>
      </c>
      <c r="BC1103" s="45" t="e">
        <f t="shared" si="612"/>
        <v>#VALUE!</v>
      </c>
      <c r="BD1103" s="45" t="e">
        <f t="shared" si="613"/>
        <v>#VALUE!</v>
      </c>
      <c r="BE1103" s="45">
        <f t="shared" si="614"/>
        <v>1.9122060291426433</v>
      </c>
      <c r="BF1103" s="45" t="e">
        <f t="shared" si="615"/>
        <v>#VALUE!</v>
      </c>
      <c r="BG1103" s="45" t="e">
        <f t="shared" si="616"/>
        <v>#VALUE!</v>
      </c>
      <c r="BH1103" s="45" t="e">
        <f t="shared" si="617"/>
        <v>#NUM!</v>
      </c>
      <c r="BI1103" s="43">
        <f t="shared" si="618"/>
        <v>1.9122060291426433</v>
      </c>
      <c r="CA1103" s="41" t="s">
        <v>22</v>
      </c>
      <c r="CC1103" s="2" t="s">
        <v>22</v>
      </c>
      <c r="CD1103" s="2"/>
      <c r="CE1103" s="41" t="s">
        <v>22</v>
      </c>
      <c r="CF1103" s="41" t="s">
        <v>22</v>
      </c>
      <c r="CG1103" s="41" t="e">
        <f t="shared" si="619"/>
        <v>#VALUE!</v>
      </c>
      <c r="CH1103" s="41" t="e">
        <f t="shared" si="620"/>
        <v>#VALUE!</v>
      </c>
      <c r="CI1103" s="41" t="str">
        <f t="shared" si="621"/>
        <v>Not Reported/ Can not calculate</v>
      </c>
      <c r="CJ1103" s="41" t="e">
        <f t="shared" si="622"/>
        <v>#VALUE!</v>
      </c>
      <c r="CK1103" s="2"/>
      <c r="CL1103" s="9" t="s">
        <v>1269</v>
      </c>
      <c r="CM1103" s="18" t="s">
        <v>1284</v>
      </c>
      <c r="CN1103" s="54" t="s">
        <v>1284</v>
      </c>
      <c r="CO1103" s="18" t="s">
        <v>1284</v>
      </c>
    </row>
    <row r="1104" spans="1:93" x14ac:dyDescent="0.25">
      <c r="A1104" s="18" t="s">
        <v>315</v>
      </c>
      <c r="B1104" s="41">
        <v>4.5298013245033096E-2</v>
      </c>
      <c r="C1104" s="41" t="s">
        <v>22</v>
      </c>
      <c r="D1104" s="41" t="s">
        <v>22</v>
      </c>
      <c r="E1104" s="41" t="s">
        <v>22</v>
      </c>
      <c r="F1104" s="18" t="s">
        <v>22</v>
      </c>
      <c r="G1104" s="18" t="s">
        <v>22</v>
      </c>
      <c r="H1104" s="18" t="s">
        <v>22</v>
      </c>
      <c r="I1104" s="18" t="s">
        <v>22</v>
      </c>
      <c r="J1104" s="41">
        <v>55.555555555555557</v>
      </c>
      <c r="K1104" s="18">
        <v>514</v>
      </c>
      <c r="L1104" s="41">
        <f t="shared" si="623"/>
        <v>3.8777514675555556</v>
      </c>
      <c r="M1104" s="18" t="s">
        <v>23</v>
      </c>
      <c r="N1104" s="41" t="s">
        <v>22</v>
      </c>
      <c r="O1104" s="41" t="s">
        <v>22</v>
      </c>
      <c r="P1104" s="41" t="s">
        <v>22</v>
      </c>
      <c r="R1104" s="41" t="s">
        <v>22</v>
      </c>
      <c r="S1104" s="41" t="s">
        <v>22</v>
      </c>
      <c r="T1104" s="41" t="s">
        <v>22</v>
      </c>
      <c r="U1104" s="41" t="s">
        <v>22</v>
      </c>
      <c r="V1104" s="18">
        <v>20200511</v>
      </c>
      <c r="W1104" s="21" t="s">
        <v>312</v>
      </c>
      <c r="X1104" s="18">
        <v>2019</v>
      </c>
      <c r="Y1104" s="18" t="s">
        <v>328</v>
      </c>
      <c r="Z1104" s="18" t="s">
        <v>43</v>
      </c>
      <c r="AC1104" s="18" t="s">
        <v>269</v>
      </c>
      <c r="AD1104" s="41" t="s">
        <v>22</v>
      </c>
      <c r="AE1104" s="41" t="s">
        <v>22</v>
      </c>
      <c r="AF1104" s="41">
        <v>92.371664537488499</v>
      </c>
      <c r="AG1104" s="41" t="s">
        <v>22</v>
      </c>
      <c r="AH1104" s="41" t="s">
        <v>22</v>
      </c>
      <c r="AI1104" s="41" t="s">
        <v>22</v>
      </c>
      <c r="AJ1104" s="41" t="s">
        <v>22</v>
      </c>
      <c r="AK1104" s="41" t="s">
        <v>22</v>
      </c>
      <c r="AL1104" s="41" t="s">
        <v>22</v>
      </c>
      <c r="AM1104" s="43" t="e">
        <f t="shared" si="601"/>
        <v>#VALUE!</v>
      </c>
      <c r="AN1104" s="43" t="e">
        <f t="shared" si="602"/>
        <v>#VALUE!</v>
      </c>
      <c r="AO1104" s="19" t="s">
        <v>313</v>
      </c>
      <c r="AT1104" s="2">
        <f t="shared" si="603"/>
        <v>12</v>
      </c>
      <c r="AU1104" s="45">
        <f t="shared" si="604"/>
        <v>-1.3439208455730534</v>
      </c>
      <c r="AV1104" s="45" t="e">
        <f t="shared" si="605"/>
        <v>#VALUE!</v>
      </c>
      <c r="AW1104" s="45" t="e">
        <f t="shared" si="606"/>
        <v>#VALUE!</v>
      </c>
      <c r="AX1104" s="45" t="e">
        <f t="shared" si="607"/>
        <v>#VALUE!</v>
      </c>
      <c r="AY1104" s="45" t="e">
        <f t="shared" si="608"/>
        <v>#VALUE!</v>
      </c>
      <c r="AZ1104" s="45" t="e">
        <f t="shared" si="609"/>
        <v>#VALUE!</v>
      </c>
      <c r="BA1104" s="45">
        <f t="shared" si="610"/>
        <v>1.744727494896694</v>
      </c>
      <c r="BB1104" s="45">
        <f t="shared" si="611"/>
        <v>0.5885799708777969</v>
      </c>
      <c r="BC1104" s="45" t="e">
        <f t="shared" si="612"/>
        <v>#VALUE!</v>
      </c>
      <c r="BD1104" s="45" t="e">
        <f t="shared" si="613"/>
        <v>#VALUE!</v>
      </c>
      <c r="BE1104" s="45">
        <f t="shared" si="614"/>
        <v>1.9655387696803772</v>
      </c>
      <c r="BF1104" s="45" t="e">
        <f t="shared" si="615"/>
        <v>#VALUE!</v>
      </c>
      <c r="BG1104" s="45" t="e">
        <f t="shared" si="616"/>
        <v>#VALUE!</v>
      </c>
      <c r="BH1104" s="45" t="e">
        <f t="shared" si="617"/>
        <v>#NUM!</v>
      </c>
      <c r="BI1104" s="43">
        <f t="shared" si="618"/>
        <v>1.9655387696803772</v>
      </c>
      <c r="CA1104" s="41" t="s">
        <v>22</v>
      </c>
      <c r="CC1104" s="2" t="s">
        <v>22</v>
      </c>
      <c r="CD1104" s="2"/>
      <c r="CE1104" s="41" t="s">
        <v>22</v>
      </c>
      <c r="CF1104" s="41" t="s">
        <v>22</v>
      </c>
      <c r="CG1104" s="41" t="e">
        <f t="shared" si="619"/>
        <v>#VALUE!</v>
      </c>
      <c r="CH1104" s="41" t="e">
        <f t="shared" si="620"/>
        <v>#VALUE!</v>
      </c>
      <c r="CI1104" s="41" t="str">
        <f t="shared" si="621"/>
        <v>Not Reported/ Can not calculate</v>
      </c>
      <c r="CJ1104" s="41" t="e">
        <f t="shared" si="622"/>
        <v>#VALUE!</v>
      </c>
      <c r="CK1104" s="2"/>
      <c r="CL1104" s="9" t="s">
        <v>1269</v>
      </c>
      <c r="CM1104" s="18" t="s">
        <v>1284</v>
      </c>
      <c r="CN1104" s="54" t="s">
        <v>1284</v>
      </c>
      <c r="CO1104" s="18" t="s">
        <v>1284</v>
      </c>
    </row>
    <row r="1105" spans="1:93" x14ac:dyDescent="0.25">
      <c r="A1105" s="18" t="s">
        <v>315</v>
      </c>
      <c r="B1105" s="41">
        <v>3.1523178807947E-2</v>
      </c>
      <c r="C1105" s="41" t="s">
        <v>22</v>
      </c>
      <c r="D1105" s="41" t="s">
        <v>22</v>
      </c>
      <c r="E1105" s="41" t="s">
        <v>22</v>
      </c>
      <c r="F1105" s="18" t="s">
        <v>22</v>
      </c>
      <c r="G1105" s="18" t="s">
        <v>22</v>
      </c>
      <c r="H1105" s="18" t="s">
        <v>22</v>
      </c>
      <c r="I1105" s="18" t="s">
        <v>22</v>
      </c>
      <c r="J1105" s="41">
        <v>62.5</v>
      </c>
      <c r="K1105" s="18">
        <v>514</v>
      </c>
      <c r="L1105" s="41">
        <f t="shared" si="623"/>
        <v>4.3624704010000004</v>
      </c>
      <c r="M1105" s="18" t="s">
        <v>23</v>
      </c>
      <c r="N1105" s="41" t="s">
        <v>22</v>
      </c>
      <c r="O1105" s="41" t="s">
        <v>22</v>
      </c>
      <c r="P1105" s="41" t="s">
        <v>22</v>
      </c>
      <c r="R1105" s="41" t="s">
        <v>22</v>
      </c>
      <c r="S1105" s="41" t="s">
        <v>22</v>
      </c>
      <c r="T1105" s="41" t="s">
        <v>22</v>
      </c>
      <c r="U1105" s="41" t="s">
        <v>22</v>
      </c>
      <c r="V1105" s="18">
        <v>20200511</v>
      </c>
      <c r="W1105" s="21" t="s">
        <v>312</v>
      </c>
      <c r="X1105" s="18">
        <v>2019</v>
      </c>
      <c r="Y1105" s="18" t="s">
        <v>328</v>
      </c>
      <c r="Z1105" s="18" t="s">
        <v>43</v>
      </c>
      <c r="AC1105" s="18" t="s">
        <v>269</v>
      </c>
      <c r="AD1105" s="41" t="s">
        <v>22</v>
      </c>
      <c r="AE1105" s="41" t="s">
        <v>22</v>
      </c>
      <c r="AF1105" s="41">
        <v>61.883033149204401</v>
      </c>
      <c r="AG1105" s="41" t="s">
        <v>22</v>
      </c>
      <c r="AH1105" s="41" t="s">
        <v>22</v>
      </c>
      <c r="AI1105" s="41" t="s">
        <v>22</v>
      </c>
      <c r="AJ1105" s="41" t="s">
        <v>22</v>
      </c>
      <c r="AK1105" s="41" t="s">
        <v>22</v>
      </c>
      <c r="AL1105" s="41" t="s">
        <v>22</v>
      </c>
      <c r="AM1105" s="43" t="e">
        <f t="shared" si="601"/>
        <v>#VALUE!</v>
      </c>
      <c r="AN1105" s="43" t="e">
        <f t="shared" si="602"/>
        <v>#VALUE!</v>
      </c>
      <c r="AO1105" s="19" t="s">
        <v>313</v>
      </c>
      <c r="AT1105" s="2">
        <f t="shared" si="603"/>
        <v>12</v>
      </c>
      <c r="AU1105" s="45">
        <f t="shared" si="604"/>
        <v>-1.5013699945726766</v>
      </c>
      <c r="AV1105" s="45" t="e">
        <f t="shared" si="605"/>
        <v>#VALUE!</v>
      </c>
      <c r="AW1105" s="45" t="e">
        <f t="shared" si="606"/>
        <v>#VALUE!</v>
      </c>
      <c r="AX1105" s="45" t="e">
        <f t="shared" si="607"/>
        <v>#VALUE!</v>
      </c>
      <c r="AY1105" s="45" t="e">
        <f t="shared" si="608"/>
        <v>#VALUE!</v>
      </c>
      <c r="AZ1105" s="45" t="e">
        <f t="shared" si="609"/>
        <v>#VALUE!</v>
      </c>
      <c r="BA1105" s="45">
        <f t="shared" si="610"/>
        <v>1.7958800173440752</v>
      </c>
      <c r="BB1105" s="45">
        <f t="shared" si="611"/>
        <v>0.63973249332517823</v>
      </c>
      <c r="BC1105" s="45" t="e">
        <f t="shared" si="612"/>
        <v>#VALUE!</v>
      </c>
      <c r="BD1105" s="45" t="e">
        <f t="shared" si="613"/>
        <v>#VALUE!</v>
      </c>
      <c r="BE1105" s="45">
        <f t="shared" si="614"/>
        <v>1.7915715921585356</v>
      </c>
      <c r="BF1105" s="45" t="e">
        <f t="shared" si="615"/>
        <v>#VALUE!</v>
      </c>
      <c r="BG1105" s="45" t="e">
        <f t="shared" si="616"/>
        <v>#VALUE!</v>
      </c>
      <c r="BH1105" s="45" t="e">
        <f t="shared" si="617"/>
        <v>#NUM!</v>
      </c>
      <c r="BI1105" s="43">
        <f t="shared" si="618"/>
        <v>1.7915715921585356</v>
      </c>
      <c r="CA1105" s="41" t="s">
        <v>22</v>
      </c>
      <c r="CC1105" s="2" t="s">
        <v>22</v>
      </c>
      <c r="CD1105" s="2"/>
      <c r="CE1105" s="41" t="s">
        <v>22</v>
      </c>
      <c r="CF1105" s="41" t="s">
        <v>22</v>
      </c>
      <c r="CG1105" s="41" t="e">
        <f t="shared" si="619"/>
        <v>#VALUE!</v>
      </c>
      <c r="CH1105" s="41" t="e">
        <f t="shared" si="620"/>
        <v>#VALUE!</v>
      </c>
      <c r="CI1105" s="41" t="str">
        <f t="shared" si="621"/>
        <v>Not Reported/ Can not calculate</v>
      </c>
      <c r="CJ1105" s="41" t="e">
        <f t="shared" si="622"/>
        <v>#VALUE!</v>
      </c>
      <c r="CK1105" s="2"/>
      <c r="CL1105" s="9" t="s">
        <v>1269</v>
      </c>
      <c r="CM1105" s="18" t="s">
        <v>1284</v>
      </c>
      <c r="CN1105" s="54" t="s">
        <v>1284</v>
      </c>
      <c r="CO1105" s="18" t="s">
        <v>1284</v>
      </c>
    </row>
    <row r="1106" spans="1:93" x14ac:dyDescent="0.25">
      <c r="A1106" s="18" t="s">
        <v>315</v>
      </c>
      <c r="B1106" s="41">
        <v>3.1788079470198599E-2</v>
      </c>
      <c r="C1106" s="41" t="s">
        <v>22</v>
      </c>
      <c r="D1106" s="41" t="s">
        <v>22</v>
      </c>
      <c r="E1106" s="41" t="s">
        <v>22</v>
      </c>
      <c r="F1106" s="18" t="s">
        <v>22</v>
      </c>
      <c r="G1106" s="18" t="s">
        <v>22</v>
      </c>
      <c r="H1106" s="18" t="s">
        <v>22</v>
      </c>
      <c r="I1106" s="18" t="s">
        <v>22</v>
      </c>
      <c r="J1106" s="41">
        <v>58.823529411764703</v>
      </c>
      <c r="K1106" s="18">
        <v>514</v>
      </c>
      <c r="L1106" s="41">
        <f t="shared" si="623"/>
        <v>4.1058544950588232</v>
      </c>
      <c r="M1106" s="18" t="s">
        <v>23</v>
      </c>
      <c r="N1106" s="41" t="s">
        <v>22</v>
      </c>
      <c r="O1106" s="41" t="s">
        <v>22</v>
      </c>
      <c r="P1106" s="41" t="s">
        <v>22</v>
      </c>
      <c r="R1106" s="41" t="s">
        <v>22</v>
      </c>
      <c r="S1106" s="41" t="s">
        <v>22</v>
      </c>
      <c r="T1106" s="41" t="s">
        <v>22</v>
      </c>
      <c r="U1106" s="41" t="s">
        <v>22</v>
      </c>
      <c r="V1106" s="18">
        <v>20200511</v>
      </c>
      <c r="W1106" s="21" t="s">
        <v>312</v>
      </c>
      <c r="X1106" s="18">
        <v>2019</v>
      </c>
      <c r="Y1106" s="18" t="s">
        <v>328</v>
      </c>
      <c r="Z1106" s="18" t="s">
        <v>43</v>
      </c>
      <c r="AC1106" s="18" t="s">
        <v>269</v>
      </c>
      <c r="AD1106" s="41" t="s">
        <v>22</v>
      </c>
      <c r="AE1106" s="41" t="s">
        <v>22</v>
      </c>
      <c r="AF1106" s="41">
        <v>60.0273494431149</v>
      </c>
      <c r="AG1106" s="41" t="s">
        <v>22</v>
      </c>
      <c r="AH1106" s="41" t="s">
        <v>22</v>
      </c>
      <c r="AI1106" s="41" t="s">
        <v>22</v>
      </c>
      <c r="AJ1106" s="41" t="s">
        <v>22</v>
      </c>
      <c r="AK1106" s="41" t="s">
        <v>22</v>
      </c>
      <c r="AL1106" s="41" t="s">
        <v>22</v>
      </c>
      <c r="AM1106" s="43" t="e">
        <f t="shared" si="601"/>
        <v>#VALUE!</v>
      </c>
      <c r="AN1106" s="43" t="e">
        <f t="shared" si="602"/>
        <v>#VALUE!</v>
      </c>
      <c r="AO1106" s="19" t="s">
        <v>313</v>
      </c>
      <c r="AT1106" s="2">
        <f t="shared" si="603"/>
        <v>12</v>
      </c>
      <c r="AU1106" s="45">
        <f t="shared" si="604"/>
        <v>-1.4977357099175832</v>
      </c>
      <c r="AV1106" s="45" t="e">
        <f t="shared" si="605"/>
        <v>#VALUE!</v>
      </c>
      <c r="AW1106" s="45" t="e">
        <f t="shared" si="606"/>
        <v>#VALUE!</v>
      </c>
      <c r="AX1106" s="45" t="e">
        <f t="shared" si="607"/>
        <v>#VALUE!</v>
      </c>
      <c r="AY1106" s="45" t="e">
        <f t="shared" si="608"/>
        <v>#VALUE!</v>
      </c>
      <c r="AZ1106" s="45" t="e">
        <f t="shared" si="609"/>
        <v>#VALUE!</v>
      </c>
      <c r="BA1106" s="45">
        <f t="shared" si="610"/>
        <v>1.7695510786217261</v>
      </c>
      <c r="BB1106" s="45">
        <f t="shared" si="611"/>
        <v>0.61340355460282892</v>
      </c>
      <c r="BC1106" s="45" t="e">
        <f t="shared" si="612"/>
        <v>#VALUE!</v>
      </c>
      <c r="BD1106" s="45" t="e">
        <f t="shared" si="613"/>
        <v>#VALUE!</v>
      </c>
      <c r="BE1106" s="45">
        <f t="shared" si="614"/>
        <v>1.7783491671499241</v>
      </c>
      <c r="BF1106" s="45" t="e">
        <f t="shared" si="615"/>
        <v>#VALUE!</v>
      </c>
      <c r="BG1106" s="45" t="e">
        <f t="shared" si="616"/>
        <v>#VALUE!</v>
      </c>
      <c r="BH1106" s="45" t="e">
        <f t="shared" si="617"/>
        <v>#NUM!</v>
      </c>
      <c r="BI1106" s="43">
        <f t="shared" si="618"/>
        <v>1.7783491671499241</v>
      </c>
      <c r="CA1106" s="41" t="s">
        <v>22</v>
      </c>
      <c r="CC1106" s="2" t="s">
        <v>22</v>
      </c>
      <c r="CD1106" s="2"/>
      <c r="CE1106" s="41" t="s">
        <v>22</v>
      </c>
      <c r="CF1106" s="41" t="s">
        <v>22</v>
      </c>
      <c r="CG1106" s="41" t="e">
        <f t="shared" si="619"/>
        <v>#VALUE!</v>
      </c>
      <c r="CH1106" s="41" t="e">
        <f t="shared" si="620"/>
        <v>#VALUE!</v>
      </c>
      <c r="CI1106" s="41" t="str">
        <f t="shared" si="621"/>
        <v>Not Reported/ Can not calculate</v>
      </c>
      <c r="CJ1106" s="41" t="e">
        <f t="shared" si="622"/>
        <v>#VALUE!</v>
      </c>
      <c r="CK1106" s="2"/>
      <c r="CL1106" s="9" t="s">
        <v>1269</v>
      </c>
      <c r="CM1106" s="18" t="s">
        <v>1284</v>
      </c>
      <c r="CN1106" s="54" t="s">
        <v>1284</v>
      </c>
      <c r="CO1106" s="18" t="s">
        <v>1284</v>
      </c>
    </row>
    <row r="1107" spans="1:93" x14ac:dyDescent="0.25">
      <c r="A1107" s="18" t="s">
        <v>315</v>
      </c>
      <c r="B1107" s="41">
        <v>8.4503311258278105E-2</v>
      </c>
      <c r="C1107" s="41" t="s">
        <v>22</v>
      </c>
      <c r="D1107" s="41" t="s">
        <v>22</v>
      </c>
      <c r="E1107" s="41" t="s">
        <v>22</v>
      </c>
      <c r="F1107" s="18" t="s">
        <v>22</v>
      </c>
      <c r="G1107" s="18" t="s">
        <v>22</v>
      </c>
      <c r="H1107" s="18" t="s">
        <v>22</v>
      </c>
      <c r="I1107" s="18" t="s">
        <v>22</v>
      </c>
      <c r="J1107" s="41">
        <v>66.666666666666671</v>
      </c>
      <c r="K1107" s="18">
        <v>514</v>
      </c>
      <c r="L1107" s="41">
        <f t="shared" si="623"/>
        <v>4.6533017610666665</v>
      </c>
      <c r="M1107" s="18" t="s">
        <v>23</v>
      </c>
      <c r="N1107" s="41" t="s">
        <v>22</v>
      </c>
      <c r="O1107" s="41" t="s">
        <v>22</v>
      </c>
      <c r="P1107" s="41" t="s">
        <v>22</v>
      </c>
      <c r="R1107" s="41" t="s">
        <v>22</v>
      </c>
      <c r="S1107" s="41" t="s">
        <v>22</v>
      </c>
      <c r="T1107" s="41" t="s">
        <v>22</v>
      </c>
      <c r="U1107" s="41" t="s">
        <v>22</v>
      </c>
      <c r="V1107" s="18">
        <v>20200511</v>
      </c>
      <c r="W1107" s="21" t="s">
        <v>312</v>
      </c>
      <c r="X1107" s="18">
        <v>2019</v>
      </c>
      <c r="Y1107" s="18" t="s">
        <v>328</v>
      </c>
      <c r="Z1107" s="18" t="s">
        <v>43</v>
      </c>
      <c r="AC1107" s="18" t="s">
        <v>269</v>
      </c>
      <c r="AD1107" s="41" t="s">
        <v>22</v>
      </c>
      <c r="AE1107" s="41" t="s">
        <v>22</v>
      </c>
      <c r="AF1107" s="41">
        <v>111.418512454192</v>
      </c>
      <c r="AG1107" s="41" t="s">
        <v>22</v>
      </c>
      <c r="AH1107" s="41" t="s">
        <v>22</v>
      </c>
      <c r="AI1107" s="41" t="s">
        <v>22</v>
      </c>
      <c r="AJ1107" s="41" t="s">
        <v>22</v>
      </c>
      <c r="AK1107" s="41" t="s">
        <v>22</v>
      </c>
      <c r="AL1107" s="41" t="s">
        <v>22</v>
      </c>
      <c r="AM1107" s="43" t="e">
        <f t="shared" si="601"/>
        <v>#VALUE!</v>
      </c>
      <c r="AN1107" s="43" t="e">
        <f t="shared" si="602"/>
        <v>#VALUE!</v>
      </c>
      <c r="AO1107" s="19" t="s">
        <v>313</v>
      </c>
      <c r="AT1107" s="2">
        <f t="shared" si="603"/>
        <v>12</v>
      </c>
      <c r="AU1107" s="45">
        <f t="shared" si="604"/>
        <v>-1.0731262729080262</v>
      </c>
      <c r="AV1107" s="45" t="e">
        <f t="shared" si="605"/>
        <v>#VALUE!</v>
      </c>
      <c r="AW1107" s="45" t="e">
        <f t="shared" si="606"/>
        <v>#VALUE!</v>
      </c>
      <c r="AX1107" s="45" t="e">
        <f t="shared" si="607"/>
        <v>#VALUE!</v>
      </c>
      <c r="AY1107" s="45" t="e">
        <f t="shared" si="608"/>
        <v>#VALUE!</v>
      </c>
      <c r="AZ1107" s="45" t="e">
        <f t="shared" si="609"/>
        <v>#VALUE!</v>
      </c>
      <c r="BA1107" s="45">
        <f t="shared" si="610"/>
        <v>1.8239087409443189</v>
      </c>
      <c r="BB1107" s="45">
        <f t="shared" si="611"/>
        <v>0.66776121692542167</v>
      </c>
      <c r="BC1107" s="45" t="e">
        <f t="shared" si="612"/>
        <v>#VALUE!</v>
      </c>
      <c r="BD1107" s="45" t="e">
        <f t="shared" si="613"/>
        <v>#VALUE!</v>
      </c>
      <c r="BE1107" s="45">
        <f t="shared" si="614"/>
        <v>2.046957355907228</v>
      </c>
      <c r="BF1107" s="45" t="e">
        <f t="shared" si="615"/>
        <v>#VALUE!</v>
      </c>
      <c r="BG1107" s="45" t="e">
        <f t="shared" si="616"/>
        <v>#VALUE!</v>
      </c>
      <c r="BH1107" s="45" t="e">
        <f t="shared" si="617"/>
        <v>#NUM!</v>
      </c>
      <c r="BI1107" s="43">
        <f t="shared" si="618"/>
        <v>2.046957355907228</v>
      </c>
      <c r="CA1107" s="41" t="s">
        <v>22</v>
      </c>
      <c r="CC1107" s="2" t="s">
        <v>22</v>
      </c>
      <c r="CD1107" s="2"/>
      <c r="CE1107" s="41" t="s">
        <v>22</v>
      </c>
      <c r="CF1107" s="41" t="s">
        <v>22</v>
      </c>
      <c r="CG1107" s="41" t="e">
        <f t="shared" si="619"/>
        <v>#VALUE!</v>
      </c>
      <c r="CH1107" s="41" t="e">
        <f t="shared" si="620"/>
        <v>#VALUE!</v>
      </c>
      <c r="CI1107" s="41" t="str">
        <f t="shared" si="621"/>
        <v>Not Reported/ Can not calculate</v>
      </c>
      <c r="CJ1107" s="41" t="e">
        <f t="shared" si="622"/>
        <v>#VALUE!</v>
      </c>
      <c r="CK1107" s="2"/>
      <c r="CL1107" s="9" t="s">
        <v>1269</v>
      </c>
      <c r="CM1107" s="18" t="s">
        <v>1284</v>
      </c>
      <c r="CN1107" s="54" t="s">
        <v>1284</v>
      </c>
      <c r="CO1107" s="18" t="s">
        <v>1284</v>
      </c>
    </row>
    <row r="1108" spans="1:93" x14ac:dyDescent="0.25">
      <c r="A1108" s="18" t="s">
        <v>315</v>
      </c>
      <c r="B1108" s="41">
        <v>9.9867549668874095E-2</v>
      </c>
      <c r="C1108" s="41" t="s">
        <v>22</v>
      </c>
      <c r="D1108" s="41" t="s">
        <v>22</v>
      </c>
      <c r="E1108" s="41" t="s">
        <v>22</v>
      </c>
      <c r="F1108" s="18" t="s">
        <v>22</v>
      </c>
      <c r="G1108" s="18" t="s">
        <v>22</v>
      </c>
      <c r="H1108" s="18" t="s">
        <v>22</v>
      </c>
      <c r="I1108" s="18" t="s">
        <v>22</v>
      </c>
      <c r="J1108" s="41">
        <v>50</v>
      </c>
      <c r="K1108" s="18">
        <v>514</v>
      </c>
      <c r="L1108" s="41">
        <f t="shared" si="623"/>
        <v>3.4899763208000003</v>
      </c>
      <c r="M1108" s="18" t="s">
        <v>23</v>
      </c>
      <c r="N1108" s="41" t="s">
        <v>22</v>
      </c>
      <c r="O1108" s="41" t="s">
        <v>22</v>
      </c>
      <c r="P1108" s="41" t="s">
        <v>22</v>
      </c>
      <c r="R1108" s="41" t="s">
        <v>22</v>
      </c>
      <c r="S1108" s="41" t="s">
        <v>22</v>
      </c>
      <c r="T1108" s="41" t="s">
        <v>22</v>
      </c>
      <c r="U1108" s="41" t="s">
        <v>22</v>
      </c>
      <c r="V1108" s="18">
        <v>20200511</v>
      </c>
      <c r="W1108" s="21" t="s">
        <v>312</v>
      </c>
      <c r="X1108" s="18">
        <v>2019</v>
      </c>
      <c r="Y1108" s="18" t="s">
        <v>328</v>
      </c>
      <c r="Z1108" s="18" t="s">
        <v>43</v>
      </c>
      <c r="AC1108" s="18" t="s">
        <v>269</v>
      </c>
      <c r="AD1108" s="41" t="s">
        <v>22</v>
      </c>
      <c r="AE1108" s="41" t="s">
        <v>22</v>
      </c>
      <c r="AF1108" s="41">
        <v>107.77611841829</v>
      </c>
      <c r="AG1108" s="41" t="s">
        <v>22</v>
      </c>
      <c r="AH1108" s="41" t="s">
        <v>22</v>
      </c>
      <c r="AI1108" s="41" t="s">
        <v>22</v>
      </c>
      <c r="AJ1108" s="41" t="s">
        <v>22</v>
      </c>
      <c r="AK1108" s="41" t="s">
        <v>22</v>
      </c>
      <c r="AL1108" s="41" t="s">
        <v>22</v>
      </c>
      <c r="AM1108" s="43" t="e">
        <f t="shared" si="601"/>
        <v>#VALUE!</v>
      </c>
      <c r="AN1108" s="43" t="e">
        <f t="shared" si="602"/>
        <v>#VALUE!</v>
      </c>
      <c r="AO1108" s="19" t="s">
        <v>313</v>
      </c>
      <c r="AT1108" s="2">
        <f t="shared" si="603"/>
        <v>12</v>
      </c>
      <c r="AU1108" s="45">
        <f t="shared" si="604"/>
        <v>-1.0005756057594146</v>
      </c>
      <c r="AV1108" s="45" t="e">
        <f t="shared" si="605"/>
        <v>#VALUE!</v>
      </c>
      <c r="AW1108" s="45" t="e">
        <f t="shared" si="606"/>
        <v>#VALUE!</v>
      </c>
      <c r="AX1108" s="45" t="e">
        <f t="shared" si="607"/>
        <v>#VALUE!</v>
      </c>
      <c r="AY1108" s="45" t="e">
        <f t="shared" si="608"/>
        <v>#VALUE!</v>
      </c>
      <c r="AZ1108" s="45" t="e">
        <f t="shared" si="609"/>
        <v>#VALUE!</v>
      </c>
      <c r="BA1108" s="45">
        <f t="shared" si="610"/>
        <v>1.6989700043360187</v>
      </c>
      <c r="BB1108" s="45">
        <f t="shared" si="611"/>
        <v>0.54282248031712177</v>
      </c>
      <c r="BC1108" s="45" t="e">
        <f t="shared" si="612"/>
        <v>#VALUE!</v>
      </c>
      <c r="BD1108" s="45" t="e">
        <f t="shared" si="613"/>
        <v>#VALUE!</v>
      </c>
      <c r="BE1108" s="45">
        <f t="shared" si="614"/>
        <v>2.0325225383259404</v>
      </c>
      <c r="BF1108" s="45" t="e">
        <f t="shared" si="615"/>
        <v>#VALUE!</v>
      </c>
      <c r="BG1108" s="45" t="e">
        <f t="shared" si="616"/>
        <v>#VALUE!</v>
      </c>
      <c r="BH1108" s="45" t="e">
        <f t="shared" si="617"/>
        <v>#NUM!</v>
      </c>
      <c r="BI1108" s="43">
        <f t="shared" si="618"/>
        <v>2.0325225383259404</v>
      </c>
      <c r="CA1108" s="41" t="s">
        <v>22</v>
      </c>
      <c r="CC1108" s="2" t="s">
        <v>22</v>
      </c>
      <c r="CD1108" s="2"/>
      <c r="CE1108" s="41" t="s">
        <v>22</v>
      </c>
      <c r="CF1108" s="41" t="s">
        <v>22</v>
      </c>
      <c r="CG1108" s="41" t="e">
        <f t="shared" si="619"/>
        <v>#VALUE!</v>
      </c>
      <c r="CH1108" s="41" t="e">
        <f t="shared" si="620"/>
        <v>#VALUE!</v>
      </c>
      <c r="CI1108" s="41" t="str">
        <f t="shared" si="621"/>
        <v>Not Reported/ Can not calculate</v>
      </c>
      <c r="CJ1108" s="41" t="e">
        <f t="shared" si="622"/>
        <v>#VALUE!</v>
      </c>
      <c r="CK1108" s="2"/>
      <c r="CL1108" s="9" t="s">
        <v>1269</v>
      </c>
      <c r="CM1108" s="18" t="s">
        <v>1284</v>
      </c>
      <c r="CN1108" s="54" t="s">
        <v>1284</v>
      </c>
      <c r="CO1108" s="18" t="s">
        <v>1284</v>
      </c>
    </row>
    <row r="1109" spans="1:93" x14ac:dyDescent="0.25">
      <c r="A1109" s="18" t="s">
        <v>315</v>
      </c>
      <c r="B1109" s="41">
        <v>8.7152317880794902E-2</v>
      </c>
      <c r="C1109" s="41" t="s">
        <v>22</v>
      </c>
      <c r="D1109" s="41" t="s">
        <v>22</v>
      </c>
      <c r="E1109" s="41" t="s">
        <v>22</v>
      </c>
      <c r="F1109" s="18" t="s">
        <v>22</v>
      </c>
      <c r="G1109" s="18" t="s">
        <v>22</v>
      </c>
      <c r="H1109" s="18" t="s">
        <v>22</v>
      </c>
      <c r="I1109" s="18" t="s">
        <v>22</v>
      </c>
      <c r="J1109" s="41">
        <v>41.666666666666664</v>
      </c>
      <c r="K1109" s="18">
        <v>514</v>
      </c>
      <c r="L1109" s="41">
        <f t="shared" si="623"/>
        <v>2.9083136006666663</v>
      </c>
      <c r="M1109" s="18" t="s">
        <v>23</v>
      </c>
      <c r="N1109" s="41" t="s">
        <v>22</v>
      </c>
      <c r="O1109" s="41" t="s">
        <v>22</v>
      </c>
      <c r="P1109" s="41" t="s">
        <v>22</v>
      </c>
      <c r="R1109" s="41" t="s">
        <v>22</v>
      </c>
      <c r="S1109" s="41" t="s">
        <v>22</v>
      </c>
      <c r="T1109" s="41" t="s">
        <v>22</v>
      </c>
      <c r="U1109" s="41" t="s">
        <v>22</v>
      </c>
      <c r="V1109" s="18">
        <v>20200511</v>
      </c>
      <c r="W1109" s="21" t="s">
        <v>312</v>
      </c>
      <c r="X1109" s="18">
        <v>2019</v>
      </c>
      <c r="Y1109" s="18" t="s">
        <v>328</v>
      </c>
      <c r="Z1109" s="18" t="s">
        <v>43</v>
      </c>
      <c r="AC1109" s="18" t="s">
        <v>269</v>
      </c>
      <c r="AD1109" s="41" t="s">
        <v>22</v>
      </c>
      <c r="AE1109" s="41" t="s">
        <v>22</v>
      </c>
      <c r="AF1109" s="41">
        <v>104.579352369985</v>
      </c>
      <c r="AG1109" s="41" t="s">
        <v>22</v>
      </c>
      <c r="AH1109" s="41" t="s">
        <v>22</v>
      </c>
      <c r="AI1109" s="41" t="s">
        <v>22</v>
      </c>
      <c r="AJ1109" s="41" t="s">
        <v>22</v>
      </c>
      <c r="AK1109" s="41" t="s">
        <v>22</v>
      </c>
      <c r="AL1109" s="41" t="s">
        <v>22</v>
      </c>
      <c r="AM1109" s="43" t="e">
        <f t="shared" si="601"/>
        <v>#VALUE!</v>
      </c>
      <c r="AN1109" s="43" t="e">
        <f t="shared" si="602"/>
        <v>#VALUE!</v>
      </c>
      <c r="AO1109" s="19" t="s">
        <v>313</v>
      </c>
      <c r="AT1109" s="2">
        <f t="shared" si="603"/>
        <v>12</v>
      </c>
      <c r="AU1109" s="45">
        <f t="shared" si="604"/>
        <v>-1.0597210580152316</v>
      </c>
      <c r="AV1109" s="45" t="e">
        <f t="shared" si="605"/>
        <v>#VALUE!</v>
      </c>
      <c r="AW1109" s="45" t="e">
        <f t="shared" si="606"/>
        <v>#VALUE!</v>
      </c>
      <c r="AX1109" s="45" t="e">
        <f t="shared" si="607"/>
        <v>#VALUE!</v>
      </c>
      <c r="AY1109" s="45" t="e">
        <f t="shared" si="608"/>
        <v>#VALUE!</v>
      </c>
      <c r="AZ1109" s="45" t="e">
        <f t="shared" si="609"/>
        <v>#VALUE!</v>
      </c>
      <c r="BA1109" s="45">
        <f t="shared" si="610"/>
        <v>1.6197887582883939</v>
      </c>
      <c r="BB1109" s="45">
        <f t="shared" si="611"/>
        <v>0.46364123426949688</v>
      </c>
      <c r="BC1109" s="45" t="e">
        <f t="shared" si="612"/>
        <v>#VALUE!</v>
      </c>
      <c r="BD1109" s="45" t="e">
        <f t="shared" si="613"/>
        <v>#VALUE!</v>
      </c>
      <c r="BE1109" s="45">
        <f t="shared" si="614"/>
        <v>2.019445948040465</v>
      </c>
      <c r="BF1109" s="45" t="e">
        <f t="shared" si="615"/>
        <v>#VALUE!</v>
      </c>
      <c r="BG1109" s="45" t="e">
        <f t="shared" si="616"/>
        <v>#VALUE!</v>
      </c>
      <c r="BH1109" s="45" t="e">
        <f t="shared" si="617"/>
        <v>#NUM!</v>
      </c>
      <c r="BI1109" s="43">
        <f t="shared" si="618"/>
        <v>2.019445948040465</v>
      </c>
      <c r="CA1109" s="41" t="s">
        <v>22</v>
      </c>
      <c r="CC1109" s="2" t="s">
        <v>22</v>
      </c>
      <c r="CD1109" s="2"/>
      <c r="CE1109" s="41" t="s">
        <v>22</v>
      </c>
      <c r="CF1109" s="41" t="s">
        <v>22</v>
      </c>
      <c r="CG1109" s="41" t="e">
        <f t="shared" si="619"/>
        <v>#VALUE!</v>
      </c>
      <c r="CH1109" s="41" t="e">
        <f t="shared" si="620"/>
        <v>#VALUE!</v>
      </c>
      <c r="CI1109" s="41" t="str">
        <f t="shared" si="621"/>
        <v>Not Reported/ Can not calculate</v>
      </c>
      <c r="CJ1109" s="41" t="e">
        <f t="shared" si="622"/>
        <v>#VALUE!</v>
      </c>
      <c r="CK1109" s="2"/>
      <c r="CL1109" s="9" t="s">
        <v>1269</v>
      </c>
      <c r="CM1109" s="18" t="s">
        <v>1284</v>
      </c>
      <c r="CN1109" s="54" t="s">
        <v>1284</v>
      </c>
      <c r="CO1109" s="18" t="s">
        <v>1284</v>
      </c>
    </row>
    <row r="1110" spans="1:93" x14ac:dyDescent="0.25">
      <c r="A1110" s="18" t="s">
        <v>315</v>
      </c>
      <c r="B1110" s="41">
        <v>9.6423841059602597E-2</v>
      </c>
      <c r="C1110" s="41" t="s">
        <v>22</v>
      </c>
      <c r="D1110" s="41" t="s">
        <v>22</v>
      </c>
      <c r="E1110" s="41" t="s">
        <v>22</v>
      </c>
      <c r="F1110" s="18" t="s">
        <v>22</v>
      </c>
      <c r="G1110" s="18" t="s">
        <v>22</v>
      </c>
      <c r="H1110" s="18" t="s">
        <v>22</v>
      </c>
      <c r="I1110" s="18" t="s">
        <v>22</v>
      </c>
      <c r="J1110" s="41">
        <v>50</v>
      </c>
      <c r="K1110" s="18">
        <v>514</v>
      </c>
      <c r="L1110" s="41">
        <f t="shared" si="623"/>
        <v>3.4899763208000003</v>
      </c>
      <c r="M1110" s="18" t="s">
        <v>23</v>
      </c>
      <c r="N1110" s="41" t="s">
        <v>22</v>
      </c>
      <c r="O1110" s="41" t="s">
        <v>22</v>
      </c>
      <c r="P1110" s="41" t="s">
        <v>22</v>
      </c>
      <c r="R1110" s="41" t="s">
        <v>22</v>
      </c>
      <c r="S1110" s="41" t="s">
        <v>22</v>
      </c>
      <c r="T1110" s="41" t="s">
        <v>22</v>
      </c>
      <c r="U1110" s="41" t="s">
        <v>22</v>
      </c>
      <c r="V1110" s="18">
        <v>20200511</v>
      </c>
      <c r="W1110" s="21" t="s">
        <v>312</v>
      </c>
      <c r="X1110" s="18">
        <v>2019</v>
      </c>
      <c r="Y1110" s="18" t="s">
        <v>328</v>
      </c>
      <c r="Z1110" s="18" t="s">
        <v>43</v>
      </c>
      <c r="AC1110" s="18" t="s">
        <v>269</v>
      </c>
      <c r="AD1110" s="41" t="s">
        <v>22</v>
      </c>
      <c r="AE1110" s="41" t="s">
        <v>22</v>
      </c>
      <c r="AF1110" s="41">
        <v>93.777521876555596</v>
      </c>
      <c r="AG1110" s="41" t="s">
        <v>22</v>
      </c>
      <c r="AH1110" s="41" t="s">
        <v>22</v>
      </c>
      <c r="AI1110" s="41" t="s">
        <v>22</v>
      </c>
      <c r="AJ1110" s="41" t="s">
        <v>22</v>
      </c>
      <c r="AK1110" s="41" t="s">
        <v>22</v>
      </c>
      <c r="AL1110" s="41" t="s">
        <v>22</v>
      </c>
      <c r="AM1110" s="43" t="e">
        <f t="shared" si="601"/>
        <v>#VALUE!</v>
      </c>
      <c r="AN1110" s="43" t="e">
        <f t="shared" si="602"/>
        <v>#VALUE!</v>
      </c>
      <c r="AO1110" s="19" t="s">
        <v>313</v>
      </c>
      <c r="AT1110" s="2">
        <f t="shared" si="603"/>
        <v>12</v>
      </c>
      <c r="AU1110" s="45">
        <f t="shared" si="604"/>
        <v>-1.0158155723161513</v>
      </c>
      <c r="AV1110" s="45" t="e">
        <f t="shared" si="605"/>
        <v>#VALUE!</v>
      </c>
      <c r="AW1110" s="45" t="e">
        <f t="shared" si="606"/>
        <v>#VALUE!</v>
      </c>
      <c r="AX1110" s="45" t="e">
        <f t="shared" si="607"/>
        <v>#VALUE!</v>
      </c>
      <c r="AY1110" s="45" t="e">
        <f t="shared" si="608"/>
        <v>#VALUE!</v>
      </c>
      <c r="AZ1110" s="45" t="e">
        <f t="shared" si="609"/>
        <v>#VALUE!</v>
      </c>
      <c r="BA1110" s="45">
        <f t="shared" si="610"/>
        <v>1.6989700043360187</v>
      </c>
      <c r="BB1110" s="45">
        <f t="shared" si="611"/>
        <v>0.54282248031712177</v>
      </c>
      <c r="BC1110" s="45" t="e">
        <f t="shared" si="612"/>
        <v>#VALUE!</v>
      </c>
      <c r="BD1110" s="45" t="e">
        <f t="shared" si="613"/>
        <v>#VALUE!</v>
      </c>
      <c r="BE1110" s="45">
        <f t="shared" si="614"/>
        <v>1.9720987520799758</v>
      </c>
      <c r="BF1110" s="45" t="e">
        <f t="shared" si="615"/>
        <v>#VALUE!</v>
      </c>
      <c r="BG1110" s="45" t="e">
        <f t="shared" si="616"/>
        <v>#VALUE!</v>
      </c>
      <c r="BH1110" s="45" t="e">
        <f t="shared" si="617"/>
        <v>#NUM!</v>
      </c>
      <c r="BI1110" s="43">
        <f t="shared" si="618"/>
        <v>1.9720987520799758</v>
      </c>
      <c r="CA1110" s="41" t="s">
        <v>22</v>
      </c>
      <c r="CC1110" t="s">
        <v>22</v>
      </c>
      <c r="CE1110" s="41" t="s">
        <v>22</v>
      </c>
      <c r="CF1110" s="41" t="s">
        <v>22</v>
      </c>
      <c r="CG1110" s="41" t="e">
        <f t="shared" si="619"/>
        <v>#VALUE!</v>
      </c>
      <c r="CH1110" s="41" t="e">
        <f t="shared" si="620"/>
        <v>#VALUE!</v>
      </c>
      <c r="CI1110" s="41" t="str">
        <f t="shared" si="621"/>
        <v>Not Reported/ Can not calculate</v>
      </c>
      <c r="CJ1110" s="41" t="e">
        <f t="shared" si="622"/>
        <v>#VALUE!</v>
      </c>
      <c r="CL1110" s="9" t="s">
        <v>1269</v>
      </c>
      <c r="CM1110" s="18" t="s">
        <v>1284</v>
      </c>
      <c r="CN1110" s="54" t="s">
        <v>1284</v>
      </c>
      <c r="CO1110" s="18" t="s">
        <v>1284</v>
      </c>
    </row>
    <row r="1111" spans="1:93" x14ac:dyDescent="0.25">
      <c r="A1111" s="18" t="s">
        <v>315</v>
      </c>
      <c r="B1111" s="41">
        <v>8.1059602649006593E-2</v>
      </c>
      <c r="C1111" s="41" t="s">
        <v>22</v>
      </c>
      <c r="D1111" s="41" t="s">
        <v>22</v>
      </c>
      <c r="E1111" s="41" t="s">
        <v>22</v>
      </c>
      <c r="F1111" s="18" t="s">
        <v>22</v>
      </c>
      <c r="G1111" s="18" t="s">
        <v>22</v>
      </c>
      <c r="H1111" s="18" t="s">
        <v>22</v>
      </c>
      <c r="I1111" s="18" t="s">
        <v>22</v>
      </c>
      <c r="J1111" s="41">
        <v>62.5</v>
      </c>
      <c r="K1111" s="18">
        <v>514</v>
      </c>
      <c r="L1111" s="41">
        <f t="shared" si="623"/>
        <v>4.3624704010000004</v>
      </c>
      <c r="M1111" s="18" t="s">
        <v>23</v>
      </c>
      <c r="N1111" s="41" t="s">
        <v>22</v>
      </c>
      <c r="O1111" s="41" t="s">
        <v>22</v>
      </c>
      <c r="P1111" s="41" t="s">
        <v>22</v>
      </c>
      <c r="R1111" s="41" t="s">
        <v>22</v>
      </c>
      <c r="S1111" s="41" t="s">
        <v>22</v>
      </c>
      <c r="T1111" s="41" t="s">
        <v>22</v>
      </c>
      <c r="U1111" s="41" t="s">
        <v>22</v>
      </c>
      <c r="V1111" s="18">
        <v>20200511</v>
      </c>
      <c r="W1111" s="21" t="s">
        <v>312</v>
      </c>
      <c r="X1111" s="18">
        <v>2019</v>
      </c>
      <c r="Y1111" s="18" t="s">
        <v>328</v>
      </c>
      <c r="Z1111" s="18" t="s">
        <v>43</v>
      </c>
      <c r="AC1111" s="18" t="s">
        <v>269</v>
      </c>
      <c r="AD1111" s="41" t="s">
        <v>22</v>
      </c>
      <c r="AE1111" s="41" t="s">
        <v>22</v>
      </c>
      <c r="AF1111" s="41">
        <v>102.66249227797999</v>
      </c>
      <c r="AG1111" s="41" t="s">
        <v>22</v>
      </c>
      <c r="AH1111" s="41" t="s">
        <v>22</v>
      </c>
      <c r="AI1111" s="41" t="s">
        <v>22</v>
      </c>
      <c r="AJ1111" s="41" t="s">
        <v>22</v>
      </c>
      <c r="AK1111" s="41" t="s">
        <v>22</v>
      </c>
      <c r="AL1111" s="41" t="s">
        <v>22</v>
      </c>
      <c r="AM1111" s="43" t="e">
        <f t="shared" si="601"/>
        <v>#VALUE!</v>
      </c>
      <c r="AN1111" s="43" t="e">
        <f t="shared" si="602"/>
        <v>#VALUE!</v>
      </c>
      <c r="AO1111" s="19" t="s">
        <v>313</v>
      </c>
      <c r="AT1111" s="2">
        <f t="shared" si="603"/>
        <v>12</v>
      </c>
      <c r="AU1111" s="45">
        <f t="shared" si="604"/>
        <v>-1.0911955294836273</v>
      </c>
      <c r="AV1111" s="45" t="e">
        <f t="shared" si="605"/>
        <v>#VALUE!</v>
      </c>
      <c r="AW1111" s="45" t="e">
        <f t="shared" si="606"/>
        <v>#VALUE!</v>
      </c>
      <c r="AX1111" s="45" t="e">
        <f t="shared" si="607"/>
        <v>#VALUE!</v>
      </c>
      <c r="AY1111" s="45" t="e">
        <f t="shared" si="608"/>
        <v>#VALUE!</v>
      </c>
      <c r="AZ1111" s="45" t="e">
        <f t="shared" si="609"/>
        <v>#VALUE!</v>
      </c>
      <c r="BA1111" s="45">
        <f t="shared" si="610"/>
        <v>1.7958800173440752</v>
      </c>
      <c r="BB1111" s="45">
        <f t="shared" si="611"/>
        <v>0.63973249332517823</v>
      </c>
      <c r="BC1111" s="45" t="e">
        <f t="shared" si="612"/>
        <v>#VALUE!</v>
      </c>
      <c r="BD1111" s="45" t="e">
        <f t="shared" si="613"/>
        <v>#VALUE!</v>
      </c>
      <c r="BE1111" s="45">
        <f t="shared" si="614"/>
        <v>2.0114118031688095</v>
      </c>
      <c r="BF1111" s="45" t="e">
        <f t="shared" si="615"/>
        <v>#VALUE!</v>
      </c>
      <c r="BG1111" s="45" t="e">
        <f t="shared" si="616"/>
        <v>#VALUE!</v>
      </c>
      <c r="BH1111" s="45" t="e">
        <f t="shared" si="617"/>
        <v>#NUM!</v>
      </c>
      <c r="BI1111" s="43">
        <f t="shared" si="618"/>
        <v>2.0114118031688095</v>
      </c>
      <c r="CA1111" s="41" t="s">
        <v>22</v>
      </c>
      <c r="CC1111" t="s">
        <v>22</v>
      </c>
      <c r="CE1111" s="41" t="s">
        <v>22</v>
      </c>
      <c r="CF1111" s="41" t="s">
        <v>22</v>
      </c>
      <c r="CG1111" s="41" t="e">
        <f t="shared" si="619"/>
        <v>#VALUE!</v>
      </c>
      <c r="CH1111" s="41" t="e">
        <f t="shared" si="620"/>
        <v>#VALUE!</v>
      </c>
      <c r="CI1111" s="41" t="str">
        <f t="shared" si="621"/>
        <v>Not Reported/ Can not calculate</v>
      </c>
      <c r="CJ1111" s="41" t="e">
        <f t="shared" si="622"/>
        <v>#VALUE!</v>
      </c>
      <c r="CL1111" s="9" t="s">
        <v>1269</v>
      </c>
      <c r="CM1111" s="18" t="s">
        <v>1284</v>
      </c>
      <c r="CN1111" s="54" t="s">
        <v>1284</v>
      </c>
      <c r="CO1111" s="18" t="s">
        <v>1284</v>
      </c>
    </row>
    <row r="1112" spans="1:93" x14ac:dyDescent="0.25">
      <c r="A1112" s="18" t="s">
        <v>315</v>
      </c>
      <c r="B1112" s="41">
        <v>0.10701986754966798</v>
      </c>
      <c r="C1112" s="41" t="s">
        <v>22</v>
      </c>
      <c r="D1112" s="41" t="s">
        <v>22</v>
      </c>
      <c r="E1112" s="41" t="s">
        <v>22</v>
      </c>
      <c r="F1112" s="18" t="s">
        <v>22</v>
      </c>
      <c r="G1112" s="18" t="s">
        <v>22</v>
      </c>
      <c r="H1112" s="18" t="s">
        <v>22</v>
      </c>
      <c r="I1112" s="18" t="s">
        <v>22</v>
      </c>
      <c r="J1112" s="41">
        <v>50</v>
      </c>
      <c r="K1112" s="18">
        <v>514</v>
      </c>
      <c r="L1112" s="41">
        <f t="shared" si="623"/>
        <v>3.4899763208000003</v>
      </c>
      <c r="M1112" s="18" t="s">
        <v>23</v>
      </c>
      <c r="N1112" s="41" t="s">
        <v>22</v>
      </c>
      <c r="O1112" s="41" t="s">
        <v>22</v>
      </c>
      <c r="P1112" s="41" t="s">
        <v>22</v>
      </c>
      <c r="R1112" s="41" t="s">
        <v>22</v>
      </c>
      <c r="S1112" s="41" t="s">
        <v>22</v>
      </c>
      <c r="T1112" s="41" t="s">
        <v>22</v>
      </c>
      <c r="U1112" s="41" t="s">
        <v>22</v>
      </c>
      <c r="V1112" s="18">
        <v>20200511</v>
      </c>
      <c r="W1112" s="21" t="s">
        <v>312</v>
      </c>
      <c r="X1112" s="18">
        <v>2019</v>
      </c>
      <c r="Y1112" s="18" t="s">
        <v>328</v>
      </c>
      <c r="Z1112" s="18" t="s">
        <v>43</v>
      </c>
      <c r="AC1112" s="18" t="s">
        <v>269</v>
      </c>
      <c r="AD1112" s="41" t="s">
        <v>22</v>
      </c>
      <c r="AE1112" s="41" t="s">
        <v>22</v>
      </c>
      <c r="AF1112" s="41">
        <v>123.18057229909201</v>
      </c>
      <c r="AG1112" s="41" t="s">
        <v>22</v>
      </c>
      <c r="AH1112" s="41" t="s">
        <v>22</v>
      </c>
      <c r="AI1112" s="41" t="s">
        <v>22</v>
      </c>
      <c r="AJ1112" s="41" t="s">
        <v>22</v>
      </c>
      <c r="AK1112" s="41" t="s">
        <v>22</v>
      </c>
      <c r="AL1112" s="41" t="s">
        <v>22</v>
      </c>
      <c r="AM1112" s="43" t="e">
        <f t="shared" si="601"/>
        <v>#VALUE!</v>
      </c>
      <c r="AN1112" s="43" t="e">
        <f t="shared" si="602"/>
        <v>#VALUE!</v>
      </c>
      <c r="AO1112" s="19" t="s">
        <v>313</v>
      </c>
      <c r="AT1112" s="2">
        <f t="shared" si="603"/>
        <v>12</v>
      </c>
      <c r="AU1112" s="45">
        <f t="shared" si="604"/>
        <v>-0.97053559085460572</v>
      </c>
      <c r="AV1112" s="45" t="e">
        <f t="shared" si="605"/>
        <v>#VALUE!</v>
      </c>
      <c r="AW1112" s="45" t="e">
        <f t="shared" si="606"/>
        <v>#VALUE!</v>
      </c>
      <c r="AX1112" s="45" t="e">
        <f t="shared" si="607"/>
        <v>#VALUE!</v>
      </c>
      <c r="AY1112" s="45" t="e">
        <f t="shared" si="608"/>
        <v>#VALUE!</v>
      </c>
      <c r="AZ1112" s="45" t="e">
        <f t="shared" si="609"/>
        <v>#VALUE!</v>
      </c>
      <c r="BA1112" s="45">
        <f t="shared" si="610"/>
        <v>1.6989700043360187</v>
      </c>
      <c r="BB1112" s="45">
        <f t="shared" si="611"/>
        <v>0.54282248031712177</v>
      </c>
      <c r="BC1112" s="45" t="e">
        <f t="shared" si="612"/>
        <v>#VALUE!</v>
      </c>
      <c r="BD1112" s="45" t="e">
        <f t="shared" si="613"/>
        <v>#VALUE!</v>
      </c>
      <c r="BE1112" s="45">
        <f t="shared" si="614"/>
        <v>2.090542217498677</v>
      </c>
      <c r="BF1112" s="45" t="e">
        <f t="shared" si="615"/>
        <v>#VALUE!</v>
      </c>
      <c r="BG1112" s="45" t="e">
        <f t="shared" si="616"/>
        <v>#VALUE!</v>
      </c>
      <c r="BH1112" s="45" t="e">
        <f t="shared" si="617"/>
        <v>#NUM!</v>
      </c>
      <c r="BI1112" s="43">
        <f t="shared" si="618"/>
        <v>2.090542217498677</v>
      </c>
      <c r="CA1112" s="41" t="s">
        <v>22</v>
      </c>
      <c r="CC1112" t="s">
        <v>22</v>
      </c>
      <c r="CE1112" s="41" t="s">
        <v>22</v>
      </c>
      <c r="CF1112" s="41" t="s">
        <v>22</v>
      </c>
      <c r="CG1112" s="41" t="e">
        <f t="shared" si="619"/>
        <v>#VALUE!</v>
      </c>
      <c r="CH1112" s="41" t="e">
        <f t="shared" si="620"/>
        <v>#VALUE!</v>
      </c>
      <c r="CI1112" s="41" t="str">
        <f t="shared" si="621"/>
        <v>Not Reported/ Can not calculate</v>
      </c>
      <c r="CJ1112" s="41" t="e">
        <f t="shared" si="622"/>
        <v>#VALUE!</v>
      </c>
      <c r="CL1112" s="9" t="s">
        <v>1269</v>
      </c>
      <c r="CM1112" s="18" t="s">
        <v>1284</v>
      </c>
      <c r="CN1112" s="54" t="s">
        <v>1284</v>
      </c>
      <c r="CO1112" s="18" t="s">
        <v>1284</v>
      </c>
    </row>
    <row r="1113" spans="1:93" x14ac:dyDescent="0.25">
      <c r="A1113" s="18" t="s">
        <v>315</v>
      </c>
      <c r="B1113" s="41">
        <v>8.291390728476819E-2</v>
      </c>
      <c r="C1113" s="41" t="s">
        <v>22</v>
      </c>
      <c r="D1113" s="41" t="s">
        <v>22</v>
      </c>
      <c r="E1113" s="41" t="s">
        <v>22</v>
      </c>
      <c r="F1113" s="18" t="s">
        <v>22</v>
      </c>
      <c r="G1113" s="18" t="s">
        <v>22</v>
      </c>
      <c r="H1113" s="18" t="s">
        <v>22</v>
      </c>
      <c r="I1113" s="18" t="s">
        <v>22</v>
      </c>
      <c r="J1113" s="41">
        <v>52.631578947368425</v>
      </c>
      <c r="K1113" s="18">
        <v>514</v>
      </c>
      <c r="L1113" s="41">
        <f t="shared" si="623"/>
        <v>3.6736592850526315</v>
      </c>
      <c r="M1113" s="18" t="s">
        <v>23</v>
      </c>
      <c r="N1113" s="41" t="s">
        <v>22</v>
      </c>
      <c r="O1113" s="41" t="s">
        <v>22</v>
      </c>
      <c r="P1113" s="41" t="s">
        <v>22</v>
      </c>
      <c r="R1113" s="41" t="s">
        <v>22</v>
      </c>
      <c r="S1113" s="41" t="s">
        <v>22</v>
      </c>
      <c r="T1113" s="41" t="s">
        <v>22</v>
      </c>
      <c r="U1113" s="41" t="s">
        <v>22</v>
      </c>
      <c r="V1113" s="18">
        <v>20200511</v>
      </c>
      <c r="W1113" s="21" t="s">
        <v>312</v>
      </c>
      <c r="X1113" s="18">
        <v>2019</v>
      </c>
      <c r="Y1113" s="18" t="s">
        <v>328</v>
      </c>
      <c r="Z1113" s="18" t="s">
        <v>43</v>
      </c>
      <c r="AC1113" s="18" t="s">
        <v>269</v>
      </c>
      <c r="AD1113" s="41" t="s">
        <v>22</v>
      </c>
      <c r="AE1113" s="41" t="s">
        <v>22</v>
      </c>
      <c r="AF1113" s="41">
        <v>121.10177471496</v>
      </c>
      <c r="AG1113" s="41" t="s">
        <v>22</v>
      </c>
      <c r="AH1113" s="41" t="s">
        <v>22</v>
      </c>
      <c r="AI1113" s="41" t="s">
        <v>22</v>
      </c>
      <c r="AJ1113" s="41" t="s">
        <v>22</v>
      </c>
      <c r="AK1113" s="41" t="s">
        <v>22</v>
      </c>
      <c r="AL1113" s="41" t="s">
        <v>22</v>
      </c>
      <c r="AM1113" s="43" t="e">
        <f t="shared" si="601"/>
        <v>#VALUE!</v>
      </c>
      <c r="AN1113" s="43" t="e">
        <f t="shared" si="602"/>
        <v>#VALUE!</v>
      </c>
      <c r="AO1113" s="19" t="s">
        <v>313</v>
      </c>
      <c r="AT1113" s="2">
        <f t="shared" si="603"/>
        <v>12</v>
      </c>
      <c r="AU1113" s="45">
        <f t="shared" si="604"/>
        <v>-1.0813726184187586</v>
      </c>
      <c r="AV1113" s="45" t="e">
        <f t="shared" si="605"/>
        <v>#VALUE!</v>
      </c>
      <c r="AW1113" s="45" t="e">
        <f t="shared" si="606"/>
        <v>#VALUE!</v>
      </c>
      <c r="AX1113" s="45" t="e">
        <f t="shared" si="607"/>
        <v>#VALUE!</v>
      </c>
      <c r="AY1113" s="45" t="e">
        <f t="shared" si="608"/>
        <v>#VALUE!</v>
      </c>
      <c r="AZ1113" s="45" t="e">
        <f t="shared" si="609"/>
        <v>#VALUE!</v>
      </c>
      <c r="BA1113" s="45">
        <f t="shared" si="610"/>
        <v>1.7212463990471711</v>
      </c>
      <c r="BB1113" s="45">
        <f t="shared" si="611"/>
        <v>0.56509887502827394</v>
      </c>
      <c r="BC1113" s="45" t="e">
        <f t="shared" si="612"/>
        <v>#VALUE!</v>
      </c>
      <c r="BD1113" s="45" t="e">
        <f t="shared" si="613"/>
        <v>#VALUE!</v>
      </c>
      <c r="BE1113" s="45">
        <f t="shared" si="614"/>
        <v>2.083150507662181</v>
      </c>
      <c r="BF1113" s="45" t="e">
        <f t="shared" si="615"/>
        <v>#VALUE!</v>
      </c>
      <c r="BG1113" s="45" t="e">
        <f t="shared" si="616"/>
        <v>#VALUE!</v>
      </c>
      <c r="BH1113" s="45" t="e">
        <f t="shared" si="617"/>
        <v>#NUM!</v>
      </c>
      <c r="BI1113" s="43">
        <f t="shared" si="618"/>
        <v>2.083150507662181</v>
      </c>
      <c r="CA1113" s="41" t="s">
        <v>22</v>
      </c>
      <c r="CC1113" t="s">
        <v>22</v>
      </c>
      <c r="CE1113" s="41" t="s">
        <v>22</v>
      </c>
      <c r="CF1113" s="41" t="s">
        <v>22</v>
      </c>
      <c r="CG1113" s="41" t="e">
        <f t="shared" si="619"/>
        <v>#VALUE!</v>
      </c>
      <c r="CH1113" s="41" t="e">
        <f t="shared" si="620"/>
        <v>#VALUE!</v>
      </c>
      <c r="CI1113" s="41" t="str">
        <f t="shared" si="621"/>
        <v>Not Reported/ Can not calculate</v>
      </c>
      <c r="CJ1113" s="41" t="e">
        <f t="shared" si="622"/>
        <v>#VALUE!</v>
      </c>
      <c r="CL1113" s="9" t="s">
        <v>1269</v>
      </c>
      <c r="CM1113" s="18" t="s">
        <v>1284</v>
      </c>
      <c r="CN1113" s="54" t="s">
        <v>1284</v>
      </c>
      <c r="CO1113" s="18" t="s">
        <v>1284</v>
      </c>
    </row>
    <row r="1114" spans="1:93" x14ac:dyDescent="0.25">
      <c r="A1114" s="18" t="s">
        <v>315</v>
      </c>
      <c r="B1114" s="41">
        <v>7.7086092715231702E-2</v>
      </c>
      <c r="C1114" s="41" t="s">
        <v>22</v>
      </c>
      <c r="D1114" s="41" t="s">
        <v>22</v>
      </c>
      <c r="E1114" s="41" t="s">
        <v>22</v>
      </c>
      <c r="F1114" s="18" t="s">
        <v>22</v>
      </c>
      <c r="G1114" s="18" t="s">
        <v>22</v>
      </c>
      <c r="H1114" s="18" t="s">
        <v>22</v>
      </c>
      <c r="I1114" s="18" t="s">
        <v>22</v>
      </c>
      <c r="J1114" s="41">
        <v>38.46153846153846</v>
      </c>
      <c r="K1114" s="18">
        <v>514</v>
      </c>
      <c r="L1114" s="41">
        <f t="shared" si="623"/>
        <v>2.6845971698461537</v>
      </c>
      <c r="M1114" s="18" t="s">
        <v>23</v>
      </c>
      <c r="N1114" s="41" t="s">
        <v>22</v>
      </c>
      <c r="O1114" s="41" t="s">
        <v>22</v>
      </c>
      <c r="P1114" s="41" t="s">
        <v>22</v>
      </c>
      <c r="R1114" s="41" t="s">
        <v>22</v>
      </c>
      <c r="S1114" s="41" t="s">
        <v>22</v>
      </c>
      <c r="T1114" s="41" t="s">
        <v>22</v>
      </c>
      <c r="U1114" s="41" t="s">
        <v>22</v>
      </c>
      <c r="V1114" s="18">
        <v>20200511</v>
      </c>
      <c r="W1114" s="21" t="s">
        <v>312</v>
      </c>
      <c r="X1114" s="18">
        <v>2019</v>
      </c>
      <c r="Y1114" s="18" t="s">
        <v>328</v>
      </c>
      <c r="Z1114" s="18" t="s">
        <v>43</v>
      </c>
      <c r="AC1114" s="18" t="s">
        <v>269</v>
      </c>
      <c r="AD1114" s="41" t="s">
        <v>22</v>
      </c>
      <c r="AE1114" s="41" t="s">
        <v>22</v>
      </c>
      <c r="AF1114" s="41">
        <v>90.388829911654</v>
      </c>
      <c r="AG1114" s="41" t="s">
        <v>22</v>
      </c>
      <c r="AH1114" s="41" t="s">
        <v>22</v>
      </c>
      <c r="AI1114" s="41" t="s">
        <v>22</v>
      </c>
      <c r="AJ1114" s="41" t="s">
        <v>22</v>
      </c>
      <c r="AK1114" s="41" t="s">
        <v>22</v>
      </c>
      <c r="AL1114" s="41" t="s">
        <v>22</v>
      </c>
      <c r="AM1114" s="43" t="e">
        <f t="shared" si="601"/>
        <v>#VALUE!</v>
      </c>
      <c r="AN1114" s="43" t="e">
        <f t="shared" si="602"/>
        <v>#VALUE!</v>
      </c>
      <c r="AO1114" s="19" t="s">
        <v>313</v>
      </c>
      <c r="AT1114" s="2">
        <f t="shared" si="603"/>
        <v>12</v>
      </c>
      <c r="AU1114" s="45">
        <f t="shared" si="604"/>
        <v>-1.1130239669793003</v>
      </c>
      <c r="AV1114" s="45" t="e">
        <f t="shared" si="605"/>
        <v>#VALUE!</v>
      </c>
      <c r="AW1114" s="45" t="e">
        <f t="shared" si="606"/>
        <v>#VALUE!</v>
      </c>
      <c r="AX1114" s="45" t="e">
        <f t="shared" si="607"/>
        <v>#VALUE!</v>
      </c>
      <c r="AY1114" s="45" t="e">
        <f t="shared" si="608"/>
        <v>#VALUE!</v>
      </c>
      <c r="AZ1114" s="45" t="e">
        <f t="shared" si="609"/>
        <v>#VALUE!</v>
      </c>
      <c r="BA1114" s="45">
        <f t="shared" si="610"/>
        <v>1.585026652029182</v>
      </c>
      <c r="BB1114" s="45">
        <f t="shared" si="611"/>
        <v>0.42887912801028494</v>
      </c>
      <c r="BC1114" s="45" t="e">
        <f t="shared" si="612"/>
        <v>#VALUE!</v>
      </c>
      <c r="BD1114" s="45" t="e">
        <f t="shared" si="613"/>
        <v>#VALUE!</v>
      </c>
      <c r="BE1114" s="45">
        <f t="shared" si="614"/>
        <v>1.9561147644635906</v>
      </c>
      <c r="BF1114" s="45" t="e">
        <f t="shared" si="615"/>
        <v>#VALUE!</v>
      </c>
      <c r="BG1114" s="45" t="e">
        <f t="shared" si="616"/>
        <v>#VALUE!</v>
      </c>
      <c r="BH1114" s="45" t="e">
        <f t="shared" si="617"/>
        <v>#NUM!</v>
      </c>
      <c r="BI1114" s="43">
        <f t="shared" si="618"/>
        <v>1.9561147644635906</v>
      </c>
      <c r="CA1114" s="41" t="s">
        <v>22</v>
      </c>
      <c r="CC1114" s="18" t="s">
        <v>22</v>
      </c>
      <c r="CD1114" s="18"/>
      <c r="CE1114" s="41" t="s">
        <v>22</v>
      </c>
      <c r="CF1114" s="41" t="s">
        <v>22</v>
      </c>
      <c r="CG1114" s="41" t="e">
        <f t="shared" si="619"/>
        <v>#VALUE!</v>
      </c>
      <c r="CH1114" s="41" t="e">
        <f t="shared" si="620"/>
        <v>#VALUE!</v>
      </c>
      <c r="CI1114" s="41" t="str">
        <f t="shared" si="621"/>
        <v>Not Reported/ Can not calculate</v>
      </c>
      <c r="CJ1114" s="41" t="e">
        <f t="shared" si="622"/>
        <v>#VALUE!</v>
      </c>
      <c r="CK1114" s="18"/>
      <c r="CL1114" s="9" t="s">
        <v>1269</v>
      </c>
      <c r="CM1114" s="18" t="s">
        <v>1284</v>
      </c>
      <c r="CN1114" s="54" t="s">
        <v>1284</v>
      </c>
      <c r="CO1114" s="18" t="s">
        <v>1284</v>
      </c>
    </row>
    <row r="1115" spans="1:93" x14ac:dyDescent="0.25">
      <c r="A1115" s="18" t="s">
        <v>266</v>
      </c>
      <c r="B1115" s="41">
        <v>4.6838581624704799E-2</v>
      </c>
      <c r="C1115" s="41" t="s">
        <v>22</v>
      </c>
      <c r="D1115" s="41" t="s">
        <v>22</v>
      </c>
      <c r="E1115" s="41" t="s">
        <v>22</v>
      </c>
      <c r="F1115" s="18">
        <v>2.6</v>
      </c>
      <c r="G1115" s="18" t="s">
        <v>52</v>
      </c>
      <c r="H1115" s="18"/>
      <c r="I1115" s="18" t="s">
        <v>22</v>
      </c>
      <c r="J1115" s="41" t="s">
        <v>22</v>
      </c>
      <c r="K1115" s="18">
        <v>488</v>
      </c>
      <c r="L1115" s="41" t="e">
        <f t="shared" si="623"/>
        <v>#VALUE!</v>
      </c>
      <c r="M1115" s="18" t="s">
        <v>23</v>
      </c>
      <c r="N1115" s="41" t="s">
        <v>22</v>
      </c>
      <c r="O1115" s="41" t="s">
        <v>22</v>
      </c>
      <c r="P1115" s="41" t="s">
        <v>22</v>
      </c>
      <c r="R1115" s="41" t="s">
        <v>22</v>
      </c>
      <c r="S1115" s="41" t="s">
        <v>22</v>
      </c>
      <c r="T1115" s="41">
        <v>1.4</v>
      </c>
      <c r="U1115" s="41">
        <v>1.4</v>
      </c>
      <c r="V1115" s="18">
        <v>20200512</v>
      </c>
      <c r="W1115" s="21" t="s">
        <v>451</v>
      </c>
      <c r="X1115" s="18">
        <v>2019</v>
      </c>
      <c r="Y1115" s="18" t="s">
        <v>59</v>
      </c>
      <c r="Z1115" s="18" t="s">
        <v>446</v>
      </c>
      <c r="AC1115" s="18" t="s">
        <v>287</v>
      </c>
      <c r="AD1115" s="41" t="s">
        <v>22</v>
      </c>
      <c r="AE1115" s="41" t="s">
        <v>22</v>
      </c>
      <c r="AF1115" s="41" t="s">
        <v>22</v>
      </c>
      <c r="AG1115" s="41" t="s">
        <v>22</v>
      </c>
      <c r="AH1115" s="41" t="s">
        <v>22</v>
      </c>
      <c r="AI1115" s="41" t="s">
        <v>22</v>
      </c>
      <c r="AJ1115" s="41" t="s">
        <v>22</v>
      </c>
      <c r="AK1115" s="41" t="s">
        <v>22</v>
      </c>
      <c r="AL1115" s="41" t="s">
        <v>22</v>
      </c>
      <c r="AM1115" s="43" t="e">
        <f t="shared" si="601"/>
        <v>#VALUE!</v>
      </c>
      <c r="AN1115" s="43" t="e">
        <f t="shared" si="602"/>
        <v>#VALUE!</v>
      </c>
      <c r="AO1115" s="19" t="s">
        <v>445</v>
      </c>
      <c r="AT1115" s="2">
        <f t="shared" si="603"/>
        <v>10</v>
      </c>
      <c r="AU1115" s="45">
        <f t="shared" si="604"/>
        <v>-1.3293962647929001</v>
      </c>
      <c r="AV1115" s="45" t="e">
        <f t="shared" si="605"/>
        <v>#VALUE!</v>
      </c>
      <c r="AW1115" s="45" t="e">
        <f t="shared" si="606"/>
        <v>#VALUE!</v>
      </c>
      <c r="AX1115" s="45" t="e">
        <f t="shared" si="607"/>
        <v>#VALUE!</v>
      </c>
      <c r="AY1115" s="45" t="e">
        <f t="shared" si="608"/>
        <v>#VALUE!</v>
      </c>
      <c r="AZ1115" s="45" t="e">
        <f t="shared" si="609"/>
        <v>#VALUE!</v>
      </c>
      <c r="BA1115" s="45" t="e">
        <f t="shared" si="610"/>
        <v>#VALUE!</v>
      </c>
      <c r="BB1115" s="45" t="e">
        <f t="shared" si="611"/>
        <v>#VALUE!</v>
      </c>
      <c r="BC1115" s="45">
        <f t="shared" si="612"/>
        <v>0.14612803567823801</v>
      </c>
      <c r="BD1115" s="45" t="e">
        <f t="shared" si="613"/>
        <v>#VALUE!</v>
      </c>
      <c r="BE1115" s="45" t="e">
        <f t="shared" si="614"/>
        <v>#VALUE!</v>
      </c>
      <c r="BF1115" s="45" t="e">
        <f t="shared" si="615"/>
        <v>#VALUE!</v>
      </c>
      <c r="BG1115" s="45" t="e">
        <f t="shared" si="616"/>
        <v>#VALUE!</v>
      </c>
      <c r="BH1115" s="45" t="e">
        <f t="shared" si="617"/>
        <v>#NUM!</v>
      </c>
      <c r="BI1115" s="43" t="e">
        <f t="shared" si="618"/>
        <v>#VALUE!</v>
      </c>
      <c r="CA1115" s="41" t="s">
        <v>22</v>
      </c>
      <c r="CC1115" s="18" t="s">
        <v>22</v>
      </c>
      <c r="CD1115" s="18"/>
      <c r="CE1115" s="41" t="s">
        <v>22</v>
      </c>
      <c r="CF1115" s="41" t="s">
        <v>22</v>
      </c>
      <c r="CG1115" s="41" t="e">
        <f t="shared" si="619"/>
        <v>#VALUE!</v>
      </c>
      <c r="CH1115" s="41" t="e">
        <f t="shared" si="620"/>
        <v>#VALUE!</v>
      </c>
      <c r="CI1115" s="41">
        <f t="shared" si="621"/>
        <v>1.4</v>
      </c>
      <c r="CJ1115" s="41">
        <f t="shared" si="622"/>
        <v>0.14612803567823801</v>
      </c>
      <c r="CK1115" s="18"/>
      <c r="CL1115" s="9" t="s">
        <v>1269</v>
      </c>
      <c r="CM1115" s="18" t="s">
        <v>1285</v>
      </c>
      <c r="CN1115" s="54" t="s">
        <v>1284</v>
      </c>
      <c r="CO1115" s="18" t="s">
        <v>1284</v>
      </c>
    </row>
    <row r="1116" spans="1:93" x14ac:dyDescent="0.25">
      <c r="A1116" s="18" t="s">
        <v>315</v>
      </c>
      <c r="B1116" s="41">
        <v>8.8234025740413589E-3</v>
      </c>
      <c r="C1116" s="41" t="s">
        <v>22</v>
      </c>
      <c r="D1116" s="41" t="s">
        <v>22</v>
      </c>
      <c r="E1116" s="41" t="s">
        <v>22</v>
      </c>
      <c r="F1116" s="18"/>
      <c r="G1116" s="18" t="s">
        <v>22</v>
      </c>
      <c r="H1116" s="18"/>
      <c r="I1116" s="18" t="s">
        <v>22</v>
      </c>
      <c r="J1116" s="41" t="s">
        <v>22</v>
      </c>
      <c r="K1116" s="18" t="s">
        <v>22</v>
      </c>
      <c r="L1116" s="41" t="e">
        <f t="shared" si="623"/>
        <v>#VALUE!</v>
      </c>
      <c r="M1116" s="18" t="s">
        <v>23</v>
      </c>
      <c r="N1116" s="41" t="s">
        <v>22</v>
      </c>
      <c r="O1116" s="41" t="s">
        <v>22</v>
      </c>
      <c r="P1116" s="41" t="s">
        <v>22</v>
      </c>
      <c r="R1116" s="41" t="s">
        <v>22</v>
      </c>
      <c r="S1116" s="41" t="s">
        <v>22</v>
      </c>
      <c r="T1116" s="41">
        <v>1.4</v>
      </c>
      <c r="U1116" s="41">
        <v>1.4</v>
      </c>
      <c r="V1116" s="18">
        <v>20200512</v>
      </c>
      <c r="W1116" s="9" t="s">
        <v>447</v>
      </c>
      <c r="X1116" s="18">
        <v>2019</v>
      </c>
      <c r="Y1116" s="18" t="s">
        <v>328</v>
      </c>
      <c r="Z1116" s="18" t="s">
        <v>446</v>
      </c>
      <c r="AC1116" s="18" t="s">
        <v>287</v>
      </c>
      <c r="AD1116" s="41" t="s">
        <v>22</v>
      </c>
      <c r="AE1116" s="41" t="s">
        <v>22</v>
      </c>
      <c r="AF1116" s="41" t="s">
        <v>22</v>
      </c>
      <c r="AG1116" s="41" t="s">
        <v>22</v>
      </c>
      <c r="AH1116" s="41" t="s">
        <v>22</v>
      </c>
      <c r="AI1116" s="41" t="s">
        <v>22</v>
      </c>
      <c r="AJ1116" s="41" t="s">
        <v>22</v>
      </c>
      <c r="AK1116" s="41" t="s">
        <v>22</v>
      </c>
      <c r="AL1116" s="41" t="s">
        <v>22</v>
      </c>
      <c r="AM1116" s="43" t="e">
        <f t="shared" si="601"/>
        <v>#VALUE!</v>
      </c>
      <c r="AN1116" s="43" t="e">
        <f t="shared" si="602"/>
        <v>#VALUE!</v>
      </c>
      <c r="AO1116" s="19" t="s">
        <v>445</v>
      </c>
      <c r="AT1116" s="2">
        <f t="shared" si="603"/>
        <v>10</v>
      </c>
      <c r="AU1116" s="45">
        <f t="shared" si="604"/>
        <v>-2.0543639053254434</v>
      </c>
      <c r="AV1116" s="45" t="e">
        <f t="shared" si="605"/>
        <v>#VALUE!</v>
      </c>
      <c r="AW1116" s="45" t="e">
        <f t="shared" si="606"/>
        <v>#VALUE!</v>
      </c>
      <c r="AX1116" s="45" t="e">
        <f t="shared" si="607"/>
        <v>#VALUE!</v>
      </c>
      <c r="AY1116" s="45" t="e">
        <f t="shared" si="608"/>
        <v>#VALUE!</v>
      </c>
      <c r="AZ1116" s="45" t="e">
        <f t="shared" si="609"/>
        <v>#VALUE!</v>
      </c>
      <c r="BA1116" s="45" t="e">
        <f t="shared" si="610"/>
        <v>#VALUE!</v>
      </c>
      <c r="BB1116" s="45" t="e">
        <f t="shared" si="611"/>
        <v>#VALUE!</v>
      </c>
      <c r="BC1116" s="45">
        <f t="shared" si="612"/>
        <v>0.14612803567823801</v>
      </c>
      <c r="BD1116" s="45" t="e">
        <f t="shared" si="613"/>
        <v>#VALUE!</v>
      </c>
      <c r="BE1116" s="45" t="e">
        <f t="shared" si="614"/>
        <v>#VALUE!</v>
      </c>
      <c r="BF1116" s="45" t="e">
        <f t="shared" si="615"/>
        <v>#VALUE!</v>
      </c>
      <c r="BG1116" s="45" t="e">
        <f t="shared" si="616"/>
        <v>#VALUE!</v>
      </c>
      <c r="BH1116" s="45" t="e">
        <f t="shared" si="617"/>
        <v>#NUM!</v>
      </c>
      <c r="BI1116" s="43" t="e">
        <f t="shared" si="618"/>
        <v>#VALUE!</v>
      </c>
      <c r="CA1116" s="41" t="s">
        <v>22</v>
      </c>
      <c r="CC1116" s="18" t="s">
        <v>22</v>
      </c>
      <c r="CD1116" s="18"/>
      <c r="CE1116" s="41" t="s">
        <v>22</v>
      </c>
      <c r="CF1116" s="41" t="s">
        <v>22</v>
      </c>
      <c r="CG1116" s="41" t="e">
        <f t="shared" si="619"/>
        <v>#VALUE!</v>
      </c>
      <c r="CH1116" s="41" t="e">
        <f t="shared" si="620"/>
        <v>#VALUE!</v>
      </c>
      <c r="CI1116" s="41">
        <f t="shared" si="621"/>
        <v>1.4</v>
      </c>
      <c r="CJ1116" s="41">
        <f t="shared" si="622"/>
        <v>0.14612803567823801</v>
      </c>
      <c r="CK1116" s="18"/>
      <c r="CL1116" s="9" t="s">
        <v>1269</v>
      </c>
      <c r="CM1116" s="18" t="s">
        <v>1285</v>
      </c>
      <c r="CN1116" s="54" t="s">
        <v>1284</v>
      </c>
      <c r="CO1116" s="18" t="s">
        <v>1284</v>
      </c>
    </row>
    <row r="1117" spans="1:93" x14ac:dyDescent="0.25">
      <c r="A1117" s="18" t="s">
        <v>315</v>
      </c>
      <c r="B1117" s="41">
        <v>5.7852177702325696E-4</v>
      </c>
      <c r="C1117" s="41" t="s">
        <v>22</v>
      </c>
      <c r="D1117" s="41" t="s">
        <v>22</v>
      </c>
      <c r="E1117" s="41" t="s">
        <v>22</v>
      </c>
      <c r="F1117" s="18"/>
      <c r="G1117" s="18" t="s">
        <v>22</v>
      </c>
      <c r="H1117" s="18"/>
      <c r="I1117" s="18" t="s">
        <v>22</v>
      </c>
      <c r="J1117" s="41" t="s">
        <v>22</v>
      </c>
      <c r="K1117" s="18" t="s">
        <v>22</v>
      </c>
      <c r="L1117" s="41" t="e">
        <f t="shared" si="623"/>
        <v>#VALUE!</v>
      </c>
      <c r="M1117" s="18" t="s">
        <v>23</v>
      </c>
      <c r="N1117" s="41" t="s">
        <v>22</v>
      </c>
      <c r="O1117" s="41" t="s">
        <v>22</v>
      </c>
      <c r="P1117" s="41" t="s">
        <v>22</v>
      </c>
      <c r="R1117" s="41" t="s">
        <v>22</v>
      </c>
      <c r="S1117" s="41" t="s">
        <v>22</v>
      </c>
      <c r="T1117" s="41" t="s">
        <v>22</v>
      </c>
      <c r="U1117" s="41" t="s">
        <v>22</v>
      </c>
      <c r="V1117" s="18">
        <v>20200512</v>
      </c>
      <c r="W1117" s="9" t="s">
        <v>448</v>
      </c>
      <c r="X1117" s="18">
        <v>2019</v>
      </c>
      <c r="Y1117" s="18" t="s">
        <v>328</v>
      </c>
      <c r="Z1117" s="18" t="s">
        <v>446</v>
      </c>
      <c r="AC1117" s="18" t="s">
        <v>269</v>
      </c>
      <c r="AD1117" s="41" t="s">
        <v>22</v>
      </c>
      <c r="AE1117" s="41" t="s">
        <v>22</v>
      </c>
      <c r="AF1117" s="41" t="s">
        <v>22</v>
      </c>
      <c r="AG1117" s="41" t="s">
        <v>22</v>
      </c>
      <c r="AH1117" s="41" t="s">
        <v>22</v>
      </c>
      <c r="AI1117" s="41" t="s">
        <v>22</v>
      </c>
      <c r="AJ1117" s="41" t="s">
        <v>22</v>
      </c>
      <c r="AK1117" s="41" t="s">
        <v>22</v>
      </c>
      <c r="AL1117" s="41" t="s">
        <v>22</v>
      </c>
      <c r="AM1117" s="43" t="e">
        <f t="shared" si="601"/>
        <v>#VALUE!</v>
      </c>
      <c r="AN1117" s="43" t="e">
        <f t="shared" si="602"/>
        <v>#VALUE!</v>
      </c>
      <c r="AO1117" s="19" t="s">
        <v>445</v>
      </c>
      <c r="AT1117" s="2">
        <f t="shared" si="603"/>
        <v>10</v>
      </c>
      <c r="AU1117" s="45">
        <f t="shared" si="604"/>
        <v>-3.2376802884615388</v>
      </c>
      <c r="AV1117" s="45" t="e">
        <f t="shared" si="605"/>
        <v>#VALUE!</v>
      </c>
      <c r="AW1117" s="45" t="e">
        <f t="shared" si="606"/>
        <v>#VALUE!</v>
      </c>
      <c r="AX1117" s="45" t="e">
        <f t="shared" si="607"/>
        <v>#VALUE!</v>
      </c>
      <c r="AY1117" s="45" t="e">
        <f t="shared" si="608"/>
        <v>#VALUE!</v>
      </c>
      <c r="AZ1117" s="45" t="e">
        <f t="shared" si="609"/>
        <v>#VALUE!</v>
      </c>
      <c r="BA1117" s="45" t="e">
        <f t="shared" si="610"/>
        <v>#VALUE!</v>
      </c>
      <c r="BB1117" s="45" t="e">
        <f t="shared" si="611"/>
        <v>#VALUE!</v>
      </c>
      <c r="BC1117" s="45" t="e">
        <f t="shared" si="612"/>
        <v>#VALUE!</v>
      </c>
      <c r="BD1117" s="45" t="e">
        <f t="shared" si="613"/>
        <v>#VALUE!</v>
      </c>
      <c r="BE1117" s="45" t="e">
        <f t="shared" si="614"/>
        <v>#VALUE!</v>
      </c>
      <c r="BF1117" s="45" t="e">
        <f t="shared" si="615"/>
        <v>#VALUE!</v>
      </c>
      <c r="BG1117" s="45" t="e">
        <f t="shared" si="616"/>
        <v>#VALUE!</v>
      </c>
      <c r="BH1117" s="45" t="e">
        <f t="shared" si="617"/>
        <v>#NUM!</v>
      </c>
      <c r="BI1117" s="43" t="e">
        <f t="shared" si="618"/>
        <v>#VALUE!</v>
      </c>
      <c r="CA1117" s="41" t="s">
        <v>22</v>
      </c>
      <c r="CC1117" t="s">
        <v>22</v>
      </c>
      <c r="CE1117" s="41" t="s">
        <v>22</v>
      </c>
      <c r="CF1117" s="41" t="s">
        <v>22</v>
      </c>
      <c r="CG1117" s="41" t="e">
        <f t="shared" si="619"/>
        <v>#VALUE!</v>
      </c>
      <c r="CH1117" s="41" t="e">
        <f t="shared" si="620"/>
        <v>#VALUE!</v>
      </c>
      <c r="CI1117" s="41" t="str">
        <f t="shared" si="621"/>
        <v>Not Reported/ Can not calculate</v>
      </c>
      <c r="CJ1117" s="41" t="e">
        <f t="shared" si="622"/>
        <v>#VALUE!</v>
      </c>
      <c r="CL1117" s="9" t="s">
        <v>1269</v>
      </c>
      <c r="CM1117" s="18" t="s">
        <v>1284</v>
      </c>
      <c r="CN1117" s="54" t="s">
        <v>1284</v>
      </c>
      <c r="CO1117" s="18" t="s">
        <v>1284</v>
      </c>
    </row>
    <row r="1118" spans="1:93" x14ac:dyDescent="0.25">
      <c r="A1118" s="18" t="s">
        <v>315</v>
      </c>
      <c r="B1118" s="41">
        <v>5.5158145024075996E-5</v>
      </c>
      <c r="C1118" s="41" t="s">
        <v>22</v>
      </c>
      <c r="D1118" s="41" t="s">
        <v>22</v>
      </c>
      <c r="E1118" s="41" t="s">
        <v>22</v>
      </c>
      <c r="F1118" s="18"/>
      <c r="G1118" s="18" t="s">
        <v>22</v>
      </c>
      <c r="H1118" s="18"/>
      <c r="I1118" s="18" t="s">
        <v>22</v>
      </c>
      <c r="J1118" s="41" t="s">
        <v>22</v>
      </c>
      <c r="K1118" s="18" t="s">
        <v>22</v>
      </c>
      <c r="L1118" s="41" t="e">
        <f t="shared" si="623"/>
        <v>#VALUE!</v>
      </c>
      <c r="M1118" s="18" t="s">
        <v>23</v>
      </c>
      <c r="N1118" s="41" t="s">
        <v>22</v>
      </c>
      <c r="O1118" s="41" t="s">
        <v>22</v>
      </c>
      <c r="P1118" s="41" t="s">
        <v>22</v>
      </c>
      <c r="R1118" s="41" t="s">
        <v>22</v>
      </c>
      <c r="S1118" s="41" t="s">
        <v>22</v>
      </c>
      <c r="T1118" s="41" t="s">
        <v>22</v>
      </c>
      <c r="U1118" s="41" t="s">
        <v>22</v>
      </c>
      <c r="V1118" s="18">
        <v>20200512</v>
      </c>
      <c r="W1118" s="9" t="s">
        <v>449</v>
      </c>
      <c r="X1118" s="18">
        <v>2019</v>
      </c>
      <c r="Y1118" s="18" t="s">
        <v>328</v>
      </c>
      <c r="Z1118" s="18" t="s">
        <v>446</v>
      </c>
      <c r="AC1118" s="18" t="s">
        <v>285</v>
      </c>
      <c r="AD1118" s="41" t="s">
        <v>22</v>
      </c>
      <c r="AE1118" s="41" t="s">
        <v>22</v>
      </c>
      <c r="AF1118" s="41" t="s">
        <v>22</v>
      </c>
      <c r="AG1118" s="41" t="s">
        <v>22</v>
      </c>
      <c r="AH1118" s="41" t="s">
        <v>22</v>
      </c>
      <c r="AI1118" s="41" t="s">
        <v>22</v>
      </c>
      <c r="AJ1118" s="41" t="s">
        <v>22</v>
      </c>
      <c r="AK1118" s="41" t="s">
        <v>22</v>
      </c>
      <c r="AL1118" s="41" t="s">
        <v>22</v>
      </c>
      <c r="AM1118" s="43" t="e">
        <f t="shared" si="601"/>
        <v>#VALUE!</v>
      </c>
      <c r="AN1118" s="43" t="e">
        <f t="shared" si="602"/>
        <v>#VALUE!</v>
      </c>
      <c r="AO1118" s="19" t="s">
        <v>445</v>
      </c>
      <c r="AT1118" s="2">
        <f t="shared" si="603"/>
        <v>10</v>
      </c>
      <c r="AU1118" s="45">
        <f t="shared" si="604"/>
        <v>-4.2583903476331351</v>
      </c>
      <c r="AV1118" s="45" t="e">
        <f t="shared" si="605"/>
        <v>#VALUE!</v>
      </c>
      <c r="AW1118" s="45" t="e">
        <f t="shared" si="606"/>
        <v>#VALUE!</v>
      </c>
      <c r="AX1118" s="45" t="e">
        <f t="shared" si="607"/>
        <v>#VALUE!</v>
      </c>
      <c r="AY1118" s="45" t="e">
        <f t="shared" si="608"/>
        <v>#VALUE!</v>
      </c>
      <c r="AZ1118" s="45" t="e">
        <f t="shared" si="609"/>
        <v>#VALUE!</v>
      </c>
      <c r="BA1118" s="45" t="e">
        <f t="shared" si="610"/>
        <v>#VALUE!</v>
      </c>
      <c r="BB1118" s="45" t="e">
        <f t="shared" si="611"/>
        <v>#VALUE!</v>
      </c>
      <c r="BC1118" s="45" t="e">
        <f t="shared" si="612"/>
        <v>#VALUE!</v>
      </c>
      <c r="BD1118" s="45" t="e">
        <f t="shared" si="613"/>
        <v>#VALUE!</v>
      </c>
      <c r="BE1118" s="45" t="e">
        <f t="shared" si="614"/>
        <v>#VALUE!</v>
      </c>
      <c r="BF1118" s="45" t="e">
        <f t="shared" si="615"/>
        <v>#VALUE!</v>
      </c>
      <c r="BG1118" s="45" t="e">
        <f t="shared" si="616"/>
        <v>#VALUE!</v>
      </c>
      <c r="BH1118" s="45" t="e">
        <f t="shared" si="617"/>
        <v>#NUM!</v>
      </c>
      <c r="BI1118" s="43" t="e">
        <f t="shared" si="618"/>
        <v>#VALUE!</v>
      </c>
      <c r="CA1118" s="41" t="s">
        <v>22</v>
      </c>
      <c r="CC1118" t="s">
        <v>22</v>
      </c>
      <c r="CE1118" s="41" t="s">
        <v>22</v>
      </c>
      <c r="CF1118" s="41" t="s">
        <v>22</v>
      </c>
      <c r="CG1118" s="41" t="e">
        <f t="shared" si="619"/>
        <v>#VALUE!</v>
      </c>
      <c r="CH1118" s="41" t="e">
        <f t="shared" si="620"/>
        <v>#VALUE!</v>
      </c>
      <c r="CI1118" s="41" t="str">
        <f t="shared" si="621"/>
        <v>Not Reported/ Can not calculate</v>
      </c>
      <c r="CJ1118" s="41" t="e">
        <f t="shared" si="622"/>
        <v>#VALUE!</v>
      </c>
      <c r="CL1118" s="9" t="s">
        <v>1269</v>
      </c>
      <c r="CM1118" s="18" t="s">
        <v>1284</v>
      </c>
      <c r="CN1118" s="54" t="s">
        <v>1284</v>
      </c>
      <c r="CO1118" s="18" t="s">
        <v>1284</v>
      </c>
    </row>
    <row r="1119" spans="1:93" x14ac:dyDescent="0.25">
      <c r="A1119" s="18" t="s">
        <v>315</v>
      </c>
      <c r="B1119" s="41">
        <v>2.2912285760838098E-7</v>
      </c>
      <c r="C1119" s="41" t="s">
        <v>22</v>
      </c>
      <c r="D1119" s="41" t="s">
        <v>22</v>
      </c>
      <c r="E1119" s="41" t="s">
        <v>22</v>
      </c>
      <c r="F1119" s="18"/>
      <c r="G1119" s="18" t="s">
        <v>22</v>
      </c>
      <c r="H1119" s="18"/>
      <c r="I1119" s="18" t="s">
        <v>22</v>
      </c>
      <c r="J1119" s="41" t="s">
        <v>22</v>
      </c>
      <c r="K1119" s="18" t="s">
        <v>22</v>
      </c>
      <c r="L1119" s="41" t="e">
        <f t="shared" si="623"/>
        <v>#VALUE!</v>
      </c>
      <c r="M1119" s="18" t="s">
        <v>23</v>
      </c>
      <c r="N1119" s="41" t="s">
        <v>22</v>
      </c>
      <c r="O1119" s="41" t="s">
        <v>22</v>
      </c>
      <c r="P1119" s="41" t="s">
        <v>22</v>
      </c>
      <c r="R1119" s="41" t="s">
        <v>22</v>
      </c>
      <c r="S1119" s="41" t="s">
        <v>22</v>
      </c>
      <c r="T1119" s="41" t="s">
        <v>22</v>
      </c>
      <c r="U1119" s="41" t="s">
        <v>22</v>
      </c>
      <c r="V1119" s="18">
        <v>20200512</v>
      </c>
      <c r="W1119" s="9" t="s">
        <v>450</v>
      </c>
      <c r="X1119" s="18">
        <v>2019</v>
      </c>
      <c r="Y1119" s="18" t="s">
        <v>328</v>
      </c>
      <c r="Z1119" s="18" t="s">
        <v>446</v>
      </c>
      <c r="AC1119" s="18" t="s">
        <v>285</v>
      </c>
      <c r="AD1119" s="41" t="s">
        <v>22</v>
      </c>
      <c r="AE1119" s="41" t="s">
        <v>22</v>
      </c>
      <c r="AF1119" s="41" t="s">
        <v>22</v>
      </c>
      <c r="AG1119" s="41" t="s">
        <v>22</v>
      </c>
      <c r="AH1119" s="41" t="s">
        <v>22</v>
      </c>
      <c r="AI1119" s="41" t="s">
        <v>22</v>
      </c>
      <c r="AJ1119" s="41" t="s">
        <v>22</v>
      </c>
      <c r="AK1119" s="41" t="s">
        <v>22</v>
      </c>
      <c r="AL1119" s="41" t="s">
        <v>22</v>
      </c>
      <c r="AM1119" s="43" t="e">
        <f t="shared" si="601"/>
        <v>#VALUE!</v>
      </c>
      <c r="AN1119" s="43" t="e">
        <f t="shared" si="602"/>
        <v>#VALUE!</v>
      </c>
      <c r="AO1119" s="19" t="s">
        <v>445</v>
      </c>
      <c r="AT1119" s="2">
        <f t="shared" si="603"/>
        <v>10</v>
      </c>
      <c r="AU1119" s="45">
        <f t="shared" si="604"/>
        <v>-6.6399315828402372</v>
      </c>
      <c r="AV1119" s="45" t="e">
        <f t="shared" si="605"/>
        <v>#VALUE!</v>
      </c>
      <c r="AW1119" s="45" t="e">
        <f t="shared" si="606"/>
        <v>#VALUE!</v>
      </c>
      <c r="AX1119" s="45" t="e">
        <f t="shared" si="607"/>
        <v>#VALUE!</v>
      </c>
      <c r="AY1119" s="45" t="e">
        <f t="shared" si="608"/>
        <v>#VALUE!</v>
      </c>
      <c r="AZ1119" s="45" t="e">
        <f t="shared" si="609"/>
        <v>#VALUE!</v>
      </c>
      <c r="BA1119" s="45" t="e">
        <f t="shared" si="610"/>
        <v>#VALUE!</v>
      </c>
      <c r="BB1119" s="45" t="e">
        <f t="shared" si="611"/>
        <v>#VALUE!</v>
      </c>
      <c r="BC1119" s="45" t="e">
        <f t="shared" si="612"/>
        <v>#VALUE!</v>
      </c>
      <c r="BD1119" s="45" t="e">
        <f t="shared" si="613"/>
        <v>#VALUE!</v>
      </c>
      <c r="BE1119" s="45" t="e">
        <f t="shared" si="614"/>
        <v>#VALUE!</v>
      </c>
      <c r="BF1119" s="45" t="e">
        <f t="shared" si="615"/>
        <v>#VALUE!</v>
      </c>
      <c r="BG1119" s="45" t="e">
        <f t="shared" si="616"/>
        <v>#VALUE!</v>
      </c>
      <c r="BH1119" s="45" t="e">
        <f t="shared" si="617"/>
        <v>#NUM!</v>
      </c>
      <c r="BI1119" s="43" t="e">
        <f t="shared" si="618"/>
        <v>#VALUE!</v>
      </c>
      <c r="CA1119" s="41" t="s">
        <v>22</v>
      </c>
      <c r="CC1119" t="s">
        <v>22</v>
      </c>
      <c r="CE1119" s="41" t="s">
        <v>22</v>
      </c>
      <c r="CF1119" s="41" t="s">
        <v>22</v>
      </c>
      <c r="CG1119" s="41" t="e">
        <f t="shared" si="619"/>
        <v>#VALUE!</v>
      </c>
      <c r="CH1119" s="41" t="e">
        <f t="shared" si="620"/>
        <v>#VALUE!</v>
      </c>
      <c r="CI1119" s="41" t="str">
        <f t="shared" si="621"/>
        <v>Not Reported/ Can not calculate</v>
      </c>
      <c r="CJ1119" s="41" t="e">
        <f t="shared" si="622"/>
        <v>#VALUE!</v>
      </c>
      <c r="CL1119" s="9" t="s">
        <v>1269</v>
      </c>
      <c r="CM1119" s="18" t="s">
        <v>1284</v>
      </c>
      <c r="CN1119" s="54" t="s">
        <v>1284</v>
      </c>
      <c r="CO1119" s="18" t="s">
        <v>1284</v>
      </c>
    </row>
    <row r="1120" spans="1:93" x14ac:dyDescent="0.25">
      <c r="A1120" s="18" t="s">
        <v>266</v>
      </c>
      <c r="B1120" s="41">
        <v>0.36835584586581793</v>
      </c>
      <c r="C1120" s="41" t="s">
        <v>22</v>
      </c>
      <c r="D1120" s="41" t="s">
        <v>22</v>
      </c>
      <c r="E1120" s="41" t="s">
        <v>22</v>
      </c>
      <c r="F1120" s="18"/>
      <c r="G1120" s="18" t="s">
        <v>22</v>
      </c>
      <c r="H1120" s="18"/>
      <c r="I1120" s="18" t="s">
        <v>22</v>
      </c>
      <c r="J1120" s="41" t="s">
        <v>22</v>
      </c>
      <c r="K1120" s="18" t="s">
        <v>22</v>
      </c>
      <c r="L1120" s="41" t="e">
        <f t="shared" si="623"/>
        <v>#VALUE!</v>
      </c>
      <c r="M1120" s="18" t="s">
        <v>45</v>
      </c>
      <c r="N1120" s="41" t="s">
        <v>22</v>
      </c>
      <c r="O1120" s="41" t="s">
        <v>22</v>
      </c>
      <c r="P1120" s="41" t="s">
        <v>22</v>
      </c>
      <c r="R1120" s="41" t="s">
        <v>22</v>
      </c>
      <c r="S1120" s="41" t="s">
        <v>22</v>
      </c>
      <c r="T1120" s="41">
        <v>1.4</v>
      </c>
      <c r="U1120" s="41">
        <v>1.4</v>
      </c>
      <c r="V1120" s="18">
        <v>20200512</v>
      </c>
      <c r="W1120" s="21" t="s">
        <v>451</v>
      </c>
      <c r="X1120" s="18">
        <v>2019</v>
      </c>
      <c r="Y1120" s="18" t="s">
        <v>59</v>
      </c>
      <c r="Z1120" s="18" t="s">
        <v>446</v>
      </c>
      <c r="AC1120" s="18" t="s">
        <v>287</v>
      </c>
      <c r="AD1120" s="41" t="s">
        <v>22</v>
      </c>
      <c r="AE1120" s="41" t="s">
        <v>22</v>
      </c>
      <c r="AF1120" s="41" t="s">
        <v>22</v>
      </c>
      <c r="AG1120" s="41" t="s">
        <v>22</v>
      </c>
      <c r="AH1120" s="41" t="s">
        <v>22</v>
      </c>
      <c r="AI1120" s="41" t="s">
        <v>22</v>
      </c>
      <c r="AJ1120" s="41" t="s">
        <v>22</v>
      </c>
      <c r="AK1120" s="41" t="s">
        <v>22</v>
      </c>
      <c r="AL1120" s="41" t="s">
        <v>22</v>
      </c>
      <c r="AM1120" s="43" t="e">
        <f t="shared" si="601"/>
        <v>#VALUE!</v>
      </c>
      <c r="AN1120" s="43" t="e">
        <f t="shared" si="602"/>
        <v>#VALUE!</v>
      </c>
      <c r="AO1120" s="19" t="s">
        <v>445</v>
      </c>
      <c r="AT1120" s="2">
        <f t="shared" si="603"/>
        <v>10</v>
      </c>
      <c r="AU1120" s="45">
        <f t="shared" si="604"/>
        <v>-0.43373243343195367</v>
      </c>
      <c r="AV1120" s="45" t="e">
        <f t="shared" si="605"/>
        <v>#VALUE!</v>
      </c>
      <c r="AW1120" s="45" t="e">
        <f t="shared" si="606"/>
        <v>#VALUE!</v>
      </c>
      <c r="AX1120" s="45" t="e">
        <f t="shared" si="607"/>
        <v>#VALUE!</v>
      </c>
      <c r="AY1120" s="45" t="e">
        <f t="shared" si="608"/>
        <v>#VALUE!</v>
      </c>
      <c r="AZ1120" s="45" t="e">
        <f t="shared" si="609"/>
        <v>#VALUE!</v>
      </c>
      <c r="BA1120" s="45" t="e">
        <f t="shared" si="610"/>
        <v>#VALUE!</v>
      </c>
      <c r="BB1120" s="45" t="e">
        <f t="shared" si="611"/>
        <v>#VALUE!</v>
      </c>
      <c r="BC1120" s="45">
        <f t="shared" si="612"/>
        <v>0.14612803567823801</v>
      </c>
      <c r="BD1120" s="45" t="e">
        <f t="shared" si="613"/>
        <v>#VALUE!</v>
      </c>
      <c r="BE1120" s="45" t="e">
        <f t="shared" si="614"/>
        <v>#VALUE!</v>
      </c>
      <c r="BF1120" s="45" t="e">
        <f t="shared" si="615"/>
        <v>#VALUE!</v>
      </c>
      <c r="BG1120" s="45" t="e">
        <f t="shared" si="616"/>
        <v>#VALUE!</v>
      </c>
      <c r="BH1120" s="45" t="e">
        <f t="shared" si="617"/>
        <v>#NUM!</v>
      </c>
      <c r="BI1120" s="43" t="e">
        <f t="shared" si="618"/>
        <v>#VALUE!</v>
      </c>
      <c r="CA1120" s="41" t="s">
        <v>22</v>
      </c>
      <c r="CC1120" t="s">
        <v>22</v>
      </c>
      <c r="CE1120" s="41" t="s">
        <v>22</v>
      </c>
      <c r="CF1120" s="41" t="s">
        <v>22</v>
      </c>
      <c r="CG1120" s="41" t="e">
        <f t="shared" si="619"/>
        <v>#VALUE!</v>
      </c>
      <c r="CH1120" s="41" t="e">
        <f t="shared" si="620"/>
        <v>#VALUE!</v>
      </c>
      <c r="CI1120" s="41">
        <f t="shared" si="621"/>
        <v>1.4</v>
      </c>
      <c r="CJ1120" s="41">
        <f t="shared" si="622"/>
        <v>0.14612803567823801</v>
      </c>
      <c r="CL1120" s="9" t="s">
        <v>1269</v>
      </c>
      <c r="CM1120" s="18" t="s">
        <v>1285</v>
      </c>
      <c r="CN1120" s="54" t="s">
        <v>1284</v>
      </c>
      <c r="CO1120" s="18" t="s">
        <v>1284</v>
      </c>
    </row>
    <row r="1121" spans="1:93" x14ac:dyDescent="0.25">
      <c r="A1121" s="18" t="s">
        <v>315</v>
      </c>
      <c r="B1121" s="41">
        <v>5.0704143871075504E-2</v>
      </c>
      <c r="C1121" s="41" t="s">
        <v>22</v>
      </c>
      <c r="D1121" s="41" t="s">
        <v>22</v>
      </c>
      <c r="E1121" s="41" t="s">
        <v>22</v>
      </c>
      <c r="F1121" s="18"/>
      <c r="G1121" s="18" t="s">
        <v>22</v>
      </c>
      <c r="H1121" s="18"/>
      <c r="I1121" s="18" t="s">
        <v>22</v>
      </c>
      <c r="J1121" s="41" t="s">
        <v>22</v>
      </c>
      <c r="K1121" s="18" t="s">
        <v>22</v>
      </c>
      <c r="L1121" s="41" t="e">
        <f t="shared" si="623"/>
        <v>#VALUE!</v>
      </c>
      <c r="M1121" s="18" t="s">
        <v>45</v>
      </c>
      <c r="N1121" s="41" t="s">
        <v>22</v>
      </c>
      <c r="O1121" s="41" t="s">
        <v>22</v>
      </c>
      <c r="P1121" s="41" t="s">
        <v>22</v>
      </c>
      <c r="R1121" s="41" t="s">
        <v>22</v>
      </c>
      <c r="S1121" s="41" t="s">
        <v>22</v>
      </c>
      <c r="T1121" s="41">
        <v>1.4</v>
      </c>
      <c r="U1121" s="41">
        <v>1.4</v>
      </c>
      <c r="V1121" s="18">
        <v>20200512</v>
      </c>
      <c r="W1121" s="9" t="s">
        <v>447</v>
      </c>
      <c r="X1121" s="18">
        <v>2019</v>
      </c>
      <c r="Y1121" s="18" t="s">
        <v>328</v>
      </c>
      <c r="Z1121" s="18" t="s">
        <v>446</v>
      </c>
      <c r="AA1121" s="18"/>
      <c r="AC1121" s="18" t="s">
        <v>287</v>
      </c>
      <c r="AD1121" s="41" t="s">
        <v>22</v>
      </c>
      <c r="AE1121" s="41" t="s">
        <v>22</v>
      </c>
      <c r="AF1121" s="41" t="s">
        <v>22</v>
      </c>
      <c r="AG1121" s="41" t="s">
        <v>22</v>
      </c>
      <c r="AH1121" s="41" t="s">
        <v>22</v>
      </c>
      <c r="AI1121" s="41" t="s">
        <v>22</v>
      </c>
      <c r="AJ1121" s="41" t="s">
        <v>22</v>
      </c>
      <c r="AK1121" s="41" t="s">
        <v>22</v>
      </c>
      <c r="AL1121" s="41" t="s">
        <v>22</v>
      </c>
      <c r="AM1121" s="43" t="e">
        <f t="shared" si="601"/>
        <v>#VALUE!</v>
      </c>
      <c r="AN1121" s="43" t="e">
        <f t="shared" si="602"/>
        <v>#VALUE!</v>
      </c>
      <c r="AO1121" s="19" t="s">
        <v>445</v>
      </c>
      <c r="AP1121" s="18"/>
      <c r="AQ1121" s="18"/>
      <c r="AR1121" s="18"/>
      <c r="AS1121" s="18"/>
      <c r="AT1121" s="2">
        <f t="shared" si="603"/>
        <v>10</v>
      </c>
      <c r="AU1121" s="45">
        <f t="shared" si="604"/>
        <v>-1.2949565458579884</v>
      </c>
      <c r="AV1121" s="45" t="e">
        <f t="shared" si="605"/>
        <v>#VALUE!</v>
      </c>
      <c r="AW1121" s="45" t="e">
        <f t="shared" si="606"/>
        <v>#VALUE!</v>
      </c>
      <c r="AX1121" s="45" t="e">
        <f t="shared" si="607"/>
        <v>#VALUE!</v>
      </c>
      <c r="AY1121" s="45" t="e">
        <f t="shared" si="608"/>
        <v>#VALUE!</v>
      </c>
      <c r="AZ1121" s="45" t="e">
        <f t="shared" si="609"/>
        <v>#VALUE!</v>
      </c>
      <c r="BA1121" s="45" t="e">
        <f t="shared" si="610"/>
        <v>#VALUE!</v>
      </c>
      <c r="BB1121" s="45" t="e">
        <f t="shared" si="611"/>
        <v>#VALUE!</v>
      </c>
      <c r="BC1121" s="45">
        <f t="shared" si="612"/>
        <v>0.14612803567823801</v>
      </c>
      <c r="BD1121" s="45" t="e">
        <f t="shared" si="613"/>
        <v>#VALUE!</v>
      </c>
      <c r="BE1121" s="45" t="e">
        <f t="shared" si="614"/>
        <v>#VALUE!</v>
      </c>
      <c r="BF1121" s="45" t="e">
        <f t="shared" si="615"/>
        <v>#VALUE!</v>
      </c>
      <c r="BG1121" s="45" t="e">
        <f t="shared" si="616"/>
        <v>#VALUE!</v>
      </c>
      <c r="BH1121" s="45" t="e">
        <f t="shared" si="617"/>
        <v>#NUM!</v>
      </c>
      <c r="BI1121" s="43" t="e">
        <f t="shared" si="618"/>
        <v>#VALUE!</v>
      </c>
      <c r="BJ1121" s="18"/>
      <c r="BK1121" s="18"/>
      <c r="BL1121" s="20"/>
      <c r="BS1121" s="18"/>
      <c r="BT1121" s="18"/>
      <c r="CA1121" s="41" t="s">
        <v>22</v>
      </c>
      <c r="CB1121" s="18"/>
      <c r="CC1121" s="18" t="s">
        <v>22</v>
      </c>
      <c r="CD1121" s="18"/>
      <c r="CE1121" s="41" t="s">
        <v>22</v>
      </c>
      <c r="CF1121" s="41" t="s">
        <v>22</v>
      </c>
      <c r="CG1121" s="41" t="e">
        <f t="shared" si="619"/>
        <v>#VALUE!</v>
      </c>
      <c r="CH1121" s="41" t="e">
        <f t="shared" si="620"/>
        <v>#VALUE!</v>
      </c>
      <c r="CI1121" s="41">
        <f t="shared" si="621"/>
        <v>1.4</v>
      </c>
      <c r="CJ1121" s="41">
        <f t="shared" si="622"/>
        <v>0.14612803567823801</v>
      </c>
      <c r="CK1121" s="18"/>
      <c r="CL1121" s="9" t="s">
        <v>1269</v>
      </c>
      <c r="CM1121" s="18" t="s">
        <v>1285</v>
      </c>
      <c r="CN1121" s="54" t="s">
        <v>1284</v>
      </c>
      <c r="CO1121" s="18" t="s">
        <v>1284</v>
      </c>
    </row>
    <row r="1122" spans="1:93" x14ac:dyDescent="0.25">
      <c r="A1122" s="18" t="s">
        <v>315</v>
      </c>
      <c r="B1122" s="41">
        <v>3.1732362278414595E-3</v>
      </c>
      <c r="C1122" s="41" t="s">
        <v>22</v>
      </c>
      <c r="D1122" s="41" t="s">
        <v>22</v>
      </c>
      <c r="E1122" s="41" t="s">
        <v>22</v>
      </c>
      <c r="F1122" s="18"/>
      <c r="G1122" s="18" t="s">
        <v>22</v>
      </c>
      <c r="H1122" s="18"/>
      <c r="I1122" s="18" t="s">
        <v>22</v>
      </c>
      <c r="J1122" s="41" t="s">
        <v>22</v>
      </c>
      <c r="K1122" s="18" t="s">
        <v>22</v>
      </c>
      <c r="L1122" s="41" t="e">
        <f t="shared" si="623"/>
        <v>#VALUE!</v>
      </c>
      <c r="M1122" s="18" t="s">
        <v>45</v>
      </c>
      <c r="N1122" s="41" t="s">
        <v>22</v>
      </c>
      <c r="O1122" s="41" t="s">
        <v>22</v>
      </c>
      <c r="P1122" s="41" t="s">
        <v>22</v>
      </c>
      <c r="R1122" s="41" t="s">
        <v>22</v>
      </c>
      <c r="S1122" s="41" t="s">
        <v>22</v>
      </c>
      <c r="T1122" s="41" t="s">
        <v>22</v>
      </c>
      <c r="U1122" s="41" t="s">
        <v>22</v>
      </c>
      <c r="V1122" s="18">
        <v>20200512</v>
      </c>
      <c r="W1122" s="9" t="s">
        <v>448</v>
      </c>
      <c r="X1122" s="18">
        <v>2019</v>
      </c>
      <c r="Y1122" s="18" t="s">
        <v>328</v>
      </c>
      <c r="Z1122" s="18" t="s">
        <v>446</v>
      </c>
      <c r="AA1122" s="18"/>
      <c r="AC1122" s="18" t="s">
        <v>269</v>
      </c>
      <c r="AD1122" s="41" t="s">
        <v>22</v>
      </c>
      <c r="AE1122" s="41" t="s">
        <v>22</v>
      </c>
      <c r="AF1122" s="41" t="s">
        <v>22</v>
      </c>
      <c r="AG1122" s="41" t="s">
        <v>22</v>
      </c>
      <c r="AH1122" s="41" t="s">
        <v>22</v>
      </c>
      <c r="AI1122" s="41" t="s">
        <v>22</v>
      </c>
      <c r="AJ1122" s="41" t="s">
        <v>22</v>
      </c>
      <c r="AK1122" s="41" t="s">
        <v>22</v>
      </c>
      <c r="AL1122" s="41" t="s">
        <v>22</v>
      </c>
      <c r="AM1122" s="43" t="e">
        <f t="shared" si="601"/>
        <v>#VALUE!</v>
      </c>
      <c r="AN1122" s="43" t="e">
        <f t="shared" si="602"/>
        <v>#VALUE!</v>
      </c>
      <c r="AO1122" s="19" t="s">
        <v>445</v>
      </c>
      <c r="AP1122" s="18"/>
      <c r="AQ1122" s="18"/>
      <c r="AR1122" s="18"/>
      <c r="AS1122" s="18"/>
      <c r="AT1122" s="2">
        <f t="shared" si="603"/>
        <v>10</v>
      </c>
      <c r="AU1122" s="45">
        <f t="shared" si="604"/>
        <v>-2.4984975961538467</v>
      </c>
      <c r="AV1122" s="45" t="e">
        <f t="shared" si="605"/>
        <v>#VALUE!</v>
      </c>
      <c r="AW1122" s="45" t="e">
        <f t="shared" si="606"/>
        <v>#VALUE!</v>
      </c>
      <c r="AX1122" s="45" t="e">
        <f t="shared" si="607"/>
        <v>#VALUE!</v>
      </c>
      <c r="AY1122" s="45" t="e">
        <f t="shared" si="608"/>
        <v>#VALUE!</v>
      </c>
      <c r="AZ1122" s="45" t="e">
        <f t="shared" si="609"/>
        <v>#VALUE!</v>
      </c>
      <c r="BA1122" s="45" t="e">
        <f t="shared" si="610"/>
        <v>#VALUE!</v>
      </c>
      <c r="BB1122" s="45" t="e">
        <f t="shared" si="611"/>
        <v>#VALUE!</v>
      </c>
      <c r="BC1122" s="45" t="e">
        <f t="shared" si="612"/>
        <v>#VALUE!</v>
      </c>
      <c r="BD1122" s="45" t="e">
        <f t="shared" si="613"/>
        <v>#VALUE!</v>
      </c>
      <c r="BE1122" s="45" t="e">
        <f t="shared" si="614"/>
        <v>#VALUE!</v>
      </c>
      <c r="BF1122" s="45" t="e">
        <f t="shared" si="615"/>
        <v>#VALUE!</v>
      </c>
      <c r="BG1122" s="45" t="e">
        <f t="shared" si="616"/>
        <v>#VALUE!</v>
      </c>
      <c r="BH1122" s="45" t="e">
        <f t="shared" si="617"/>
        <v>#NUM!</v>
      </c>
      <c r="BI1122" s="43" t="e">
        <f t="shared" si="618"/>
        <v>#VALUE!</v>
      </c>
      <c r="BJ1122" s="18"/>
      <c r="BK1122" s="18"/>
      <c r="BL1122" s="20"/>
      <c r="BS1122" s="18"/>
      <c r="BT1122" s="18"/>
      <c r="CA1122" s="41" t="s">
        <v>22</v>
      </c>
      <c r="CB1122" s="18"/>
      <c r="CC1122" s="18" t="s">
        <v>22</v>
      </c>
      <c r="CD1122" s="18"/>
      <c r="CE1122" s="41" t="s">
        <v>22</v>
      </c>
      <c r="CF1122" s="41" t="s">
        <v>22</v>
      </c>
      <c r="CG1122" s="41" t="e">
        <f t="shared" si="619"/>
        <v>#VALUE!</v>
      </c>
      <c r="CH1122" s="41" t="e">
        <f t="shared" si="620"/>
        <v>#VALUE!</v>
      </c>
      <c r="CI1122" s="41" t="str">
        <f>IF(ISNUMBER(CG1122),CG1122,U1122)</f>
        <v>Not Reported/ Can not calculate</v>
      </c>
      <c r="CJ1122" s="41" t="e">
        <f t="shared" si="622"/>
        <v>#VALUE!</v>
      </c>
      <c r="CK1122" s="18"/>
      <c r="CL1122" s="9" t="s">
        <v>1269</v>
      </c>
      <c r="CM1122" s="18" t="s">
        <v>1284</v>
      </c>
      <c r="CN1122" s="54" t="s">
        <v>1284</v>
      </c>
      <c r="CO1122" s="18" t="s">
        <v>1284</v>
      </c>
    </row>
    <row r="1123" spans="1:93" x14ac:dyDescent="0.25">
      <c r="A1123" s="18" t="s">
        <v>315</v>
      </c>
      <c r="B1123" s="41">
        <v>1.78795925793255E-2</v>
      </c>
      <c r="C1123" s="41" t="s">
        <v>22</v>
      </c>
      <c r="D1123" s="41" t="s">
        <v>22</v>
      </c>
      <c r="E1123" s="41" t="s">
        <v>22</v>
      </c>
      <c r="F1123" s="18"/>
      <c r="G1123" s="18" t="s">
        <v>22</v>
      </c>
      <c r="H1123" s="18"/>
      <c r="I1123" s="18" t="s">
        <v>22</v>
      </c>
      <c r="J1123" s="41" t="s">
        <v>22</v>
      </c>
      <c r="K1123" s="18" t="s">
        <v>22</v>
      </c>
      <c r="L1123" s="41" t="e">
        <f t="shared" si="623"/>
        <v>#VALUE!</v>
      </c>
      <c r="M1123" s="18" t="s">
        <v>45</v>
      </c>
      <c r="N1123" s="41" t="s">
        <v>22</v>
      </c>
      <c r="O1123" s="41" t="s">
        <v>22</v>
      </c>
      <c r="P1123" s="41" t="s">
        <v>22</v>
      </c>
      <c r="R1123" s="41" t="s">
        <v>22</v>
      </c>
      <c r="S1123" s="41" t="s">
        <v>22</v>
      </c>
      <c r="T1123" s="41" t="s">
        <v>22</v>
      </c>
      <c r="U1123" s="41" t="s">
        <v>22</v>
      </c>
      <c r="V1123" s="18">
        <v>20200512</v>
      </c>
      <c r="W1123" s="9" t="s">
        <v>449</v>
      </c>
      <c r="X1123" s="18">
        <v>2019</v>
      </c>
      <c r="Y1123" s="18" t="s">
        <v>328</v>
      </c>
      <c r="Z1123" s="18" t="s">
        <v>446</v>
      </c>
      <c r="AC1123" s="18" t="s">
        <v>285</v>
      </c>
      <c r="AD1123" s="41" t="s">
        <v>22</v>
      </c>
      <c r="AE1123" s="41" t="s">
        <v>22</v>
      </c>
      <c r="AF1123" s="41" t="s">
        <v>22</v>
      </c>
      <c r="AG1123" s="41" t="s">
        <v>22</v>
      </c>
      <c r="AH1123" s="41" t="s">
        <v>22</v>
      </c>
      <c r="AI1123" s="41" t="s">
        <v>22</v>
      </c>
      <c r="AJ1123" s="41" t="s">
        <v>22</v>
      </c>
      <c r="AK1123" s="41" t="s">
        <v>22</v>
      </c>
      <c r="AL1123" s="41" t="s">
        <v>22</v>
      </c>
      <c r="AM1123" s="43" t="e">
        <f t="shared" si="601"/>
        <v>#VALUE!</v>
      </c>
      <c r="AN1123" s="43" t="e">
        <f t="shared" si="602"/>
        <v>#VALUE!</v>
      </c>
      <c r="AO1123" s="19" t="s">
        <v>445</v>
      </c>
      <c r="AT1123" s="2">
        <f t="shared" si="603"/>
        <v>10</v>
      </c>
      <c r="AU1123" s="45">
        <f t="shared" si="604"/>
        <v>-1.7476423816568067</v>
      </c>
      <c r="AV1123" s="45" t="e">
        <f t="shared" si="605"/>
        <v>#VALUE!</v>
      </c>
      <c r="AW1123" s="45" t="e">
        <f t="shared" si="606"/>
        <v>#VALUE!</v>
      </c>
      <c r="AX1123" s="45" t="e">
        <f t="shared" si="607"/>
        <v>#VALUE!</v>
      </c>
      <c r="AY1123" s="45" t="e">
        <f t="shared" si="608"/>
        <v>#VALUE!</v>
      </c>
      <c r="AZ1123" s="45" t="e">
        <f t="shared" si="609"/>
        <v>#VALUE!</v>
      </c>
      <c r="BA1123" s="45" t="e">
        <f t="shared" si="610"/>
        <v>#VALUE!</v>
      </c>
      <c r="BB1123" s="45" t="e">
        <f t="shared" si="611"/>
        <v>#VALUE!</v>
      </c>
      <c r="BC1123" s="45" t="e">
        <f t="shared" si="612"/>
        <v>#VALUE!</v>
      </c>
      <c r="BD1123" s="45" t="e">
        <f t="shared" si="613"/>
        <v>#VALUE!</v>
      </c>
      <c r="BE1123" s="45" t="e">
        <f t="shared" si="614"/>
        <v>#VALUE!</v>
      </c>
      <c r="BF1123" s="45" t="e">
        <f t="shared" si="615"/>
        <v>#VALUE!</v>
      </c>
      <c r="BG1123" s="45" t="e">
        <f t="shared" si="616"/>
        <v>#VALUE!</v>
      </c>
      <c r="BH1123" s="45" t="e">
        <f t="shared" si="617"/>
        <v>#NUM!</v>
      </c>
      <c r="BI1123" s="43" t="e">
        <f t="shared" si="618"/>
        <v>#VALUE!</v>
      </c>
      <c r="CA1123" s="41" t="s">
        <v>22</v>
      </c>
      <c r="CC1123" t="s">
        <v>22</v>
      </c>
      <c r="CE1123" s="41" t="s">
        <v>22</v>
      </c>
      <c r="CF1123" s="41" t="s">
        <v>22</v>
      </c>
      <c r="CG1123" s="41" t="e">
        <f t="shared" si="619"/>
        <v>#VALUE!</v>
      </c>
      <c r="CH1123" s="41" t="e">
        <f t="shared" si="620"/>
        <v>#VALUE!</v>
      </c>
      <c r="CI1123" s="41" t="str">
        <f t="shared" si="621"/>
        <v>Not Reported/ Can not calculate</v>
      </c>
      <c r="CJ1123" s="41" t="e">
        <f t="shared" si="622"/>
        <v>#VALUE!</v>
      </c>
      <c r="CL1123" s="9" t="s">
        <v>1269</v>
      </c>
      <c r="CM1123" s="18" t="s">
        <v>1284</v>
      </c>
      <c r="CN1123" s="54" t="s">
        <v>1284</v>
      </c>
      <c r="CO1123" s="18" t="s">
        <v>1284</v>
      </c>
    </row>
    <row r="1124" spans="1:93" x14ac:dyDescent="0.25">
      <c r="A1124" s="18" t="s">
        <v>315</v>
      </c>
      <c r="B1124" s="41">
        <v>1.4547596114243401E-2</v>
      </c>
      <c r="C1124" s="41" t="s">
        <v>22</v>
      </c>
      <c r="D1124" s="41" t="s">
        <v>22</v>
      </c>
      <c r="E1124" s="41" t="s">
        <v>22</v>
      </c>
      <c r="F1124" s="18"/>
      <c r="G1124" s="18" t="s">
        <v>22</v>
      </c>
      <c r="H1124" s="18"/>
      <c r="I1124" s="18" t="s">
        <v>22</v>
      </c>
      <c r="J1124" s="41" t="s">
        <v>22</v>
      </c>
      <c r="K1124" s="18" t="s">
        <v>22</v>
      </c>
      <c r="L1124" s="41" t="e">
        <f t="shared" si="623"/>
        <v>#VALUE!</v>
      </c>
      <c r="M1124" s="18" t="s">
        <v>45</v>
      </c>
      <c r="N1124" s="41" t="s">
        <v>22</v>
      </c>
      <c r="O1124" s="41" t="s">
        <v>22</v>
      </c>
      <c r="P1124" s="41" t="s">
        <v>22</v>
      </c>
      <c r="R1124" s="41" t="s">
        <v>22</v>
      </c>
      <c r="S1124" s="41" t="s">
        <v>22</v>
      </c>
      <c r="T1124" s="41" t="s">
        <v>22</v>
      </c>
      <c r="U1124" s="41" t="s">
        <v>22</v>
      </c>
      <c r="V1124" s="18">
        <v>20200512</v>
      </c>
      <c r="W1124" s="9" t="s">
        <v>450</v>
      </c>
      <c r="X1124" s="18">
        <v>2019</v>
      </c>
      <c r="Y1124" s="18" t="s">
        <v>328</v>
      </c>
      <c r="Z1124" s="18" t="s">
        <v>446</v>
      </c>
      <c r="AC1124" s="18" t="s">
        <v>285</v>
      </c>
      <c r="AD1124" s="41" t="s">
        <v>22</v>
      </c>
      <c r="AE1124" s="41" t="s">
        <v>22</v>
      </c>
      <c r="AF1124" s="41" t="s">
        <v>22</v>
      </c>
      <c r="AG1124" s="41" t="s">
        <v>22</v>
      </c>
      <c r="AH1124" s="41" t="s">
        <v>22</v>
      </c>
      <c r="AI1124" s="41" t="s">
        <v>22</v>
      </c>
      <c r="AJ1124" s="41" t="s">
        <v>22</v>
      </c>
      <c r="AK1124" s="41" t="s">
        <v>22</v>
      </c>
      <c r="AL1124" s="41" t="s">
        <v>22</v>
      </c>
      <c r="AM1124" s="43" t="e">
        <f t="shared" si="601"/>
        <v>#VALUE!</v>
      </c>
      <c r="AN1124" s="43" t="e">
        <f t="shared" si="602"/>
        <v>#VALUE!</v>
      </c>
      <c r="AO1124" s="19" t="s">
        <v>445</v>
      </c>
      <c r="AT1124" s="2">
        <f t="shared" si="603"/>
        <v>10</v>
      </c>
      <c r="AU1124" s="45">
        <f t="shared" si="604"/>
        <v>-1.8372087647929018</v>
      </c>
      <c r="AV1124" s="45" t="e">
        <f t="shared" si="605"/>
        <v>#VALUE!</v>
      </c>
      <c r="AW1124" s="45" t="e">
        <f t="shared" si="606"/>
        <v>#VALUE!</v>
      </c>
      <c r="AX1124" s="45" t="e">
        <f t="shared" si="607"/>
        <v>#VALUE!</v>
      </c>
      <c r="AY1124" s="45" t="e">
        <f t="shared" si="608"/>
        <v>#VALUE!</v>
      </c>
      <c r="AZ1124" s="45" t="e">
        <f t="shared" si="609"/>
        <v>#VALUE!</v>
      </c>
      <c r="BA1124" s="45" t="e">
        <f t="shared" si="610"/>
        <v>#VALUE!</v>
      </c>
      <c r="BB1124" s="45" t="e">
        <f t="shared" si="611"/>
        <v>#VALUE!</v>
      </c>
      <c r="BC1124" s="45" t="e">
        <f t="shared" si="612"/>
        <v>#VALUE!</v>
      </c>
      <c r="BD1124" s="45" t="e">
        <f t="shared" si="613"/>
        <v>#VALUE!</v>
      </c>
      <c r="BE1124" s="45" t="e">
        <f t="shared" si="614"/>
        <v>#VALUE!</v>
      </c>
      <c r="BF1124" s="45" t="e">
        <f t="shared" si="615"/>
        <v>#VALUE!</v>
      </c>
      <c r="BG1124" s="45" t="e">
        <f t="shared" si="616"/>
        <v>#VALUE!</v>
      </c>
      <c r="BH1124" s="45" t="e">
        <f t="shared" si="617"/>
        <v>#NUM!</v>
      </c>
      <c r="BI1124" s="43" t="e">
        <f t="shared" si="618"/>
        <v>#VALUE!</v>
      </c>
      <c r="CA1124" s="41" t="s">
        <v>22</v>
      </c>
      <c r="CC1124" t="s">
        <v>22</v>
      </c>
      <c r="CE1124" s="41" t="s">
        <v>22</v>
      </c>
      <c r="CF1124" s="41" t="s">
        <v>22</v>
      </c>
      <c r="CG1124" s="41" t="e">
        <f t="shared" si="619"/>
        <v>#VALUE!</v>
      </c>
      <c r="CH1124" s="41" t="e">
        <f t="shared" si="620"/>
        <v>#VALUE!</v>
      </c>
      <c r="CI1124" s="41" t="str">
        <f t="shared" si="621"/>
        <v>Not Reported/ Can not calculate</v>
      </c>
      <c r="CJ1124" s="41" t="e">
        <f t="shared" si="622"/>
        <v>#VALUE!</v>
      </c>
      <c r="CL1124" s="9" t="s">
        <v>1269</v>
      </c>
      <c r="CM1124" s="18" t="s">
        <v>1284</v>
      </c>
      <c r="CN1124" s="54" t="s">
        <v>1284</v>
      </c>
      <c r="CO1124" s="18" t="s">
        <v>1284</v>
      </c>
    </row>
    <row r="1125" spans="1:93" x14ac:dyDescent="0.25">
      <c r="A1125" s="18" t="s">
        <v>365</v>
      </c>
      <c r="B1125" s="41" t="s">
        <v>22</v>
      </c>
      <c r="C1125" s="41">
        <v>1.93</v>
      </c>
      <c r="D1125" s="41" t="s">
        <v>22</v>
      </c>
      <c r="E1125" s="41" t="s">
        <v>22</v>
      </c>
      <c r="F1125" s="18" t="s">
        <v>22</v>
      </c>
      <c r="G1125" s="18" t="s">
        <v>22</v>
      </c>
      <c r="H1125" s="18" t="s">
        <v>22</v>
      </c>
      <c r="I1125" s="18" t="s">
        <v>22</v>
      </c>
      <c r="J1125" s="41" t="s">
        <v>22</v>
      </c>
      <c r="K1125" s="18" t="s">
        <v>22</v>
      </c>
      <c r="L1125" s="41" t="e">
        <f t="shared" si="623"/>
        <v>#VALUE!</v>
      </c>
      <c r="M1125" s="18" t="s">
        <v>23</v>
      </c>
      <c r="N1125" s="41">
        <v>44467.034846781637</v>
      </c>
      <c r="O1125" s="41">
        <f t="shared" ref="O1125:O1140" si="624">0.001*N1125/C1125</f>
        <v>23.039914428384268</v>
      </c>
      <c r="P1125" s="41" t="s">
        <v>22</v>
      </c>
      <c r="R1125" s="41" t="s">
        <v>22</v>
      </c>
      <c r="S1125" s="41" t="s">
        <v>22</v>
      </c>
      <c r="T1125" s="41">
        <v>1.58</v>
      </c>
      <c r="U1125" s="41">
        <v>1.58</v>
      </c>
      <c r="V1125" s="18">
        <v>20200102</v>
      </c>
      <c r="W1125" s="21" t="s">
        <v>941</v>
      </c>
      <c r="X1125" s="18">
        <v>2019</v>
      </c>
      <c r="Y1125" s="18" t="s">
        <v>1133</v>
      </c>
      <c r="Z1125" s="18" t="s">
        <v>32</v>
      </c>
      <c r="AA1125" s="18"/>
      <c r="AC1125" s="18"/>
      <c r="AD1125" s="41" t="s">
        <v>22</v>
      </c>
      <c r="AE1125" s="41" t="s">
        <v>22</v>
      </c>
      <c r="AF1125" s="41" t="s">
        <v>22</v>
      </c>
      <c r="AG1125" s="41" t="s">
        <v>22</v>
      </c>
      <c r="AH1125" s="41" t="s">
        <v>22</v>
      </c>
      <c r="AI1125" s="41" t="s">
        <v>22</v>
      </c>
      <c r="AJ1125" s="41" t="s">
        <v>22</v>
      </c>
      <c r="AK1125" s="41" t="s">
        <v>22</v>
      </c>
      <c r="AL1125" s="41" t="s">
        <v>22</v>
      </c>
      <c r="AM1125" s="43" t="e">
        <f t="shared" si="601"/>
        <v>#VALUE!</v>
      </c>
      <c r="AN1125" s="43" t="e">
        <f t="shared" si="602"/>
        <v>#VALUE!</v>
      </c>
      <c r="AO1125" s="19" t="s">
        <v>436</v>
      </c>
      <c r="AT1125" s="2">
        <f t="shared" si="603"/>
        <v>16</v>
      </c>
      <c r="AU1125" s="45" t="e">
        <f t="shared" si="604"/>
        <v>#VALUE!</v>
      </c>
      <c r="AV1125" s="45">
        <f t="shared" si="605"/>
        <v>0.28555730900777376</v>
      </c>
      <c r="AW1125" s="45" t="e">
        <f t="shared" si="606"/>
        <v>#VALUE!</v>
      </c>
      <c r="AX1125" s="45">
        <f t="shared" si="607"/>
        <v>4.6480381707663465</v>
      </c>
      <c r="AY1125" s="45">
        <f t="shared" si="608"/>
        <v>1.3624808617585731</v>
      </c>
      <c r="AZ1125" s="45" t="e">
        <f t="shared" si="609"/>
        <v>#VALUE!</v>
      </c>
      <c r="BA1125" s="45" t="e">
        <f t="shared" si="610"/>
        <v>#VALUE!</v>
      </c>
      <c r="BB1125" s="45" t="e">
        <f t="shared" si="611"/>
        <v>#VALUE!</v>
      </c>
      <c r="BC1125" s="45">
        <f t="shared" si="612"/>
        <v>0.19865708695442263</v>
      </c>
      <c r="BD1125" s="45" t="e">
        <f t="shared" si="613"/>
        <v>#VALUE!</v>
      </c>
      <c r="BE1125" s="45" t="e">
        <f t="shared" si="614"/>
        <v>#VALUE!</v>
      </c>
      <c r="BF1125" s="45" t="e">
        <f t="shared" si="615"/>
        <v>#VALUE!</v>
      </c>
      <c r="BG1125" s="45" t="e">
        <f t="shared" si="616"/>
        <v>#VALUE!</v>
      </c>
      <c r="BH1125" s="45" t="e">
        <f t="shared" si="617"/>
        <v>#NUM!</v>
      </c>
      <c r="BI1125" s="43" t="e">
        <f t="shared" si="618"/>
        <v>#VALUE!</v>
      </c>
      <c r="CA1125" s="41" t="s">
        <v>22</v>
      </c>
      <c r="CC1125" t="s">
        <v>22</v>
      </c>
      <c r="CE1125" s="41" t="s">
        <v>22</v>
      </c>
      <c r="CF1125" s="41" t="s">
        <v>22</v>
      </c>
      <c r="CG1125" s="41" t="e">
        <f t="shared" si="619"/>
        <v>#VALUE!</v>
      </c>
      <c r="CH1125" s="41" t="e">
        <f t="shared" si="620"/>
        <v>#VALUE!</v>
      </c>
      <c r="CI1125" s="41">
        <f t="shared" si="621"/>
        <v>1.58</v>
      </c>
      <c r="CJ1125" s="41">
        <f t="shared" si="622"/>
        <v>0.19865708695442263</v>
      </c>
      <c r="CL1125" s="9" t="s">
        <v>1269</v>
      </c>
      <c r="CM1125" s="18" t="s">
        <v>1285</v>
      </c>
      <c r="CN1125" s="54" t="s">
        <v>1284</v>
      </c>
      <c r="CO1125" s="18" t="s">
        <v>1284</v>
      </c>
    </row>
    <row r="1126" spans="1:93" x14ac:dyDescent="0.25">
      <c r="A1126" s="18" t="s">
        <v>365</v>
      </c>
      <c r="B1126" s="41" t="s">
        <v>22</v>
      </c>
      <c r="C1126" s="41">
        <v>1.72</v>
      </c>
      <c r="D1126" s="41" t="s">
        <v>22</v>
      </c>
      <c r="E1126" s="41" t="s">
        <v>22</v>
      </c>
      <c r="F1126" s="18" t="s">
        <v>22</v>
      </c>
      <c r="G1126" s="18" t="s">
        <v>22</v>
      </c>
      <c r="H1126" s="18" t="s">
        <v>22</v>
      </c>
      <c r="I1126" s="18" t="s">
        <v>22</v>
      </c>
      <c r="J1126" s="41" t="s">
        <v>22</v>
      </c>
      <c r="K1126" s="18" t="s">
        <v>22</v>
      </c>
      <c r="L1126" s="41" t="e">
        <f t="shared" si="623"/>
        <v>#VALUE!</v>
      </c>
      <c r="M1126" s="18" t="s">
        <v>23</v>
      </c>
      <c r="N1126" s="41">
        <v>52942.084942084875</v>
      </c>
      <c r="O1126" s="41">
        <f t="shared" si="624"/>
        <v>30.780281943072602</v>
      </c>
      <c r="P1126" s="41" t="s">
        <v>22</v>
      </c>
      <c r="R1126" s="41" t="s">
        <v>22</v>
      </c>
      <c r="S1126" s="41" t="s">
        <v>22</v>
      </c>
      <c r="T1126" s="41">
        <v>1.7</v>
      </c>
      <c r="U1126" s="41">
        <v>1.7</v>
      </c>
      <c r="V1126" s="18">
        <v>20200102</v>
      </c>
      <c r="W1126" s="21" t="s">
        <v>941</v>
      </c>
      <c r="X1126" s="18">
        <v>2019</v>
      </c>
      <c r="Y1126" s="18" t="s">
        <v>1133</v>
      </c>
      <c r="Z1126" s="18" t="s">
        <v>32</v>
      </c>
      <c r="AA1126" s="18"/>
      <c r="AC1126" s="18"/>
      <c r="AD1126" s="41" t="s">
        <v>22</v>
      </c>
      <c r="AE1126" s="41" t="s">
        <v>22</v>
      </c>
      <c r="AF1126" s="41" t="s">
        <v>22</v>
      </c>
      <c r="AG1126" s="41" t="s">
        <v>22</v>
      </c>
      <c r="AH1126" s="41" t="s">
        <v>22</v>
      </c>
      <c r="AI1126" s="41" t="s">
        <v>22</v>
      </c>
      <c r="AJ1126" s="41" t="s">
        <v>22</v>
      </c>
      <c r="AK1126" s="41" t="s">
        <v>22</v>
      </c>
      <c r="AL1126" s="41" t="s">
        <v>22</v>
      </c>
      <c r="AM1126" s="43" t="e">
        <f t="shared" si="601"/>
        <v>#VALUE!</v>
      </c>
      <c r="AN1126" s="43" t="e">
        <f t="shared" si="602"/>
        <v>#VALUE!</v>
      </c>
      <c r="AO1126" s="19" t="s">
        <v>436</v>
      </c>
      <c r="AT1126" s="2">
        <f t="shared" si="603"/>
        <v>16</v>
      </c>
      <c r="AU1126" s="45" t="e">
        <f t="shared" si="604"/>
        <v>#VALUE!</v>
      </c>
      <c r="AV1126" s="45">
        <f t="shared" si="605"/>
        <v>0.2355284469075489</v>
      </c>
      <c r="AW1126" s="45" t="e">
        <f t="shared" si="606"/>
        <v>#VALUE!</v>
      </c>
      <c r="AX1126" s="45">
        <f t="shared" si="607"/>
        <v>4.7238010404978708</v>
      </c>
      <c r="AY1126" s="45">
        <f t="shared" si="608"/>
        <v>1.4882725935903216</v>
      </c>
      <c r="AZ1126" s="45" t="e">
        <f t="shared" si="609"/>
        <v>#VALUE!</v>
      </c>
      <c r="BA1126" s="45" t="e">
        <f t="shared" si="610"/>
        <v>#VALUE!</v>
      </c>
      <c r="BB1126" s="45" t="e">
        <f t="shared" si="611"/>
        <v>#VALUE!</v>
      </c>
      <c r="BC1126" s="45">
        <f t="shared" si="612"/>
        <v>0.23044892137827391</v>
      </c>
      <c r="BD1126" s="45" t="e">
        <f t="shared" si="613"/>
        <v>#VALUE!</v>
      </c>
      <c r="BE1126" s="45" t="e">
        <f t="shared" si="614"/>
        <v>#VALUE!</v>
      </c>
      <c r="BF1126" s="45" t="e">
        <f t="shared" si="615"/>
        <v>#VALUE!</v>
      </c>
      <c r="BG1126" s="45" t="e">
        <f t="shared" si="616"/>
        <v>#VALUE!</v>
      </c>
      <c r="BH1126" s="45" t="e">
        <f t="shared" si="617"/>
        <v>#NUM!</v>
      </c>
      <c r="BI1126" s="43" t="e">
        <f t="shared" si="618"/>
        <v>#VALUE!</v>
      </c>
      <c r="CA1126" s="41" t="s">
        <v>22</v>
      </c>
      <c r="CC1126" t="s">
        <v>22</v>
      </c>
      <c r="CE1126" s="41" t="s">
        <v>22</v>
      </c>
      <c r="CF1126" s="41" t="s">
        <v>22</v>
      </c>
      <c r="CG1126" s="41" t="e">
        <f t="shared" si="619"/>
        <v>#VALUE!</v>
      </c>
      <c r="CH1126" s="41" t="e">
        <f t="shared" si="620"/>
        <v>#VALUE!</v>
      </c>
      <c r="CI1126" s="41">
        <f t="shared" si="621"/>
        <v>1.7</v>
      </c>
      <c r="CJ1126" s="41">
        <f t="shared" si="622"/>
        <v>0.23044892137827391</v>
      </c>
      <c r="CL1126" s="9" t="s">
        <v>1269</v>
      </c>
      <c r="CM1126" s="18" t="s">
        <v>1285</v>
      </c>
      <c r="CN1126" s="54" t="s">
        <v>1284</v>
      </c>
      <c r="CO1126" s="18" t="s">
        <v>1284</v>
      </c>
    </row>
    <row r="1127" spans="1:93" x14ac:dyDescent="0.25">
      <c r="A1127" s="18" t="s">
        <v>365</v>
      </c>
      <c r="B1127" s="41" t="s">
        <v>22</v>
      </c>
      <c r="C1127" s="41">
        <v>1.72</v>
      </c>
      <c r="D1127" s="41" t="s">
        <v>22</v>
      </c>
      <c r="E1127" s="41" t="s">
        <v>22</v>
      </c>
      <c r="F1127" s="18" t="s">
        <v>22</v>
      </c>
      <c r="G1127" s="18" t="s">
        <v>22</v>
      </c>
      <c r="H1127" s="18" t="s">
        <v>22</v>
      </c>
      <c r="I1127" s="18" t="s">
        <v>22</v>
      </c>
      <c r="J1127" s="41" t="s">
        <v>22</v>
      </c>
      <c r="K1127" s="18" t="s">
        <v>22</v>
      </c>
      <c r="L1127" s="41" t="e">
        <f t="shared" si="623"/>
        <v>#VALUE!</v>
      </c>
      <c r="M1127" s="18" t="s">
        <v>23</v>
      </c>
      <c r="N1127" s="41">
        <v>47258.687258687198</v>
      </c>
      <c r="O1127" s="41">
        <f t="shared" si="624"/>
        <v>27.47598096435302</v>
      </c>
      <c r="P1127" s="41" t="s">
        <v>22</v>
      </c>
      <c r="R1127" s="41" t="s">
        <v>22</v>
      </c>
      <c r="S1127" s="41" t="s">
        <v>22</v>
      </c>
      <c r="T1127" s="41">
        <v>1.7</v>
      </c>
      <c r="U1127" s="41">
        <v>1.7</v>
      </c>
      <c r="V1127" s="18">
        <v>20200102</v>
      </c>
      <c r="W1127" s="21" t="s">
        <v>941</v>
      </c>
      <c r="X1127" s="18">
        <v>2019</v>
      </c>
      <c r="Y1127" s="18" t="s">
        <v>1133</v>
      </c>
      <c r="Z1127" s="18" t="s">
        <v>32</v>
      </c>
      <c r="AA1127" s="18"/>
      <c r="AC1127" s="18"/>
      <c r="AD1127" s="41" t="s">
        <v>22</v>
      </c>
      <c r="AE1127" s="41" t="s">
        <v>22</v>
      </c>
      <c r="AF1127" s="41" t="s">
        <v>22</v>
      </c>
      <c r="AG1127" s="41" t="s">
        <v>22</v>
      </c>
      <c r="AH1127" s="41" t="s">
        <v>22</v>
      </c>
      <c r="AI1127" s="41" t="s">
        <v>22</v>
      </c>
      <c r="AJ1127" s="41" t="s">
        <v>22</v>
      </c>
      <c r="AK1127" s="41" t="s">
        <v>22</v>
      </c>
      <c r="AL1127" s="41" t="s">
        <v>22</v>
      </c>
      <c r="AM1127" s="43" t="e">
        <f t="shared" si="601"/>
        <v>#VALUE!</v>
      </c>
      <c r="AN1127" s="43" t="e">
        <f t="shared" si="602"/>
        <v>#VALUE!</v>
      </c>
      <c r="AO1127" s="19" t="s">
        <v>436</v>
      </c>
      <c r="AT1127" s="2">
        <f t="shared" si="603"/>
        <v>16</v>
      </c>
      <c r="AU1127" s="45" t="e">
        <f t="shared" si="604"/>
        <v>#VALUE!</v>
      </c>
      <c r="AV1127" s="45">
        <f t="shared" si="605"/>
        <v>0.2355284469075489</v>
      </c>
      <c r="AW1127" s="45" t="e">
        <f t="shared" si="606"/>
        <v>#VALUE!</v>
      </c>
      <c r="AX1127" s="45">
        <f t="shared" si="607"/>
        <v>4.6744816537282903</v>
      </c>
      <c r="AY1127" s="45">
        <f t="shared" si="608"/>
        <v>1.4389532068207411</v>
      </c>
      <c r="AZ1127" s="45" t="e">
        <f t="shared" si="609"/>
        <v>#VALUE!</v>
      </c>
      <c r="BA1127" s="45" t="e">
        <f t="shared" si="610"/>
        <v>#VALUE!</v>
      </c>
      <c r="BB1127" s="45" t="e">
        <f t="shared" si="611"/>
        <v>#VALUE!</v>
      </c>
      <c r="BC1127" s="45">
        <f t="shared" si="612"/>
        <v>0.23044892137827391</v>
      </c>
      <c r="BD1127" s="45" t="e">
        <f t="shared" si="613"/>
        <v>#VALUE!</v>
      </c>
      <c r="BE1127" s="45" t="e">
        <f t="shared" si="614"/>
        <v>#VALUE!</v>
      </c>
      <c r="BF1127" s="45" t="e">
        <f t="shared" si="615"/>
        <v>#VALUE!</v>
      </c>
      <c r="BG1127" s="45" t="e">
        <f t="shared" si="616"/>
        <v>#VALUE!</v>
      </c>
      <c r="BH1127" s="45" t="e">
        <f t="shared" si="617"/>
        <v>#NUM!</v>
      </c>
      <c r="BI1127" s="43" t="e">
        <f t="shared" si="618"/>
        <v>#VALUE!</v>
      </c>
      <c r="CA1127" s="41" t="s">
        <v>22</v>
      </c>
      <c r="CC1127" t="s">
        <v>22</v>
      </c>
      <c r="CE1127" s="41" t="s">
        <v>22</v>
      </c>
      <c r="CF1127" s="41" t="s">
        <v>22</v>
      </c>
      <c r="CG1127" s="41" t="e">
        <f t="shared" si="619"/>
        <v>#VALUE!</v>
      </c>
      <c r="CH1127" s="41" t="e">
        <f t="shared" si="620"/>
        <v>#VALUE!</v>
      </c>
      <c r="CI1127" s="41">
        <f t="shared" si="621"/>
        <v>1.7</v>
      </c>
      <c r="CJ1127" s="41">
        <f t="shared" si="622"/>
        <v>0.23044892137827391</v>
      </c>
      <c r="CL1127" s="9" t="s">
        <v>1269</v>
      </c>
      <c r="CM1127" s="18" t="s">
        <v>1285</v>
      </c>
      <c r="CN1127" s="54" t="s">
        <v>1284</v>
      </c>
      <c r="CO1127" s="18" t="s">
        <v>1284</v>
      </c>
    </row>
    <row r="1128" spans="1:93" x14ac:dyDescent="0.25">
      <c r="A1128" s="18" t="s">
        <v>365</v>
      </c>
      <c r="B1128" s="41" t="s">
        <v>22</v>
      </c>
      <c r="C1128" s="41">
        <v>1.65</v>
      </c>
      <c r="D1128" s="41" t="s">
        <v>22</v>
      </c>
      <c r="E1128" s="41" t="s">
        <v>22</v>
      </c>
      <c r="F1128" s="18" t="s">
        <v>22</v>
      </c>
      <c r="G1128" s="18" t="s">
        <v>22</v>
      </c>
      <c r="H1128" s="18" t="s">
        <v>22</v>
      </c>
      <c r="I1128" s="18" t="s">
        <v>22</v>
      </c>
      <c r="J1128" s="41" t="s">
        <v>22</v>
      </c>
      <c r="K1128" s="18" t="s">
        <v>22</v>
      </c>
      <c r="L1128" s="41" t="e">
        <f t="shared" si="623"/>
        <v>#VALUE!</v>
      </c>
      <c r="M1128" s="18" t="s">
        <v>23</v>
      </c>
      <c r="N1128" s="41">
        <v>43728.37728769931</v>
      </c>
      <c r="O1128" s="41">
        <f t="shared" si="624"/>
        <v>26.502046841029888</v>
      </c>
      <c r="P1128" s="41" t="s">
        <v>22</v>
      </c>
      <c r="R1128" s="41" t="s">
        <v>22</v>
      </c>
      <c r="S1128" s="41" t="s">
        <v>22</v>
      </c>
      <c r="T1128" s="41">
        <v>1.77</v>
      </c>
      <c r="U1128" s="41">
        <v>1.77</v>
      </c>
      <c r="V1128" s="18">
        <v>20200102</v>
      </c>
      <c r="W1128" s="21" t="s">
        <v>941</v>
      </c>
      <c r="X1128" s="18">
        <v>2019</v>
      </c>
      <c r="Y1128" s="18" t="s">
        <v>1133</v>
      </c>
      <c r="Z1128" s="18" t="s">
        <v>32</v>
      </c>
      <c r="AC1128" s="18"/>
      <c r="AD1128" s="41" t="s">
        <v>22</v>
      </c>
      <c r="AE1128" s="41" t="s">
        <v>22</v>
      </c>
      <c r="AF1128" s="41" t="s">
        <v>22</v>
      </c>
      <c r="AG1128" s="41" t="s">
        <v>22</v>
      </c>
      <c r="AH1128" s="41" t="s">
        <v>22</v>
      </c>
      <c r="AI1128" s="41" t="s">
        <v>22</v>
      </c>
      <c r="AJ1128" s="41" t="s">
        <v>22</v>
      </c>
      <c r="AK1128" s="41" t="s">
        <v>22</v>
      </c>
      <c r="AL1128" s="41" t="s">
        <v>22</v>
      </c>
      <c r="AM1128" s="43" t="e">
        <f t="shared" si="601"/>
        <v>#VALUE!</v>
      </c>
      <c r="AN1128" s="43" t="e">
        <f t="shared" si="602"/>
        <v>#VALUE!</v>
      </c>
      <c r="AO1128" s="19" t="s">
        <v>436</v>
      </c>
      <c r="AT1128" s="2">
        <f t="shared" si="603"/>
        <v>16</v>
      </c>
      <c r="AU1128" s="45" t="e">
        <f t="shared" si="604"/>
        <v>#VALUE!</v>
      </c>
      <c r="AV1128" s="45">
        <f t="shared" si="605"/>
        <v>0.21748394421390627</v>
      </c>
      <c r="AW1128" s="45" t="e">
        <f t="shared" si="606"/>
        <v>#VALUE!</v>
      </c>
      <c r="AX1128" s="45">
        <f t="shared" si="607"/>
        <v>4.6407633614501913</v>
      </c>
      <c r="AY1128" s="45">
        <f t="shared" si="608"/>
        <v>1.4232794172362855</v>
      </c>
      <c r="AZ1128" s="45" t="e">
        <f t="shared" si="609"/>
        <v>#VALUE!</v>
      </c>
      <c r="BA1128" s="45" t="e">
        <f t="shared" si="610"/>
        <v>#VALUE!</v>
      </c>
      <c r="BB1128" s="45" t="e">
        <f t="shared" si="611"/>
        <v>#VALUE!</v>
      </c>
      <c r="BC1128" s="45">
        <f t="shared" si="612"/>
        <v>0.24797326636180664</v>
      </c>
      <c r="BD1128" s="45" t="e">
        <f t="shared" si="613"/>
        <v>#VALUE!</v>
      </c>
      <c r="BE1128" s="45" t="e">
        <f t="shared" si="614"/>
        <v>#VALUE!</v>
      </c>
      <c r="BF1128" s="45" t="e">
        <f t="shared" si="615"/>
        <v>#VALUE!</v>
      </c>
      <c r="BG1128" s="45" t="e">
        <f t="shared" si="616"/>
        <v>#VALUE!</v>
      </c>
      <c r="BH1128" s="45" t="e">
        <f t="shared" si="617"/>
        <v>#NUM!</v>
      </c>
      <c r="BI1128" s="43" t="e">
        <f t="shared" si="618"/>
        <v>#VALUE!</v>
      </c>
      <c r="CA1128" s="41" t="s">
        <v>22</v>
      </c>
      <c r="CC1128" t="s">
        <v>22</v>
      </c>
      <c r="CE1128" s="41" t="s">
        <v>22</v>
      </c>
      <c r="CF1128" s="41" t="s">
        <v>22</v>
      </c>
      <c r="CG1128" s="41" t="e">
        <f t="shared" si="619"/>
        <v>#VALUE!</v>
      </c>
      <c r="CH1128" s="41" t="e">
        <f t="shared" si="620"/>
        <v>#VALUE!</v>
      </c>
      <c r="CI1128" s="41">
        <f t="shared" si="621"/>
        <v>1.77</v>
      </c>
      <c r="CJ1128" s="41">
        <f t="shared" si="622"/>
        <v>0.24797326636180664</v>
      </c>
      <c r="CL1128" s="9" t="s">
        <v>1269</v>
      </c>
      <c r="CM1128" s="18" t="s">
        <v>1285</v>
      </c>
      <c r="CN1128" s="54" t="s">
        <v>1284</v>
      </c>
      <c r="CO1128" s="18" t="s">
        <v>1284</v>
      </c>
    </row>
    <row r="1129" spans="1:93" x14ac:dyDescent="0.25">
      <c r="A1129" s="18" t="s">
        <v>365</v>
      </c>
      <c r="B1129" s="41" t="s">
        <v>22</v>
      </c>
      <c r="C1129" s="41">
        <v>1.62</v>
      </c>
      <c r="D1129" s="41" t="s">
        <v>22</v>
      </c>
      <c r="E1129" s="41" t="s">
        <v>22</v>
      </c>
      <c r="F1129" s="18" t="s">
        <v>22</v>
      </c>
      <c r="G1129" s="18" t="s">
        <v>22</v>
      </c>
      <c r="H1129" s="18" t="s">
        <v>22</v>
      </c>
      <c r="I1129" s="18" t="s">
        <v>22</v>
      </c>
      <c r="J1129" s="41" t="s">
        <v>22</v>
      </c>
      <c r="K1129" s="18" t="s">
        <v>22</v>
      </c>
      <c r="L1129" s="41" t="e">
        <f t="shared" si="623"/>
        <v>#VALUE!</v>
      </c>
      <c r="M1129" s="18" t="s">
        <v>23</v>
      </c>
      <c r="N1129" s="41">
        <v>32444.511550656734</v>
      </c>
      <c r="O1129" s="41">
        <f t="shared" si="624"/>
        <v>20.027476265837489</v>
      </c>
      <c r="P1129" s="41" t="s">
        <v>22</v>
      </c>
      <c r="R1129" s="41" t="s">
        <v>22</v>
      </c>
      <c r="S1129" s="41" t="s">
        <v>22</v>
      </c>
      <c r="T1129" s="41">
        <v>1.79</v>
      </c>
      <c r="U1129" s="41">
        <v>1.79</v>
      </c>
      <c r="V1129" s="18">
        <v>20200102</v>
      </c>
      <c r="W1129" s="21" t="s">
        <v>941</v>
      </c>
      <c r="X1129" s="18">
        <v>2019</v>
      </c>
      <c r="Y1129" s="18" t="s">
        <v>1133</v>
      </c>
      <c r="Z1129" s="18" t="s">
        <v>32</v>
      </c>
      <c r="AC1129" s="18"/>
      <c r="AD1129" s="41" t="s">
        <v>22</v>
      </c>
      <c r="AE1129" s="41" t="s">
        <v>22</v>
      </c>
      <c r="AF1129" s="41" t="s">
        <v>22</v>
      </c>
      <c r="AG1129" s="41" t="s">
        <v>22</v>
      </c>
      <c r="AH1129" s="41" t="s">
        <v>22</v>
      </c>
      <c r="AI1129" s="41" t="s">
        <v>22</v>
      </c>
      <c r="AJ1129" s="41" t="s">
        <v>22</v>
      </c>
      <c r="AK1129" s="41" t="s">
        <v>22</v>
      </c>
      <c r="AL1129" s="41" t="s">
        <v>22</v>
      </c>
      <c r="AM1129" s="43" t="e">
        <f t="shared" si="601"/>
        <v>#VALUE!</v>
      </c>
      <c r="AN1129" s="43" t="e">
        <f t="shared" si="602"/>
        <v>#VALUE!</v>
      </c>
      <c r="AO1129" s="19" t="s">
        <v>436</v>
      </c>
      <c r="AT1129" s="2">
        <f t="shared" si="603"/>
        <v>16</v>
      </c>
      <c r="AU1129" s="45" t="e">
        <f t="shared" si="604"/>
        <v>#VALUE!</v>
      </c>
      <c r="AV1129" s="45">
        <f t="shared" si="605"/>
        <v>0.20951501454263097</v>
      </c>
      <c r="AW1129" s="45" t="e">
        <f t="shared" si="606"/>
        <v>#VALUE!</v>
      </c>
      <c r="AX1129" s="45">
        <f t="shared" si="607"/>
        <v>4.5111412402777509</v>
      </c>
      <c r="AY1129" s="45">
        <f t="shared" si="608"/>
        <v>1.3016262257351201</v>
      </c>
      <c r="AZ1129" s="45" t="e">
        <f t="shared" si="609"/>
        <v>#VALUE!</v>
      </c>
      <c r="BA1129" s="45" t="e">
        <f t="shared" si="610"/>
        <v>#VALUE!</v>
      </c>
      <c r="BB1129" s="45" t="e">
        <f t="shared" si="611"/>
        <v>#VALUE!</v>
      </c>
      <c r="BC1129" s="45">
        <f t="shared" si="612"/>
        <v>0.2528530309798932</v>
      </c>
      <c r="BD1129" s="45" t="e">
        <f t="shared" si="613"/>
        <v>#VALUE!</v>
      </c>
      <c r="BE1129" s="45" t="e">
        <f t="shared" si="614"/>
        <v>#VALUE!</v>
      </c>
      <c r="BF1129" s="45" t="e">
        <f t="shared" si="615"/>
        <v>#VALUE!</v>
      </c>
      <c r="BG1129" s="45" t="e">
        <f t="shared" si="616"/>
        <v>#VALUE!</v>
      </c>
      <c r="BH1129" s="45" t="e">
        <f t="shared" si="617"/>
        <v>#NUM!</v>
      </c>
      <c r="BI1129" s="43" t="e">
        <f t="shared" si="618"/>
        <v>#VALUE!</v>
      </c>
      <c r="CA1129" s="41" t="s">
        <v>22</v>
      </c>
      <c r="CC1129" t="s">
        <v>22</v>
      </c>
      <c r="CE1129" s="41" t="s">
        <v>22</v>
      </c>
      <c r="CF1129" s="41" t="s">
        <v>22</v>
      </c>
      <c r="CG1129" s="41" t="e">
        <f t="shared" si="619"/>
        <v>#VALUE!</v>
      </c>
      <c r="CH1129" s="41" t="e">
        <f t="shared" si="620"/>
        <v>#VALUE!</v>
      </c>
      <c r="CI1129" s="41">
        <f t="shared" si="621"/>
        <v>1.79</v>
      </c>
      <c r="CJ1129" s="41">
        <f t="shared" si="622"/>
        <v>0.2528530309798932</v>
      </c>
      <c r="CL1129" s="9" t="s">
        <v>1269</v>
      </c>
      <c r="CM1129" s="18" t="s">
        <v>1285</v>
      </c>
      <c r="CN1129" s="54" t="s">
        <v>1284</v>
      </c>
      <c r="CO1129" s="18" t="s">
        <v>1284</v>
      </c>
    </row>
    <row r="1130" spans="1:93" x14ac:dyDescent="0.25">
      <c r="A1130" s="18" t="s">
        <v>365</v>
      </c>
      <c r="B1130" s="41" t="s">
        <v>22</v>
      </c>
      <c r="C1130" s="41">
        <v>1.57</v>
      </c>
      <c r="D1130" s="41" t="s">
        <v>22</v>
      </c>
      <c r="E1130" s="41" t="s">
        <v>22</v>
      </c>
      <c r="F1130" s="18" t="s">
        <v>22</v>
      </c>
      <c r="G1130" s="18" t="s">
        <v>22</v>
      </c>
      <c r="H1130" s="18" t="s">
        <v>22</v>
      </c>
      <c r="I1130" s="18" t="s">
        <v>22</v>
      </c>
      <c r="J1130" s="41" t="s">
        <v>22</v>
      </c>
      <c r="K1130" s="18" t="s">
        <v>22</v>
      </c>
      <c r="L1130" s="41" t="e">
        <f t="shared" si="623"/>
        <v>#VALUE!</v>
      </c>
      <c r="M1130" s="18" t="s">
        <v>23</v>
      </c>
      <c r="N1130" s="41">
        <v>31449.329513845627</v>
      </c>
      <c r="O1130" s="41">
        <f t="shared" si="624"/>
        <v>20.031420072513136</v>
      </c>
      <c r="P1130" s="41" t="s">
        <v>22</v>
      </c>
      <c r="R1130" s="41" t="s">
        <v>22</v>
      </c>
      <c r="S1130" s="41" t="s">
        <v>22</v>
      </c>
      <c r="T1130" s="41">
        <v>1.86</v>
      </c>
      <c r="U1130" s="41">
        <v>1.86</v>
      </c>
      <c r="V1130" s="18">
        <v>20200102</v>
      </c>
      <c r="W1130" s="21" t="s">
        <v>941</v>
      </c>
      <c r="X1130" s="18">
        <v>2019</v>
      </c>
      <c r="Y1130" s="18" t="s">
        <v>1133</v>
      </c>
      <c r="Z1130" s="18" t="s">
        <v>32</v>
      </c>
      <c r="AC1130" s="18"/>
      <c r="AD1130" s="41" t="s">
        <v>22</v>
      </c>
      <c r="AE1130" s="41" t="s">
        <v>22</v>
      </c>
      <c r="AF1130" s="41" t="s">
        <v>22</v>
      </c>
      <c r="AG1130" s="41" t="s">
        <v>22</v>
      </c>
      <c r="AH1130" s="41" t="s">
        <v>22</v>
      </c>
      <c r="AI1130" s="41" t="s">
        <v>22</v>
      </c>
      <c r="AJ1130" s="41" t="s">
        <v>22</v>
      </c>
      <c r="AK1130" s="41" t="s">
        <v>22</v>
      </c>
      <c r="AL1130" s="41" t="s">
        <v>22</v>
      </c>
      <c r="AM1130" s="43" t="e">
        <f t="shared" si="601"/>
        <v>#VALUE!</v>
      </c>
      <c r="AN1130" s="43" t="e">
        <f t="shared" si="602"/>
        <v>#VALUE!</v>
      </c>
      <c r="AO1130" s="19" t="s">
        <v>436</v>
      </c>
      <c r="AT1130" s="2">
        <f t="shared" si="603"/>
        <v>16</v>
      </c>
      <c r="AU1130" s="45" t="e">
        <f t="shared" si="604"/>
        <v>#VALUE!</v>
      </c>
      <c r="AV1130" s="45">
        <f t="shared" si="605"/>
        <v>0.19589965240923377</v>
      </c>
      <c r="AW1130" s="45" t="e">
        <f t="shared" si="606"/>
        <v>#VALUE!</v>
      </c>
      <c r="AX1130" s="45">
        <f t="shared" si="607"/>
        <v>4.4976113909087596</v>
      </c>
      <c r="AY1130" s="45">
        <f t="shared" si="608"/>
        <v>1.3017117384995254</v>
      </c>
      <c r="AZ1130" s="45" t="e">
        <f t="shared" si="609"/>
        <v>#VALUE!</v>
      </c>
      <c r="BA1130" s="45" t="e">
        <f t="shared" si="610"/>
        <v>#VALUE!</v>
      </c>
      <c r="BB1130" s="45" t="e">
        <f t="shared" si="611"/>
        <v>#VALUE!</v>
      </c>
      <c r="BC1130" s="45">
        <f t="shared" si="612"/>
        <v>0.26951294421791633</v>
      </c>
      <c r="BD1130" s="45" t="e">
        <f t="shared" si="613"/>
        <v>#VALUE!</v>
      </c>
      <c r="BE1130" s="45" t="e">
        <f t="shared" si="614"/>
        <v>#VALUE!</v>
      </c>
      <c r="BF1130" s="45" t="e">
        <f t="shared" si="615"/>
        <v>#VALUE!</v>
      </c>
      <c r="BG1130" s="45" t="e">
        <f t="shared" si="616"/>
        <v>#VALUE!</v>
      </c>
      <c r="BH1130" s="45" t="e">
        <f t="shared" si="617"/>
        <v>#NUM!</v>
      </c>
      <c r="BI1130" s="43" t="e">
        <f t="shared" si="618"/>
        <v>#VALUE!</v>
      </c>
      <c r="CA1130" s="41" t="s">
        <v>22</v>
      </c>
      <c r="CC1130" t="s">
        <v>22</v>
      </c>
      <c r="CE1130" s="41" t="s">
        <v>22</v>
      </c>
      <c r="CF1130" s="41" t="s">
        <v>22</v>
      </c>
      <c r="CG1130" s="41" t="e">
        <f t="shared" si="619"/>
        <v>#VALUE!</v>
      </c>
      <c r="CH1130" s="41" t="e">
        <f t="shared" si="620"/>
        <v>#VALUE!</v>
      </c>
      <c r="CI1130" s="41">
        <f t="shared" si="621"/>
        <v>1.86</v>
      </c>
      <c r="CJ1130" s="41">
        <f t="shared" si="622"/>
        <v>0.26951294421791633</v>
      </c>
      <c r="CL1130" s="9" t="s">
        <v>1269</v>
      </c>
      <c r="CM1130" s="18" t="s">
        <v>1285</v>
      </c>
      <c r="CN1130" s="54" t="s">
        <v>1284</v>
      </c>
      <c r="CO1130" s="18" t="s">
        <v>1284</v>
      </c>
    </row>
    <row r="1131" spans="1:93" x14ac:dyDescent="0.25">
      <c r="A1131" s="18" t="s">
        <v>365</v>
      </c>
      <c r="B1131" s="41" t="s">
        <v>22</v>
      </c>
      <c r="C1131" s="41">
        <v>1.51</v>
      </c>
      <c r="D1131" s="41" t="s">
        <v>22</v>
      </c>
      <c r="E1131" s="41" t="s">
        <v>22</v>
      </c>
      <c r="F1131" s="18" t="s">
        <v>22</v>
      </c>
      <c r="G1131" s="18" t="s">
        <v>22</v>
      </c>
      <c r="H1131" s="18" t="s">
        <v>22</v>
      </c>
      <c r="I1131" s="18" t="s">
        <v>22</v>
      </c>
      <c r="J1131" s="41" t="s">
        <v>22</v>
      </c>
      <c r="K1131" s="18" t="s">
        <v>22</v>
      </c>
      <c r="L1131" s="41" t="e">
        <f t="shared" si="623"/>
        <v>#VALUE!</v>
      </c>
      <c r="M1131" s="18" t="s">
        <v>23</v>
      </c>
      <c r="N1131" s="41">
        <v>32798.336798336779</v>
      </c>
      <c r="O1131" s="41">
        <f t="shared" si="624"/>
        <v>21.720752846580648</v>
      </c>
      <c r="P1131" s="41" t="s">
        <v>22</v>
      </c>
      <c r="R1131" s="41" t="s">
        <v>22</v>
      </c>
      <c r="S1131" s="41" t="s">
        <v>22</v>
      </c>
      <c r="T1131" s="41">
        <v>1.95</v>
      </c>
      <c r="U1131" s="41">
        <v>1.95</v>
      </c>
      <c r="V1131" s="18">
        <v>20200102</v>
      </c>
      <c r="W1131" s="21" t="s">
        <v>941</v>
      </c>
      <c r="X1131" s="18">
        <v>2019</v>
      </c>
      <c r="Y1131" s="18" t="s">
        <v>1133</v>
      </c>
      <c r="Z1131" s="18" t="s">
        <v>32</v>
      </c>
      <c r="AC1131" s="18"/>
      <c r="AD1131" s="41" t="s">
        <v>22</v>
      </c>
      <c r="AE1131" s="41" t="s">
        <v>22</v>
      </c>
      <c r="AF1131" s="41" t="s">
        <v>22</v>
      </c>
      <c r="AG1131" s="41" t="s">
        <v>22</v>
      </c>
      <c r="AH1131" s="41" t="s">
        <v>22</v>
      </c>
      <c r="AI1131" s="41" t="s">
        <v>22</v>
      </c>
      <c r="AJ1131" s="41" t="s">
        <v>22</v>
      </c>
      <c r="AK1131" s="41" t="s">
        <v>22</v>
      </c>
      <c r="AL1131" s="41" t="s">
        <v>22</v>
      </c>
      <c r="AM1131" s="43" t="e">
        <f t="shared" si="601"/>
        <v>#VALUE!</v>
      </c>
      <c r="AN1131" s="43" t="e">
        <f t="shared" si="602"/>
        <v>#VALUE!</v>
      </c>
      <c r="AO1131" s="19" t="s">
        <v>436</v>
      </c>
      <c r="AT1131" s="2">
        <f t="shared" si="603"/>
        <v>16</v>
      </c>
      <c r="AU1131" s="45" t="e">
        <f t="shared" si="604"/>
        <v>#VALUE!</v>
      </c>
      <c r="AV1131" s="45">
        <f t="shared" si="605"/>
        <v>0.17897694729316943</v>
      </c>
      <c r="AW1131" s="45" t="e">
        <f t="shared" si="606"/>
        <v>#VALUE!</v>
      </c>
      <c r="AX1131" s="45">
        <f t="shared" si="607"/>
        <v>4.5158518212233041</v>
      </c>
      <c r="AY1131" s="45">
        <f t="shared" si="608"/>
        <v>1.3368748739301346</v>
      </c>
      <c r="AZ1131" s="45" t="e">
        <f t="shared" si="609"/>
        <v>#VALUE!</v>
      </c>
      <c r="BA1131" s="45" t="e">
        <f t="shared" si="610"/>
        <v>#VALUE!</v>
      </c>
      <c r="BB1131" s="45" t="e">
        <f t="shared" si="611"/>
        <v>#VALUE!</v>
      </c>
      <c r="BC1131" s="45">
        <f t="shared" si="612"/>
        <v>0.29003461136251801</v>
      </c>
      <c r="BD1131" s="45" t="e">
        <f t="shared" si="613"/>
        <v>#VALUE!</v>
      </c>
      <c r="BE1131" s="45" t="e">
        <f t="shared" si="614"/>
        <v>#VALUE!</v>
      </c>
      <c r="BF1131" s="45" t="e">
        <f t="shared" si="615"/>
        <v>#VALUE!</v>
      </c>
      <c r="BG1131" s="45" t="e">
        <f t="shared" si="616"/>
        <v>#VALUE!</v>
      </c>
      <c r="BH1131" s="45" t="e">
        <f t="shared" si="617"/>
        <v>#NUM!</v>
      </c>
      <c r="BI1131" s="43" t="e">
        <f t="shared" si="618"/>
        <v>#VALUE!</v>
      </c>
      <c r="CA1131" s="41" t="s">
        <v>22</v>
      </c>
      <c r="CC1131" t="s">
        <v>22</v>
      </c>
      <c r="CE1131" s="41" t="s">
        <v>22</v>
      </c>
      <c r="CF1131" s="41" t="s">
        <v>22</v>
      </c>
      <c r="CG1131" s="41" t="e">
        <f t="shared" si="619"/>
        <v>#VALUE!</v>
      </c>
      <c r="CH1131" s="41" t="e">
        <f t="shared" si="620"/>
        <v>#VALUE!</v>
      </c>
      <c r="CI1131" s="41">
        <f t="shared" si="621"/>
        <v>1.95</v>
      </c>
      <c r="CJ1131" s="41">
        <f t="shared" si="622"/>
        <v>0.29003461136251801</v>
      </c>
      <c r="CL1131" s="9" t="s">
        <v>1269</v>
      </c>
      <c r="CM1131" s="18" t="s">
        <v>1285</v>
      </c>
      <c r="CN1131" s="54" t="s">
        <v>1284</v>
      </c>
      <c r="CO1131" s="18" t="s">
        <v>1284</v>
      </c>
    </row>
    <row r="1132" spans="1:93" x14ac:dyDescent="0.25">
      <c r="A1132" s="18" t="s">
        <v>365</v>
      </c>
      <c r="B1132" s="41" t="s">
        <v>22</v>
      </c>
      <c r="C1132" s="41">
        <v>1.49</v>
      </c>
      <c r="D1132" s="41" t="s">
        <v>22</v>
      </c>
      <c r="E1132" s="41" t="s">
        <v>22</v>
      </c>
      <c r="F1132" s="18" t="s">
        <v>22</v>
      </c>
      <c r="G1132" s="18" t="s">
        <v>22</v>
      </c>
      <c r="H1132" s="18" t="s">
        <v>22</v>
      </c>
      <c r="I1132" s="18" t="s">
        <v>22</v>
      </c>
      <c r="J1132" s="41" t="s">
        <v>22</v>
      </c>
      <c r="K1132" s="18" t="s">
        <v>22</v>
      </c>
      <c r="L1132" s="41" t="e">
        <f t="shared" si="623"/>
        <v>#VALUE!</v>
      </c>
      <c r="M1132" s="18" t="s">
        <v>23</v>
      </c>
      <c r="N1132" s="41">
        <v>29877.992277992253</v>
      </c>
      <c r="O1132" s="41">
        <f t="shared" si="624"/>
        <v>20.052343810733056</v>
      </c>
      <c r="P1132" s="41" t="s">
        <v>22</v>
      </c>
      <c r="R1132" s="41" t="s">
        <v>22</v>
      </c>
      <c r="S1132" s="41" t="s">
        <v>22</v>
      </c>
      <c r="T1132" s="41">
        <v>2</v>
      </c>
      <c r="U1132" s="41">
        <v>2</v>
      </c>
      <c r="V1132" s="18">
        <v>20200102</v>
      </c>
      <c r="W1132" s="21" t="s">
        <v>941</v>
      </c>
      <c r="X1132" s="18">
        <v>2019</v>
      </c>
      <c r="Y1132" s="18" t="s">
        <v>1133</v>
      </c>
      <c r="Z1132" s="18" t="s">
        <v>32</v>
      </c>
      <c r="AC1132" s="18"/>
      <c r="AD1132" s="41" t="s">
        <v>22</v>
      </c>
      <c r="AE1132" s="41" t="s">
        <v>22</v>
      </c>
      <c r="AF1132" s="41" t="s">
        <v>22</v>
      </c>
      <c r="AG1132" s="41" t="s">
        <v>22</v>
      </c>
      <c r="AH1132" s="41" t="s">
        <v>22</v>
      </c>
      <c r="AI1132" s="41" t="s">
        <v>22</v>
      </c>
      <c r="AJ1132" s="41" t="s">
        <v>22</v>
      </c>
      <c r="AK1132" s="41" t="s">
        <v>22</v>
      </c>
      <c r="AL1132" s="41" t="s">
        <v>22</v>
      </c>
      <c r="AM1132" s="43" t="e">
        <f t="shared" si="601"/>
        <v>#VALUE!</v>
      </c>
      <c r="AN1132" s="43" t="e">
        <f t="shared" si="602"/>
        <v>#VALUE!</v>
      </c>
      <c r="AO1132" s="19" t="s">
        <v>436</v>
      </c>
      <c r="AT1132" s="2">
        <f t="shared" si="603"/>
        <v>16</v>
      </c>
      <c r="AU1132" s="45" t="e">
        <f t="shared" si="604"/>
        <v>#VALUE!</v>
      </c>
      <c r="AV1132" s="45">
        <f t="shared" si="605"/>
        <v>0.17318626841227402</v>
      </c>
      <c r="AW1132" s="45" t="e">
        <f t="shared" si="606"/>
        <v>#VALUE!</v>
      </c>
      <c r="AX1132" s="45">
        <f t="shared" si="607"/>
        <v>4.4753514106840369</v>
      </c>
      <c r="AY1132" s="45">
        <f t="shared" si="608"/>
        <v>1.3021651422717624</v>
      </c>
      <c r="AZ1132" s="45" t="e">
        <f t="shared" si="609"/>
        <v>#VALUE!</v>
      </c>
      <c r="BA1132" s="45" t="e">
        <f t="shared" si="610"/>
        <v>#VALUE!</v>
      </c>
      <c r="BB1132" s="45" t="e">
        <f t="shared" si="611"/>
        <v>#VALUE!</v>
      </c>
      <c r="BC1132" s="45">
        <f t="shared" si="612"/>
        <v>0.3010299956639812</v>
      </c>
      <c r="BD1132" s="45" t="e">
        <f t="shared" si="613"/>
        <v>#VALUE!</v>
      </c>
      <c r="BE1132" s="45" t="e">
        <f t="shared" si="614"/>
        <v>#VALUE!</v>
      </c>
      <c r="BF1132" s="45" t="e">
        <f t="shared" si="615"/>
        <v>#VALUE!</v>
      </c>
      <c r="BG1132" s="45" t="e">
        <f t="shared" si="616"/>
        <v>#VALUE!</v>
      </c>
      <c r="BH1132" s="45" t="e">
        <f t="shared" si="617"/>
        <v>#NUM!</v>
      </c>
      <c r="BI1132" s="43" t="e">
        <f t="shared" si="618"/>
        <v>#VALUE!</v>
      </c>
      <c r="CA1132" s="41" t="s">
        <v>22</v>
      </c>
      <c r="CC1132" t="s">
        <v>22</v>
      </c>
      <c r="CE1132" s="41" t="s">
        <v>22</v>
      </c>
      <c r="CF1132" s="41" t="s">
        <v>22</v>
      </c>
      <c r="CG1132" s="41" t="e">
        <f t="shared" ref="CG1132:CG1150" si="625">AD1132*1000</f>
        <v>#VALUE!</v>
      </c>
      <c r="CH1132" s="41" t="e">
        <f t="shared" ref="CH1132:CH1150" si="626">LOG10(CG1132)</f>
        <v>#VALUE!</v>
      </c>
      <c r="CI1132" s="41">
        <f t="shared" ref="CI1132:CI1150" si="627">IF(ISNUMBER(CG1132),CG1132,U1132)</f>
        <v>2</v>
      </c>
      <c r="CJ1132" s="41">
        <f t="shared" ref="CJ1132:CJ1150" si="628">LOG10(CI1132)</f>
        <v>0.3010299956639812</v>
      </c>
      <c r="CL1132" s="9" t="s">
        <v>1269</v>
      </c>
      <c r="CM1132" s="18" t="s">
        <v>1285</v>
      </c>
      <c r="CN1132" s="54" t="s">
        <v>1284</v>
      </c>
      <c r="CO1132" s="18" t="s">
        <v>1284</v>
      </c>
    </row>
    <row r="1133" spans="1:93" x14ac:dyDescent="0.25">
      <c r="A1133" s="18" t="s">
        <v>365</v>
      </c>
      <c r="B1133" s="41" t="s">
        <v>22</v>
      </c>
      <c r="C1133" s="41">
        <v>1.42</v>
      </c>
      <c r="D1133" s="41" t="s">
        <v>22</v>
      </c>
      <c r="E1133" s="41" t="s">
        <v>22</v>
      </c>
      <c r="F1133" s="18" t="s">
        <v>22</v>
      </c>
      <c r="G1133" s="18" t="s">
        <v>22</v>
      </c>
      <c r="H1133" s="18" t="s">
        <v>22</v>
      </c>
      <c r="I1133" s="18" t="s">
        <v>22</v>
      </c>
      <c r="J1133" s="41" t="s">
        <v>22</v>
      </c>
      <c r="K1133" s="18" t="s">
        <v>22</v>
      </c>
      <c r="L1133" s="41" t="e">
        <f t="shared" si="623"/>
        <v>#VALUE!</v>
      </c>
      <c r="M1133" s="18" t="s">
        <v>23</v>
      </c>
      <c r="N1133" s="41">
        <v>27655.083655083588</v>
      </c>
      <c r="O1133" s="41">
        <f t="shared" si="624"/>
        <v>19.475411024706755</v>
      </c>
      <c r="P1133" s="41" t="s">
        <v>22</v>
      </c>
      <c r="R1133" s="41" t="s">
        <v>22</v>
      </c>
      <c r="S1133" s="41" t="s">
        <v>22</v>
      </c>
      <c r="T1133" s="41">
        <v>2.1</v>
      </c>
      <c r="U1133" s="41">
        <v>2.1</v>
      </c>
      <c r="V1133" s="18">
        <v>20200102</v>
      </c>
      <c r="W1133" s="21" t="s">
        <v>941</v>
      </c>
      <c r="X1133" s="18">
        <v>2019</v>
      </c>
      <c r="Y1133" s="18" t="s">
        <v>1133</v>
      </c>
      <c r="Z1133" s="18" t="s">
        <v>32</v>
      </c>
      <c r="AC1133" s="18"/>
      <c r="AD1133" s="41" t="s">
        <v>22</v>
      </c>
      <c r="AE1133" s="41" t="s">
        <v>22</v>
      </c>
      <c r="AF1133" s="41" t="s">
        <v>22</v>
      </c>
      <c r="AG1133" s="41" t="s">
        <v>22</v>
      </c>
      <c r="AH1133" s="41" t="s">
        <v>22</v>
      </c>
      <c r="AI1133" s="41" t="s">
        <v>22</v>
      </c>
      <c r="AJ1133" s="41" t="s">
        <v>22</v>
      </c>
      <c r="AK1133" s="41" t="s">
        <v>22</v>
      </c>
      <c r="AL1133" s="41" t="s">
        <v>22</v>
      </c>
      <c r="AM1133" s="43" t="e">
        <f t="shared" si="601"/>
        <v>#VALUE!</v>
      </c>
      <c r="AN1133" s="43" t="e">
        <f t="shared" si="602"/>
        <v>#VALUE!</v>
      </c>
      <c r="AO1133" s="19" t="s">
        <v>436</v>
      </c>
      <c r="AT1133" s="2">
        <f t="shared" si="603"/>
        <v>16</v>
      </c>
      <c r="AU1133" s="45" t="e">
        <f t="shared" si="604"/>
        <v>#VALUE!</v>
      </c>
      <c r="AV1133" s="45">
        <f t="shared" si="605"/>
        <v>0.15228834438305647</v>
      </c>
      <c r="AW1133" s="45" t="e">
        <f t="shared" si="606"/>
        <v>#VALUE!</v>
      </c>
      <c r="AX1133" s="45">
        <f t="shared" si="607"/>
        <v>4.4417749765237247</v>
      </c>
      <c r="AY1133" s="45">
        <f t="shared" si="608"/>
        <v>1.2894866321406684</v>
      </c>
      <c r="AZ1133" s="45" t="e">
        <f t="shared" si="609"/>
        <v>#VALUE!</v>
      </c>
      <c r="BA1133" s="45" t="e">
        <f t="shared" si="610"/>
        <v>#VALUE!</v>
      </c>
      <c r="BB1133" s="45" t="e">
        <f t="shared" si="611"/>
        <v>#VALUE!</v>
      </c>
      <c r="BC1133" s="45">
        <f t="shared" si="612"/>
        <v>0.3222192947339193</v>
      </c>
      <c r="BD1133" s="45" t="e">
        <f t="shared" si="613"/>
        <v>#VALUE!</v>
      </c>
      <c r="BE1133" s="45" t="e">
        <f t="shared" si="614"/>
        <v>#VALUE!</v>
      </c>
      <c r="BF1133" s="45" t="e">
        <f t="shared" si="615"/>
        <v>#VALUE!</v>
      </c>
      <c r="BG1133" s="45" t="e">
        <f t="shared" si="616"/>
        <v>#VALUE!</v>
      </c>
      <c r="BH1133" s="45" t="e">
        <f t="shared" si="617"/>
        <v>#NUM!</v>
      </c>
      <c r="BI1133" s="43" t="e">
        <f t="shared" si="618"/>
        <v>#VALUE!</v>
      </c>
      <c r="CA1133" s="41" t="s">
        <v>22</v>
      </c>
      <c r="CC1133" t="s">
        <v>22</v>
      </c>
      <c r="CE1133" s="41" t="s">
        <v>22</v>
      </c>
      <c r="CF1133" s="41" t="s">
        <v>22</v>
      </c>
      <c r="CG1133" s="41" t="e">
        <f t="shared" si="625"/>
        <v>#VALUE!</v>
      </c>
      <c r="CH1133" s="41" t="e">
        <f t="shared" si="626"/>
        <v>#VALUE!</v>
      </c>
      <c r="CI1133" s="41">
        <f t="shared" si="627"/>
        <v>2.1</v>
      </c>
      <c r="CJ1133" s="41">
        <f t="shared" si="628"/>
        <v>0.3222192947339193</v>
      </c>
      <c r="CL1133" s="9" t="s">
        <v>1269</v>
      </c>
      <c r="CM1133" s="18" t="s">
        <v>1285</v>
      </c>
      <c r="CN1133" s="54" t="s">
        <v>1284</v>
      </c>
      <c r="CO1133" s="18" t="s">
        <v>1284</v>
      </c>
    </row>
    <row r="1134" spans="1:93" x14ac:dyDescent="0.25">
      <c r="A1134" s="18" t="s">
        <v>365</v>
      </c>
      <c r="B1134" s="41" t="s">
        <v>22</v>
      </c>
      <c r="C1134" s="41">
        <v>1.3</v>
      </c>
      <c r="D1134" s="41" t="s">
        <v>22</v>
      </c>
      <c r="E1134" s="41" t="s">
        <v>22</v>
      </c>
      <c r="F1134" s="18" t="s">
        <v>22</v>
      </c>
      <c r="G1134" s="18" t="s">
        <v>22</v>
      </c>
      <c r="H1134" s="18" t="s">
        <v>22</v>
      </c>
      <c r="I1134" s="18" t="s">
        <v>22</v>
      </c>
      <c r="J1134" s="41" t="s">
        <v>22</v>
      </c>
      <c r="K1134" s="18" t="s">
        <v>22</v>
      </c>
      <c r="L1134" s="41" t="e">
        <f t="shared" si="623"/>
        <v>#VALUE!</v>
      </c>
      <c r="M1134" s="18" t="s">
        <v>23</v>
      </c>
      <c r="N1134" s="41">
        <v>26528.789659224407</v>
      </c>
      <c r="O1134" s="41">
        <f t="shared" si="624"/>
        <v>20.406761276326467</v>
      </c>
      <c r="P1134" s="41" t="s">
        <v>22</v>
      </c>
      <c r="R1134" s="41" t="s">
        <v>22</v>
      </c>
      <c r="S1134" s="41" t="s">
        <v>22</v>
      </c>
      <c r="T1134" s="41">
        <v>2.2999999999999998</v>
      </c>
      <c r="U1134" s="41">
        <v>2.2999999999999998</v>
      </c>
      <c r="V1134" s="18">
        <v>20200102</v>
      </c>
      <c r="W1134" s="21" t="s">
        <v>941</v>
      </c>
      <c r="X1134" s="18">
        <v>2019</v>
      </c>
      <c r="Y1134" s="18" t="s">
        <v>1133</v>
      </c>
      <c r="Z1134" s="18" t="s">
        <v>32</v>
      </c>
      <c r="AC1134" s="18"/>
      <c r="AD1134" s="41" t="s">
        <v>22</v>
      </c>
      <c r="AE1134" s="41" t="s">
        <v>22</v>
      </c>
      <c r="AF1134" s="41" t="s">
        <v>22</v>
      </c>
      <c r="AG1134" s="41" t="s">
        <v>22</v>
      </c>
      <c r="AH1134" s="41" t="s">
        <v>22</v>
      </c>
      <c r="AI1134" s="41" t="s">
        <v>22</v>
      </c>
      <c r="AJ1134" s="41" t="s">
        <v>22</v>
      </c>
      <c r="AK1134" s="41" t="s">
        <v>22</v>
      </c>
      <c r="AL1134" s="41" t="s">
        <v>22</v>
      </c>
      <c r="AM1134" s="43" t="e">
        <f t="shared" si="601"/>
        <v>#VALUE!</v>
      </c>
      <c r="AN1134" s="43" t="e">
        <f t="shared" si="602"/>
        <v>#VALUE!</v>
      </c>
      <c r="AO1134" s="19" t="s">
        <v>436</v>
      </c>
      <c r="AT1134" s="2">
        <f t="shared" si="603"/>
        <v>16</v>
      </c>
      <c r="AU1134" s="45" t="e">
        <f t="shared" si="604"/>
        <v>#VALUE!</v>
      </c>
      <c r="AV1134" s="45">
        <f t="shared" si="605"/>
        <v>0.11394335230683679</v>
      </c>
      <c r="AW1134" s="45" t="e">
        <f t="shared" si="606"/>
        <v>#VALUE!</v>
      </c>
      <c r="AX1134" s="45">
        <f t="shared" si="607"/>
        <v>4.4237174363256839</v>
      </c>
      <c r="AY1134" s="45">
        <f t="shared" si="608"/>
        <v>1.3097740840188474</v>
      </c>
      <c r="AZ1134" s="45" t="e">
        <f t="shared" si="609"/>
        <v>#VALUE!</v>
      </c>
      <c r="BA1134" s="45" t="e">
        <f t="shared" si="610"/>
        <v>#VALUE!</v>
      </c>
      <c r="BB1134" s="45" t="e">
        <f t="shared" si="611"/>
        <v>#VALUE!</v>
      </c>
      <c r="BC1134" s="45">
        <f t="shared" si="612"/>
        <v>0.36172783601759284</v>
      </c>
      <c r="BD1134" s="45" t="e">
        <f t="shared" si="613"/>
        <v>#VALUE!</v>
      </c>
      <c r="BE1134" s="45" t="e">
        <f t="shared" si="614"/>
        <v>#VALUE!</v>
      </c>
      <c r="BF1134" s="45" t="e">
        <f t="shared" si="615"/>
        <v>#VALUE!</v>
      </c>
      <c r="BG1134" s="45" t="e">
        <f t="shared" si="616"/>
        <v>#VALUE!</v>
      </c>
      <c r="BH1134" s="45" t="e">
        <f t="shared" si="617"/>
        <v>#NUM!</v>
      </c>
      <c r="BI1134" s="43" t="e">
        <f t="shared" si="618"/>
        <v>#VALUE!</v>
      </c>
      <c r="CA1134" s="41" t="s">
        <v>22</v>
      </c>
      <c r="CC1134" t="s">
        <v>22</v>
      </c>
      <c r="CE1134" s="41" t="s">
        <v>22</v>
      </c>
      <c r="CF1134" s="41" t="s">
        <v>22</v>
      </c>
      <c r="CG1134" s="41" t="e">
        <f t="shared" si="625"/>
        <v>#VALUE!</v>
      </c>
      <c r="CH1134" s="41" t="e">
        <f t="shared" si="626"/>
        <v>#VALUE!</v>
      </c>
      <c r="CI1134" s="41">
        <f t="shared" si="627"/>
        <v>2.2999999999999998</v>
      </c>
      <c r="CJ1134" s="41">
        <f t="shared" si="628"/>
        <v>0.36172783601759284</v>
      </c>
      <c r="CL1134" s="9" t="s">
        <v>1269</v>
      </c>
      <c r="CM1134" s="18" t="s">
        <v>1285</v>
      </c>
      <c r="CN1134" s="54" t="s">
        <v>1284</v>
      </c>
      <c r="CO1134" s="18" t="s">
        <v>1284</v>
      </c>
    </row>
    <row r="1135" spans="1:93" x14ac:dyDescent="0.25">
      <c r="A1135" s="18" t="s">
        <v>365</v>
      </c>
      <c r="B1135" s="41" t="s">
        <v>22</v>
      </c>
      <c r="C1135" s="41">
        <v>1.27</v>
      </c>
      <c r="D1135" s="41" t="s">
        <v>22</v>
      </c>
      <c r="E1135" s="41" t="s">
        <v>22</v>
      </c>
      <c r="F1135" s="18" t="s">
        <v>22</v>
      </c>
      <c r="G1135" s="18" t="s">
        <v>22</v>
      </c>
      <c r="H1135" s="18" t="s">
        <v>22</v>
      </c>
      <c r="I1135" s="18" t="s">
        <v>22</v>
      </c>
      <c r="J1135" s="41" t="s">
        <v>22</v>
      </c>
      <c r="K1135" s="18" t="s">
        <v>22</v>
      </c>
      <c r="L1135" s="41" t="e">
        <f t="shared" si="623"/>
        <v>#VALUE!</v>
      </c>
      <c r="M1135" s="18" t="s">
        <v>23</v>
      </c>
      <c r="N1135" s="41">
        <v>14447.655819084359</v>
      </c>
      <c r="O1135" s="41">
        <f t="shared" si="624"/>
        <v>11.376106944160913</v>
      </c>
      <c r="P1135" s="41" t="s">
        <v>22</v>
      </c>
      <c r="R1135" s="41" t="s">
        <v>22</v>
      </c>
      <c r="S1135" s="41" t="s">
        <v>22</v>
      </c>
      <c r="T1135" s="41">
        <v>2.3333333333333299</v>
      </c>
      <c r="U1135" s="41">
        <v>2.3333333333333299</v>
      </c>
      <c r="V1135" s="18">
        <v>20200102</v>
      </c>
      <c r="W1135" s="21" t="s">
        <v>941</v>
      </c>
      <c r="X1135" s="18">
        <v>2019</v>
      </c>
      <c r="Y1135" s="18" t="s">
        <v>1133</v>
      </c>
      <c r="Z1135" s="18" t="s">
        <v>32</v>
      </c>
      <c r="AC1135" s="18"/>
      <c r="AD1135" s="41" t="s">
        <v>22</v>
      </c>
      <c r="AE1135" s="41" t="s">
        <v>22</v>
      </c>
      <c r="AF1135" s="41" t="s">
        <v>22</v>
      </c>
      <c r="AG1135" s="41" t="s">
        <v>22</v>
      </c>
      <c r="AH1135" s="41" t="s">
        <v>22</v>
      </c>
      <c r="AI1135" s="41" t="s">
        <v>22</v>
      </c>
      <c r="AJ1135" s="41" t="s">
        <v>22</v>
      </c>
      <c r="AK1135" s="41" t="s">
        <v>22</v>
      </c>
      <c r="AL1135" s="41" t="s">
        <v>22</v>
      </c>
      <c r="AM1135" s="43" t="e">
        <f t="shared" si="601"/>
        <v>#VALUE!</v>
      </c>
      <c r="AN1135" s="43" t="e">
        <f t="shared" si="602"/>
        <v>#VALUE!</v>
      </c>
      <c r="AO1135" s="19" t="s">
        <v>436</v>
      </c>
      <c r="AT1135" s="2">
        <f t="shared" si="603"/>
        <v>16</v>
      </c>
      <c r="AU1135" s="45" t="e">
        <f t="shared" si="604"/>
        <v>#VALUE!</v>
      </c>
      <c r="AV1135" s="45">
        <f t="shared" si="605"/>
        <v>0.10380372095595687</v>
      </c>
      <c r="AW1135" s="45" t="e">
        <f t="shared" si="606"/>
        <v>#VALUE!</v>
      </c>
      <c r="AX1135" s="45">
        <f t="shared" si="607"/>
        <v>4.1597973870632234</v>
      </c>
      <c r="AY1135" s="45">
        <f t="shared" si="608"/>
        <v>1.0559936661072669</v>
      </c>
      <c r="AZ1135" s="45" t="e">
        <f t="shared" si="609"/>
        <v>#VALUE!</v>
      </c>
      <c r="BA1135" s="45" t="e">
        <f t="shared" si="610"/>
        <v>#VALUE!</v>
      </c>
      <c r="BB1135" s="45" t="e">
        <f t="shared" si="611"/>
        <v>#VALUE!</v>
      </c>
      <c r="BC1135" s="45">
        <f t="shared" si="612"/>
        <v>0.36797678529459377</v>
      </c>
      <c r="BD1135" s="45" t="e">
        <f t="shared" si="613"/>
        <v>#VALUE!</v>
      </c>
      <c r="BE1135" s="45" t="e">
        <f t="shared" si="614"/>
        <v>#VALUE!</v>
      </c>
      <c r="BF1135" s="45" t="e">
        <f t="shared" si="615"/>
        <v>#VALUE!</v>
      </c>
      <c r="BG1135" s="45" t="e">
        <f t="shared" si="616"/>
        <v>#VALUE!</v>
      </c>
      <c r="BH1135" s="45" t="e">
        <f t="shared" si="617"/>
        <v>#NUM!</v>
      </c>
      <c r="BI1135" s="43" t="e">
        <f t="shared" si="618"/>
        <v>#VALUE!</v>
      </c>
      <c r="CA1135" s="41" t="s">
        <v>22</v>
      </c>
      <c r="CC1135" s="2" t="s">
        <v>22</v>
      </c>
      <c r="CD1135" s="2"/>
      <c r="CE1135" s="41" t="s">
        <v>22</v>
      </c>
      <c r="CF1135" s="41" t="s">
        <v>22</v>
      </c>
      <c r="CG1135" s="41" t="e">
        <f t="shared" si="625"/>
        <v>#VALUE!</v>
      </c>
      <c r="CH1135" s="41" t="e">
        <f t="shared" si="626"/>
        <v>#VALUE!</v>
      </c>
      <c r="CI1135" s="41">
        <f t="shared" si="627"/>
        <v>2.3333333333333299</v>
      </c>
      <c r="CJ1135" s="41">
        <f t="shared" si="628"/>
        <v>0.36797678529459377</v>
      </c>
      <c r="CK1135" s="2"/>
      <c r="CL1135" s="9" t="s">
        <v>1269</v>
      </c>
      <c r="CM1135" s="18" t="s">
        <v>1285</v>
      </c>
      <c r="CN1135" s="54" t="s">
        <v>1284</v>
      </c>
      <c r="CO1135" s="18" t="s">
        <v>1284</v>
      </c>
    </row>
    <row r="1136" spans="1:93" x14ac:dyDescent="0.25">
      <c r="A1136" s="18" t="s">
        <v>365</v>
      </c>
      <c r="B1136" s="41" t="s">
        <v>22</v>
      </c>
      <c r="C1136" s="41">
        <v>1.24</v>
      </c>
      <c r="D1136" s="41" t="s">
        <v>22</v>
      </c>
      <c r="E1136" s="41" t="s">
        <v>22</v>
      </c>
      <c r="F1136" s="18" t="s">
        <v>22</v>
      </c>
      <c r="G1136" s="18" t="s">
        <v>22</v>
      </c>
      <c r="H1136" s="18" t="s">
        <v>22</v>
      </c>
      <c r="I1136" s="18" t="s">
        <v>22</v>
      </c>
      <c r="J1136" s="41" t="s">
        <v>22</v>
      </c>
      <c r="K1136" s="18" t="s">
        <v>22</v>
      </c>
      <c r="L1136" s="41" t="e">
        <f t="shared" si="623"/>
        <v>#VALUE!</v>
      </c>
      <c r="M1136" s="18" t="s">
        <v>23</v>
      </c>
      <c r="N1136" s="41">
        <v>24198.198198198148</v>
      </c>
      <c r="O1136" s="41">
        <f t="shared" si="624"/>
        <v>19.514675966288831</v>
      </c>
      <c r="P1136" s="41" t="s">
        <v>22</v>
      </c>
      <c r="R1136" s="41" t="s">
        <v>22</v>
      </c>
      <c r="S1136" s="41" t="s">
        <v>22</v>
      </c>
      <c r="T1136" s="41">
        <v>2.4</v>
      </c>
      <c r="U1136" s="41">
        <v>2.4</v>
      </c>
      <c r="V1136" s="18">
        <v>20200102</v>
      </c>
      <c r="W1136" s="21" t="s">
        <v>941</v>
      </c>
      <c r="X1136" s="18">
        <v>2019</v>
      </c>
      <c r="Y1136" s="18" t="s">
        <v>1133</v>
      </c>
      <c r="Z1136" s="18" t="s">
        <v>32</v>
      </c>
      <c r="AC1136" s="18"/>
      <c r="AD1136" s="41" t="s">
        <v>22</v>
      </c>
      <c r="AE1136" s="41" t="s">
        <v>22</v>
      </c>
      <c r="AF1136" s="41" t="s">
        <v>22</v>
      </c>
      <c r="AG1136" s="41" t="s">
        <v>22</v>
      </c>
      <c r="AH1136" s="41" t="s">
        <v>22</v>
      </c>
      <c r="AI1136" s="41" t="s">
        <v>22</v>
      </c>
      <c r="AJ1136" s="41" t="s">
        <v>22</v>
      </c>
      <c r="AK1136" s="41" t="s">
        <v>22</v>
      </c>
      <c r="AL1136" s="41" t="s">
        <v>22</v>
      </c>
      <c r="AM1136" s="43" t="e">
        <f t="shared" si="601"/>
        <v>#VALUE!</v>
      </c>
      <c r="AN1136" s="43" t="e">
        <f t="shared" si="602"/>
        <v>#VALUE!</v>
      </c>
      <c r="AO1136" s="19" t="s">
        <v>436</v>
      </c>
      <c r="AT1136" s="2">
        <f t="shared" si="603"/>
        <v>16</v>
      </c>
      <c r="AU1136" s="45" t="e">
        <f t="shared" si="604"/>
        <v>#VALUE!</v>
      </c>
      <c r="AV1136" s="45">
        <f t="shared" si="605"/>
        <v>9.3421685162235063E-2</v>
      </c>
      <c r="AW1136" s="45" t="e">
        <f t="shared" si="606"/>
        <v>#VALUE!</v>
      </c>
      <c r="AX1136" s="45">
        <f t="shared" si="607"/>
        <v>4.3837830295460378</v>
      </c>
      <c r="AY1136" s="45">
        <f t="shared" si="608"/>
        <v>1.2903613443838031</v>
      </c>
      <c r="AZ1136" s="45" t="e">
        <f t="shared" si="609"/>
        <v>#VALUE!</v>
      </c>
      <c r="BA1136" s="45" t="e">
        <f t="shared" si="610"/>
        <v>#VALUE!</v>
      </c>
      <c r="BB1136" s="45" t="e">
        <f t="shared" si="611"/>
        <v>#VALUE!</v>
      </c>
      <c r="BC1136" s="45">
        <f t="shared" si="612"/>
        <v>0.38021124171160603</v>
      </c>
      <c r="BD1136" s="45" t="e">
        <f t="shared" si="613"/>
        <v>#VALUE!</v>
      </c>
      <c r="BE1136" s="45" t="e">
        <f t="shared" si="614"/>
        <v>#VALUE!</v>
      </c>
      <c r="BF1136" s="45" t="e">
        <f t="shared" si="615"/>
        <v>#VALUE!</v>
      </c>
      <c r="BG1136" s="45" t="e">
        <f t="shared" si="616"/>
        <v>#VALUE!</v>
      </c>
      <c r="BH1136" s="45" t="e">
        <f t="shared" si="617"/>
        <v>#NUM!</v>
      </c>
      <c r="BI1136" s="43" t="e">
        <f t="shared" si="618"/>
        <v>#VALUE!</v>
      </c>
      <c r="CA1136" s="41" t="s">
        <v>22</v>
      </c>
      <c r="CC1136" s="2" t="s">
        <v>22</v>
      </c>
      <c r="CD1136" s="2"/>
      <c r="CE1136" s="41" t="s">
        <v>22</v>
      </c>
      <c r="CF1136" s="41" t="s">
        <v>22</v>
      </c>
      <c r="CG1136" s="41" t="e">
        <f t="shared" si="625"/>
        <v>#VALUE!</v>
      </c>
      <c r="CH1136" s="41" t="e">
        <f t="shared" si="626"/>
        <v>#VALUE!</v>
      </c>
      <c r="CI1136" s="41">
        <f t="shared" si="627"/>
        <v>2.4</v>
      </c>
      <c r="CJ1136" s="41">
        <f t="shared" si="628"/>
        <v>0.38021124171160603</v>
      </c>
      <c r="CK1136" s="2"/>
      <c r="CL1136" s="9" t="s">
        <v>1269</v>
      </c>
      <c r="CM1136" s="18" t="s">
        <v>1285</v>
      </c>
      <c r="CN1136" s="54" t="s">
        <v>1284</v>
      </c>
      <c r="CO1136" s="18" t="s">
        <v>1284</v>
      </c>
    </row>
    <row r="1137" spans="1:93" x14ac:dyDescent="0.25">
      <c r="A1137" s="18" t="s">
        <v>365</v>
      </c>
      <c r="B1137" s="41" t="s">
        <v>22</v>
      </c>
      <c r="C1137" s="41">
        <v>1.2</v>
      </c>
      <c r="D1137" s="41" t="s">
        <v>22</v>
      </c>
      <c r="E1137" s="41" t="s">
        <v>22</v>
      </c>
      <c r="F1137" s="18" t="s">
        <v>22</v>
      </c>
      <c r="G1137" s="18" t="s">
        <v>22</v>
      </c>
      <c r="H1137" s="18" t="s">
        <v>22</v>
      </c>
      <c r="I1137" s="18" t="s">
        <v>22</v>
      </c>
      <c r="J1137" s="41" t="s">
        <v>22</v>
      </c>
      <c r="K1137" s="18" t="s">
        <v>22</v>
      </c>
      <c r="L1137" s="41" t="e">
        <f t="shared" si="623"/>
        <v>#VALUE!</v>
      </c>
      <c r="M1137" s="18" t="s">
        <v>23</v>
      </c>
      <c r="N1137" s="41">
        <v>21802.007722007686</v>
      </c>
      <c r="O1137" s="41">
        <f t="shared" si="624"/>
        <v>18.168339768339742</v>
      </c>
      <c r="P1137" s="41" t="s">
        <v>22</v>
      </c>
      <c r="R1137" s="41" t="s">
        <v>22</v>
      </c>
      <c r="S1137" s="41" t="s">
        <v>22</v>
      </c>
      <c r="T1137" s="41">
        <v>2.5</v>
      </c>
      <c r="U1137" s="41">
        <v>2.5</v>
      </c>
      <c r="V1137" s="18">
        <v>20200102</v>
      </c>
      <c r="W1137" s="21" t="s">
        <v>941</v>
      </c>
      <c r="X1137" s="18">
        <v>2019</v>
      </c>
      <c r="Y1137" s="18" t="s">
        <v>1133</v>
      </c>
      <c r="Z1137" s="18" t="s">
        <v>32</v>
      </c>
      <c r="AA1137" s="18"/>
      <c r="AC1137" s="18"/>
      <c r="AD1137" s="41" t="s">
        <v>22</v>
      </c>
      <c r="AE1137" s="41" t="s">
        <v>22</v>
      </c>
      <c r="AF1137" s="41" t="s">
        <v>22</v>
      </c>
      <c r="AG1137" s="41" t="s">
        <v>22</v>
      </c>
      <c r="AH1137" s="41" t="s">
        <v>22</v>
      </c>
      <c r="AI1137" s="41" t="s">
        <v>22</v>
      </c>
      <c r="AJ1137" s="41" t="s">
        <v>22</v>
      </c>
      <c r="AK1137" s="41" t="s">
        <v>22</v>
      </c>
      <c r="AL1137" s="41" t="s">
        <v>22</v>
      </c>
      <c r="AM1137" s="43" t="e">
        <f t="shared" si="601"/>
        <v>#VALUE!</v>
      </c>
      <c r="AN1137" s="43" t="e">
        <f t="shared" si="602"/>
        <v>#VALUE!</v>
      </c>
      <c r="AO1137" s="19" t="s">
        <v>436</v>
      </c>
      <c r="AT1137" s="2">
        <f t="shared" si="603"/>
        <v>16</v>
      </c>
      <c r="AU1137" s="45" t="e">
        <f t="shared" si="604"/>
        <v>#VALUE!</v>
      </c>
      <c r="AV1137" s="45">
        <f t="shared" si="605"/>
        <v>7.9181246047624818E-2</v>
      </c>
      <c r="AW1137" s="45" t="e">
        <f t="shared" si="606"/>
        <v>#VALUE!</v>
      </c>
      <c r="AX1137" s="45">
        <f t="shared" si="607"/>
        <v>4.3384964891293665</v>
      </c>
      <c r="AY1137" s="45">
        <f t="shared" si="608"/>
        <v>1.2593152430817416</v>
      </c>
      <c r="AZ1137" s="45" t="e">
        <f t="shared" si="609"/>
        <v>#VALUE!</v>
      </c>
      <c r="BA1137" s="45" t="e">
        <f t="shared" si="610"/>
        <v>#VALUE!</v>
      </c>
      <c r="BB1137" s="45" t="e">
        <f t="shared" si="611"/>
        <v>#VALUE!</v>
      </c>
      <c r="BC1137" s="45">
        <f t="shared" si="612"/>
        <v>0.3979400086720376</v>
      </c>
      <c r="BD1137" s="45" t="e">
        <f t="shared" si="613"/>
        <v>#VALUE!</v>
      </c>
      <c r="BE1137" s="45" t="e">
        <f t="shared" si="614"/>
        <v>#VALUE!</v>
      </c>
      <c r="BF1137" s="45" t="e">
        <f t="shared" si="615"/>
        <v>#VALUE!</v>
      </c>
      <c r="BG1137" s="45" t="e">
        <f t="shared" si="616"/>
        <v>#VALUE!</v>
      </c>
      <c r="BH1137" s="45" t="e">
        <f t="shared" si="617"/>
        <v>#NUM!</v>
      </c>
      <c r="BI1137" s="43" t="e">
        <f t="shared" si="618"/>
        <v>#VALUE!</v>
      </c>
      <c r="CA1137" s="41" t="s">
        <v>22</v>
      </c>
      <c r="CC1137" s="2" t="s">
        <v>22</v>
      </c>
      <c r="CD1137" s="2"/>
      <c r="CE1137" s="41" t="s">
        <v>22</v>
      </c>
      <c r="CF1137" s="41" t="s">
        <v>22</v>
      </c>
      <c r="CG1137" s="41" t="e">
        <f t="shared" si="625"/>
        <v>#VALUE!</v>
      </c>
      <c r="CH1137" s="41" t="e">
        <f t="shared" si="626"/>
        <v>#VALUE!</v>
      </c>
      <c r="CI1137" s="41">
        <f t="shared" si="627"/>
        <v>2.5</v>
      </c>
      <c r="CJ1137" s="41">
        <f t="shared" si="628"/>
        <v>0.3979400086720376</v>
      </c>
      <c r="CK1137" s="2"/>
      <c r="CL1137" s="9" t="s">
        <v>1269</v>
      </c>
      <c r="CM1137" s="18" t="s">
        <v>1285</v>
      </c>
      <c r="CN1137" s="54" t="s">
        <v>1284</v>
      </c>
      <c r="CO1137" s="18" t="s">
        <v>1284</v>
      </c>
    </row>
    <row r="1138" spans="1:93" x14ac:dyDescent="0.25">
      <c r="A1138" s="18" t="s">
        <v>365</v>
      </c>
      <c r="B1138" s="41" t="s">
        <v>22</v>
      </c>
      <c r="C1138" s="41">
        <v>1.1299999999999999</v>
      </c>
      <c r="D1138" s="41" t="s">
        <v>22</v>
      </c>
      <c r="E1138" s="41" t="s">
        <v>22</v>
      </c>
      <c r="F1138" s="18" t="s">
        <v>22</v>
      </c>
      <c r="G1138" s="18" t="s">
        <v>22</v>
      </c>
      <c r="H1138" s="18" t="s">
        <v>22</v>
      </c>
      <c r="I1138" s="18" t="s">
        <v>22</v>
      </c>
      <c r="J1138" s="41" t="s">
        <v>22</v>
      </c>
      <c r="K1138" s="18" t="s">
        <v>22</v>
      </c>
      <c r="L1138" s="41" t="e">
        <f t="shared" si="623"/>
        <v>#VALUE!</v>
      </c>
      <c r="M1138" s="18" t="s">
        <v>23</v>
      </c>
      <c r="N1138" s="41">
        <v>18221.633147006276</v>
      </c>
      <c r="O1138" s="41">
        <f t="shared" si="624"/>
        <v>16.125339068147149</v>
      </c>
      <c r="P1138" s="41" t="s">
        <v>22</v>
      </c>
      <c r="R1138" s="41" t="s">
        <v>22</v>
      </c>
      <c r="S1138" s="41" t="s">
        <v>22</v>
      </c>
      <c r="T1138" s="41">
        <v>2.68</v>
      </c>
      <c r="U1138" s="41">
        <v>2.68</v>
      </c>
      <c r="V1138" s="18">
        <v>20200102</v>
      </c>
      <c r="W1138" s="21" t="s">
        <v>941</v>
      </c>
      <c r="X1138" s="18">
        <v>2019</v>
      </c>
      <c r="Y1138" s="18" t="s">
        <v>1133</v>
      </c>
      <c r="Z1138" s="18" t="s">
        <v>32</v>
      </c>
      <c r="AC1138" s="18"/>
      <c r="AD1138" s="41" t="s">
        <v>22</v>
      </c>
      <c r="AE1138" s="41" t="s">
        <v>22</v>
      </c>
      <c r="AF1138" s="41" t="s">
        <v>22</v>
      </c>
      <c r="AG1138" s="41" t="s">
        <v>22</v>
      </c>
      <c r="AH1138" s="41" t="s">
        <v>22</v>
      </c>
      <c r="AI1138" s="41" t="s">
        <v>22</v>
      </c>
      <c r="AJ1138" s="41" t="s">
        <v>22</v>
      </c>
      <c r="AK1138" s="41" t="s">
        <v>22</v>
      </c>
      <c r="AL1138" s="41" t="s">
        <v>22</v>
      </c>
      <c r="AM1138" s="43" t="e">
        <f t="shared" si="601"/>
        <v>#VALUE!</v>
      </c>
      <c r="AN1138" s="43" t="e">
        <f t="shared" si="602"/>
        <v>#VALUE!</v>
      </c>
      <c r="AO1138" s="19" t="s">
        <v>436</v>
      </c>
      <c r="AT1138" s="2">
        <f t="shared" si="603"/>
        <v>16</v>
      </c>
      <c r="AU1138" s="45" t="e">
        <f t="shared" si="604"/>
        <v>#VALUE!</v>
      </c>
      <c r="AV1138" s="45">
        <f t="shared" si="605"/>
        <v>5.3078443483419682E-2</v>
      </c>
      <c r="AW1138" s="45" t="e">
        <f t="shared" si="606"/>
        <v>#VALUE!</v>
      </c>
      <c r="AX1138" s="45">
        <f t="shared" si="607"/>
        <v>4.2605872988141122</v>
      </c>
      <c r="AY1138" s="45">
        <f t="shared" si="608"/>
        <v>1.2075088553306921</v>
      </c>
      <c r="AZ1138" s="45" t="e">
        <f t="shared" si="609"/>
        <v>#VALUE!</v>
      </c>
      <c r="BA1138" s="45" t="e">
        <f t="shared" si="610"/>
        <v>#VALUE!</v>
      </c>
      <c r="BB1138" s="45" t="e">
        <f t="shared" si="611"/>
        <v>#VALUE!</v>
      </c>
      <c r="BC1138" s="45">
        <f t="shared" si="612"/>
        <v>0.42813479402878885</v>
      </c>
      <c r="BD1138" s="45" t="e">
        <f t="shared" si="613"/>
        <v>#VALUE!</v>
      </c>
      <c r="BE1138" s="45" t="e">
        <f t="shared" si="614"/>
        <v>#VALUE!</v>
      </c>
      <c r="BF1138" s="45" t="e">
        <f t="shared" si="615"/>
        <v>#VALUE!</v>
      </c>
      <c r="BG1138" s="45" t="e">
        <f t="shared" si="616"/>
        <v>#VALUE!</v>
      </c>
      <c r="BH1138" s="45" t="e">
        <f t="shared" si="617"/>
        <v>#NUM!</v>
      </c>
      <c r="BI1138" s="43" t="e">
        <f t="shared" si="618"/>
        <v>#VALUE!</v>
      </c>
      <c r="CA1138" s="41" t="s">
        <v>22</v>
      </c>
      <c r="CC1138" t="s">
        <v>22</v>
      </c>
      <c r="CE1138" s="41" t="s">
        <v>22</v>
      </c>
      <c r="CF1138" s="41" t="s">
        <v>22</v>
      </c>
      <c r="CG1138" s="41" t="e">
        <f t="shared" si="625"/>
        <v>#VALUE!</v>
      </c>
      <c r="CH1138" s="41" t="e">
        <f t="shared" si="626"/>
        <v>#VALUE!</v>
      </c>
      <c r="CI1138" s="41">
        <f t="shared" si="627"/>
        <v>2.68</v>
      </c>
      <c r="CJ1138" s="41">
        <f t="shared" si="628"/>
        <v>0.42813479402878885</v>
      </c>
      <c r="CL1138" s="9" t="s">
        <v>1269</v>
      </c>
      <c r="CM1138" s="18" t="s">
        <v>1285</v>
      </c>
      <c r="CN1138" s="54" t="s">
        <v>1284</v>
      </c>
      <c r="CO1138" s="18" t="s">
        <v>1284</v>
      </c>
    </row>
    <row r="1139" spans="1:93" x14ac:dyDescent="0.25">
      <c r="A1139" s="18" t="s">
        <v>365</v>
      </c>
      <c r="B1139" s="41" t="s">
        <v>22</v>
      </c>
      <c r="C1139" s="41">
        <v>1.07</v>
      </c>
      <c r="D1139" s="41" t="s">
        <v>22</v>
      </c>
      <c r="E1139" s="41" t="s">
        <v>22</v>
      </c>
      <c r="F1139" s="18" t="s">
        <v>22</v>
      </c>
      <c r="G1139" s="18" t="s">
        <v>22</v>
      </c>
      <c r="H1139" s="18" t="s">
        <v>22</v>
      </c>
      <c r="I1139" s="18" t="s">
        <v>22</v>
      </c>
      <c r="J1139" s="41" t="s">
        <v>22</v>
      </c>
      <c r="K1139" s="18" t="s">
        <v>22</v>
      </c>
      <c r="L1139" s="41" t="e">
        <f t="shared" si="623"/>
        <v>#VALUE!</v>
      </c>
      <c r="M1139" s="18" t="s">
        <v>23</v>
      </c>
      <c r="N1139" s="41">
        <v>19391.064533921672</v>
      </c>
      <c r="O1139" s="41">
        <f t="shared" si="624"/>
        <v>18.122490218618385</v>
      </c>
      <c r="P1139" s="41" t="s">
        <v>22</v>
      </c>
      <c r="R1139" s="41" t="s">
        <v>22</v>
      </c>
      <c r="S1139" s="41" t="s">
        <v>22</v>
      </c>
      <c r="T1139" s="41">
        <v>2.8</v>
      </c>
      <c r="U1139" s="41">
        <v>2.8</v>
      </c>
      <c r="V1139" s="18">
        <v>20200102</v>
      </c>
      <c r="W1139" s="21" t="s">
        <v>941</v>
      </c>
      <c r="X1139" s="18">
        <v>2019</v>
      </c>
      <c r="Y1139" s="18" t="s">
        <v>1133</v>
      </c>
      <c r="Z1139" s="18" t="s">
        <v>32</v>
      </c>
      <c r="AA1139" s="18"/>
      <c r="AC1139" s="18"/>
      <c r="AD1139" s="41" t="s">
        <v>22</v>
      </c>
      <c r="AE1139" s="41" t="s">
        <v>22</v>
      </c>
      <c r="AF1139" s="41" t="s">
        <v>22</v>
      </c>
      <c r="AG1139" s="41" t="s">
        <v>22</v>
      </c>
      <c r="AH1139" s="41" t="s">
        <v>22</v>
      </c>
      <c r="AI1139" s="41" t="s">
        <v>22</v>
      </c>
      <c r="AJ1139" s="41" t="s">
        <v>22</v>
      </c>
      <c r="AK1139" s="41" t="s">
        <v>22</v>
      </c>
      <c r="AL1139" s="41" t="s">
        <v>22</v>
      </c>
      <c r="AM1139" s="43" t="e">
        <f t="shared" si="601"/>
        <v>#VALUE!</v>
      </c>
      <c r="AN1139" s="43" t="e">
        <f t="shared" si="602"/>
        <v>#VALUE!</v>
      </c>
      <c r="AO1139" s="19" t="s">
        <v>436</v>
      </c>
      <c r="AP1139" s="18"/>
      <c r="AQ1139" s="18"/>
      <c r="AR1139" s="18"/>
      <c r="AS1139" s="18"/>
      <c r="AT1139" s="2">
        <f t="shared" si="603"/>
        <v>16</v>
      </c>
      <c r="AU1139" s="45" t="e">
        <f t="shared" si="604"/>
        <v>#VALUE!</v>
      </c>
      <c r="AV1139" s="45">
        <f t="shared" si="605"/>
        <v>2.9383777685209667E-2</v>
      </c>
      <c r="AW1139" s="45" t="e">
        <f t="shared" si="606"/>
        <v>#VALUE!</v>
      </c>
      <c r="AX1139" s="45">
        <f t="shared" si="607"/>
        <v>4.2876016517046702</v>
      </c>
      <c r="AY1139" s="45">
        <f t="shared" si="608"/>
        <v>1.2582178740194605</v>
      </c>
      <c r="AZ1139" s="45" t="e">
        <f t="shared" si="609"/>
        <v>#VALUE!</v>
      </c>
      <c r="BA1139" s="45" t="e">
        <f t="shared" si="610"/>
        <v>#VALUE!</v>
      </c>
      <c r="BB1139" s="45" t="e">
        <f t="shared" si="611"/>
        <v>#VALUE!</v>
      </c>
      <c r="BC1139" s="45">
        <f t="shared" si="612"/>
        <v>0.44715803134221921</v>
      </c>
      <c r="BD1139" s="45" t="e">
        <f t="shared" si="613"/>
        <v>#VALUE!</v>
      </c>
      <c r="BE1139" s="45" t="e">
        <f t="shared" si="614"/>
        <v>#VALUE!</v>
      </c>
      <c r="BF1139" s="45" t="e">
        <f t="shared" si="615"/>
        <v>#VALUE!</v>
      </c>
      <c r="BG1139" s="45" t="e">
        <f t="shared" si="616"/>
        <v>#VALUE!</v>
      </c>
      <c r="BH1139" s="45" t="e">
        <f t="shared" si="617"/>
        <v>#NUM!</v>
      </c>
      <c r="BI1139" s="43" t="e">
        <f t="shared" si="618"/>
        <v>#VALUE!</v>
      </c>
      <c r="BJ1139" s="18"/>
      <c r="BK1139" s="18"/>
      <c r="BL1139" s="20"/>
      <c r="BS1139" s="18"/>
      <c r="BT1139" s="18"/>
      <c r="CA1139" s="41" t="s">
        <v>22</v>
      </c>
      <c r="CB1139" s="18"/>
      <c r="CC1139" s="18" t="s">
        <v>22</v>
      </c>
      <c r="CD1139" s="18"/>
      <c r="CE1139" s="41" t="s">
        <v>22</v>
      </c>
      <c r="CF1139" s="41" t="s">
        <v>22</v>
      </c>
      <c r="CG1139" s="41" t="e">
        <f t="shared" si="625"/>
        <v>#VALUE!</v>
      </c>
      <c r="CH1139" s="41" t="e">
        <f t="shared" si="626"/>
        <v>#VALUE!</v>
      </c>
      <c r="CI1139" s="41">
        <f t="shared" si="627"/>
        <v>2.8</v>
      </c>
      <c r="CJ1139" s="41">
        <f t="shared" si="628"/>
        <v>0.44715803134221921</v>
      </c>
      <c r="CK1139" s="18"/>
      <c r="CL1139" s="9" t="s">
        <v>1269</v>
      </c>
      <c r="CM1139" s="18" t="s">
        <v>1285</v>
      </c>
      <c r="CN1139" s="54" t="s">
        <v>1284</v>
      </c>
      <c r="CO1139" s="18" t="s">
        <v>1284</v>
      </c>
    </row>
    <row r="1140" spans="1:93" x14ac:dyDescent="0.25">
      <c r="A1140" s="18" t="s">
        <v>365</v>
      </c>
      <c r="B1140" s="41" t="s">
        <v>22</v>
      </c>
      <c r="C1140" s="41">
        <v>0.99580000000000002</v>
      </c>
      <c r="D1140" s="41" t="s">
        <v>22</v>
      </c>
      <c r="E1140" s="41" t="s">
        <v>22</v>
      </c>
      <c r="F1140" s="18" t="s">
        <v>22</v>
      </c>
      <c r="G1140" s="18" t="s">
        <v>22</v>
      </c>
      <c r="H1140" s="18" t="s">
        <v>22</v>
      </c>
      <c r="I1140" s="18" t="s">
        <v>22</v>
      </c>
      <c r="J1140" s="41" t="s">
        <v>22</v>
      </c>
      <c r="K1140" s="18" t="s">
        <v>22</v>
      </c>
      <c r="L1140" s="41" t="e">
        <f t="shared" si="623"/>
        <v>#VALUE!</v>
      </c>
      <c r="M1140" s="18" t="s">
        <v>23</v>
      </c>
      <c r="N1140" s="41">
        <v>16628.056628056591</v>
      </c>
      <c r="O1140" s="41">
        <f t="shared" si="624"/>
        <v>16.698189021948775</v>
      </c>
      <c r="P1140" s="41" t="s">
        <v>22</v>
      </c>
      <c r="R1140" s="41" t="s">
        <v>22</v>
      </c>
      <c r="S1140" s="41" t="s">
        <v>22</v>
      </c>
      <c r="T1140" s="41">
        <v>3</v>
      </c>
      <c r="U1140" s="41">
        <v>3</v>
      </c>
      <c r="V1140" s="18">
        <v>20200102</v>
      </c>
      <c r="W1140" s="21" t="s">
        <v>941</v>
      </c>
      <c r="X1140" s="18">
        <v>2019</v>
      </c>
      <c r="Y1140" s="18" t="s">
        <v>1133</v>
      </c>
      <c r="Z1140" s="18" t="s">
        <v>32</v>
      </c>
      <c r="AA1140" s="18"/>
      <c r="AC1140" s="18"/>
      <c r="AD1140" s="41" t="s">
        <v>22</v>
      </c>
      <c r="AE1140" s="41" t="s">
        <v>22</v>
      </c>
      <c r="AF1140" s="41" t="s">
        <v>22</v>
      </c>
      <c r="AG1140" s="41" t="s">
        <v>22</v>
      </c>
      <c r="AH1140" s="41" t="s">
        <v>22</v>
      </c>
      <c r="AI1140" s="41" t="s">
        <v>22</v>
      </c>
      <c r="AJ1140" s="41" t="s">
        <v>22</v>
      </c>
      <c r="AK1140" s="41" t="s">
        <v>22</v>
      </c>
      <c r="AL1140" s="41" t="s">
        <v>22</v>
      </c>
      <c r="AM1140" s="43" t="e">
        <f t="shared" si="601"/>
        <v>#VALUE!</v>
      </c>
      <c r="AN1140" s="43" t="e">
        <f t="shared" si="602"/>
        <v>#VALUE!</v>
      </c>
      <c r="AO1140" s="19" t="s">
        <v>436</v>
      </c>
      <c r="AP1140" s="18"/>
      <c r="AQ1140" s="18"/>
      <c r="AR1140" s="18"/>
      <c r="AS1140" s="18"/>
      <c r="AT1140" s="2">
        <f t="shared" si="603"/>
        <v>16</v>
      </c>
      <c r="AU1140" s="45" t="e">
        <f t="shared" si="604"/>
        <v>#VALUE!</v>
      </c>
      <c r="AV1140" s="45">
        <f t="shared" si="605"/>
        <v>-1.8278780605592872E-3</v>
      </c>
      <c r="AW1140" s="45" t="e">
        <f t="shared" si="606"/>
        <v>#VALUE!</v>
      </c>
      <c r="AX1140" s="45">
        <f t="shared" si="607"/>
        <v>4.2208414948581501</v>
      </c>
      <c r="AY1140" s="45">
        <f t="shared" si="608"/>
        <v>1.2226693729187093</v>
      </c>
      <c r="AZ1140" s="45" t="e">
        <f t="shared" si="609"/>
        <v>#VALUE!</v>
      </c>
      <c r="BA1140" s="45" t="e">
        <f t="shared" si="610"/>
        <v>#VALUE!</v>
      </c>
      <c r="BB1140" s="45" t="e">
        <f t="shared" si="611"/>
        <v>#VALUE!</v>
      </c>
      <c r="BC1140" s="45">
        <f t="shared" si="612"/>
        <v>0.47712125471966244</v>
      </c>
      <c r="BD1140" s="45" t="e">
        <f t="shared" si="613"/>
        <v>#VALUE!</v>
      </c>
      <c r="BE1140" s="45" t="e">
        <f t="shared" si="614"/>
        <v>#VALUE!</v>
      </c>
      <c r="BF1140" s="45" t="e">
        <f t="shared" si="615"/>
        <v>#VALUE!</v>
      </c>
      <c r="BG1140" s="45" t="e">
        <f t="shared" si="616"/>
        <v>#VALUE!</v>
      </c>
      <c r="BH1140" s="45" t="e">
        <f t="shared" si="617"/>
        <v>#NUM!</v>
      </c>
      <c r="BI1140" s="43" t="e">
        <f t="shared" si="618"/>
        <v>#VALUE!</v>
      </c>
      <c r="BJ1140" s="18"/>
      <c r="BK1140" s="18"/>
      <c r="BL1140" s="20"/>
      <c r="BS1140" s="18"/>
      <c r="BT1140" s="18"/>
      <c r="CA1140" s="41" t="s">
        <v>22</v>
      </c>
      <c r="CB1140" s="18"/>
      <c r="CC1140" s="18" t="s">
        <v>22</v>
      </c>
      <c r="CD1140" s="18"/>
      <c r="CE1140" s="41" t="s">
        <v>22</v>
      </c>
      <c r="CF1140" s="41" t="s">
        <v>22</v>
      </c>
      <c r="CG1140" s="41" t="e">
        <f t="shared" si="625"/>
        <v>#VALUE!</v>
      </c>
      <c r="CH1140" s="41" t="e">
        <f t="shared" si="626"/>
        <v>#VALUE!</v>
      </c>
      <c r="CI1140" s="41">
        <f t="shared" si="627"/>
        <v>3</v>
      </c>
      <c r="CJ1140" s="41">
        <f t="shared" si="628"/>
        <v>0.47712125471966244</v>
      </c>
      <c r="CK1140" s="18"/>
      <c r="CL1140" s="9" t="s">
        <v>1269</v>
      </c>
      <c r="CM1140" s="18" t="s">
        <v>1285</v>
      </c>
      <c r="CN1140" s="54" t="s">
        <v>1284</v>
      </c>
      <c r="CO1140" s="18" t="s">
        <v>1284</v>
      </c>
    </row>
    <row r="1141" spans="1:93" x14ac:dyDescent="0.25">
      <c r="A1141" s="18" t="s">
        <v>315</v>
      </c>
      <c r="B1141" s="41">
        <v>2.9000000000000001E-2</v>
      </c>
      <c r="C1141" s="41">
        <v>0.46</v>
      </c>
      <c r="D1141" s="41">
        <f>0.001*(B1141*10^6)/(C1141*0.001*100^3)</f>
        <v>6.3043478260869562E-2</v>
      </c>
      <c r="E1141" s="41" t="s">
        <v>22</v>
      </c>
      <c r="F1141" s="18" t="s">
        <v>22</v>
      </c>
      <c r="G1141" s="18" t="s">
        <v>22</v>
      </c>
      <c r="H1141" s="18" t="s">
        <v>22</v>
      </c>
      <c r="I1141" s="18" t="s">
        <v>22</v>
      </c>
      <c r="J1141" s="41">
        <f>0.208^-1</f>
        <v>4.8076923076923075</v>
      </c>
      <c r="K1141" s="18">
        <v>785</v>
      </c>
      <c r="L1141" s="41">
        <f t="shared" si="623"/>
        <v>1.8256406280048076</v>
      </c>
      <c r="M1141" s="18" t="s">
        <v>23</v>
      </c>
      <c r="N1141" s="41" t="s">
        <v>22</v>
      </c>
      <c r="O1141" s="41" t="s">
        <v>22</v>
      </c>
      <c r="P1141" s="41" t="s">
        <v>22</v>
      </c>
      <c r="R1141" s="41" t="s">
        <v>22</v>
      </c>
      <c r="S1141" s="41" t="s">
        <v>22</v>
      </c>
      <c r="T1141" s="41" t="s">
        <v>22</v>
      </c>
      <c r="U1141" s="41" t="s">
        <v>22</v>
      </c>
      <c r="V1141" s="18">
        <v>20200512</v>
      </c>
      <c r="W1141" s="21" t="s">
        <v>282</v>
      </c>
      <c r="X1141" s="6">
        <v>2018</v>
      </c>
      <c r="Y1141" s="18" t="s">
        <v>328</v>
      </c>
      <c r="Z1141" s="18" t="s">
        <v>534</v>
      </c>
      <c r="AA1141" s="18"/>
      <c r="AC1141" s="18" t="s">
        <v>287</v>
      </c>
      <c r="AD1141" s="41" t="s">
        <v>22</v>
      </c>
      <c r="AE1141" s="41" t="s">
        <v>22</v>
      </c>
      <c r="AF1141" s="41">
        <v>9.1700033932812897</v>
      </c>
      <c r="AG1141" s="41" t="s">
        <v>22</v>
      </c>
      <c r="AH1141" s="41" t="s">
        <v>22</v>
      </c>
      <c r="AI1141" s="41" t="s">
        <v>22</v>
      </c>
      <c r="AJ1141" s="41" t="s">
        <v>22</v>
      </c>
      <c r="AK1141" s="41" t="s">
        <v>22</v>
      </c>
      <c r="AL1141" s="41" t="s">
        <v>22</v>
      </c>
      <c r="AM1141" s="43" t="e">
        <f t="shared" si="601"/>
        <v>#VALUE!</v>
      </c>
      <c r="AN1141" s="43" t="e">
        <f t="shared" si="602"/>
        <v>#VALUE!</v>
      </c>
      <c r="AO1141" s="19" t="s">
        <v>535</v>
      </c>
      <c r="AP1141" s="18"/>
      <c r="AQ1141" s="18"/>
      <c r="AR1141" s="18"/>
      <c r="AS1141" s="18"/>
      <c r="AT1141" s="2">
        <f t="shared" si="603"/>
        <v>3</v>
      </c>
      <c r="AU1141" s="45">
        <f t="shared" si="604"/>
        <v>-1.5376020021010439</v>
      </c>
      <c r="AV1141" s="45">
        <f t="shared" si="605"/>
        <v>-0.33724216831842591</v>
      </c>
      <c r="AW1141" s="45">
        <f t="shared" si="606"/>
        <v>-1.200359833782618</v>
      </c>
      <c r="AX1141" s="45" t="e">
        <f t="shared" si="607"/>
        <v>#VALUE!</v>
      </c>
      <c r="AY1141" s="45" t="e">
        <f t="shared" si="608"/>
        <v>#VALUE!</v>
      </c>
      <c r="AZ1141" s="45" t="e">
        <f t="shared" si="609"/>
        <v>#VALUE!</v>
      </c>
      <c r="BA1141" s="45">
        <f t="shared" si="610"/>
        <v>0.68193666503723838</v>
      </c>
      <c r="BB1141" s="45">
        <f t="shared" si="611"/>
        <v>0.26141529201824859</v>
      </c>
      <c r="BC1141" s="45" t="e">
        <f t="shared" si="612"/>
        <v>#VALUE!</v>
      </c>
      <c r="BD1141" s="45" t="e">
        <f t="shared" si="613"/>
        <v>#VALUE!</v>
      </c>
      <c r="BE1141" s="45">
        <f t="shared" si="614"/>
        <v>0.96236949637700764</v>
      </c>
      <c r="BF1141" s="45" t="e">
        <f t="shared" si="615"/>
        <v>#VALUE!</v>
      </c>
      <c r="BG1141" s="45" t="e">
        <f t="shared" si="616"/>
        <v>#VALUE!</v>
      </c>
      <c r="BH1141" s="45" t="e">
        <f t="shared" si="617"/>
        <v>#NUM!</v>
      </c>
      <c r="BI1141" s="43">
        <f t="shared" si="618"/>
        <v>0.96236949637700764</v>
      </c>
      <c r="BJ1141" s="18"/>
      <c r="BK1141" s="18"/>
      <c r="BL1141" s="20"/>
      <c r="BS1141" s="18"/>
      <c r="BT1141" s="18"/>
      <c r="CA1141" s="41" t="s">
        <v>22</v>
      </c>
      <c r="CB1141" s="18"/>
      <c r="CC1141" s="18" t="s">
        <v>22</v>
      </c>
      <c r="CD1141" s="18"/>
      <c r="CE1141" s="41" t="s">
        <v>22</v>
      </c>
      <c r="CF1141" s="41" t="s">
        <v>22</v>
      </c>
      <c r="CG1141" s="41" t="e">
        <f t="shared" si="625"/>
        <v>#VALUE!</v>
      </c>
      <c r="CH1141" s="41" t="e">
        <f t="shared" si="626"/>
        <v>#VALUE!</v>
      </c>
      <c r="CI1141" s="41" t="str">
        <f t="shared" si="627"/>
        <v>Not Reported/ Can not calculate</v>
      </c>
      <c r="CJ1141" s="41" t="e">
        <f t="shared" si="628"/>
        <v>#VALUE!</v>
      </c>
      <c r="CK1141" s="18"/>
      <c r="CL1141" s="9" t="s">
        <v>1269</v>
      </c>
      <c r="CM1141" s="18" t="s">
        <v>1284</v>
      </c>
      <c r="CN1141" s="54" t="s">
        <v>1284</v>
      </c>
      <c r="CO1141" s="18" t="s">
        <v>1284</v>
      </c>
    </row>
    <row r="1142" spans="1:93" x14ac:dyDescent="0.25">
      <c r="A1142" s="18" t="s">
        <v>315</v>
      </c>
      <c r="B1142" s="41">
        <v>4.9799999999999997E-2</v>
      </c>
      <c r="C1142" s="41">
        <v>0.64</v>
      </c>
      <c r="D1142" s="41">
        <f>0.001*(B1142*10^6)/(C1142*0.001*100^3)</f>
        <v>7.7812500000000007E-2</v>
      </c>
      <c r="E1142" s="41" t="s">
        <v>22</v>
      </c>
      <c r="F1142" s="18" t="s">
        <v>22</v>
      </c>
      <c r="G1142" s="18" t="s">
        <v>22</v>
      </c>
      <c r="H1142" s="18" t="s">
        <v>22</v>
      </c>
      <c r="I1142" s="18" t="s">
        <v>22</v>
      </c>
      <c r="J1142" s="41">
        <f>0.0853^-1</f>
        <v>11.723329425556859</v>
      </c>
      <c r="K1142" s="18">
        <v>785</v>
      </c>
      <c r="L1142" s="41">
        <f t="shared" si="623"/>
        <v>4.4517379909144195</v>
      </c>
      <c r="M1142" s="18" t="s">
        <v>23</v>
      </c>
      <c r="N1142" s="41" t="s">
        <v>22</v>
      </c>
      <c r="O1142" s="41" t="s">
        <v>22</v>
      </c>
      <c r="P1142" s="41" t="s">
        <v>22</v>
      </c>
      <c r="R1142" s="41" t="s">
        <v>22</v>
      </c>
      <c r="S1142" s="41" t="s">
        <v>22</v>
      </c>
      <c r="T1142" s="41" t="s">
        <v>22</v>
      </c>
      <c r="U1142" s="41" t="s">
        <v>22</v>
      </c>
      <c r="V1142" s="18">
        <v>20200512</v>
      </c>
      <c r="W1142" s="21" t="s">
        <v>269</v>
      </c>
      <c r="X1142" s="6">
        <v>2018</v>
      </c>
      <c r="Y1142" s="18" t="s">
        <v>328</v>
      </c>
      <c r="Z1142" s="18" t="s">
        <v>534</v>
      </c>
      <c r="AA1142" s="18"/>
      <c r="AC1142" s="18" t="s">
        <v>269</v>
      </c>
      <c r="AD1142" s="41" t="s">
        <v>22</v>
      </c>
      <c r="AE1142" s="41" t="s">
        <v>22</v>
      </c>
      <c r="AF1142" s="41">
        <v>10.152222599253401</v>
      </c>
      <c r="AG1142" s="41" t="s">
        <v>22</v>
      </c>
      <c r="AH1142" s="41" t="s">
        <v>22</v>
      </c>
      <c r="AI1142" s="41" t="s">
        <v>22</v>
      </c>
      <c r="AJ1142" s="41" t="s">
        <v>22</v>
      </c>
      <c r="AK1142" s="41" t="s">
        <v>22</v>
      </c>
      <c r="AL1142" s="41" t="s">
        <v>22</v>
      </c>
      <c r="AM1142" s="43" t="e">
        <f t="shared" si="601"/>
        <v>#VALUE!</v>
      </c>
      <c r="AN1142" s="43" t="e">
        <f t="shared" si="602"/>
        <v>#VALUE!</v>
      </c>
      <c r="AO1142" s="19" t="s">
        <v>535</v>
      </c>
      <c r="AP1142" s="18"/>
      <c r="AQ1142" s="18"/>
      <c r="AR1142" s="18"/>
      <c r="AS1142" s="18"/>
      <c r="AT1142" s="2">
        <f t="shared" si="603"/>
        <v>3</v>
      </c>
      <c r="AU1142" s="45">
        <f t="shared" si="604"/>
        <v>-1.3027706572402824</v>
      </c>
      <c r="AV1142" s="45">
        <f t="shared" si="605"/>
        <v>-0.19382002601611281</v>
      </c>
      <c r="AW1142" s="45">
        <f t="shared" si="606"/>
        <v>-1.1089506312241697</v>
      </c>
      <c r="AX1142" s="45" t="e">
        <f t="shared" si="607"/>
        <v>#VALUE!</v>
      </c>
      <c r="AY1142" s="45" t="e">
        <f t="shared" si="608"/>
        <v>#VALUE!</v>
      </c>
      <c r="AZ1142" s="45" t="e">
        <f t="shared" si="609"/>
        <v>#VALUE!</v>
      </c>
      <c r="BA1142" s="45">
        <f t="shared" si="610"/>
        <v>1.069050968832477</v>
      </c>
      <c r="BB1142" s="45">
        <f t="shared" si="611"/>
        <v>0.64852959581348713</v>
      </c>
      <c r="BC1142" s="45" t="e">
        <f t="shared" si="612"/>
        <v>#VALUE!</v>
      </c>
      <c r="BD1142" s="45" t="e">
        <f t="shared" si="613"/>
        <v>#VALUE!</v>
      </c>
      <c r="BE1142" s="45">
        <f t="shared" si="614"/>
        <v>1.0065611316011853</v>
      </c>
      <c r="BF1142" s="45" t="e">
        <f t="shared" si="615"/>
        <v>#VALUE!</v>
      </c>
      <c r="BG1142" s="45" t="e">
        <f t="shared" si="616"/>
        <v>#VALUE!</v>
      </c>
      <c r="BH1142" s="45" t="e">
        <f t="shared" si="617"/>
        <v>#NUM!</v>
      </c>
      <c r="BI1142" s="43">
        <f t="shared" si="618"/>
        <v>1.0065611316011853</v>
      </c>
      <c r="BJ1142" s="18"/>
      <c r="BK1142" s="18"/>
      <c r="BL1142" s="20"/>
      <c r="BS1142" s="18"/>
      <c r="BT1142" s="18"/>
      <c r="CA1142" s="41" t="s">
        <v>22</v>
      </c>
      <c r="CB1142" s="18"/>
      <c r="CC1142" s="18" t="s">
        <v>22</v>
      </c>
      <c r="CD1142" s="18"/>
      <c r="CE1142" s="41" t="s">
        <v>22</v>
      </c>
      <c r="CF1142" s="41" t="s">
        <v>22</v>
      </c>
      <c r="CG1142" s="41" t="e">
        <f t="shared" si="625"/>
        <v>#VALUE!</v>
      </c>
      <c r="CH1142" s="41" t="e">
        <f t="shared" si="626"/>
        <v>#VALUE!</v>
      </c>
      <c r="CI1142" s="41" t="str">
        <f t="shared" si="627"/>
        <v>Not Reported/ Can not calculate</v>
      </c>
      <c r="CJ1142" s="41" t="e">
        <f t="shared" si="628"/>
        <v>#VALUE!</v>
      </c>
      <c r="CK1142" s="18"/>
      <c r="CL1142" s="9" t="s">
        <v>1269</v>
      </c>
      <c r="CM1142" s="18" t="s">
        <v>1284</v>
      </c>
      <c r="CN1142" s="54" t="s">
        <v>1284</v>
      </c>
      <c r="CO1142" s="18" t="s">
        <v>1284</v>
      </c>
    </row>
    <row r="1143" spans="1:93" x14ac:dyDescent="0.25">
      <c r="A1143" s="18" t="s">
        <v>315</v>
      </c>
      <c r="B1143" s="41">
        <v>1.0200000000000001E-2</v>
      </c>
      <c r="C1143" s="41">
        <v>0.55000000000000004</v>
      </c>
      <c r="D1143" s="41">
        <f>0.001*(B1143*10^6)/(C1143*0.001*100^3)</f>
        <v>1.8545454545454549E-2</v>
      </c>
      <c r="E1143" s="41" t="s">
        <v>22</v>
      </c>
      <c r="F1143" s="18" t="s">
        <v>22</v>
      </c>
      <c r="G1143" s="18" t="s">
        <v>22</v>
      </c>
      <c r="H1143" s="18" t="s">
        <v>22</v>
      </c>
      <c r="I1143" s="18" t="s">
        <v>22</v>
      </c>
      <c r="J1143" s="41">
        <f>0.0853^-1</f>
        <v>11.723329425556859</v>
      </c>
      <c r="K1143" s="18">
        <v>785</v>
      </c>
      <c r="L1143" s="41">
        <f t="shared" si="623"/>
        <v>4.4517379909144195</v>
      </c>
      <c r="M1143" s="18" t="s">
        <v>23</v>
      </c>
      <c r="N1143" s="41" t="s">
        <v>22</v>
      </c>
      <c r="O1143" s="41" t="s">
        <v>22</v>
      </c>
      <c r="P1143" s="41" t="s">
        <v>22</v>
      </c>
      <c r="R1143" s="41" t="s">
        <v>22</v>
      </c>
      <c r="S1143" s="41" t="s">
        <v>22</v>
      </c>
      <c r="T1143" s="41" t="s">
        <v>22</v>
      </c>
      <c r="U1143" s="41" t="s">
        <v>22</v>
      </c>
      <c r="V1143" s="18">
        <v>20200512</v>
      </c>
      <c r="W1143" s="21" t="s">
        <v>533</v>
      </c>
      <c r="X1143" s="6">
        <v>2018</v>
      </c>
      <c r="Y1143" s="18" t="s">
        <v>328</v>
      </c>
      <c r="Z1143" s="18" t="s">
        <v>534</v>
      </c>
      <c r="AC1143" s="18" t="s">
        <v>285</v>
      </c>
      <c r="AD1143" s="41" t="s">
        <v>22</v>
      </c>
      <c r="AE1143" s="41">
        <v>1592.4</v>
      </c>
      <c r="AF1143" s="41">
        <v>9.5301662707838304</v>
      </c>
      <c r="AG1143" s="41" t="s">
        <v>22</v>
      </c>
      <c r="AH1143" s="41" t="s">
        <v>22</v>
      </c>
      <c r="AI1143" s="41" t="s">
        <v>22</v>
      </c>
      <c r="AJ1143" s="41" t="s">
        <v>22</v>
      </c>
      <c r="AK1143" s="41" t="s">
        <v>22</v>
      </c>
      <c r="AL1143" s="41" t="s">
        <v>22</v>
      </c>
      <c r="AM1143" s="43" t="e">
        <f t="shared" si="601"/>
        <v>#VALUE!</v>
      </c>
      <c r="AN1143" s="43" t="e">
        <f t="shared" si="602"/>
        <v>#VALUE!</v>
      </c>
      <c r="AO1143" s="19" t="s">
        <v>535</v>
      </c>
      <c r="AT1143" s="2">
        <f t="shared" si="603"/>
        <v>3</v>
      </c>
      <c r="AU1143" s="45">
        <f t="shared" si="604"/>
        <v>-1.9913998282380825</v>
      </c>
      <c r="AV1143" s="45">
        <f t="shared" si="605"/>
        <v>-0.25963731050575611</v>
      </c>
      <c r="AW1143" s="45">
        <f t="shared" si="606"/>
        <v>-1.7317625177323261</v>
      </c>
      <c r="AX1143" s="45" t="e">
        <f t="shared" si="607"/>
        <v>#VALUE!</v>
      </c>
      <c r="AY1143" s="45" t="e">
        <f t="shared" si="608"/>
        <v>#VALUE!</v>
      </c>
      <c r="AZ1143" s="45" t="e">
        <f t="shared" si="609"/>
        <v>#VALUE!</v>
      </c>
      <c r="BA1143" s="45">
        <f t="shared" si="610"/>
        <v>1.069050968832477</v>
      </c>
      <c r="BB1143" s="45">
        <f t="shared" si="611"/>
        <v>0.64852959581348713</v>
      </c>
      <c r="BC1143" s="45" t="e">
        <f t="shared" si="612"/>
        <v>#VALUE!</v>
      </c>
      <c r="BD1143" s="45" t="e">
        <f t="shared" si="613"/>
        <v>#VALUE!</v>
      </c>
      <c r="BE1143" s="45">
        <f t="shared" si="614"/>
        <v>0.97910047774787468</v>
      </c>
      <c r="BF1143" s="45" t="e">
        <f t="shared" si="615"/>
        <v>#VALUE!</v>
      </c>
      <c r="BG1143" s="45" t="e">
        <f t="shared" si="616"/>
        <v>#VALUE!</v>
      </c>
      <c r="BH1143" s="45" t="e">
        <f t="shared" si="617"/>
        <v>#NUM!</v>
      </c>
      <c r="BI1143" s="43">
        <f t="shared" si="618"/>
        <v>0.97910047774787468</v>
      </c>
      <c r="BL1143" s="20"/>
      <c r="CA1143" s="41" t="s">
        <v>22</v>
      </c>
      <c r="CC1143" t="s">
        <v>22</v>
      </c>
      <c r="CE1143" s="41" t="s">
        <v>22</v>
      </c>
      <c r="CF1143" s="41" t="s">
        <v>22</v>
      </c>
      <c r="CG1143" s="41" t="e">
        <f t="shared" si="625"/>
        <v>#VALUE!</v>
      </c>
      <c r="CH1143" s="41" t="e">
        <f t="shared" si="626"/>
        <v>#VALUE!</v>
      </c>
      <c r="CI1143" s="41" t="str">
        <f t="shared" si="627"/>
        <v>Not Reported/ Can not calculate</v>
      </c>
      <c r="CJ1143" s="41" t="e">
        <f t="shared" si="628"/>
        <v>#VALUE!</v>
      </c>
      <c r="CL1143" s="9" t="s">
        <v>1269</v>
      </c>
      <c r="CM1143" s="18" t="s">
        <v>1284</v>
      </c>
      <c r="CN1143" s="54" t="s">
        <v>1284</v>
      </c>
      <c r="CO1143" s="18" t="s">
        <v>1284</v>
      </c>
    </row>
    <row r="1144" spans="1:93" x14ac:dyDescent="0.25">
      <c r="A1144" s="18" t="s">
        <v>266</v>
      </c>
      <c r="B1144" s="41" t="s">
        <v>22</v>
      </c>
      <c r="C1144" s="41">
        <v>0.76482269503546096</v>
      </c>
      <c r="D1144" s="41" t="s">
        <v>22</v>
      </c>
      <c r="E1144" s="41" t="s">
        <v>22</v>
      </c>
      <c r="F1144" s="18" t="s">
        <v>22</v>
      </c>
      <c r="G1144" s="18" t="s">
        <v>22</v>
      </c>
      <c r="H1144" s="18" t="s">
        <v>22</v>
      </c>
      <c r="I1144" s="18" t="s">
        <v>22</v>
      </c>
      <c r="J1144" s="41" t="s">
        <v>22</v>
      </c>
      <c r="K1144" s="18" t="s">
        <v>22</v>
      </c>
      <c r="L1144" s="41" t="e">
        <f t="shared" si="623"/>
        <v>#VALUE!</v>
      </c>
      <c r="M1144" s="18" t="s">
        <v>23</v>
      </c>
      <c r="N1144" s="41">
        <v>244.44333194270547</v>
      </c>
      <c r="O1144" s="41">
        <v>0.31960784313725404</v>
      </c>
      <c r="P1144" s="41">
        <v>4.4943189295898129</v>
      </c>
      <c r="R1144" s="41" t="s">
        <v>22</v>
      </c>
      <c r="S1144" s="41" t="s">
        <v>22</v>
      </c>
      <c r="T1144" s="41" t="s">
        <v>255</v>
      </c>
      <c r="U1144" s="41">
        <v>7.5</v>
      </c>
      <c r="V1144" s="18">
        <v>20200510</v>
      </c>
      <c r="W1144" s="21" t="s">
        <v>256</v>
      </c>
      <c r="X1144" s="18">
        <v>2019</v>
      </c>
      <c r="Y1144" s="18" t="s">
        <v>76</v>
      </c>
      <c r="Z1144" s="18" t="s">
        <v>32</v>
      </c>
      <c r="AC1144" s="18" t="s">
        <v>514</v>
      </c>
      <c r="AD1144" s="41" t="s">
        <v>22</v>
      </c>
      <c r="AE1144" s="41">
        <v>1575.1</v>
      </c>
      <c r="AF1144" s="41" t="s">
        <v>22</v>
      </c>
      <c r="AG1144" s="41" t="s">
        <v>22</v>
      </c>
      <c r="AH1144" s="41" t="s">
        <v>22</v>
      </c>
      <c r="AI1144" s="41" t="s">
        <v>22</v>
      </c>
      <c r="AJ1144" s="41" t="s">
        <v>22</v>
      </c>
      <c r="AK1144" s="41" t="s">
        <v>22</v>
      </c>
      <c r="AL1144" s="41" t="s">
        <v>22</v>
      </c>
      <c r="AM1144" s="43" t="e">
        <f t="shared" si="601"/>
        <v>#VALUE!</v>
      </c>
      <c r="AN1144" s="43" t="e">
        <f t="shared" si="602"/>
        <v>#VALUE!</v>
      </c>
      <c r="AO1144" s="19" t="s">
        <v>257</v>
      </c>
      <c r="AT1144" s="2">
        <f t="shared" si="603"/>
        <v>7</v>
      </c>
      <c r="AU1144" s="45" t="e">
        <f t="shared" si="604"/>
        <v>#VALUE!</v>
      </c>
      <c r="AV1144" s="45">
        <f t="shared" si="605"/>
        <v>-0.11643923346413532</v>
      </c>
      <c r="AW1144" s="45" t="e">
        <f t="shared" si="606"/>
        <v>#VALUE!</v>
      </c>
      <c r="AX1144" s="45">
        <f t="shared" si="607"/>
        <v>2.3881781948418848</v>
      </c>
      <c r="AY1144" s="45">
        <f t="shared" si="608"/>
        <v>-0.4953825716939797</v>
      </c>
      <c r="AZ1144" s="45">
        <f t="shared" si="609"/>
        <v>0.65266388794211039</v>
      </c>
      <c r="BA1144" s="45" t="e">
        <f t="shared" si="610"/>
        <v>#VALUE!</v>
      </c>
      <c r="BB1144" s="45" t="e">
        <f t="shared" si="611"/>
        <v>#VALUE!</v>
      </c>
      <c r="BC1144" s="45">
        <f t="shared" si="612"/>
        <v>0.87506126339170009</v>
      </c>
      <c r="BD1144" s="45" t="e">
        <f t="shared" si="613"/>
        <v>#VALUE!</v>
      </c>
      <c r="BE1144" s="45" t="e">
        <f t="shared" si="614"/>
        <v>#VALUE!</v>
      </c>
      <c r="BF1144" s="45" t="e">
        <f t="shared" si="615"/>
        <v>#VALUE!</v>
      </c>
      <c r="BG1144" s="45" t="e">
        <f t="shared" si="616"/>
        <v>#VALUE!</v>
      </c>
      <c r="BH1144" s="45" t="e">
        <f t="shared" si="617"/>
        <v>#NUM!</v>
      </c>
      <c r="BI1144" s="43" t="e">
        <f t="shared" si="618"/>
        <v>#VALUE!</v>
      </c>
      <c r="BL1144" s="20"/>
      <c r="CA1144" s="41" t="s">
        <v>22</v>
      </c>
      <c r="CC1144" t="s">
        <v>22</v>
      </c>
      <c r="CE1144" s="41" t="s">
        <v>22</v>
      </c>
      <c r="CF1144" s="41" t="s">
        <v>22</v>
      </c>
      <c r="CG1144" s="41" t="e">
        <f t="shared" si="625"/>
        <v>#VALUE!</v>
      </c>
      <c r="CH1144" s="41" t="e">
        <f t="shared" si="626"/>
        <v>#VALUE!</v>
      </c>
      <c r="CI1144" s="41">
        <f t="shared" si="627"/>
        <v>7.5</v>
      </c>
      <c r="CJ1144" s="41">
        <f t="shared" si="628"/>
        <v>0.87506126339170009</v>
      </c>
      <c r="CL1144" s="9" t="s">
        <v>1269</v>
      </c>
      <c r="CM1144" s="18" t="s">
        <v>1285</v>
      </c>
      <c r="CN1144" s="54" t="s">
        <v>1284</v>
      </c>
      <c r="CO1144" s="18" t="s">
        <v>1284</v>
      </c>
    </row>
    <row r="1145" spans="1:93" x14ac:dyDescent="0.25">
      <c r="A1145" s="18" t="s">
        <v>266</v>
      </c>
      <c r="B1145" s="41" t="s">
        <v>22</v>
      </c>
      <c r="C1145" s="41">
        <v>0.58212765957446799</v>
      </c>
      <c r="D1145" s="41" t="s">
        <v>22</v>
      </c>
      <c r="E1145" s="41" t="s">
        <v>22</v>
      </c>
      <c r="F1145" s="18" t="s">
        <v>22</v>
      </c>
      <c r="G1145" s="18" t="s">
        <v>22</v>
      </c>
      <c r="H1145" s="18" t="s">
        <v>22</v>
      </c>
      <c r="I1145" s="18" t="s">
        <v>22</v>
      </c>
      <c r="J1145" s="41" t="s">
        <v>22</v>
      </c>
      <c r="K1145" s="18" t="s">
        <v>22</v>
      </c>
      <c r="L1145" s="41" t="e">
        <f t="shared" si="623"/>
        <v>#VALUE!</v>
      </c>
      <c r="M1145" s="18" t="s">
        <v>23</v>
      </c>
      <c r="N1145" s="41">
        <v>220.29536921151399</v>
      </c>
      <c r="O1145" s="41">
        <v>0.37843137254901904</v>
      </c>
      <c r="P1145" s="41">
        <v>13.646223587043929</v>
      </c>
      <c r="R1145" s="41" t="s">
        <v>22</v>
      </c>
      <c r="S1145" s="41" t="s">
        <v>22</v>
      </c>
      <c r="T1145" s="41" t="s">
        <v>255</v>
      </c>
      <c r="U1145" s="41">
        <v>7.5</v>
      </c>
      <c r="V1145" s="18">
        <v>20200510</v>
      </c>
      <c r="W1145" s="21" t="s">
        <v>256</v>
      </c>
      <c r="X1145" s="18">
        <v>2019</v>
      </c>
      <c r="Y1145" s="18" t="s">
        <v>76</v>
      </c>
      <c r="Z1145" s="18" t="s">
        <v>258</v>
      </c>
      <c r="AC1145" s="18" t="s">
        <v>514</v>
      </c>
      <c r="AD1145" s="41" t="s">
        <v>22</v>
      </c>
      <c r="AE1145" s="41" t="s">
        <v>22</v>
      </c>
      <c r="AF1145" s="41" t="s">
        <v>22</v>
      </c>
      <c r="AG1145" s="41" t="s">
        <v>22</v>
      </c>
      <c r="AH1145" s="41" t="s">
        <v>22</v>
      </c>
      <c r="AI1145" s="41" t="s">
        <v>22</v>
      </c>
      <c r="AJ1145" s="41" t="s">
        <v>22</v>
      </c>
      <c r="AK1145" s="41" t="s">
        <v>22</v>
      </c>
      <c r="AL1145" s="41" t="s">
        <v>22</v>
      </c>
      <c r="AM1145" s="43" t="e">
        <f t="shared" si="601"/>
        <v>#VALUE!</v>
      </c>
      <c r="AN1145" s="43" t="e">
        <f t="shared" si="602"/>
        <v>#VALUE!</v>
      </c>
      <c r="AO1145" s="19" t="s">
        <v>257</v>
      </c>
      <c r="AT1145" s="2">
        <f t="shared" si="603"/>
        <v>7</v>
      </c>
      <c r="AU1145" s="45" t="e">
        <f t="shared" si="604"/>
        <v>#VALUE!</v>
      </c>
      <c r="AV1145" s="45">
        <f t="shared" si="605"/>
        <v>-0.23498176488763892</v>
      </c>
      <c r="AW1145" s="45" t="e">
        <f t="shared" si="606"/>
        <v>#VALUE!</v>
      </c>
      <c r="AX1145" s="45">
        <f t="shared" si="607"/>
        <v>2.3430053680221978</v>
      </c>
      <c r="AY1145" s="45">
        <f t="shared" si="608"/>
        <v>-0.42201286709016328</v>
      </c>
      <c r="AZ1145" s="45">
        <f t="shared" si="609"/>
        <v>1.1350124827158286</v>
      </c>
      <c r="BA1145" s="45" t="e">
        <f t="shared" si="610"/>
        <v>#VALUE!</v>
      </c>
      <c r="BB1145" s="45" t="e">
        <f t="shared" si="611"/>
        <v>#VALUE!</v>
      </c>
      <c r="BC1145" s="45">
        <f t="shared" si="612"/>
        <v>0.87506126339170009</v>
      </c>
      <c r="BD1145" s="45" t="e">
        <f t="shared" si="613"/>
        <v>#VALUE!</v>
      </c>
      <c r="BE1145" s="45" t="e">
        <f t="shared" si="614"/>
        <v>#VALUE!</v>
      </c>
      <c r="BF1145" s="45" t="e">
        <f t="shared" si="615"/>
        <v>#VALUE!</v>
      </c>
      <c r="BG1145" s="45" t="e">
        <f t="shared" si="616"/>
        <v>#VALUE!</v>
      </c>
      <c r="BH1145" s="45" t="e">
        <f t="shared" si="617"/>
        <v>#NUM!</v>
      </c>
      <c r="BI1145" s="43" t="e">
        <f t="shared" si="618"/>
        <v>#VALUE!</v>
      </c>
      <c r="BL1145" s="20"/>
      <c r="CA1145" s="41" t="s">
        <v>22</v>
      </c>
      <c r="CC1145" t="s">
        <v>22</v>
      </c>
      <c r="CE1145" s="41" t="s">
        <v>22</v>
      </c>
      <c r="CF1145" s="41" t="s">
        <v>22</v>
      </c>
      <c r="CG1145" s="41" t="e">
        <f t="shared" si="625"/>
        <v>#VALUE!</v>
      </c>
      <c r="CH1145" s="41" t="e">
        <f t="shared" si="626"/>
        <v>#VALUE!</v>
      </c>
      <c r="CI1145" s="41">
        <f t="shared" si="627"/>
        <v>7.5</v>
      </c>
      <c r="CJ1145" s="41">
        <f t="shared" si="628"/>
        <v>0.87506126339170009</v>
      </c>
      <c r="CL1145" s="9" t="s">
        <v>1269</v>
      </c>
      <c r="CM1145" s="18" t="s">
        <v>1285</v>
      </c>
      <c r="CN1145" s="54" t="s">
        <v>1284</v>
      </c>
      <c r="CO1145" s="18" t="s">
        <v>1284</v>
      </c>
    </row>
    <row r="1146" spans="1:93" x14ac:dyDescent="0.25">
      <c r="A1146" s="18" t="s">
        <v>266</v>
      </c>
      <c r="B1146" s="41" t="s">
        <v>22</v>
      </c>
      <c r="C1146" s="41">
        <v>0.927659574468085</v>
      </c>
      <c r="D1146" s="41" t="s">
        <v>22</v>
      </c>
      <c r="E1146" s="41" t="s">
        <v>22</v>
      </c>
      <c r="F1146" s="18" t="s">
        <v>22</v>
      </c>
      <c r="G1146" s="18" t="s">
        <v>22</v>
      </c>
      <c r="H1146" s="18" t="s">
        <v>22</v>
      </c>
      <c r="I1146" s="18" t="s">
        <v>22</v>
      </c>
      <c r="J1146" s="41" t="s">
        <v>22</v>
      </c>
      <c r="K1146" s="18" t="s">
        <v>22</v>
      </c>
      <c r="L1146" s="41" t="e">
        <f t="shared" si="623"/>
        <v>#VALUE!</v>
      </c>
      <c r="M1146" s="18" t="s">
        <v>23</v>
      </c>
      <c r="N1146" s="41">
        <v>400.16687526074173</v>
      </c>
      <c r="O1146" s="41">
        <v>0.43137254901960709</v>
      </c>
      <c r="P1146" s="41">
        <v>31.114645024493608</v>
      </c>
      <c r="R1146" s="41" t="s">
        <v>22</v>
      </c>
      <c r="S1146" s="41" t="s">
        <v>22</v>
      </c>
      <c r="T1146" s="41" t="s">
        <v>255</v>
      </c>
      <c r="U1146" s="41">
        <v>7.5</v>
      </c>
      <c r="V1146" s="18">
        <v>20200510</v>
      </c>
      <c r="W1146" s="16" t="s">
        <v>256</v>
      </c>
      <c r="X1146" s="18">
        <v>2019</v>
      </c>
      <c r="Y1146" s="18" t="s">
        <v>76</v>
      </c>
      <c r="Z1146" s="18" t="s">
        <v>258</v>
      </c>
      <c r="AC1146" s="18" t="s">
        <v>514</v>
      </c>
      <c r="AD1146" s="41" t="s">
        <v>22</v>
      </c>
      <c r="AE1146" s="41" t="s">
        <v>22</v>
      </c>
      <c r="AF1146" s="41" t="s">
        <v>22</v>
      </c>
      <c r="AG1146" s="41" t="s">
        <v>22</v>
      </c>
      <c r="AH1146" s="41" t="s">
        <v>22</v>
      </c>
      <c r="AI1146" s="41" t="s">
        <v>22</v>
      </c>
      <c r="AJ1146" s="41" t="s">
        <v>22</v>
      </c>
      <c r="AK1146" s="41" t="s">
        <v>22</v>
      </c>
      <c r="AL1146" s="41" t="s">
        <v>22</v>
      </c>
      <c r="AM1146" s="43" t="e">
        <f t="shared" si="601"/>
        <v>#VALUE!</v>
      </c>
      <c r="AN1146" s="43" t="e">
        <f t="shared" si="602"/>
        <v>#VALUE!</v>
      </c>
      <c r="AO1146" s="19" t="s">
        <v>257</v>
      </c>
      <c r="AT1146" s="2">
        <f t="shared" si="603"/>
        <v>7</v>
      </c>
      <c r="AU1146" s="45" t="e">
        <f t="shared" si="604"/>
        <v>#VALUE!</v>
      </c>
      <c r="AV1146" s="45">
        <f t="shared" si="605"/>
        <v>-3.2611368667131491E-2</v>
      </c>
      <c r="AW1146" s="45" t="e">
        <f t="shared" si="606"/>
        <v>#VALUE!</v>
      </c>
      <c r="AX1146" s="45">
        <f t="shared" si="607"/>
        <v>2.6022411360571374</v>
      </c>
      <c r="AY1146" s="45">
        <f t="shared" si="608"/>
        <v>-0.36514749527573087</v>
      </c>
      <c r="AZ1146" s="45">
        <f t="shared" si="609"/>
        <v>1.4929648506432265</v>
      </c>
      <c r="BA1146" s="45" t="e">
        <f t="shared" si="610"/>
        <v>#VALUE!</v>
      </c>
      <c r="BB1146" s="45" t="e">
        <f t="shared" si="611"/>
        <v>#VALUE!</v>
      </c>
      <c r="BC1146" s="45">
        <f t="shared" si="612"/>
        <v>0.87506126339170009</v>
      </c>
      <c r="BD1146" s="45" t="e">
        <f t="shared" si="613"/>
        <v>#VALUE!</v>
      </c>
      <c r="BE1146" s="45" t="e">
        <f t="shared" si="614"/>
        <v>#VALUE!</v>
      </c>
      <c r="BF1146" s="45" t="e">
        <f t="shared" si="615"/>
        <v>#VALUE!</v>
      </c>
      <c r="BG1146" s="45" t="e">
        <f t="shared" si="616"/>
        <v>#VALUE!</v>
      </c>
      <c r="BH1146" s="45" t="e">
        <f t="shared" si="617"/>
        <v>#NUM!</v>
      </c>
      <c r="BI1146" s="43" t="e">
        <f t="shared" si="618"/>
        <v>#VALUE!</v>
      </c>
      <c r="CA1146" s="41" t="s">
        <v>22</v>
      </c>
      <c r="CC1146" t="s">
        <v>22</v>
      </c>
      <c r="CE1146" s="41" t="s">
        <v>22</v>
      </c>
      <c r="CF1146" s="41" t="s">
        <v>22</v>
      </c>
      <c r="CG1146" s="41" t="e">
        <f t="shared" si="625"/>
        <v>#VALUE!</v>
      </c>
      <c r="CH1146" s="41" t="e">
        <f t="shared" si="626"/>
        <v>#VALUE!</v>
      </c>
      <c r="CI1146" s="41">
        <f t="shared" si="627"/>
        <v>7.5</v>
      </c>
      <c r="CJ1146" s="41">
        <f t="shared" si="628"/>
        <v>0.87506126339170009</v>
      </c>
      <c r="CL1146" s="9" t="s">
        <v>1269</v>
      </c>
      <c r="CM1146" s="18" t="s">
        <v>1285</v>
      </c>
      <c r="CN1146" s="54" t="s">
        <v>1284</v>
      </c>
      <c r="CO1146" s="18" t="s">
        <v>1284</v>
      </c>
    </row>
    <row r="1147" spans="1:93" x14ac:dyDescent="0.25">
      <c r="A1147" s="18" t="s">
        <v>266</v>
      </c>
      <c r="B1147" s="41" t="s">
        <v>22</v>
      </c>
      <c r="C1147" s="41">
        <v>1.0617021276595699</v>
      </c>
      <c r="D1147" s="41" t="s">
        <v>22</v>
      </c>
      <c r="E1147" s="41" t="s">
        <v>22</v>
      </c>
      <c r="F1147" s="18" t="s">
        <v>22</v>
      </c>
      <c r="G1147" s="18" t="s">
        <v>22</v>
      </c>
      <c r="H1147" s="18" t="s">
        <v>22</v>
      </c>
      <c r="I1147" s="18" t="s">
        <v>22</v>
      </c>
      <c r="J1147" s="41" t="s">
        <v>22</v>
      </c>
      <c r="K1147" s="18" t="s">
        <v>22</v>
      </c>
      <c r="L1147" s="41" t="e">
        <f t="shared" si="623"/>
        <v>#VALUE!</v>
      </c>
      <c r="M1147" s="18" t="s">
        <v>23</v>
      </c>
      <c r="N1147" s="41">
        <v>516.27868168543728</v>
      </c>
      <c r="O1147" s="41">
        <v>0.48627450980392106</v>
      </c>
      <c r="P1147" s="41">
        <v>30.127952036265157</v>
      </c>
      <c r="R1147" s="41" t="s">
        <v>22</v>
      </c>
      <c r="S1147" s="41" t="s">
        <v>22</v>
      </c>
      <c r="T1147" s="41" t="s">
        <v>255</v>
      </c>
      <c r="U1147" s="41">
        <v>7.5</v>
      </c>
      <c r="V1147" s="18">
        <v>20200510</v>
      </c>
      <c r="W1147" s="16" t="s">
        <v>256</v>
      </c>
      <c r="X1147" s="18">
        <v>2019</v>
      </c>
      <c r="Y1147" s="18" t="s">
        <v>76</v>
      </c>
      <c r="Z1147" s="18" t="s">
        <v>258</v>
      </c>
      <c r="AC1147" s="18" t="s">
        <v>514</v>
      </c>
      <c r="AD1147" s="41" t="s">
        <v>22</v>
      </c>
      <c r="AE1147" s="41">
        <v>1579.3</v>
      </c>
      <c r="AF1147" s="41" t="s">
        <v>22</v>
      </c>
      <c r="AG1147" s="41" t="s">
        <v>22</v>
      </c>
      <c r="AH1147" s="41" t="s">
        <v>22</v>
      </c>
      <c r="AI1147" s="41" t="s">
        <v>22</v>
      </c>
      <c r="AJ1147" s="41" t="s">
        <v>22</v>
      </c>
      <c r="AK1147" s="41" t="s">
        <v>22</v>
      </c>
      <c r="AL1147" s="41" t="s">
        <v>22</v>
      </c>
      <c r="AM1147" s="43" t="e">
        <f t="shared" si="601"/>
        <v>#VALUE!</v>
      </c>
      <c r="AN1147" s="43" t="e">
        <f t="shared" si="602"/>
        <v>#VALUE!</v>
      </c>
      <c r="AO1147" s="19" t="s">
        <v>257</v>
      </c>
      <c r="AT1147" s="2">
        <f t="shared" si="603"/>
        <v>7</v>
      </c>
      <c r="AU1147" s="45" t="e">
        <f t="shared" si="604"/>
        <v>#VALUE!</v>
      </c>
      <c r="AV1147" s="45">
        <f t="shared" si="605"/>
        <v>2.6002687687670601E-2</v>
      </c>
      <c r="AW1147" s="45" t="e">
        <f t="shared" si="606"/>
        <v>#VALUE!</v>
      </c>
      <c r="AX1147" s="45">
        <f t="shared" si="607"/>
        <v>2.7128841924159501</v>
      </c>
      <c r="AY1147" s="45">
        <f t="shared" si="608"/>
        <v>-0.31311849527172053</v>
      </c>
      <c r="AZ1147" s="45">
        <f t="shared" si="609"/>
        <v>1.4789696112758173</v>
      </c>
      <c r="BA1147" s="45" t="e">
        <f t="shared" si="610"/>
        <v>#VALUE!</v>
      </c>
      <c r="BB1147" s="45" t="e">
        <f t="shared" si="611"/>
        <v>#VALUE!</v>
      </c>
      <c r="BC1147" s="45">
        <f t="shared" si="612"/>
        <v>0.87506126339170009</v>
      </c>
      <c r="BD1147" s="45" t="e">
        <f t="shared" si="613"/>
        <v>#VALUE!</v>
      </c>
      <c r="BE1147" s="45" t="e">
        <f t="shared" si="614"/>
        <v>#VALUE!</v>
      </c>
      <c r="BF1147" s="45" t="e">
        <f t="shared" si="615"/>
        <v>#VALUE!</v>
      </c>
      <c r="BG1147" s="45" t="e">
        <f t="shared" si="616"/>
        <v>#VALUE!</v>
      </c>
      <c r="BH1147" s="45" t="e">
        <f t="shared" si="617"/>
        <v>#NUM!</v>
      </c>
      <c r="BI1147" s="43" t="e">
        <f t="shared" si="618"/>
        <v>#VALUE!</v>
      </c>
      <c r="CA1147" s="41" t="s">
        <v>22</v>
      </c>
      <c r="CC1147" t="s">
        <v>22</v>
      </c>
      <c r="CE1147" s="41" t="s">
        <v>22</v>
      </c>
      <c r="CF1147" s="41" t="s">
        <v>22</v>
      </c>
      <c r="CG1147" s="41" t="e">
        <f t="shared" si="625"/>
        <v>#VALUE!</v>
      </c>
      <c r="CH1147" s="41" t="e">
        <f t="shared" si="626"/>
        <v>#VALUE!</v>
      </c>
      <c r="CI1147" s="41">
        <f t="shared" si="627"/>
        <v>7.5</v>
      </c>
      <c r="CJ1147" s="41">
        <f t="shared" si="628"/>
        <v>0.87506126339170009</v>
      </c>
      <c r="CL1147" s="9" t="s">
        <v>1269</v>
      </c>
      <c r="CM1147" s="18" t="s">
        <v>1285</v>
      </c>
      <c r="CN1147" s="54" t="s">
        <v>1284</v>
      </c>
      <c r="CO1147" s="18" t="s">
        <v>1284</v>
      </c>
    </row>
    <row r="1148" spans="1:93" x14ac:dyDescent="0.25">
      <c r="A1148" s="18" t="s">
        <v>266</v>
      </c>
      <c r="B1148" s="41" t="s">
        <v>22</v>
      </c>
      <c r="C1148" s="41">
        <v>1.1053900709219799</v>
      </c>
      <c r="D1148" s="41" t="s">
        <v>22</v>
      </c>
      <c r="E1148" s="41" t="s">
        <v>22</v>
      </c>
      <c r="F1148" s="18" t="s">
        <v>22</v>
      </c>
      <c r="G1148" s="18" t="s">
        <v>22</v>
      </c>
      <c r="H1148" s="18" t="s">
        <v>22</v>
      </c>
      <c r="I1148" s="18" t="s">
        <v>22</v>
      </c>
      <c r="J1148" s="41" t="s">
        <v>22</v>
      </c>
      <c r="K1148" t="s">
        <v>22</v>
      </c>
      <c r="L1148" s="41" t="e">
        <f t="shared" si="623"/>
        <v>#VALUE!</v>
      </c>
      <c r="M1148" s="18" t="s">
        <v>23</v>
      </c>
      <c r="N1148" s="41">
        <v>533.18815185648373</v>
      </c>
      <c r="O1148" s="41">
        <v>0.4823529411764701</v>
      </c>
      <c r="P1148" s="41">
        <v>50.939109453827299</v>
      </c>
      <c r="R1148" s="41" t="s">
        <v>22</v>
      </c>
      <c r="S1148" s="41" t="s">
        <v>22</v>
      </c>
      <c r="T1148" s="41" t="s">
        <v>255</v>
      </c>
      <c r="U1148" s="41">
        <v>7.5</v>
      </c>
      <c r="V1148" s="18">
        <v>20200510</v>
      </c>
      <c r="W1148" s="16" t="s">
        <v>256</v>
      </c>
      <c r="X1148" s="18">
        <v>2019</v>
      </c>
      <c r="Y1148" s="18" t="s">
        <v>76</v>
      </c>
      <c r="Z1148" s="18" t="s">
        <v>258</v>
      </c>
      <c r="AC1148" s="18" t="s">
        <v>514</v>
      </c>
      <c r="AD1148" s="41" t="s">
        <v>22</v>
      </c>
      <c r="AE1148" s="41">
        <v>1581.7</v>
      </c>
      <c r="AF1148" s="41" t="s">
        <v>22</v>
      </c>
      <c r="AG1148" s="41" t="s">
        <v>22</v>
      </c>
      <c r="AH1148" s="41" t="s">
        <v>22</v>
      </c>
      <c r="AI1148" s="41" t="s">
        <v>22</v>
      </c>
      <c r="AJ1148" s="41" t="s">
        <v>22</v>
      </c>
      <c r="AK1148" s="41" t="s">
        <v>22</v>
      </c>
      <c r="AL1148" s="41" t="s">
        <v>22</v>
      </c>
      <c r="AM1148" s="43" t="e">
        <f t="shared" si="601"/>
        <v>#VALUE!</v>
      </c>
      <c r="AN1148" s="43" t="e">
        <f t="shared" si="602"/>
        <v>#VALUE!</v>
      </c>
      <c r="AO1148" s="19" t="s">
        <v>257</v>
      </c>
      <c r="AT1148" s="2">
        <f t="shared" si="603"/>
        <v>7</v>
      </c>
      <c r="AU1148" s="45" t="e">
        <f t="shared" si="604"/>
        <v>#VALUE!</v>
      </c>
      <c r="AV1148" s="45">
        <f t="shared" si="605"/>
        <v>4.3515559247781679E-2</v>
      </c>
      <c r="AW1148" s="45" t="e">
        <f t="shared" si="606"/>
        <v>#VALUE!</v>
      </c>
      <c r="AX1148" s="45">
        <f t="shared" si="607"/>
        <v>2.7268804902532238</v>
      </c>
      <c r="AY1148" s="45">
        <f t="shared" si="608"/>
        <v>-0.31663506899455768</v>
      </c>
      <c r="AZ1148" s="45">
        <f t="shared" si="609"/>
        <v>1.707051348113473</v>
      </c>
      <c r="BA1148" s="45" t="e">
        <f t="shared" si="610"/>
        <v>#VALUE!</v>
      </c>
      <c r="BB1148" s="45" t="e">
        <f t="shared" si="611"/>
        <v>#VALUE!</v>
      </c>
      <c r="BC1148" s="45">
        <f t="shared" si="612"/>
        <v>0.87506126339170009</v>
      </c>
      <c r="BD1148" s="45" t="e">
        <f t="shared" si="613"/>
        <v>#VALUE!</v>
      </c>
      <c r="BE1148" s="45" t="e">
        <f t="shared" si="614"/>
        <v>#VALUE!</v>
      </c>
      <c r="BF1148" s="45" t="e">
        <f t="shared" si="615"/>
        <v>#VALUE!</v>
      </c>
      <c r="BG1148" s="45" t="e">
        <f t="shared" si="616"/>
        <v>#VALUE!</v>
      </c>
      <c r="BH1148" s="45" t="e">
        <f t="shared" si="617"/>
        <v>#NUM!</v>
      </c>
      <c r="BI1148" s="43" t="e">
        <f t="shared" si="618"/>
        <v>#VALUE!</v>
      </c>
      <c r="CA1148" s="41" t="s">
        <v>22</v>
      </c>
      <c r="CC1148" t="s">
        <v>22</v>
      </c>
      <c r="CE1148" s="41" t="s">
        <v>22</v>
      </c>
      <c r="CF1148" s="41" t="s">
        <v>22</v>
      </c>
      <c r="CG1148" s="41" t="e">
        <f t="shared" si="625"/>
        <v>#VALUE!</v>
      </c>
      <c r="CH1148" s="41" t="e">
        <f t="shared" si="626"/>
        <v>#VALUE!</v>
      </c>
      <c r="CI1148" s="41">
        <f t="shared" si="627"/>
        <v>7.5</v>
      </c>
      <c r="CJ1148" s="41">
        <f t="shared" si="628"/>
        <v>0.87506126339170009</v>
      </c>
      <c r="CL1148" s="9" t="s">
        <v>1269</v>
      </c>
      <c r="CM1148" s="18" t="s">
        <v>1285</v>
      </c>
      <c r="CN1148" s="54" t="s">
        <v>1284</v>
      </c>
      <c r="CO1148" s="18" t="s">
        <v>1284</v>
      </c>
    </row>
    <row r="1149" spans="1:93" x14ac:dyDescent="0.25">
      <c r="A1149" s="18" t="s">
        <v>266</v>
      </c>
      <c r="B1149" s="41" t="s">
        <v>22</v>
      </c>
      <c r="C1149" s="41">
        <v>1.16992907801418</v>
      </c>
      <c r="D1149" s="41" t="s">
        <v>22</v>
      </c>
      <c r="E1149" s="41" t="s">
        <v>22</v>
      </c>
      <c r="F1149" s="18" t="s">
        <v>22</v>
      </c>
      <c r="G1149" s="18" t="s">
        <v>22</v>
      </c>
      <c r="H1149" s="18" t="s">
        <v>22</v>
      </c>
      <c r="I1149" s="18" t="s">
        <v>22</v>
      </c>
      <c r="J1149" s="41" t="s">
        <v>22</v>
      </c>
      <c r="K1149" s="18" t="s">
        <v>22</v>
      </c>
      <c r="L1149" s="41" t="e">
        <f t="shared" si="623"/>
        <v>#VALUE!</v>
      </c>
      <c r="M1149" s="18" t="s">
        <v>23</v>
      </c>
      <c r="N1149" s="41">
        <v>516.14518147684385</v>
      </c>
      <c r="O1149" s="41">
        <v>0.44117647058823511</v>
      </c>
      <c r="P1149" s="41">
        <v>40.404767127293844</v>
      </c>
      <c r="R1149" s="41" t="s">
        <v>22</v>
      </c>
      <c r="S1149" s="41" t="s">
        <v>22</v>
      </c>
      <c r="T1149" s="41" t="s">
        <v>255</v>
      </c>
      <c r="U1149" s="41">
        <v>7.5</v>
      </c>
      <c r="V1149" s="18">
        <v>20200510</v>
      </c>
      <c r="W1149" s="16" t="s">
        <v>256</v>
      </c>
      <c r="X1149" s="18">
        <v>2019</v>
      </c>
      <c r="Y1149" s="18" t="s">
        <v>76</v>
      </c>
      <c r="Z1149" s="18" t="s">
        <v>258</v>
      </c>
      <c r="AC1149" s="18" t="s">
        <v>514</v>
      </c>
      <c r="AD1149" s="41" t="s">
        <v>22</v>
      </c>
      <c r="AE1149" s="41" t="s">
        <v>22</v>
      </c>
      <c r="AF1149" s="41" t="s">
        <v>22</v>
      </c>
      <c r="AG1149" s="41" t="s">
        <v>22</v>
      </c>
      <c r="AH1149" s="41" t="s">
        <v>22</v>
      </c>
      <c r="AI1149" s="41" t="s">
        <v>22</v>
      </c>
      <c r="AJ1149" s="41" t="s">
        <v>22</v>
      </c>
      <c r="AK1149" s="41" t="s">
        <v>22</v>
      </c>
      <c r="AL1149" s="41" t="s">
        <v>22</v>
      </c>
      <c r="AM1149" s="43" t="e">
        <f t="shared" si="601"/>
        <v>#VALUE!</v>
      </c>
      <c r="AN1149" s="43" t="e">
        <f t="shared" si="602"/>
        <v>#VALUE!</v>
      </c>
      <c r="AO1149" s="19" t="s">
        <v>257</v>
      </c>
      <c r="AT1149" s="2">
        <f t="shared" si="603"/>
        <v>7</v>
      </c>
      <c r="AU1149" s="45" t="e">
        <f t="shared" si="604"/>
        <v>#VALUE!</v>
      </c>
      <c r="AV1149" s="45">
        <f t="shared" si="605"/>
        <v>6.8159535284059797E-2</v>
      </c>
      <c r="AW1149" s="45" t="e">
        <f t="shared" si="606"/>
        <v>#VALUE!</v>
      </c>
      <c r="AX1149" s="45">
        <f t="shared" si="607"/>
        <v>2.7127718772974858</v>
      </c>
      <c r="AY1149" s="45">
        <f t="shared" si="608"/>
        <v>-0.35538765798657407</v>
      </c>
      <c r="AZ1149" s="45">
        <f t="shared" si="609"/>
        <v>1.6064326080546603</v>
      </c>
      <c r="BA1149" s="45" t="e">
        <f t="shared" si="610"/>
        <v>#VALUE!</v>
      </c>
      <c r="BB1149" s="45" t="e">
        <f t="shared" si="611"/>
        <v>#VALUE!</v>
      </c>
      <c r="BC1149" s="45">
        <f t="shared" si="612"/>
        <v>0.87506126339170009</v>
      </c>
      <c r="BD1149" s="45" t="e">
        <f t="shared" si="613"/>
        <v>#VALUE!</v>
      </c>
      <c r="BE1149" s="45" t="e">
        <f t="shared" si="614"/>
        <v>#VALUE!</v>
      </c>
      <c r="BF1149" s="45" t="e">
        <f t="shared" si="615"/>
        <v>#VALUE!</v>
      </c>
      <c r="BG1149" s="45" t="e">
        <f t="shared" si="616"/>
        <v>#VALUE!</v>
      </c>
      <c r="BH1149" s="45" t="e">
        <f t="shared" si="617"/>
        <v>#NUM!</v>
      </c>
      <c r="BI1149" s="43" t="e">
        <f t="shared" si="618"/>
        <v>#VALUE!</v>
      </c>
      <c r="CA1149" s="41" t="s">
        <v>22</v>
      </c>
      <c r="CC1149" t="s">
        <v>22</v>
      </c>
      <c r="CE1149" s="41" t="s">
        <v>22</v>
      </c>
      <c r="CF1149" s="41" t="s">
        <v>22</v>
      </c>
      <c r="CG1149" s="41" t="e">
        <f t="shared" si="625"/>
        <v>#VALUE!</v>
      </c>
      <c r="CH1149" s="41" t="e">
        <f t="shared" si="626"/>
        <v>#VALUE!</v>
      </c>
      <c r="CI1149" s="41">
        <f t="shared" si="627"/>
        <v>7.5</v>
      </c>
      <c r="CJ1149" s="41">
        <f t="shared" si="628"/>
        <v>0.87506126339170009</v>
      </c>
      <c r="CL1149" s="9" t="s">
        <v>1269</v>
      </c>
      <c r="CM1149" s="18" t="s">
        <v>1285</v>
      </c>
      <c r="CN1149" s="54" t="s">
        <v>1284</v>
      </c>
      <c r="CO1149" s="18" t="s">
        <v>1284</v>
      </c>
    </row>
    <row r="1150" spans="1:93" x14ac:dyDescent="0.25">
      <c r="A1150" s="18" t="s">
        <v>266</v>
      </c>
      <c r="B1150" s="41" t="s">
        <v>22</v>
      </c>
      <c r="C1150" s="41">
        <v>1.27914893617021</v>
      </c>
      <c r="D1150" s="41" t="s">
        <v>22</v>
      </c>
      <c r="E1150" s="41" t="s">
        <v>22</v>
      </c>
      <c r="F1150" s="18" t="s">
        <v>22</v>
      </c>
      <c r="G1150" s="18" t="s">
        <v>22</v>
      </c>
      <c r="H1150" s="18" t="s">
        <v>22</v>
      </c>
      <c r="I1150" s="18" t="s">
        <v>22</v>
      </c>
      <c r="J1150" s="41" t="s">
        <v>22</v>
      </c>
      <c r="K1150" s="18" t="s">
        <v>22</v>
      </c>
      <c r="L1150" s="41" t="e">
        <f t="shared" si="623"/>
        <v>#VALUE!</v>
      </c>
      <c r="M1150" s="18" t="s">
        <v>23</v>
      </c>
      <c r="N1150" s="41">
        <v>316.02503128910973</v>
      </c>
      <c r="O1150" s="41">
        <v>0.24705882352941105</v>
      </c>
      <c r="P1150" s="41">
        <v>65.590772830298903</v>
      </c>
      <c r="R1150" s="41" t="s">
        <v>22</v>
      </c>
      <c r="S1150" s="41" t="s">
        <v>22</v>
      </c>
      <c r="T1150" s="41" t="s">
        <v>255</v>
      </c>
      <c r="U1150" s="41">
        <v>7.5</v>
      </c>
      <c r="V1150" s="18">
        <v>20200510</v>
      </c>
      <c r="W1150" s="16" t="s">
        <v>256</v>
      </c>
      <c r="X1150" s="18">
        <v>2019</v>
      </c>
      <c r="Y1150" s="18" t="s">
        <v>76</v>
      </c>
      <c r="Z1150" s="18" t="s">
        <v>258</v>
      </c>
      <c r="AC1150" s="18" t="s">
        <v>514</v>
      </c>
      <c r="AD1150" s="41" t="s">
        <v>22</v>
      </c>
      <c r="AE1150" s="41" t="s">
        <v>22</v>
      </c>
      <c r="AF1150" s="41" t="s">
        <v>22</v>
      </c>
      <c r="AG1150" s="41" t="s">
        <v>22</v>
      </c>
      <c r="AH1150" s="41" t="s">
        <v>22</v>
      </c>
      <c r="AI1150" s="41" t="s">
        <v>22</v>
      </c>
      <c r="AJ1150" s="41" t="s">
        <v>22</v>
      </c>
      <c r="AK1150" s="41" t="s">
        <v>22</v>
      </c>
      <c r="AL1150" s="41" t="s">
        <v>22</v>
      </c>
      <c r="AM1150" s="43" t="e">
        <f t="shared" si="601"/>
        <v>#VALUE!</v>
      </c>
      <c r="AN1150" s="43" t="e">
        <f t="shared" si="602"/>
        <v>#VALUE!</v>
      </c>
      <c r="AO1150" s="19" t="s">
        <v>257</v>
      </c>
      <c r="AT1150" s="2">
        <f t="shared" si="603"/>
        <v>7</v>
      </c>
      <c r="AU1150" s="45" t="e">
        <f t="shared" si="604"/>
        <v>#VALUE!</v>
      </c>
      <c r="AV1150" s="45">
        <f t="shared" si="605"/>
        <v>0.10692111397915213</v>
      </c>
      <c r="AW1150" s="45" t="e">
        <f t="shared" si="606"/>
        <v>#VALUE!</v>
      </c>
      <c r="AX1150" s="45">
        <f t="shared" si="607"/>
        <v>2.4997214829987775</v>
      </c>
      <c r="AY1150" s="45">
        <f t="shared" si="608"/>
        <v>-0.60719963098037466</v>
      </c>
      <c r="AZ1150" s="45">
        <f t="shared" si="609"/>
        <v>1.8168427480533831</v>
      </c>
      <c r="BA1150" s="45" t="e">
        <f t="shared" si="610"/>
        <v>#VALUE!</v>
      </c>
      <c r="BB1150" s="45" t="e">
        <f t="shared" si="611"/>
        <v>#VALUE!</v>
      </c>
      <c r="BC1150" s="45">
        <f t="shared" si="612"/>
        <v>0.87506126339170009</v>
      </c>
      <c r="BD1150" s="45" t="e">
        <f t="shared" si="613"/>
        <v>#VALUE!</v>
      </c>
      <c r="BE1150" s="45" t="e">
        <f t="shared" si="614"/>
        <v>#VALUE!</v>
      </c>
      <c r="BF1150" s="45" t="e">
        <f t="shared" si="615"/>
        <v>#VALUE!</v>
      </c>
      <c r="BG1150" s="45" t="e">
        <f t="shared" si="616"/>
        <v>#VALUE!</v>
      </c>
      <c r="BH1150" s="45" t="e">
        <f t="shared" si="617"/>
        <v>#NUM!</v>
      </c>
      <c r="BI1150" s="43" t="e">
        <f t="shared" si="618"/>
        <v>#VALUE!</v>
      </c>
      <c r="CA1150" s="41" t="s">
        <v>22</v>
      </c>
      <c r="CC1150" t="s">
        <v>22</v>
      </c>
      <c r="CE1150" s="41" t="s">
        <v>22</v>
      </c>
      <c r="CF1150" s="41" t="s">
        <v>22</v>
      </c>
      <c r="CG1150" s="41" t="e">
        <f t="shared" si="625"/>
        <v>#VALUE!</v>
      </c>
      <c r="CH1150" s="41" t="e">
        <f t="shared" si="626"/>
        <v>#VALUE!</v>
      </c>
      <c r="CI1150" s="41">
        <f t="shared" si="627"/>
        <v>7.5</v>
      </c>
      <c r="CJ1150" s="41">
        <f t="shared" si="628"/>
        <v>0.87506126339170009</v>
      </c>
      <c r="CL1150" s="9" t="s">
        <v>1269</v>
      </c>
      <c r="CM1150" s="18" t="s">
        <v>1285</v>
      </c>
      <c r="CN1150" s="54" t="s">
        <v>1284</v>
      </c>
      <c r="CO1150" s="18" t="s">
        <v>1284</v>
      </c>
    </row>
    <row r="1151" spans="1:93" s="9" customFormat="1" x14ac:dyDescent="0.25">
      <c r="A1151" s="9" t="s">
        <v>266</v>
      </c>
      <c r="B1151" s="50">
        <f>311.504424778761*100*10^-6</f>
        <v>3.11504424778761E-2</v>
      </c>
      <c r="C1151" s="50">
        <v>0.91</v>
      </c>
      <c r="D1151" s="50">
        <f>0.001*(B1151*10^6)/(C1151*0.001*100^3)</f>
        <v>3.4231255470193511E-2</v>
      </c>
      <c r="E1151" s="50" t="s">
        <v>22</v>
      </c>
      <c r="F1151" s="9" t="s">
        <v>22</v>
      </c>
      <c r="G1151" s="9" t="s">
        <v>22</v>
      </c>
      <c r="H1151" s="9" t="s">
        <v>22</v>
      </c>
      <c r="I1151" s="9" t="s">
        <v>22</v>
      </c>
      <c r="J1151" s="50" t="s">
        <v>22</v>
      </c>
      <c r="K1151" s="9" t="s">
        <v>22</v>
      </c>
      <c r="L1151" s="50"/>
      <c r="M1151" s="9" t="s">
        <v>23</v>
      </c>
      <c r="N1151" s="50" t="s">
        <v>22</v>
      </c>
      <c r="O1151" s="50" t="s">
        <v>22</v>
      </c>
      <c r="P1151" s="50" t="s">
        <v>22</v>
      </c>
      <c r="Q1151" s="50"/>
      <c r="R1151" s="50" t="s">
        <v>22</v>
      </c>
      <c r="S1151" s="50" t="s">
        <v>22</v>
      </c>
      <c r="T1151" s="50">
        <v>4</v>
      </c>
      <c r="U1151" s="50">
        <v>4</v>
      </c>
      <c r="V1151" s="9">
        <v>20201129</v>
      </c>
      <c r="W1151" s="21"/>
      <c r="X1151" s="21">
        <v>2019</v>
      </c>
      <c r="Y1151" s="21" t="s">
        <v>26</v>
      </c>
      <c r="Z1151" s="9" t="s">
        <v>32</v>
      </c>
      <c r="AB1151" s="50"/>
      <c r="AC1151" s="9" t="s">
        <v>514</v>
      </c>
      <c r="AD1151" s="50">
        <v>13.2</v>
      </c>
      <c r="AE1151" s="50">
        <v>1590</v>
      </c>
      <c r="AF1151" s="50">
        <v>30.5</v>
      </c>
      <c r="AG1151" s="50" t="s">
        <v>22</v>
      </c>
      <c r="AH1151" s="50" t="s">
        <v>22</v>
      </c>
      <c r="AI1151" s="50" t="s">
        <v>22</v>
      </c>
      <c r="AJ1151" s="50" t="s">
        <v>22</v>
      </c>
      <c r="AK1151" s="50" t="s">
        <v>22</v>
      </c>
      <c r="AL1151" s="50" t="s">
        <v>22</v>
      </c>
      <c r="AM1151" s="43" t="e">
        <f t="shared" si="601"/>
        <v>#VALUE!</v>
      </c>
      <c r="AN1151" s="43" t="e">
        <f t="shared" si="602"/>
        <v>#VALUE!</v>
      </c>
      <c r="AO1151" s="21" t="s">
        <v>1183</v>
      </c>
      <c r="AT1151" s="2">
        <f t="shared" si="603"/>
        <v>2</v>
      </c>
      <c r="AU1151" s="45">
        <f t="shared" si="604"/>
        <v>-1.5065357800052888</v>
      </c>
      <c r="AV1151" s="45">
        <f t="shared" si="605"/>
        <v>-4.0958607678906384E-2</v>
      </c>
      <c r="AW1151" s="45">
        <f t="shared" si="606"/>
        <v>-1.4655771723263824</v>
      </c>
      <c r="AX1151" s="45" t="e">
        <f t="shared" si="607"/>
        <v>#VALUE!</v>
      </c>
      <c r="AY1151" s="45" t="e">
        <f t="shared" si="608"/>
        <v>#VALUE!</v>
      </c>
      <c r="AZ1151" s="45" t="e">
        <f t="shared" si="609"/>
        <v>#VALUE!</v>
      </c>
      <c r="BA1151" s="45" t="e">
        <f t="shared" si="610"/>
        <v>#VALUE!</v>
      </c>
      <c r="BB1151" s="45" t="e">
        <f t="shared" si="611"/>
        <v>#NUM!</v>
      </c>
      <c r="BC1151" s="45">
        <f t="shared" si="612"/>
        <v>0.6020599913279624</v>
      </c>
      <c r="BD1151" s="45">
        <f t="shared" si="613"/>
        <v>1.1205739312058498</v>
      </c>
      <c r="BE1151" s="45">
        <f t="shared" si="614"/>
        <v>1.4842998393467859</v>
      </c>
      <c r="BF1151" s="45" t="e">
        <f t="shared" si="615"/>
        <v>#VALUE!</v>
      </c>
      <c r="BG1151" s="45" t="e">
        <f t="shared" si="616"/>
        <v>#VALUE!</v>
      </c>
      <c r="BH1151" s="45" t="e">
        <f t="shared" si="617"/>
        <v>#NUM!</v>
      </c>
      <c r="BI1151" s="43">
        <f t="shared" si="618"/>
        <v>1.4842998393467859</v>
      </c>
      <c r="BL1151" s="20"/>
      <c r="BM1151" s="50"/>
      <c r="BN1151" s="50"/>
      <c r="BO1151" s="50"/>
      <c r="BP1151" s="50"/>
      <c r="BQ1151" s="50"/>
      <c r="BR1151" s="50"/>
      <c r="BU1151" s="50"/>
      <c r="BV1151" s="50"/>
      <c r="BW1151" s="50"/>
      <c r="BX1151" s="50"/>
      <c r="BY1151" s="50"/>
      <c r="BZ1151" s="50"/>
      <c r="CA1151" s="50" t="s">
        <v>22</v>
      </c>
      <c r="CE1151" s="50"/>
      <c r="CF1151" s="50"/>
      <c r="CG1151" s="50"/>
      <c r="CH1151" s="50"/>
      <c r="CI1151" s="50">
        <f t="shared" ref="CI1151:CI1163" si="629">IF(ISNUMBER(CG1151),CG1151,U1151)</f>
        <v>4</v>
      </c>
      <c r="CJ1151" s="50">
        <f t="shared" ref="CJ1151:CJ1163" si="630">LOG10(CI1151)</f>
        <v>0.6020599913279624</v>
      </c>
      <c r="CL1151" s="9" t="s">
        <v>1269</v>
      </c>
      <c r="CM1151" s="9" t="s">
        <v>1285</v>
      </c>
      <c r="CN1151" s="55" t="s">
        <v>1284</v>
      </c>
      <c r="CO1151" s="9" t="s">
        <v>1284</v>
      </c>
    </row>
    <row r="1152" spans="1:93" s="9" customFormat="1" x14ac:dyDescent="0.25">
      <c r="A1152" s="9" t="s">
        <v>266</v>
      </c>
      <c r="B1152" s="50">
        <f>437.16814159292*100*10^-6</f>
        <v>4.3716814159291996E-2</v>
      </c>
      <c r="C1152" s="50">
        <v>1.19</v>
      </c>
      <c r="D1152" s="50">
        <f>0.001*(B1152*10^6)/(C1152*0.001*100^3)</f>
        <v>3.6736818621253782E-2</v>
      </c>
      <c r="E1152" s="50" t="s">
        <v>22</v>
      </c>
      <c r="F1152" s="9" t="s">
        <v>22</v>
      </c>
      <c r="G1152" s="9" t="s">
        <v>22</v>
      </c>
      <c r="H1152" s="9" t="s">
        <v>22</v>
      </c>
      <c r="I1152" s="9" t="s">
        <v>22</v>
      </c>
      <c r="J1152" s="50" t="s">
        <v>22</v>
      </c>
      <c r="K1152" s="9" t="s">
        <v>22</v>
      </c>
      <c r="L1152" s="50"/>
      <c r="M1152" s="9" t="s">
        <v>45</v>
      </c>
      <c r="N1152" s="50" t="s">
        <v>22</v>
      </c>
      <c r="O1152" s="50" t="s">
        <v>22</v>
      </c>
      <c r="P1152" s="50" t="s">
        <v>22</v>
      </c>
      <c r="Q1152" s="50"/>
      <c r="R1152" s="50" t="s">
        <v>22</v>
      </c>
      <c r="S1152" s="50" t="s">
        <v>22</v>
      </c>
      <c r="T1152" s="50">
        <v>4</v>
      </c>
      <c r="U1152" s="50">
        <v>4</v>
      </c>
      <c r="V1152" s="9">
        <v>20201129</v>
      </c>
      <c r="W1152" s="21"/>
      <c r="X1152" s="21">
        <v>2019</v>
      </c>
      <c r="Y1152" s="21" t="s">
        <v>26</v>
      </c>
      <c r="Z1152" s="9" t="s">
        <v>124</v>
      </c>
      <c r="AA1152" s="9" t="s">
        <v>1182</v>
      </c>
      <c r="AB1152" s="50">
        <f>311.504424778761*100*10^-6</f>
        <v>3.11504424778761E-2</v>
      </c>
      <c r="AC1152" s="9" t="s">
        <v>514</v>
      </c>
      <c r="AD1152" s="50">
        <v>12.5</v>
      </c>
      <c r="AE1152" s="50">
        <v>1596</v>
      </c>
      <c r="AF1152" s="50">
        <v>50</v>
      </c>
      <c r="AG1152" s="50" t="s">
        <v>22</v>
      </c>
      <c r="AH1152" s="50" t="s">
        <v>22</v>
      </c>
      <c r="AI1152" s="50" t="s">
        <v>22</v>
      </c>
      <c r="AJ1152" s="50" t="s">
        <v>22</v>
      </c>
      <c r="AK1152" s="50" t="s">
        <v>22</v>
      </c>
      <c r="AL1152" s="50" t="s">
        <v>22</v>
      </c>
      <c r="AM1152" s="43" t="e">
        <f t="shared" si="601"/>
        <v>#VALUE!</v>
      </c>
      <c r="AN1152" s="43" t="e">
        <f t="shared" si="602"/>
        <v>#VALUE!</v>
      </c>
      <c r="AO1152" s="21" t="s">
        <v>1183</v>
      </c>
      <c r="AT1152" s="2">
        <f t="shared" si="603"/>
        <v>2</v>
      </c>
      <c r="AU1152" s="45">
        <f t="shared" si="604"/>
        <v>-1.3593514945597731</v>
      </c>
      <c r="AV1152" s="45">
        <f t="shared" si="605"/>
        <v>7.554696139253074E-2</v>
      </c>
      <c r="AW1152" s="45">
        <f t="shared" si="606"/>
        <v>-1.4348984559523039</v>
      </c>
      <c r="AX1152" s="45" t="e">
        <f t="shared" si="607"/>
        <v>#VALUE!</v>
      </c>
      <c r="AY1152" s="45" t="e">
        <f t="shared" si="608"/>
        <v>#VALUE!</v>
      </c>
      <c r="AZ1152" s="45" t="e">
        <f t="shared" si="609"/>
        <v>#VALUE!</v>
      </c>
      <c r="BA1152" s="45" t="e">
        <f t="shared" si="610"/>
        <v>#VALUE!</v>
      </c>
      <c r="BB1152" s="45" t="e">
        <f t="shared" si="611"/>
        <v>#NUM!</v>
      </c>
      <c r="BC1152" s="45">
        <f t="shared" si="612"/>
        <v>0.6020599913279624</v>
      </c>
      <c r="BD1152" s="45">
        <f t="shared" si="613"/>
        <v>1.0969100130080565</v>
      </c>
      <c r="BE1152" s="45">
        <f t="shared" si="614"/>
        <v>1.6989700043360187</v>
      </c>
      <c r="BF1152" s="45" t="e">
        <f t="shared" si="615"/>
        <v>#VALUE!</v>
      </c>
      <c r="BG1152" s="45" t="e">
        <f t="shared" si="616"/>
        <v>#VALUE!</v>
      </c>
      <c r="BH1152" s="45">
        <f t="shared" si="617"/>
        <v>-1.5065357800052888</v>
      </c>
      <c r="BI1152" s="43">
        <f t="shared" si="618"/>
        <v>1.6989700043360187</v>
      </c>
      <c r="BL1152" s="20"/>
      <c r="BM1152" s="50"/>
      <c r="BN1152" s="50"/>
      <c r="BO1152" s="50"/>
      <c r="BP1152" s="50"/>
      <c r="BQ1152" s="50"/>
      <c r="BR1152" s="50"/>
      <c r="BU1152" s="50"/>
      <c r="BV1152" s="50"/>
      <c r="BW1152" s="50"/>
      <c r="BX1152" s="50"/>
      <c r="BY1152" s="50"/>
      <c r="BZ1152" s="50"/>
      <c r="CA1152" s="50" t="s">
        <v>22</v>
      </c>
      <c r="CE1152" s="50"/>
      <c r="CF1152" s="50"/>
      <c r="CG1152" s="50"/>
      <c r="CH1152" s="50"/>
      <c r="CI1152" s="50">
        <f t="shared" si="629"/>
        <v>4</v>
      </c>
      <c r="CJ1152" s="50">
        <f t="shared" si="630"/>
        <v>0.6020599913279624</v>
      </c>
      <c r="CL1152" s="9" t="s">
        <v>1269</v>
      </c>
      <c r="CM1152" s="9" t="s">
        <v>1285</v>
      </c>
      <c r="CN1152" s="55" t="s">
        <v>1284</v>
      </c>
      <c r="CO1152" s="9" t="s">
        <v>1284</v>
      </c>
    </row>
    <row r="1153" spans="1:93" s="9" customFormat="1" x14ac:dyDescent="0.25">
      <c r="A1153" s="9" t="s">
        <v>141</v>
      </c>
      <c r="B1153" s="50">
        <v>1.8812785388127803E-2</v>
      </c>
      <c r="C1153" s="50" t="s">
        <v>22</v>
      </c>
      <c r="D1153" s="50" t="s">
        <v>22</v>
      </c>
      <c r="E1153" s="50" t="s">
        <v>22</v>
      </c>
      <c r="F1153" s="9" t="s">
        <v>22</v>
      </c>
      <c r="G1153" s="9" t="s">
        <v>22</v>
      </c>
      <c r="H1153" s="9" t="s">
        <v>22</v>
      </c>
      <c r="I1153" s="9" t="s">
        <v>22</v>
      </c>
      <c r="J1153" s="50" t="s">
        <v>22</v>
      </c>
      <c r="K1153" s="9">
        <v>633</v>
      </c>
      <c r="L1153" s="50"/>
      <c r="M1153" s="9" t="s">
        <v>23</v>
      </c>
      <c r="N1153" s="50">
        <v>441.20171673819698</v>
      </c>
      <c r="O1153" s="50" t="s">
        <v>22</v>
      </c>
      <c r="P1153" s="50">
        <v>24.7970479704796</v>
      </c>
      <c r="Q1153" s="50"/>
      <c r="R1153" s="50">
        <f t="shared" ref="R1153:R1159" si="631">N1153*B1153</f>
        <v>8.3002332098692531</v>
      </c>
      <c r="S1153" s="50" t="s">
        <v>22</v>
      </c>
      <c r="T1153" s="50">
        <v>10</v>
      </c>
      <c r="U1153" s="50">
        <v>10</v>
      </c>
      <c r="V1153" s="9">
        <v>20210320</v>
      </c>
      <c r="W1153" s="21"/>
      <c r="X1153" s="21">
        <v>2019</v>
      </c>
      <c r="Y1153" s="21" t="s">
        <v>26</v>
      </c>
      <c r="Z1153" s="9" t="s">
        <v>32</v>
      </c>
      <c r="AB1153" s="50"/>
      <c r="AC1153" s="9" t="s">
        <v>514</v>
      </c>
      <c r="AD1153" s="50">
        <v>15</v>
      </c>
      <c r="AE1153" s="50">
        <v>1590</v>
      </c>
      <c r="AF1153" s="50" t="s">
        <v>22</v>
      </c>
      <c r="AG1153" s="50" t="s">
        <v>22</v>
      </c>
      <c r="AH1153" s="50" t="s">
        <v>22</v>
      </c>
      <c r="AI1153" s="50" t="s">
        <v>22</v>
      </c>
      <c r="AJ1153" s="50" t="s">
        <v>22</v>
      </c>
      <c r="AK1153" s="50" t="s">
        <v>22</v>
      </c>
      <c r="AL1153" s="50" t="s">
        <v>22</v>
      </c>
      <c r="AM1153" s="43" t="e">
        <f t="shared" si="601"/>
        <v>#VALUE!</v>
      </c>
      <c r="AN1153" s="43" t="e">
        <f t="shared" si="602"/>
        <v>#VALUE!</v>
      </c>
      <c r="AO1153" s="21" t="s">
        <v>1237</v>
      </c>
      <c r="AT1153" s="2">
        <f t="shared" si="603"/>
        <v>7</v>
      </c>
      <c r="AU1153" s="45">
        <f t="shared" si="604"/>
        <v>-1.7255468988069849</v>
      </c>
      <c r="AV1153" s="45" t="e">
        <f t="shared" si="605"/>
        <v>#VALUE!</v>
      </c>
      <c r="AW1153" s="45" t="e">
        <f t="shared" si="606"/>
        <v>#VALUE!</v>
      </c>
      <c r="AX1153" s="45">
        <f t="shared" si="607"/>
        <v>2.6446371936332373</v>
      </c>
      <c r="AY1153" s="45" t="e">
        <f t="shared" si="608"/>
        <v>#VALUE!</v>
      </c>
      <c r="AZ1153" s="45">
        <f t="shared" si="609"/>
        <v>1.3943999821794177</v>
      </c>
      <c r="BA1153" s="45" t="e">
        <f t="shared" si="610"/>
        <v>#VALUE!</v>
      </c>
      <c r="BB1153" s="45" t="e">
        <f t="shared" si="611"/>
        <v>#NUM!</v>
      </c>
      <c r="BC1153" s="45">
        <f t="shared" si="612"/>
        <v>1</v>
      </c>
      <c r="BD1153" s="45">
        <f t="shared" si="613"/>
        <v>1.1760912590556813</v>
      </c>
      <c r="BE1153" s="45" t="e">
        <f t="shared" si="614"/>
        <v>#VALUE!</v>
      </c>
      <c r="BF1153" s="45" t="e">
        <f t="shared" si="615"/>
        <v>#VALUE!</v>
      </c>
      <c r="BG1153" s="45" t="e">
        <f t="shared" si="616"/>
        <v>#VALUE!</v>
      </c>
      <c r="BH1153" s="45" t="e">
        <f t="shared" si="617"/>
        <v>#NUM!</v>
      </c>
      <c r="BI1153" s="43" t="e">
        <f t="shared" si="618"/>
        <v>#VALUE!</v>
      </c>
      <c r="BL1153" s="20"/>
      <c r="BM1153" s="50"/>
      <c r="BN1153" s="50"/>
      <c r="BO1153" s="50"/>
      <c r="BP1153" s="50"/>
      <c r="BQ1153" s="50"/>
      <c r="BR1153" s="50"/>
      <c r="BU1153" s="50"/>
      <c r="BV1153" s="50"/>
      <c r="BW1153" s="50"/>
      <c r="BX1153" s="50"/>
      <c r="BY1153" s="50"/>
      <c r="BZ1153" s="50"/>
      <c r="CA1153" s="50" t="s">
        <v>22</v>
      </c>
      <c r="CE1153" s="50"/>
      <c r="CF1153" s="50"/>
      <c r="CG1153" s="50"/>
      <c r="CH1153" s="50"/>
      <c r="CI1153" s="50">
        <f t="shared" si="629"/>
        <v>10</v>
      </c>
      <c r="CJ1153" s="50">
        <f t="shared" si="630"/>
        <v>1</v>
      </c>
      <c r="CL1153" s="9" t="s">
        <v>1269</v>
      </c>
      <c r="CM1153" s="9" t="s">
        <v>1285</v>
      </c>
      <c r="CN1153" s="55" t="s">
        <v>1284</v>
      </c>
      <c r="CO1153" s="9" t="s">
        <v>1284</v>
      </c>
    </row>
    <row r="1154" spans="1:93" s="9" customFormat="1" x14ac:dyDescent="0.25">
      <c r="A1154" s="9" t="s">
        <v>141</v>
      </c>
      <c r="B1154" s="50">
        <v>4.5662100456620995E-2</v>
      </c>
      <c r="C1154" s="50" t="s">
        <v>22</v>
      </c>
      <c r="D1154" s="50" t="s">
        <v>22</v>
      </c>
      <c r="E1154" s="50" t="s">
        <v>22</v>
      </c>
      <c r="F1154" s="9" t="s">
        <v>22</v>
      </c>
      <c r="G1154" s="9" t="s">
        <v>22</v>
      </c>
      <c r="H1154" s="9" t="s">
        <v>22</v>
      </c>
      <c r="I1154" s="9" t="s">
        <v>22</v>
      </c>
      <c r="J1154" s="50">
        <v>0.85470085470085477</v>
      </c>
      <c r="K1154" s="9">
        <v>633</v>
      </c>
      <c r="L1154" s="50">
        <f t="shared" ref="L1154:L1163" si="632">IF((10^-12)*J1154*K1154^4=0,"",(10^-12)*J1154*K1154^4)</f>
        <v>0.13722365360769231</v>
      </c>
      <c r="M1154" s="9" t="s">
        <v>23</v>
      </c>
      <c r="N1154" s="50">
        <v>1045.49356223175</v>
      </c>
      <c r="O1154" s="50" t="s">
        <v>22</v>
      </c>
      <c r="P1154" s="50">
        <v>64.354243542435398</v>
      </c>
      <c r="Q1154" s="50"/>
      <c r="R1154" s="50">
        <f t="shared" si="631"/>
        <v>47.739432065376704</v>
      </c>
      <c r="S1154" s="50" t="s">
        <v>22</v>
      </c>
      <c r="T1154" s="50">
        <v>10</v>
      </c>
      <c r="U1154" s="50">
        <v>10</v>
      </c>
      <c r="V1154" s="9">
        <v>20210320</v>
      </c>
      <c r="W1154" s="21"/>
      <c r="X1154" s="21">
        <v>2019</v>
      </c>
      <c r="Y1154" s="21" t="s">
        <v>26</v>
      </c>
      <c r="Z1154" s="9" t="s">
        <v>1238</v>
      </c>
      <c r="AB1154" s="50"/>
      <c r="AC1154" s="9" t="s">
        <v>514</v>
      </c>
      <c r="AD1154" s="50">
        <v>15</v>
      </c>
      <c r="AE1154" s="50">
        <v>1590</v>
      </c>
      <c r="AF1154" s="50" t="s">
        <v>22</v>
      </c>
      <c r="AG1154" s="50" t="s">
        <v>22</v>
      </c>
      <c r="AH1154" s="50" t="s">
        <v>22</v>
      </c>
      <c r="AI1154" s="50" t="s">
        <v>22</v>
      </c>
      <c r="AJ1154" s="50" t="s">
        <v>22</v>
      </c>
      <c r="AK1154" s="50" t="s">
        <v>22</v>
      </c>
      <c r="AL1154" s="50" t="s">
        <v>22</v>
      </c>
      <c r="AM1154" s="43" t="e">
        <f t="shared" ref="AM1154:AM1217" si="633">AL1154/AI1154</f>
        <v>#VALUE!</v>
      </c>
      <c r="AN1154" s="43" t="e">
        <f t="shared" ref="AN1154:AN1217" si="634">AL1154/AJ1154</f>
        <v>#VALUE!</v>
      </c>
      <c r="AO1154" s="21" t="s">
        <v>1237</v>
      </c>
      <c r="AT1154" s="2">
        <f t="shared" ref="AT1154:AT1217" si="635">COUNTIF($AO$2:$AO$1400,AO1154)</f>
        <v>7</v>
      </c>
      <c r="AU1154" s="45">
        <f t="shared" ref="AU1154:AU1217" si="636">LOG10(B1154)</f>
        <v>-1.3404441148401185</v>
      </c>
      <c r="AV1154" s="45" t="e">
        <f t="shared" ref="AV1154:AV1217" si="637">LOG10(C1154)</f>
        <v>#VALUE!</v>
      </c>
      <c r="AW1154" s="45" t="e">
        <f t="shared" ref="AW1154:AW1217" si="638">LOG10(D1154)</f>
        <v>#VALUE!</v>
      </c>
      <c r="AX1154" s="45">
        <f t="shared" ref="AX1154:AX1217" si="639">LOG10(N1154)</f>
        <v>3.0193213629348148</v>
      </c>
      <c r="AY1154" s="45" t="e">
        <f t="shared" ref="AY1154:AY1217" si="640">LOG10(O1154)</f>
        <v>#VALUE!</v>
      </c>
      <c r="AZ1154" s="45">
        <f t="shared" ref="AZ1154:AZ1217" si="641">LOG10(P1154)</f>
        <v>1.8085771897221425</v>
      </c>
      <c r="BA1154" s="45">
        <f t="shared" ref="BA1154:BA1217" si="642">LOG10(J1154)</f>
        <v>-6.8185861746161605E-2</v>
      </c>
      <c r="BB1154" s="45">
        <f t="shared" ref="BB1154:BB1217" si="643">LOG10(L1154)</f>
        <v>-0.86257102167674127</v>
      </c>
      <c r="BC1154" s="45">
        <f t="shared" ref="BC1154:BC1217" si="644">LOG10(U1154)</f>
        <v>1</v>
      </c>
      <c r="BD1154" s="45">
        <f t="shared" ref="BD1154:BD1217" si="645">LOG10(AD1154)</f>
        <v>1.1760912590556813</v>
      </c>
      <c r="BE1154" s="45" t="e">
        <f t="shared" ref="BE1154:BE1217" si="646">LOG10(AF1154)</f>
        <v>#VALUE!</v>
      </c>
      <c r="BF1154" s="45" t="e">
        <f t="shared" ref="BF1154:BF1217" si="647">LOG10(AM1154)</f>
        <v>#VALUE!</v>
      </c>
      <c r="BG1154" s="45" t="e">
        <f t="shared" ref="BG1154:BG1217" si="648">LOG10(AN1154)</f>
        <v>#VALUE!</v>
      </c>
      <c r="BH1154" s="45" t="e">
        <f t="shared" ref="BH1154:BH1217" si="649">LOG10(AB1154)</f>
        <v>#NUM!</v>
      </c>
      <c r="BI1154" s="43" t="e">
        <f t="shared" ref="BI1154:BI1217" si="650">LOG10(AF1154)</f>
        <v>#VALUE!</v>
      </c>
      <c r="BL1154" s="20"/>
      <c r="BM1154" s="50"/>
      <c r="BN1154" s="50"/>
      <c r="BO1154" s="50"/>
      <c r="BP1154" s="50"/>
      <c r="BQ1154" s="50"/>
      <c r="BR1154" s="50"/>
      <c r="BU1154" s="50"/>
      <c r="BV1154" s="50"/>
      <c r="BW1154" s="50"/>
      <c r="BX1154" s="50"/>
      <c r="BY1154" s="50"/>
      <c r="BZ1154" s="50"/>
      <c r="CA1154" s="50" t="s">
        <v>22</v>
      </c>
      <c r="CE1154" s="50"/>
      <c r="CF1154" s="50"/>
      <c r="CG1154" s="50"/>
      <c r="CH1154" s="50"/>
      <c r="CI1154" s="50">
        <f t="shared" si="629"/>
        <v>10</v>
      </c>
      <c r="CJ1154" s="50">
        <f t="shared" si="630"/>
        <v>1</v>
      </c>
      <c r="CL1154" s="9" t="s">
        <v>1269</v>
      </c>
      <c r="CM1154" s="9" t="s">
        <v>1285</v>
      </c>
      <c r="CN1154" s="55" t="s">
        <v>1284</v>
      </c>
      <c r="CO1154" s="9" t="s">
        <v>1284</v>
      </c>
    </row>
    <row r="1155" spans="1:93" s="9" customFormat="1" x14ac:dyDescent="0.25">
      <c r="A1155" s="9" t="s">
        <v>141</v>
      </c>
      <c r="B1155" s="50">
        <v>4.6392694063926897E-2</v>
      </c>
      <c r="C1155" s="50" t="s">
        <v>22</v>
      </c>
      <c r="D1155" s="50" t="s">
        <v>22</v>
      </c>
      <c r="E1155" s="50" t="s">
        <v>22</v>
      </c>
      <c r="F1155" s="9" t="s">
        <v>22</v>
      </c>
      <c r="G1155" s="9" t="s">
        <v>22</v>
      </c>
      <c r="H1155" s="9" t="s">
        <v>22</v>
      </c>
      <c r="I1155" s="9" t="s">
        <v>22</v>
      </c>
      <c r="J1155" s="50">
        <v>0.84033613445378152</v>
      </c>
      <c r="K1155" s="9">
        <v>633</v>
      </c>
      <c r="L1155" s="50">
        <f t="shared" si="632"/>
        <v>0.13491737371512605</v>
      </c>
      <c r="M1155" s="9" t="s">
        <v>45</v>
      </c>
      <c r="N1155" s="50">
        <v>1354.5064377682399</v>
      </c>
      <c r="O1155" s="50" t="s">
        <v>22</v>
      </c>
      <c r="P1155" s="50">
        <v>86.199261992619896</v>
      </c>
      <c r="Q1155" s="50"/>
      <c r="R1155" s="50">
        <f t="shared" si="631"/>
        <v>62.83920277500139</v>
      </c>
      <c r="S1155" s="50" t="s">
        <v>22</v>
      </c>
      <c r="T1155" s="50">
        <v>10</v>
      </c>
      <c r="U1155" s="50">
        <v>10</v>
      </c>
      <c r="V1155" s="9">
        <v>20210320</v>
      </c>
      <c r="W1155" s="21"/>
      <c r="X1155" s="21">
        <v>2019</v>
      </c>
      <c r="Y1155" s="21" t="s">
        <v>26</v>
      </c>
      <c r="Z1155" s="9" t="s">
        <v>1239</v>
      </c>
      <c r="AB1155" s="50"/>
      <c r="AC1155" s="9" t="s">
        <v>514</v>
      </c>
      <c r="AD1155" s="50">
        <v>15</v>
      </c>
      <c r="AE1155" s="50">
        <v>1590</v>
      </c>
      <c r="AF1155" s="50" t="s">
        <v>22</v>
      </c>
      <c r="AG1155" s="50" t="s">
        <v>22</v>
      </c>
      <c r="AH1155" s="50" t="s">
        <v>22</v>
      </c>
      <c r="AI1155" s="50" t="s">
        <v>22</v>
      </c>
      <c r="AJ1155" s="50" t="s">
        <v>22</v>
      </c>
      <c r="AK1155" s="50" t="s">
        <v>22</v>
      </c>
      <c r="AL1155" s="50" t="s">
        <v>22</v>
      </c>
      <c r="AM1155" s="43" t="e">
        <f t="shared" si="633"/>
        <v>#VALUE!</v>
      </c>
      <c r="AN1155" s="43" t="e">
        <f t="shared" si="634"/>
        <v>#VALUE!</v>
      </c>
      <c r="AO1155" s="21" t="s">
        <v>1237</v>
      </c>
      <c r="AT1155" s="2">
        <f t="shared" si="635"/>
        <v>7</v>
      </c>
      <c r="AU1155" s="45">
        <f t="shared" si="636"/>
        <v>-1.3335504068922184</v>
      </c>
      <c r="AV1155" s="45" t="e">
        <f t="shared" si="637"/>
        <v>#VALUE!</v>
      </c>
      <c r="AW1155" s="45" t="e">
        <f t="shared" si="638"/>
        <v>#VALUE!</v>
      </c>
      <c r="AX1155" s="45">
        <f t="shared" si="639"/>
        <v>3.1317810735113638</v>
      </c>
      <c r="AY1155" s="45" t="e">
        <f t="shared" si="640"/>
        <v>#VALUE!</v>
      </c>
      <c r="AZ1155" s="45">
        <f t="shared" si="641"/>
        <v>1.9355035475659559</v>
      </c>
      <c r="BA1155" s="45">
        <f t="shared" si="642"/>
        <v>-7.5546961392530754E-2</v>
      </c>
      <c r="BB1155" s="45">
        <f t="shared" si="643"/>
        <v>-0.86993212132311037</v>
      </c>
      <c r="BC1155" s="45">
        <f t="shared" si="644"/>
        <v>1</v>
      </c>
      <c r="BD1155" s="45">
        <f t="shared" si="645"/>
        <v>1.1760912590556813</v>
      </c>
      <c r="BE1155" s="45" t="e">
        <f t="shared" si="646"/>
        <v>#VALUE!</v>
      </c>
      <c r="BF1155" s="45" t="e">
        <f t="shared" si="647"/>
        <v>#VALUE!</v>
      </c>
      <c r="BG1155" s="45" t="e">
        <f t="shared" si="648"/>
        <v>#VALUE!</v>
      </c>
      <c r="BH1155" s="45" t="e">
        <f t="shared" si="649"/>
        <v>#NUM!</v>
      </c>
      <c r="BI1155" s="43" t="e">
        <f t="shared" si="650"/>
        <v>#VALUE!</v>
      </c>
      <c r="BL1155" s="20"/>
      <c r="BM1155" s="50"/>
      <c r="BN1155" s="50"/>
      <c r="BO1155" s="50"/>
      <c r="BP1155" s="50"/>
      <c r="BQ1155" s="50"/>
      <c r="BR1155" s="50"/>
      <c r="BU1155" s="50"/>
      <c r="BV1155" s="50"/>
      <c r="BW1155" s="50"/>
      <c r="BX1155" s="50"/>
      <c r="BY1155" s="50"/>
      <c r="BZ1155" s="50"/>
      <c r="CA1155" s="50" t="s">
        <v>22</v>
      </c>
      <c r="CE1155" s="50"/>
      <c r="CF1155" s="50"/>
      <c r="CG1155" s="50"/>
      <c r="CH1155" s="50"/>
      <c r="CI1155" s="50">
        <f t="shared" si="629"/>
        <v>10</v>
      </c>
      <c r="CJ1155" s="50">
        <f t="shared" si="630"/>
        <v>1</v>
      </c>
      <c r="CL1155" s="9" t="s">
        <v>1269</v>
      </c>
      <c r="CM1155" s="9" t="s">
        <v>1285</v>
      </c>
      <c r="CN1155" s="55" t="s">
        <v>1284</v>
      </c>
      <c r="CO1155" s="9" t="s">
        <v>1284</v>
      </c>
    </row>
    <row r="1156" spans="1:93" s="9" customFormat="1" x14ac:dyDescent="0.25">
      <c r="A1156" s="9" t="s">
        <v>141</v>
      </c>
      <c r="B1156" s="50">
        <v>5.2237442922374394E-2</v>
      </c>
      <c r="C1156" s="50" t="s">
        <v>22</v>
      </c>
      <c r="D1156" s="50" t="s">
        <v>22</v>
      </c>
      <c r="E1156" s="50" t="s">
        <v>22</v>
      </c>
      <c r="F1156" s="9" t="s">
        <v>22</v>
      </c>
      <c r="G1156" s="9" t="s">
        <v>22</v>
      </c>
      <c r="H1156" s="9" t="s">
        <v>22</v>
      </c>
      <c r="I1156" s="9" t="s">
        <v>22</v>
      </c>
      <c r="J1156" s="50">
        <v>0.83333333333333337</v>
      </c>
      <c r="K1156" s="9">
        <v>633</v>
      </c>
      <c r="L1156" s="50">
        <f t="shared" si="632"/>
        <v>0.13379306226750001</v>
      </c>
      <c r="M1156" s="9" t="s">
        <v>45</v>
      </c>
      <c r="N1156" s="50">
        <v>1426.60944206008</v>
      </c>
      <c r="O1156" s="50" t="s">
        <v>22</v>
      </c>
      <c r="P1156" s="50">
        <v>92.103321033210307</v>
      </c>
      <c r="Q1156" s="50"/>
      <c r="R1156" s="50">
        <f t="shared" si="631"/>
        <v>74.522429302133816</v>
      </c>
      <c r="S1156" s="50" t="s">
        <v>22</v>
      </c>
      <c r="T1156" s="50">
        <v>10</v>
      </c>
      <c r="U1156" s="50">
        <v>10</v>
      </c>
      <c r="V1156" s="9">
        <v>20210320</v>
      </c>
      <c r="W1156" s="21"/>
      <c r="X1156" s="21">
        <v>2019</v>
      </c>
      <c r="Y1156" s="21" t="s">
        <v>26</v>
      </c>
      <c r="Z1156" s="9" t="s">
        <v>1239</v>
      </c>
      <c r="AB1156" s="50"/>
      <c r="AC1156" s="9" t="s">
        <v>514</v>
      </c>
      <c r="AD1156" s="50">
        <v>15</v>
      </c>
      <c r="AE1156" s="50">
        <v>1590</v>
      </c>
      <c r="AF1156" s="50" t="s">
        <v>22</v>
      </c>
      <c r="AG1156" s="50" t="s">
        <v>22</v>
      </c>
      <c r="AH1156" s="50" t="s">
        <v>22</v>
      </c>
      <c r="AI1156" s="50" t="s">
        <v>22</v>
      </c>
      <c r="AJ1156" s="50" t="s">
        <v>22</v>
      </c>
      <c r="AK1156" s="50" t="s">
        <v>22</v>
      </c>
      <c r="AL1156" s="50" t="s">
        <v>22</v>
      </c>
      <c r="AM1156" s="43" t="e">
        <f t="shared" si="633"/>
        <v>#VALUE!</v>
      </c>
      <c r="AN1156" s="43" t="e">
        <f t="shared" si="634"/>
        <v>#VALUE!</v>
      </c>
      <c r="AO1156" s="21" t="s">
        <v>1237</v>
      </c>
      <c r="AT1156" s="2">
        <f t="shared" si="635"/>
        <v>7</v>
      </c>
      <c r="AU1156" s="45">
        <f t="shared" si="636"/>
        <v>-1.2820180903831133</v>
      </c>
      <c r="AV1156" s="45" t="e">
        <f t="shared" si="637"/>
        <v>#VALUE!</v>
      </c>
      <c r="AW1156" s="45" t="e">
        <f t="shared" si="638"/>
        <v>#VALUE!</v>
      </c>
      <c r="AX1156" s="45">
        <f t="shared" si="639"/>
        <v>3.1543050940860526</v>
      </c>
      <c r="AY1156" s="45" t="e">
        <f t="shared" si="640"/>
        <v>#VALUE!</v>
      </c>
      <c r="AZ1156" s="45">
        <f t="shared" si="641"/>
        <v>1.9642752901359806</v>
      </c>
      <c r="BA1156" s="45">
        <f t="shared" si="642"/>
        <v>-7.9181246047624804E-2</v>
      </c>
      <c r="BB1156" s="45">
        <f t="shared" si="643"/>
        <v>-0.87356640597820434</v>
      </c>
      <c r="BC1156" s="45">
        <f t="shared" si="644"/>
        <v>1</v>
      </c>
      <c r="BD1156" s="45">
        <f t="shared" si="645"/>
        <v>1.1760912590556813</v>
      </c>
      <c r="BE1156" s="45" t="e">
        <f t="shared" si="646"/>
        <v>#VALUE!</v>
      </c>
      <c r="BF1156" s="45" t="e">
        <f t="shared" si="647"/>
        <v>#VALUE!</v>
      </c>
      <c r="BG1156" s="45" t="e">
        <f t="shared" si="648"/>
        <v>#VALUE!</v>
      </c>
      <c r="BH1156" s="45" t="e">
        <f t="shared" si="649"/>
        <v>#NUM!</v>
      </c>
      <c r="BI1156" s="43" t="e">
        <f t="shared" si="650"/>
        <v>#VALUE!</v>
      </c>
      <c r="BL1156" s="20"/>
      <c r="BM1156" s="50"/>
      <c r="BN1156" s="50"/>
      <c r="BO1156" s="50"/>
      <c r="BP1156" s="50"/>
      <c r="BQ1156" s="50"/>
      <c r="BR1156" s="50"/>
      <c r="BU1156" s="50"/>
      <c r="BV1156" s="50"/>
      <c r="BW1156" s="50"/>
      <c r="BX1156" s="50"/>
      <c r="BY1156" s="50"/>
      <c r="BZ1156" s="50"/>
      <c r="CA1156" s="50" t="s">
        <v>22</v>
      </c>
      <c r="CE1156" s="50"/>
      <c r="CF1156" s="50"/>
      <c r="CG1156" s="50"/>
      <c r="CH1156" s="50"/>
      <c r="CI1156" s="50">
        <f t="shared" si="629"/>
        <v>10</v>
      </c>
      <c r="CJ1156" s="50">
        <f t="shared" si="630"/>
        <v>1</v>
      </c>
      <c r="CL1156" s="9" t="s">
        <v>1269</v>
      </c>
      <c r="CM1156" s="9" t="s">
        <v>1285</v>
      </c>
      <c r="CN1156" s="55" t="s">
        <v>1284</v>
      </c>
      <c r="CO1156" s="9" t="s">
        <v>1284</v>
      </c>
    </row>
    <row r="1157" spans="1:93" s="9" customFormat="1" x14ac:dyDescent="0.25">
      <c r="A1157" s="9" t="s">
        <v>141</v>
      </c>
      <c r="B1157" s="50">
        <v>6.2100456621004496E-2</v>
      </c>
      <c r="C1157" s="50">
        <f>(10^-3)*N1157/O1157</f>
        <v>0.60515021459227158</v>
      </c>
      <c r="D1157" s="50">
        <f>0.001*(B1157*10^6)/(C1157*0.001*100^3)</f>
        <v>0.10261990349428456</v>
      </c>
      <c r="E1157" s="50" t="s">
        <v>22</v>
      </c>
      <c r="F1157" s="9" t="s">
        <v>22</v>
      </c>
      <c r="G1157" s="9" t="s">
        <v>22</v>
      </c>
      <c r="H1157" s="9" t="s">
        <v>22</v>
      </c>
      <c r="I1157" s="9" t="s">
        <v>22</v>
      </c>
      <c r="J1157" s="50">
        <v>0.81967213114754101</v>
      </c>
      <c r="K1157" s="9">
        <v>633</v>
      </c>
      <c r="L1157" s="50">
        <f t="shared" si="632"/>
        <v>0.13159973337786884</v>
      </c>
      <c r="M1157" s="9" t="s">
        <v>45</v>
      </c>
      <c r="N1157" s="50">
        <v>1694.4206008583601</v>
      </c>
      <c r="O1157" s="50">
        <v>2.8</v>
      </c>
      <c r="P1157" s="50">
        <v>108.63468634686301</v>
      </c>
      <c r="Q1157" s="50"/>
      <c r="R1157" s="50">
        <f t="shared" si="631"/>
        <v>105.22429302134097</v>
      </c>
      <c r="S1157" s="50">
        <f>O1157*D1157</f>
        <v>0.28733572978399674</v>
      </c>
      <c r="T1157" s="50">
        <v>10</v>
      </c>
      <c r="U1157" s="50">
        <v>10</v>
      </c>
      <c r="V1157" s="9">
        <v>20210320</v>
      </c>
      <c r="W1157" s="21"/>
      <c r="X1157" s="21">
        <v>2019</v>
      </c>
      <c r="Y1157" s="21" t="s">
        <v>26</v>
      </c>
      <c r="Z1157" s="9" t="s">
        <v>1239</v>
      </c>
      <c r="AB1157" s="50"/>
      <c r="AC1157" s="9" t="s">
        <v>514</v>
      </c>
      <c r="AD1157" s="50">
        <v>15</v>
      </c>
      <c r="AE1157" s="50">
        <v>1590</v>
      </c>
      <c r="AF1157" s="50" t="s">
        <v>22</v>
      </c>
      <c r="AG1157" s="50" t="s">
        <v>22</v>
      </c>
      <c r="AH1157" s="50" t="s">
        <v>22</v>
      </c>
      <c r="AI1157" s="50" t="s">
        <v>22</v>
      </c>
      <c r="AJ1157" s="50" t="s">
        <v>22</v>
      </c>
      <c r="AK1157" s="50" t="s">
        <v>22</v>
      </c>
      <c r="AL1157" s="50" t="s">
        <v>22</v>
      </c>
      <c r="AM1157" s="43" t="e">
        <f t="shared" si="633"/>
        <v>#VALUE!</v>
      </c>
      <c r="AN1157" s="43" t="e">
        <f t="shared" si="634"/>
        <v>#VALUE!</v>
      </c>
      <c r="AO1157" s="21" t="s">
        <v>1237</v>
      </c>
      <c r="AT1157" s="2">
        <f t="shared" si="635"/>
        <v>7</v>
      </c>
      <c r="AU1157" s="45">
        <f t="shared" si="636"/>
        <v>-1.2069052064699013</v>
      </c>
      <c r="AV1157" s="45">
        <f t="shared" si="637"/>
        <v>-0.21813680837064128</v>
      </c>
      <c r="AW1157" s="45">
        <f t="shared" si="638"/>
        <v>-0.98876839809925998</v>
      </c>
      <c r="AX1157" s="45">
        <f t="shared" si="639"/>
        <v>3.229021222971578</v>
      </c>
      <c r="AY1157" s="45">
        <f t="shared" si="640"/>
        <v>0.44715803134221921</v>
      </c>
      <c r="AZ1157" s="45">
        <f t="shared" si="641"/>
        <v>2.0359685147910538</v>
      </c>
      <c r="BA1157" s="45">
        <f t="shared" si="642"/>
        <v>-8.6359830674748214E-2</v>
      </c>
      <c r="BB1157" s="45">
        <f t="shared" si="643"/>
        <v>-0.88074499060532785</v>
      </c>
      <c r="BC1157" s="45">
        <f t="shared" si="644"/>
        <v>1</v>
      </c>
      <c r="BD1157" s="45">
        <f t="shared" si="645"/>
        <v>1.1760912590556813</v>
      </c>
      <c r="BE1157" s="45" t="e">
        <f t="shared" si="646"/>
        <v>#VALUE!</v>
      </c>
      <c r="BF1157" s="45" t="e">
        <f t="shared" si="647"/>
        <v>#VALUE!</v>
      </c>
      <c r="BG1157" s="45" t="e">
        <f t="shared" si="648"/>
        <v>#VALUE!</v>
      </c>
      <c r="BH1157" s="45" t="e">
        <f t="shared" si="649"/>
        <v>#NUM!</v>
      </c>
      <c r="BI1157" s="43" t="e">
        <f t="shared" si="650"/>
        <v>#VALUE!</v>
      </c>
      <c r="BL1157" s="20"/>
      <c r="BM1157" s="50"/>
      <c r="BN1157" s="50"/>
      <c r="BO1157" s="50"/>
      <c r="BP1157" s="50"/>
      <c r="BQ1157" s="50"/>
      <c r="BR1157" s="50"/>
      <c r="BU1157" s="50"/>
      <c r="BV1157" s="50"/>
      <c r="BW1157" s="50"/>
      <c r="BX1157" s="50"/>
      <c r="BY1157" s="50"/>
      <c r="BZ1157" s="50"/>
      <c r="CA1157" s="50" t="s">
        <v>22</v>
      </c>
      <c r="CE1157" s="50"/>
      <c r="CF1157" s="50"/>
      <c r="CG1157" s="50"/>
      <c r="CH1157" s="50"/>
      <c r="CI1157" s="50">
        <f t="shared" si="629"/>
        <v>10</v>
      </c>
      <c r="CJ1157" s="50">
        <f t="shared" si="630"/>
        <v>1</v>
      </c>
      <c r="CL1157" s="9" t="s">
        <v>1269</v>
      </c>
      <c r="CM1157" s="9" t="s">
        <v>1285</v>
      </c>
      <c r="CN1157" s="55" t="s">
        <v>1284</v>
      </c>
      <c r="CO1157" s="9" t="s">
        <v>1284</v>
      </c>
    </row>
    <row r="1158" spans="1:93" s="9" customFormat="1" x14ac:dyDescent="0.25">
      <c r="A1158" s="9" t="s">
        <v>141</v>
      </c>
      <c r="B1158" s="50">
        <v>6.4292237442922298E-2</v>
      </c>
      <c r="C1158" s="50" t="s">
        <v>22</v>
      </c>
      <c r="D1158" s="50" t="s">
        <v>22</v>
      </c>
      <c r="E1158" s="50" t="s">
        <v>22</v>
      </c>
      <c r="F1158" s="9" t="s">
        <v>22</v>
      </c>
      <c r="G1158" s="9" t="s">
        <v>22</v>
      </c>
      <c r="H1158" s="9" t="s">
        <v>22</v>
      </c>
      <c r="I1158" s="9" t="s">
        <v>22</v>
      </c>
      <c r="J1158" s="50">
        <v>0.81300813008130079</v>
      </c>
      <c r="K1158" s="9">
        <v>633</v>
      </c>
      <c r="L1158" s="50">
        <f t="shared" si="632"/>
        <v>0.13052981684634146</v>
      </c>
      <c r="M1158" s="9" t="s">
        <v>45</v>
      </c>
      <c r="N1158" s="50">
        <v>1426.60944206008</v>
      </c>
      <c r="O1158" s="50" t="s">
        <v>22</v>
      </c>
      <c r="P1158" s="50">
        <v>87.675276752767502</v>
      </c>
      <c r="Q1158" s="50"/>
      <c r="R1158" s="50">
        <f t="shared" si="631"/>
        <v>91.719912987241571</v>
      </c>
      <c r="S1158" s="50" t="s">
        <v>22</v>
      </c>
      <c r="T1158" s="50">
        <v>10</v>
      </c>
      <c r="U1158" s="50">
        <v>10</v>
      </c>
      <c r="V1158" s="9">
        <v>20210320</v>
      </c>
      <c r="W1158" s="21"/>
      <c r="X1158" s="21">
        <v>2019</v>
      </c>
      <c r="Y1158" s="21" t="s">
        <v>26</v>
      </c>
      <c r="Z1158" s="9" t="s">
        <v>1239</v>
      </c>
      <c r="AB1158" s="50"/>
      <c r="AC1158" s="9" t="s">
        <v>514</v>
      </c>
      <c r="AD1158" s="50">
        <v>15</v>
      </c>
      <c r="AE1158" s="50">
        <v>1590</v>
      </c>
      <c r="AF1158" s="50" t="s">
        <v>22</v>
      </c>
      <c r="AG1158" s="50" t="s">
        <v>22</v>
      </c>
      <c r="AH1158" s="50" t="s">
        <v>22</v>
      </c>
      <c r="AI1158" s="50" t="s">
        <v>22</v>
      </c>
      <c r="AJ1158" s="50" t="s">
        <v>22</v>
      </c>
      <c r="AK1158" s="50" t="s">
        <v>22</v>
      </c>
      <c r="AL1158" s="50" t="s">
        <v>22</v>
      </c>
      <c r="AM1158" s="43" t="e">
        <f t="shared" si="633"/>
        <v>#VALUE!</v>
      </c>
      <c r="AN1158" s="43" t="e">
        <f t="shared" si="634"/>
        <v>#VALUE!</v>
      </c>
      <c r="AO1158" s="21" t="s">
        <v>1237</v>
      </c>
      <c r="AT1158" s="2">
        <f t="shared" si="635"/>
        <v>7</v>
      </c>
      <c r="AU1158" s="45">
        <f t="shared" si="636"/>
        <v>-1.1918414600340255</v>
      </c>
      <c r="AV1158" s="45" t="e">
        <f t="shared" si="637"/>
        <v>#VALUE!</v>
      </c>
      <c r="AW1158" s="45" t="e">
        <f t="shared" si="638"/>
        <v>#VALUE!</v>
      </c>
      <c r="AX1158" s="45">
        <f t="shared" si="639"/>
        <v>3.1543050940860526</v>
      </c>
      <c r="AY1158" s="45" t="e">
        <f t="shared" si="640"/>
        <v>#VALUE!</v>
      </c>
      <c r="AZ1158" s="45">
        <f t="shared" si="641"/>
        <v>1.94287714543475</v>
      </c>
      <c r="BA1158" s="45">
        <f t="shared" si="642"/>
        <v>-8.9905111439397944E-2</v>
      </c>
      <c r="BB1158" s="45">
        <f t="shared" si="643"/>
        <v>-0.88429027136997751</v>
      </c>
      <c r="BC1158" s="45">
        <f t="shared" si="644"/>
        <v>1</v>
      </c>
      <c r="BD1158" s="45">
        <f t="shared" si="645"/>
        <v>1.1760912590556813</v>
      </c>
      <c r="BE1158" s="45" t="e">
        <f t="shared" si="646"/>
        <v>#VALUE!</v>
      </c>
      <c r="BF1158" s="45" t="e">
        <f t="shared" si="647"/>
        <v>#VALUE!</v>
      </c>
      <c r="BG1158" s="45" t="e">
        <f t="shared" si="648"/>
        <v>#VALUE!</v>
      </c>
      <c r="BH1158" s="45" t="e">
        <f t="shared" si="649"/>
        <v>#NUM!</v>
      </c>
      <c r="BI1158" s="43" t="e">
        <f t="shared" si="650"/>
        <v>#VALUE!</v>
      </c>
      <c r="BL1158" s="20"/>
      <c r="BM1158" s="50"/>
      <c r="BN1158" s="50"/>
      <c r="BO1158" s="50"/>
      <c r="BP1158" s="50"/>
      <c r="BQ1158" s="50"/>
      <c r="BR1158" s="50"/>
      <c r="BU1158" s="50"/>
      <c r="BV1158" s="50"/>
      <c r="BW1158" s="50"/>
      <c r="BX1158" s="50"/>
      <c r="BY1158" s="50"/>
      <c r="BZ1158" s="50"/>
      <c r="CA1158" s="50" t="s">
        <v>22</v>
      </c>
      <c r="CE1158" s="50"/>
      <c r="CF1158" s="50"/>
      <c r="CG1158" s="50"/>
      <c r="CH1158" s="50"/>
      <c r="CI1158" s="50">
        <f t="shared" si="629"/>
        <v>10</v>
      </c>
      <c r="CJ1158" s="50">
        <f t="shared" si="630"/>
        <v>1</v>
      </c>
      <c r="CL1158" s="9" t="s">
        <v>1269</v>
      </c>
      <c r="CM1158" s="9" t="s">
        <v>1285</v>
      </c>
      <c r="CN1158" s="55" t="s">
        <v>1284</v>
      </c>
      <c r="CO1158" s="9" t="s">
        <v>1284</v>
      </c>
    </row>
    <row r="1159" spans="1:93" s="9" customFormat="1" x14ac:dyDescent="0.25">
      <c r="A1159" s="9" t="s">
        <v>141</v>
      </c>
      <c r="B1159" s="50">
        <v>6.5662100456621006E-2</v>
      </c>
      <c r="C1159" s="50" t="s">
        <v>22</v>
      </c>
      <c r="D1159" s="50" t="s">
        <v>22</v>
      </c>
      <c r="E1159" s="50" t="s">
        <v>22</v>
      </c>
      <c r="F1159" s="9" t="s">
        <v>22</v>
      </c>
      <c r="G1159" s="9" t="s">
        <v>22</v>
      </c>
      <c r="H1159" s="9" t="s">
        <v>22</v>
      </c>
      <c r="I1159" s="9" t="s">
        <v>22</v>
      </c>
      <c r="J1159" s="50">
        <v>0.80645161290322587</v>
      </c>
      <c r="K1159" s="9">
        <v>633</v>
      </c>
      <c r="L1159" s="50">
        <f t="shared" si="632"/>
        <v>0.12947715703306453</v>
      </c>
      <c r="M1159" s="9" t="s">
        <v>45</v>
      </c>
      <c r="N1159" s="50">
        <v>1323.6051502145899</v>
      </c>
      <c r="O1159" s="50" t="s">
        <v>22</v>
      </c>
      <c r="P1159" s="50">
        <v>90.332103321033202</v>
      </c>
      <c r="Q1159" s="50"/>
      <c r="R1159" s="50">
        <f t="shared" si="631"/>
        <v>86.910694338291336</v>
      </c>
      <c r="S1159" s="50" t="s">
        <v>22</v>
      </c>
      <c r="T1159" s="50">
        <v>10</v>
      </c>
      <c r="U1159" s="50">
        <v>10</v>
      </c>
      <c r="V1159" s="9">
        <v>20210320</v>
      </c>
      <c r="W1159" s="21"/>
      <c r="X1159" s="21">
        <v>2019</v>
      </c>
      <c r="Y1159" s="21" t="s">
        <v>26</v>
      </c>
      <c r="Z1159" s="9" t="s">
        <v>1239</v>
      </c>
      <c r="AB1159" s="50"/>
      <c r="AC1159" s="9" t="s">
        <v>514</v>
      </c>
      <c r="AD1159" s="50">
        <v>15</v>
      </c>
      <c r="AE1159" s="50">
        <v>1590</v>
      </c>
      <c r="AF1159" s="50" t="s">
        <v>22</v>
      </c>
      <c r="AG1159" s="50" t="s">
        <v>22</v>
      </c>
      <c r="AH1159" s="50" t="s">
        <v>22</v>
      </c>
      <c r="AI1159" s="50" t="s">
        <v>22</v>
      </c>
      <c r="AJ1159" s="50" t="s">
        <v>22</v>
      </c>
      <c r="AK1159" s="50" t="s">
        <v>22</v>
      </c>
      <c r="AL1159" s="50" t="s">
        <v>22</v>
      </c>
      <c r="AM1159" s="43" t="e">
        <f t="shared" si="633"/>
        <v>#VALUE!</v>
      </c>
      <c r="AN1159" s="43" t="e">
        <f t="shared" si="634"/>
        <v>#VALUE!</v>
      </c>
      <c r="AO1159" s="21" t="s">
        <v>1237</v>
      </c>
      <c r="AT1159" s="2">
        <f t="shared" si="635"/>
        <v>7</v>
      </c>
      <c r="AU1159" s="45">
        <f t="shared" si="636"/>
        <v>-1.1826852287932546</v>
      </c>
      <c r="AV1159" s="45" t="e">
        <f t="shared" si="637"/>
        <v>#VALUE!</v>
      </c>
      <c r="AW1159" s="45" t="e">
        <f t="shared" si="638"/>
        <v>#VALUE!</v>
      </c>
      <c r="AX1159" s="45">
        <f t="shared" si="639"/>
        <v>3.1217584483528995</v>
      </c>
      <c r="AY1159" s="45" t="e">
        <f t="shared" si="640"/>
        <v>#VALUE!</v>
      </c>
      <c r="AZ1159" s="45">
        <f t="shared" si="641"/>
        <v>1.9558421225991178</v>
      </c>
      <c r="BA1159" s="45">
        <f t="shared" si="642"/>
        <v>-9.3421685162235035E-2</v>
      </c>
      <c r="BB1159" s="45">
        <f t="shared" si="643"/>
        <v>-0.8878068450928146</v>
      </c>
      <c r="BC1159" s="45">
        <f t="shared" si="644"/>
        <v>1</v>
      </c>
      <c r="BD1159" s="45">
        <f t="shared" si="645"/>
        <v>1.1760912590556813</v>
      </c>
      <c r="BE1159" s="45" t="e">
        <f t="shared" si="646"/>
        <v>#VALUE!</v>
      </c>
      <c r="BF1159" s="45" t="e">
        <f t="shared" si="647"/>
        <v>#VALUE!</v>
      </c>
      <c r="BG1159" s="45" t="e">
        <f t="shared" si="648"/>
        <v>#VALUE!</v>
      </c>
      <c r="BH1159" s="45" t="e">
        <f t="shared" si="649"/>
        <v>#NUM!</v>
      </c>
      <c r="BI1159" s="43" t="e">
        <f t="shared" si="650"/>
        <v>#VALUE!</v>
      </c>
      <c r="BL1159" s="20"/>
      <c r="BM1159" s="50"/>
      <c r="BN1159" s="50"/>
      <c r="BO1159" s="50"/>
      <c r="BP1159" s="50"/>
      <c r="BQ1159" s="50"/>
      <c r="BR1159" s="50"/>
      <c r="BU1159" s="50"/>
      <c r="BV1159" s="50"/>
      <c r="BW1159" s="50"/>
      <c r="BX1159" s="50"/>
      <c r="BY1159" s="50"/>
      <c r="BZ1159" s="50"/>
      <c r="CA1159" s="50" t="s">
        <v>22</v>
      </c>
      <c r="CE1159" s="50"/>
      <c r="CF1159" s="50"/>
      <c r="CG1159" s="50"/>
      <c r="CH1159" s="50"/>
      <c r="CI1159" s="50">
        <f t="shared" si="629"/>
        <v>10</v>
      </c>
      <c r="CJ1159" s="50">
        <f t="shared" si="630"/>
        <v>1</v>
      </c>
      <c r="CL1159" s="9" t="s">
        <v>1269</v>
      </c>
      <c r="CM1159" s="9" t="s">
        <v>1285</v>
      </c>
      <c r="CN1159" s="55" t="s">
        <v>1284</v>
      </c>
      <c r="CO1159" s="9" t="s">
        <v>1284</v>
      </c>
    </row>
    <row r="1160" spans="1:93" s="9" customFormat="1" x14ac:dyDescent="0.25">
      <c r="A1160" s="9" t="s">
        <v>266</v>
      </c>
      <c r="B1160" s="50">
        <v>0.93762239534056202</v>
      </c>
      <c r="C1160" s="50" t="s">
        <v>22</v>
      </c>
      <c r="D1160" s="50" t="s">
        <v>22</v>
      </c>
      <c r="E1160" s="50">
        <v>7.8135199611713508</v>
      </c>
      <c r="F1160" s="9" t="s">
        <v>22</v>
      </c>
      <c r="G1160" s="9" t="s">
        <v>22</v>
      </c>
      <c r="H1160" s="9" t="s">
        <v>22</v>
      </c>
      <c r="I1160" s="9" t="s">
        <v>22</v>
      </c>
      <c r="J1160" s="50" t="s">
        <v>22</v>
      </c>
      <c r="K1160" s="9" t="s">
        <v>22</v>
      </c>
      <c r="L1160" s="50" t="e">
        <f t="shared" si="632"/>
        <v>#VALUE!</v>
      </c>
      <c r="M1160" s="9" t="s">
        <v>45</v>
      </c>
      <c r="N1160" s="50" t="s">
        <v>22</v>
      </c>
      <c r="O1160" s="50" t="s">
        <v>22</v>
      </c>
      <c r="P1160" s="50" t="s">
        <v>22</v>
      </c>
      <c r="Q1160" s="50"/>
      <c r="R1160" s="50" t="s">
        <v>22</v>
      </c>
      <c r="S1160" s="50" t="s">
        <v>22</v>
      </c>
      <c r="T1160" s="50">
        <v>1.6</v>
      </c>
      <c r="U1160" s="50">
        <v>1.6</v>
      </c>
      <c r="V1160" s="9">
        <v>20200715</v>
      </c>
      <c r="W1160" s="21"/>
      <c r="X1160" s="21">
        <v>2019</v>
      </c>
      <c r="Y1160" s="9" t="s">
        <v>143</v>
      </c>
      <c r="Z1160" s="9" t="s">
        <v>32</v>
      </c>
      <c r="AB1160" s="50"/>
      <c r="AC1160" s="9" t="s">
        <v>514</v>
      </c>
      <c r="AD1160" s="50" t="s">
        <v>22</v>
      </c>
      <c r="AE1160" s="50" t="s">
        <v>22</v>
      </c>
      <c r="AF1160" s="50" t="s">
        <v>22</v>
      </c>
      <c r="AG1160" s="50" t="s">
        <v>22</v>
      </c>
      <c r="AH1160" s="50" t="s">
        <v>22</v>
      </c>
      <c r="AI1160" s="50" t="s">
        <v>22</v>
      </c>
      <c r="AJ1160" s="50">
        <f>1.07803790808439^-1</f>
        <v>0.92761116515553821</v>
      </c>
      <c r="AK1160" s="50" t="s">
        <v>22</v>
      </c>
      <c r="AL1160" s="50">
        <f>0.937622395340562^-1</f>
        <v>1.066527426146622</v>
      </c>
      <c r="AM1160" s="43" t="e">
        <f t="shared" si="633"/>
        <v>#VALUE!</v>
      </c>
      <c r="AN1160" s="43">
        <f t="shared" si="634"/>
        <v>1.1497569953977331</v>
      </c>
      <c r="AO1160" s="21" t="s">
        <v>1069</v>
      </c>
      <c r="AT1160" s="2">
        <f t="shared" si="635"/>
        <v>4</v>
      </c>
      <c r="AU1160" s="45">
        <f t="shared" si="636"/>
        <v>-2.7972027972028194E-2</v>
      </c>
      <c r="AV1160" s="45" t="e">
        <f t="shared" si="637"/>
        <v>#VALUE!</v>
      </c>
      <c r="AW1160" s="45" t="e">
        <f t="shared" si="638"/>
        <v>#VALUE!</v>
      </c>
      <c r="AX1160" s="45" t="e">
        <f t="shared" si="639"/>
        <v>#VALUE!</v>
      </c>
      <c r="AY1160" s="45" t="e">
        <f t="shared" si="640"/>
        <v>#VALUE!</v>
      </c>
      <c r="AZ1160" s="45" t="e">
        <f t="shared" si="641"/>
        <v>#VALUE!</v>
      </c>
      <c r="BA1160" s="45" t="e">
        <f t="shared" si="642"/>
        <v>#VALUE!</v>
      </c>
      <c r="BB1160" s="45" t="e">
        <f t="shared" si="643"/>
        <v>#VALUE!</v>
      </c>
      <c r="BC1160" s="45">
        <f t="shared" si="644"/>
        <v>0.20411998265592479</v>
      </c>
      <c r="BD1160" s="45" t="e">
        <f t="shared" si="645"/>
        <v>#VALUE!</v>
      </c>
      <c r="BE1160" s="45" t="e">
        <f t="shared" si="646"/>
        <v>#VALUE!</v>
      </c>
      <c r="BF1160" s="45" t="e">
        <f t="shared" si="647"/>
        <v>#VALUE!</v>
      </c>
      <c r="BG1160" s="45">
        <f t="shared" si="648"/>
        <v>6.0606060606059602E-2</v>
      </c>
      <c r="BH1160" s="45" t="e">
        <f t="shared" si="649"/>
        <v>#NUM!</v>
      </c>
      <c r="BI1160" s="43" t="e">
        <f t="shared" si="650"/>
        <v>#VALUE!</v>
      </c>
      <c r="BL1160" s="20"/>
      <c r="BM1160" s="50"/>
      <c r="BN1160" s="50"/>
      <c r="BO1160" s="50"/>
      <c r="BP1160" s="50"/>
      <c r="BQ1160" s="50"/>
      <c r="BR1160" s="50"/>
      <c r="BU1160" s="50"/>
      <c r="BV1160" s="50"/>
      <c r="BW1160" s="50"/>
      <c r="BX1160" s="50"/>
      <c r="BY1160" s="50"/>
      <c r="BZ1160" s="50"/>
      <c r="CA1160" s="50" t="s">
        <v>22</v>
      </c>
      <c r="CE1160" s="50"/>
      <c r="CF1160" s="50"/>
      <c r="CG1160" s="50"/>
      <c r="CH1160" s="50"/>
      <c r="CI1160" s="50">
        <f t="shared" si="629"/>
        <v>1.6</v>
      </c>
      <c r="CJ1160" s="50">
        <f t="shared" si="630"/>
        <v>0.20411998265592479</v>
      </c>
      <c r="CL1160" s="9" t="s">
        <v>1269</v>
      </c>
      <c r="CM1160" s="9" t="s">
        <v>1285</v>
      </c>
      <c r="CN1160" s="55" t="s">
        <v>1284</v>
      </c>
      <c r="CO1160" s="9" t="s">
        <v>1284</v>
      </c>
    </row>
    <row r="1161" spans="1:93" s="9" customFormat="1" x14ac:dyDescent="0.25">
      <c r="A1161" s="9" t="s">
        <v>315</v>
      </c>
      <c r="B1161" s="50">
        <v>0.16473398971098699</v>
      </c>
      <c r="C1161" s="50" t="s">
        <v>22</v>
      </c>
      <c r="D1161" s="50" t="s">
        <v>22</v>
      </c>
      <c r="E1161" s="50" t="s">
        <v>22</v>
      </c>
      <c r="F1161" s="9" t="s">
        <v>22</v>
      </c>
      <c r="G1161" s="9" t="s">
        <v>22</v>
      </c>
      <c r="H1161" s="9" t="s">
        <v>22</v>
      </c>
      <c r="I1161" s="9" t="s">
        <v>22</v>
      </c>
      <c r="J1161" s="50" t="s">
        <v>22</v>
      </c>
      <c r="K1161" s="9" t="s">
        <v>22</v>
      </c>
      <c r="L1161" s="50" t="e">
        <f t="shared" si="632"/>
        <v>#VALUE!</v>
      </c>
      <c r="M1161" s="9" t="s">
        <v>23</v>
      </c>
      <c r="N1161" s="50" t="s">
        <v>22</v>
      </c>
      <c r="O1161" s="50" t="s">
        <v>22</v>
      </c>
      <c r="P1161" s="50" t="s">
        <v>22</v>
      </c>
      <c r="Q1161" s="50"/>
      <c r="R1161" s="50" t="s">
        <v>22</v>
      </c>
      <c r="S1161" s="50" t="s">
        <v>22</v>
      </c>
      <c r="T1161" s="50">
        <v>1.6</v>
      </c>
      <c r="U1161" s="50">
        <v>1.6</v>
      </c>
      <c r="V1161" s="9">
        <v>20200715</v>
      </c>
      <c r="W1161" s="21"/>
      <c r="X1161" s="21">
        <v>2019</v>
      </c>
      <c r="Y1161" s="9" t="s">
        <v>143</v>
      </c>
      <c r="Z1161" s="9" t="s">
        <v>32</v>
      </c>
      <c r="AB1161" s="50"/>
      <c r="AC1161" s="9" t="s">
        <v>514</v>
      </c>
      <c r="AD1161" s="50" t="s">
        <v>22</v>
      </c>
      <c r="AE1161" s="50" t="s">
        <v>22</v>
      </c>
      <c r="AF1161" s="50" t="s">
        <v>22</v>
      </c>
      <c r="AG1161" s="50" t="s">
        <v>22</v>
      </c>
      <c r="AH1161" s="50" t="s">
        <v>22</v>
      </c>
      <c r="AI1161" s="50" t="s">
        <v>22</v>
      </c>
      <c r="AJ1161" s="50">
        <f>0.113748075072293^-1</f>
        <v>8.7913575624417941</v>
      </c>
      <c r="AK1161" s="50" t="s">
        <v>22</v>
      </c>
      <c r="AL1161" s="50">
        <f>0.164733989710987^-1</f>
        <v>6.0703926478950851</v>
      </c>
      <c r="AM1161" s="43" t="e">
        <f t="shared" si="633"/>
        <v>#VALUE!</v>
      </c>
      <c r="AN1161" s="43">
        <f t="shared" si="634"/>
        <v>0.69049547863106564</v>
      </c>
      <c r="AO1161" s="21" t="s">
        <v>1069</v>
      </c>
      <c r="AT1161" s="2">
        <f t="shared" si="635"/>
        <v>4</v>
      </c>
      <c r="AU1161" s="45">
        <f t="shared" si="636"/>
        <v>-0.78321678321678401</v>
      </c>
      <c r="AV1161" s="45" t="e">
        <f t="shared" si="637"/>
        <v>#VALUE!</v>
      </c>
      <c r="AW1161" s="45" t="e">
        <f t="shared" si="638"/>
        <v>#VALUE!</v>
      </c>
      <c r="AX1161" s="45" t="e">
        <f t="shared" si="639"/>
        <v>#VALUE!</v>
      </c>
      <c r="AY1161" s="45" t="e">
        <f t="shared" si="640"/>
        <v>#VALUE!</v>
      </c>
      <c r="AZ1161" s="45" t="e">
        <f t="shared" si="641"/>
        <v>#VALUE!</v>
      </c>
      <c r="BA1161" s="45" t="e">
        <f t="shared" si="642"/>
        <v>#VALUE!</v>
      </c>
      <c r="BB1161" s="45" t="e">
        <f t="shared" si="643"/>
        <v>#VALUE!</v>
      </c>
      <c r="BC1161" s="45">
        <f t="shared" si="644"/>
        <v>0.20411998265592479</v>
      </c>
      <c r="BD1161" s="45" t="e">
        <f t="shared" si="645"/>
        <v>#VALUE!</v>
      </c>
      <c r="BE1161" s="45" t="e">
        <f t="shared" si="646"/>
        <v>#VALUE!</v>
      </c>
      <c r="BF1161" s="45" t="e">
        <f t="shared" si="647"/>
        <v>#VALUE!</v>
      </c>
      <c r="BG1161" s="45">
        <f t="shared" si="648"/>
        <v>-0.16083916083916264</v>
      </c>
      <c r="BH1161" s="45" t="e">
        <f t="shared" si="649"/>
        <v>#NUM!</v>
      </c>
      <c r="BI1161" s="43" t="e">
        <f t="shared" si="650"/>
        <v>#VALUE!</v>
      </c>
      <c r="BL1161" s="20"/>
      <c r="BM1161" s="50"/>
      <c r="BN1161" s="50"/>
      <c r="BO1161" s="50"/>
      <c r="BP1161" s="50"/>
      <c r="BQ1161" s="50"/>
      <c r="BR1161" s="50"/>
      <c r="BU1161" s="50"/>
      <c r="BV1161" s="50"/>
      <c r="BW1161" s="50"/>
      <c r="BX1161" s="50"/>
      <c r="BY1161" s="50"/>
      <c r="BZ1161" s="50"/>
      <c r="CA1161" s="50" t="s">
        <v>22</v>
      </c>
      <c r="CE1161" s="50"/>
      <c r="CF1161" s="50"/>
      <c r="CG1161" s="50"/>
      <c r="CH1161" s="50"/>
      <c r="CI1161" s="50">
        <f t="shared" si="629"/>
        <v>1.6</v>
      </c>
      <c r="CJ1161" s="50">
        <f t="shared" si="630"/>
        <v>0.20411998265592479</v>
      </c>
      <c r="CL1161" s="9" t="s">
        <v>1269</v>
      </c>
      <c r="CM1161" s="9" t="s">
        <v>1285</v>
      </c>
      <c r="CN1161" s="55" t="s">
        <v>1284</v>
      </c>
      <c r="CO1161" s="9" t="s">
        <v>1284</v>
      </c>
    </row>
    <row r="1162" spans="1:93" s="9" customFormat="1" x14ac:dyDescent="0.25">
      <c r="A1162" s="9" t="s">
        <v>266</v>
      </c>
      <c r="B1162" s="50">
        <v>8.1457168522476504</v>
      </c>
      <c r="C1162" s="50" t="s">
        <v>22</v>
      </c>
      <c r="D1162" s="50" t="s">
        <v>22</v>
      </c>
      <c r="E1162" s="50" t="s">
        <v>22</v>
      </c>
      <c r="F1162" s="9" t="s">
        <v>22</v>
      </c>
      <c r="G1162" s="9" t="s">
        <v>22</v>
      </c>
      <c r="H1162" s="9" t="s">
        <v>22</v>
      </c>
      <c r="I1162" s="9" t="s">
        <v>22</v>
      </c>
      <c r="J1162" s="50" t="s">
        <v>22</v>
      </c>
      <c r="K1162" s="9" t="s">
        <v>22</v>
      </c>
      <c r="L1162" s="50" t="e">
        <f t="shared" si="632"/>
        <v>#VALUE!</v>
      </c>
      <c r="M1162" s="9" t="s">
        <v>45</v>
      </c>
      <c r="N1162" s="50" t="s">
        <v>22</v>
      </c>
      <c r="O1162" s="50" t="s">
        <v>22</v>
      </c>
      <c r="P1162" s="50" t="s">
        <v>22</v>
      </c>
      <c r="Q1162" s="50"/>
      <c r="R1162" s="50" t="s">
        <v>22</v>
      </c>
      <c r="S1162" s="50" t="s">
        <v>22</v>
      </c>
      <c r="T1162" s="50">
        <v>1.6</v>
      </c>
      <c r="U1162" s="50">
        <v>1.6</v>
      </c>
      <c r="V1162" s="9">
        <v>20200715</v>
      </c>
      <c r="W1162" s="21"/>
      <c r="X1162" s="21">
        <v>2019</v>
      </c>
      <c r="Y1162" s="9" t="s">
        <v>143</v>
      </c>
      <c r="Z1162" s="9" t="s">
        <v>153</v>
      </c>
      <c r="AA1162" s="9" t="s">
        <v>894</v>
      </c>
      <c r="AB1162" s="50">
        <v>0.93762239534056202</v>
      </c>
      <c r="AC1162" s="9" t="s">
        <v>514</v>
      </c>
      <c r="AD1162" s="50" t="s">
        <v>22</v>
      </c>
      <c r="AE1162" s="50" t="s">
        <v>22</v>
      </c>
      <c r="AF1162" s="50" t="s">
        <v>22</v>
      </c>
      <c r="AG1162" s="50" t="s">
        <v>22</v>
      </c>
      <c r="AH1162" s="50" t="s">
        <v>22</v>
      </c>
      <c r="AI1162" s="50" t="s">
        <v>22</v>
      </c>
      <c r="AJ1162" s="50">
        <f>8.47570475487435^-1</f>
        <v>0.11798428908521186</v>
      </c>
      <c r="AK1162" s="50" t="s">
        <v>22</v>
      </c>
      <c r="AL1162" s="50">
        <f>8.14571685224765^-1</f>
        <v>0.12276390379614897</v>
      </c>
      <c r="AM1162" s="43" t="e">
        <f t="shared" si="633"/>
        <v>#VALUE!</v>
      </c>
      <c r="AN1162" s="43">
        <f t="shared" si="634"/>
        <v>1.0405106031319571</v>
      </c>
      <c r="AO1162" s="21" t="s">
        <v>1069</v>
      </c>
      <c r="AT1162" s="2">
        <f t="shared" si="635"/>
        <v>4</v>
      </c>
      <c r="AU1162" s="45">
        <f t="shared" si="636"/>
        <v>0.91092930979569287</v>
      </c>
      <c r="AV1162" s="45" t="e">
        <f t="shared" si="637"/>
        <v>#VALUE!</v>
      </c>
      <c r="AW1162" s="45" t="e">
        <f t="shared" si="638"/>
        <v>#VALUE!</v>
      </c>
      <c r="AX1162" s="45" t="e">
        <f t="shared" si="639"/>
        <v>#VALUE!</v>
      </c>
      <c r="AY1162" s="45" t="e">
        <f t="shared" si="640"/>
        <v>#VALUE!</v>
      </c>
      <c r="AZ1162" s="45" t="e">
        <f t="shared" si="641"/>
        <v>#VALUE!</v>
      </c>
      <c r="BA1162" s="45" t="e">
        <f t="shared" si="642"/>
        <v>#VALUE!</v>
      </c>
      <c r="BB1162" s="45" t="e">
        <f t="shared" si="643"/>
        <v>#VALUE!</v>
      </c>
      <c r="BC1162" s="45">
        <f t="shared" si="644"/>
        <v>0.20411998265592479</v>
      </c>
      <c r="BD1162" s="45" t="e">
        <f t="shared" si="645"/>
        <v>#VALUE!</v>
      </c>
      <c r="BE1162" s="45" t="e">
        <f t="shared" si="646"/>
        <v>#VALUE!</v>
      </c>
      <c r="BF1162" s="45" t="e">
        <f t="shared" si="647"/>
        <v>#VALUE!</v>
      </c>
      <c r="BG1162" s="45">
        <f t="shared" si="648"/>
        <v>1.7246510168248505E-2</v>
      </c>
      <c r="BH1162" s="45">
        <f t="shared" si="649"/>
        <v>-2.7972027972028194E-2</v>
      </c>
      <c r="BI1162" s="43" t="e">
        <f t="shared" si="650"/>
        <v>#VALUE!</v>
      </c>
      <c r="BL1162" s="20"/>
      <c r="BM1162" s="50"/>
      <c r="BN1162" s="50"/>
      <c r="BO1162" s="50"/>
      <c r="BP1162" s="50"/>
      <c r="BQ1162" s="50"/>
      <c r="BR1162" s="50"/>
      <c r="BU1162" s="50"/>
      <c r="BV1162" s="50"/>
      <c r="BW1162" s="50"/>
      <c r="BX1162" s="50"/>
      <c r="BY1162" s="50"/>
      <c r="BZ1162" s="50"/>
      <c r="CA1162" s="50" t="s">
        <v>22</v>
      </c>
      <c r="CE1162" s="50"/>
      <c r="CF1162" s="50"/>
      <c r="CG1162" s="50"/>
      <c r="CH1162" s="50"/>
      <c r="CI1162" s="50">
        <f t="shared" si="629"/>
        <v>1.6</v>
      </c>
      <c r="CJ1162" s="50">
        <f t="shared" si="630"/>
        <v>0.20411998265592479</v>
      </c>
      <c r="CL1162" s="9" t="s">
        <v>1269</v>
      </c>
      <c r="CM1162" s="9" t="s">
        <v>1285</v>
      </c>
      <c r="CN1162" s="55" t="s">
        <v>1284</v>
      </c>
      <c r="CO1162" s="9" t="s">
        <v>1284</v>
      </c>
    </row>
    <row r="1163" spans="1:93" s="9" customFormat="1" x14ac:dyDescent="0.25">
      <c r="A1163" s="9" t="s">
        <v>266</v>
      </c>
      <c r="B1163" s="50">
        <v>1.3618764759897899</v>
      </c>
      <c r="C1163" s="50" t="s">
        <v>22</v>
      </c>
      <c r="D1163" s="50" t="s">
        <v>22</v>
      </c>
      <c r="E1163" s="50" t="s">
        <v>22</v>
      </c>
      <c r="F1163" s="9" t="s">
        <v>22</v>
      </c>
      <c r="G1163" s="9" t="s">
        <v>22</v>
      </c>
      <c r="H1163" s="9" t="s">
        <v>22</v>
      </c>
      <c r="I1163" s="9" t="s">
        <v>22</v>
      </c>
      <c r="J1163" s="50" t="s">
        <v>22</v>
      </c>
      <c r="K1163" s="9" t="s">
        <v>22</v>
      </c>
      <c r="L1163" s="50" t="e">
        <f t="shared" si="632"/>
        <v>#VALUE!</v>
      </c>
      <c r="M1163" s="9" t="s">
        <v>45</v>
      </c>
      <c r="N1163" s="50" t="s">
        <v>22</v>
      </c>
      <c r="O1163" s="50" t="s">
        <v>22</v>
      </c>
      <c r="P1163" s="50" t="s">
        <v>22</v>
      </c>
      <c r="Q1163" s="50"/>
      <c r="R1163" s="50" t="s">
        <v>22</v>
      </c>
      <c r="S1163" s="50" t="s">
        <v>22</v>
      </c>
      <c r="T1163" s="50">
        <v>1.6</v>
      </c>
      <c r="U1163" s="50">
        <v>1.6</v>
      </c>
      <c r="V1163" s="9">
        <v>20200715</v>
      </c>
      <c r="W1163" s="21"/>
      <c r="X1163" s="21">
        <v>2019</v>
      </c>
      <c r="Y1163" s="9" t="s">
        <v>143</v>
      </c>
      <c r="Z1163" s="9" t="s">
        <v>153</v>
      </c>
      <c r="AA1163" s="9" t="s">
        <v>894</v>
      </c>
      <c r="AB1163" s="50">
        <v>0.93762239534056202</v>
      </c>
      <c r="AC1163" s="9" t="s">
        <v>514</v>
      </c>
      <c r="AD1163" s="50" t="s">
        <v>22</v>
      </c>
      <c r="AE1163" s="50" t="s">
        <v>22</v>
      </c>
      <c r="AF1163" s="50" t="s">
        <v>22</v>
      </c>
      <c r="AG1163" s="50" t="s">
        <v>22</v>
      </c>
      <c r="AH1163" s="50" t="s">
        <v>22</v>
      </c>
      <c r="AI1163" s="50" t="s">
        <v>22</v>
      </c>
      <c r="AJ1163" s="50">
        <f>1.44761579726598^-1</f>
        <v>0.69079102472398857</v>
      </c>
      <c r="AK1163" s="50" t="s">
        <v>22</v>
      </c>
      <c r="AL1163" s="50">
        <f>1.36187647598979^-1</f>
        <v>0.73428098482515902</v>
      </c>
      <c r="AM1163" s="43" t="e">
        <f t="shared" si="633"/>
        <v>#VALUE!</v>
      </c>
      <c r="AN1163" s="43">
        <f t="shared" si="634"/>
        <v>1.0629567532649216</v>
      </c>
      <c r="AO1163" s="21" t="s">
        <v>1069</v>
      </c>
      <c r="AT1163" s="2">
        <f t="shared" si="635"/>
        <v>4</v>
      </c>
      <c r="AU1163" s="45">
        <f t="shared" si="636"/>
        <v>0.13413771827513946</v>
      </c>
      <c r="AV1163" s="45" t="e">
        <f t="shared" si="637"/>
        <v>#VALUE!</v>
      </c>
      <c r="AW1163" s="45" t="e">
        <f t="shared" si="638"/>
        <v>#VALUE!</v>
      </c>
      <c r="AX1163" s="45" t="e">
        <f t="shared" si="639"/>
        <v>#VALUE!</v>
      </c>
      <c r="AY1163" s="45" t="e">
        <f t="shared" si="640"/>
        <v>#VALUE!</v>
      </c>
      <c r="AZ1163" s="45" t="e">
        <f t="shared" si="641"/>
        <v>#VALUE!</v>
      </c>
      <c r="BA1163" s="45" t="e">
        <f t="shared" si="642"/>
        <v>#VALUE!</v>
      </c>
      <c r="BB1163" s="45" t="e">
        <f t="shared" si="643"/>
        <v>#VALUE!</v>
      </c>
      <c r="BC1163" s="45">
        <f t="shared" si="644"/>
        <v>0.20411998265592479</v>
      </c>
      <c r="BD1163" s="45" t="e">
        <f t="shared" si="645"/>
        <v>#VALUE!</v>
      </c>
      <c r="BE1163" s="45" t="e">
        <f t="shared" si="646"/>
        <v>#VALUE!</v>
      </c>
      <c r="BF1163" s="45" t="e">
        <f t="shared" si="647"/>
        <v>#VALUE!</v>
      </c>
      <c r="BG1163" s="45">
        <f t="shared" si="648"/>
        <v>2.6515595472993973E-2</v>
      </c>
      <c r="BH1163" s="45">
        <f t="shared" si="649"/>
        <v>-2.7972027972028194E-2</v>
      </c>
      <c r="BI1163" s="43" t="e">
        <f t="shared" si="650"/>
        <v>#VALUE!</v>
      </c>
      <c r="BL1163" s="20"/>
      <c r="BM1163" s="50"/>
      <c r="BN1163" s="50"/>
      <c r="BO1163" s="50"/>
      <c r="BP1163" s="50"/>
      <c r="BQ1163" s="50"/>
      <c r="BR1163" s="50"/>
      <c r="BU1163" s="50"/>
      <c r="BV1163" s="50"/>
      <c r="BW1163" s="50"/>
      <c r="BX1163" s="50"/>
      <c r="BY1163" s="50"/>
      <c r="BZ1163" s="50"/>
      <c r="CA1163" s="50" t="s">
        <v>22</v>
      </c>
      <c r="CE1163" s="50"/>
      <c r="CF1163" s="50"/>
      <c r="CG1163" s="50"/>
      <c r="CH1163" s="50"/>
      <c r="CI1163" s="50">
        <f t="shared" si="629"/>
        <v>1.6</v>
      </c>
      <c r="CJ1163" s="50">
        <f t="shared" si="630"/>
        <v>0.20411998265592479</v>
      </c>
      <c r="CL1163" s="9" t="s">
        <v>1269</v>
      </c>
      <c r="CM1163" s="9" t="s">
        <v>1285</v>
      </c>
      <c r="CN1163" s="55" t="s">
        <v>1284</v>
      </c>
      <c r="CO1163" s="9" t="s">
        <v>1284</v>
      </c>
    </row>
    <row r="1164" spans="1:93" x14ac:dyDescent="0.25">
      <c r="A1164" s="2" t="s">
        <v>141</v>
      </c>
      <c r="B1164" s="41">
        <v>0.18</v>
      </c>
      <c r="C1164" s="41" t="s">
        <v>22</v>
      </c>
      <c r="D1164" s="41" t="s">
        <v>22</v>
      </c>
      <c r="E1164" s="41" t="s">
        <v>22</v>
      </c>
      <c r="F1164" s="18" t="s">
        <v>22</v>
      </c>
      <c r="G1164" s="18" t="s">
        <v>22</v>
      </c>
      <c r="H1164" s="18" t="s">
        <v>22</v>
      </c>
      <c r="I1164" s="18" t="s">
        <v>22</v>
      </c>
      <c r="J1164" s="41" t="s">
        <v>22</v>
      </c>
      <c r="K1164" s="18" t="s">
        <v>22</v>
      </c>
      <c r="L1164" s="41" t="s">
        <v>22</v>
      </c>
      <c r="M1164" t="s">
        <v>23</v>
      </c>
      <c r="N1164" s="41" t="s">
        <v>22</v>
      </c>
      <c r="O1164" s="41" t="s">
        <v>22</v>
      </c>
      <c r="P1164" s="41" t="s">
        <v>22</v>
      </c>
      <c r="R1164" s="41" t="e">
        <f>N1164*B1164</f>
        <v>#VALUE!</v>
      </c>
      <c r="S1164" s="41" t="s">
        <v>22</v>
      </c>
      <c r="T1164" s="41" t="s">
        <v>22</v>
      </c>
      <c r="U1164" s="41" t="s">
        <v>22</v>
      </c>
      <c r="V1164" s="18">
        <v>20200520</v>
      </c>
      <c r="W1164" s="9" t="s">
        <v>859</v>
      </c>
      <c r="X1164" s="18">
        <v>2019</v>
      </c>
      <c r="Y1164" s="6" t="s">
        <v>452</v>
      </c>
      <c r="Z1164" s="18" t="s">
        <v>32</v>
      </c>
      <c r="AC1164" s="18" t="s">
        <v>514</v>
      </c>
      <c r="AD1164" s="41">
        <v>152</v>
      </c>
      <c r="AE1164" s="41" t="s">
        <v>22</v>
      </c>
      <c r="AF1164" s="41" t="s">
        <v>22</v>
      </c>
      <c r="AG1164" s="41" t="s">
        <v>22</v>
      </c>
      <c r="AH1164" s="41" t="s">
        <v>22</v>
      </c>
      <c r="AI1164" s="41" t="s">
        <v>22</v>
      </c>
      <c r="AJ1164" s="41" t="s">
        <v>22</v>
      </c>
      <c r="AK1164" s="41" t="s">
        <v>22</v>
      </c>
      <c r="AL1164" s="41" t="s">
        <v>22</v>
      </c>
      <c r="AM1164" s="43" t="e">
        <f t="shared" si="633"/>
        <v>#VALUE!</v>
      </c>
      <c r="AN1164" s="43" t="e">
        <f t="shared" si="634"/>
        <v>#VALUE!</v>
      </c>
      <c r="AO1164" s="10" t="s">
        <v>860</v>
      </c>
      <c r="AT1164" s="2">
        <f t="shared" si="635"/>
        <v>3</v>
      </c>
      <c r="AU1164" s="45">
        <f t="shared" si="636"/>
        <v>-0.74472749489669399</v>
      </c>
      <c r="AV1164" s="45" t="e">
        <f t="shared" si="637"/>
        <v>#VALUE!</v>
      </c>
      <c r="AW1164" s="45" t="e">
        <f t="shared" si="638"/>
        <v>#VALUE!</v>
      </c>
      <c r="AX1164" s="45" t="e">
        <f t="shared" si="639"/>
        <v>#VALUE!</v>
      </c>
      <c r="AY1164" s="45" t="e">
        <f t="shared" si="640"/>
        <v>#VALUE!</v>
      </c>
      <c r="AZ1164" s="45" t="e">
        <f t="shared" si="641"/>
        <v>#VALUE!</v>
      </c>
      <c r="BA1164" s="45" t="e">
        <f t="shared" si="642"/>
        <v>#VALUE!</v>
      </c>
      <c r="BB1164" s="45" t="e">
        <f t="shared" si="643"/>
        <v>#VALUE!</v>
      </c>
      <c r="BC1164" s="45" t="e">
        <f t="shared" si="644"/>
        <v>#VALUE!</v>
      </c>
      <c r="BD1164" s="45">
        <f t="shared" si="645"/>
        <v>2.1818435879447726</v>
      </c>
      <c r="BE1164" s="45" t="e">
        <f t="shared" si="646"/>
        <v>#VALUE!</v>
      </c>
      <c r="BF1164" s="45" t="e">
        <f t="shared" si="647"/>
        <v>#VALUE!</v>
      </c>
      <c r="BG1164" s="45" t="e">
        <f t="shared" si="648"/>
        <v>#VALUE!</v>
      </c>
      <c r="BH1164" s="45" t="e">
        <f t="shared" si="649"/>
        <v>#NUM!</v>
      </c>
      <c r="BI1164" s="43" t="e">
        <f t="shared" si="650"/>
        <v>#VALUE!</v>
      </c>
      <c r="BJ1164" t="s">
        <v>528</v>
      </c>
      <c r="BK1164" t="s">
        <v>521</v>
      </c>
      <c r="BL1164" s="18" t="s">
        <v>22</v>
      </c>
      <c r="BM1164" s="41" t="s">
        <v>22</v>
      </c>
      <c r="BN1164" s="41">
        <v>21000000</v>
      </c>
      <c r="BO1164" s="41" t="s">
        <v>22</v>
      </c>
      <c r="BP1164" s="41">
        <v>7000000</v>
      </c>
      <c r="BQ1164" s="41" t="s">
        <v>22</v>
      </c>
      <c r="BR1164" s="41" t="s">
        <v>22</v>
      </c>
      <c r="BS1164" t="s">
        <v>22</v>
      </c>
      <c r="BT1164" t="s">
        <v>22</v>
      </c>
      <c r="BU1164" s="41" t="s">
        <v>22</v>
      </c>
      <c r="BV1164" s="41" t="s">
        <v>22</v>
      </c>
      <c r="BW1164" s="43" t="e">
        <f>BV1164/(C1164*1000000)</f>
        <v>#VALUE!</v>
      </c>
      <c r="BX1164" s="41" t="s">
        <v>22</v>
      </c>
      <c r="BY1164" s="41" t="s">
        <v>22</v>
      </c>
      <c r="BZ1164" s="41">
        <v>25000</v>
      </c>
      <c r="CA1164" s="41">
        <v>25000</v>
      </c>
      <c r="CC1164" t="s">
        <v>1008</v>
      </c>
      <c r="CD1164" t="s">
        <v>1011</v>
      </c>
      <c r="CE1164" s="41">
        <f>LOG10(BN1164)</f>
        <v>7.3222192947339195</v>
      </c>
      <c r="CF1164" s="41" t="e">
        <f>LOG10(BV1164)</f>
        <v>#VALUE!</v>
      </c>
      <c r="CG1164" s="41">
        <f>AD1164*1000</f>
        <v>152000</v>
      </c>
      <c r="CH1164" s="41">
        <f>LOG10(CG1164)</f>
        <v>5.1818435879447726</v>
      </c>
      <c r="CI1164" s="41">
        <f>IF(ISNUMBER(CG1164),CG1164,U1164)</f>
        <v>152000</v>
      </c>
      <c r="CJ1164" s="41">
        <f>LOG10(CI1164)</f>
        <v>5.1818435879447726</v>
      </c>
      <c r="CL1164" s="9" t="s">
        <v>1269</v>
      </c>
      <c r="CM1164" s="18" t="s">
        <v>1283</v>
      </c>
      <c r="CN1164" s="54">
        <v>4.3979400086720375</v>
      </c>
      <c r="CO1164" s="18" t="s">
        <v>1283</v>
      </c>
    </row>
    <row r="1165" spans="1:93" x14ac:dyDescent="0.25">
      <c r="A1165" s="2" t="s">
        <v>141</v>
      </c>
      <c r="B1165" s="41">
        <v>0.23</v>
      </c>
      <c r="C1165" s="41" t="s">
        <v>22</v>
      </c>
      <c r="D1165" s="41" t="s">
        <v>22</v>
      </c>
      <c r="E1165" s="41" t="s">
        <v>22</v>
      </c>
      <c r="F1165" s="18" t="s">
        <v>22</v>
      </c>
      <c r="G1165" s="18" t="s">
        <v>22</v>
      </c>
      <c r="H1165" s="18" t="s">
        <v>22</v>
      </c>
      <c r="I1165" s="18" t="s">
        <v>22</v>
      </c>
      <c r="J1165" s="41" t="s">
        <v>22</v>
      </c>
      <c r="K1165" s="18" t="s">
        <v>22</v>
      </c>
      <c r="L1165" s="41" t="s">
        <v>22</v>
      </c>
      <c r="M1165" t="s">
        <v>23</v>
      </c>
      <c r="N1165" s="41" t="s">
        <v>22</v>
      </c>
      <c r="O1165" s="41" t="s">
        <v>22</v>
      </c>
      <c r="P1165" s="41" t="s">
        <v>22</v>
      </c>
      <c r="R1165" s="41" t="e">
        <f>N1165*B1165</f>
        <v>#VALUE!</v>
      </c>
      <c r="S1165" s="41" t="s">
        <v>22</v>
      </c>
      <c r="T1165" s="41" t="s">
        <v>22</v>
      </c>
      <c r="U1165" s="41" t="s">
        <v>22</v>
      </c>
      <c r="V1165" s="18">
        <v>20200520</v>
      </c>
      <c r="W1165" s="9" t="s">
        <v>861</v>
      </c>
      <c r="X1165" s="18">
        <v>2019</v>
      </c>
      <c r="Y1165" s="6" t="s">
        <v>452</v>
      </c>
      <c r="Z1165" s="18" t="s">
        <v>53</v>
      </c>
      <c r="AA1165" s="18"/>
      <c r="AC1165" s="18" t="s">
        <v>514</v>
      </c>
      <c r="AD1165" s="41">
        <v>139</v>
      </c>
      <c r="AE1165" s="41" t="s">
        <v>22</v>
      </c>
      <c r="AF1165" s="41" t="s">
        <v>22</v>
      </c>
      <c r="AG1165" s="41" t="s">
        <v>22</v>
      </c>
      <c r="AH1165" s="41" t="s">
        <v>22</v>
      </c>
      <c r="AI1165" s="41" t="s">
        <v>22</v>
      </c>
      <c r="AJ1165" s="41" t="s">
        <v>22</v>
      </c>
      <c r="AK1165" s="41" t="s">
        <v>22</v>
      </c>
      <c r="AL1165" s="41" t="s">
        <v>22</v>
      </c>
      <c r="AM1165" s="43" t="e">
        <f t="shared" si="633"/>
        <v>#VALUE!</v>
      </c>
      <c r="AN1165" s="43" t="e">
        <f t="shared" si="634"/>
        <v>#VALUE!</v>
      </c>
      <c r="AO1165" s="10" t="s">
        <v>860</v>
      </c>
      <c r="AT1165" s="2">
        <f t="shared" si="635"/>
        <v>3</v>
      </c>
      <c r="AU1165" s="45">
        <f t="shared" si="636"/>
        <v>-0.63827216398240705</v>
      </c>
      <c r="AV1165" s="45" t="e">
        <f t="shared" si="637"/>
        <v>#VALUE!</v>
      </c>
      <c r="AW1165" s="45" t="e">
        <f t="shared" si="638"/>
        <v>#VALUE!</v>
      </c>
      <c r="AX1165" s="45" t="e">
        <f t="shared" si="639"/>
        <v>#VALUE!</v>
      </c>
      <c r="AY1165" s="45" t="e">
        <f t="shared" si="640"/>
        <v>#VALUE!</v>
      </c>
      <c r="AZ1165" s="45" t="e">
        <f t="shared" si="641"/>
        <v>#VALUE!</v>
      </c>
      <c r="BA1165" s="45" t="e">
        <f t="shared" si="642"/>
        <v>#VALUE!</v>
      </c>
      <c r="BB1165" s="45" t="e">
        <f t="shared" si="643"/>
        <v>#VALUE!</v>
      </c>
      <c r="BC1165" s="45" t="e">
        <f t="shared" si="644"/>
        <v>#VALUE!</v>
      </c>
      <c r="BD1165" s="45">
        <f t="shared" si="645"/>
        <v>2.143014800254095</v>
      </c>
      <c r="BE1165" s="45" t="e">
        <f t="shared" si="646"/>
        <v>#VALUE!</v>
      </c>
      <c r="BF1165" s="45" t="e">
        <f t="shared" si="647"/>
        <v>#VALUE!</v>
      </c>
      <c r="BG1165" s="45" t="e">
        <f t="shared" si="648"/>
        <v>#VALUE!</v>
      </c>
      <c r="BH1165" s="45" t="e">
        <f t="shared" si="649"/>
        <v>#NUM!</v>
      </c>
      <c r="BI1165" s="43" t="e">
        <f t="shared" si="650"/>
        <v>#VALUE!</v>
      </c>
      <c r="BJ1165" t="s">
        <v>528</v>
      </c>
      <c r="BK1165" t="s">
        <v>521</v>
      </c>
      <c r="BL1165" s="18" t="s">
        <v>22</v>
      </c>
      <c r="BM1165" s="41" t="s">
        <v>22</v>
      </c>
      <c r="BN1165" s="41">
        <v>25000000</v>
      </c>
      <c r="BO1165" s="41" t="s">
        <v>22</v>
      </c>
      <c r="BP1165" s="41">
        <v>9000000</v>
      </c>
      <c r="BQ1165" s="41" t="s">
        <v>22</v>
      </c>
      <c r="BR1165" s="41" t="s">
        <v>22</v>
      </c>
      <c r="BS1165" t="s">
        <v>22</v>
      </c>
      <c r="BT1165" t="s">
        <v>22</v>
      </c>
      <c r="BU1165" s="41" t="s">
        <v>22</v>
      </c>
      <c r="BV1165" s="41" t="s">
        <v>22</v>
      </c>
      <c r="BW1165" s="43" t="e">
        <f>BV1165/(C1165*1000000)</f>
        <v>#VALUE!</v>
      </c>
      <c r="BX1165" s="41" t="s">
        <v>22</v>
      </c>
      <c r="BY1165" s="41" t="s">
        <v>22</v>
      </c>
      <c r="BZ1165" s="41">
        <v>25000</v>
      </c>
      <c r="CA1165" s="41">
        <v>25000</v>
      </c>
      <c r="CC1165" t="s">
        <v>1008</v>
      </c>
      <c r="CD1165" t="s">
        <v>1011</v>
      </c>
      <c r="CE1165" s="41">
        <f>LOG10(BN1165)</f>
        <v>7.3979400086720375</v>
      </c>
      <c r="CF1165" s="41" t="e">
        <f>LOG10(BV1165)</f>
        <v>#VALUE!</v>
      </c>
      <c r="CG1165" s="41">
        <f>AD1165*1000</f>
        <v>139000</v>
      </c>
      <c r="CH1165" s="41">
        <f>LOG10(CG1165)</f>
        <v>5.143014800254095</v>
      </c>
      <c r="CI1165" s="41">
        <f>IF(ISNUMBER(CG1165),CG1165,U1165)</f>
        <v>139000</v>
      </c>
      <c r="CJ1165" s="41">
        <f>LOG10(CI1165)</f>
        <v>5.143014800254095</v>
      </c>
      <c r="CL1165" s="9" t="s">
        <v>1269</v>
      </c>
      <c r="CM1165" s="18" t="s">
        <v>1283</v>
      </c>
      <c r="CN1165" s="54">
        <v>4.3979400086720375</v>
      </c>
      <c r="CO1165" s="18" t="s">
        <v>1283</v>
      </c>
    </row>
    <row r="1166" spans="1:93" x14ac:dyDescent="0.25">
      <c r="A1166" s="2" t="s">
        <v>141</v>
      </c>
      <c r="B1166" s="41">
        <v>1.06</v>
      </c>
      <c r="C1166" s="41" t="s">
        <v>22</v>
      </c>
      <c r="D1166" s="41" t="s">
        <v>22</v>
      </c>
      <c r="E1166" s="41" t="s">
        <v>22</v>
      </c>
      <c r="F1166" s="18" t="s">
        <v>22</v>
      </c>
      <c r="G1166" s="18" t="s">
        <v>22</v>
      </c>
      <c r="H1166" s="18" t="s">
        <v>22</v>
      </c>
      <c r="I1166" s="18" t="s">
        <v>22</v>
      </c>
      <c r="J1166" s="41" t="s">
        <v>22</v>
      </c>
      <c r="K1166" s="18" t="s">
        <v>22</v>
      </c>
      <c r="L1166" s="41" t="s">
        <v>22</v>
      </c>
      <c r="M1166" t="s">
        <v>45</v>
      </c>
      <c r="N1166" s="41" t="s">
        <v>22</v>
      </c>
      <c r="O1166" s="41" t="s">
        <v>22</v>
      </c>
      <c r="P1166" s="41" t="s">
        <v>22</v>
      </c>
      <c r="R1166" s="41" t="e">
        <f>N1166*B1166</f>
        <v>#VALUE!</v>
      </c>
      <c r="S1166" s="41" t="s">
        <v>22</v>
      </c>
      <c r="T1166" s="41" t="s">
        <v>22</v>
      </c>
      <c r="U1166" s="41" t="s">
        <v>22</v>
      </c>
      <c r="V1166" s="18">
        <v>20200520</v>
      </c>
      <c r="W1166" s="9" t="s">
        <v>862</v>
      </c>
      <c r="X1166" s="18">
        <v>2019</v>
      </c>
      <c r="Y1166" s="6" t="s">
        <v>452</v>
      </c>
      <c r="Z1166" s="18" t="s">
        <v>124</v>
      </c>
      <c r="AA1166" t="s">
        <v>880</v>
      </c>
      <c r="AB1166" s="41">
        <v>0.23</v>
      </c>
      <c r="AC1166" s="18" t="s">
        <v>514</v>
      </c>
      <c r="AD1166" s="41">
        <v>128</v>
      </c>
      <c r="AE1166" s="41" t="s">
        <v>22</v>
      </c>
      <c r="AF1166" s="41" t="s">
        <v>22</v>
      </c>
      <c r="AG1166" s="41" t="s">
        <v>22</v>
      </c>
      <c r="AH1166" s="41" t="s">
        <v>22</v>
      </c>
      <c r="AI1166" s="41" t="s">
        <v>22</v>
      </c>
      <c r="AJ1166" s="41" t="s">
        <v>22</v>
      </c>
      <c r="AK1166" s="41" t="s">
        <v>22</v>
      </c>
      <c r="AL1166" s="41" t="s">
        <v>22</v>
      </c>
      <c r="AM1166" s="43" t="e">
        <f t="shared" si="633"/>
        <v>#VALUE!</v>
      </c>
      <c r="AN1166" s="43" t="e">
        <f t="shared" si="634"/>
        <v>#VALUE!</v>
      </c>
      <c r="AO1166" s="10" t="s">
        <v>860</v>
      </c>
      <c r="AT1166" s="2">
        <f t="shared" si="635"/>
        <v>3</v>
      </c>
      <c r="AU1166" s="45">
        <f t="shared" si="636"/>
        <v>2.5305865264770262E-2</v>
      </c>
      <c r="AV1166" s="45" t="e">
        <f t="shared" si="637"/>
        <v>#VALUE!</v>
      </c>
      <c r="AW1166" s="45" t="e">
        <f t="shared" si="638"/>
        <v>#VALUE!</v>
      </c>
      <c r="AX1166" s="45" t="e">
        <f t="shared" si="639"/>
        <v>#VALUE!</v>
      </c>
      <c r="AY1166" s="45" t="e">
        <f t="shared" si="640"/>
        <v>#VALUE!</v>
      </c>
      <c r="AZ1166" s="45" t="e">
        <f t="shared" si="641"/>
        <v>#VALUE!</v>
      </c>
      <c r="BA1166" s="45" t="e">
        <f t="shared" si="642"/>
        <v>#VALUE!</v>
      </c>
      <c r="BB1166" s="45" t="e">
        <f t="shared" si="643"/>
        <v>#VALUE!</v>
      </c>
      <c r="BC1166" s="45" t="e">
        <f t="shared" si="644"/>
        <v>#VALUE!</v>
      </c>
      <c r="BD1166" s="45">
        <f t="shared" si="645"/>
        <v>2.1072099696478683</v>
      </c>
      <c r="BE1166" s="45" t="e">
        <f t="shared" si="646"/>
        <v>#VALUE!</v>
      </c>
      <c r="BF1166" s="45" t="e">
        <f t="shared" si="647"/>
        <v>#VALUE!</v>
      </c>
      <c r="BG1166" s="45" t="e">
        <f t="shared" si="648"/>
        <v>#VALUE!</v>
      </c>
      <c r="BH1166" s="45">
        <f t="shared" si="649"/>
        <v>-0.63827216398240705</v>
      </c>
      <c r="BI1166" s="43" t="e">
        <f t="shared" si="650"/>
        <v>#VALUE!</v>
      </c>
      <c r="BJ1166" t="s">
        <v>528</v>
      </c>
      <c r="BK1166" t="s">
        <v>521</v>
      </c>
      <c r="BL1166" s="18" t="s">
        <v>22</v>
      </c>
      <c r="BM1166" s="41" t="s">
        <v>22</v>
      </c>
      <c r="BN1166" s="41">
        <v>35000000</v>
      </c>
      <c r="BO1166" s="41" t="s">
        <v>22</v>
      </c>
      <c r="BP1166" s="41">
        <v>18000000</v>
      </c>
      <c r="BQ1166" s="41" t="s">
        <v>22</v>
      </c>
      <c r="BR1166" s="41" t="s">
        <v>22</v>
      </c>
      <c r="BS1166" t="s">
        <v>22</v>
      </c>
      <c r="BT1166" t="s">
        <v>22</v>
      </c>
      <c r="BU1166" s="41" t="s">
        <v>22</v>
      </c>
      <c r="BV1166" s="41" t="s">
        <v>22</v>
      </c>
      <c r="BW1166" s="43" t="e">
        <f>BV1166/(C1166*1000000)</f>
        <v>#VALUE!</v>
      </c>
      <c r="BX1166" s="41" t="s">
        <v>22</v>
      </c>
      <c r="BY1166" s="41" t="s">
        <v>22</v>
      </c>
      <c r="BZ1166" s="41">
        <v>25000</v>
      </c>
      <c r="CA1166" s="41">
        <v>25000</v>
      </c>
      <c r="CC1166" t="s">
        <v>1008</v>
      </c>
      <c r="CD1166" t="s">
        <v>1011</v>
      </c>
      <c r="CE1166" s="41">
        <f>LOG10(BN1166)</f>
        <v>7.5440680443502757</v>
      </c>
      <c r="CF1166" s="41" t="e">
        <f>LOG10(BV1166)</f>
        <v>#VALUE!</v>
      </c>
      <c r="CG1166" s="41">
        <f>AD1166*1000</f>
        <v>128000</v>
      </c>
      <c r="CH1166" s="41">
        <f>LOG10(CG1166)</f>
        <v>5.1072099696478688</v>
      </c>
      <c r="CI1166" s="41">
        <f>IF(ISNUMBER(CG1166),CG1166,U1166)</f>
        <v>128000</v>
      </c>
      <c r="CJ1166" s="41">
        <f>LOG10(CI1166)</f>
        <v>5.1072099696478688</v>
      </c>
      <c r="CL1166" s="9" t="s">
        <v>1269</v>
      </c>
      <c r="CM1166" s="18" t="s">
        <v>1283</v>
      </c>
      <c r="CN1166" s="54">
        <v>4.3979400086720375</v>
      </c>
      <c r="CO1166" s="18" t="s">
        <v>1283</v>
      </c>
    </row>
    <row r="1167" spans="1:93" s="9" customFormat="1" x14ac:dyDescent="0.25">
      <c r="A1167" s="9" t="s">
        <v>141</v>
      </c>
      <c r="B1167" s="50">
        <v>1.5630975143403444E-2</v>
      </c>
      <c r="C1167" s="50">
        <v>0.36971608832807501</v>
      </c>
      <c r="D1167" s="50">
        <f>0.001*(B1167*10^6)/(C1167*0.001*100^3)</f>
        <v>4.2278320140434311E-2</v>
      </c>
      <c r="E1167" s="50" t="s">
        <v>22</v>
      </c>
      <c r="F1167" s="9" t="s">
        <v>22</v>
      </c>
      <c r="G1167" s="9" t="s">
        <v>22</v>
      </c>
      <c r="H1167" s="9" t="s">
        <v>22</v>
      </c>
      <c r="I1167" s="9" t="s">
        <v>22</v>
      </c>
      <c r="J1167" s="50" t="s">
        <v>22</v>
      </c>
      <c r="K1167" s="9" t="s">
        <v>22</v>
      </c>
      <c r="L1167" s="50"/>
      <c r="M1167" s="9" t="s">
        <v>23</v>
      </c>
      <c r="N1167" s="50" t="s">
        <v>22</v>
      </c>
      <c r="O1167" s="50" t="s">
        <v>22</v>
      </c>
      <c r="P1167" s="50" t="s">
        <v>22</v>
      </c>
      <c r="Q1167" s="50"/>
      <c r="R1167" s="50" t="s">
        <v>22</v>
      </c>
      <c r="S1167" s="50" t="s">
        <v>22</v>
      </c>
      <c r="T1167" s="50" t="s">
        <v>22</v>
      </c>
      <c r="U1167" s="50" t="s">
        <v>22</v>
      </c>
      <c r="V1167" s="9">
        <v>20210320</v>
      </c>
      <c r="W1167" s="21"/>
      <c r="X1167" s="21">
        <v>2019</v>
      </c>
      <c r="Y1167" s="9" t="s">
        <v>26</v>
      </c>
      <c r="Z1167" s="9" t="s">
        <v>32</v>
      </c>
      <c r="AB1167" s="50"/>
      <c r="AC1167" s="9" t="s">
        <v>514</v>
      </c>
      <c r="AD1167" s="50">
        <v>23.241106719367501</v>
      </c>
      <c r="AE1167" s="50" t="s">
        <v>22</v>
      </c>
      <c r="AF1167" s="50" t="s">
        <v>22</v>
      </c>
      <c r="AG1167" s="50" t="s">
        <v>22</v>
      </c>
      <c r="AH1167" s="50" t="s">
        <v>22</v>
      </c>
      <c r="AI1167" s="50" t="s">
        <v>22</v>
      </c>
      <c r="AJ1167" s="50" t="s">
        <v>22</v>
      </c>
      <c r="AK1167" s="50" t="s">
        <v>22</v>
      </c>
      <c r="AL1167" s="50" t="s">
        <v>22</v>
      </c>
      <c r="AM1167" s="43" t="e">
        <f t="shared" si="633"/>
        <v>#VALUE!</v>
      </c>
      <c r="AN1167" s="43" t="e">
        <f t="shared" si="634"/>
        <v>#VALUE!</v>
      </c>
      <c r="AO1167" s="21" t="s">
        <v>1241</v>
      </c>
      <c r="AT1167" s="2">
        <f t="shared" si="635"/>
        <v>25</v>
      </c>
      <c r="AU1167" s="45">
        <f t="shared" si="636"/>
        <v>-1.8060139275349505</v>
      </c>
      <c r="AV1167" s="45">
        <f t="shared" si="637"/>
        <v>-0.43213165053568048</v>
      </c>
      <c r="AW1167" s="45">
        <f t="shared" si="638"/>
        <v>-1.37388227699927</v>
      </c>
      <c r="AX1167" s="45" t="e">
        <f t="shared" si="639"/>
        <v>#VALUE!</v>
      </c>
      <c r="AY1167" s="45" t="e">
        <f t="shared" si="640"/>
        <v>#VALUE!</v>
      </c>
      <c r="AZ1167" s="45" t="e">
        <f t="shared" si="641"/>
        <v>#VALUE!</v>
      </c>
      <c r="BA1167" s="45" t="e">
        <f t="shared" si="642"/>
        <v>#VALUE!</v>
      </c>
      <c r="BB1167" s="45" t="e">
        <f t="shared" si="643"/>
        <v>#NUM!</v>
      </c>
      <c r="BC1167" s="45" t="e">
        <f t="shared" si="644"/>
        <v>#VALUE!</v>
      </c>
      <c r="BD1167" s="45">
        <f t="shared" si="645"/>
        <v>1.366256804900319</v>
      </c>
      <c r="BE1167" s="45" t="e">
        <f t="shared" si="646"/>
        <v>#VALUE!</v>
      </c>
      <c r="BF1167" s="45" t="e">
        <f t="shared" si="647"/>
        <v>#VALUE!</v>
      </c>
      <c r="BG1167" s="45" t="e">
        <f t="shared" si="648"/>
        <v>#VALUE!</v>
      </c>
      <c r="BH1167" s="45" t="e">
        <f t="shared" si="649"/>
        <v>#NUM!</v>
      </c>
      <c r="BI1167" s="43" t="e">
        <f t="shared" si="650"/>
        <v>#VALUE!</v>
      </c>
      <c r="BL1167" s="20"/>
      <c r="BM1167" s="50"/>
      <c r="BN1167" s="50"/>
      <c r="BO1167" s="50"/>
      <c r="BP1167" s="50"/>
      <c r="BQ1167" s="50"/>
      <c r="BR1167" s="50"/>
      <c r="BU1167" s="50"/>
      <c r="BV1167" s="50"/>
      <c r="BW1167" s="50"/>
      <c r="BX1167" s="50"/>
      <c r="BY1167" s="50"/>
      <c r="BZ1167" s="50"/>
      <c r="CA1167" s="50" t="s">
        <v>22</v>
      </c>
      <c r="CE1167" s="50"/>
      <c r="CF1167" s="50"/>
      <c r="CG1167" s="50"/>
      <c r="CH1167" s="50"/>
      <c r="CI1167" s="50" t="str">
        <f t="shared" ref="CI1167:CI1191" si="651">IF(ISNUMBER(CG1167),CG1167,U1167)</f>
        <v>Not Reported/ Can not calculate</v>
      </c>
      <c r="CJ1167" s="50" t="e">
        <f t="shared" ref="CJ1167:CJ1191" si="652">LOG10(CI1167)</f>
        <v>#VALUE!</v>
      </c>
      <c r="CL1167" s="9" t="s">
        <v>1269</v>
      </c>
      <c r="CM1167" s="9" t="s">
        <v>1284</v>
      </c>
      <c r="CN1167" s="55" t="s">
        <v>1284</v>
      </c>
      <c r="CO1167" s="9" t="s">
        <v>1284</v>
      </c>
    </row>
    <row r="1168" spans="1:93" s="9" customFormat="1" x14ac:dyDescent="0.25">
      <c r="A1168" s="9" t="s">
        <v>141</v>
      </c>
      <c r="B1168" s="50">
        <v>1.0603112840466934E-2</v>
      </c>
      <c r="C1168" s="50">
        <v>0.15520504731861201</v>
      </c>
      <c r="D1168" s="50">
        <f>0.001*(B1168*10^6)/(C1168*0.001*100^3)</f>
        <v>6.831680427699223E-2</v>
      </c>
      <c r="E1168" s="50" t="s">
        <v>22</v>
      </c>
      <c r="F1168" s="9" t="s">
        <v>22</v>
      </c>
      <c r="G1168" s="9" t="s">
        <v>22</v>
      </c>
      <c r="H1168" s="9" t="s">
        <v>22</v>
      </c>
      <c r="I1168" s="9" t="s">
        <v>22</v>
      </c>
      <c r="J1168" s="50" t="s">
        <v>22</v>
      </c>
      <c r="K1168" s="9" t="s">
        <v>22</v>
      </c>
      <c r="L1168" s="50"/>
      <c r="M1168" s="9" t="s">
        <v>23</v>
      </c>
      <c r="N1168" s="50" t="s">
        <v>22</v>
      </c>
      <c r="O1168" s="50" t="s">
        <v>22</v>
      </c>
      <c r="P1168" s="50" t="s">
        <v>22</v>
      </c>
      <c r="Q1168" s="50"/>
      <c r="R1168" s="50" t="s">
        <v>22</v>
      </c>
      <c r="S1168" s="50" t="s">
        <v>22</v>
      </c>
      <c r="T1168" s="50" t="s">
        <v>22</v>
      </c>
      <c r="U1168" s="50" t="s">
        <v>22</v>
      </c>
      <c r="V1168" s="9">
        <v>20210320</v>
      </c>
      <c r="W1168" s="21"/>
      <c r="X1168" s="21">
        <v>2019</v>
      </c>
      <c r="Y1168" s="9" t="s">
        <v>26</v>
      </c>
      <c r="Z1168" s="9" t="s">
        <v>32</v>
      </c>
      <c r="AB1168" s="50"/>
      <c r="AC1168" s="9" t="s">
        <v>514</v>
      </c>
      <c r="AD1168" s="50">
        <v>31.936758893280601</v>
      </c>
      <c r="AE1168" s="50" t="s">
        <v>22</v>
      </c>
      <c r="AF1168" s="50" t="s">
        <v>22</v>
      </c>
      <c r="AG1168" s="50" t="s">
        <v>22</v>
      </c>
      <c r="AH1168" s="50" t="s">
        <v>22</v>
      </c>
      <c r="AI1168" s="50" t="s">
        <v>22</v>
      </c>
      <c r="AJ1168" s="50" t="s">
        <v>22</v>
      </c>
      <c r="AK1168" s="50" t="s">
        <v>22</v>
      </c>
      <c r="AL1168" s="50" t="s">
        <v>22</v>
      </c>
      <c r="AM1168" s="43" t="e">
        <f t="shared" si="633"/>
        <v>#VALUE!</v>
      </c>
      <c r="AN1168" s="43" t="e">
        <f t="shared" si="634"/>
        <v>#VALUE!</v>
      </c>
      <c r="AO1168" s="21" t="s">
        <v>1241</v>
      </c>
      <c r="AT1168" s="2">
        <f t="shared" si="635"/>
        <v>25</v>
      </c>
      <c r="AU1168" s="45">
        <f t="shared" si="636"/>
        <v>-1.9745666167186331</v>
      </c>
      <c r="AV1168" s="45">
        <f t="shared" si="637"/>
        <v>-0.80909415945039109</v>
      </c>
      <c r="AW1168" s="45">
        <f t="shared" si="638"/>
        <v>-1.1654724572682418</v>
      </c>
      <c r="AX1168" s="45" t="e">
        <f t="shared" si="639"/>
        <v>#VALUE!</v>
      </c>
      <c r="AY1168" s="45" t="e">
        <f t="shared" si="640"/>
        <v>#VALUE!</v>
      </c>
      <c r="AZ1168" s="45" t="e">
        <f t="shared" si="641"/>
        <v>#VALUE!</v>
      </c>
      <c r="BA1168" s="45" t="e">
        <f t="shared" si="642"/>
        <v>#VALUE!</v>
      </c>
      <c r="BB1168" s="45" t="e">
        <f t="shared" si="643"/>
        <v>#NUM!</v>
      </c>
      <c r="BC1168" s="45" t="e">
        <f t="shared" si="644"/>
        <v>#VALUE!</v>
      </c>
      <c r="BD1168" s="45">
        <f t="shared" si="645"/>
        <v>1.5042908395987677</v>
      </c>
      <c r="BE1168" s="45" t="e">
        <f t="shared" si="646"/>
        <v>#VALUE!</v>
      </c>
      <c r="BF1168" s="45" t="e">
        <f t="shared" si="647"/>
        <v>#VALUE!</v>
      </c>
      <c r="BG1168" s="45" t="e">
        <f t="shared" si="648"/>
        <v>#VALUE!</v>
      </c>
      <c r="BH1168" s="45" t="e">
        <f t="shared" si="649"/>
        <v>#NUM!</v>
      </c>
      <c r="BI1168" s="43" t="e">
        <f t="shared" si="650"/>
        <v>#VALUE!</v>
      </c>
      <c r="BL1168" s="20"/>
      <c r="BM1168" s="50"/>
      <c r="BN1168" s="50"/>
      <c r="BO1168" s="50"/>
      <c r="BP1168" s="50"/>
      <c r="BQ1168" s="50"/>
      <c r="BR1168" s="50"/>
      <c r="BU1168" s="50"/>
      <c r="BV1168" s="50"/>
      <c r="BW1168" s="50"/>
      <c r="BX1168" s="50"/>
      <c r="BY1168" s="50"/>
      <c r="BZ1168" s="50"/>
      <c r="CA1168" s="50" t="s">
        <v>22</v>
      </c>
      <c r="CE1168" s="50"/>
      <c r="CF1168" s="50"/>
      <c r="CG1168" s="50"/>
      <c r="CH1168" s="50"/>
      <c r="CI1168" s="50" t="str">
        <f t="shared" si="651"/>
        <v>Not Reported/ Can not calculate</v>
      </c>
      <c r="CJ1168" s="50" t="e">
        <f t="shared" si="652"/>
        <v>#VALUE!</v>
      </c>
      <c r="CL1168" s="9" t="s">
        <v>1269</v>
      </c>
      <c r="CM1168" s="9" t="s">
        <v>1284</v>
      </c>
      <c r="CN1168" s="55" t="s">
        <v>1284</v>
      </c>
      <c r="CO1168" s="9" t="s">
        <v>1284</v>
      </c>
    </row>
    <row r="1169" spans="1:93" s="9" customFormat="1" x14ac:dyDescent="0.25">
      <c r="A1169" s="9" t="s">
        <v>141</v>
      </c>
      <c r="B1169" s="50">
        <v>7.4931255728689682E-3</v>
      </c>
      <c r="C1169" s="50" t="s">
        <v>22</v>
      </c>
      <c r="D1169" s="50" t="s">
        <v>22</v>
      </c>
      <c r="E1169" s="50" t="s">
        <v>22</v>
      </c>
      <c r="F1169" s="9" t="s">
        <v>22</v>
      </c>
      <c r="G1169" s="9" t="s">
        <v>22</v>
      </c>
      <c r="H1169" s="9" t="s">
        <v>22</v>
      </c>
      <c r="I1169" s="9" t="s">
        <v>22</v>
      </c>
      <c r="J1169" s="50" t="s">
        <v>22</v>
      </c>
      <c r="K1169" s="9" t="s">
        <v>22</v>
      </c>
      <c r="L1169" s="50"/>
      <c r="M1169" s="9" t="s">
        <v>23</v>
      </c>
      <c r="N1169" s="50" t="s">
        <v>22</v>
      </c>
      <c r="O1169" s="50" t="s">
        <v>22</v>
      </c>
      <c r="P1169" s="50" t="s">
        <v>22</v>
      </c>
      <c r="Q1169" s="50"/>
      <c r="R1169" s="50" t="s">
        <v>22</v>
      </c>
      <c r="S1169" s="50" t="s">
        <v>22</v>
      </c>
      <c r="T1169" s="50" t="s">
        <v>22</v>
      </c>
      <c r="U1169" s="50" t="s">
        <v>22</v>
      </c>
      <c r="V1169" s="9">
        <v>20210320</v>
      </c>
      <c r="W1169" s="21"/>
      <c r="X1169" s="21">
        <v>2019</v>
      </c>
      <c r="Y1169" s="9" t="s">
        <v>26</v>
      </c>
      <c r="Z1169" s="9" t="s">
        <v>32</v>
      </c>
      <c r="AB1169" s="50"/>
      <c r="AC1169" s="9" t="s">
        <v>514</v>
      </c>
      <c r="AD1169" s="50">
        <v>35.256916996047401</v>
      </c>
      <c r="AE1169" s="50" t="s">
        <v>22</v>
      </c>
      <c r="AF1169" s="50" t="s">
        <v>22</v>
      </c>
      <c r="AG1169" s="50" t="s">
        <v>22</v>
      </c>
      <c r="AH1169" s="50" t="s">
        <v>22</v>
      </c>
      <c r="AI1169" s="50" t="s">
        <v>22</v>
      </c>
      <c r="AJ1169" s="50" t="s">
        <v>22</v>
      </c>
      <c r="AK1169" s="50" t="s">
        <v>22</v>
      </c>
      <c r="AL1169" s="50" t="s">
        <v>22</v>
      </c>
      <c r="AM1169" s="43" t="e">
        <f t="shared" si="633"/>
        <v>#VALUE!</v>
      </c>
      <c r="AN1169" s="43" t="e">
        <f t="shared" si="634"/>
        <v>#VALUE!</v>
      </c>
      <c r="AO1169" s="21" t="s">
        <v>1241</v>
      </c>
      <c r="AT1169" s="2">
        <f t="shared" si="635"/>
        <v>25</v>
      </c>
      <c r="AU1169" s="45">
        <f t="shared" si="636"/>
        <v>-2.1253369892560157</v>
      </c>
      <c r="AV1169" s="45" t="e">
        <f t="shared" si="637"/>
        <v>#VALUE!</v>
      </c>
      <c r="AW1169" s="45" t="e">
        <f t="shared" si="638"/>
        <v>#VALUE!</v>
      </c>
      <c r="AX1169" s="45" t="e">
        <f t="shared" si="639"/>
        <v>#VALUE!</v>
      </c>
      <c r="AY1169" s="45" t="e">
        <f t="shared" si="640"/>
        <v>#VALUE!</v>
      </c>
      <c r="AZ1169" s="45" t="e">
        <f t="shared" si="641"/>
        <v>#VALUE!</v>
      </c>
      <c r="BA1169" s="45" t="e">
        <f t="shared" si="642"/>
        <v>#VALUE!</v>
      </c>
      <c r="BB1169" s="45" t="e">
        <f t="shared" si="643"/>
        <v>#NUM!</v>
      </c>
      <c r="BC1169" s="45" t="e">
        <f t="shared" si="644"/>
        <v>#VALUE!</v>
      </c>
      <c r="BD1169" s="45">
        <f t="shared" si="645"/>
        <v>1.5472443332003047</v>
      </c>
      <c r="BE1169" s="45" t="e">
        <f t="shared" si="646"/>
        <v>#VALUE!</v>
      </c>
      <c r="BF1169" s="45" t="e">
        <f t="shared" si="647"/>
        <v>#VALUE!</v>
      </c>
      <c r="BG1169" s="45" t="e">
        <f t="shared" si="648"/>
        <v>#VALUE!</v>
      </c>
      <c r="BH1169" s="45" t="e">
        <f t="shared" si="649"/>
        <v>#NUM!</v>
      </c>
      <c r="BI1169" s="43" t="e">
        <f t="shared" si="650"/>
        <v>#VALUE!</v>
      </c>
      <c r="BL1169" s="20"/>
      <c r="BM1169" s="50"/>
      <c r="BN1169" s="50"/>
      <c r="BO1169" s="50"/>
      <c r="BP1169" s="50"/>
      <c r="BQ1169" s="50"/>
      <c r="BR1169" s="50"/>
      <c r="BU1169" s="50"/>
      <c r="BV1169" s="50"/>
      <c r="BW1169" s="50"/>
      <c r="BX1169" s="50"/>
      <c r="BY1169" s="50"/>
      <c r="BZ1169" s="50"/>
      <c r="CA1169" s="50" t="s">
        <v>22</v>
      </c>
      <c r="CE1169" s="50"/>
      <c r="CF1169" s="50"/>
      <c r="CG1169" s="50"/>
      <c r="CH1169" s="50"/>
      <c r="CI1169" s="50" t="str">
        <f t="shared" si="651"/>
        <v>Not Reported/ Can not calculate</v>
      </c>
      <c r="CJ1169" s="50" t="e">
        <f t="shared" si="652"/>
        <v>#VALUE!</v>
      </c>
      <c r="CL1169" s="9" t="s">
        <v>1269</v>
      </c>
      <c r="CM1169" s="9" t="s">
        <v>1284</v>
      </c>
      <c r="CN1169" s="55" t="s">
        <v>1284</v>
      </c>
      <c r="CO1169" s="9" t="s">
        <v>1284</v>
      </c>
    </row>
    <row r="1170" spans="1:93" s="9" customFormat="1" x14ac:dyDescent="0.25">
      <c r="A1170" s="9" t="s">
        <v>141</v>
      </c>
      <c r="B1170" s="50">
        <v>6.2739831158864535E-3</v>
      </c>
      <c r="C1170" s="50">
        <v>0.111041009463722</v>
      </c>
      <c r="D1170" s="50">
        <f t="shared" ref="D1170:D1182" si="653">0.001*(B1170*10^6)/(C1170*0.001*100^3)</f>
        <v>5.6501495674318551E-2</v>
      </c>
      <c r="E1170" s="50" t="s">
        <v>22</v>
      </c>
      <c r="F1170" s="9" t="s">
        <v>22</v>
      </c>
      <c r="G1170" s="9" t="s">
        <v>22</v>
      </c>
      <c r="H1170" s="9" t="s">
        <v>22</v>
      </c>
      <c r="I1170" s="9" t="s">
        <v>22</v>
      </c>
      <c r="J1170" s="50" t="s">
        <v>22</v>
      </c>
      <c r="K1170" s="9" t="s">
        <v>22</v>
      </c>
      <c r="L1170" s="50"/>
      <c r="M1170" s="9" t="s">
        <v>23</v>
      </c>
      <c r="N1170" s="50" t="s">
        <v>22</v>
      </c>
      <c r="O1170" s="50" t="s">
        <v>22</v>
      </c>
      <c r="P1170" s="50" t="s">
        <v>22</v>
      </c>
      <c r="Q1170" s="50"/>
      <c r="R1170" s="50" t="s">
        <v>22</v>
      </c>
      <c r="S1170" s="50" t="s">
        <v>22</v>
      </c>
      <c r="T1170" s="50" t="s">
        <v>22</v>
      </c>
      <c r="U1170" s="50" t="s">
        <v>22</v>
      </c>
      <c r="V1170" s="9">
        <v>20210320</v>
      </c>
      <c r="W1170" s="21"/>
      <c r="X1170" s="21">
        <v>2019</v>
      </c>
      <c r="Y1170" s="9" t="s">
        <v>26</v>
      </c>
      <c r="Z1170" s="9" t="s">
        <v>32</v>
      </c>
      <c r="AB1170" s="50"/>
      <c r="AC1170" s="9" t="s">
        <v>514</v>
      </c>
      <c r="AD1170" s="50">
        <v>39.6837944664031</v>
      </c>
      <c r="AE1170" s="50" t="s">
        <v>22</v>
      </c>
      <c r="AF1170" s="50" t="s">
        <v>22</v>
      </c>
      <c r="AG1170" s="50" t="s">
        <v>22</v>
      </c>
      <c r="AH1170" s="50" t="s">
        <v>22</v>
      </c>
      <c r="AI1170" s="50" t="s">
        <v>22</v>
      </c>
      <c r="AJ1170" s="50" t="s">
        <v>22</v>
      </c>
      <c r="AK1170" s="50" t="s">
        <v>22</v>
      </c>
      <c r="AL1170" s="50" t="s">
        <v>22</v>
      </c>
      <c r="AM1170" s="43" t="e">
        <f t="shared" si="633"/>
        <v>#VALUE!</v>
      </c>
      <c r="AN1170" s="43" t="e">
        <f t="shared" si="634"/>
        <v>#VALUE!</v>
      </c>
      <c r="AO1170" s="21" t="s">
        <v>1241</v>
      </c>
      <c r="AT1170" s="2">
        <f t="shared" si="635"/>
        <v>25</v>
      </c>
      <c r="AU1170" s="45">
        <f t="shared" si="636"/>
        <v>-2.2024566543802586</v>
      </c>
      <c r="AV1170" s="45">
        <f t="shared" si="637"/>
        <v>-0.95451659873962202</v>
      </c>
      <c r="AW1170" s="45">
        <f t="shared" si="638"/>
        <v>-1.2479400556406364</v>
      </c>
      <c r="AX1170" s="45" t="e">
        <f t="shared" si="639"/>
        <v>#VALUE!</v>
      </c>
      <c r="AY1170" s="45" t="e">
        <f t="shared" si="640"/>
        <v>#VALUE!</v>
      </c>
      <c r="AZ1170" s="45" t="e">
        <f t="shared" si="641"/>
        <v>#VALUE!</v>
      </c>
      <c r="BA1170" s="45" t="e">
        <f t="shared" si="642"/>
        <v>#VALUE!</v>
      </c>
      <c r="BB1170" s="45" t="e">
        <f t="shared" si="643"/>
        <v>#NUM!</v>
      </c>
      <c r="BC1170" s="45" t="e">
        <f t="shared" si="644"/>
        <v>#VALUE!</v>
      </c>
      <c r="BD1170" s="45">
        <f t="shared" si="645"/>
        <v>1.5986131916331818</v>
      </c>
      <c r="BE1170" s="45" t="e">
        <f t="shared" si="646"/>
        <v>#VALUE!</v>
      </c>
      <c r="BF1170" s="45" t="e">
        <f t="shared" si="647"/>
        <v>#VALUE!</v>
      </c>
      <c r="BG1170" s="45" t="e">
        <f t="shared" si="648"/>
        <v>#VALUE!</v>
      </c>
      <c r="BH1170" s="45" t="e">
        <f t="shared" si="649"/>
        <v>#NUM!</v>
      </c>
      <c r="BI1170" s="43" t="e">
        <f t="shared" si="650"/>
        <v>#VALUE!</v>
      </c>
      <c r="BL1170" s="20"/>
      <c r="BM1170" s="50"/>
      <c r="BN1170" s="50"/>
      <c r="BO1170" s="50"/>
      <c r="BP1170" s="50"/>
      <c r="BQ1170" s="50"/>
      <c r="BR1170" s="50"/>
      <c r="BU1170" s="50"/>
      <c r="BV1170" s="50"/>
      <c r="BW1170" s="50"/>
      <c r="BX1170" s="50"/>
      <c r="BY1170" s="50"/>
      <c r="BZ1170" s="50"/>
      <c r="CA1170" s="50" t="s">
        <v>22</v>
      </c>
      <c r="CE1170" s="50"/>
      <c r="CF1170" s="50"/>
      <c r="CG1170" s="50"/>
      <c r="CH1170" s="50"/>
      <c r="CI1170" s="50" t="str">
        <f t="shared" si="651"/>
        <v>Not Reported/ Can not calculate</v>
      </c>
      <c r="CJ1170" s="50" t="e">
        <f t="shared" si="652"/>
        <v>#VALUE!</v>
      </c>
      <c r="CL1170" s="9" t="s">
        <v>1269</v>
      </c>
      <c r="CM1170" s="9" t="s">
        <v>1284</v>
      </c>
      <c r="CN1170" s="55" t="s">
        <v>1284</v>
      </c>
      <c r="CO1170" s="9" t="s">
        <v>1284</v>
      </c>
    </row>
    <row r="1171" spans="1:93" s="9" customFormat="1" x14ac:dyDescent="0.25">
      <c r="A1171" s="9" t="s">
        <v>141</v>
      </c>
      <c r="B1171" s="50">
        <v>5.8267997148966711E-3</v>
      </c>
      <c r="C1171" s="50">
        <v>9.58990536277603E-2</v>
      </c>
      <c r="D1171" s="50">
        <f t="shared" si="653"/>
        <v>6.0759720711258035E-2</v>
      </c>
      <c r="E1171" s="50" t="s">
        <v>22</v>
      </c>
      <c r="F1171" s="9" t="s">
        <v>22</v>
      </c>
      <c r="G1171" s="9" t="s">
        <v>22</v>
      </c>
      <c r="H1171" s="9" t="s">
        <v>22</v>
      </c>
      <c r="I1171" s="9" t="s">
        <v>22</v>
      </c>
      <c r="J1171" s="50" t="s">
        <v>22</v>
      </c>
      <c r="K1171" s="9" t="s">
        <v>22</v>
      </c>
      <c r="L1171" s="50"/>
      <c r="M1171" s="9" t="s">
        <v>23</v>
      </c>
      <c r="N1171" s="50" t="s">
        <v>22</v>
      </c>
      <c r="O1171" s="50" t="s">
        <v>22</v>
      </c>
      <c r="P1171" s="50" t="s">
        <v>22</v>
      </c>
      <c r="Q1171" s="50"/>
      <c r="R1171" s="50" t="s">
        <v>22</v>
      </c>
      <c r="S1171" s="50" t="s">
        <v>22</v>
      </c>
      <c r="T1171" s="50" t="s">
        <v>22</v>
      </c>
      <c r="U1171" s="50" t="s">
        <v>22</v>
      </c>
      <c r="V1171" s="9">
        <v>20210320</v>
      </c>
      <c r="W1171" s="21"/>
      <c r="X1171" s="21">
        <v>2019</v>
      </c>
      <c r="Y1171" s="9" t="s">
        <v>26</v>
      </c>
      <c r="Z1171" s="9" t="s">
        <v>32</v>
      </c>
      <c r="AB1171" s="50"/>
      <c r="AC1171" s="9" t="s">
        <v>514</v>
      </c>
      <c r="AD1171" s="50">
        <v>39.209486166007899</v>
      </c>
      <c r="AE1171" s="50" t="s">
        <v>22</v>
      </c>
      <c r="AF1171" s="50" t="s">
        <v>22</v>
      </c>
      <c r="AG1171" s="50" t="s">
        <v>22</v>
      </c>
      <c r="AH1171" s="50" t="s">
        <v>22</v>
      </c>
      <c r="AI1171" s="50" t="s">
        <v>22</v>
      </c>
      <c r="AJ1171" s="50" t="s">
        <v>22</v>
      </c>
      <c r="AK1171" s="50" t="s">
        <v>22</v>
      </c>
      <c r="AL1171" s="50" t="s">
        <v>22</v>
      </c>
      <c r="AM1171" s="43" t="e">
        <f t="shared" si="633"/>
        <v>#VALUE!</v>
      </c>
      <c r="AN1171" s="43" t="e">
        <f t="shared" si="634"/>
        <v>#VALUE!</v>
      </c>
      <c r="AO1171" s="21" t="s">
        <v>1241</v>
      </c>
      <c r="AT1171" s="2">
        <f t="shared" si="635"/>
        <v>25</v>
      </c>
      <c r="AU1171" s="45">
        <f t="shared" si="636"/>
        <v>-2.2345699096960345</v>
      </c>
      <c r="AV1171" s="45">
        <f t="shared" si="637"/>
        <v>-1.0181856786089976</v>
      </c>
      <c r="AW1171" s="45">
        <f t="shared" si="638"/>
        <v>-1.216384231087037</v>
      </c>
      <c r="AX1171" s="45" t="e">
        <f t="shared" si="639"/>
        <v>#VALUE!</v>
      </c>
      <c r="AY1171" s="45" t="e">
        <f t="shared" si="640"/>
        <v>#VALUE!</v>
      </c>
      <c r="AZ1171" s="45" t="e">
        <f t="shared" si="641"/>
        <v>#VALUE!</v>
      </c>
      <c r="BA1171" s="45" t="e">
        <f t="shared" si="642"/>
        <v>#VALUE!</v>
      </c>
      <c r="BB1171" s="45" t="e">
        <f t="shared" si="643"/>
        <v>#NUM!</v>
      </c>
      <c r="BC1171" s="45" t="e">
        <f t="shared" si="644"/>
        <v>#VALUE!</v>
      </c>
      <c r="BD1171" s="45">
        <f t="shared" si="645"/>
        <v>1.5933911509783607</v>
      </c>
      <c r="BE1171" s="45" t="e">
        <f t="shared" si="646"/>
        <v>#VALUE!</v>
      </c>
      <c r="BF1171" s="45" t="e">
        <f t="shared" si="647"/>
        <v>#VALUE!</v>
      </c>
      <c r="BG1171" s="45" t="e">
        <f t="shared" si="648"/>
        <v>#VALUE!</v>
      </c>
      <c r="BH1171" s="45" t="e">
        <f t="shared" si="649"/>
        <v>#NUM!</v>
      </c>
      <c r="BI1171" s="43" t="e">
        <f t="shared" si="650"/>
        <v>#VALUE!</v>
      </c>
      <c r="BL1171" s="20"/>
      <c r="BM1171" s="50"/>
      <c r="BN1171" s="50"/>
      <c r="BO1171" s="50"/>
      <c r="BP1171" s="50"/>
      <c r="BQ1171" s="50"/>
      <c r="BR1171" s="50"/>
      <c r="BU1171" s="50"/>
      <c r="BV1171" s="50"/>
      <c r="BW1171" s="50"/>
      <c r="BX1171" s="50"/>
      <c r="BY1171" s="50"/>
      <c r="BZ1171" s="50"/>
      <c r="CA1171" s="50" t="s">
        <v>22</v>
      </c>
      <c r="CE1171" s="50"/>
      <c r="CF1171" s="50"/>
      <c r="CG1171" s="50"/>
      <c r="CH1171" s="50"/>
      <c r="CI1171" s="50" t="str">
        <f t="shared" si="651"/>
        <v>Not Reported/ Can not calculate</v>
      </c>
      <c r="CJ1171" s="50" t="e">
        <f t="shared" si="652"/>
        <v>#VALUE!</v>
      </c>
      <c r="CL1171" s="9" t="s">
        <v>1269</v>
      </c>
      <c r="CM1171" s="9" t="s">
        <v>1284</v>
      </c>
      <c r="CN1171" s="55" t="s">
        <v>1284</v>
      </c>
      <c r="CO1171" s="9" t="s">
        <v>1284</v>
      </c>
    </row>
    <row r="1172" spans="1:93" s="9" customFormat="1" x14ac:dyDescent="0.25">
      <c r="A1172" s="9" t="s">
        <v>141</v>
      </c>
      <c r="B1172" s="50">
        <v>1.5630975143403444E-2</v>
      </c>
      <c r="C1172" s="50">
        <v>0.38738170347003098</v>
      </c>
      <c r="D1172" s="50">
        <f t="shared" si="653"/>
        <v>4.035031857051221E-2</v>
      </c>
      <c r="E1172" s="50" t="s">
        <v>22</v>
      </c>
      <c r="F1172" s="9" t="s">
        <v>22</v>
      </c>
      <c r="G1172" s="9" t="s">
        <v>22</v>
      </c>
      <c r="H1172" s="9" t="s">
        <v>22</v>
      </c>
      <c r="I1172" s="9" t="s">
        <v>22</v>
      </c>
      <c r="J1172" s="50" t="s">
        <v>22</v>
      </c>
      <c r="K1172" s="9" t="s">
        <v>22</v>
      </c>
      <c r="L1172" s="50"/>
      <c r="M1172" s="9" t="s">
        <v>23</v>
      </c>
      <c r="N1172" s="50" t="s">
        <v>22</v>
      </c>
      <c r="O1172" s="50" t="s">
        <v>22</v>
      </c>
      <c r="P1172" s="50" t="s">
        <v>22</v>
      </c>
      <c r="Q1172" s="50"/>
      <c r="R1172" s="50" t="s">
        <v>22</v>
      </c>
      <c r="S1172" s="50" t="s">
        <v>22</v>
      </c>
      <c r="T1172" s="50" t="s">
        <v>22</v>
      </c>
      <c r="U1172" s="50" t="s">
        <v>22</v>
      </c>
      <c r="V1172" s="9">
        <v>20210320</v>
      </c>
      <c r="W1172" s="21"/>
      <c r="X1172" s="21">
        <v>2019</v>
      </c>
      <c r="Y1172" s="9" t="s">
        <v>26</v>
      </c>
      <c r="Z1172" s="9" t="s">
        <v>32</v>
      </c>
      <c r="AB1172" s="50"/>
      <c r="AC1172" s="9" t="s">
        <v>514</v>
      </c>
      <c r="AD1172" s="50">
        <v>33.201581027667899</v>
      </c>
      <c r="AE1172" s="50" t="s">
        <v>22</v>
      </c>
      <c r="AF1172" s="50" t="s">
        <v>22</v>
      </c>
      <c r="AG1172" s="50" t="s">
        <v>22</v>
      </c>
      <c r="AH1172" s="50" t="s">
        <v>22</v>
      </c>
      <c r="AI1172" s="50" t="s">
        <v>22</v>
      </c>
      <c r="AJ1172" s="50" t="s">
        <v>22</v>
      </c>
      <c r="AK1172" s="50" t="s">
        <v>22</v>
      </c>
      <c r="AL1172" s="50" t="s">
        <v>22</v>
      </c>
      <c r="AM1172" s="43" t="e">
        <f t="shared" si="633"/>
        <v>#VALUE!</v>
      </c>
      <c r="AN1172" s="43" t="e">
        <f t="shared" si="634"/>
        <v>#VALUE!</v>
      </c>
      <c r="AO1172" s="21" t="s">
        <v>1241</v>
      </c>
      <c r="AT1172" s="2">
        <f t="shared" si="635"/>
        <v>25</v>
      </c>
      <c r="AU1172" s="45">
        <f t="shared" si="636"/>
        <v>-1.8060139275349505</v>
      </c>
      <c r="AV1172" s="45">
        <f t="shared" si="637"/>
        <v>-0.41186089541260323</v>
      </c>
      <c r="AW1172" s="45">
        <f t="shared" si="638"/>
        <v>-1.3941530321223472</v>
      </c>
      <c r="AX1172" s="45" t="e">
        <f t="shared" si="639"/>
        <v>#VALUE!</v>
      </c>
      <c r="AY1172" s="45" t="e">
        <f t="shared" si="640"/>
        <v>#VALUE!</v>
      </c>
      <c r="AZ1172" s="45" t="e">
        <f t="shared" si="641"/>
        <v>#VALUE!</v>
      </c>
      <c r="BA1172" s="45" t="e">
        <f t="shared" si="642"/>
        <v>#VALUE!</v>
      </c>
      <c r="BB1172" s="45" t="e">
        <f t="shared" si="643"/>
        <v>#NUM!</v>
      </c>
      <c r="BC1172" s="45" t="e">
        <f t="shared" si="644"/>
        <v>#VALUE!</v>
      </c>
      <c r="BD1172" s="45">
        <f t="shared" si="645"/>
        <v>1.5211587648860627</v>
      </c>
      <c r="BE1172" s="45" t="e">
        <f t="shared" si="646"/>
        <v>#VALUE!</v>
      </c>
      <c r="BF1172" s="45" t="e">
        <f t="shared" si="647"/>
        <v>#VALUE!</v>
      </c>
      <c r="BG1172" s="45" t="e">
        <f t="shared" si="648"/>
        <v>#VALUE!</v>
      </c>
      <c r="BH1172" s="45" t="e">
        <f t="shared" si="649"/>
        <v>#NUM!</v>
      </c>
      <c r="BI1172" s="43" t="e">
        <f t="shared" si="650"/>
        <v>#VALUE!</v>
      </c>
      <c r="BL1172" s="20"/>
      <c r="BM1172" s="50"/>
      <c r="BN1172" s="50"/>
      <c r="BO1172" s="50"/>
      <c r="BP1172" s="50"/>
      <c r="BQ1172" s="50"/>
      <c r="BR1172" s="50"/>
      <c r="BU1172" s="50"/>
      <c r="BV1172" s="50"/>
      <c r="BW1172" s="50"/>
      <c r="BX1172" s="50"/>
      <c r="BY1172" s="50"/>
      <c r="BZ1172" s="50"/>
      <c r="CA1172" s="50" t="s">
        <v>22</v>
      </c>
      <c r="CE1172" s="50"/>
      <c r="CF1172" s="50"/>
      <c r="CG1172" s="50"/>
      <c r="CH1172" s="50"/>
      <c r="CI1172" s="50" t="str">
        <f t="shared" si="651"/>
        <v>Not Reported/ Can not calculate</v>
      </c>
      <c r="CJ1172" s="50" t="e">
        <f t="shared" si="652"/>
        <v>#VALUE!</v>
      </c>
      <c r="CL1172" s="9" t="s">
        <v>1269</v>
      </c>
      <c r="CM1172" s="9" t="s">
        <v>1284</v>
      </c>
      <c r="CN1172" s="55" t="s">
        <v>1284</v>
      </c>
      <c r="CO1172" s="9" t="s">
        <v>1284</v>
      </c>
    </row>
    <row r="1173" spans="1:93" s="9" customFormat="1" x14ac:dyDescent="0.25">
      <c r="A1173" s="9" t="s">
        <v>141</v>
      </c>
      <c r="B1173" s="50">
        <v>1.5395480225988715E-2</v>
      </c>
      <c r="C1173" s="50">
        <v>0.27760252365930599</v>
      </c>
      <c r="D1173" s="50">
        <f t="shared" si="653"/>
        <v>5.5458718541345715E-2</v>
      </c>
      <c r="E1173" s="50" t="s">
        <v>22</v>
      </c>
      <c r="F1173" s="9" t="s">
        <v>22</v>
      </c>
      <c r="G1173" s="9" t="s">
        <v>22</v>
      </c>
      <c r="H1173" s="9" t="s">
        <v>22</v>
      </c>
      <c r="I1173" s="9" t="s">
        <v>22</v>
      </c>
      <c r="J1173" s="50" t="s">
        <v>22</v>
      </c>
      <c r="K1173" s="9" t="s">
        <v>22</v>
      </c>
      <c r="L1173" s="50"/>
      <c r="M1173" s="9" t="s">
        <v>23</v>
      </c>
      <c r="N1173" s="50" t="s">
        <v>22</v>
      </c>
      <c r="O1173" s="50" t="s">
        <v>22</v>
      </c>
      <c r="P1173" s="50" t="s">
        <v>22</v>
      </c>
      <c r="Q1173" s="50"/>
      <c r="R1173" s="50" t="s">
        <v>22</v>
      </c>
      <c r="S1173" s="50" t="s">
        <v>22</v>
      </c>
      <c r="T1173" s="50" t="s">
        <v>22</v>
      </c>
      <c r="U1173" s="50" t="s">
        <v>22</v>
      </c>
      <c r="V1173" s="9">
        <v>20210320</v>
      </c>
      <c r="W1173" s="21"/>
      <c r="X1173" s="21">
        <v>2019</v>
      </c>
      <c r="Y1173" s="9" t="s">
        <v>26</v>
      </c>
      <c r="Z1173" s="9" t="s">
        <v>32</v>
      </c>
      <c r="AB1173" s="50"/>
      <c r="AC1173" s="9" t="s">
        <v>514</v>
      </c>
      <c r="AD1173" s="50">
        <v>38.418972332015798</v>
      </c>
      <c r="AE1173" s="50" t="s">
        <v>22</v>
      </c>
      <c r="AF1173" s="50" t="s">
        <v>22</v>
      </c>
      <c r="AG1173" s="50" t="s">
        <v>22</v>
      </c>
      <c r="AH1173" s="50" t="s">
        <v>22</v>
      </c>
      <c r="AI1173" s="50" t="s">
        <v>22</v>
      </c>
      <c r="AJ1173" s="50" t="s">
        <v>22</v>
      </c>
      <c r="AK1173" s="50" t="s">
        <v>22</v>
      </c>
      <c r="AL1173" s="50" t="s">
        <v>22</v>
      </c>
      <c r="AM1173" s="43" t="e">
        <f t="shared" si="633"/>
        <v>#VALUE!</v>
      </c>
      <c r="AN1173" s="43" t="e">
        <f t="shared" si="634"/>
        <v>#VALUE!</v>
      </c>
      <c r="AO1173" s="21" t="s">
        <v>1241</v>
      </c>
      <c r="AT1173" s="2">
        <f t="shared" si="635"/>
        <v>25</v>
      </c>
      <c r="AU1173" s="45">
        <f t="shared" si="636"/>
        <v>-1.8126067597491449</v>
      </c>
      <c r="AV1173" s="45">
        <f t="shared" si="637"/>
        <v>-0.55657659006758287</v>
      </c>
      <c r="AW1173" s="45">
        <f t="shared" si="638"/>
        <v>-1.2560301696815621</v>
      </c>
      <c r="AX1173" s="45" t="e">
        <f t="shared" si="639"/>
        <v>#VALUE!</v>
      </c>
      <c r="AY1173" s="45" t="e">
        <f t="shared" si="640"/>
        <v>#VALUE!</v>
      </c>
      <c r="AZ1173" s="45" t="e">
        <f t="shared" si="641"/>
        <v>#VALUE!</v>
      </c>
      <c r="BA1173" s="45" t="e">
        <f t="shared" si="642"/>
        <v>#VALUE!</v>
      </c>
      <c r="BB1173" s="45" t="e">
        <f t="shared" si="643"/>
        <v>#NUM!</v>
      </c>
      <c r="BC1173" s="45" t="e">
        <f t="shared" si="644"/>
        <v>#VALUE!</v>
      </c>
      <c r="BD1173" s="45">
        <f t="shared" si="645"/>
        <v>1.5845457437504564</v>
      </c>
      <c r="BE1173" s="45" t="e">
        <f t="shared" si="646"/>
        <v>#VALUE!</v>
      </c>
      <c r="BF1173" s="45" t="e">
        <f t="shared" si="647"/>
        <v>#VALUE!</v>
      </c>
      <c r="BG1173" s="45" t="e">
        <f t="shared" si="648"/>
        <v>#VALUE!</v>
      </c>
      <c r="BH1173" s="45" t="e">
        <f t="shared" si="649"/>
        <v>#NUM!</v>
      </c>
      <c r="BI1173" s="43" t="e">
        <f t="shared" si="650"/>
        <v>#VALUE!</v>
      </c>
      <c r="BL1173" s="20"/>
      <c r="BM1173" s="50"/>
      <c r="BN1173" s="50"/>
      <c r="BO1173" s="50"/>
      <c r="BP1173" s="50"/>
      <c r="BQ1173" s="50"/>
      <c r="BR1173" s="50"/>
      <c r="BU1173" s="50"/>
      <c r="BV1173" s="50"/>
      <c r="BW1173" s="50"/>
      <c r="BX1173" s="50"/>
      <c r="BY1173" s="50"/>
      <c r="BZ1173" s="50"/>
      <c r="CA1173" s="50" t="s">
        <v>22</v>
      </c>
      <c r="CE1173" s="50"/>
      <c r="CF1173" s="50"/>
      <c r="CG1173" s="50"/>
      <c r="CH1173" s="50"/>
      <c r="CI1173" s="50" t="str">
        <f t="shared" si="651"/>
        <v>Not Reported/ Can not calculate</v>
      </c>
      <c r="CJ1173" s="50" t="e">
        <f t="shared" si="652"/>
        <v>#VALUE!</v>
      </c>
      <c r="CL1173" s="9" t="s">
        <v>1269</v>
      </c>
      <c r="CM1173" s="9" t="s">
        <v>1284</v>
      </c>
      <c r="CN1173" s="55" t="s">
        <v>1284</v>
      </c>
      <c r="CO1173" s="9" t="s">
        <v>1284</v>
      </c>
    </row>
    <row r="1174" spans="1:93" s="9" customFormat="1" x14ac:dyDescent="0.25">
      <c r="A1174" s="9" t="s">
        <v>141</v>
      </c>
      <c r="B1174" s="50">
        <v>1.0827814569536432E-2</v>
      </c>
      <c r="C1174" s="50">
        <v>0.19936908517350099</v>
      </c>
      <c r="D1174" s="50">
        <f t="shared" si="653"/>
        <v>5.4310399027580038E-2</v>
      </c>
      <c r="E1174" s="50" t="s">
        <v>22</v>
      </c>
      <c r="F1174" s="9" t="s">
        <v>22</v>
      </c>
      <c r="G1174" s="9" t="s">
        <v>22</v>
      </c>
      <c r="H1174" s="9" t="s">
        <v>22</v>
      </c>
      <c r="I1174" s="9" t="s">
        <v>22</v>
      </c>
      <c r="J1174" s="50" t="s">
        <v>22</v>
      </c>
      <c r="K1174" s="9" t="s">
        <v>22</v>
      </c>
      <c r="L1174" s="50"/>
      <c r="M1174" s="9" t="s">
        <v>23</v>
      </c>
      <c r="N1174" s="50" t="s">
        <v>22</v>
      </c>
      <c r="O1174" s="50" t="s">
        <v>22</v>
      </c>
      <c r="P1174" s="50" t="s">
        <v>22</v>
      </c>
      <c r="Q1174" s="50"/>
      <c r="R1174" s="50" t="s">
        <v>22</v>
      </c>
      <c r="S1174" s="50" t="s">
        <v>22</v>
      </c>
      <c r="T1174" s="50" t="s">
        <v>22</v>
      </c>
      <c r="U1174" s="50" t="s">
        <v>22</v>
      </c>
      <c r="V1174" s="9">
        <v>20210320</v>
      </c>
      <c r="W1174" s="21"/>
      <c r="X1174" s="21">
        <v>2019</v>
      </c>
      <c r="Y1174" s="9" t="s">
        <v>26</v>
      </c>
      <c r="Z1174" s="9" t="s">
        <v>32</v>
      </c>
      <c r="AB1174" s="50"/>
      <c r="AC1174" s="9" t="s">
        <v>514</v>
      </c>
      <c r="AD1174" s="50">
        <v>44.901185770750899</v>
      </c>
      <c r="AE1174" s="50" t="s">
        <v>22</v>
      </c>
      <c r="AF1174" s="50" t="s">
        <v>22</v>
      </c>
      <c r="AG1174" s="50" t="s">
        <v>22</v>
      </c>
      <c r="AH1174" s="50" t="s">
        <v>22</v>
      </c>
      <c r="AI1174" s="50" t="s">
        <v>22</v>
      </c>
      <c r="AJ1174" s="50" t="s">
        <v>22</v>
      </c>
      <c r="AK1174" s="50" t="s">
        <v>22</v>
      </c>
      <c r="AL1174" s="50" t="s">
        <v>22</v>
      </c>
      <c r="AM1174" s="43" t="e">
        <f t="shared" si="633"/>
        <v>#VALUE!</v>
      </c>
      <c r="AN1174" s="43" t="e">
        <f t="shared" si="634"/>
        <v>#VALUE!</v>
      </c>
      <c r="AO1174" s="21" t="s">
        <v>1241</v>
      </c>
      <c r="AT1174" s="2">
        <f t="shared" si="635"/>
        <v>25</v>
      </c>
      <c r="AU1174" s="45">
        <f t="shared" si="636"/>
        <v>-1.9654591902968643</v>
      </c>
      <c r="AV1174" s="45">
        <f t="shared" si="637"/>
        <v>-0.70034218393536773</v>
      </c>
      <c r="AW1174" s="45">
        <f t="shared" si="638"/>
        <v>-1.2651170063614965</v>
      </c>
      <c r="AX1174" s="45" t="e">
        <f t="shared" si="639"/>
        <v>#VALUE!</v>
      </c>
      <c r="AY1174" s="45" t="e">
        <f t="shared" si="640"/>
        <v>#VALUE!</v>
      </c>
      <c r="AZ1174" s="45" t="e">
        <f t="shared" si="641"/>
        <v>#VALUE!</v>
      </c>
      <c r="BA1174" s="45" t="e">
        <f t="shared" si="642"/>
        <v>#VALUE!</v>
      </c>
      <c r="BB1174" s="45" t="e">
        <f t="shared" si="643"/>
        <v>#NUM!</v>
      </c>
      <c r="BC1174" s="45" t="e">
        <f t="shared" si="644"/>
        <v>#VALUE!</v>
      </c>
      <c r="BD1174" s="45">
        <f t="shared" si="645"/>
        <v>1.6522578101991814</v>
      </c>
      <c r="BE1174" s="45" t="e">
        <f t="shared" si="646"/>
        <v>#VALUE!</v>
      </c>
      <c r="BF1174" s="45" t="e">
        <f t="shared" si="647"/>
        <v>#VALUE!</v>
      </c>
      <c r="BG1174" s="45" t="e">
        <f t="shared" si="648"/>
        <v>#VALUE!</v>
      </c>
      <c r="BH1174" s="45" t="e">
        <f t="shared" si="649"/>
        <v>#NUM!</v>
      </c>
      <c r="BI1174" s="43" t="e">
        <f t="shared" si="650"/>
        <v>#VALUE!</v>
      </c>
      <c r="BL1174" s="20"/>
      <c r="BM1174" s="50"/>
      <c r="BN1174" s="50"/>
      <c r="BO1174" s="50"/>
      <c r="BP1174" s="50"/>
      <c r="BQ1174" s="50"/>
      <c r="BR1174" s="50"/>
      <c r="BU1174" s="50"/>
      <c r="BV1174" s="50"/>
      <c r="BW1174" s="50"/>
      <c r="BX1174" s="50"/>
      <c r="BY1174" s="50"/>
      <c r="BZ1174" s="50"/>
      <c r="CA1174" s="50" t="s">
        <v>22</v>
      </c>
      <c r="CE1174" s="50"/>
      <c r="CF1174" s="50"/>
      <c r="CG1174" s="50"/>
      <c r="CH1174" s="50"/>
      <c r="CI1174" s="50" t="str">
        <f t="shared" si="651"/>
        <v>Not Reported/ Can not calculate</v>
      </c>
      <c r="CJ1174" s="50" t="e">
        <f t="shared" si="652"/>
        <v>#VALUE!</v>
      </c>
      <c r="CL1174" s="9" t="s">
        <v>1269</v>
      </c>
      <c r="CM1174" s="9" t="s">
        <v>1284</v>
      </c>
      <c r="CN1174" s="55" t="s">
        <v>1284</v>
      </c>
      <c r="CO1174" s="9" t="s">
        <v>1284</v>
      </c>
    </row>
    <row r="1175" spans="1:93" s="9" customFormat="1" x14ac:dyDescent="0.25">
      <c r="A1175" s="9" t="s">
        <v>141</v>
      </c>
      <c r="B1175" s="50">
        <v>7.3848238482384946E-3</v>
      </c>
      <c r="C1175" s="50">
        <v>7.6971608832807598E-2</v>
      </c>
      <c r="D1175" s="50">
        <f t="shared" si="653"/>
        <v>9.5942178684082072E-2</v>
      </c>
      <c r="E1175" s="50" t="s">
        <v>22</v>
      </c>
      <c r="F1175" s="9" t="s">
        <v>22</v>
      </c>
      <c r="G1175" s="9" t="s">
        <v>22</v>
      </c>
      <c r="H1175" s="9" t="s">
        <v>22</v>
      </c>
      <c r="I1175" s="9" t="s">
        <v>22</v>
      </c>
      <c r="J1175" s="50" t="s">
        <v>22</v>
      </c>
      <c r="K1175" s="9" t="s">
        <v>22</v>
      </c>
      <c r="L1175" s="50"/>
      <c r="M1175" s="9" t="s">
        <v>23</v>
      </c>
      <c r="N1175" s="50" t="s">
        <v>22</v>
      </c>
      <c r="O1175" s="50" t="s">
        <v>22</v>
      </c>
      <c r="P1175" s="50" t="s">
        <v>22</v>
      </c>
      <c r="Q1175" s="50"/>
      <c r="R1175" s="50" t="s">
        <v>22</v>
      </c>
      <c r="S1175" s="50" t="s">
        <v>22</v>
      </c>
      <c r="T1175" s="50" t="s">
        <v>22</v>
      </c>
      <c r="U1175" s="50" t="s">
        <v>22</v>
      </c>
      <c r="V1175" s="9">
        <v>20210320</v>
      </c>
      <c r="W1175" s="21"/>
      <c r="X1175" s="21">
        <v>2019</v>
      </c>
      <c r="Y1175" s="9" t="s">
        <v>26</v>
      </c>
      <c r="Z1175" s="9" t="s">
        <v>32</v>
      </c>
      <c r="AB1175" s="50"/>
      <c r="AC1175" s="9" t="s">
        <v>514</v>
      </c>
      <c r="AD1175" s="50">
        <v>54.229249011857704</v>
      </c>
      <c r="AE1175" s="50" t="s">
        <v>22</v>
      </c>
      <c r="AF1175" s="50" t="s">
        <v>22</v>
      </c>
      <c r="AG1175" s="50" t="s">
        <v>22</v>
      </c>
      <c r="AH1175" s="50" t="s">
        <v>22</v>
      </c>
      <c r="AI1175" s="50" t="s">
        <v>22</v>
      </c>
      <c r="AJ1175" s="50" t="s">
        <v>22</v>
      </c>
      <c r="AK1175" s="50" t="s">
        <v>22</v>
      </c>
      <c r="AL1175" s="50" t="s">
        <v>22</v>
      </c>
      <c r="AM1175" s="43" t="e">
        <f t="shared" si="633"/>
        <v>#VALUE!</v>
      </c>
      <c r="AN1175" s="43" t="e">
        <f t="shared" si="634"/>
        <v>#VALUE!</v>
      </c>
      <c r="AO1175" s="21" t="s">
        <v>1241</v>
      </c>
      <c r="AT1175" s="2">
        <f t="shared" si="635"/>
        <v>25</v>
      </c>
      <c r="AU1175" s="45">
        <f t="shared" si="636"/>
        <v>-2.1316598595463985</v>
      </c>
      <c r="AV1175" s="45">
        <f t="shared" si="637"/>
        <v>-1.113669435879022</v>
      </c>
      <c r="AW1175" s="45">
        <f t="shared" si="638"/>
        <v>-1.0179904236673765</v>
      </c>
      <c r="AX1175" s="45" t="e">
        <f t="shared" si="639"/>
        <v>#VALUE!</v>
      </c>
      <c r="AY1175" s="45" t="e">
        <f t="shared" si="640"/>
        <v>#VALUE!</v>
      </c>
      <c r="AZ1175" s="45" t="e">
        <f t="shared" si="641"/>
        <v>#VALUE!</v>
      </c>
      <c r="BA1175" s="45" t="e">
        <f t="shared" si="642"/>
        <v>#VALUE!</v>
      </c>
      <c r="BB1175" s="45" t="e">
        <f t="shared" si="643"/>
        <v>#NUM!</v>
      </c>
      <c r="BC1175" s="45" t="e">
        <f t="shared" si="644"/>
        <v>#VALUE!</v>
      </c>
      <c r="BD1175" s="45">
        <f t="shared" si="645"/>
        <v>1.7342335901949149</v>
      </c>
      <c r="BE1175" s="45" t="e">
        <f t="shared" si="646"/>
        <v>#VALUE!</v>
      </c>
      <c r="BF1175" s="45" t="e">
        <f t="shared" si="647"/>
        <v>#VALUE!</v>
      </c>
      <c r="BG1175" s="45" t="e">
        <f t="shared" si="648"/>
        <v>#VALUE!</v>
      </c>
      <c r="BH1175" s="45" t="e">
        <f t="shared" si="649"/>
        <v>#NUM!</v>
      </c>
      <c r="BI1175" s="43" t="e">
        <f t="shared" si="650"/>
        <v>#VALUE!</v>
      </c>
      <c r="BL1175" s="20"/>
      <c r="BM1175" s="50"/>
      <c r="BN1175" s="50"/>
      <c r="BO1175" s="50"/>
      <c r="BP1175" s="50"/>
      <c r="BQ1175" s="50"/>
      <c r="BR1175" s="50"/>
      <c r="BU1175" s="50"/>
      <c r="BV1175" s="50"/>
      <c r="BW1175" s="50"/>
      <c r="BX1175" s="50"/>
      <c r="BY1175" s="50"/>
      <c r="BZ1175" s="50"/>
      <c r="CA1175" s="50" t="s">
        <v>22</v>
      </c>
      <c r="CE1175" s="50"/>
      <c r="CF1175" s="50"/>
      <c r="CG1175" s="50"/>
      <c r="CH1175" s="50"/>
      <c r="CI1175" s="50" t="str">
        <f t="shared" si="651"/>
        <v>Not Reported/ Can not calculate</v>
      </c>
      <c r="CJ1175" s="50" t="e">
        <f t="shared" si="652"/>
        <v>#VALUE!</v>
      </c>
      <c r="CL1175" s="9" t="s">
        <v>1269</v>
      </c>
      <c r="CM1175" s="9" t="s">
        <v>1284</v>
      </c>
      <c r="CN1175" s="55" t="s">
        <v>1284</v>
      </c>
      <c r="CO1175" s="9" t="s">
        <v>1284</v>
      </c>
    </row>
    <row r="1176" spans="1:93" s="9" customFormat="1" x14ac:dyDescent="0.25">
      <c r="A1176" s="9" t="s">
        <v>141</v>
      </c>
      <c r="B1176" s="50">
        <v>6.4726840855107168E-3</v>
      </c>
      <c r="C1176" s="50">
        <v>6.4353312302839097E-2</v>
      </c>
      <c r="D1176" s="50">
        <f t="shared" si="653"/>
        <v>0.10058043407386756</v>
      </c>
      <c r="E1176" s="50" t="s">
        <v>22</v>
      </c>
      <c r="F1176" s="9" t="s">
        <v>22</v>
      </c>
      <c r="G1176" s="9" t="s">
        <v>22</v>
      </c>
      <c r="H1176" s="9" t="s">
        <v>22</v>
      </c>
      <c r="I1176" s="9" t="s">
        <v>22</v>
      </c>
      <c r="J1176" s="50" t="s">
        <v>22</v>
      </c>
      <c r="K1176" s="9" t="s">
        <v>22</v>
      </c>
      <c r="L1176" s="50"/>
      <c r="M1176" s="9" t="s">
        <v>23</v>
      </c>
      <c r="N1176" s="50" t="s">
        <v>22</v>
      </c>
      <c r="O1176" s="50" t="s">
        <v>22</v>
      </c>
      <c r="P1176" s="50" t="s">
        <v>22</v>
      </c>
      <c r="Q1176" s="50"/>
      <c r="R1176" s="50" t="s">
        <v>22</v>
      </c>
      <c r="S1176" s="50" t="s">
        <v>22</v>
      </c>
      <c r="T1176" s="50" t="s">
        <v>22</v>
      </c>
      <c r="U1176" s="50" t="s">
        <v>22</v>
      </c>
      <c r="V1176" s="9">
        <v>20210320</v>
      </c>
      <c r="W1176" s="21"/>
      <c r="X1176" s="21">
        <v>2019</v>
      </c>
      <c r="Y1176" s="9" t="s">
        <v>26</v>
      </c>
      <c r="Z1176" s="9" t="s">
        <v>32</v>
      </c>
      <c r="AB1176" s="50"/>
      <c r="AC1176" s="9" t="s">
        <v>514</v>
      </c>
      <c r="AD1176" s="50">
        <v>59.288537549407103</v>
      </c>
      <c r="AE1176" s="50" t="s">
        <v>22</v>
      </c>
      <c r="AF1176" s="50" t="s">
        <v>22</v>
      </c>
      <c r="AG1176" s="50" t="s">
        <v>22</v>
      </c>
      <c r="AH1176" s="50" t="s">
        <v>22</v>
      </c>
      <c r="AI1176" s="50" t="s">
        <v>22</v>
      </c>
      <c r="AJ1176" s="50" t="s">
        <v>22</v>
      </c>
      <c r="AK1176" s="50" t="s">
        <v>22</v>
      </c>
      <c r="AL1176" s="50" t="s">
        <v>22</v>
      </c>
      <c r="AM1176" s="43" t="e">
        <f t="shared" si="633"/>
        <v>#VALUE!</v>
      </c>
      <c r="AN1176" s="43" t="e">
        <f t="shared" si="634"/>
        <v>#VALUE!</v>
      </c>
      <c r="AO1176" s="21" t="s">
        <v>1241</v>
      </c>
      <c r="AT1176" s="2">
        <f t="shared" si="635"/>
        <v>25</v>
      </c>
      <c r="AU1176" s="45">
        <f t="shared" si="636"/>
        <v>-2.1889155892230052</v>
      </c>
      <c r="AV1176" s="45">
        <f t="shared" si="637"/>
        <v>-1.1914290947918529</v>
      </c>
      <c r="AW1176" s="45">
        <f t="shared" si="638"/>
        <v>-0.99748649443115223</v>
      </c>
      <c r="AX1176" s="45" t="e">
        <f t="shared" si="639"/>
        <v>#VALUE!</v>
      </c>
      <c r="AY1176" s="45" t="e">
        <f t="shared" si="640"/>
        <v>#VALUE!</v>
      </c>
      <c r="AZ1176" s="45" t="e">
        <f t="shared" si="641"/>
        <v>#VALUE!</v>
      </c>
      <c r="BA1176" s="45" t="e">
        <f t="shared" si="642"/>
        <v>#VALUE!</v>
      </c>
      <c r="BB1176" s="45" t="e">
        <f t="shared" si="643"/>
        <v>#NUM!</v>
      </c>
      <c r="BC1176" s="45" t="e">
        <f t="shared" si="644"/>
        <v>#VALUE!</v>
      </c>
      <c r="BD1176" s="45">
        <f t="shared" si="645"/>
        <v>1.7729707378798631</v>
      </c>
      <c r="BE1176" s="45" t="e">
        <f t="shared" si="646"/>
        <v>#VALUE!</v>
      </c>
      <c r="BF1176" s="45" t="e">
        <f t="shared" si="647"/>
        <v>#VALUE!</v>
      </c>
      <c r="BG1176" s="45" t="e">
        <f t="shared" si="648"/>
        <v>#VALUE!</v>
      </c>
      <c r="BH1176" s="45" t="e">
        <f t="shared" si="649"/>
        <v>#NUM!</v>
      </c>
      <c r="BI1176" s="43" t="e">
        <f t="shared" si="650"/>
        <v>#VALUE!</v>
      </c>
      <c r="BL1176" s="20"/>
      <c r="BM1176" s="50"/>
      <c r="BN1176" s="50"/>
      <c r="BO1176" s="50"/>
      <c r="BP1176" s="50"/>
      <c r="BQ1176" s="50"/>
      <c r="BR1176" s="50"/>
      <c r="BU1176" s="50"/>
      <c r="BV1176" s="50"/>
      <c r="BW1176" s="50"/>
      <c r="BX1176" s="50"/>
      <c r="BY1176" s="50"/>
      <c r="BZ1176" s="50"/>
      <c r="CA1176" s="50" t="s">
        <v>22</v>
      </c>
      <c r="CE1176" s="50"/>
      <c r="CF1176" s="50"/>
      <c r="CG1176" s="50"/>
      <c r="CH1176" s="50"/>
      <c r="CI1176" s="50" t="str">
        <f t="shared" si="651"/>
        <v>Not Reported/ Can not calculate</v>
      </c>
      <c r="CJ1176" s="50" t="e">
        <f t="shared" si="652"/>
        <v>#VALUE!</v>
      </c>
      <c r="CL1176" s="9" t="s">
        <v>1269</v>
      </c>
      <c r="CM1176" s="9" t="s">
        <v>1284</v>
      </c>
      <c r="CN1176" s="55" t="s">
        <v>1284</v>
      </c>
      <c r="CO1176" s="9" t="s">
        <v>1284</v>
      </c>
    </row>
    <row r="1177" spans="1:93" s="9" customFormat="1" x14ac:dyDescent="0.25">
      <c r="A1177" s="9" t="s">
        <v>141</v>
      </c>
      <c r="B1177" s="50">
        <v>1.5395480225988715E-2</v>
      </c>
      <c r="C1177" s="50">
        <v>0.61577287066246</v>
      </c>
      <c r="D1177" s="50">
        <f t="shared" si="653"/>
        <v>2.5001881309623088E-2</v>
      </c>
      <c r="E1177" s="50" t="s">
        <v>22</v>
      </c>
      <c r="F1177" s="9" t="s">
        <v>22</v>
      </c>
      <c r="G1177" s="9" t="s">
        <v>22</v>
      </c>
      <c r="H1177" s="9" t="s">
        <v>22</v>
      </c>
      <c r="I1177" s="9" t="s">
        <v>22</v>
      </c>
      <c r="J1177" s="50" t="s">
        <v>22</v>
      </c>
      <c r="K1177" s="9" t="s">
        <v>22</v>
      </c>
      <c r="L1177" s="50"/>
      <c r="M1177" s="9" t="s">
        <v>23</v>
      </c>
      <c r="N1177" s="50" t="s">
        <v>22</v>
      </c>
      <c r="O1177" s="50" t="s">
        <v>22</v>
      </c>
      <c r="P1177" s="50" t="s">
        <v>22</v>
      </c>
      <c r="Q1177" s="50"/>
      <c r="R1177" s="50" t="s">
        <v>22</v>
      </c>
      <c r="S1177" s="50" t="s">
        <v>22</v>
      </c>
      <c r="T1177" s="50" t="s">
        <v>22</v>
      </c>
      <c r="U1177" s="50" t="s">
        <v>22</v>
      </c>
      <c r="V1177" s="9">
        <v>20210320</v>
      </c>
      <c r="W1177" s="21"/>
      <c r="X1177" s="21">
        <v>2019</v>
      </c>
      <c r="Y1177" s="9" t="s">
        <v>26</v>
      </c>
      <c r="Z1177" s="9" t="s">
        <v>32</v>
      </c>
      <c r="AB1177" s="50"/>
      <c r="AC1177" s="9" t="s">
        <v>514</v>
      </c>
      <c r="AD1177" s="50">
        <v>34.4664031620553</v>
      </c>
      <c r="AE1177" s="50" t="s">
        <v>22</v>
      </c>
      <c r="AF1177" s="50" t="s">
        <v>22</v>
      </c>
      <c r="AG1177" s="50" t="s">
        <v>22</v>
      </c>
      <c r="AH1177" s="50" t="s">
        <v>22</v>
      </c>
      <c r="AI1177" s="50" t="s">
        <v>22</v>
      </c>
      <c r="AJ1177" s="50" t="s">
        <v>22</v>
      </c>
      <c r="AK1177" s="50" t="s">
        <v>22</v>
      </c>
      <c r="AL1177" s="50" t="s">
        <v>22</v>
      </c>
      <c r="AM1177" s="43" t="e">
        <f t="shared" si="633"/>
        <v>#VALUE!</v>
      </c>
      <c r="AN1177" s="43" t="e">
        <f t="shared" si="634"/>
        <v>#VALUE!</v>
      </c>
      <c r="AO1177" s="21" t="s">
        <v>1241</v>
      </c>
      <c r="AT1177" s="2">
        <f t="shared" si="635"/>
        <v>25</v>
      </c>
      <c r="AU1177" s="45">
        <f t="shared" si="636"/>
        <v>-1.8126067597491449</v>
      </c>
      <c r="AV1177" s="45">
        <f t="shared" si="637"/>
        <v>-0.21057944888707888</v>
      </c>
      <c r="AW1177" s="45">
        <f t="shared" si="638"/>
        <v>-1.6020273108620662</v>
      </c>
      <c r="AX1177" s="45" t="e">
        <f t="shared" si="639"/>
        <v>#VALUE!</v>
      </c>
      <c r="AY1177" s="45" t="e">
        <f t="shared" si="640"/>
        <v>#VALUE!</v>
      </c>
      <c r="AZ1177" s="45" t="e">
        <f t="shared" si="641"/>
        <v>#VALUE!</v>
      </c>
      <c r="BA1177" s="45" t="e">
        <f t="shared" si="642"/>
        <v>#VALUE!</v>
      </c>
      <c r="BB1177" s="45" t="e">
        <f t="shared" si="643"/>
        <v>#NUM!</v>
      </c>
      <c r="BC1177" s="45" t="e">
        <f t="shared" si="644"/>
        <v>#VALUE!</v>
      </c>
      <c r="BD1177" s="45">
        <f t="shared" si="645"/>
        <v>1.5373959637567489</v>
      </c>
      <c r="BE1177" s="45" t="e">
        <f t="shared" si="646"/>
        <v>#VALUE!</v>
      </c>
      <c r="BF1177" s="45" t="e">
        <f t="shared" si="647"/>
        <v>#VALUE!</v>
      </c>
      <c r="BG1177" s="45" t="e">
        <f t="shared" si="648"/>
        <v>#VALUE!</v>
      </c>
      <c r="BH1177" s="45" t="e">
        <f t="shared" si="649"/>
        <v>#NUM!</v>
      </c>
      <c r="BI1177" s="43" t="e">
        <f t="shared" si="650"/>
        <v>#VALUE!</v>
      </c>
      <c r="BL1177" s="20"/>
      <c r="BM1177" s="50"/>
      <c r="BN1177" s="50"/>
      <c r="BO1177" s="50"/>
      <c r="BP1177" s="50"/>
      <c r="BQ1177" s="50"/>
      <c r="BR1177" s="50"/>
      <c r="BU1177" s="50"/>
      <c r="BV1177" s="50"/>
      <c r="BW1177" s="50"/>
      <c r="BX1177" s="50"/>
      <c r="BY1177" s="50"/>
      <c r="BZ1177" s="50"/>
      <c r="CA1177" s="50" t="s">
        <v>22</v>
      </c>
      <c r="CE1177" s="50"/>
      <c r="CF1177" s="50"/>
      <c r="CG1177" s="50"/>
      <c r="CH1177" s="50"/>
      <c r="CI1177" s="50" t="str">
        <f t="shared" si="651"/>
        <v>Not Reported/ Can not calculate</v>
      </c>
      <c r="CJ1177" s="50" t="e">
        <f t="shared" si="652"/>
        <v>#VALUE!</v>
      </c>
      <c r="CL1177" s="9" t="s">
        <v>1269</v>
      </c>
      <c r="CM1177" s="9" t="s">
        <v>1284</v>
      </c>
      <c r="CN1177" s="55" t="s">
        <v>1284</v>
      </c>
      <c r="CO1177" s="9" t="s">
        <v>1284</v>
      </c>
    </row>
    <row r="1178" spans="1:93" s="9" customFormat="1" x14ac:dyDescent="0.25">
      <c r="A1178" s="9" t="s">
        <v>141</v>
      </c>
      <c r="B1178" s="50">
        <v>1.0827814569536432E-2</v>
      </c>
      <c r="C1178" s="50">
        <v>0.243533123028391</v>
      </c>
      <c r="D1178" s="50">
        <f t="shared" si="653"/>
        <v>4.4461362934495478E-2</v>
      </c>
      <c r="E1178" s="50" t="s">
        <v>22</v>
      </c>
      <c r="F1178" s="9" t="s">
        <v>22</v>
      </c>
      <c r="G1178" s="9" t="s">
        <v>22</v>
      </c>
      <c r="H1178" s="9" t="s">
        <v>22</v>
      </c>
      <c r="I1178" s="9" t="s">
        <v>22</v>
      </c>
      <c r="J1178" s="50" t="s">
        <v>22</v>
      </c>
      <c r="K1178" s="9" t="s">
        <v>22</v>
      </c>
      <c r="L1178" s="50"/>
      <c r="M1178" s="9" t="s">
        <v>23</v>
      </c>
      <c r="N1178" s="50" t="s">
        <v>22</v>
      </c>
      <c r="O1178" s="50" t="s">
        <v>22</v>
      </c>
      <c r="P1178" s="50" t="s">
        <v>22</v>
      </c>
      <c r="Q1178" s="50"/>
      <c r="R1178" s="50" t="s">
        <v>22</v>
      </c>
      <c r="S1178" s="50" t="s">
        <v>22</v>
      </c>
      <c r="T1178" s="50" t="s">
        <v>22</v>
      </c>
      <c r="U1178" s="50" t="s">
        <v>22</v>
      </c>
      <c r="V1178" s="9">
        <v>20210320</v>
      </c>
      <c r="W1178" s="21"/>
      <c r="X1178" s="21">
        <v>2019</v>
      </c>
      <c r="Y1178" s="9" t="s">
        <v>26</v>
      </c>
      <c r="Z1178" s="9" t="s">
        <v>32</v>
      </c>
      <c r="AB1178" s="50"/>
      <c r="AC1178" s="9" t="s">
        <v>514</v>
      </c>
      <c r="AD1178" s="50">
        <v>45.691699604743</v>
      </c>
      <c r="AE1178" s="50" t="s">
        <v>22</v>
      </c>
      <c r="AF1178" s="50" t="s">
        <v>22</v>
      </c>
      <c r="AG1178" s="50" t="s">
        <v>22</v>
      </c>
      <c r="AH1178" s="50" t="s">
        <v>22</v>
      </c>
      <c r="AI1178" s="50" t="s">
        <v>22</v>
      </c>
      <c r="AJ1178" s="50" t="s">
        <v>22</v>
      </c>
      <c r="AK1178" s="50" t="s">
        <v>22</v>
      </c>
      <c r="AL1178" s="50" t="s">
        <v>22</v>
      </c>
      <c r="AM1178" s="43" t="e">
        <f t="shared" si="633"/>
        <v>#VALUE!</v>
      </c>
      <c r="AN1178" s="43" t="e">
        <f t="shared" si="634"/>
        <v>#VALUE!</v>
      </c>
      <c r="AO1178" s="21" t="s">
        <v>1241</v>
      </c>
      <c r="AT1178" s="2">
        <f t="shared" si="635"/>
        <v>25</v>
      </c>
      <c r="AU1178" s="45">
        <f t="shared" si="636"/>
        <v>-1.9654591902968643</v>
      </c>
      <c r="AV1178" s="45">
        <f t="shared" si="637"/>
        <v>-0.61344196188201561</v>
      </c>
      <c r="AW1178" s="45">
        <f t="shared" si="638"/>
        <v>-1.3520172284148486</v>
      </c>
      <c r="AX1178" s="45" t="e">
        <f t="shared" si="639"/>
        <v>#VALUE!</v>
      </c>
      <c r="AY1178" s="45" t="e">
        <f t="shared" si="640"/>
        <v>#VALUE!</v>
      </c>
      <c r="AZ1178" s="45" t="e">
        <f t="shared" si="641"/>
        <v>#VALUE!</v>
      </c>
      <c r="BA1178" s="45" t="e">
        <f t="shared" si="642"/>
        <v>#VALUE!</v>
      </c>
      <c r="BB1178" s="45" t="e">
        <f t="shared" si="643"/>
        <v>#NUM!</v>
      </c>
      <c r="BC1178" s="45" t="e">
        <f t="shared" si="644"/>
        <v>#VALUE!</v>
      </c>
      <c r="BD1178" s="45">
        <f t="shared" si="645"/>
        <v>1.6598373129086916</v>
      </c>
      <c r="BE1178" s="45" t="e">
        <f t="shared" si="646"/>
        <v>#VALUE!</v>
      </c>
      <c r="BF1178" s="45" t="e">
        <f t="shared" si="647"/>
        <v>#VALUE!</v>
      </c>
      <c r="BG1178" s="45" t="e">
        <f t="shared" si="648"/>
        <v>#VALUE!</v>
      </c>
      <c r="BH1178" s="45" t="e">
        <f t="shared" si="649"/>
        <v>#NUM!</v>
      </c>
      <c r="BI1178" s="43" t="e">
        <f t="shared" si="650"/>
        <v>#VALUE!</v>
      </c>
      <c r="BL1178" s="20"/>
      <c r="BM1178" s="50"/>
      <c r="BN1178" s="50"/>
      <c r="BO1178" s="50"/>
      <c r="BP1178" s="50"/>
      <c r="BQ1178" s="50"/>
      <c r="BR1178" s="50"/>
      <c r="BU1178" s="50"/>
      <c r="BV1178" s="50"/>
      <c r="BW1178" s="50"/>
      <c r="BX1178" s="50"/>
      <c r="BY1178" s="50"/>
      <c r="BZ1178" s="50"/>
      <c r="CA1178" s="50" t="s">
        <v>22</v>
      </c>
      <c r="CE1178" s="50"/>
      <c r="CF1178" s="50"/>
      <c r="CG1178" s="50"/>
      <c r="CH1178" s="50"/>
      <c r="CI1178" s="50" t="str">
        <f t="shared" si="651"/>
        <v>Not Reported/ Can not calculate</v>
      </c>
      <c r="CJ1178" s="50" t="e">
        <f t="shared" si="652"/>
        <v>#VALUE!</v>
      </c>
      <c r="CL1178" s="9" t="s">
        <v>1269</v>
      </c>
      <c r="CM1178" s="9" t="s">
        <v>1284</v>
      </c>
      <c r="CN1178" s="55" t="s">
        <v>1284</v>
      </c>
      <c r="CO1178" s="9" t="s">
        <v>1284</v>
      </c>
    </row>
    <row r="1179" spans="1:93" s="9" customFormat="1" x14ac:dyDescent="0.25">
      <c r="A1179" s="9" t="s">
        <v>141</v>
      </c>
      <c r="B1179" s="50">
        <v>1.1830680173661366E-2</v>
      </c>
      <c r="C1179" s="50">
        <v>0.21198738170347001</v>
      </c>
      <c r="D1179" s="50">
        <f t="shared" si="653"/>
        <v>5.5808416890634725E-2</v>
      </c>
      <c r="E1179" s="50" t="s">
        <v>22</v>
      </c>
      <c r="F1179" s="9" t="s">
        <v>22</v>
      </c>
      <c r="G1179" s="9" t="s">
        <v>22</v>
      </c>
      <c r="H1179" s="9" t="s">
        <v>22</v>
      </c>
      <c r="I1179" s="9" t="s">
        <v>22</v>
      </c>
      <c r="J1179" s="50" t="s">
        <v>22</v>
      </c>
      <c r="K1179" s="9" t="s">
        <v>22</v>
      </c>
      <c r="L1179" s="50"/>
      <c r="M1179" s="9" t="s">
        <v>23</v>
      </c>
      <c r="N1179" s="50" t="s">
        <v>22</v>
      </c>
      <c r="O1179" s="50" t="s">
        <v>22</v>
      </c>
      <c r="P1179" s="50" t="s">
        <v>22</v>
      </c>
      <c r="Q1179" s="50"/>
      <c r="R1179" s="50" t="s">
        <v>22</v>
      </c>
      <c r="S1179" s="50" t="s">
        <v>22</v>
      </c>
      <c r="T1179" s="50" t="s">
        <v>22</v>
      </c>
      <c r="U1179" s="50" t="s">
        <v>22</v>
      </c>
      <c r="V1179" s="9">
        <v>20210320</v>
      </c>
      <c r="W1179" s="21"/>
      <c r="X1179" s="21">
        <v>2019</v>
      </c>
      <c r="Y1179" s="9" t="s">
        <v>26</v>
      </c>
      <c r="Z1179" s="9" t="s">
        <v>32</v>
      </c>
      <c r="AB1179" s="50"/>
      <c r="AC1179" s="9" t="s">
        <v>514</v>
      </c>
      <c r="AD1179" s="50">
        <v>47.905138339920903</v>
      </c>
      <c r="AE1179" s="50" t="s">
        <v>22</v>
      </c>
      <c r="AF1179" s="50" t="s">
        <v>22</v>
      </c>
      <c r="AG1179" s="50" t="s">
        <v>22</v>
      </c>
      <c r="AH1179" s="50" t="s">
        <v>22</v>
      </c>
      <c r="AI1179" s="50" t="s">
        <v>22</v>
      </c>
      <c r="AJ1179" s="50" t="s">
        <v>22</v>
      </c>
      <c r="AK1179" s="50" t="s">
        <v>22</v>
      </c>
      <c r="AL1179" s="50" t="s">
        <v>22</v>
      </c>
      <c r="AM1179" s="43" t="e">
        <f t="shared" si="633"/>
        <v>#VALUE!</v>
      </c>
      <c r="AN1179" s="43" t="e">
        <f t="shared" si="634"/>
        <v>#VALUE!</v>
      </c>
      <c r="AO1179" s="21" t="s">
        <v>1241</v>
      </c>
      <c r="AT1179" s="2">
        <f t="shared" si="635"/>
        <v>25</v>
      </c>
      <c r="AU1179" s="45">
        <f t="shared" si="636"/>
        <v>-1.9269902860418746</v>
      </c>
      <c r="AV1179" s="45">
        <f t="shared" si="637"/>
        <v>-0.67368998916392631</v>
      </c>
      <c r="AW1179" s="45">
        <f t="shared" si="638"/>
        <v>-1.2533002968779483</v>
      </c>
      <c r="AX1179" s="45" t="e">
        <f t="shared" si="639"/>
        <v>#VALUE!</v>
      </c>
      <c r="AY1179" s="45" t="e">
        <f t="shared" si="640"/>
        <v>#VALUE!</v>
      </c>
      <c r="AZ1179" s="45" t="e">
        <f t="shared" si="641"/>
        <v>#VALUE!</v>
      </c>
      <c r="BA1179" s="45" t="e">
        <f t="shared" si="642"/>
        <v>#VALUE!</v>
      </c>
      <c r="BB1179" s="45" t="e">
        <f t="shared" si="643"/>
        <v>#NUM!</v>
      </c>
      <c r="BC1179" s="45" t="e">
        <f t="shared" si="644"/>
        <v>#VALUE!</v>
      </c>
      <c r="BD1179" s="45">
        <f t="shared" si="645"/>
        <v>1.6803820986544491</v>
      </c>
      <c r="BE1179" s="45" t="e">
        <f t="shared" si="646"/>
        <v>#VALUE!</v>
      </c>
      <c r="BF1179" s="45" t="e">
        <f t="shared" si="647"/>
        <v>#VALUE!</v>
      </c>
      <c r="BG1179" s="45" t="e">
        <f t="shared" si="648"/>
        <v>#VALUE!</v>
      </c>
      <c r="BH1179" s="45" t="e">
        <f t="shared" si="649"/>
        <v>#NUM!</v>
      </c>
      <c r="BI1179" s="43" t="e">
        <f t="shared" si="650"/>
        <v>#VALUE!</v>
      </c>
      <c r="BL1179" s="20"/>
      <c r="BM1179" s="50"/>
      <c r="BN1179" s="50"/>
      <c r="BO1179" s="50"/>
      <c r="BP1179" s="50"/>
      <c r="BQ1179" s="50"/>
      <c r="BR1179" s="50"/>
      <c r="BU1179" s="50"/>
      <c r="BV1179" s="50"/>
      <c r="BW1179" s="50"/>
      <c r="BX1179" s="50"/>
      <c r="BY1179" s="50"/>
      <c r="BZ1179" s="50"/>
      <c r="CA1179" s="50" t="s">
        <v>22</v>
      </c>
      <c r="CE1179" s="50"/>
      <c r="CF1179" s="50"/>
      <c r="CG1179" s="50"/>
      <c r="CH1179" s="50"/>
      <c r="CI1179" s="50" t="str">
        <f t="shared" si="651"/>
        <v>Not Reported/ Can not calculate</v>
      </c>
      <c r="CJ1179" s="50" t="e">
        <f t="shared" si="652"/>
        <v>#VALUE!</v>
      </c>
      <c r="CL1179" s="9" t="s">
        <v>1269</v>
      </c>
      <c r="CM1179" s="9" t="s">
        <v>1284</v>
      </c>
      <c r="CN1179" s="55" t="s">
        <v>1284</v>
      </c>
      <c r="CO1179" s="9" t="s">
        <v>1284</v>
      </c>
    </row>
    <row r="1180" spans="1:93" s="9" customFormat="1" x14ac:dyDescent="0.25">
      <c r="A1180" s="9" t="s">
        <v>141</v>
      </c>
      <c r="B1180" s="50">
        <v>5.036968576709799E-3</v>
      </c>
      <c r="C1180" s="50">
        <v>9.2113564668769701E-2</v>
      </c>
      <c r="D1180" s="50">
        <f t="shared" si="653"/>
        <v>5.4682158863596113E-2</v>
      </c>
      <c r="E1180" s="50" t="s">
        <v>22</v>
      </c>
      <c r="F1180" s="9" t="s">
        <v>22</v>
      </c>
      <c r="G1180" s="9" t="s">
        <v>22</v>
      </c>
      <c r="H1180" s="9" t="s">
        <v>22</v>
      </c>
      <c r="I1180" s="9" t="s">
        <v>22</v>
      </c>
      <c r="J1180" s="50" t="s">
        <v>22</v>
      </c>
      <c r="K1180" s="9" t="s">
        <v>22</v>
      </c>
      <c r="L1180" s="50"/>
      <c r="M1180" s="9" t="s">
        <v>23</v>
      </c>
      <c r="N1180" s="50" t="s">
        <v>22</v>
      </c>
      <c r="O1180" s="50" t="s">
        <v>22</v>
      </c>
      <c r="P1180" s="50" t="s">
        <v>22</v>
      </c>
      <c r="Q1180" s="50"/>
      <c r="R1180" s="50" t="s">
        <v>22</v>
      </c>
      <c r="S1180" s="50" t="s">
        <v>22</v>
      </c>
      <c r="T1180" s="50" t="s">
        <v>22</v>
      </c>
      <c r="U1180" s="50" t="s">
        <v>22</v>
      </c>
      <c r="V1180" s="9">
        <v>20210320</v>
      </c>
      <c r="W1180" s="21"/>
      <c r="X1180" s="21">
        <v>2019</v>
      </c>
      <c r="Y1180" s="9" t="s">
        <v>26</v>
      </c>
      <c r="Z1180" s="9" t="s">
        <v>32</v>
      </c>
      <c r="AB1180" s="50"/>
      <c r="AC1180" s="9" t="s">
        <v>514</v>
      </c>
      <c r="AD1180" s="50">
        <v>71.304347826086897</v>
      </c>
      <c r="AE1180" s="50" t="s">
        <v>22</v>
      </c>
      <c r="AF1180" s="50" t="s">
        <v>22</v>
      </c>
      <c r="AG1180" s="50" t="s">
        <v>22</v>
      </c>
      <c r="AH1180" s="50" t="s">
        <v>22</v>
      </c>
      <c r="AI1180" s="50" t="s">
        <v>22</v>
      </c>
      <c r="AJ1180" s="50" t="s">
        <v>22</v>
      </c>
      <c r="AK1180" s="50" t="s">
        <v>22</v>
      </c>
      <c r="AL1180" s="50" t="s">
        <v>22</v>
      </c>
      <c r="AM1180" s="43" t="e">
        <f t="shared" si="633"/>
        <v>#VALUE!</v>
      </c>
      <c r="AN1180" s="43" t="e">
        <f t="shared" si="634"/>
        <v>#VALUE!</v>
      </c>
      <c r="AO1180" s="21" t="s">
        <v>1241</v>
      </c>
      <c r="AT1180" s="2">
        <f t="shared" si="635"/>
        <v>25</v>
      </c>
      <c r="AU1180" s="45">
        <f t="shared" si="636"/>
        <v>-2.2978307584939079</v>
      </c>
      <c r="AV1180" s="45">
        <f t="shared" si="637"/>
        <v>-1.0356764107693333</v>
      </c>
      <c r="AW1180" s="45">
        <f t="shared" si="638"/>
        <v>-1.2621543477245747</v>
      </c>
      <c r="AX1180" s="45" t="e">
        <f t="shared" si="639"/>
        <v>#VALUE!</v>
      </c>
      <c r="AY1180" s="45" t="e">
        <f t="shared" si="640"/>
        <v>#VALUE!</v>
      </c>
      <c r="AZ1180" s="45" t="e">
        <f t="shared" si="641"/>
        <v>#VALUE!</v>
      </c>
      <c r="BA1180" s="45" t="e">
        <f t="shared" si="642"/>
        <v>#VALUE!</v>
      </c>
      <c r="BB1180" s="45" t="e">
        <f t="shared" si="643"/>
        <v>#NUM!</v>
      </c>
      <c r="BC1180" s="45" t="e">
        <f t="shared" si="644"/>
        <v>#VALUE!</v>
      </c>
      <c r="BD1180" s="45">
        <f t="shared" si="645"/>
        <v>1.8531160120301047</v>
      </c>
      <c r="BE1180" s="45" t="e">
        <f t="shared" si="646"/>
        <v>#VALUE!</v>
      </c>
      <c r="BF1180" s="45" t="e">
        <f t="shared" si="647"/>
        <v>#VALUE!</v>
      </c>
      <c r="BG1180" s="45" t="e">
        <f t="shared" si="648"/>
        <v>#VALUE!</v>
      </c>
      <c r="BH1180" s="45" t="e">
        <f t="shared" si="649"/>
        <v>#NUM!</v>
      </c>
      <c r="BI1180" s="43" t="e">
        <f t="shared" si="650"/>
        <v>#VALUE!</v>
      </c>
      <c r="BL1180" s="20"/>
      <c r="BM1180" s="50"/>
      <c r="BN1180" s="50"/>
      <c r="BO1180" s="50"/>
      <c r="BP1180" s="50"/>
      <c r="BQ1180" s="50"/>
      <c r="BR1180" s="50"/>
      <c r="BU1180" s="50"/>
      <c r="BV1180" s="50"/>
      <c r="BW1180" s="50"/>
      <c r="BX1180" s="50"/>
      <c r="BY1180" s="50"/>
      <c r="BZ1180" s="50"/>
      <c r="CA1180" s="50" t="s">
        <v>22</v>
      </c>
      <c r="CE1180" s="50"/>
      <c r="CF1180" s="50"/>
      <c r="CG1180" s="50"/>
      <c r="CH1180" s="50"/>
      <c r="CI1180" s="50" t="str">
        <f t="shared" si="651"/>
        <v>Not Reported/ Can not calculate</v>
      </c>
      <c r="CJ1180" s="50" t="e">
        <f t="shared" si="652"/>
        <v>#VALUE!</v>
      </c>
      <c r="CL1180" s="9" t="s">
        <v>1269</v>
      </c>
      <c r="CM1180" s="9" t="s">
        <v>1284</v>
      </c>
      <c r="CN1180" s="55" t="s">
        <v>1284</v>
      </c>
      <c r="CO1180" s="9" t="s">
        <v>1284</v>
      </c>
    </row>
    <row r="1181" spans="1:93" s="9" customFormat="1" x14ac:dyDescent="0.25">
      <c r="A1181" s="9" t="s">
        <v>141</v>
      </c>
      <c r="B1181" s="50">
        <v>4.6369824163357927E-3</v>
      </c>
      <c r="C1181" s="50">
        <v>8.2018927444794998E-2</v>
      </c>
      <c r="D1181" s="50">
        <f t="shared" si="653"/>
        <v>5.6535516383786358E-2</v>
      </c>
      <c r="E1181" s="50" t="s">
        <v>22</v>
      </c>
      <c r="F1181" s="9" t="s">
        <v>22</v>
      </c>
      <c r="G1181" s="9" t="s">
        <v>22</v>
      </c>
      <c r="H1181" s="9" t="s">
        <v>22</v>
      </c>
      <c r="I1181" s="9" t="s">
        <v>22</v>
      </c>
      <c r="J1181" s="50" t="s">
        <v>22</v>
      </c>
      <c r="K1181" s="9" t="s">
        <v>22</v>
      </c>
      <c r="L1181" s="50"/>
      <c r="M1181" s="9" t="s">
        <v>23</v>
      </c>
      <c r="N1181" s="50" t="s">
        <v>22</v>
      </c>
      <c r="O1181" s="50" t="s">
        <v>22</v>
      </c>
      <c r="P1181" s="50" t="s">
        <v>22</v>
      </c>
      <c r="Q1181" s="50"/>
      <c r="R1181" s="50" t="s">
        <v>22</v>
      </c>
      <c r="S1181" s="50" t="s">
        <v>22</v>
      </c>
      <c r="T1181" s="50" t="s">
        <v>22</v>
      </c>
      <c r="U1181" s="50" t="s">
        <v>22</v>
      </c>
      <c r="V1181" s="9">
        <v>20210320</v>
      </c>
      <c r="W1181" s="21"/>
      <c r="X1181" s="21">
        <v>2019</v>
      </c>
      <c r="Y1181" s="9" t="s">
        <v>26</v>
      </c>
      <c r="Z1181" s="9" t="s">
        <v>32</v>
      </c>
      <c r="AB1181" s="50"/>
      <c r="AC1181" s="9" t="s">
        <v>514</v>
      </c>
      <c r="AD1181" s="50">
        <v>73.992094861659993</v>
      </c>
      <c r="AE1181" s="50" t="s">
        <v>22</v>
      </c>
      <c r="AF1181" s="50" t="s">
        <v>22</v>
      </c>
      <c r="AG1181" s="50" t="s">
        <v>22</v>
      </c>
      <c r="AH1181" s="50" t="s">
        <v>22</v>
      </c>
      <c r="AI1181" s="50" t="s">
        <v>22</v>
      </c>
      <c r="AJ1181" s="50" t="s">
        <v>22</v>
      </c>
      <c r="AK1181" s="50" t="s">
        <v>22</v>
      </c>
      <c r="AL1181" s="50" t="s">
        <v>22</v>
      </c>
      <c r="AM1181" s="43" t="e">
        <f t="shared" si="633"/>
        <v>#VALUE!</v>
      </c>
      <c r="AN1181" s="43" t="e">
        <f t="shared" si="634"/>
        <v>#VALUE!</v>
      </c>
      <c r="AO1181" s="21" t="s">
        <v>1241</v>
      </c>
      <c r="AT1181" s="2">
        <f t="shared" si="635"/>
        <v>25</v>
      </c>
      <c r="AU1181" s="45">
        <f t="shared" si="636"/>
        <v>-2.3337645509669982</v>
      </c>
      <c r="AV1181" s="45">
        <f t="shared" si="637"/>
        <v>-1.0860859142469332</v>
      </c>
      <c r="AW1181" s="45">
        <f t="shared" si="638"/>
        <v>-1.247678636720065</v>
      </c>
      <c r="AX1181" s="45" t="e">
        <f t="shared" si="639"/>
        <v>#VALUE!</v>
      </c>
      <c r="AY1181" s="45" t="e">
        <f t="shared" si="640"/>
        <v>#VALUE!</v>
      </c>
      <c r="AZ1181" s="45" t="e">
        <f t="shared" si="641"/>
        <v>#VALUE!</v>
      </c>
      <c r="BA1181" s="45" t="e">
        <f t="shared" si="642"/>
        <v>#VALUE!</v>
      </c>
      <c r="BB1181" s="45" t="e">
        <f t="shared" si="643"/>
        <v>#NUM!</v>
      </c>
      <c r="BC1181" s="45" t="e">
        <f t="shared" si="644"/>
        <v>#VALUE!</v>
      </c>
      <c r="BD1181" s="45">
        <f t="shared" si="645"/>
        <v>1.8691853232262681</v>
      </c>
      <c r="BE1181" s="45" t="e">
        <f t="shared" si="646"/>
        <v>#VALUE!</v>
      </c>
      <c r="BF1181" s="45" t="e">
        <f t="shared" si="647"/>
        <v>#VALUE!</v>
      </c>
      <c r="BG1181" s="45" t="e">
        <f t="shared" si="648"/>
        <v>#VALUE!</v>
      </c>
      <c r="BH1181" s="45" t="e">
        <f t="shared" si="649"/>
        <v>#NUM!</v>
      </c>
      <c r="BI1181" s="43" t="e">
        <f t="shared" si="650"/>
        <v>#VALUE!</v>
      </c>
      <c r="BL1181" s="20"/>
      <c r="BM1181" s="50"/>
      <c r="BN1181" s="50"/>
      <c r="BO1181" s="50"/>
      <c r="BP1181" s="50"/>
      <c r="BQ1181" s="50"/>
      <c r="BR1181" s="50"/>
      <c r="BU1181" s="50"/>
      <c r="BV1181" s="50"/>
      <c r="BW1181" s="50"/>
      <c r="BX1181" s="50"/>
      <c r="BY1181" s="50"/>
      <c r="BZ1181" s="50"/>
      <c r="CA1181" s="50" t="s">
        <v>22</v>
      </c>
      <c r="CE1181" s="50"/>
      <c r="CF1181" s="50"/>
      <c r="CG1181" s="50"/>
      <c r="CH1181" s="50"/>
      <c r="CI1181" s="50" t="str">
        <f t="shared" si="651"/>
        <v>Not Reported/ Can not calculate</v>
      </c>
      <c r="CJ1181" s="50" t="e">
        <f t="shared" si="652"/>
        <v>#VALUE!</v>
      </c>
      <c r="CL1181" s="9" t="s">
        <v>1269</v>
      </c>
      <c r="CM1181" s="9" t="s">
        <v>1284</v>
      </c>
      <c r="CN1181" s="55" t="s">
        <v>1284</v>
      </c>
      <c r="CO1181" s="9" t="s">
        <v>1284</v>
      </c>
    </row>
    <row r="1182" spans="1:93" s="9" customFormat="1" x14ac:dyDescent="0.25">
      <c r="A1182" s="9" t="s">
        <v>141</v>
      </c>
      <c r="B1182" s="50">
        <v>1.156294200848657E-2</v>
      </c>
      <c r="C1182" s="50">
        <v>0.19810725552050401</v>
      </c>
      <c r="D1182" s="50">
        <f t="shared" si="653"/>
        <v>5.8367079883602804E-2</v>
      </c>
      <c r="E1182" s="50" t="s">
        <v>22</v>
      </c>
      <c r="F1182" s="9" t="s">
        <v>22</v>
      </c>
      <c r="G1182" s="9" t="s">
        <v>22</v>
      </c>
      <c r="H1182" s="9" t="s">
        <v>22</v>
      </c>
      <c r="I1182" s="9" t="s">
        <v>22</v>
      </c>
      <c r="J1182" s="50" t="s">
        <v>22</v>
      </c>
      <c r="K1182" s="9" t="s">
        <v>22</v>
      </c>
      <c r="L1182" s="50"/>
      <c r="M1182" s="9" t="s">
        <v>23</v>
      </c>
      <c r="N1182" s="50" t="s">
        <v>22</v>
      </c>
      <c r="O1182" s="50" t="s">
        <v>22</v>
      </c>
      <c r="P1182" s="50" t="s">
        <v>22</v>
      </c>
      <c r="Q1182" s="50"/>
      <c r="R1182" s="50" t="s">
        <v>22</v>
      </c>
      <c r="S1182" s="50" t="s">
        <v>22</v>
      </c>
      <c r="T1182" s="50" t="s">
        <v>22</v>
      </c>
      <c r="U1182" s="50" t="s">
        <v>22</v>
      </c>
      <c r="V1182" s="9">
        <v>20210320</v>
      </c>
      <c r="W1182" s="21"/>
      <c r="X1182" s="21">
        <v>2019</v>
      </c>
      <c r="Y1182" s="9" t="s">
        <v>26</v>
      </c>
      <c r="Z1182" s="9" t="s">
        <v>32</v>
      </c>
      <c r="AB1182" s="50"/>
      <c r="AC1182" s="9" t="s">
        <v>514</v>
      </c>
      <c r="AD1182" s="50">
        <v>56.7588932806324</v>
      </c>
      <c r="AE1182" s="50" t="s">
        <v>22</v>
      </c>
      <c r="AF1182" s="50" t="s">
        <v>22</v>
      </c>
      <c r="AG1182" s="50" t="s">
        <v>22</v>
      </c>
      <c r="AH1182" s="50" t="s">
        <v>22</v>
      </c>
      <c r="AI1182" s="50" t="s">
        <v>22</v>
      </c>
      <c r="AJ1182" s="50" t="s">
        <v>22</v>
      </c>
      <c r="AK1182" s="50" t="s">
        <v>22</v>
      </c>
      <c r="AL1182" s="50" t="s">
        <v>22</v>
      </c>
      <c r="AM1182" s="43" t="e">
        <f t="shared" si="633"/>
        <v>#VALUE!</v>
      </c>
      <c r="AN1182" s="43" t="e">
        <f t="shared" si="634"/>
        <v>#VALUE!</v>
      </c>
      <c r="AO1182" s="21" t="s">
        <v>1241</v>
      </c>
      <c r="AT1182" s="2">
        <f t="shared" si="635"/>
        <v>25</v>
      </c>
      <c r="AU1182" s="45">
        <f t="shared" si="636"/>
        <v>-1.9369316524645754</v>
      </c>
      <c r="AV1182" s="45">
        <f t="shared" si="637"/>
        <v>-0.70309961848055691</v>
      </c>
      <c r="AW1182" s="45">
        <f t="shared" si="638"/>
        <v>-1.2338320339840185</v>
      </c>
      <c r="AX1182" s="45" t="e">
        <f t="shared" si="639"/>
        <v>#VALUE!</v>
      </c>
      <c r="AY1182" s="45" t="e">
        <f t="shared" si="640"/>
        <v>#VALUE!</v>
      </c>
      <c r="AZ1182" s="45" t="e">
        <f t="shared" si="641"/>
        <v>#VALUE!</v>
      </c>
      <c r="BA1182" s="45" t="e">
        <f t="shared" si="642"/>
        <v>#VALUE!</v>
      </c>
      <c r="BB1182" s="45" t="e">
        <f t="shared" si="643"/>
        <v>#NUM!</v>
      </c>
      <c r="BC1182" s="45" t="e">
        <f t="shared" si="644"/>
        <v>#VALUE!</v>
      </c>
      <c r="BD1182" s="45">
        <f t="shared" si="645"/>
        <v>1.7540339187304634</v>
      </c>
      <c r="BE1182" s="45" t="e">
        <f t="shared" si="646"/>
        <v>#VALUE!</v>
      </c>
      <c r="BF1182" s="45" t="e">
        <f t="shared" si="647"/>
        <v>#VALUE!</v>
      </c>
      <c r="BG1182" s="45" t="e">
        <f t="shared" si="648"/>
        <v>#VALUE!</v>
      </c>
      <c r="BH1182" s="45" t="e">
        <f t="shared" si="649"/>
        <v>#NUM!</v>
      </c>
      <c r="BI1182" s="43" t="e">
        <f t="shared" si="650"/>
        <v>#VALUE!</v>
      </c>
      <c r="BL1182" s="20"/>
      <c r="BM1182" s="50"/>
      <c r="BN1182" s="50"/>
      <c r="BO1182" s="50"/>
      <c r="BP1182" s="50"/>
      <c r="BQ1182" s="50"/>
      <c r="BR1182" s="50"/>
      <c r="BU1182" s="50"/>
      <c r="BV1182" s="50"/>
      <c r="BW1182" s="50"/>
      <c r="BX1182" s="50"/>
      <c r="BY1182" s="50"/>
      <c r="BZ1182" s="50"/>
      <c r="CA1182" s="50" t="s">
        <v>22</v>
      </c>
      <c r="CE1182" s="50"/>
      <c r="CF1182" s="50"/>
      <c r="CG1182" s="50"/>
      <c r="CH1182" s="50"/>
      <c r="CI1182" s="50" t="str">
        <f t="shared" si="651"/>
        <v>Not Reported/ Can not calculate</v>
      </c>
      <c r="CJ1182" s="50" t="e">
        <f t="shared" si="652"/>
        <v>#VALUE!</v>
      </c>
      <c r="CL1182" s="9" t="s">
        <v>1269</v>
      </c>
      <c r="CM1182" s="9" t="s">
        <v>1284</v>
      </c>
      <c r="CN1182" s="55" t="s">
        <v>1284</v>
      </c>
      <c r="CO1182" s="9" t="s">
        <v>1284</v>
      </c>
    </row>
    <row r="1183" spans="1:93" s="9" customFormat="1" x14ac:dyDescent="0.25">
      <c r="A1183" s="9" t="s">
        <v>141</v>
      </c>
      <c r="B1183" s="50">
        <v>1.149789029535866E-2</v>
      </c>
      <c r="C1183" s="50" t="s">
        <v>22</v>
      </c>
      <c r="D1183" s="50" t="s">
        <v>22</v>
      </c>
      <c r="E1183" s="50" t="s">
        <v>22</v>
      </c>
      <c r="F1183" s="9" t="s">
        <v>22</v>
      </c>
      <c r="G1183" s="9" t="s">
        <v>22</v>
      </c>
      <c r="H1183" s="9" t="s">
        <v>22</v>
      </c>
      <c r="I1183" s="9" t="s">
        <v>22</v>
      </c>
      <c r="J1183" s="50" t="s">
        <v>22</v>
      </c>
      <c r="K1183" s="9" t="s">
        <v>22</v>
      </c>
      <c r="L1183" s="50"/>
      <c r="M1183" s="9" t="s">
        <v>23</v>
      </c>
      <c r="N1183" s="50" t="s">
        <v>22</v>
      </c>
      <c r="O1183" s="50" t="s">
        <v>22</v>
      </c>
      <c r="P1183" s="50" t="s">
        <v>22</v>
      </c>
      <c r="Q1183" s="50"/>
      <c r="R1183" s="50" t="s">
        <v>22</v>
      </c>
      <c r="S1183" s="50" t="s">
        <v>22</v>
      </c>
      <c r="T1183" s="50" t="s">
        <v>22</v>
      </c>
      <c r="U1183" s="50" t="s">
        <v>22</v>
      </c>
      <c r="V1183" s="9">
        <v>20210320</v>
      </c>
      <c r="W1183" s="21"/>
      <c r="X1183" s="21">
        <v>2019</v>
      </c>
      <c r="Y1183" s="9" t="s">
        <v>26</v>
      </c>
      <c r="Z1183" s="9" t="s">
        <v>32</v>
      </c>
      <c r="AB1183" s="50"/>
      <c r="AC1183" s="9" t="s">
        <v>514</v>
      </c>
      <c r="AD1183" s="50">
        <v>57.865612648221301</v>
      </c>
      <c r="AE1183" s="50" t="s">
        <v>22</v>
      </c>
      <c r="AF1183" s="50" t="s">
        <v>22</v>
      </c>
      <c r="AG1183" s="50" t="s">
        <v>22</v>
      </c>
      <c r="AH1183" s="50" t="s">
        <v>22</v>
      </c>
      <c r="AI1183" s="50" t="s">
        <v>22</v>
      </c>
      <c r="AJ1183" s="50" t="s">
        <v>22</v>
      </c>
      <c r="AK1183" s="50" t="s">
        <v>22</v>
      </c>
      <c r="AL1183" s="50" t="s">
        <v>22</v>
      </c>
      <c r="AM1183" s="43" t="e">
        <f t="shared" si="633"/>
        <v>#VALUE!</v>
      </c>
      <c r="AN1183" s="43" t="e">
        <f t="shared" si="634"/>
        <v>#VALUE!</v>
      </c>
      <c r="AO1183" s="21" t="s">
        <v>1241</v>
      </c>
      <c r="AT1183" s="2">
        <f t="shared" si="635"/>
        <v>25</v>
      </c>
      <c r="AU1183" s="45">
        <f t="shared" si="636"/>
        <v>-1.9393818393974422</v>
      </c>
      <c r="AV1183" s="45" t="e">
        <f t="shared" si="637"/>
        <v>#VALUE!</v>
      </c>
      <c r="AW1183" s="45" t="e">
        <f t="shared" si="638"/>
        <v>#VALUE!</v>
      </c>
      <c r="AX1183" s="45" t="e">
        <f t="shared" si="639"/>
        <v>#VALUE!</v>
      </c>
      <c r="AY1183" s="45" t="e">
        <f t="shared" si="640"/>
        <v>#VALUE!</v>
      </c>
      <c r="AZ1183" s="45" t="e">
        <f t="shared" si="641"/>
        <v>#VALUE!</v>
      </c>
      <c r="BA1183" s="45" t="e">
        <f t="shared" si="642"/>
        <v>#VALUE!</v>
      </c>
      <c r="BB1183" s="45" t="e">
        <f t="shared" si="643"/>
        <v>#NUM!</v>
      </c>
      <c r="BC1183" s="45" t="e">
        <f t="shared" si="644"/>
        <v>#VALUE!</v>
      </c>
      <c r="BD1183" s="45">
        <f t="shared" si="645"/>
        <v>1.7624205555465549</v>
      </c>
      <c r="BE1183" s="45" t="e">
        <f t="shared" si="646"/>
        <v>#VALUE!</v>
      </c>
      <c r="BF1183" s="45" t="e">
        <f t="shared" si="647"/>
        <v>#VALUE!</v>
      </c>
      <c r="BG1183" s="45" t="e">
        <f t="shared" si="648"/>
        <v>#VALUE!</v>
      </c>
      <c r="BH1183" s="45" t="e">
        <f t="shared" si="649"/>
        <v>#NUM!</v>
      </c>
      <c r="BI1183" s="43" t="e">
        <f t="shared" si="650"/>
        <v>#VALUE!</v>
      </c>
      <c r="BL1183" s="20"/>
      <c r="BM1183" s="50"/>
      <c r="BN1183" s="50"/>
      <c r="BO1183" s="50"/>
      <c r="BP1183" s="50"/>
      <c r="BQ1183" s="50"/>
      <c r="BR1183" s="50"/>
      <c r="BU1183" s="50"/>
      <c r="BV1183" s="50"/>
      <c r="BW1183" s="50"/>
      <c r="BX1183" s="50"/>
      <c r="BY1183" s="50"/>
      <c r="BZ1183" s="50"/>
      <c r="CA1183" s="50" t="s">
        <v>22</v>
      </c>
      <c r="CE1183" s="50"/>
      <c r="CF1183" s="50"/>
      <c r="CG1183" s="50"/>
      <c r="CH1183" s="50"/>
      <c r="CI1183" s="50" t="str">
        <f t="shared" si="651"/>
        <v>Not Reported/ Can not calculate</v>
      </c>
      <c r="CJ1183" s="50" t="e">
        <f t="shared" si="652"/>
        <v>#VALUE!</v>
      </c>
      <c r="CL1183" s="9" t="s">
        <v>1269</v>
      </c>
      <c r="CM1183" s="9" t="s">
        <v>1284</v>
      </c>
      <c r="CN1183" s="55" t="s">
        <v>1284</v>
      </c>
      <c r="CO1183" s="9" t="s">
        <v>1284</v>
      </c>
    </row>
    <row r="1184" spans="1:93" s="9" customFormat="1" x14ac:dyDescent="0.25">
      <c r="A1184" s="9" t="s">
        <v>141</v>
      </c>
      <c r="B1184" s="50">
        <v>1.033501896333755E-2</v>
      </c>
      <c r="C1184" s="50">
        <v>0.253627760252366</v>
      </c>
      <c r="D1184" s="50">
        <f>0.001*(B1184*10^6)/(C1184*0.001*100^3)</f>
        <v>4.0748768798233859E-2</v>
      </c>
      <c r="E1184" s="50" t="s">
        <v>22</v>
      </c>
      <c r="F1184" s="9" t="s">
        <v>22</v>
      </c>
      <c r="G1184" s="9" t="s">
        <v>22</v>
      </c>
      <c r="H1184" s="9" t="s">
        <v>22</v>
      </c>
      <c r="I1184" s="9" t="s">
        <v>22</v>
      </c>
      <c r="J1184" s="50" t="s">
        <v>22</v>
      </c>
      <c r="K1184" s="9" t="s">
        <v>22</v>
      </c>
      <c r="L1184" s="50"/>
      <c r="M1184" s="9" t="s">
        <v>23</v>
      </c>
      <c r="N1184" s="50" t="s">
        <v>22</v>
      </c>
      <c r="O1184" s="50" t="s">
        <v>22</v>
      </c>
      <c r="P1184" s="50" t="s">
        <v>22</v>
      </c>
      <c r="Q1184" s="50"/>
      <c r="R1184" s="50" t="s">
        <v>22</v>
      </c>
      <c r="S1184" s="50" t="s">
        <v>22</v>
      </c>
      <c r="T1184" s="50" t="s">
        <v>22</v>
      </c>
      <c r="U1184" s="50" t="s">
        <v>22</v>
      </c>
      <c r="V1184" s="9">
        <v>20210320</v>
      </c>
      <c r="W1184" s="21"/>
      <c r="X1184" s="21">
        <v>2019</v>
      </c>
      <c r="Y1184" s="9" t="s">
        <v>26</v>
      </c>
      <c r="Z1184" s="9" t="s">
        <v>32</v>
      </c>
      <c r="AB1184" s="50"/>
      <c r="AC1184" s="9" t="s">
        <v>514</v>
      </c>
      <c r="AD1184" s="50">
        <v>65.770750988142296</v>
      </c>
      <c r="AE1184" s="50" t="s">
        <v>22</v>
      </c>
      <c r="AF1184" s="50" t="s">
        <v>22</v>
      </c>
      <c r="AG1184" s="50" t="s">
        <v>22</v>
      </c>
      <c r="AH1184" s="50" t="s">
        <v>22</v>
      </c>
      <c r="AI1184" s="50" t="s">
        <v>22</v>
      </c>
      <c r="AJ1184" s="50" t="s">
        <v>22</v>
      </c>
      <c r="AK1184" s="50" t="s">
        <v>22</v>
      </c>
      <c r="AL1184" s="50" t="s">
        <v>22</v>
      </c>
      <c r="AM1184" s="43" t="e">
        <f t="shared" si="633"/>
        <v>#VALUE!</v>
      </c>
      <c r="AN1184" s="43" t="e">
        <f t="shared" si="634"/>
        <v>#VALUE!</v>
      </c>
      <c r="AO1184" s="21" t="s">
        <v>1241</v>
      </c>
      <c r="AT1184" s="2">
        <f t="shared" si="635"/>
        <v>25</v>
      </c>
      <c r="AU1184" s="45">
        <f t="shared" si="636"/>
        <v>-1.9856887221653527</v>
      </c>
      <c r="AV1184" s="45">
        <f t="shared" si="637"/>
        <v>-0.5958032134693001</v>
      </c>
      <c r="AW1184" s="45">
        <f t="shared" si="638"/>
        <v>-1.3898855086960527</v>
      </c>
      <c r="AX1184" s="45" t="e">
        <f t="shared" si="639"/>
        <v>#VALUE!</v>
      </c>
      <c r="AY1184" s="45" t="e">
        <f t="shared" si="640"/>
        <v>#VALUE!</v>
      </c>
      <c r="AZ1184" s="45" t="e">
        <f t="shared" si="641"/>
        <v>#VALUE!</v>
      </c>
      <c r="BA1184" s="45" t="e">
        <f t="shared" si="642"/>
        <v>#VALUE!</v>
      </c>
      <c r="BB1184" s="45" t="e">
        <f t="shared" si="643"/>
        <v>#NUM!</v>
      </c>
      <c r="BC1184" s="45" t="e">
        <f t="shared" si="644"/>
        <v>#VALUE!</v>
      </c>
      <c r="BD1184" s="45">
        <f t="shared" si="645"/>
        <v>1.8180328007788873</v>
      </c>
      <c r="BE1184" s="45" t="e">
        <f t="shared" si="646"/>
        <v>#VALUE!</v>
      </c>
      <c r="BF1184" s="45" t="e">
        <f t="shared" si="647"/>
        <v>#VALUE!</v>
      </c>
      <c r="BG1184" s="45" t="e">
        <f t="shared" si="648"/>
        <v>#VALUE!</v>
      </c>
      <c r="BH1184" s="45" t="e">
        <f t="shared" si="649"/>
        <v>#NUM!</v>
      </c>
      <c r="BI1184" s="43" t="e">
        <f t="shared" si="650"/>
        <v>#VALUE!</v>
      </c>
      <c r="BL1184" s="20"/>
      <c r="BM1184" s="50"/>
      <c r="BN1184" s="50"/>
      <c r="BO1184" s="50"/>
      <c r="BP1184" s="50"/>
      <c r="BQ1184" s="50"/>
      <c r="BR1184" s="50"/>
      <c r="BU1184" s="50"/>
      <c r="BV1184" s="50"/>
      <c r="BW1184" s="50"/>
      <c r="BX1184" s="50"/>
      <c r="BY1184" s="50"/>
      <c r="BZ1184" s="50"/>
      <c r="CA1184" s="50" t="s">
        <v>22</v>
      </c>
      <c r="CE1184" s="50"/>
      <c r="CF1184" s="50"/>
      <c r="CG1184" s="50"/>
      <c r="CH1184" s="50"/>
      <c r="CI1184" s="50" t="str">
        <f t="shared" si="651"/>
        <v>Not Reported/ Can not calculate</v>
      </c>
      <c r="CJ1184" s="50" t="e">
        <f t="shared" si="652"/>
        <v>#VALUE!</v>
      </c>
      <c r="CL1184" s="9" t="s">
        <v>1269</v>
      </c>
      <c r="CM1184" s="9" t="s">
        <v>1284</v>
      </c>
      <c r="CN1184" s="55" t="s">
        <v>1284</v>
      </c>
      <c r="CO1184" s="9" t="s">
        <v>1284</v>
      </c>
    </row>
    <row r="1185" spans="1:93" s="9" customFormat="1" x14ac:dyDescent="0.25">
      <c r="A1185" s="9" t="s">
        <v>141</v>
      </c>
      <c r="B1185" s="50">
        <v>1.0714285714285716E-2</v>
      </c>
      <c r="C1185" s="50" t="s">
        <v>22</v>
      </c>
      <c r="D1185" s="50" t="s">
        <v>22</v>
      </c>
      <c r="E1185" s="50" t="s">
        <v>22</v>
      </c>
      <c r="F1185" s="9" t="s">
        <v>22</v>
      </c>
      <c r="G1185" s="9" t="s">
        <v>22</v>
      </c>
      <c r="H1185" s="9" t="s">
        <v>22</v>
      </c>
      <c r="I1185" s="9" t="s">
        <v>22</v>
      </c>
      <c r="J1185" s="50" t="s">
        <v>22</v>
      </c>
      <c r="K1185" s="9" t="s">
        <v>22</v>
      </c>
      <c r="L1185" s="50"/>
      <c r="M1185" s="9" t="s">
        <v>23</v>
      </c>
      <c r="N1185" s="50" t="s">
        <v>22</v>
      </c>
      <c r="O1185" s="50" t="s">
        <v>22</v>
      </c>
      <c r="P1185" s="50" t="s">
        <v>22</v>
      </c>
      <c r="Q1185" s="50"/>
      <c r="R1185" s="50" t="s">
        <v>22</v>
      </c>
      <c r="S1185" s="50" t="s">
        <v>22</v>
      </c>
      <c r="T1185" s="50" t="s">
        <v>22</v>
      </c>
      <c r="U1185" s="50" t="s">
        <v>22</v>
      </c>
      <c r="V1185" s="9">
        <v>20210320</v>
      </c>
      <c r="W1185" s="21"/>
      <c r="X1185" s="21">
        <v>2019</v>
      </c>
      <c r="Y1185" s="9" t="s">
        <v>26</v>
      </c>
      <c r="Z1185" s="9" t="s">
        <v>32</v>
      </c>
      <c r="AB1185" s="50"/>
      <c r="AC1185" s="9" t="s">
        <v>514</v>
      </c>
      <c r="AD1185" s="50">
        <v>75.256916996047394</v>
      </c>
      <c r="AE1185" s="50" t="s">
        <v>22</v>
      </c>
      <c r="AF1185" s="50" t="s">
        <v>22</v>
      </c>
      <c r="AG1185" s="50" t="s">
        <v>22</v>
      </c>
      <c r="AH1185" s="50" t="s">
        <v>22</v>
      </c>
      <c r="AI1185" s="50" t="s">
        <v>22</v>
      </c>
      <c r="AJ1185" s="50" t="s">
        <v>22</v>
      </c>
      <c r="AK1185" s="50" t="s">
        <v>22</v>
      </c>
      <c r="AL1185" s="50" t="s">
        <v>22</v>
      </c>
      <c r="AM1185" s="43" t="e">
        <f t="shared" si="633"/>
        <v>#VALUE!</v>
      </c>
      <c r="AN1185" s="43" t="e">
        <f t="shared" si="634"/>
        <v>#VALUE!</v>
      </c>
      <c r="AO1185" s="21" t="s">
        <v>1241</v>
      </c>
      <c r="AT1185" s="2">
        <f t="shared" si="635"/>
        <v>25</v>
      </c>
      <c r="AU1185" s="45">
        <f t="shared" si="636"/>
        <v>-1.9700367766225566</v>
      </c>
      <c r="AV1185" s="45" t="e">
        <f t="shared" si="637"/>
        <v>#VALUE!</v>
      </c>
      <c r="AW1185" s="45" t="e">
        <f t="shared" si="638"/>
        <v>#VALUE!</v>
      </c>
      <c r="AX1185" s="45" t="e">
        <f t="shared" si="639"/>
        <v>#VALUE!</v>
      </c>
      <c r="AY1185" s="45" t="e">
        <f t="shared" si="640"/>
        <v>#VALUE!</v>
      </c>
      <c r="AZ1185" s="45" t="e">
        <f t="shared" si="641"/>
        <v>#VALUE!</v>
      </c>
      <c r="BA1185" s="45" t="e">
        <f t="shared" si="642"/>
        <v>#VALUE!</v>
      </c>
      <c r="BB1185" s="45" t="e">
        <f t="shared" si="643"/>
        <v>#NUM!</v>
      </c>
      <c r="BC1185" s="45" t="e">
        <f t="shared" si="644"/>
        <v>#VALUE!</v>
      </c>
      <c r="BD1185" s="45">
        <f t="shared" si="645"/>
        <v>1.8765464228726374</v>
      </c>
      <c r="BE1185" s="45" t="e">
        <f t="shared" si="646"/>
        <v>#VALUE!</v>
      </c>
      <c r="BF1185" s="45" t="e">
        <f t="shared" si="647"/>
        <v>#VALUE!</v>
      </c>
      <c r="BG1185" s="45" t="e">
        <f t="shared" si="648"/>
        <v>#VALUE!</v>
      </c>
      <c r="BH1185" s="45" t="e">
        <f t="shared" si="649"/>
        <v>#NUM!</v>
      </c>
      <c r="BI1185" s="43" t="e">
        <f t="shared" si="650"/>
        <v>#VALUE!</v>
      </c>
      <c r="BL1185" s="20"/>
      <c r="BM1185" s="50"/>
      <c r="BN1185" s="50"/>
      <c r="BO1185" s="50"/>
      <c r="BP1185" s="50"/>
      <c r="BQ1185" s="50"/>
      <c r="BR1185" s="50"/>
      <c r="BU1185" s="50"/>
      <c r="BV1185" s="50"/>
      <c r="BW1185" s="50"/>
      <c r="BX1185" s="50"/>
      <c r="BY1185" s="50"/>
      <c r="BZ1185" s="50"/>
      <c r="CA1185" s="50" t="s">
        <v>22</v>
      </c>
      <c r="CE1185" s="50"/>
      <c r="CF1185" s="50"/>
      <c r="CG1185" s="50"/>
      <c r="CH1185" s="50"/>
      <c r="CI1185" s="50" t="str">
        <f t="shared" si="651"/>
        <v>Not Reported/ Can not calculate</v>
      </c>
      <c r="CJ1185" s="50" t="e">
        <f t="shared" si="652"/>
        <v>#VALUE!</v>
      </c>
      <c r="CL1185" s="9" t="s">
        <v>1269</v>
      </c>
      <c r="CM1185" s="9" t="s">
        <v>1284</v>
      </c>
      <c r="CN1185" s="55" t="s">
        <v>1284</v>
      </c>
      <c r="CO1185" s="9" t="s">
        <v>1284</v>
      </c>
    </row>
    <row r="1186" spans="1:93" s="9" customFormat="1" x14ac:dyDescent="0.25">
      <c r="A1186" s="9" t="s">
        <v>141</v>
      </c>
      <c r="B1186" s="50">
        <v>7.9291949563530754E-3</v>
      </c>
      <c r="C1186" s="50">
        <v>0.128706624605678</v>
      </c>
      <c r="D1186" s="50">
        <f>0.001*(B1186*10^6)/(C1186*0.001*100^3)</f>
        <v>6.160673532264533E-2</v>
      </c>
      <c r="E1186" s="50" t="s">
        <v>22</v>
      </c>
      <c r="F1186" s="9" t="s">
        <v>22</v>
      </c>
      <c r="G1186" s="9" t="s">
        <v>22</v>
      </c>
      <c r="H1186" s="9" t="s">
        <v>22</v>
      </c>
      <c r="I1186" s="9" t="s">
        <v>22</v>
      </c>
      <c r="J1186" s="50" t="s">
        <v>22</v>
      </c>
      <c r="K1186" s="9" t="s">
        <v>22</v>
      </c>
      <c r="L1186" s="50"/>
      <c r="M1186" s="9" t="s">
        <v>23</v>
      </c>
      <c r="N1186" s="50" t="s">
        <v>22</v>
      </c>
      <c r="O1186" s="50" t="s">
        <v>22</v>
      </c>
      <c r="P1186" s="50" t="s">
        <v>22</v>
      </c>
      <c r="Q1186" s="50"/>
      <c r="R1186" s="50" t="s">
        <v>22</v>
      </c>
      <c r="S1186" s="50" t="s">
        <v>22</v>
      </c>
      <c r="T1186" s="50" t="s">
        <v>22</v>
      </c>
      <c r="U1186" s="50" t="s">
        <v>22</v>
      </c>
      <c r="V1186" s="9">
        <v>20210320</v>
      </c>
      <c r="W1186" s="21"/>
      <c r="X1186" s="21">
        <v>2019</v>
      </c>
      <c r="Y1186" s="9" t="s">
        <v>26</v>
      </c>
      <c r="Z1186" s="9" t="s">
        <v>32</v>
      </c>
      <c r="AB1186" s="50"/>
      <c r="AC1186" s="9" t="s">
        <v>514</v>
      </c>
      <c r="AD1186" s="50">
        <v>77.470355731225297</v>
      </c>
      <c r="AE1186" s="50" t="s">
        <v>22</v>
      </c>
      <c r="AF1186" s="50" t="s">
        <v>22</v>
      </c>
      <c r="AG1186" s="50" t="s">
        <v>22</v>
      </c>
      <c r="AH1186" s="50" t="s">
        <v>22</v>
      </c>
      <c r="AI1186" s="50" t="s">
        <v>22</v>
      </c>
      <c r="AJ1186" s="50" t="s">
        <v>22</v>
      </c>
      <c r="AK1186" s="50" t="s">
        <v>22</v>
      </c>
      <c r="AL1186" s="50" t="s">
        <v>22</v>
      </c>
      <c r="AM1186" s="43" t="e">
        <f t="shared" si="633"/>
        <v>#VALUE!</v>
      </c>
      <c r="AN1186" s="43" t="e">
        <f t="shared" si="634"/>
        <v>#VALUE!</v>
      </c>
      <c r="AO1186" s="21" t="s">
        <v>1241</v>
      </c>
      <c r="AT1186" s="2">
        <f t="shared" si="635"/>
        <v>25</v>
      </c>
      <c r="AU1186" s="45">
        <f t="shared" si="636"/>
        <v>-2.1007709039511919</v>
      </c>
      <c r="AV1186" s="45">
        <f t="shared" si="637"/>
        <v>-0.8903990991278723</v>
      </c>
      <c r="AW1186" s="45">
        <f t="shared" si="638"/>
        <v>-1.2103718048233194</v>
      </c>
      <c r="AX1186" s="45" t="e">
        <f t="shared" si="639"/>
        <v>#VALUE!</v>
      </c>
      <c r="AY1186" s="45" t="e">
        <f t="shared" si="640"/>
        <v>#VALUE!</v>
      </c>
      <c r="AZ1186" s="45" t="e">
        <f t="shared" si="641"/>
        <v>#VALUE!</v>
      </c>
      <c r="BA1186" s="45" t="e">
        <f t="shared" si="642"/>
        <v>#VALUE!</v>
      </c>
      <c r="BB1186" s="45" t="e">
        <f t="shared" si="643"/>
        <v>#NUM!</v>
      </c>
      <c r="BC1186" s="45" t="e">
        <f t="shared" si="644"/>
        <v>#VALUE!</v>
      </c>
      <c r="BD1186" s="45">
        <f t="shared" si="645"/>
        <v>1.8891355501806582</v>
      </c>
      <c r="BE1186" s="45" t="e">
        <f t="shared" si="646"/>
        <v>#VALUE!</v>
      </c>
      <c r="BF1186" s="45" t="e">
        <f t="shared" si="647"/>
        <v>#VALUE!</v>
      </c>
      <c r="BG1186" s="45" t="e">
        <f t="shared" si="648"/>
        <v>#VALUE!</v>
      </c>
      <c r="BH1186" s="45" t="e">
        <f t="shared" si="649"/>
        <v>#NUM!</v>
      </c>
      <c r="BI1186" s="43" t="e">
        <f t="shared" si="650"/>
        <v>#VALUE!</v>
      </c>
      <c r="BL1186" s="20"/>
      <c r="BM1186" s="50"/>
      <c r="BN1186" s="50"/>
      <c r="BO1186" s="50"/>
      <c r="BP1186" s="50"/>
      <c r="BQ1186" s="50"/>
      <c r="BR1186" s="50"/>
      <c r="BU1186" s="50"/>
      <c r="BV1186" s="50"/>
      <c r="BW1186" s="50"/>
      <c r="BX1186" s="50"/>
      <c r="BY1186" s="50"/>
      <c r="BZ1186" s="50"/>
      <c r="CA1186" s="50" t="s">
        <v>22</v>
      </c>
      <c r="CE1186" s="50"/>
      <c r="CF1186" s="50"/>
      <c r="CG1186" s="50"/>
      <c r="CH1186" s="50"/>
      <c r="CI1186" s="50" t="str">
        <f t="shared" si="651"/>
        <v>Not Reported/ Can not calculate</v>
      </c>
      <c r="CJ1186" s="50" t="e">
        <f t="shared" si="652"/>
        <v>#VALUE!</v>
      </c>
      <c r="CL1186" s="9" t="s">
        <v>1269</v>
      </c>
      <c r="CM1186" s="9" t="s">
        <v>1284</v>
      </c>
      <c r="CN1186" s="55" t="s">
        <v>1284</v>
      </c>
      <c r="CO1186" s="9" t="s">
        <v>1284</v>
      </c>
    </row>
    <row r="1187" spans="1:93" s="9" customFormat="1" x14ac:dyDescent="0.25">
      <c r="A1187" s="9" t="s">
        <v>141</v>
      </c>
      <c r="B1187" s="50">
        <v>1.6717791411042966E-2</v>
      </c>
      <c r="C1187" s="50" t="s">
        <v>22</v>
      </c>
      <c r="D1187" s="50" t="s">
        <v>22</v>
      </c>
      <c r="E1187" s="50" t="s">
        <v>22</v>
      </c>
      <c r="F1187" s="9" t="s">
        <v>22</v>
      </c>
      <c r="G1187" s="9" t="s">
        <v>22</v>
      </c>
      <c r="H1187" s="9" t="s">
        <v>22</v>
      </c>
      <c r="I1187" s="9" t="s">
        <v>22</v>
      </c>
      <c r="J1187" s="50" t="s">
        <v>22</v>
      </c>
      <c r="K1187" s="9" t="s">
        <v>22</v>
      </c>
      <c r="L1187" s="50"/>
      <c r="M1187" s="9" t="s">
        <v>23</v>
      </c>
      <c r="N1187" s="50" t="s">
        <v>22</v>
      </c>
      <c r="O1187" s="50" t="s">
        <v>22</v>
      </c>
      <c r="P1187" s="50" t="s">
        <v>22</v>
      </c>
      <c r="Q1187" s="50"/>
      <c r="R1187" s="50" t="s">
        <v>22</v>
      </c>
      <c r="S1187" s="50" t="s">
        <v>22</v>
      </c>
      <c r="T1187" s="50" t="s">
        <v>22</v>
      </c>
      <c r="U1187" s="50" t="s">
        <v>22</v>
      </c>
      <c r="V1187" s="9">
        <v>20210320</v>
      </c>
      <c r="W1187" s="21"/>
      <c r="X1187" s="21">
        <v>2019</v>
      </c>
      <c r="Y1187" s="9" t="s">
        <v>26</v>
      </c>
      <c r="Z1187" s="9" t="s">
        <v>32</v>
      </c>
      <c r="AB1187" s="50"/>
      <c r="AC1187" s="9" t="s">
        <v>514</v>
      </c>
      <c r="AD1187" s="50">
        <v>54.703557312252897</v>
      </c>
      <c r="AE1187" s="50" t="s">
        <v>22</v>
      </c>
      <c r="AF1187" s="50" t="s">
        <v>22</v>
      </c>
      <c r="AG1187" s="50" t="s">
        <v>22</v>
      </c>
      <c r="AH1187" s="50" t="s">
        <v>22</v>
      </c>
      <c r="AI1187" s="50" t="s">
        <v>22</v>
      </c>
      <c r="AJ1187" s="50" t="s">
        <v>22</v>
      </c>
      <c r="AK1187" s="50" t="s">
        <v>22</v>
      </c>
      <c r="AL1187" s="50" t="s">
        <v>22</v>
      </c>
      <c r="AM1187" s="43" t="e">
        <f t="shared" si="633"/>
        <v>#VALUE!</v>
      </c>
      <c r="AN1187" s="43" t="e">
        <f t="shared" si="634"/>
        <v>#VALUE!</v>
      </c>
      <c r="AO1187" s="21" t="s">
        <v>1241</v>
      </c>
      <c r="AT1187" s="2">
        <f t="shared" si="635"/>
        <v>25</v>
      </c>
      <c r="AU1187" s="45">
        <f t="shared" si="636"/>
        <v>-1.7768210977912959</v>
      </c>
      <c r="AV1187" s="45" t="e">
        <f t="shared" si="637"/>
        <v>#VALUE!</v>
      </c>
      <c r="AW1187" s="45" t="e">
        <f t="shared" si="638"/>
        <v>#VALUE!</v>
      </c>
      <c r="AX1187" s="45" t="e">
        <f t="shared" si="639"/>
        <v>#VALUE!</v>
      </c>
      <c r="AY1187" s="45" t="e">
        <f t="shared" si="640"/>
        <v>#VALUE!</v>
      </c>
      <c r="AZ1187" s="45" t="e">
        <f t="shared" si="641"/>
        <v>#VALUE!</v>
      </c>
      <c r="BA1187" s="45" t="e">
        <f t="shared" si="642"/>
        <v>#VALUE!</v>
      </c>
      <c r="BB1187" s="45" t="e">
        <f t="shared" si="643"/>
        <v>#NUM!</v>
      </c>
      <c r="BC1187" s="45" t="e">
        <f t="shared" si="644"/>
        <v>#VALUE!</v>
      </c>
      <c r="BD1187" s="45">
        <f t="shared" si="645"/>
        <v>1.7380155689449206</v>
      </c>
      <c r="BE1187" s="45" t="e">
        <f t="shared" si="646"/>
        <v>#VALUE!</v>
      </c>
      <c r="BF1187" s="45" t="e">
        <f t="shared" si="647"/>
        <v>#VALUE!</v>
      </c>
      <c r="BG1187" s="45" t="e">
        <f t="shared" si="648"/>
        <v>#VALUE!</v>
      </c>
      <c r="BH1187" s="45" t="e">
        <f t="shared" si="649"/>
        <v>#NUM!</v>
      </c>
      <c r="BI1187" s="43" t="e">
        <f t="shared" si="650"/>
        <v>#VALUE!</v>
      </c>
      <c r="BL1187" s="20"/>
      <c r="BM1187" s="50"/>
      <c r="BN1187" s="50"/>
      <c r="BO1187" s="50"/>
      <c r="BP1187" s="50"/>
      <c r="BQ1187" s="50"/>
      <c r="BR1187" s="50"/>
      <c r="BU1187" s="50"/>
      <c r="BV1187" s="50"/>
      <c r="BW1187" s="50"/>
      <c r="BX1187" s="50"/>
      <c r="BY1187" s="50"/>
      <c r="BZ1187" s="50"/>
      <c r="CA1187" s="50" t="s">
        <v>22</v>
      </c>
      <c r="CE1187" s="50"/>
      <c r="CF1187" s="50"/>
      <c r="CG1187" s="50"/>
      <c r="CH1187" s="50"/>
      <c r="CI1187" s="50" t="str">
        <f t="shared" si="651"/>
        <v>Not Reported/ Can not calculate</v>
      </c>
      <c r="CJ1187" s="50" t="e">
        <f t="shared" si="652"/>
        <v>#VALUE!</v>
      </c>
      <c r="CL1187" s="9" t="s">
        <v>1269</v>
      </c>
      <c r="CM1187" s="9" t="s">
        <v>1284</v>
      </c>
      <c r="CN1187" s="55" t="s">
        <v>1284</v>
      </c>
      <c r="CO1187" s="9" t="s">
        <v>1284</v>
      </c>
    </row>
    <row r="1188" spans="1:93" s="9" customFormat="1" x14ac:dyDescent="0.25">
      <c r="A1188" s="9" t="s">
        <v>141</v>
      </c>
      <c r="B1188" s="50">
        <v>1.0548387096774206E-2</v>
      </c>
      <c r="C1188" s="50">
        <v>0.12744479495268099</v>
      </c>
      <c r="D1188" s="50">
        <f>0.001*(B1188*10^6)/(C1188*0.001*100^3)</f>
        <v>8.2768284893005792E-2</v>
      </c>
      <c r="E1188" s="50" t="s">
        <v>22</v>
      </c>
      <c r="F1188" s="9" t="s">
        <v>22</v>
      </c>
      <c r="G1188" s="9" t="s">
        <v>22</v>
      </c>
      <c r="H1188" s="9" t="s">
        <v>22</v>
      </c>
      <c r="I1188" s="9" t="s">
        <v>22</v>
      </c>
      <c r="J1188" s="50" t="s">
        <v>22</v>
      </c>
      <c r="K1188" s="9" t="s">
        <v>22</v>
      </c>
      <c r="L1188" s="50"/>
      <c r="M1188" s="9" t="s">
        <v>23</v>
      </c>
      <c r="N1188" s="50" t="s">
        <v>22</v>
      </c>
      <c r="O1188" s="50" t="s">
        <v>22</v>
      </c>
      <c r="P1188" s="50" t="s">
        <v>22</v>
      </c>
      <c r="Q1188" s="50"/>
      <c r="R1188" s="50" t="s">
        <v>22</v>
      </c>
      <c r="S1188" s="50" t="s">
        <v>22</v>
      </c>
      <c r="T1188" s="50" t="s">
        <v>22</v>
      </c>
      <c r="U1188" s="50" t="s">
        <v>22</v>
      </c>
      <c r="V1188" s="9">
        <v>20210320</v>
      </c>
      <c r="W1188" s="21"/>
      <c r="X1188" s="21">
        <v>2019</v>
      </c>
      <c r="Y1188" s="9" t="s">
        <v>26</v>
      </c>
      <c r="Z1188" s="9" t="s">
        <v>32</v>
      </c>
      <c r="AB1188" s="50"/>
      <c r="AC1188" s="9" t="s">
        <v>514</v>
      </c>
      <c r="AD1188" s="50">
        <v>63.715415019762801</v>
      </c>
      <c r="AE1188" s="50" t="s">
        <v>22</v>
      </c>
      <c r="AF1188" s="50" t="s">
        <v>22</v>
      </c>
      <c r="AG1188" s="50" t="s">
        <v>22</v>
      </c>
      <c r="AH1188" s="50" t="s">
        <v>22</v>
      </c>
      <c r="AI1188" s="50" t="s">
        <v>22</v>
      </c>
      <c r="AJ1188" s="50" t="s">
        <v>22</v>
      </c>
      <c r="AK1188" s="50" t="s">
        <v>22</v>
      </c>
      <c r="AL1188" s="50" t="s">
        <v>22</v>
      </c>
      <c r="AM1188" s="43" t="e">
        <f t="shared" si="633"/>
        <v>#VALUE!</v>
      </c>
      <c r="AN1188" s="43" t="e">
        <f t="shared" si="634"/>
        <v>#VALUE!</v>
      </c>
      <c r="AO1188" s="21" t="s">
        <v>1241</v>
      </c>
      <c r="AT1188" s="2">
        <f t="shared" si="635"/>
        <v>25</v>
      </c>
      <c r="AU1188" s="45">
        <f t="shared" si="636"/>
        <v>-1.976813941173986</v>
      </c>
      <c r="AV1188" s="45">
        <f t="shared" si="637"/>
        <v>-0.89467789710714785</v>
      </c>
      <c r="AW1188" s="45">
        <f t="shared" si="638"/>
        <v>-1.0821360440668382</v>
      </c>
      <c r="AX1188" s="45" t="e">
        <f t="shared" si="639"/>
        <v>#VALUE!</v>
      </c>
      <c r="AY1188" s="45" t="e">
        <f t="shared" si="640"/>
        <v>#VALUE!</v>
      </c>
      <c r="AZ1188" s="45" t="e">
        <f t="shared" si="641"/>
        <v>#VALUE!</v>
      </c>
      <c r="BA1188" s="45" t="e">
        <f t="shared" si="642"/>
        <v>#VALUE!</v>
      </c>
      <c r="BB1188" s="45" t="e">
        <f t="shared" si="643"/>
        <v>#NUM!</v>
      </c>
      <c r="BC1188" s="45" t="e">
        <f t="shared" si="644"/>
        <v>#VALUE!</v>
      </c>
      <c r="BD1188" s="45">
        <f t="shared" si="645"/>
        <v>1.8042445162932537</v>
      </c>
      <c r="BE1188" s="45" t="e">
        <f t="shared" si="646"/>
        <v>#VALUE!</v>
      </c>
      <c r="BF1188" s="45" t="e">
        <f t="shared" si="647"/>
        <v>#VALUE!</v>
      </c>
      <c r="BG1188" s="45" t="e">
        <f t="shared" si="648"/>
        <v>#VALUE!</v>
      </c>
      <c r="BH1188" s="45" t="e">
        <f t="shared" si="649"/>
        <v>#NUM!</v>
      </c>
      <c r="BI1188" s="43" t="e">
        <f t="shared" si="650"/>
        <v>#VALUE!</v>
      </c>
      <c r="BL1188" s="20"/>
      <c r="BM1188" s="50"/>
      <c r="BN1188" s="50"/>
      <c r="BO1188" s="50"/>
      <c r="BP1188" s="50"/>
      <c r="BQ1188" s="50"/>
      <c r="BR1188" s="50"/>
      <c r="BU1188" s="50"/>
      <c r="BV1188" s="50"/>
      <c r="BW1188" s="50"/>
      <c r="BX1188" s="50"/>
      <c r="BY1188" s="50"/>
      <c r="BZ1188" s="50"/>
      <c r="CA1188" s="50" t="s">
        <v>22</v>
      </c>
      <c r="CE1188" s="50"/>
      <c r="CF1188" s="50"/>
      <c r="CG1188" s="50"/>
      <c r="CH1188" s="50"/>
      <c r="CI1188" s="50" t="str">
        <f t="shared" si="651"/>
        <v>Not Reported/ Can not calculate</v>
      </c>
      <c r="CJ1188" s="50" t="e">
        <f t="shared" si="652"/>
        <v>#VALUE!</v>
      </c>
      <c r="CL1188" s="9" t="s">
        <v>1269</v>
      </c>
      <c r="CM1188" s="9" t="s">
        <v>1284</v>
      </c>
      <c r="CN1188" s="55" t="s">
        <v>1284</v>
      </c>
      <c r="CO1188" s="9" t="s">
        <v>1284</v>
      </c>
    </row>
    <row r="1189" spans="1:93" s="9" customFormat="1" x14ac:dyDescent="0.25">
      <c r="A1189" s="9" t="s">
        <v>141</v>
      </c>
      <c r="B1189" s="50">
        <v>1.1307053941908719E-2</v>
      </c>
      <c r="C1189" s="50">
        <v>0.25993690851735002</v>
      </c>
      <c r="D1189" s="50">
        <f>0.001*(B1189*10^6)/(C1189*0.001*100^3)</f>
        <v>4.34992245095275E-2</v>
      </c>
      <c r="E1189" s="50" t="s">
        <v>22</v>
      </c>
      <c r="F1189" s="9" t="s">
        <v>22</v>
      </c>
      <c r="G1189" s="9" t="s">
        <v>22</v>
      </c>
      <c r="H1189" s="9" t="s">
        <v>22</v>
      </c>
      <c r="I1189" s="9" t="s">
        <v>22</v>
      </c>
      <c r="J1189" s="50" t="s">
        <v>22</v>
      </c>
      <c r="K1189" s="9" t="s">
        <v>22</v>
      </c>
      <c r="L1189" s="50"/>
      <c r="M1189" s="9" t="s">
        <v>23</v>
      </c>
      <c r="N1189" s="50" t="s">
        <v>22</v>
      </c>
      <c r="O1189" s="50" t="s">
        <v>22</v>
      </c>
      <c r="P1189" s="50" t="s">
        <v>22</v>
      </c>
      <c r="Q1189" s="50"/>
      <c r="R1189" s="50" t="s">
        <v>22</v>
      </c>
      <c r="S1189" s="50" t="s">
        <v>22</v>
      </c>
      <c r="T1189" s="50" t="s">
        <v>22</v>
      </c>
      <c r="U1189" s="50" t="s">
        <v>22</v>
      </c>
      <c r="V1189" s="9">
        <v>20210320</v>
      </c>
      <c r="W1189" s="21"/>
      <c r="X1189" s="21">
        <v>2019</v>
      </c>
      <c r="Y1189" s="9" t="s">
        <v>26</v>
      </c>
      <c r="Z1189" s="9" t="s">
        <v>32</v>
      </c>
      <c r="AB1189" s="50"/>
      <c r="AC1189" s="9" t="s">
        <v>514</v>
      </c>
      <c r="AD1189" s="50">
        <v>71.462450592885304</v>
      </c>
      <c r="AE1189" s="50" t="s">
        <v>22</v>
      </c>
      <c r="AF1189" s="50" t="s">
        <v>22</v>
      </c>
      <c r="AG1189" s="50" t="s">
        <v>22</v>
      </c>
      <c r="AH1189" s="50" t="s">
        <v>22</v>
      </c>
      <c r="AI1189" s="50" t="s">
        <v>22</v>
      </c>
      <c r="AJ1189" s="50" t="s">
        <v>22</v>
      </c>
      <c r="AK1189" s="50" t="s">
        <v>22</v>
      </c>
      <c r="AL1189" s="50" t="s">
        <v>22</v>
      </c>
      <c r="AM1189" s="43" t="e">
        <f t="shared" si="633"/>
        <v>#VALUE!</v>
      </c>
      <c r="AN1189" s="43" t="e">
        <f t="shared" si="634"/>
        <v>#VALUE!</v>
      </c>
      <c r="AO1189" s="21" t="s">
        <v>1241</v>
      </c>
      <c r="AT1189" s="2">
        <f t="shared" si="635"/>
        <v>25</v>
      </c>
      <c r="AU1189" s="45">
        <f t="shared" si="636"/>
        <v>-1.9466505359622071</v>
      </c>
      <c r="AV1189" s="45">
        <f t="shared" si="637"/>
        <v>-0.58513205052063588</v>
      </c>
      <c r="AW1189" s="45">
        <f t="shared" si="638"/>
        <v>-1.3615184854415709</v>
      </c>
      <c r="AX1189" s="45" t="e">
        <f t="shared" si="639"/>
        <v>#VALUE!</v>
      </c>
      <c r="AY1189" s="45" t="e">
        <f t="shared" si="640"/>
        <v>#VALUE!</v>
      </c>
      <c r="AZ1189" s="45" t="e">
        <f t="shared" si="641"/>
        <v>#VALUE!</v>
      </c>
      <c r="BA1189" s="45" t="e">
        <f t="shared" si="642"/>
        <v>#VALUE!</v>
      </c>
      <c r="BB1189" s="45" t="e">
        <f t="shared" si="643"/>
        <v>#NUM!</v>
      </c>
      <c r="BC1189" s="45" t="e">
        <f t="shared" si="644"/>
        <v>#VALUE!</v>
      </c>
      <c r="BD1189" s="45">
        <f t="shared" si="645"/>
        <v>1.8540779049635261</v>
      </c>
      <c r="BE1189" s="45" t="e">
        <f t="shared" si="646"/>
        <v>#VALUE!</v>
      </c>
      <c r="BF1189" s="45" t="e">
        <f t="shared" si="647"/>
        <v>#VALUE!</v>
      </c>
      <c r="BG1189" s="45" t="e">
        <f t="shared" si="648"/>
        <v>#VALUE!</v>
      </c>
      <c r="BH1189" s="45" t="e">
        <f t="shared" si="649"/>
        <v>#NUM!</v>
      </c>
      <c r="BI1189" s="43" t="e">
        <f t="shared" si="650"/>
        <v>#VALUE!</v>
      </c>
      <c r="BL1189" s="20"/>
      <c r="BM1189" s="50"/>
      <c r="BN1189" s="50"/>
      <c r="BO1189" s="50"/>
      <c r="BP1189" s="50"/>
      <c r="BQ1189" s="50"/>
      <c r="BR1189" s="50"/>
      <c r="BU1189" s="50"/>
      <c r="BV1189" s="50"/>
      <c r="BW1189" s="50"/>
      <c r="BX1189" s="50"/>
      <c r="BY1189" s="50"/>
      <c r="BZ1189" s="50"/>
      <c r="CA1189" s="50" t="s">
        <v>22</v>
      </c>
      <c r="CE1189" s="50"/>
      <c r="CF1189" s="50"/>
      <c r="CG1189" s="50"/>
      <c r="CH1189" s="50"/>
      <c r="CI1189" s="50" t="str">
        <f t="shared" si="651"/>
        <v>Not Reported/ Can not calculate</v>
      </c>
      <c r="CJ1189" s="50" t="e">
        <f t="shared" si="652"/>
        <v>#VALUE!</v>
      </c>
      <c r="CL1189" s="9" t="s">
        <v>1269</v>
      </c>
      <c r="CM1189" s="9" t="s">
        <v>1284</v>
      </c>
      <c r="CN1189" s="55" t="s">
        <v>1284</v>
      </c>
      <c r="CO1189" s="9" t="s">
        <v>1284</v>
      </c>
    </row>
    <row r="1190" spans="1:93" s="9" customFormat="1" x14ac:dyDescent="0.25">
      <c r="A1190" s="9" t="s">
        <v>141</v>
      </c>
      <c r="B1190" s="50">
        <v>5.7449051300070527E-3</v>
      </c>
      <c r="C1190" s="50" t="s">
        <v>22</v>
      </c>
      <c r="D1190" s="50" t="s">
        <v>22</v>
      </c>
      <c r="E1190" s="50" t="s">
        <v>22</v>
      </c>
      <c r="F1190" s="9" t="s">
        <v>22</v>
      </c>
      <c r="G1190" s="9" t="s">
        <v>22</v>
      </c>
      <c r="H1190" s="9" t="s">
        <v>22</v>
      </c>
      <c r="I1190" s="9" t="s">
        <v>22</v>
      </c>
      <c r="J1190" s="50" t="s">
        <v>22</v>
      </c>
      <c r="K1190" s="9" t="s">
        <v>22</v>
      </c>
      <c r="L1190" s="50"/>
      <c r="M1190" s="9" t="s">
        <v>23</v>
      </c>
      <c r="N1190" s="50" t="s">
        <v>22</v>
      </c>
      <c r="O1190" s="50" t="s">
        <v>22</v>
      </c>
      <c r="P1190" s="50" t="s">
        <v>22</v>
      </c>
      <c r="Q1190" s="50"/>
      <c r="R1190" s="50" t="s">
        <v>22</v>
      </c>
      <c r="S1190" s="50" t="s">
        <v>22</v>
      </c>
      <c r="T1190" s="50" t="s">
        <v>22</v>
      </c>
      <c r="U1190" s="50" t="s">
        <v>22</v>
      </c>
      <c r="V1190" s="9">
        <v>20210320</v>
      </c>
      <c r="W1190" s="21"/>
      <c r="X1190" s="21">
        <v>2019</v>
      </c>
      <c r="Y1190" s="9" t="s">
        <v>26</v>
      </c>
      <c r="Z1190" s="9" t="s">
        <v>32</v>
      </c>
      <c r="AB1190" s="50"/>
      <c r="AC1190" s="9" t="s">
        <v>514</v>
      </c>
      <c r="AD1190" s="50">
        <v>90.276679841897206</v>
      </c>
      <c r="AE1190" s="50" t="s">
        <v>22</v>
      </c>
      <c r="AF1190" s="50" t="s">
        <v>22</v>
      </c>
      <c r="AG1190" s="50" t="s">
        <v>22</v>
      </c>
      <c r="AH1190" s="50" t="s">
        <v>22</v>
      </c>
      <c r="AI1190" s="50" t="s">
        <v>22</v>
      </c>
      <c r="AJ1190" s="50" t="s">
        <v>22</v>
      </c>
      <c r="AK1190" s="50" t="s">
        <v>22</v>
      </c>
      <c r="AL1190" s="50" t="s">
        <v>22</v>
      </c>
      <c r="AM1190" s="43" t="e">
        <f t="shared" si="633"/>
        <v>#VALUE!</v>
      </c>
      <c r="AN1190" s="43" t="e">
        <f t="shared" si="634"/>
        <v>#VALUE!</v>
      </c>
      <c r="AO1190" s="21" t="s">
        <v>1241</v>
      </c>
      <c r="AT1190" s="2">
        <f t="shared" si="635"/>
        <v>25</v>
      </c>
      <c r="AU1190" s="45">
        <f t="shared" si="636"/>
        <v>-2.2407171387519589</v>
      </c>
      <c r="AV1190" s="45" t="e">
        <f t="shared" si="637"/>
        <v>#VALUE!</v>
      </c>
      <c r="AW1190" s="45" t="e">
        <f t="shared" si="638"/>
        <v>#VALUE!</v>
      </c>
      <c r="AX1190" s="45" t="e">
        <f t="shared" si="639"/>
        <v>#VALUE!</v>
      </c>
      <c r="AY1190" s="45" t="e">
        <f t="shared" si="640"/>
        <v>#VALUE!</v>
      </c>
      <c r="AZ1190" s="45" t="e">
        <f t="shared" si="641"/>
        <v>#VALUE!</v>
      </c>
      <c r="BA1190" s="45" t="e">
        <f t="shared" si="642"/>
        <v>#VALUE!</v>
      </c>
      <c r="BB1190" s="45" t="e">
        <f t="shared" si="643"/>
        <v>#NUM!</v>
      </c>
      <c r="BC1190" s="45" t="e">
        <f t="shared" si="644"/>
        <v>#VALUE!</v>
      </c>
      <c r="BD1190" s="45">
        <f t="shared" si="645"/>
        <v>1.9555755783979925</v>
      </c>
      <c r="BE1190" s="45" t="e">
        <f t="shared" si="646"/>
        <v>#VALUE!</v>
      </c>
      <c r="BF1190" s="45" t="e">
        <f t="shared" si="647"/>
        <v>#VALUE!</v>
      </c>
      <c r="BG1190" s="45" t="e">
        <f t="shared" si="648"/>
        <v>#VALUE!</v>
      </c>
      <c r="BH1190" s="45" t="e">
        <f t="shared" si="649"/>
        <v>#NUM!</v>
      </c>
      <c r="BI1190" s="43" t="e">
        <f t="shared" si="650"/>
        <v>#VALUE!</v>
      </c>
      <c r="BL1190" s="20"/>
      <c r="BM1190" s="50"/>
      <c r="BN1190" s="50"/>
      <c r="BO1190" s="50"/>
      <c r="BP1190" s="50"/>
      <c r="BQ1190" s="50"/>
      <c r="BR1190" s="50"/>
      <c r="BU1190" s="50"/>
      <c r="BV1190" s="50"/>
      <c r="BW1190" s="50"/>
      <c r="BX1190" s="50"/>
      <c r="BY1190" s="50"/>
      <c r="BZ1190" s="50"/>
      <c r="CA1190" s="50" t="s">
        <v>22</v>
      </c>
      <c r="CE1190" s="50"/>
      <c r="CF1190" s="50"/>
      <c r="CG1190" s="50"/>
      <c r="CH1190" s="50"/>
      <c r="CI1190" s="50" t="str">
        <f t="shared" si="651"/>
        <v>Not Reported/ Can not calculate</v>
      </c>
      <c r="CJ1190" s="50" t="e">
        <f t="shared" si="652"/>
        <v>#VALUE!</v>
      </c>
      <c r="CL1190" s="9" t="s">
        <v>1269</v>
      </c>
      <c r="CM1190" s="9" t="s">
        <v>1284</v>
      </c>
      <c r="CN1190" s="55" t="s">
        <v>1284</v>
      </c>
      <c r="CO1190" s="9" t="s">
        <v>1284</v>
      </c>
    </row>
    <row r="1191" spans="1:93" s="9" customFormat="1" x14ac:dyDescent="0.25">
      <c r="A1191" s="9" t="s">
        <v>141</v>
      </c>
      <c r="B1191" s="50">
        <v>6.3519813519813707E-3</v>
      </c>
      <c r="C1191" s="50" t="s">
        <v>22</v>
      </c>
      <c r="D1191" s="50" t="s">
        <v>22</v>
      </c>
      <c r="E1191" s="50" t="s">
        <v>22</v>
      </c>
      <c r="F1191" s="9" t="s">
        <v>22</v>
      </c>
      <c r="G1191" s="9" t="s">
        <v>22</v>
      </c>
      <c r="H1191" s="9" t="s">
        <v>22</v>
      </c>
      <c r="I1191" s="9" t="s">
        <v>22</v>
      </c>
      <c r="J1191" s="50" t="s">
        <v>22</v>
      </c>
      <c r="K1191" s="9" t="s">
        <v>22</v>
      </c>
      <c r="L1191" s="50"/>
      <c r="M1191" s="9" t="s">
        <v>23</v>
      </c>
      <c r="N1191" s="50" t="s">
        <v>22</v>
      </c>
      <c r="O1191" s="50" t="s">
        <v>22</v>
      </c>
      <c r="P1191" s="50" t="s">
        <v>22</v>
      </c>
      <c r="Q1191" s="50"/>
      <c r="R1191" s="50" t="s">
        <v>22</v>
      </c>
      <c r="S1191" s="50" t="s">
        <v>22</v>
      </c>
      <c r="T1191" s="50" t="s">
        <v>22</v>
      </c>
      <c r="U1191" s="50" t="s">
        <v>22</v>
      </c>
      <c r="V1191" s="9">
        <v>20210320</v>
      </c>
      <c r="W1191" s="21"/>
      <c r="X1191" s="21">
        <v>2019</v>
      </c>
      <c r="Y1191" s="9" t="s">
        <v>26</v>
      </c>
      <c r="Z1191" s="9" t="s">
        <v>32</v>
      </c>
      <c r="AB1191" s="50"/>
      <c r="AC1191" s="9" t="s">
        <v>514</v>
      </c>
      <c r="AD1191" s="50">
        <v>92.964426877470302</v>
      </c>
      <c r="AE1191" s="50" t="s">
        <v>22</v>
      </c>
      <c r="AF1191" s="50" t="s">
        <v>22</v>
      </c>
      <c r="AG1191" s="50" t="s">
        <v>22</v>
      </c>
      <c r="AH1191" s="50" t="s">
        <v>22</v>
      </c>
      <c r="AI1191" s="50" t="s">
        <v>22</v>
      </c>
      <c r="AJ1191" s="50" t="s">
        <v>22</v>
      </c>
      <c r="AK1191" s="50" t="s">
        <v>22</v>
      </c>
      <c r="AL1191" s="50" t="s">
        <v>22</v>
      </c>
      <c r="AM1191" s="43" t="e">
        <f t="shared" si="633"/>
        <v>#VALUE!</v>
      </c>
      <c r="AN1191" s="43" t="e">
        <f t="shared" si="634"/>
        <v>#VALUE!</v>
      </c>
      <c r="AO1191" s="21" t="s">
        <v>1241</v>
      </c>
      <c r="AT1191" s="2">
        <f t="shared" si="635"/>
        <v>25</v>
      </c>
      <c r="AU1191" s="45">
        <f t="shared" si="636"/>
        <v>-2.1970907855720618</v>
      </c>
      <c r="AV1191" s="45" t="e">
        <f t="shared" si="637"/>
        <v>#VALUE!</v>
      </c>
      <c r="AW1191" s="45" t="e">
        <f t="shared" si="638"/>
        <v>#VALUE!</v>
      </c>
      <c r="AX1191" s="45" t="e">
        <f t="shared" si="639"/>
        <v>#VALUE!</v>
      </c>
      <c r="AY1191" s="45" t="e">
        <f t="shared" si="640"/>
        <v>#VALUE!</v>
      </c>
      <c r="AZ1191" s="45" t="e">
        <f t="shared" si="641"/>
        <v>#VALUE!</v>
      </c>
      <c r="BA1191" s="45" t="e">
        <f t="shared" si="642"/>
        <v>#VALUE!</v>
      </c>
      <c r="BB1191" s="45" t="e">
        <f t="shared" si="643"/>
        <v>#NUM!</v>
      </c>
      <c r="BC1191" s="45" t="e">
        <f t="shared" si="644"/>
        <v>#VALUE!</v>
      </c>
      <c r="BD1191" s="45">
        <f t="shared" si="645"/>
        <v>1.9683167962282828</v>
      </c>
      <c r="BE1191" s="45" t="e">
        <f t="shared" si="646"/>
        <v>#VALUE!</v>
      </c>
      <c r="BF1191" s="45" t="e">
        <f t="shared" si="647"/>
        <v>#VALUE!</v>
      </c>
      <c r="BG1191" s="45" t="e">
        <f t="shared" si="648"/>
        <v>#VALUE!</v>
      </c>
      <c r="BH1191" s="45" t="e">
        <f t="shared" si="649"/>
        <v>#NUM!</v>
      </c>
      <c r="BI1191" s="43" t="e">
        <f t="shared" si="650"/>
        <v>#VALUE!</v>
      </c>
      <c r="BL1191" s="20"/>
      <c r="BM1191" s="50"/>
      <c r="BN1191" s="50"/>
      <c r="BO1191" s="50"/>
      <c r="BP1191" s="50"/>
      <c r="BQ1191" s="50"/>
      <c r="BR1191" s="50"/>
      <c r="BU1191" s="50"/>
      <c r="BV1191" s="50"/>
      <c r="BW1191" s="50"/>
      <c r="BX1191" s="50"/>
      <c r="BY1191" s="50"/>
      <c r="BZ1191" s="50"/>
      <c r="CA1191" s="50" t="s">
        <v>22</v>
      </c>
      <c r="CE1191" s="50"/>
      <c r="CF1191" s="50"/>
      <c r="CG1191" s="50"/>
      <c r="CH1191" s="50"/>
      <c r="CI1191" s="50" t="str">
        <f t="shared" si="651"/>
        <v>Not Reported/ Can not calculate</v>
      </c>
      <c r="CJ1191" s="50" t="e">
        <f t="shared" si="652"/>
        <v>#VALUE!</v>
      </c>
      <c r="CL1191" s="9" t="s">
        <v>1269</v>
      </c>
      <c r="CM1191" s="9" t="s">
        <v>1284</v>
      </c>
      <c r="CN1191" s="55" t="s">
        <v>1284</v>
      </c>
      <c r="CO1191" s="9" t="s">
        <v>1284</v>
      </c>
    </row>
    <row r="1192" spans="1:93" x14ac:dyDescent="0.25">
      <c r="A1192" s="18" t="s">
        <v>141</v>
      </c>
      <c r="B1192" s="41">
        <v>8.8499999999999995E-2</v>
      </c>
      <c r="C1192" s="41" t="s">
        <v>22</v>
      </c>
      <c r="D1192" s="41" t="s">
        <v>22</v>
      </c>
      <c r="E1192" s="41">
        <v>1.01</v>
      </c>
      <c r="F1192" s="18" t="s">
        <v>22</v>
      </c>
      <c r="G1192" s="18" t="s">
        <v>22</v>
      </c>
      <c r="H1192" s="18" t="s">
        <v>22</v>
      </c>
      <c r="I1192" s="18" t="s">
        <v>22</v>
      </c>
      <c r="J1192" s="41">
        <v>7.25</v>
      </c>
      <c r="K1192">
        <v>785</v>
      </c>
      <c r="L1192" s="41">
        <f t="shared" ref="L1192:L1202" si="654">IF((10^-12)*J1192*K1192^4=0,"",(10^-12)*J1192*K1192^4)</f>
        <v>2.7530660670312499</v>
      </c>
      <c r="M1192" t="s">
        <v>23</v>
      </c>
      <c r="N1192" s="41">
        <v>225</v>
      </c>
      <c r="O1192" s="41" t="s">
        <v>22</v>
      </c>
      <c r="P1192" s="41">
        <v>5.3</v>
      </c>
      <c r="R1192" s="41">
        <f>N1192*B1192</f>
        <v>19.912499999999998</v>
      </c>
      <c r="S1192" s="41" t="s">
        <v>22</v>
      </c>
      <c r="T1192" s="41" t="s">
        <v>719</v>
      </c>
      <c r="U1192" s="41">
        <v>21</v>
      </c>
      <c r="V1192" s="18">
        <v>20200513</v>
      </c>
      <c r="W1192" s="21" t="s">
        <v>721</v>
      </c>
      <c r="X1192" s="6">
        <v>2020</v>
      </c>
      <c r="Y1192" s="6" t="s">
        <v>76</v>
      </c>
      <c r="Z1192" s="6" t="s">
        <v>32</v>
      </c>
      <c r="AA1192" s="6"/>
      <c r="AB1192" s="47"/>
      <c r="AC1192" s="6" t="s">
        <v>514</v>
      </c>
      <c r="AD1192" s="41" t="s">
        <v>22</v>
      </c>
      <c r="AE1192" s="41">
        <v>1585</v>
      </c>
      <c r="AF1192" s="41" t="s">
        <v>22</v>
      </c>
      <c r="AG1192" s="41" t="s">
        <v>22</v>
      </c>
      <c r="AH1192" s="41" t="s">
        <v>22</v>
      </c>
      <c r="AI1192" s="41" t="s">
        <v>22</v>
      </c>
      <c r="AJ1192" s="41" t="s">
        <v>22</v>
      </c>
      <c r="AK1192" s="41" t="s">
        <v>22</v>
      </c>
      <c r="AL1192" s="41" t="s">
        <v>22</v>
      </c>
      <c r="AM1192" s="43" t="e">
        <f t="shared" si="633"/>
        <v>#VALUE!</v>
      </c>
      <c r="AN1192" s="43" t="e">
        <f t="shared" si="634"/>
        <v>#VALUE!</v>
      </c>
      <c r="AO1192" s="19" t="s">
        <v>724</v>
      </c>
      <c r="AT1192" s="2">
        <f t="shared" si="635"/>
        <v>3</v>
      </c>
      <c r="AU1192" s="45">
        <f t="shared" si="636"/>
        <v>-1.0530567293021746</v>
      </c>
      <c r="AV1192" s="45" t="e">
        <f t="shared" si="637"/>
        <v>#VALUE!</v>
      </c>
      <c r="AW1192" s="45" t="e">
        <f t="shared" si="638"/>
        <v>#VALUE!</v>
      </c>
      <c r="AX1192" s="45">
        <f t="shared" si="639"/>
        <v>2.3521825181113627</v>
      </c>
      <c r="AY1192" s="45" t="e">
        <f t="shared" si="640"/>
        <v>#VALUE!</v>
      </c>
      <c r="AZ1192" s="45">
        <f t="shared" si="641"/>
        <v>0.72427586960078905</v>
      </c>
      <c r="BA1192" s="45">
        <f t="shared" si="642"/>
        <v>0.86033800657099369</v>
      </c>
      <c r="BB1192" s="45">
        <f t="shared" si="643"/>
        <v>0.43981663355200384</v>
      </c>
      <c r="BC1192" s="45">
        <f t="shared" si="644"/>
        <v>1.3222192947339193</v>
      </c>
      <c r="BD1192" s="45" t="e">
        <f t="shared" si="645"/>
        <v>#VALUE!</v>
      </c>
      <c r="BE1192" s="45" t="e">
        <f t="shared" si="646"/>
        <v>#VALUE!</v>
      </c>
      <c r="BF1192" s="45" t="e">
        <f t="shared" si="647"/>
        <v>#VALUE!</v>
      </c>
      <c r="BG1192" s="45" t="e">
        <f t="shared" si="648"/>
        <v>#VALUE!</v>
      </c>
      <c r="BH1192" s="45" t="e">
        <f t="shared" si="649"/>
        <v>#NUM!</v>
      </c>
      <c r="BI1192" s="43" t="e">
        <f t="shared" si="650"/>
        <v>#VALUE!</v>
      </c>
      <c r="CA1192" s="41" t="s">
        <v>22</v>
      </c>
      <c r="CC1192" t="s">
        <v>22</v>
      </c>
      <c r="CE1192" s="41" t="s">
        <v>22</v>
      </c>
      <c r="CF1192" s="41" t="s">
        <v>22</v>
      </c>
      <c r="CG1192" s="41" t="e">
        <f t="shared" ref="CG1192:CG1202" si="655">AD1192*1000</f>
        <v>#VALUE!</v>
      </c>
      <c r="CH1192" s="41" t="e">
        <f t="shared" ref="CH1192:CH1202" si="656">LOG10(CG1192)</f>
        <v>#VALUE!</v>
      </c>
      <c r="CI1192" s="41">
        <f t="shared" ref="CI1192:CI1202" si="657">IF(ISNUMBER(CG1192),CG1192,U1192)</f>
        <v>21</v>
      </c>
      <c r="CJ1192" s="41">
        <f t="shared" ref="CJ1192:CJ1202" si="658">LOG10(CI1192)</f>
        <v>1.3222192947339193</v>
      </c>
      <c r="CL1192" s="9" t="s">
        <v>1269</v>
      </c>
      <c r="CM1192" s="18" t="s">
        <v>1285</v>
      </c>
      <c r="CN1192" s="54" t="s">
        <v>1284</v>
      </c>
      <c r="CO1192" s="18" t="s">
        <v>1284</v>
      </c>
    </row>
    <row r="1193" spans="1:93" x14ac:dyDescent="0.25">
      <c r="A1193" s="18" t="s">
        <v>141</v>
      </c>
      <c r="B1193" s="41">
        <v>0.14729999999999999</v>
      </c>
      <c r="C1193" s="41" t="s">
        <v>22</v>
      </c>
      <c r="D1193" s="41" t="s">
        <v>22</v>
      </c>
      <c r="E1193" s="41">
        <v>1.01</v>
      </c>
      <c r="F1193" s="18" t="s">
        <v>22</v>
      </c>
      <c r="G1193" s="18" t="s">
        <v>22</v>
      </c>
      <c r="H1193" s="18" t="s">
        <v>22</v>
      </c>
      <c r="I1193" s="18" t="s">
        <v>22</v>
      </c>
      <c r="J1193" s="41">
        <v>7.96</v>
      </c>
      <c r="K1193" s="18">
        <v>785</v>
      </c>
      <c r="L1193" s="41">
        <f t="shared" si="654"/>
        <v>3.0226766749749996</v>
      </c>
      <c r="M1193" s="18" t="s">
        <v>23</v>
      </c>
      <c r="N1193" s="41">
        <v>284</v>
      </c>
      <c r="O1193" s="41" t="s">
        <v>22</v>
      </c>
      <c r="P1193" s="41">
        <v>7.8</v>
      </c>
      <c r="R1193" s="41">
        <f>N1193*B1193</f>
        <v>41.833199999999998</v>
      </c>
      <c r="S1193" s="41" t="s">
        <v>22</v>
      </c>
      <c r="T1193" s="41" t="s">
        <v>22</v>
      </c>
      <c r="U1193" s="41" t="s">
        <v>22</v>
      </c>
      <c r="V1193" s="18">
        <v>20200513</v>
      </c>
      <c r="W1193" s="21" t="s">
        <v>722</v>
      </c>
      <c r="X1193" s="6">
        <v>2020</v>
      </c>
      <c r="Y1193" s="6" t="s">
        <v>76</v>
      </c>
      <c r="Z1193" s="6" t="s">
        <v>32</v>
      </c>
      <c r="AA1193" s="6"/>
      <c r="AB1193" s="47"/>
      <c r="AC1193" s="6" t="s">
        <v>514</v>
      </c>
      <c r="AD1193" s="41" t="s">
        <v>22</v>
      </c>
      <c r="AE1193" s="41">
        <v>1585</v>
      </c>
      <c r="AF1193" s="41" t="s">
        <v>22</v>
      </c>
      <c r="AG1193" s="41" t="s">
        <v>22</v>
      </c>
      <c r="AH1193" s="41" t="s">
        <v>22</v>
      </c>
      <c r="AI1193" s="41" t="s">
        <v>22</v>
      </c>
      <c r="AJ1193" s="41" t="s">
        <v>22</v>
      </c>
      <c r="AK1193" s="41" t="s">
        <v>22</v>
      </c>
      <c r="AL1193" s="41" t="s">
        <v>22</v>
      </c>
      <c r="AM1193" s="43" t="e">
        <f t="shared" si="633"/>
        <v>#VALUE!</v>
      </c>
      <c r="AN1193" s="43" t="e">
        <f t="shared" si="634"/>
        <v>#VALUE!</v>
      </c>
      <c r="AO1193" s="19" t="s">
        <v>724</v>
      </c>
      <c r="AT1193" s="2">
        <f t="shared" si="635"/>
        <v>3</v>
      </c>
      <c r="AU1193" s="45">
        <f t="shared" si="636"/>
        <v>-0.83179725315736908</v>
      </c>
      <c r="AV1193" s="45" t="e">
        <f t="shared" si="637"/>
        <v>#VALUE!</v>
      </c>
      <c r="AW1193" s="45" t="e">
        <f t="shared" si="638"/>
        <v>#VALUE!</v>
      </c>
      <c r="AX1193" s="45">
        <f t="shared" si="639"/>
        <v>2.4533183400470375</v>
      </c>
      <c r="AY1193" s="45" t="e">
        <f t="shared" si="640"/>
        <v>#VALUE!</v>
      </c>
      <c r="AZ1193" s="45">
        <f t="shared" si="641"/>
        <v>0.89209460269048035</v>
      </c>
      <c r="BA1193" s="45">
        <f t="shared" si="642"/>
        <v>0.90091306773766899</v>
      </c>
      <c r="BB1193" s="45">
        <f t="shared" si="643"/>
        <v>0.48039169471867915</v>
      </c>
      <c r="BC1193" s="45" t="e">
        <f t="shared" si="644"/>
        <v>#VALUE!</v>
      </c>
      <c r="BD1193" s="45" t="e">
        <f t="shared" si="645"/>
        <v>#VALUE!</v>
      </c>
      <c r="BE1193" s="45" t="e">
        <f t="shared" si="646"/>
        <v>#VALUE!</v>
      </c>
      <c r="BF1193" s="45" t="e">
        <f t="shared" si="647"/>
        <v>#VALUE!</v>
      </c>
      <c r="BG1193" s="45" t="e">
        <f t="shared" si="648"/>
        <v>#VALUE!</v>
      </c>
      <c r="BH1193" s="45" t="e">
        <f t="shared" si="649"/>
        <v>#NUM!</v>
      </c>
      <c r="BI1193" s="43" t="e">
        <f t="shared" si="650"/>
        <v>#VALUE!</v>
      </c>
      <c r="CA1193" s="41" t="s">
        <v>22</v>
      </c>
      <c r="CC1193" t="s">
        <v>22</v>
      </c>
      <c r="CE1193" s="41" t="s">
        <v>22</v>
      </c>
      <c r="CF1193" s="41" t="s">
        <v>22</v>
      </c>
      <c r="CG1193" s="41" t="e">
        <f t="shared" si="655"/>
        <v>#VALUE!</v>
      </c>
      <c r="CH1193" s="41" t="e">
        <f t="shared" si="656"/>
        <v>#VALUE!</v>
      </c>
      <c r="CI1193" s="41" t="str">
        <f t="shared" si="657"/>
        <v>Not Reported/ Can not calculate</v>
      </c>
      <c r="CJ1193" s="41" t="e">
        <f t="shared" si="658"/>
        <v>#VALUE!</v>
      </c>
      <c r="CL1193" s="9" t="s">
        <v>1269</v>
      </c>
      <c r="CM1193" s="18" t="s">
        <v>1284</v>
      </c>
      <c r="CN1193" s="54" t="s">
        <v>1284</v>
      </c>
      <c r="CO1193" s="18" t="s">
        <v>1284</v>
      </c>
    </row>
    <row r="1194" spans="1:93" x14ac:dyDescent="0.25">
      <c r="A1194" s="18" t="s">
        <v>141</v>
      </c>
      <c r="B1194" s="41">
        <v>0.182</v>
      </c>
      <c r="C1194" s="41" t="s">
        <v>22</v>
      </c>
      <c r="D1194" s="41" t="s">
        <v>22</v>
      </c>
      <c r="E1194" s="41">
        <v>1.05</v>
      </c>
      <c r="F1194" s="18" t="s">
        <v>22</v>
      </c>
      <c r="G1194" s="18" t="s">
        <v>22</v>
      </c>
      <c r="H1194" s="18" t="s">
        <v>22</v>
      </c>
      <c r="I1194" s="18" t="s">
        <v>22</v>
      </c>
      <c r="J1194" s="41">
        <v>10.23</v>
      </c>
      <c r="K1194" s="18">
        <v>785</v>
      </c>
      <c r="L1194" s="41">
        <f t="shared" si="654"/>
        <v>3.8846711538937497</v>
      </c>
      <c r="M1194" s="18" t="s">
        <v>23</v>
      </c>
      <c r="N1194" s="41">
        <v>473</v>
      </c>
      <c r="O1194" s="41" t="s">
        <v>22</v>
      </c>
      <c r="P1194" s="41">
        <v>15</v>
      </c>
      <c r="R1194" s="41">
        <f>N1194*B1194</f>
        <v>86.085999999999999</v>
      </c>
      <c r="S1194" s="41" t="s">
        <v>22</v>
      </c>
      <c r="T1194" s="41" t="s">
        <v>720</v>
      </c>
      <c r="U1194" s="41">
        <v>12.5</v>
      </c>
      <c r="V1194" s="18">
        <v>20200513</v>
      </c>
      <c r="W1194" s="21" t="s">
        <v>723</v>
      </c>
      <c r="X1194" s="6">
        <v>2020</v>
      </c>
      <c r="Y1194" s="6" t="s">
        <v>76</v>
      </c>
      <c r="Z1194" s="6" t="s">
        <v>32</v>
      </c>
      <c r="AA1194" s="6"/>
      <c r="AB1194" s="47"/>
      <c r="AC1194" s="6" t="s">
        <v>514</v>
      </c>
      <c r="AD1194" s="41" t="s">
        <v>22</v>
      </c>
      <c r="AE1194" s="41">
        <v>1585</v>
      </c>
      <c r="AF1194" s="41" t="s">
        <v>22</v>
      </c>
      <c r="AG1194" s="41" t="s">
        <v>22</v>
      </c>
      <c r="AH1194" s="41" t="s">
        <v>22</v>
      </c>
      <c r="AI1194" s="41" t="s">
        <v>22</v>
      </c>
      <c r="AJ1194" s="41" t="s">
        <v>22</v>
      </c>
      <c r="AK1194" s="41" t="s">
        <v>22</v>
      </c>
      <c r="AL1194" s="41" t="s">
        <v>22</v>
      </c>
      <c r="AM1194" s="43" t="e">
        <f t="shared" si="633"/>
        <v>#VALUE!</v>
      </c>
      <c r="AN1194" s="43" t="e">
        <f t="shared" si="634"/>
        <v>#VALUE!</v>
      </c>
      <c r="AO1194" s="19" t="s">
        <v>724</v>
      </c>
      <c r="AT1194" s="2">
        <f t="shared" si="635"/>
        <v>3</v>
      </c>
      <c r="AU1194" s="45">
        <f t="shared" si="636"/>
        <v>-0.73992861201492521</v>
      </c>
      <c r="AV1194" s="45" t="e">
        <f t="shared" si="637"/>
        <v>#VALUE!</v>
      </c>
      <c r="AW1194" s="45" t="e">
        <f t="shared" si="638"/>
        <v>#VALUE!</v>
      </c>
      <c r="AX1194" s="45">
        <f t="shared" si="639"/>
        <v>2.6748611407378116</v>
      </c>
      <c r="AY1194" s="45" t="e">
        <f t="shared" si="640"/>
        <v>#VALUE!</v>
      </c>
      <c r="AZ1194" s="45">
        <f t="shared" si="641"/>
        <v>1.1760912590556813</v>
      </c>
      <c r="BA1194" s="45">
        <f t="shared" si="642"/>
        <v>1.0098756337121602</v>
      </c>
      <c r="BB1194" s="45">
        <f t="shared" si="643"/>
        <v>0.58935426069317032</v>
      </c>
      <c r="BC1194" s="45">
        <f t="shared" si="644"/>
        <v>1.0969100130080565</v>
      </c>
      <c r="BD1194" s="45" t="e">
        <f t="shared" si="645"/>
        <v>#VALUE!</v>
      </c>
      <c r="BE1194" s="45" t="e">
        <f t="shared" si="646"/>
        <v>#VALUE!</v>
      </c>
      <c r="BF1194" s="45" t="e">
        <f t="shared" si="647"/>
        <v>#VALUE!</v>
      </c>
      <c r="BG1194" s="45" t="e">
        <f t="shared" si="648"/>
        <v>#VALUE!</v>
      </c>
      <c r="BH1194" s="45" t="e">
        <f t="shared" si="649"/>
        <v>#NUM!</v>
      </c>
      <c r="BI1194" s="43" t="e">
        <f t="shared" si="650"/>
        <v>#VALUE!</v>
      </c>
      <c r="CA1194" s="41" t="s">
        <v>22</v>
      </c>
      <c r="CC1194" t="s">
        <v>22</v>
      </c>
      <c r="CE1194" s="41" t="s">
        <v>22</v>
      </c>
      <c r="CF1194" s="41" t="s">
        <v>22</v>
      </c>
      <c r="CG1194" s="41" t="e">
        <f t="shared" si="655"/>
        <v>#VALUE!</v>
      </c>
      <c r="CH1194" s="41" t="e">
        <f t="shared" si="656"/>
        <v>#VALUE!</v>
      </c>
      <c r="CI1194" s="41">
        <f t="shared" si="657"/>
        <v>12.5</v>
      </c>
      <c r="CJ1194" s="41">
        <f t="shared" si="658"/>
        <v>1.0969100130080565</v>
      </c>
      <c r="CL1194" s="9" t="s">
        <v>1269</v>
      </c>
      <c r="CM1194" s="18" t="s">
        <v>1285</v>
      </c>
      <c r="CN1194" s="54" t="s">
        <v>1284</v>
      </c>
      <c r="CO1194" s="18" t="s">
        <v>1284</v>
      </c>
    </row>
    <row r="1195" spans="1:93" x14ac:dyDescent="0.25">
      <c r="A1195" s="18" t="s">
        <v>141</v>
      </c>
      <c r="B1195" s="41">
        <v>6.3700000000000007E-2</v>
      </c>
      <c r="C1195" s="41" t="s">
        <v>22</v>
      </c>
      <c r="D1195" s="41" t="s">
        <v>22</v>
      </c>
      <c r="E1195" s="41" t="s">
        <v>22</v>
      </c>
      <c r="F1195" s="18" t="s">
        <v>22</v>
      </c>
      <c r="G1195" s="18" t="s">
        <v>22</v>
      </c>
      <c r="H1195" s="18" t="s">
        <v>22</v>
      </c>
      <c r="I1195" s="18" t="s">
        <v>22</v>
      </c>
      <c r="J1195" s="41">
        <v>1</v>
      </c>
      <c r="K1195" s="18">
        <v>532</v>
      </c>
      <c r="L1195" s="41">
        <f t="shared" si="654"/>
        <v>8.0102584576000002E-2</v>
      </c>
      <c r="M1195" s="18" t="s">
        <v>23</v>
      </c>
      <c r="N1195" s="41">
        <v>1800</v>
      </c>
      <c r="O1195" s="41" t="s">
        <v>22</v>
      </c>
      <c r="P1195" s="41" t="s">
        <v>22</v>
      </c>
      <c r="R1195" s="41">
        <f>N1195*B1195</f>
        <v>114.66000000000001</v>
      </c>
      <c r="S1195" s="41" t="s">
        <v>22</v>
      </c>
      <c r="T1195" s="41" t="s">
        <v>696</v>
      </c>
      <c r="U1195" s="41">
        <v>5</v>
      </c>
      <c r="V1195" s="18">
        <v>20200513</v>
      </c>
      <c r="W1195" s="21" t="s">
        <v>152</v>
      </c>
      <c r="X1195" s="6">
        <v>2020</v>
      </c>
      <c r="Y1195" s="6" t="s">
        <v>26</v>
      </c>
      <c r="Z1195" s="6" t="s">
        <v>32</v>
      </c>
      <c r="AA1195" s="6"/>
      <c r="AB1195" s="47"/>
      <c r="AC1195" s="6" t="s">
        <v>514</v>
      </c>
      <c r="AD1195" s="41" t="s">
        <v>22</v>
      </c>
      <c r="AE1195" s="41">
        <v>1544</v>
      </c>
      <c r="AF1195" s="41">
        <v>26</v>
      </c>
      <c r="AG1195" s="41" t="s">
        <v>22</v>
      </c>
      <c r="AH1195" s="41" t="s">
        <v>22</v>
      </c>
      <c r="AI1195" s="41" t="s">
        <v>22</v>
      </c>
      <c r="AJ1195" s="41" t="s">
        <v>22</v>
      </c>
      <c r="AK1195" s="41" t="s">
        <v>22</v>
      </c>
      <c r="AL1195" s="41" t="s">
        <v>22</v>
      </c>
      <c r="AM1195" s="43" t="e">
        <f t="shared" si="633"/>
        <v>#VALUE!</v>
      </c>
      <c r="AN1195" s="43" t="e">
        <f t="shared" si="634"/>
        <v>#VALUE!</v>
      </c>
      <c r="AO1195" s="19" t="s">
        <v>695</v>
      </c>
      <c r="AT1195" s="2">
        <f t="shared" si="635"/>
        <v>7</v>
      </c>
      <c r="AU1195" s="45">
        <f t="shared" si="636"/>
        <v>-1.1958605676646494</v>
      </c>
      <c r="AV1195" s="45" t="e">
        <f t="shared" si="637"/>
        <v>#VALUE!</v>
      </c>
      <c r="AW1195" s="45" t="e">
        <f t="shared" si="638"/>
        <v>#VALUE!</v>
      </c>
      <c r="AX1195" s="45">
        <f t="shared" si="639"/>
        <v>3.255272505103306</v>
      </c>
      <c r="AY1195" s="45" t="e">
        <f t="shared" si="640"/>
        <v>#VALUE!</v>
      </c>
      <c r="AZ1195" s="45" t="e">
        <f t="shared" si="641"/>
        <v>#VALUE!</v>
      </c>
      <c r="BA1195" s="45">
        <f t="shared" si="642"/>
        <v>0</v>
      </c>
      <c r="BB1195" s="45">
        <f t="shared" si="643"/>
        <v>-1.0963534708198073</v>
      </c>
      <c r="BC1195" s="45">
        <f t="shared" si="644"/>
        <v>0.69897000433601886</v>
      </c>
      <c r="BD1195" s="45" t="e">
        <f t="shared" si="645"/>
        <v>#VALUE!</v>
      </c>
      <c r="BE1195" s="45">
        <f t="shared" si="646"/>
        <v>1.414973347970818</v>
      </c>
      <c r="BF1195" s="45" t="e">
        <f t="shared" si="647"/>
        <v>#VALUE!</v>
      </c>
      <c r="BG1195" s="45" t="e">
        <f t="shared" si="648"/>
        <v>#VALUE!</v>
      </c>
      <c r="BH1195" s="45" t="e">
        <f t="shared" si="649"/>
        <v>#NUM!</v>
      </c>
      <c r="BI1195" s="43">
        <f t="shared" si="650"/>
        <v>1.414973347970818</v>
      </c>
      <c r="CA1195" s="41" t="s">
        <v>22</v>
      </c>
      <c r="CC1195" t="s">
        <v>22</v>
      </c>
      <c r="CE1195" s="41" t="s">
        <v>22</v>
      </c>
      <c r="CF1195" s="41" t="s">
        <v>22</v>
      </c>
      <c r="CG1195" s="41" t="e">
        <f t="shared" si="655"/>
        <v>#VALUE!</v>
      </c>
      <c r="CH1195" s="41" t="e">
        <f t="shared" si="656"/>
        <v>#VALUE!</v>
      </c>
      <c r="CI1195" s="41">
        <f t="shared" si="657"/>
        <v>5</v>
      </c>
      <c r="CJ1195" s="41">
        <f t="shared" si="658"/>
        <v>0.69897000433601886</v>
      </c>
      <c r="CL1195" s="9" t="s">
        <v>1269</v>
      </c>
      <c r="CM1195" s="18" t="s">
        <v>1285</v>
      </c>
      <c r="CN1195" s="54" t="s">
        <v>1284</v>
      </c>
      <c r="CO1195" s="18" t="s">
        <v>1284</v>
      </c>
    </row>
    <row r="1196" spans="1:93" x14ac:dyDescent="0.25">
      <c r="A1196" s="18" t="s">
        <v>141</v>
      </c>
      <c r="B1196" s="41">
        <v>5.6155063291139194E-2</v>
      </c>
      <c r="C1196" s="41" t="s">
        <v>22</v>
      </c>
      <c r="D1196" s="41" t="s">
        <v>22</v>
      </c>
      <c r="E1196" s="41" t="s">
        <v>22</v>
      </c>
      <c r="F1196" s="18" t="s">
        <v>22</v>
      </c>
      <c r="G1196" s="18" t="s">
        <v>22</v>
      </c>
      <c r="H1196" s="18" t="s">
        <v>22</v>
      </c>
      <c r="I1196" s="18" t="s">
        <v>22</v>
      </c>
      <c r="J1196" s="41">
        <v>1.6</v>
      </c>
      <c r="K1196" s="18">
        <v>532</v>
      </c>
      <c r="L1196" s="41">
        <f t="shared" si="654"/>
        <v>0.12816413532160001</v>
      </c>
      <c r="M1196" t="s">
        <v>23</v>
      </c>
      <c r="N1196" s="41" t="s">
        <v>22</v>
      </c>
      <c r="O1196" s="41" t="s">
        <v>22</v>
      </c>
      <c r="P1196" s="41" t="s">
        <v>22</v>
      </c>
      <c r="R1196" s="41" t="s">
        <v>22</v>
      </c>
      <c r="S1196" s="41" t="s">
        <v>22</v>
      </c>
      <c r="T1196" s="41" t="s">
        <v>696</v>
      </c>
      <c r="U1196" s="41">
        <v>5</v>
      </c>
      <c r="V1196" s="18">
        <v>20200513</v>
      </c>
      <c r="W1196" s="21" t="s">
        <v>697</v>
      </c>
      <c r="X1196" s="6">
        <v>2020</v>
      </c>
      <c r="Y1196" s="6" t="s">
        <v>26</v>
      </c>
      <c r="Z1196" s="6" t="s">
        <v>34</v>
      </c>
      <c r="AA1196" s="6"/>
      <c r="AB1196" s="47"/>
      <c r="AC1196" s="6" t="s">
        <v>514</v>
      </c>
      <c r="AD1196" s="41" t="s">
        <v>22</v>
      </c>
      <c r="AE1196" s="41" t="s">
        <v>22</v>
      </c>
      <c r="AF1196" s="41" t="s">
        <v>22</v>
      </c>
      <c r="AG1196" s="41" t="s">
        <v>22</v>
      </c>
      <c r="AH1196" s="41" t="s">
        <v>22</v>
      </c>
      <c r="AI1196" s="41" t="s">
        <v>22</v>
      </c>
      <c r="AJ1196" s="41" t="s">
        <v>22</v>
      </c>
      <c r="AK1196" s="41" t="s">
        <v>22</v>
      </c>
      <c r="AL1196" s="41" t="s">
        <v>22</v>
      </c>
      <c r="AM1196" s="43" t="e">
        <f t="shared" si="633"/>
        <v>#VALUE!</v>
      </c>
      <c r="AN1196" s="43" t="e">
        <f t="shared" si="634"/>
        <v>#VALUE!</v>
      </c>
      <c r="AO1196" s="19" t="s">
        <v>695</v>
      </c>
      <c r="AT1196" s="2">
        <f t="shared" si="635"/>
        <v>7</v>
      </c>
      <c r="AU1196" s="45">
        <f t="shared" si="636"/>
        <v>-1.2506110789347926</v>
      </c>
      <c r="AV1196" s="45" t="e">
        <f t="shared" si="637"/>
        <v>#VALUE!</v>
      </c>
      <c r="AW1196" s="45" t="e">
        <f t="shared" si="638"/>
        <v>#VALUE!</v>
      </c>
      <c r="AX1196" s="45" t="e">
        <f t="shared" si="639"/>
        <v>#VALUE!</v>
      </c>
      <c r="AY1196" s="45" t="e">
        <f t="shared" si="640"/>
        <v>#VALUE!</v>
      </c>
      <c r="AZ1196" s="45" t="e">
        <f t="shared" si="641"/>
        <v>#VALUE!</v>
      </c>
      <c r="BA1196" s="45">
        <f t="shared" si="642"/>
        <v>0.20411998265592479</v>
      </c>
      <c r="BB1196" s="45">
        <f t="shared" si="643"/>
        <v>-0.89223348816388248</v>
      </c>
      <c r="BC1196" s="45">
        <f t="shared" si="644"/>
        <v>0.69897000433601886</v>
      </c>
      <c r="BD1196" s="45" t="e">
        <f t="shared" si="645"/>
        <v>#VALUE!</v>
      </c>
      <c r="BE1196" s="45" t="e">
        <f t="shared" si="646"/>
        <v>#VALUE!</v>
      </c>
      <c r="BF1196" s="45" t="e">
        <f t="shared" si="647"/>
        <v>#VALUE!</v>
      </c>
      <c r="BG1196" s="45" t="e">
        <f t="shared" si="648"/>
        <v>#VALUE!</v>
      </c>
      <c r="BH1196" s="45" t="e">
        <f t="shared" si="649"/>
        <v>#NUM!</v>
      </c>
      <c r="BI1196" s="43" t="e">
        <f t="shared" si="650"/>
        <v>#VALUE!</v>
      </c>
      <c r="CA1196" s="41" t="s">
        <v>22</v>
      </c>
      <c r="CC1196" t="s">
        <v>22</v>
      </c>
      <c r="CE1196" s="41" t="s">
        <v>22</v>
      </c>
      <c r="CF1196" s="41" t="s">
        <v>22</v>
      </c>
      <c r="CG1196" s="41" t="e">
        <f t="shared" si="655"/>
        <v>#VALUE!</v>
      </c>
      <c r="CH1196" s="41" t="e">
        <f t="shared" si="656"/>
        <v>#VALUE!</v>
      </c>
      <c r="CI1196" s="41">
        <f t="shared" si="657"/>
        <v>5</v>
      </c>
      <c r="CJ1196" s="41">
        <f t="shared" si="658"/>
        <v>0.69897000433601886</v>
      </c>
      <c r="CL1196" s="9" t="s">
        <v>1269</v>
      </c>
      <c r="CM1196" s="18" t="s">
        <v>1285</v>
      </c>
      <c r="CN1196" s="54" t="s">
        <v>1284</v>
      </c>
      <c r="CO1196" s="18" t="s">
        <v>1284</v>
      </c>
    </row>
    <row r="1197" spans="1:93" x14ac:dyDescent="0.25">
      <c r="A1197" s="18" t="s">
        <v>141</v>
      </c>
      <c r="B1197" s="41">
        <v>3.1091772151898695E-2</v>
      </c>
      <c r="C1197" s="41" t="s">
        <v>22</v>
      </c>
      <c r="D1197" s="41" t="s">
        <v>22</v>
      </c>
      <c r="E1197" s="41" t="s">
        <v>22</v>
      </c>
      <c r="F1197" s="18" t="s">
        <v>22</v>
      </c>
      <c r="G1197" s="18" t="s">
        <v>22</v>
      </c>
      <c r="H1197" s="18" t="s">
        <v>22</v>
      </c>
      <c r="I1197" s="18" t="s">
        <v>22</v>
      </c>
      <c r="J1197" s="41">
        <v>5</v>
      </c>
      <c r="K1197" s="18">
        <v>532</v>
      </c>
      <c r="L1197" s="41">
        <f t="shared" si="654"/>
        <v>0.40051292287999996</v>
      </c>
      <c r="M1197" t="s">
        <v>23</v>
      </c>
      <c r="N1197" s="41" t="s">
        <v>22</v>
      </c>
      <c r="O1197" s="41" t="s">
        <v>22</v>
      </c>
      <c r="P1197" s="41" t="s">
        <v>22</v>
      </c>
      <c r="R1197" s="41" t="s">
        <v>22</v>
      </c>
      <c r="S1197" s="41" t="s">
        <v>22</v>
      </c>
      <c r="T1197" s="41" t="s">
        <v>696</v>
      </c>
      <c r="U1197" s="41">
        <v>5</v>
      </c>
      <c r="V1197" s="18">
        <v>20200513</v>
      </c>
      <c r="W1197" s="16" t="s">
        <v>699</v>
      </c>
      <c r="X1197" s="6">
        <v>2020</v>
      </c>
      <c r="Y1197" s="6" t="s">
        <v>26</v>
      </c>
      <c r="Z1197" s="6" t="s">
        <v>34</v>
      </c>
      <c r="AA1197" s="6"/>
      <c r="AB1197" s="47"/>
      <c r="AC1197" s="6" t="s">
        <v>514</v>
      </c>
      <c r="AD1197" s="41" t="s">
        <v>22</v>
      </c>
      <c r="AE1197" s="41" t="s">
        <v>22</v>
      </c>
      <c r="AF1197" s="41" t="s">
        <v>22</v>
      </c>
      <c r="AG1197" s="41" t="s">
        <v>22</v>
      </c>
      <c r="AH1197" s="41" t="s">
        <v>22</v>
      </c>
      <c r="AI1197" s="41" t="s">
        <v>22</v>
      </c>
      <c r="AJ1197" s="41" t="s">
        <v>22</v>
      </c>
      <c r="AK1197" s="41" t="s">
        <v>22</v>
      </c>
      <c r="AL1197" s="41" t="s">
        <v>22</v>
      </c>
      <c r="AM1197" s="43" t="e">
        <f t="shared" si="633"/>
        <v>#VALUE!</v>
      </c>
      <c r="AN1197" s="43" t="e">
        <f t="shared" si="634"/>
        <v>#VALUE!</v>
      </c>
      <c r="AO1197" s="19" t="s">
        <v>695</v>
      </c>
      <c r="AT1197" s="2">
        <f t="shared" si="635"/>
        <v>7</v>
      </c>
      <c r="AU1197" s="45">
        <f t="shared" si="636"/>
        <v>-1.50735452357094</v>
      </c>
      <c r="AV1197" s="45" t="e">
        <f t="shared" si="637"/>
        <v>#VALUE!</v>
      </c>
      <c r="AW1197" s="45" t="e">
        <f t="shared" si="638"/>
        <v>#VALUE!</v>
      </c>
      <c r="AX1197" s="45" t="e">
        <f t="shared" si="639"/>
        <v>#VALUE!</v>
      </c>
      <c r="AY1197" s="45" t="e">
        <f t="shared" si="640"/>
        <v>#VALUE!</v>
      </c>
      <c r="AZ1197" s="45" t="e">
        <f t="shared" si="641"/>
        <v>#VALUE!</v>
      </c>
      <c r="BA1197" s="45">
        <f t="shared" si="642"/>
        <v>0.69897000433601886</v>
      </c>
      <c r="BB1197" s="45">
        <f t="shared" si="643"/>
        <v>-0.39738346648378853</v>
      </c>
      <c r="BC1197" s="45">
        <f t="shared" si="644"/>
        <v>0.69897000433601886</v>
      </c>
      <c r="BD1197" s="45" t="e">
        <f t="shared" si="645"/>
        <v>#VALUE!</v>
      </c>
      <c r="BE1197" s="45" t="e">
        <f t="shared" si="646"/>
        <v>#VALUE!</v>
      </c>
      <c r="BF1197" s="45" t="e">
        <f t="shared" si="647"/>
        <v>#VALUE!</v>
      </c>
      <c r="BG1197" s="45" t="e">
        <f t="shared" si="648"/>
        <v>#VALUE!</v>
      </c>
      <c r="BH1197" s="45" t="e">
        <f t="shared" si="649"/>
        <v>#NUM!</v>
      </c>
      <c r="BI1197" s="43" t="e">
        <f t="shared" si="650"/>
        <v>#VALUE!</v>
      </c>
      <c r="CA1197" s="41" t="s">
        <v>22</v>
      </c>
      <c r="CC1197" t="s">
        <v>22</v>
      </c>
      <c r="CE1197" s="41" t="s">
        <v>22</v>
      </c>
      <c r="CF1197" s="41" t="s">
        <v>22</v>
      </c>
      <c r="CG1197" s="41" t="e">
        <f t="shared" si="655"/>
        <v>#VALUE!</v>
      </c>
      <c r="CH1197" s="41" t="e">
        <f t="shared" si="656"/>
        <v>#VALUE!</v>
      </c>
      <c r="CI1197" s="41">
        <f t="shared" si="657"/>
        <v>5</v>
      </c>
      <c r="CJ1197" s="41">
        <f t="shared" si="658"/>
        <v>0.69897000433601886</v>
      </c>
      <c r="CL1197" s="9" t="s">
        <v>1269</v>
      </c>
      <c r="CM1197" s="18" t="s">
        <v>1285</v>
      </c>
      <c r="CN1197" s="54" t="s">
        <v>1284</v>
      </c>
      <c r="CO1197" s="18" t="s">
        <v>1284</v>
      </c>
    </row>
    <row r="1198" spans="1:93" x14ac:dyDescent="0.25">
      <c r="A1198" s="18" t="s">
        <v>141</v>
      </c>
      <c r="B1198" s="41">
        <v>3.4129746835443002E-2</v>
      </c>
      <c r="C1198" s="41" t="s">
        <v>22</v>
      </c>
      <c r="D1198" s="41" t="s">
        <v>22</v>
      </c>
      <c r="E1198" s="41" t="s">
        <v>22</v>
      </c>
      <c r="F1198" s="18" t="s">
        <v>22</v>
      </c>
      <c r="G1198" s="18" t="s">
        <v>22</v>
      </c>
      <c r="H1198" s="18" t="s">
        <v>22</v>
      </c>
      <c r="I1198" s="18" t="s">
        <v>22</v>
      </c>
      <c r="J1198" s="41">
        <v>11.2</v>
      </c>
      <c r="K1198" s="18">
        <v>532</v>
      </c>
      <c r="L1198" s="41">
        <f t="shared" si="654"/>
        <v>0.89714894725119998</v>
      </c>
      <c r="M1198" s="18" t="s">
        <v>23</v>
      </c>
      <c r="N1198" s="41" t="s">
        <v>22</v>
      </c>
      <c r="O1198" s="41" t="s">
        <v>22</v>
      </c>
      <c r="P1198" s="41" t="s">
        <v>22</v>
      </c>
      <c r="R1198" s="41" t="s">
        <v>22</v>
      </c>
      <c r="S1198" s="41" t="s">
        <v>22</v>
      </c>
      <c r="T1198" s="41" t="s">
        <v>696</v>
      </c>
      <c r="U1198" s="41">
        <v>5</v>
      </c>
      <c r="V1198" s="18">
        <v>20200513</v>
      </c>
      <c r="W1198" s="21" t="s">
        <v>700</v>
      </c>
      <c r="X1198" s="6">
        <v>2020</v>
      </c>
      <c r="Y1198" s="6" t="s">
        <v>26</v>
      </c>
      <c r="Z1198" s="6" t="s">
        <v>34</v>
      </c>
      <c r="AA1198" s="31"/>
      <c r="AB1198" s="47"/>
      <c r="AC1198" s="6" t="s">
        <v>514</v>
      </c>
      <c r="AD1198" s="41" t="s">
        <v>22</v>
      </c>
      <c r="AE1198" s="41" t="s">
        <v>22</v>
      </c>
      <c r="AF1198" s="41" t="s">
        <v>22</v>
      </c>
      <c r="AG1198" s="41" t="s">
        <v>22</v>
      </c>
      <c r="AH1198" s="41" t="s">
        <v>22</v>
      </c>
      <c r="AI1198" s="41" t="s">
        <v>22</v>
      </c>
      <c r="AJ1198" s="41" t="s">
        <v>22</v>
      </c>
      <c r="AK1198" s="41" t="s">
        <v>22</v>
      </c>
      <c r="AL1198" s="41" t="s">
        <v>22</v>
      </c>
      <c r="AM1198" s="43" t="e">
        <f t="shared" si="633"/>
        <v>#VALUE!</v>
      </c>
      <c r="AN1198" s="43" t="e">
        <f t="shared" si="634"/>
        <v>#VALUE!</v>
      </c>
      <c r="AO1198" s="19" t="s">
        <v>695</v>
      </c>
      <c r="AP1198" s="18"/>
      <c r="AQ1198" s="18"/>
      <c r="AR1198" s="18"/>
      <c r="AS1198" s="18"/>
      <c r="AT1198" s="2">
        <f t="shared" si="635"/>
        <v>7</v>
      </c>
      <c r="AU1198" s="45">
        <f t="shared" si="636"/>
        <v>-1.4668669331798405</v>
      </c>
      <c r="AV1198" s="45" t="e">
        <f t="shared" si="637"/>
        <v>#VALUE!</v>
      </c>
      <c r="AW1198" s="45" t="e">
        <f t="shared" si="638"/>
        <v>#VALUE!</v>
      </c>
      <c r="AX1198" s="45" t="e">
        <f t="shared" si="639"/>
        <v>#VALUE!</v>
      </c>
      <c r="AY1198" s="45" t="e">
        <f t="shared" si="640"/>
        <v>#VALUE!</v>
      </c>
      <c r="AZ1198" s="45" t="e">
        <f t="shared" si="641"/>
        <v>#VALUE!</v>
      </c>
      <c r="BA1198" s="45">
        <f t="shared" si="642"/>
        <v>1.0492180226701815</v>
      </c>
      <c r="BB1198" s="45">
        <f t="shared" si="643"/>
        <v>-4.7135448149625669E-2</v>
      </c>
      <c r="BC1198" s="45">
        <f t="shared" si="644"/>
        <v>0.69897000433601886</v>
      </c>
      <c r="BD1198" s="45" t="e">
        <f t="shared" si="645"/>
        <v>#VALUE!</v>
      </c>
      <c r="BE1198" s="45" t="e">
        <f t="shared" si="646"/>
        <v>#VALUE!</v>
      </c>
      <c r="BF1198" s="45" t="e">
        <f t="shared" si="647"/>
        <v>#VALUE!</v>
      </c>
      <c r="BG1198" s="45" t="e">
        <f t="shared" si="648"/>
        <v>#VALUE!</v>
      </c>
      <c r="BH1198" s="45" t="e">
        <f t="shared" si="649"/>
        <v>#NUM!</v>
      </c>
      <c r="BI1198" s="43" t="e">
        <f t="shared" si="650"/>
        <v>#VALUE!</v>
      </c>
      <c r="BJ1198" s="18"/>
      <c r="BK1198" s="18"/>
      <c r="BL1198" s="20"/>
      <c r="BS1198" s="18"/>
      <c r="BT1198" s="18"/>
      <c r="CA1198" s="41" t="s">
        <v>22</v>
      </c>
      <c r="CB1198" s="18"/>
      <c r="CC1198" s="18" t="s">
        <v>22</v>
      </c>
      <c r="CD1198" s="18"/>
      <c r="CE1198" s="41" t="s">
        <v>22</v>
      </c>
      <c r="CF1198" s="41" t="s">
        <v>22</v>
      </c>
      <c r="CG1198" s="41" t="e">
        <f t="shared" si="655"/>
        <v>#VALUE!</v>
      </c>
      <c r="CH1198" s="41" t="e">
        <f t="shared" si="656"/>
        <v>#VALUE!</v>
      </c>
      <c r="CI1198" s="41">
        <f t="shared" si="657"/>
        <v>5</v>
      </c>
      <c r="CJ1198" s="41">
        <f t="shared" si="658"/>
        <v>0.69897000433601886</v>
      </c>
      <c r="CK1198" s="18"/>
      <c r="CL1198" s="9" t="s">
        <v>1269</v>
      </c>
      <c r="CM1198" s="18" t="s">
        <v>1285</v>
      </c>
      <c r="CN1198" s="54" t="s">
        <v>1284</v>
      </c>
      <c r="CO1198" s="18" t="s">
        <v>1284</v>
      </c>
    </row>
    <row r="1199" spans="1:93" x14ac:dyDescent="0.25">
      <c r="A1199" s="18" t="s">
        <v>141</v>
      </c>
      <c r="B1199" s="41">
        <v>3.9636075949366995E-2</v>
      </c>
      <c r="C1199" s="41" t="s">
        <v>22</v>
      </c>
      <c r="D1199" s="41" t="s">
        <v>22</v>
      </c>
      <c r="E1199" s="41" t="s">
        <v>22</v>
      </c>
      <c r="F1199" s="18" t="s">
        <v>22</v>
      </c>
      <c r="G1199" s="18" t="s">
        <v>22</v>
      </c>
      <c r="H1199" s="18" t="s">
        <v>22</v>
      </c>
      <c r="I1199" s="18" t="s">
        <v>22</v>
      </c>
      <c r="J1199" s="41">
        <v>15.7</v>
      </c>
      <c r="K1199" s="18">
        <v>532</v>
      </c>
      <c r="L1199" s="41">
        <f t="shared" si="654"/>
        <v>1.2576105778431999</v>
      </c>
      <c r="M1199" s="18" t="s">
        <v>23</v>
      </c>
      <c r="N1199" s="41" t="s">
        <v>22</v>
      </c>
      <c r="O1199" s="41" t="s">
        <v>22</v>
      </c>
      <c r="P1199" s="41" t="s">
        <v>22</v>
      </c>
      <c r="R1199" s="41" t="s">
        <v>22</v>
      </c>
      <c r="S1199" s="41" t="s">
        <v>22</v>
      </c>
      <c r="T1199" s="41" t="s">
        <v>696</v>
      </c>
      <c r="U1199" s="41">
        <v>5</v>
      </c>
      <c r="V1199" s="18">
        <v>20200513</v>
      </c>
      <c r="W1199" s="21" t="s">
        <v>701</v>
      </c>
      <c r="X1199" s="6">
        <v>2020</v>
      </c>
      <c r="Y1199" s="6" t="s">
        <v>26</v>
      </c>
      <c r="Z1199" s="6" t="s">
        <v>34</v>
      </c>
      <c r="AA1199" s="31"/>
      <c r="AB1199" s="47"/>
      <c r="AC1199" s="6" t="s">
        <v>514</v>
      </c>
      <c r="AD1199" s="41" t="s">
        <v>22</v>
      </c>
      <c r="AE1199" s="41" t="s">
        <v>22</v>
      </c>
      <c r="AF1199" s="41" t="s">
        <v>22</v>
      </c>
      <c r="AG1199" s="41" t="s">
        <v>22</v>
      </c>
      <c r="AH1199" s="41" t="s">
        <v>22</v>
      </c>
      <c r="AI1199" s="41" t="s">
        <v>22</v>
      </c>
      <c r="AJ1199" s="41" t="s">
        <v>22</v>
      </c>
      <c r="AK1199" s="41" t="s">
        <v>22</v>
      </c>
      <c r="AL1199" s="41" t="s">
        <v>22</v>
      </c>
      <c r="AM1199" s="43" t="e">
        <f t="shared" si="633"/>
        <v>#VALUE!</v>
      </c>
      <c r="AN1199" s="43" t="e">
        <f t="shared" si="634"/>
        <v>#VALUE!</v>
      </c>
      <c r="AO1199" s="19" t="s">
        <v>695</v>
      </c>
      <c r="AP1199" s="18"/>
      <c r="AQ1199" s="18"/>
      <c r="AR1199" s="18"/>
      <c r="AS1199" s="18"/>
      <c r="AT1199" s="2">
        <f t="shared" si="635"/>
        <v>7</v>
      </c>
      <c r="AU1199" s="45">
        <f t="shared" si="636"/>
        <v>-1.4019093480791216</v>
      </c>
      <c r="AV1199" s="45" t="e">
        <f t="shared" si="637"/>
        <v>#VALUE!</v>
      </c>
      <c r="AW1199" s="45" t="e">
        <f t="shared" si="638"/>
        <v>#VALUE!</v>
      </c>
      <c r="AX1199" s="45" t="e">
        <f t="shared" si="639"/>
        <v>#VALUE!</v>
      </c>
      <c r="AY1199" s="45" t="e">
        <f t="shared" si="640"/>
        <v>#VALUE!</v>
      </c>
      <c r="AZ1199" s="45" t="e">
        <f t="shared" si="641"/>
        <v>#VALUE!</v>
      </c>
      <c r="BA1199" s="45">
        <f t="shared" si="642"/>
        <v>1.1958996524092338</v>
      </c>
      <c r="BB1199" s="45">
        <f t="shared" si="643"/>
        <v>9.9546181589426422E-2</v>
      </c>
      <c r="BC1199" s="45">
        <f t="shared" si="644"/>
        <v>0.69897000433601886</v>
      </c>
      <c r="BD1199" s="45" t="e">
        <f t="shared" si="645"/>
        <v>#VALUE!</v>
      </c>
      <c r="BE1199" s="45" t="e">
        <f t="shared" si="646"/>
        <v>#VALUE!</v>
      </c>
      <c r="BF1199" s="45" t="e">
        <f t="shared" si="647"/>
        <v>#VALUE!</v>
      </c>
      <c r="BG1199" s="45" t="e">
        <f t="shared" si="648"/>
        <v>#VALUE!</v>
      </c>
      <c r="BH1199" s="45" t="e">
        <f t="shared" si="649"/>
        <v>#NUM!</v>
      </c>
      <c r="BI1199" s="43" t="e">
        <f t="shared" si="650"/>
        <v>#VALUE!</v>
      </c>
      <c r="BJ1199" s="18"/>
      <c r="BK1199" s="18"/>
      <c r="BL1199" s="20"/>
      <c r="BS1199" s="18"/>
      <c r="BT1199" s="18"/>
      <c r="CA1199" s="41" t="s">
        <v>22</v>
      </c>
      <c r="CB1199" s="18"/>
      <c r="CC1199" s="18" t="s">
        <v>22</v>
      </c>
      <c r="CD1199" s="18"/>
      <c r="CE1199" s="41" t="s">
        <v>22</v>
      </c>
      <c r="CF1199" s="41" t="s">
        <v>22</v>
      </c>
      <c r="CG1199" s="41" t="e">
        <f t="shared" si="655"/>
        <v>#VALUE!</v>
      </c>
      <c r="CH1199" s="41" t="e">
        <f t="shared" si="656"/>
        <v>#VALUE!</v>
      </c>
      <c r="CI1199" s="41">
        <f t="shared" si="657"/>
        <v>5</v>
      </c>
      <c r="CJ1199" s="41">
        <f t="shared" si="658"/>
        <v>0.69897000433601886</v>
      </c>
      <c r="CK1199" s="18"/>
      <c r="CL1199" s="9" t="s">
        <v>1269</v>
      </c>
      <c r="CM1199" s="18" t="s">
        <v>1285</v>
      </c>
      <c r="CN1199" s="54" t="s">
        <v>1284</v>
      </c>
      <c r="CO1199" s="18" t="s">
        <v>1284</v>
      </c>
    </row>
    <row r="1200" spans="1:93" x14ac:dyDescent="0.25">
      <c r="A1200" s="18" t="s">
        <v>141</v>
      </c>
      <c r="B1200" s="41">
        <v>5.9049999999999998E-2</v>
      </c>
      <c r="C1200" s="41" t="s">
        <v>22</v>
      </c>
      <c r="D1200" s="41" t="s">
        <v>22</v>
      </c>
      <c r="E1200" s="41" t="s">
        <v>22</v>
      </c>
      <c r="F1200" s="18" t="s">
        <v>22</v>
      </c>
      <c r="G1200" s="18" t="s">
        <v>22</v>
      </c>
      <c r="H1200" s="18" t="s">
        <v>22</v>
      </c>
      <c r="I1200" s="18" t="s">
        <v>22</v>
      </c>
      <c r="J1200" s="41">
        <v>17.8</v>
      </c>
      <c r="K1200" s="18">
        <v>532</v>
      </c>
      <c r="L1200" s="41">
        <f t="shared" si="654"/>
        <v>1.4258260054528</v>
      </c>
      <c r="M1200" s="18" t="s">
        <v>23</v>
      </c>
      <c r="N1200" s="41" t="s">
        <v>22</v>
      </c>
      <c r="O1200" s="41" t="s">
        <v>22</v>
      </c>
      <c r="P1200" s="41" t="s">
        <v>22</v>
      </c>
      <c r="R1200" s="41" t="s">
        <v>22</v>
      </c>
      <c r="S1200" s="41" t="s">
        <v>22</v>
      </c>
      <c r="T1200" s="41" t="s">
        <v>696</v>
      </c>
      <c r="U1200" s="41">
        <v>5</v>
      </c>
      <c r="V1200" s="18">
        <v>20200513</v>
      </c>
      <c r="W1200" s="21" t="s">
        <v>698</v>
      </c>
      <c r="X1200" s="6">
        <v>2020</v>
      </c>
      <c r="Y1200" s="6" t="s">
        <v>26</v>
      </c>
      <c r="Z1200" s="6" t="s">
        <v>34</v>
      </c>
      <c r="AA1200" s="6"/>
      <c r="AB1200" s="47"/>
      <c r="AC1200" s="6" t="s">
        <v>514</v>
      </c>
      <c r="AD1200" s="41" t="s">
        <v>22</v>
      </c>
      <c r="AE1200" s="41" t="s">
        <v>22</v>
      </c>
      <c r="AF1200" s="41">
        <v>73</v>
      </c>
      <c r="AG1200" s="41" t="s">
        <v>22</v>
      </c>
      <c r="AH1200" s="41" t="s">
        <v>22</v>
      </c>
      <c r="AI1200" s="41" t="s">
        <v>22</v>
      </c>
      <c r="AJ1200" s="41" t="s">
        <v>22</v>
      </c>
      <c r="AK1200" s="41" t="s">
        <v>22</v>
      </c>
      <c r="AL1200" s="41" t="s">
        <v>22</v>
      </c>
      <c r="AM1200" s="43" t="e">
        <f t="shared" si="633"/>
        <v>#VALUE!</v>
      </c>
      <c r="AN1200" s="43" t="e">
        <f t="shared" si="634"/>
        <v>#VALUE!</v>
      </c>
      <c r="AO1200" s="19" t="s">
        <v>695</v>
      </c>
      <c r="AT1200" s="2">
        <f t="shared" si="635"/>
        <v>7</v>
      </c>
      <c r="AU1200" s="45">
        <f t="shared" si="636"/>
        <v>-1.2287800980504664</v>
      </c>
      <c r="AV1200" s="45" t="e">
        <f t="shared" si="637"/>
        <v>#VALUE!</v>
      </c>
      <c r="AW1200" s="45" t="e">
        <f t="shared" si="638"/>
        <v>#VALUE!</v>
      </c>
      <c r="AX1200" s="45" t="e">
        <f t="shared" si="639"/>
        <v>#VALUE!</v>
      </c>
      <c r="AY1200" s="45" t="e">
        <f t="shared" si="640"/>
        <v>#VALUE!</v>
      </c>
      <c r="AZ1200" s="45" t="e">
        <f t="shared" si="641"/>
        <v>#VALUE!</v>
      </c>
      <c r="BA1200" s="45">
        <f t="shared" si="642"/>
        <v>1.2504200023088941</v>
      </c>
      <c r="BB1200" s="45">
        <f t="shared" si="643"/>
        <v>0.15406653148908672</v>
      </c>
      <c r="BC1200" s="45">
        <f t="shared" si="644"/>
        <v>0.69897000433601886</v>
      </c>
      <c r="BD1200" s="45" t="e">
        <f t="shared" si="645"/>
        <v>#VALUE!</v>
      </c>
      <c r="BE1200" s="45">
        <f t="shared" si="646"/>
        <v>1.8633228601204559</v>
      </c>
      <c r="BF1200" s="45" t="e">
        <f t="shared" si="647"/>
        <v>#VALUE!</v>
      </c>
      <c r="BG1200" s="45" t="e">
        <f t="shared" si="648"/>
        <v>#VALUE!</v>
      </c>
      <c r="BH1200" s="45" t="e">
        <f t="shared" si="649"/>
        <v>#NUM!</v>
      </c>
      <c r="BI1200" s="43">
        <f t="shared" si="650"/>
        <v>1.8633228601204559</v>
      </c>
      <c r="CA1200" s="41" t="s">
        <v>22</v>
      </c>
      <c r="CC1200" t="s">
        <v>22</v>
      </c>
      <c r="CE1200" s="41" t="s">
        <v>22</v>
      </c>
      <c r="CF1200" s="41" t="s">
        <v>22</v>
      </c>
      <c r="CG1200" s="41" t="e">
        <f t="shared" si="655"/>
        <v>#VALUE!</v>
      </c>
      <c r="CH1200" s="41" t="e">
        <f t="shared" si="656"/>
        <v>#VALUE!</v>
      </c>
      <c r="CI1200" s="41">
        <f t="shared" si="657"/>
        <v>5</v>
      </c>
      <c r="CJ1200" s="41">
        <f t="shared" si="658"/>
        <v>0.69897000433601886</v>
      </c>
      <c r="CL1200" s="9" t="s">
        <v>1269</v>
      </c>
      <c r="CM1200" s="18" t="s">
        <v>1285</v>
      </c>
      <c r="CN1200" s="54" t="s">
        <v>1284</v>
      </c>
      <c r="CO1200" s="18" t="s">
        <v>1284</v>
      </c>
    </row>
    <row r="1201" spans="1:93" x14ac:dyDescent="0.25">
      <c r="A1201" s="18" t="s">
        <v>141</v>
      </c>
      <c r="B1201" s="41">
        <v>0.38809237824852494</v>
      </c>
      <c r="C1201" s="41" t="s">
        <v>22</v>
      </c>
      <c r="D1201" s="41" t="s">
        <v>22</v>
      </c>
      <c r="E1201" s="41" t="s">
        <v>22</v>
      </c>
      <c r="F1201" s="18" t="s">
        <v>22</v>
      </c>
      <c r="G1201" s="18" t="s">
        <v>22</v>
      </c>
      <c r="H1201" s="18" t="s">
        <v>22</v>
      </c>
      <c r="I1201" s="18" t="s">
        <v>22</v>
      </c>
      <c r="J1201" s="41" t="s">
        <v>22</v>
      </c>
      <c r="K1201" s="18">
        <v>532</v>
      </c>
      <c r="L1201" s="41" t="e">
        <f t="shared" si="654"/>
        <v>#VALUE!</v>
      </c>
      <c r="M1201" s="18" t="s">
        <v>45</v>
      </c>
      <c r="N1201" s="41" t="s">
        <v>22</v>
      </c>
      <c r="O1201" s="41" t="s">
        <v>22</v>
      </c>
      <c r="P1201" s="41" t="s">
        <v>22</v>
      </c>
      <c r="R1201" s="41" t="s">
        <v>22</v>
      </c>
      <c r="S1201" s="41" t="s">
        <v>22</v>
      </c>
      <c r="T1201" s="41" t="s">
        <v>696</v>
      </c>
      <c r="U1201" s="41">
        <v>5</v>
      </c>
      <c r="V1201" s="18">
        <v>20200513</v>
      </c>
      <c r="W1201" s="21" t="s">
        <v>702</v>
      </c>
      <c r="X1201" s="6">
        <v>2020</v>
      </c>
      <c r="Y1201" s="6" t="s">
        <v>26</v>
      </c>
      <c r="Z1201" s="6" t="s">
        <v>703</v>
      </c>
      <c r="AA1201" s="6" t="s">
        <v>1136</v>
      </c>
      <c r="AB1201" s="41">
        <v>6.3700000000000007E-2</v>
      </c>
      <c r="AC1201" s="6" t="s">
        <v>514</v>
      </c>
      <c r="AD1201" s="41" t="s">
        <v>22</v>
      </c>
      <c r="AE1201" s="41">
        <v>1552</v>
      </c>
      <c r="AF1201" s="41" t="s">
        <v>22</v>
      </c>
      <c r="AG1201" s="41" t="s">
        <v>22</v>
      </c>
      <c r="AH1201" s="41" t="s">
        <v>22</v>
      </c>
      <c r="AI1201" s="41" t="s">
        <v>22</v>
      </c>
      <c r="AJ1201" s="41" t="s">
        <v>22</v>
      </c>
      <c r="AK1201" s="41" t="s">
        <v>22</v>
      </c>
      <c r="AL1201" s="41" t="s">
        <v>22</v>
      </c>
      <c r="AM1201" s="43" t="e">
        <f t="shared" si="633"/>
        <v>#VALUE!</v>
      </c>
      <c r="AN1201" s="43" t="e">
        <f t="shared" si="634"/>
        <v>#VALUE!</v>
      </c>
      <c r="AO1201" s="19" t="s">
        <v>695</v>
      </c>
      <c r="AT1201" s="2">
        <f t="shared" si="635"/>
        <v>7</v>
      </c>
      <c r="AU1201" s="45">
        <f t="shared" si="636"/>
        <v>-0.41106488629144927</v>
      </c>
      <c r="AV1201" s="45" t="e">
        <f t="shared" si="637"/>
        <v>#VALUE!</v>
      </c>
      <c r="AW1201" s="45" t="e">
        <f t="shared" si="638"/>
        <v>#VALUE!</v>
      </c>
      <c r="AX1201" s="45" t="e">
        <f t="shared" si="639"/>
        <v>#VALUE!</v>
      </c>
      <c r="AY1201" s="45" t="e">
        <f t="shared" si="640"/>
        <v>#VALUE!</v>
      </c>
      <c r="AZ1201" s="45" t="e">
        <f t="shared" si="641"/>
        <v>#VALUE!</v>
      </c>
      <c r="BA1201" s="45" t="e">
        <f t="shared" si="642"/>
        <v>#VALUE!</v>
      </c>
      <c r="BB1201" s="45" t="e">
        <f t="shared" si="643"/>
        <v>#VALUE!</v>
      </c>
      <c r="BC1201" s="45">
        <f t="shared" si="644"/>
        <v>0.69897000433601886</v>
      </c>
      <c r="BD1201" s="45" t="e">
        <f t="shared" si="645"/>
        <v>#VALUE!</v>
      </c>
      <c r="BE1201" s="45" t="e">
        <f t="shared" si="646"/>
        <v>#VALUE!</v>
      </c>
      <c r="BF1201" s="45" t="e">
        <f t="shared" si="647"/>
        <v>#VALUE!</v>
      </c>
      <c r="BG1201" s="45" t="e">
        <f t="shared" si="648"/>
        <v>#VALUE!</v>
      </c>
      <c r="BH1201" s="45">
        <f t="shared" si="649"/>
        <v>-1.1958605676646494</v>
      </c>
      <c r="BI1201" s="43" t="e">
        <f t="shared" si="650"/>
        <v>#VALUE!</v>
      </c>
      <c r="CA1201" s="41" t="s">
        <v>22</v>
      </c>
      <c r="CC1201" t="s">
        <v>22</v>
      </c>
      <c r="CE1201" s="41" t="s">
        <v>22</v>
      </c>
      <c r="CF1201" s="41" t="s">
        <v>22</v>
      </c>
      <c r="CG1201" s="41" t="e">
        <f t="shared" si="655"/>
        <v>#VALUE!</v>
      </c>
      <c r="CH1201" s="41" t="e">
        <f t="shared" si="656"/>
        <v>#VALUE!</v>
      </c>
      <c r="CI1201" s="41">
        <f t="shared" si="657"/>
        <v>5</v>
      </c>
      <c r="CJ1201" s="41">
        <f t="shared" si="658"/>
        <v>0.69897000433601886</v>
      </c>
      <c r="CL1201" s="9" t="s">
        <v>1269</v>
      </c>
      <c r="CM1201" s="18" t="s">
        <v>1285</v>
      </c>
      <c r="CN1201" s="54" t="s">
        <v>1284</v>
      </c>
      <c r="CO1201" s="18" t="s">
        <v>1284</v>
      </c>
    </row>
    <row r="1202" spans="1:93" x14ac:dyDescent="0.25">
      <c r="A1202" s="18" t="s">
        <v>266</v>
      </c>
      <c r="B1202" s="41">
        <v>10.9</v>
      </c>
      <c r="C1202" s="41">
        <f>(0.01*B1202*10^6)/(D1202*(1000)*0.001*100^2)</f>
        <v>1.9326241134751774</v>
      </c>
      <c r="D1202" s="41">
        <v>5.64</v>
      </c>
      <c r="E1202" s="41" t="s">
        <v>22</v>
      </c>
      <c r="F1202" s="18" t="s">
        <v>22</v>
      </c>
      <c r="G1202" s="18" t="s">
        <v>22</v>
      </c>
      <c r="H1202" s="18" t="s">
        <v>22</v>
      </c>
      <c r="I1202" s="18" t="s">
        <v>22</v>
      </c>
      <c r="J1202" s="41">
        <v>54</v>
      </c>
      <c r="K1202" s="18">
        <v>785</v>
      </c>
      <c r="L1202" s="41">
        <f t="shared" si="654"/>
        <v>20.50559553375</v>
      </c>
      <c r="M1202" s="18" t="s">
        <v>45</v>
      </c>
      <c r="N1202" s="41">
        <v>4200</v>
      </c>
      <c r="O1202" s="41">
        <v>2.1</v>
      </c>
      <c r="P1202" s="41">
        <v>260</v>
      </c>
      <c r="R1202" s="41">
        <f>N1202*B1202</f>
        <v>45780</v>
      </c>
      <c r="S1202" s="41">
        <f>O1202*D1202</f>
        <v>11.843999999999999</v>
      </c>
      <c r="T1202" s="41">
        <v>1.76</v>
      </c>
      <c r="U1202" s="41">
        <v>1.76</v>
      </c>
      <c r="V1202" s="18">
        <v>20200523</v>
      </c>
      <c r="W1202" s="21"/>
      <c r="X1202" s="6">
        <v>2020</v>
      </c>
      <c r="Y1202" s="18" t="s">
        <v>143</v>
      </c>
      <c r="Z1202" s="18" t="s">
        <v>32</v>
      </c>
      <c r="AA1202" s="18"/>
      <c r="AC1202" s="18" t="s">
        <v>514</v>
      </c>
      <c r="AD1202" s="41">
        <v>8.9</v>
      </c>
      <c r="AE1202" s="41">
        <v>1587.4</v>
      </c>
      <c r="AF1202" s="41">
        <v>391</v>
      </c>
      <c r="AG1202" s="41" t="s">
        <v>22</v>
      </c>
      <c r="AH1202" s="41" t="s">
        <v>22</v>
      </c>
      <c r="AI1202" s="41" t="s">
        <v>22</v>
      </c>
      <c r="AJ1202" s="41" t="s">
        <v>22</v>
      </c>
      <c r="AK1202" s="41" t="s">
        <v>22</v>
      </c>
      <c r="AL1202" s="41" t="s">
        <v>22</v>
      </c>
      <c r="AM1202" s="43" t="e">
        <f t="shared" si="633"/>
        <v>#VALUE!</v>
      </c>
      <c r="AN1202" s="43" t="e">
        <f t="shared" si="634"/>
        <v>#VALUE!</v>
      </c>
      <c r="AO1202" s="6" t="s">
        <v>874</v>
      </c>
      <c r="AT1202" s="2">
        <f t="shared" si="635"/>
        <v>1</v>
      </c>
      <c r="AU1202" s="45">
        <f t="shared" si="636"/>
        <v>1.0374264979406236</v>
      </c>
      <c r="AV1202" s="45">
        <f t="shared" si="637"/>
        <v>0.28614739395728134</v>
      </c>
      <c r="AW1202" s="45">
        <f t="shared" si="638"/>
        <v>0.7512791039833423</v>
      </c>
      <c r="AX1202" s="45">
        <f t="shared" si="639"/>
        <v>3.6232492903979003</v>
      </c>
      <c r="AY1202" s="45">
        <f t="shared" si="640"/>
        <v>0.3222192947339193</v>
      </c>
      <c r="AZ1202" s="45">
        <f t="shared" si="641"/>
        <v>2.4149733479708178</v>
      </c>
      <c r="BA1202" s="45">
        <f t="shared" si="642"/>
        <v>1.7323937598229686</v>
      </c>
      <c r="BB1202" s="45">
        <f t="shared" si="643"/>
        <v>1.3118723868039788</v>
      </c>
      <c r="BC1202" s="45">
        <f t="shared" si="644"/>
        <v>0.24551266781414982</v>
      </c>
      <c r="BD1202" s="45">
        <f t="shared" si="645"/>
        <v>0.9493900066449128</v>
      </c>
      <c r="BE1202" s="45">
        <f t="shared" si="646"/>
        <v>2.5921767573958667</v>
      </c>
      <c r="BF1202" s="45" t="e">
        <f t="shared" si="647"/>
        <v>#VALUE!</v>
      </c>
      <c r="BG1202" s="45" t="e">
        <f t="shared" si="648"/>
        <v>#VALUE!</v>
      </c>
      <c r="BH1202" s="45" t="e">
        <f t="shared" si="649"/>
        <v>#NUM!</v>
      </c>
      <c r="BI1202" s="43">
        <f t="shared" si="650"/>
        <v>2.5921767573958667</v>
      </c>
      <c r="CA1202" s="41" t="s">
        <v>22</v>
      </c>
      <c r="CC1202" t="s">
        <v>22</v>
      </c>
      <c r="CE1202" s="41" t="s">
        <v>22</v>
      </c>
      <c r="CF1202" s="41" t="s">
        <v>22</v>
      </c>
      <c r="CG1202" s="41">
        <f t="shared" si="655"/>
        <v>8900</v>
      </c>
      <c r="CH1202" s="41">
        <f t="shared" si="656"/>
        <v>3.9493900066449128</v>
      </c>
      <c r="CI1202" s="41">
        <f t="shared" si="657"/>
        <v>8900</v>
      </c>
      <c r="CJ1202" s="41">
        <f t="shared" si="658"/>
        <v>3.9493900066449128</v>
      </c>
      <c r="CL1202" s="9" t="s">
        <v>1269</v>
      </c>
      <c r="CM1202" s="18" t="s">
        <v>1283</v>
      </c>
      <c r="CN1202" s="54" t="s">
        <v>1284</v>
      </c>
      <c r="CO1202" s="18" t="s">
        <v>1284</v>
      </c>
    </row>
    <row r="1203" spans="1:93" s="9" customFormat="1" x14ac:dyDescent="0.25">
      <c r="A1203" s="9" t="s">
        <v>141</v>
      </c>
      <c r="B1203" s="50" t="s">
        <v>22</v>
      </c>
      <c r="C1203" s="50" t="s">
        <v>22</v>
      </c>
      <c r="D1203" s="50" t="s">
        <v>22</v>
      </c>
      <c r="E1203" s="50" t="s">
        <v>22</v>
      </c>
      <c r="F1203" s="9" t="s">
        <v>22</v>
      </c>
      <c r="G1203" s="9" t="s">
        <v>22</v>
      </c>
      <c r="H1203" s="9" t="s">
        <v>22</v>
      </c>
      <c r="I1203" s="9" t="s">
        <v>22</v>
      </c>
      <c r="J1203" s="50" t="s">
        <v>22</v>
      </c>
      <c r="K1203" s="9" t="s">
        <v>22</v>
      </c>
      <c r="L1203" s="50"/>
      <c r="M1203" s="9" t="s">
        <v>23</v>
      </c>
      <c r="N1203" s="50">
        <v>341.12</v>
      </c>
      <c r="O1203" s="50" t="s">
        <v>22</v>
      </c>
      <c r="P1203" s="50">
        <v>0.107190472984022</v>
      </c>
      <c r="Q1203" s="50"/>
      <c r="R1203" s="50" t="s">
        <v>22</v>
      </c>
      <c r="S1203" s="50" t="s">
        <v>22</v>
      </c>
      <c r="T1203" s="50" t="s">
        <v>22</v>
      </c>
      <c r="U1203" s="50" t="s">
        <v>22</v>
      </c>
      <c r="V1203" s="9">
        <v>20201127</v>
      </c>
      <c r="W1203" s="21"/>
      <c r="X1203" s="21">
        <v>2020</v>
      </c>
      <c r="Y1203" s="9" t="s">
        <v>76</v>
      </c>
      <c r="Z1203" s="9" t="s">
        <v>32</v>
      </c>
      <c r="AB1203" s="50"/>
      <c r="AC1203" s="9" t="s">
        <v>514</v>
      </c>
      <c r="AD1203" s="50">
        <v>28.35</v>
      </c>
      <c r="AE1203" s="50" t="s">
        <v>22</v>
      </c>
      <c r="AF1203" s="50" t="s">
        <v>22</v>
      </c>
      <c r="AG1203" s="50" t="s">
        <v>22</v>
      </c>
      <c r="AH1203" s="50" t="s">
        <v>22</v>
      </c>
      <c r="AI1203" s="50" t="s">
        <v>22</v>
      </c>
      <c r="AJ1203" s="50" t="s">
        <v>22</v>
      </c>
      <c r="AK1203" s="50" t="s">
        <v>22</v>
      </c>
      <c r="AL1203" s="50" t="s">
        <v>22</v>
      </c>
      <c r="AM1203" s="43" t="e">
        <f t="shared" si="633"/>
        <v>#VALUE!</v>
      </c>
      <c r="AN1203" s="43" t="e">
        <f t="shared" si="634"/>
        <v>#VALUE!</v>
      </c>
      <c r="AO1203" s="57" t="s">
        <v>1162</v>
      </c>
      <c r="AT1203" s="2">
        <f t="shared" si="635"/>
        <v>9</v>
      </c>
      <c r="AU1203" s="45" t="e">
        <f t="shared" si="636"/>
        <v>#VALUE!</v>
      </c>
      <c r="AV1203" s="45" t="e">
        <f t="shared" si="637"/>
        <v>#VALUE!</v>
      </c>
      <c r="AW1203" s="45" t="e">
        <f t="shared" si="638"/>
        <v>#VALUE!</v>
      </c>
      <c r="AX1203" s="45">
        <f t="shared" si="639"/>
        <v>2.5329071830104595</v>
      </c>
      <c r="AY1203" s="45" t="e">
        <f t="shared" si="640"/>
        <v>#VALUE!</v>
      </c>
      <c r="AZ1203" s="45">
        <f t="shared" si="641"/>
        <v>-0.96984381272471565</v>
      </c>
      <c r="BA1203" s="45" t="e">
        <f t="shared" si="642"/>
        <v>#VALUE!</v>
      </c>
      <c r="BB1203" s="45" t="e">
        <f t="shared" si="643"/>
        <v>#NUM!</v>
      </c>
      <c r="BC1203" s="45" t="e">
        <f t="shared" si="644"/>
        <v>#VALUE!</v>
      </c>
      <c r="BD1203" s="45">
        <f t="shared" si="645"/>
        <v>1.4525530632289254</v>
      </c>
      <c r="BE1203" s="45" t="e">
        <f t="shared" si="646"/>
        <v>#VALUE!</v>
      </c>
      <c r="BF1203" s="45" t="e">
        <f t="shared" si="647"/>
        <v>#VALUE!</v>
      </c>
      <c r="BG1203" s="45" t="e">
        <f t="shared" si="648"/>
        <v>#VALUE!</v>
      </c>
      <c r="BH1203" s="45" t="e">
        <f t="shared" si="649"/>
        <v>#NUM!</v>
      </c>
      <c r="BI1203" s="43" t="e">
        <f t="shared" si="650"/>
        <v>#VALUE!</v>
      </c>
      <c r="BL1203" s="20"/>
      <c r="BM1203" s="50"/>
      <c r="BN1203" s="50"/>
      <c r="BO1203" s="50"/>
      <c r="BP1203" s="50"/>
      <c r="BQ1203" s="50"/>
      <c r="BR1203" s="50"/>
      <c r="BU1203" s="50"/>
      <c r="BV1203" s="50"/>
      <c r="BW1203" s="50"/>
      <c r="BX1203" s="50"/>
      <c r="BY1203" s="50"/>
      <c r="BZ1203" s="50"/>
      <c r="CA1203" s="50" t="s">
        <v>22</v>
      </c>
      <c r="CE1203" s="50"/>
      <c r="CF1203" s="50"/>
      <c r="CG1203" s="50"/>
      <c r="CH1203" s="50"/>
      <c r="CI1203" s="50" t="str">
        <f t="shared" ref="CI1203:CI1211" si="659">IF(ISNUMBER(CG1203),CG1203,U1203)</f>
        <v>Not Reported/ Can not calculate</v>
      </c>
      <c r="CJ1203" s="50" t="e">
        <f t="shared" ref="CJ1203:CJ1211" si="660">LOG10(CI1203)</f>
        <v>#VALUE!</v>
      </c>
      <c r="CL1203" s="9" t="s">
        <v>1269</v>
      </c>
      <c r="CM1203" s="9" t="s">
        <v>1284</v>
      </c>
      <c r="CN1203" s="55" t="s">
        <v>1284</v>
      </c>
      <c r="CO1203" s="9" t="s">
        <v>1284</v>
      </c>
    </row>
    <row r="1204" spans="1:93" s="9" customFormat="1" x14ac:dyDescent="0.25">
      <c r="A1204" s="9" t="s">
        <v>141</v>
      </c>
      <c r="B1204" s="50" t="s">
        <v>22</v>
      </c>
      <c r="C1204" s="50" t="s">
        <v>22</v>
      </c>
      <c r="D1204" s="50" t="s">
        <v>22</v>
      </c>
      <c r="E1204" s="50" t="s">
        <v>22</v>
      </c>
      <c r="F1204" s="9" t="s">
        <v>22</v>
      </c>
      <c r="G1204" s="9" t="s">
        <v>22</v>
      </c>
      <c r="H1204" s="9" t="s">
        <v>22</v>
      </c>
      <c r="I1204" s="9" t="s">
        <v>22</v>
      </c>
      <c r="J1204" s="50" t="s">
        <v>22</v>
      </c>
      <c r="K1204" s="9" t="s">
        <v>22</v>
      </c>
      <c r="L1204" s="50"/>
      <c r="M1204" s="9" t="s">
        <v>23</v>
      </c>
      <c r="N1204" s="50">
        <v>411.55</v>
      </c>
      <c r="O1204" s="50" t="s">
        <v>22</v>
      </c>
      <c r="P1204" s="50">
        <v>0.146408611252729</v>
      </c>
      <c r="Q1204" s="50"/>
      <c r="R1204" s="50" t="s">
        <v>22</v>
      </c>
      <c r="S1204" s="50" t="s">
        <v>22</v>
      </c>
      <c r="T1204" s="50" t="s">
        <v>22</v>
      </c>
      <c r="U1204" s="50" t="s">
        <v>22</v>
      </c>
      <c r="V1204" s="9">
        <v>20201127</v>
      </c>
      <c r="W1204" s="21"/>
      <c r="X1204" s="21">
        <v>2020</v>
      </c>
      <c r="Y1204" s="9" t="s">
        <v>76</v>
      </c>
      <c r="Z1204" s="9" t="s">
        <v>290</v>
      </c>
      <c r="AB1204" s="50"/>
      <c r="AC1204" s="9" t="s">
        <v>514</v>
      </c>
      <c r="AD1204" s="50">
        <v>28.35</v>
      </c>
      <c r="AE1204" s="50" t="s">
        <v>22</v>
      </c>
      <c r="AF1204" s="50" t="s">
        <v>22</v>
      </c>
      <c r="AG1204" s="50" t="s">
        <v>22</v>
      </c>
      <c r="AH1204" s="50" t="s">
        <v>22</v>
      </c>
      <c r="AI1204" s="50" t="s">
        <v>22</v>
      </c>
      <c r="AJ1204" s="50" t="s">
        <v>22</v>
      </c>
      <c r="AK1204" s="50" t="s">
        <v>22</v>
      </c>
      <c r="AL1204" s="50" t="s">
        <v>22</v>
      </c>
      <c r="AM1204" s="43" t="e">
        <f t="shared" si="633"/>
        <v>#VALUE!</v>
      </c>
      <c r="AN1204" s="43" t="e">
        <f t="shared" si="634"/>
        <v>#VALUE!</v>
      </c>
      <c r="AO1204" s="57" t="s">
        <v>1162</v>
      </c>
      <c r="AT1204" s="2">
        <f t="shared" si="635"/>
        <v>9</v>
      </c>
      <c r="AU1204" s="45" t="e">
        <f t="shared" si="636"/>
        <v>#VALUE!</v>
      </c>
      <c r="AV1204" s="45" t="e">
        <f t="shared" si="637"/>
        <v>#VALUE!</v>
      </c>
      <c r="AW1204" s="45" t="e">
        <f t="shared" si="638"/>
        <v>#VALUE!</v>
      </c>
      <c r="AX1204" s="45">
        <f t="shared" si="639"/>
        <v>2.6144226060244975</v>
      </c>
      <c r="AY1204" s="45" t="e">
        <f t="shared" si="640"/>
        <v>#VALUE!</v>
      </c>
      <c r="AZ1204" s="45">
        <f t="shared" si="641"/>
        <v>-0.83443337881342861</v>
      </c>
      <c r="BA1204" s="45" t="e">
        <f t="shared" si="642"/>
        <v>#VALUE!</v>
      </c>
      <c r="BB1204" s="45" t="e">
        <f t="shared" si="643"/>
        <v>#NUM!</v>
      </c>
      <c r="BC1204" s="45" t="e">
        <f t="shared" si="644"/>
        <v>#VALUE!</v>
      </c>
      <c r="BD1204" s="45">
        <f t="shared" si="645"/>
        <v>1.4525530632289254</v>
      </c>
      <c r="BE1204" s="45" t="e">
        <f t="shared" si="646"/>
        <v>#VALUE!</v>
      </c>
      <c r="BF1204" s="45" t="e">
        <f t="shared" si="647"/>
        <v>#VALUE!</v>
      </c>
      <c r="BG1204" s="45" t="e">
        <f t="shared" si="648"/>
        <v>#VALUE!</v>
      </c>
      <c r="BH1204" s="45" t="e">
        <f t="shared" si="649"/>
        <v>#NUM!</v>
      </c>
      <c r="BI1204" s="43" t="e">
        <f t="shared" si="650"/>
        <v>#VALUE!</v>
      </c>
      <c r="BL1204" s="20"/>
      <c r="BM1204" s="50"/>
      <c r="BN1204" s="50"/>
      <c r="BO1204" s="50"/>
      <c r="BP1204" s="50"/>
      <c r="BQ1204" s="50"/>
      <c r="BR1204" s="50"/>
      <c r="BU1204" s="50"/>
      <c r="BV1204" s="50"/>
      <c r="BW1204" s="50"/>
      <c r="BX1204" s="50"/>
      <c r="BY1204" s="50"/>
      <c r="BZ1204" s="50"/>
      <c r="CA1204" s="50" t="s">
        <v>22</v>
      </c>
      <c r="CE1204" s="50"/>
      <c r="CF1204" s="50"/>
      <c r="CG1204" s="50"/>
      <c r="CH1204" s="50"/>
      <c r="CI1204" s="50" t="str">
        <f t="shared" si="659"/>
        <v>Not Reported/ Can not calculate</v>
      </c>
      <c r="CJ1204" s="50" t="e">
        <f t="shared" si="660"/>
        <v>#VALUE!</v>
      </c>
      <c r="CL1204" s="9" t="s">
        <v>1269</v>
      </c>
      <c r="CM1204" s="9" t="s">
        <v>1284</v>
      </c>
      <c r="CN1204" s="55" t="s">
        <v>1284</v>
      </c>
      <c r="CO1204" s="9" t="s">
        <v>1284</v>
      </c>
    </row>
    <row r="1205" spans="1:93" s="9" customFormat="1" x14ac:dyDescent="0.25">
      <c r="A1205" s="9" t="s">
        <v>141</v>
      </c>
      <c r="B1205" s="50" t="s">
        <v>22</v>
      </c>
      <c r="C1205" s="50" t="s">
        <v>22</v>
      </c>
      <c r="D1205" s="50" t="s">
        <v>22</v>
      </c>
      <c r="E1205" s="50" t="s">
        <v>22</v>
      </c>
      <c r="F1205" s="9" t="s">
        <v>22</v>
      </c>
      <c r="G1205" s="9" t="s">
        <v>22</v>
      </c>
      <c r="H1205" s="9" t="s">
        <v>22</v>
      </c>
      <c r="I1205" s="9" t="s">
        <v>22</v>
      </c>
      <c r="J1205" s="50" t="s">
        <v>22</v>
      </c>
      <c r="K1205" s="9" t="s">
        <v>22</v>
      </c>
      <c r="L1205" s="50"/>
      <c r="M1205" s="9" t="s">
        <v>23</v>
      </c>
      <c r="N1205" s="50">
        <v>384.86</v>
      </c>
      <c r="O1205" s="50" t="s">
        <v>22</v>
      </c>
      <c r="P1205" s="50">
        <v>0.15449464682512901</v>
      </c>
      <c r="Q1205" s="50"/>
      <c r="R1205" s="50" t="s">
        <v>22</v>
      </c>
      <c r="S1205" s="50" t="s">
        <v>22</v>
      </c>
      <c r="T1205" s="50" t="s">
        <v>22</v>
      </c>
      <c r="U1205" s="50" t="s">
        <v>22</v>
      </c>
      <c r="V1205" s="9">
        <v>20201127</v>
      </c>
      <c r="W1205" s="21"/>
      <c r="X1205" s="21">
        <v>2020</v>
      </c>
      <c r="Y1205" s="9" t="s">
        <v>76</v>
      </c>
      <c r="Z1205" s="9" t="s">
        <v>290</v>
      </c>
      <c r="AB1205" s="50"/>
      <c r="AC1205" s="9" t="s">
        <v>514</v>
      </c>
      <c r="AD1205" s="50">
        <v>28.35</v>
      </c>
      <c r="AE1205" s="50" t="s">
        <v>22</v>
      </c>
      <c r="AF1205" s="50" t="s">
        <v>22</v>
      </c>
      <c r="AG1205" s="50" t="s">
        <v>22</v>
      </c>
      <c r="AH1205" s="50" t="s">
        <v>22</v>
      </c>
      <c r="AI1205" s="50" t="s">
        <v>22</v>
      </c>
      <c r="AJ1205" s="50" t="s">
        <v>22</v>
      </c>
      <c r="AK1205" s="50" t="s">
        <v>22</v>
      </c>
      <c r="AL1205" s="50" t="s">
        <v>22</v>
      </c>
      <c r="AM1205" s="43" t="e">
        <f t="shared" si="633"/>
        <v>#VALUE!</v>
      </c>
      <c r="AN1205" s="43" t="e">
        <f t="shared" si="634"/>
        <v>#VALUE!</v>
      </c>
      <c r="AO1205" s="57" t="s">
        <v>1162</v>
      </c>
      <c r="AT1205" s="2">
        <f t="shared" si="635"/>
        <v>9</v>
      </c>
      <c r="AU1205" s="45" t="e">
        <f t="shared" si="636"/>
        <v>#VALUE!</v>
      </c>
      <c r="AV1205" s="45" t="e">
        <f t="shared" si="637"/>
        <v>#VALUE!</v>
      </c>
      <c r="AW1205" s="45" t="e">
        <f t="shared" si="638"/>
        <v>#VALUE!</v>
      </c>
      <c r="AX1205" s="45">
        <f t="shared" si="639"/>
        <v>2.5853027755217064</v>
      </c>
      <c r="AY1205" s="45" t="e">
        <f t="shared" si="640"/>
        <v>#VALUE!</v>
      </c>
      <c r="AZ1205" s="45">
        <f t="shared" si="641"/>
        <v>-0.81108656410053348</v>
      </c>
      <c r="BA1205" s="45" t="e">
        <f t="shared" si="642"/>
        <v>#VALUE!</v>
      </c>
      <c r="BB1205" s="45" t="e">
        <f t="shared" si="643"/>
        <v>#NUM!</v>
      </c>
      <c r="BC1205" s="45" t="e">
        <f t="shared" si="644"/>
        <v>#VALUE!</v>
      </c>
      <c r="BD1205" s="45">
        <f t="shared" si="645"/>
        <v>1.4525530632289254</v>
      </c>
      <c r="BE1205" s="45" t="e">
        <f t="shared" si="646"/>
        <v>#VALUE!</v>
      </c>
      <c r="BF1205" s="45" t="e">
        <f t="shared" si="647"/>
        <v>#VALUE!</v>
      </c>
      <c r="BG1205" s="45" t="e">
        <f t="shared" si="648"/>
        <v>#VALUE!</v>
      </c>
      <c r="BH1205" s="45" t="e">
        <f t="shared" si="649"/>
        <v>#NUM!</v>
      </c>
      <c r="BI1205" s="43" t="e">
        <f t="shared" si="650"/>
        <v>#VALUE!</v>
      </c>
      <c r="BL1205" s="20"/>
      <c r="BM1205" s="50"/>
      <c r="BN1205" s="50"/>
      <c r="BO1205" s="50"/>
      <c r="BP1205" s="50"/>
      <c r="BQ1205" s="50"/>
      <c r="BR1205" s="50"/>
      <c r="BU1205" s="50"/>
      <c r="BV1205" s="50"/>
      <c r="BW1205" s="50"/>
      <c r="BX1205" s="50"/>
      <c r="BY1205" s="50"/>
      <c r="BZ1205" s="50"/>
      <c r="CA1205" s="50" t="s">
        <v>22</v>
      </c>
      <c r="CE1205" s="50"/>
      <c r="CF1205" s="50"/>
      <c r="CG1205" s="50"/>
      <c r="CH1205" s="50"/>
      <c r="CI1205" s="50" t="str">
        <f t="shared" si="659"/>
        <v>Not Reported/ Can not calculate</v>
      </c>
      <c r="CJ1205" s="50" t="e">
        <f t="shared" si="660"/>
        <v>#VALUE!</v>
      </c>
      <c r="CL1205" s="9" t="s">
        <v>1269</v>
      </c>
      <c r="CM1205" s="9" t="s">
        <v>1284</v>
      </c>
      <c r="CN1205" s="55" t="s">
        <v>1284</v>
      </c>
      <c r="CO1205" s="9" t="s">
        <v>1284</v>
      </c>
    </row>
    <row r="1206" spans="1:93" s="9" customFormat="1" x14ac:dyDescent="0.25">
      <c r="A1206" s="9" t="s">
        <v>141</v>
      </c>
      <c r="B1206" s="50" t="s">
        <v>22</v>
      </c>
      <c r="C1206" s="50" t="s">
        <v>22</v>
      </c>
      <c r="D1206" s="50" t="s">
        <v>22</v>
      </c>
      <c r="E1206" s="50" t="s">
        <v>22</v>
      </c>
      <c r="F1206" s="9" t="s">
        <v>22</v>
      </c>
      <c r="G1206" s="9" t="s">
        <v>22</v>
      </c>
      <c r="H1206" s="9" t="s">
        <v>22</v>
      </c>
      <c r="I1206" s="9" t="s">
        <v>22</v>
      </c>
      <c r="J1206" s="50" t="s">
        <v>22</v>
      </c>
      <c r="K1206" s="9" t="s">
        <v>22</v>
      </c>
      <c r="L1206" s="50"/>
      <c r="M1206" s="9" t="s">
        <v>23</v>
      </c>
      <c r="N1206" s="50">
        <v>201.2</v>
      </c>
      <c r="O1206" s="50" t="s">
        <v>22</v>
      </c>
      <c r="P1206" s="50">
        <v>7.2757005300268296E-2</v>
      </c>
      <c r="Q1206" s="50"/>
      <c r="R1206" s="50" t="s">
        <v>22</v>
      </c>
      <c r="S1206" s="50" t="s">
        <v>22</v>
      </c>
      <c r="T1206" s="50" t="s">
        <v>22</v>
      </c>
      <c r="U1206" s="50" t="s">
        <v>22</v>
      </c>
      <c r="V1206" s="9">
        <v>20201127</v>
      </c>
      <c r="W1206" s="21"/>
      <c r="X1206" s="21">
        <v>2020</v>
      </c>
      <c r="Y1206" s="9" t="s">
        <v>76</v>
      </c>
      <c r="Z1206" s="9" t="s">
        <v>290</v>
      </c>
      <c r="AB1206" s="50"/>
      <c r="AC1206" s="9" t="s">
        <v>514</v>
      </c>
      <c r="AD1206" s="50">
        <v>28.35</v>
      </c>
      <c r="AE1206" s="50" t="s">
        <v>22</v>
      </c>
      <c r="AF1206" s="50" t="s">
        <v>22</v>
      </c>
      <c r="AG1206" s="50" t="s">
        <v>22</v>
      </c>
      <c r="AH1206" s="50" t="s">
        <v>22</v>
      </c>
      <c r="AI1206" s="50" t="s">
        <v>22</v>
      </c>
      <c r="AJ1206" s="50" t="s">
        <v>22</v>
      </c>
      <c r="AK1206" s="50" t="s">
        <v>22</v>
      </c>
      <c r="AL1206" s="50" t="s">
        <v>22</v>
      </c>
      <c r="AM1206" s="43" t="e">
        <f t="shared" si="633"/>
        <v>#VALUE!</v>
      </c>
      <c r="AN1206" s="43" t="e">
        <f t="shared" si="634"/>
        <v>#VALUE!</v>
      </c>
      <c r="AO1206" s="57" t="s">
        <v>1162</v>
      </c>
      <c r="AT1206" s="2">
        <f t="shared" si="635"/>
        <v>9</v>
      </c>
      <c r="AU1206" s="45" t="e">
        <f t="shared" si="636"/>
        <v>#VALUE!</v>
      </c>
      <c r="AV1206" s="45" t="e">
        <f t="shared" si="637"/>
        <v>#VALUE!</v>
      </c>
      <c r="AW1206" s="45" t="e">
        <f t="shared" si="638"/>
        <v>#VALUE!</v>
      </c>
      <c r="AX1206" s="45">
        <f t="shared" si="639"/>
        <v>2.3036279763838898</v>
      </c>
      <c r="AY1206" s="45" t="e">
        <f t="shared" si="640"/>
        <v>#VALUE!</v>
      </c>
      <c r="AZ1206" s="45">
        <f t="shared" si="641"/>
        <v>-1.1381251849292553</v>
      </c>
      <c r="BA1206" s="45" t="e">
        <f t="shared" si="642"/>
        <v>#VALUE!</v>
      </c>
      <c r="BB1206" s="45" t="e">
        <f t="shared" si="643"/>
        <v>#NUM!</v>
      </c>
      <c r="BC1206" s="45" t="e">
        <f t="shared" si="644"/>
        <v>#VALUE!</v>
      </c>
      <c r="BD1206" s="45">
        <f t="shared" si="645"/>
        <v>1.4525530632289254</v>
      </c>
      <c r="BE1206" s="45" t="e">
        <f t="shared" si="646"/>
        <v>#VALUE!</v>
      </c>
      <c r="BF1206" s="45" t="e">
        <f t="shared" si="647"/>
        <v>#VALUE!</v>
      </c>
      <c r="BG1206" s="45" t="e">
        <f t="shared" si="648"/>
        <v>#VALUE!</v>
      </c>
      <c r="BH1206" s="45" t="e">
        <f t="shared" si="649"/>
        <v>#NUM!</v>
      </c>
      <c r="BI1206" s="43" t="e">
        <f t="shared" si="650"/>
        <v>#VALUE!</v>
      </c>
      <c r="BL1206" s="20"/>
      <c r="BM1206" s="50"/>
      <c r="BN1206" s="50"/>
      <c r="BO1206" s="50"/>
      <c r="BP1206" s="50"/>
      <c r="BQ1206" s="50"/>
      <c r="BR1206" s="50"/>
      <c r="BU1206" s="50"/>
      <c r="BV1206" s="50"/>
      <c r="BW1206" s="50"/>
      <c r="BX1206" s="50"/>
      <c r="BY1206" s="50"/>
      <c r="BZ1206" s="50"/>
      <c r="CA1206" s="50" t="s">
        <v>22</v>
      </c>
      <c r="CE1206" s="50"/>
      <c r="CF1206" s="50"/>
      <c r="CG1206" s="50"/>
      <c r="CH1206" s="50"/>
      <c r="CI1206" s="50" t="str">
        <f t="shared" si="659"/>
        <v>Not Reported/ Can not calculate</v>
      </c>
      <c r="CJ1206" s="50" t="e">
        <f t="shared" si="660"/>
        <v>#VALUE!</v>
      </c>
      <c r="CL1206" s="9" t="s">
        <v>1269</v>
      </c>
      <c r="CM1206" s="9" t="s">
        <v>1284</v>
      </c>
      <c r="CN1206" s="55" t="s">
        <v>1284</v>
      </c>
      <c r="CO1206" s="9" t="s">
        <v>1284</v>
      </c>
    </row>
    <row r="1207" spans="1:93" s="9" customFormat="1" x14ac:dyDescent="0.25">
      <c r="A1207" s="9" t="s">
        <v>141</v>
      </c>
      <c r="B1207" s="50" t="s">
        <v>22</v>
      </c>
      <c r="C1207" s="50" t="s">
        <v>22</v>
      </c>
      <c r="D1207" s="50" t="s">
        <v>22</v>
      </c>
      <c r="E1207" s="50" t="s">
        <v>22</v>
      </c>
      <c r="F1207" s="9" t="s">
        <v>22</v>
      </c>
      <c r="G1207" s="9" t="s">
        <v>22</v>
      </c>
      <c r="H1207" s="9" t="s">
        <v>22</v>
      </c>
      <c r="I1207" s="9" t="s">
        <v>22</v>
      </c>
      <c r="J1207" s="50" t="s">
        <v>22</v>
      </c>
      <c r="K1207" s="9" t="s">
        <v>22</v>
      </c>
      <c r="L1207" s="50"/>
      <c r="M1207" s="9" t="s">
        <v>23</v>
      </c>
      <c r="N1207" s="50">
        <v>202.18</v>
      </c>
      <c r="O1207" s="50" t="s">
        <v>22</v>
      </c>
      <c r="P1207" s="50" t="s">
        <v>22</v>
      </c>
      <c r="Q1207" s="50"/>
      <c r="R1207" s="50" t="s">
        <v>22</v>
      </c>
      <c r="S1207" s="50" t="s">
        <v>22</v>
      </c>
      <c r="T1207" s="50" t="s">
        <v>22</v>
      </c>
      <c r="U1207" s="50" t="s">
        <v>22</v>
      </c>
      <c r="V1207" s="9">
        <v>20201127</v>
      </c>
      <c r="W1207" s="21"/>
      <c r="X1207" s="21">
        <v>2020</v>
      </c>
      <c r="Y1207" s="9" t="s">
        <v>76</v>
      </c>
      <c r="Z1207" s="9" t="s">
        <v>290</v>
      </c>
      <c r="AB1207" s="50"/>
      <c r="AC1207" s="9" t="s">
        <v>514</v>
      </c>
      <c r="AD1207" s="50">
        <v>28.35</v>
      </c>
      <c r="AE1207" s="50" t="s">
        <v>22</v>
      </c>
      <c r="AF1207" s="50" t="s">
        <v>22</v>
      </c>
      <c r="AG1207" s="50" t="s">
        <v>22</v>
      </c>
      <c r="AH1207" s="50" t="s">
        <v>22</v>
      </c>
      <c r="AI1207" s="50" t="s">
        <v>22</v>
      </c>
      <c r="AJ1207" s="50" t="s">
        <v>22</v>
      </c>
      <c r="AK1207" s="50" t="s">
        <v>22</v>
      </c>
      <c r="AL1207" s="50" t="s">
        <v>22</v>
      </c>
      <c r="AM1207" s="43" t="e">
        <f t="shared" si="633"/>
        <v>#VALUE!</v>
      </c>
      <c r="AN1207" s="43" t="e">
        <f t="shared" si="634"/>
        <v>#VALUE!</v>
      </c>
      <c r="AO1207" s="57" t="s">
        <v>1162</v>
      </c>
      <c r="AT1207" s="2">
        <f t="shared" si="635"/>
        <v>9</v>
      </c>
      <c r="AU1207" s="45" t="e">
        <f t="shared" si="636"/>
        <v>#VALUE!</v>
      </c>
      <c r="AV1207" s="45" t="e">
        <f t="shared" si="637"/>
        <v>#VALUE!</v>
      </c>
      <c r="AW1207" s="45" t="e">
        <f t="shared" si="638"/>
        <v>#VALUE!</v>
      </c>
      <c r="AX1207" s="45">
        <f t="shared" si="639"/>
        <v>2.3057381922083175</v>
      </c>
      <c r="AY1207" s="45" t="e">
        <f t="shared" si="640"/>
        <v>#VALUE!</v>
      </c>
      <c r="AZ1207" s="45" t="e">
        <f t="shared" si="641"/>
        <v>#VALUE!</v>
      </c>
      <c r="BA1207" s="45" t="e">
        <f t="shared" si="642"/>
        <v>#VALUE!</v>
      </c>
      <c r="BB1207" s="45" t="e">
        <f t="shared" si="643"/>
        <v>#NUM!</v>
      </c>
      <c r="BC1207" s="45" t="e">
        <f t="shared" si="644"/>
        <v>#VALUE!</v>
      </c>
      <c r="BD1207" s="45">
        <f t="shared" si="645"/>
        <v>1.4525530632289254</v>
      </c>
      <c r="BE1207" s="45" t="e">
        <f t="shared" si="646"/>
        <v>#VALUE!</v>
      </c>
      <c r="BF1207" s="45" t="e">
        <f t="shared" si="647"/>
        <v>#VALUE!</v>
      </c>
      <c r="BG1207" s="45" t="e">
        <f t="shared" si="648"/>
        <v>#VALUE!</v>
      </c>
      <c r="BH1207" s="45" t="e">
        <f t="shared" si="649"/>
        <v>#NUM!</v>
      </c>
      <c r="BI1207" s="43" t="e">
        <f t="shared" si="650"/>
        <v>#VALUE!</v>
      </c>
      <c r="BL1207" s="20"/>
      <c r="BM1207" s="50"/>
      <c r="BN1207" s="50"/>
      <c r="BO1207" s="50"/>
      <c r="BP1207" s="50"/>
      <c r="BQ1207" s="50"/>
      <c r="BR1207" s="50"/>
      <c r="BU1207" s="50"/>
      <c r="BV1207" s="50"/>
      <c r="BW1207" s="50"/>
      <c r="BX1207" s="50"/>
      <c r="BY1207" s="50"/>
      <c r="BZ1207" s="50"/>
      <c r="CA1207" s="50" t="s">
        <v>22</v>
      </c>
      <c r="CE1207" s="50"/>
      <c r="CF1207" s="50"/>
      <c r="CG1207" s="50"/>
      <c r="CH1207" s="50"/>
      <c r="CI1207" s="50" t="str">
        <f t="shared" si="659"/>
        <v>Not Reported/ Can not calculate</v>
      </c>
      <c r="CJ1207" s="50" t="e">
        <f t="shared" si="660"/>
        <v>#VALUE!</v>
      </c>
      <c r="CL1207" s="9" t="s">
        <v>1269</v>
      </c>
      <c r="CM1207" s="9" t="s">
        <v>1284</v>
      </c>
      <c r="CN1207" s="55" t="s">
        <v>1284</v>
      </c>
      <c r="CO1207" s="9" t="s">
        <v>1284</v>
      </c>
    </row>
    <row r="1208" spans="1:93" s="9" customFormat="1" x14ac:dyDescent="0.25">
      <c r="A1208" s="9" t="s">
        <v>141</v>
      </c>
      <c r="B1208" s="50" t="s">
        <v>22</v>
      </c>
      <c r="C1208" s="50" t="s">
        <v>22</v>
      </c>
      <c r="D1208" s="50" t="s">
        <v>22</v>
      </c>
      <c r="E1208" s="50" t="s">
        <v>22</v>
      </c>
      <c r="F1208" s="9" t="s">
        <v>22</v>
      </c>
      <c r="G1208" s="9" t="s">
        <v>22</v>
      </c>
      <c r="H1208" s="9" t="s">
        <v>22</v>
      </c>
      <c r="I1208" s="9" t="s">
        <v>22</v>
      </c>
      <c r="J1208" s="50" t="s">
        <v>22</v>
      </c>
      <c r="K1208" s="9" t="s">
        <v>22</v>
      </c>
      <c r="L1208" s="50"/>
      <c r="M1208" s="9" t="s">
        <v>23</v>
      </c>
      <c r="N1208" s="50">
        <v>673.65</v>
      </c>
      <c r="O1208" s="50" t="s">
        <v>22</v>
      </c>
      <c r="P1208" s="50">
        <v>0.31771771771771701</v>
      </c>
      <c r="Q1208" s="50"/>
      <c r="R1208" s="50" t="s">
        <v>22</v>
      </c>
      <c r="S1208" s="50" t="s">
        <v>22</v>
      </c>
      <c r="T1208" s="50" t="s">
        <v>22</v>
      </c>
      <c r="U1208" s="50" t="s">
        <v>22</v>
      </c>
      <c r="V1208" s="9">
        <v>20201127</v>
      </c>
      <c r="W1208" s="21"/>
      <c r="X1208" s="21">
        <v>2020</v>
      </c>
      <c r="Y1208" s="21" t="s">
        <v>26</v>
      </c>
      <c r="Z1208" s="9" t="s">
        <v>32</v>
      </c>
      <c r="AB1208" s="50"/>
      <c r="AC1208" s="9" t="s">
        <v>514</v>
      </c>
      <c r="AD1208" s="50">
        <v>17.36</v>
      </c>
      <c r="AE1208" s="50" t="s">
        <v>22</v>
      </c>
      <c r="AF1208" s="50" t="s">
        <v>22</v>
      </c>
      <c r="AG1208" s="50" t="s">
        <v>22</v>
      </c>
      <c r="AH1208" s="50" t="s">
        <v>22</v>
      </c>
      <c r="AI1208" s="50" t="s">
        <v>22</v>
      </c>
      <c r="AJ1208" s="50" t="s">
        <v>22</v>
      </c>
      <c r="AK1208" s="50" t="s">
        <v>22</v>
      </c>
      <c r="AL1208" s="50" t="s">
        <v>22</v>
      </c>
      <c r="AM1208" s="43" t="e">
        <f t="shared" si="633"/>
        <v>#VALUE!</v>
      </c>
      <c r="AN1208" s="43" t="e">
        <f t="shared" si="634"/>
        <v>#VALUE!</v>
      </c>
      <c r="AO1208" s="57" t="s">
        <v>1162</v>
      </c>
      <c r="AT1208" s="2">
        <f t="shared" si="635"/>
        <v>9</v>
      </c>
      <c r="AU1208" s="45" t="e">
        <f t="shared" si="636"/>
        <v>#VALUE!</v>
      </c>
      <c r="AV1208" s="45" t="e">
        <f t="shared" si="637"/>
        <v>#VALUE!</v>
      </c>
      <c r="AW1208" s="45" t="e">
        <f t="shared" si="638"/>
        <v>#VALUE!</v>
      </c>
      <c r="AX1208" s="45">
        <f t="shared" si="639"/>
        <v>2.8284343141183959</v>
      </c>
      <c r="AY1208" s="45" t="e">
        <f t="shared" si="640"/>
        <v>#VALUE!</v>
      </c>
      <c r="AZ1208" s="45">
        <f t="shared" si="641"/>
        <v>-0.49795856580715386</v>
      </c>
      <c r="BA1208" s="45" t="e">
        <f t="shared" si="642"/>
        <v>#VALUE!</v>
      </c>
      <c r="BB1208" s="45" t="e">
        <f t="shared" si="643"/>
        <v>#NUM!</v>
      </c>
      <c r="BC1208" s="45" t="e">
        <f t="shared" si="644"/>
        <v>#VALUE!</v>
      </c>
      <c r="BD1208" s="45">
        <f t="shared" si="645"/>
        <v>1.2395497208404731</v>
      </c>
      <c r="BE1208" s="45" t="e">
        <f t="shared" si="646"/>
        <v>#VALUE!</v>
      </c>
      <c r="BF1208" s="45" t="e">
        <f t="shared" si="647"/>
        <v>#VALUE!</v>
      </c>
      <c r="BG1208" s="45" t="e">
        <f t="shared" si="648"/>
        <v>#VALUE!</v>
      </c>
      <c r="BH1208" s="45" t="e">
        <f t="shared" si="649"/>
        <v>#NUM!</v>
      </c>
      <c r="BI1208" s="43" t="e">
        <f t="shared" si="650"/>
        <v>#VALUE!</v>
      </c>
      <c r="BL1208" s="20"/>
      <c r="BM1208" s="50"/>
      <c r="BN1208" s="50"/>
      <c r="BO1208" s="50"/>
      <c r="BP1208" s="50"/>
      <c r="BQ1208" s="50"/>
      <c r="BR1208" s="50"/>
      <c r="BU1208" s="50"/>
      <c r="BV1208" s="50"/>
      <c r="BW1208" s="50"/>
      <c r="BX1208" s="50"/>
      <c r="BY1208" s="50"/>
      <c r="BZ1208" s="50"/>
      <c r="CA1208" s="50" t="s">
        <v>22</v>
      </c>
      <c r="CE1208" s="50"/>
      <c r="CF1208" s="50"/>
      <c r="CG1208" s="50"/>
      <c r="CH1208" s="50"/>
      <c r="CI1208" s="50" t="str">
        <f t="shared" si="659"/>
        <v>Not Reported/ Can not calculate</v>
      </c>
      <c r="CJ1208" s="50" t="e">
        <f t="shared" si="660"/>
        <v>#VALUE!</v>
      </c>
      <c r="CL1208" s="9" t="s">
        <v>1269</v>
      </c>
      <c r="CM1208" s="9" t="s">
        <v>1284</v>
      </c>
      <c r="CN1208" s="55" t="s">
        <v>1284</v>
      </c>
      <c r="CO1208" s="9" t="s">
        <v>1284</v>
      </c>
    </row>
    <row r="1209" spans="1:93" s="9" customFormat="1" x14ac:dyDescent="0.25">
      <c r="A1209" s="9" t="s">
        <v>141</v>
      </c>
      <c r="B1209" s="50" t="s">
        <v>22</v>
      </c>
      <c r="C1209" s="50" t="s">
        <v>22</v>
      </c>
      <c r="D1209" s="50" t="s">
        <v>22</v>
      </c>
      <c r="E1209" s="50" t="s">
        <v>22</v>
      </c>
      <c r="F1209" s="9" t="s">
        <v>22</v>
      </c>
      <c r="G1209" s="9" t="s">
        <v>22</v>
      </c>
      <c r="H1209" s="9" t="s">
        <v>22</v>
      </c>
      <c r="I1209" s="9" t="s">
        <v>22</v>
      </c>
      <c r="J1209" s="50" t="s">
        <v>22</v>
      </c>
      <c r="K1209" s="9" t="s">
        <v>22</v>
      </c>
      <c r="L1209" s="50"/>
      <c r="M1209" s="9" t="s">
        <v>23</v>
      </c>
      <c r="N1209" s="50">
        <v>732.52</v>
      </c>
      <c r="O1209" s="50" t="s">
        <v>22</v>
      </c>
      <c r="P1209" s="50">
        <v>0.37297297297297199</v>
      </c>
      <c r="Q1209" s="50"/>
      <c r="R1209" s="50" t="s">
        <v>22</v>
      </c>
      <c r="S1209" s="50" t="s">
        <v>22</v>
      </c>
      <c r="T1209" s="50" t="s">
        <v>22</v>
      </c>
      <c r="U1209" s="50" t="s">
        <v>22</v>
      </c>
      <c r="V1209" s="9">
        <v>20201127</v>
      </c>
      <c r="W1209" s="21"/>
      <c r="X1209" s="21">
        <v>2020</v>
      </c>
      <c r="Y1209" s="21" t="s">
        <v>26</v>
      </c>
      <c r="Z1209" s="9" t="s">
        <v>290</v>
      </c>
      <c r="AB1209" s="50"/>
      <c r="AC1209" s="9" t="s">
        <v>514</v>
      </c>
      <c r="AD1209" s="50">
        <v>17.36</v>
      </c>
      <c r="AE1209" s="50" t="s">
        <v>22</v>
      </c>
      <c r="AF1209" s="50" t="s">
        <v>22</v>
      </c>
      <c r="AG1209" s="50" t="s">
        <v>22</v>
      </c>
      <c r="AH1209" s="50" t="s">
        <v>22</v>
      </c>
      <c r="AI1209" s="50" t="s">
        <v>22</v>
      </c>
      <c r="AJ1209" s="50" t="s">
        <v>22</v>
      </c>
      <c r="AK1209" s="50" t="s">
        <v>22</v>
      </c>
      <c r="AL1209" s="50" t="s">
        <v>22</v>
      </c>
      <c r="AM1209" s="43" t="e">
        <f t="shared" si="633"/>
        <v>#VALUE!</v>
      </c>
      <c r="AN1209" s="43" t="e">
        <f t="shared" si="634"/>
        <v>#VALUE!</v>
      </c>
      <c r="AO1209" s="57" t="s">
        <v>1162</v>
      </c>
      <c r="AT1209" s="2">
        <f t="shared" si="635"/>
        <v>9</v>
      </c>
      <c r="AU1209" s="45" t="e">
        <f t="shared" si="636"/>
        <v>#VALUE!</v>
      </c>
      <c r="AV1209" s="45" t="e">
        <f t="shared" si="637"/>
        <v>#VALUE!</v>
      </c>
      <c r="AW1209" s="45" t="e">
        <f t="shared" si="638"/>
        <v>#VALUE!</v>
      </c>
      <c r="AX1209" s="45">
        <f t="shared" si="639"/>
        <v>2.8648194867340808</v>
      </c>
      <c r="AY1209" s="45" t="e">
        <f t="shared" si="640"/>
        <v>#VALUE!</v>
      </c>
      <c r="AZ1209" s="45">
        <f t="shared" si="641"/>
        <v>-0.42832263766575962</v>
      </c>
      <c r="BA1209" s="45" t="e">
        <f t="shared" si="642"/>
        <v>#VALUE!</v>
      </c>
      <c r="BB1209" s="45" t="e">
        <f t="shared" si="643"/>
        <v>#NUM!</v>
      </c>
      <c r="BC1209" s="45" t="e">
        <f t="shared" si="644"/>
        <v>#VALUE!</v>
      </c>
      <c r="BD1209" s="45">
        <f t="shared" si="645"/>
        <v>1.2395497208404731</v>
      </c>
      <c r="BE1209" s="45" t="e">
        <f t="shared" si="646"/>
        <v>#VALUE!</v>
      </c>
      <c r="BF1209" s="45" t="e">
        <f t="shared" si="647"/>
        <v>#VALUE!</v>
      </c>
      <c r="BG1209" s="45" t="e">
        <f t="shared" si="648"/>
        <v>#VALUE!</v>
      </c>
      <c r="BH1209" s="45" t="e">
        <f t="shared" si="649"/>
        <v>#NUM!</v>
      </c>
      <c r="BI1209" s="43" t="e">
        <f t="shared" si="650"/>
        <v>#VALUE!</v>
      </c>
      <c r="BL1209" s="20"/>
      <c r="BM1209" s="50"/>
      <c r="BN1209" s="50"/>
      <c r="BO1209" s="50"/>
      <c r="BP1209" s="50"/>
      <c r="BQ1209" s="50"/>
      <c r="BR1209" s="50"/>
      <c r="BU1209" s="50"/>
      <c r="BV1209" s="50"/>
      <c r="BW1209" s="50"/>
      <c r="BX1209" s="50"/>
      <c r="BY1209" s="50"/>
      <c r="BZ1209" s="50"/>
      <c r="CA1209" s="50" t="s">
        <v>22</v>
      </c>
      <c r="CE1209" s="50"/>
      <c r="CF1209" s="50"/>
      <c r="CG1209" s="50"/>
      <c r="CH1209" s="50"/>
      <c r="CI1209" s="50" t="str">
        <f t="shared" si="659"/>
        <v>Not Reported/ Can not calculate</v>
      </c>
      <c r="CJ1209" s="50" t="e">
        <f t="shared" si="660"/>
        <v>#VALUE!</v>
      </c>
      <c r="CL1209" s="9" t="s">
        <v>1269</v>
      </c>
      <c r="CM1209" s="9" t="s">
        <v>1284</v>
      </c>
      <c r="CN1209" s="55" t="s">
        <v>1284</v>
      </c>
      <c r="CO1209" s="9" t="s">
        <v>1284</v>
      </c>
    </row>
    <row r="1210" spans="1:93" s="9" customFormat="1" x14ac:dyDescent="0.25">
      <c r="A1210" s="9" t="s">
        <v>141</v>
      </c>
      <c r="B1210" s="50" t="s">
        <v>22</v>
      </c>
      <c r="C1210" s="50" t="s">
        <v>22</v>
      </c>
      <c r="D1210" s="50" t="s">
        <v>22</v>
      </c>
      <c r="E1210" s="50" t="s">
        <v>22</v>
      </c>
      <c r="F1210" s="9" t="s">
        <v>22</v>
      </c>
      <c r="G1210" s="9" t="s">
        <v>22</v>
      </c>
      <c r="H1210" s="9" t="s">
        <v>22</v>
      </c>
      <c r="I1210" s="9" t="s">
        <v>22</v>
      </c>
      <c r="J1210" s="50" t="s">
        <v>22</v>
      </c>
      <c r="K1210" s="9" t="s">
        <v>22</v>
      </c>
      <c r="L1210" s="50"/>
      <c r="M1210" s="9" t="s">
        <v>23</v>
      </c>
      <c r="N1210" s="50">
        <v>650.54</v>
      </c>
      <c r="O1210" s="50" t="s">
        <v>22</v>
      </c>
      <c r="P1210" s="50">
        <v>0.34174174174174099</v>
      </c>
      <c r="Q1210" s="50"/>
      <c r="R1210" s="50" t="s">
        <v>22</v>
      </c>
      <c r="S1210" s="50" t="s">
        <v>22</v>
      </c>
      <c r="T1210" s="50" t="s">
        <v>22</v>
      </c>
      <c r="U1210" s="50" t="s">
        <v>22</v>
      </c>
      <c r="V1210" s="9">
        <v>20201127</v>
      </c>
      <c r="W1210" s="21"/>
      <c r="X1210" s="21">
        <v>2020</v>
      </c>
      <c r="Y1210" s="21" t="s">
        <v>26</v>
      </c>
      <c r="Z1210" s="9" t="s">
        <v>290</v>
      </c>
      <c r="AB1210" s="50"/>
      <c r="AC1210" s="9" t="s">
        <v>514</v>
      </c>
      <c r="AD1210" s="50">
        <v>17.36</v>
      </c>
      <c r="AE1210" s="50" t="s">
        <v>22</v>
      </c>
      <c r="AF1210" s="50" t="s">
        <v>22</v>
      </c>
      <c r="AG1210" s="50" t="s">
        <v>22</v>
      </c>
      <c r="AH1210" s="50" t="s">
        <v>22</v>
      </c>
      <c r="AI1210" s="50" t="s">
        <v>22</v>
      </c>
      <c r="AJ1210" s="50" t="s">
        <v>22</v>
      </c>
      <c r="AK1210" s="50" t="s">
        <v>22</v>
      </c>
      <c r="AL1210" s="50" t="s">
        <v>22</v>
      </c>
      <c r="AM1210" s="43" t="e">
        <f t="shared" si="633"/>
        <v>#VALUE!</v>
      </c>
      <c r="AN1210" s="43" t="e">
        <f t="shared" si="634"/>
        <v>#VALUE!</v>
      </c>
      <c r="AO1210" s="57" t="s">
        <v>1162</v>
      </c>
      <c r="AT1210" s="2">
        <f t="shared" si="635"/>
        <v>9</v>
      </c>
      <c r="AU1210" s="45" t="e">
        <f t="shared" si="636"/>
        <v>#VALUE!</v>
      </c>
      <c r="AV1210" s="45" t="e">
        <f t="shared" si="637"/>
        <v>#VALUE!</v>
      </c>
      <c r="AW1210" s="45" t="e">
        <f t="shared" si="638"/>
        <v>#VALUE!</v>
      </c>
      <c r="AX1210" s="45">
        <f t="shared" si="639"/>
        <v>2.8132740053483238</v>
      </c>
      <c r="AY1210" s="45" t="e">
        <f t="shared" si="640"/>
        <v>#VALUE!</v>
      </c>
      <c r="AZ1210" s="45">
        <f t="shared" si="641"/>
        <v>-0.46630197144726848</v>
      </c>
      <c r="BA1210" s="45" t="e">
        <f t="shared" si="642"/>
        <v>#VALUE!</v>
      </c>
      <c r="BB1210" s="45" t="e">
        <f t="shared" si="643"/>
        <v>#NUM!</v>
      </c>
      <c r="BC1210" s="45" t="e">
        <f t="shared" si="644"/>
        <v>#VALUE!</v>
      </c>
      <c r="BD1210" s="45">
        <f t="shared" si="645"/>
        <v>1.2395497208404731</v>
      </c>
      <c r="BE1210" s="45" t="e">
        <f t="shared" si="646"/>
        <v>#VALUE!</v>
      </c>
      <c r="BF1210" s="45" t="e">
        <f t="shared" si="647"/>
        <v>#VALUE!</v>
      </c>
      <c r="BG1210" s="45" t="e">
        <f t="shared" si="648"/>
        <v>#VALUE!</v>
      </c>
      <c r="BH1210" s="45" t="e">
        <f t="shared" si="649"/>
        <v>#NUM!</v>
      </c>
      <c r="BI1210" s="43" t="e">
        <f t="shared" si="650"/>
        <v>#VALUE!</v>
      </c>
      <c r="BL1210" s="20"/>
      <c r="BM1210" s="50"/>
      <c r="BN1210" s="50"/>
      <c r="BO1210" s="50"/>
      <c r="BP1210" s="50"/>
      <c r="BQ1210" s="50"/>
      <c r="BR1210" s="50"/>
      <c r="BU1210" s="50"/>
      <c r="BV1210" s="50"/>
      <c r="BW1210" s="50"/>
      <c r="BX1210" s="50"/>
      <c r="BY1210" s="50"/>
      <c r="BZ1210" s="50"/>
      <c r="CA1210" s="50" t="s">
        <v>22</v>
      </c>
      <c r="CE1210" s="50"/>
      <c r="CF1210" s="50"/>
      <c r="CG1210" s="50"/>
      <c r="CH1210" s="50"/>
      <c r="CI1210" s="50" t="str">
        <f t="shared" si="659"/>
        <v>Not Reported/ Can not calculate</v>
      </c>
      <c r="CJ1210" s="50" t="e">
        <f t="shared" si="660"/>
        <v>#VALUE!</v>
      </c>
      <c r="CL1210" s="9" t="s">
        <v>1269</v>
      </c>
      <c r="CM1210" s="9" t="s">
        <v>1284</v>
      </c>
      <c r="CN1210" s="55" t="s">
        <v>1284</v>
      </c>
      <c r="CO1210" s="9" t="s">
        <v>1284</v>
      </c>
    </row>
    <row r="1211" spans="1:93" s="9" customFormat="1" x14ac:dyDescent="0.25">
      <c r="A1211" s="9" t="s">
        <v>141</v>
      </c>
      <c r="B1211" s="50" t="s">
        <v>22</v>
      </c>
      <c r="C1211" s="50" t="s">
        <v>22</v>
      </c>
      <c r="D1211" s="50" t="s">
        <v>22</v>
      </c>
      <c r="E1211" s="50" t="s">
        <v>22</v>
      </c>
      <c r="F1211" s="9" t="s">
        <v>22</v>
      </c>
      <c r="G1211" s="9" t="s">
        <v>22</v>
      </c>
      <c r="H1211" s="9" t="s">
        <v>22</v>
      </c>
      <c r="I1211" s="9" t="s">
        <v>22</v>
      </c>
      <c r="J1211" s="50" t="s">
        <v>22</v>
      </c>
      <c r="K1211" s="9" t="s">
        <v>22</v>
      </c>
      <c r="L1211" s="50"/>
      <c r="M1211" s="9" t="s">
        <v>23</v>
      </c>
      <c r="N1211" s="50">
        <v>565.96</v>
      </c>
      <c r="O1211" s="50" t="s">
        <v>22</v>
      </c>
      <c r="P1211" s="50" t="s">
        <v>22</v>
      </c>
      <c r="Q1211" s="50"/>
      <c r="R1211" s="50" t="s">
        <v>22</v>
      </c>
      <c r="S1211" s="50" t="s">
        <v>22</v>
      </c>
      <c r="T1211" s="50" t="s">
        <v>22</v>
      </c>
      <c r="U1211" s="50" t="s">
        <v>22</v>
      </c>
      <c r="V1211" s="9">
        <v>20201127</v>
      </c>
      <c r="W1211" s="21"/>
      <c r="X1211" s="21">
        <v>2020</v>
      </c>
      <c r="Y1211" s="21" t="s">
        <v>26</v>
      </c>
      <c r="Z1211" s="9" t="s">
        <v>290</v>
      </c>
      <c r="AB1211" s="50"/>
      <c r="AC1211" s="9" t="s">
        <v>514</v>
      </c>
      <c r="AD1211" s="50">
        <v>17.36</v>
      </c>
      <c r="AE1211" s="50" t="s">
        <v>22</v>
      </c>
      <c r="AF1211" s="50" t="s">
        <v>22</v>
      </c>
      <c r="AG1211" s="50" t="s">
        <v>22</v>
      </c>
      <c r="AH1211" s="50" t="s">
        <v>22</v>
      </c>
      <c r="AI1211" s="50" t="s">
        <v>22</v>
      </c>
      <c r="AJ1211" s="50" t="s">
        <v>22</v>
      </c>
      <c r="AK1211" s="50" t="s">
        <v>22</v>
      </c>
      <c r="AL1211" s="50" t="s">
        <v>22</v>
      </c>
      <c r="AM1211" s="43" t="e">
        <f t="shared" si="633"/>
        <v>#VALUE!</v>
      </c>
      <c r="AN1211" s="43" t="e">
        <f t="shared" si="634"/>
        <v>#VALUE!</v>
      </c>
      <c r="AO1211" s="57" t="s">
        <v>1162</v>
      </c>
      <c r="AT1211" s="2">
        <f t="shared" si="635"/>
        <v>9</v>
      </c>
      <c r="AU1211" s="45" t="e">
        <f t="shared" si="636"/>
        <v>#VALUE!</v>
      </c>
      <c r="AV1211" s="45" t="e">
        <f t="shared" si="637"/>
        <v>#VALUE!</v>
      </c>
      <c r="AW1211" s="45" t="e">
        <f t="shared" si="638"/>
        <v>#VALUE!</v>
      </c>
      <c r="AX1211" s="45">
        <f t="shared" si="639"/>
        <v>2.7527857379141567</v>
      </c>
      <c r="AY1211" s="45" t="e">
        <f t="shared" si="640"/>
        <v>#VALUE!</v>
      </c>
      <c r="AZ1211" s="45" t="e">
        <f t="shared" si="641"/>
        <v>#VALUE!</v>
      </c>
      <c r="BA1211" s="45" t="e">
        <f t="shared" si="642"/>
        <v>#VALUE!</v>
      </c>
      <c r="BB1211" s="45" t="e">
        <f t="shared" si="643"/>
        <v>#NUM!</v>
      </c>
      <c r="BC1211" s="45" t="e">
        <f t="shared" si="644"/>
        <v>#VALUE!</v>
      </c>
      <c r="BD1211" s="45">
        <f t="shared" si="645"/>
        <v>1.2395497208404731</v>
      </c>
      <c r="BE1211" s="45" t="e">
        <f t="shared" si="646"/>
        <v>#VALUE!</v>
      </c>
      <c r="BF1211" s="45" t="e">
        <f t="shared" si="647"/>
        <v>#VALUE!</v>
      </c>
      <c r="BG1211" s="45" t="e">
        <f t="shared" si="648"/>
        <v>#VALUE!</v>
      </c>
      <c r="BH1211" s="45" t="e">
        <f t="shared" si="649"/>
        <v>#NUM!</v>
      </c>
      <c r="BI1211" s="43" t="e">
        <f t="shared" si="650"/>
        <v>#VALUE!</v>
      </c>
      <c r="BL1211" s="20"/>
      <c r="BM1211" s="50"/>
      <c r="BN1211" s="50"/>
      <c r="BO1211" s="50"/>
      <c r="BP1211" s="50"/>
      <c r="BQ1211" s="50"/>
      <c r="BR1211" s="50"/>
      <c r="BU1211" s="50"/>
      <c r="BV1211" s="50"/>
      <c r="BW1211" s="50"/>
      <c r="BX1211" s="50"/>
      <c r="BY1211" s="50"/>
      <c r="BZ1211" s="50"/>
      <c r="CA1211" s="50" t="s">
        <v>22</v>
      </c>
      <c r="CE1211" s="50"/>
      <c r="CF1211" s="50"/>
      <c r="CG1211" s="50"/>
      <c r="CH1211" s="50"/>
      <c r="CI1211" s="50" t="str">
        <f t="shared" si="659"/>
        <v>Not Reported/ Can not calculate</v>
      </c>
      <c r="CJ1211" s="50" t="e">
        <f t="shared" si="660"/>
        <v>#VALUE!</v>
      </c>
      <c r="CL1211" s="9" t="s">
        <v>1269</v>
      </c>
      <c r="CM1211" s="9" t="s">
        <v>1284</v>
      </c>
      <c r="CN1211" s="55" t="s">
        <v>1284</v>
      </c>
      <c r="CO1211" s="9" t="s">
        <v>1284</v>
      </c>
    </row>
    <row r="1212" spans="1:93" x14ac:dyDescent="0.25">
      <c r="A1212" s="18" t="s">
        <v>141</v>
      </c>
      <c r="B1212" s="41">
        <v>6.2466264438820543E-2</v>
      </c>
      <c r="C1212" s="41" t="s">
        <v>22</v>
      </c>
      <c r="D1212" s="41" t="s">
        <v>22</v>
      </c>
      <c r="E1212" s="41" t="s">
        <v>22</v>
      </c>
      <c r="F1212" s="18" t="s">
        <v>22</v>
      </c>
      <c r="G1212" s="18" t="s">
        <v>22</v>
      </c>
      <c r="H1212" s="18" t="s">
        <v>22</v>
      </c>
      <c r="I1212" s="18" t="s">
        <v>22</v>
      </c>
      <c r="J1212" s="41">
        <v>1.5896980461811701</v>
      </c>
      <c r="K1212" s="18">
        <v>532</v>
      </c>
      <c r="L1212" s="41">
        <f t="shared" ref="L1212:L1217" si="661">IF((10^-12)*J1212*K1212^4=0,"",(10^-12)*J1212*K1212^4)</f>
        <v>0.12733892219452914</v>
      </c>
      <c r="M1212" t="s">
        <v>23</v>
      </c>
      <c r="N1212" s="41" t="s">
        <v>22</v>
      </c>
      <c r="O1212" s="41" t="s">
        <v>22</v>
      </c>
      <c r="P1212" s="41" t="s">
        <v>22</v>
      </c>
      <c r="R1212" s="41" t="s">
        <v>22</v>
      </c>
      <c r="S1212" s="41" t="s">
        <v>22</v>
      </c>
      <c r="T1212" s="41">
        <v>7</v>
      </c>
      <c r="U1212" s="41">
        <v>7</v>
      </c>
      <c r="V1212" s="18">
        <v>20200508</v>
      </c>
      <c r="W1212" s="9" t="s">
        <v>152</v>
      </c>
      <c r="X1212" s="18">
        <v>2020</v>
      </c>
      <c r="Y1212" s="18" t="s">
        <v>26</v>
      </c>
      <c r="Z1212" s="18" t="s">
        <v>32</v>
      </c>
      <c r="AC1212" s="18" t="s">
        <v>514</v>
      </c>
      <c r="AD1212" s="41" t="s">
        <v>22</v>
      </c>
      <c r="AE1212" s="41">
        <v>1580.9</v>
      </c>
      <c r="AF1212" s="41" t="s">
        <v>22</v>
      </c>
      <c r="AG1212" s="41" t="s">
        <v>22</v>
      </c>
      <c r="AH1212" s="41">
        <v>2.3279606767261098</v>
      </c>
      <c r="AI1212" s="41">
        <v>2.2258965314520802</v>
      </c>
      <c r="AJ1212" s="41">
        <v>1.9707361682670299</v>
      </c>
      <c r="AK1212" s="41">
        <v>1.30731922398588</v>
      </c>
      <c r="AL1212" s="41">
        <v>1.0011267881638199</v>
      </c>
      <c r="AM1212" s="43">
        <f t="shared" si="633"/>
        <v>0.44976339826125133</v>
      </c>
      <c r="AN1212" s="43">
        <f t="shared" si="634"/>
        <v>0.50799635399403176</v>
      </c>
      <c r="AO1212" s="19" t="s">
        <v>118</v>
      </c>
      <c r="AT1212" s="2">
        <f t="shared" si="635"/>
        <v>7</v>
      </c>
      <c r="AU1212" s="45">
        <f t="shared" si="636"/>
        <v>-1.2043544646336946</v>
      </c>
      <c r="AV1212" s="45" t="e">
        <f t="shared" si="637"/>
        <v>#VALUE!</v>
      </c>
      <c r="AW1212" s="45" t="e">
        <f t="shared" si="638"/>
        <v>#VALUE!</v>
      </c>
      <c r="AX1212" s="45" t="e">
        <f t="shared" si="639"/>
        <v>#VALUE!</v>
      </c>
      <c r="AY1212" s="45" t="e">
        <f t="shared" si="640"/>
        <v>#VALUE!</v>
      </c>
      <c r="AZ1212" s="45" t="e">
        <f t="shared" si="641"/>
        <v>#VALUE!</v>
      </c>
      <c r="BA1212" s="45">
        <f t="shared" si="642"/>
        <v>0.20131464046456513</v>
      </c>
      <c r="BB1212" s="45">
        <f t="shared" si="643"/>
        <v>-0.89503883035524212</v>
      </c>
      <c r="BC1212" s="45">
        <f t="shared" si="644"/>
        <v>0.84509804001425681</v>
      </c>
      <c r="BD1212" s="45" t="e">
        <f t="shared" si="645"/>
        <v>#VALUE!</v>
      </c>
      <c r="BE1212" s="45" t="e">
        <f t="shared" si="646"/>
        <v>#VALUE!</v>
      </c>
      <c r="BF1212" s="45">
        <f t="shared" si="647"/>
        <v>-0.34701589034092567</v>
      </c>
      <c r="BG1212" s="45">
        <f t="shared" si="648"/>
        <v>-0.29413940473567785</v>
      </c>
      <c r="BH1212" s="45" t="e">
        <f t="shared" si="649"/>
        <v>#NUM!</v>
      </c>
      <c r="BI1212" s="43" t="e">
        <f t="shared" si="650"/>
        <v>#VALUE!</v>
      </c>
      <c r="CA1212" s="41" t="s">
        <v>22</v>
      </c>
      <c r="CC1212" t="s">
        <v>22</v>
      </c>
      <c r="CE1212" s="41" t="s">
        <v>22</v>
      </c>
      <c r="CF1212" s="41" t="s">
        <v>22</v>
      </c>
      <c r="CG1212" s="41" t="e">
        <f t="shared" ref="CG1212:CG1218" si="662">AD1212*1000</f>
        <v>#VALUE!</v>
      </c>
      <c r="CH1212" s="41" t="e">
        <f t="shared" ref="CH1212:CH1218" si="663">LOG10(CG1212)</f>
        <v>#VALUE!</v>
      </c>
      <c r="CI1212" s="41">
        <f t="shared" ref="CI1212:CI1218" si="664">IF(ISNUMBER(CG1212),CG1212,U1212)</f>
        <v>7</v>
      </c>
      <c r="CJ1212" s="41">
        <f t="shared" ref="CJ1212:CJ1218" si="665">LOG10(CI1212)</f>
        <v>0.84509804001425681</v>
      </c>
      <c r="CL1212" s="9" t="s">
        <v>1269</v>
      </c>
      <c r="CM1212" s="18" t="s">
        <v>1285</v>
      </c>
      <c r="CN1212" s="54" t="s">
        <v>1284</v>
      </c>
      <c r="CO1212" s="18" t="s">
        <v>1284</v>
      </c>
    </row>
    <row r="1213" spans="1:93" x14ac:dyDescent="0.25">
      <c r="A1213" s="18" t="s">
        <v>141</v>
      </c>
      <c r="B1213" s="41">
        <v>7.1175483734295802E-2</v>
      </c>
      <c r="C1213" s="41" t="s">
        <v>22</v>
      </c>
      <c r="D1213" s="41" t="s">
        <v>22</v>
      </c>
      <c r="E1213" s="41" t="s">
        <v>22</v>
      </c>
      <c r="F1213" s="18" t="s">
        <v>22</v>
      </c>
      <c r="G1213" s="18" t="s">
        <v>22</v>
      </c>
      <c r="H1213" s="18" t="s">
        <v>22</v>
      </c>
      <c r="I1213" s="18" t="s">
        <v>22</v>
      </c>
      <c r="J1213" s="41">
        <v>4.2007104795737096</v>
      </c>
      <c r="K1213" s="18">
        <v>532</v>
      </c>
      <c r="L1213" s="41">
        <f t="shared" si="661"/>
        <v>0.33648776646934264</v>
      </c>
      <c r="M1213" t="s">
        <v>23</v>
      </c>
      <c r="N1213" s="41" t="s">
        <v>22</v>
      </c>
      <c r="O1213" s="41" t="s">
        <v>22</v>
      </c>
      <c r="P1213" s="41" t="s">
        <v>22</v>
      </c>
      <c r="R1213" s="41" t="s">
        <v>22</v>
      </c>
      <c r="S1213" s="41" t="s">
        <v>22</v>
      </c>
      <c r="T1213" s="41">
        <v>7</v>
      </c>
      <c r="U1213" s="41">
        <v>7</v>
      </c>
      <c r="V1213" s="18">
        <v>20200508</v>
      </c>
      <c r="W1213" s="9" t="s">
        <v>616</v>
      </c>
      <c r="X1213" s="18">
        <v>2020</v>
      </c>
      <c r="Y1213" s="18" t="s">
        <v>26</v>
      </c>
      <c r="Z1213" s="18" t="s">
        <v>34</v>
      </c>
      <c r="AC1213" s="18" t="s">
        <v>514</v>
      </c>
      <c r="AD1213" s="41" t="s">
        <v>22</v>
      </c>
      <c r="AE1213" s="41">
        <v>1580.5</v>
      </c>
      <c r="AF1213" s="41" t="s">
        <v>22</v>
      </c>
      <c r="AG1213" s="41" t="s">
        <v>22</v>
      </c>
      <c r="AH1213" s="41" t="s">
        <v>22</v>
      </c>
      <c r="AI1213" s="41" t="s">
        <v>22</v>
      </c>
      <c r="AJ1213" s="41" t="s">
        <v>22</v>
      </c>
      <c r="AK1213" s="41" t="s">
        <v>22</v>
      </c>
      <c r="AL1213" s="41" t="s">
        <v>22</v>
      </c>
      <c r="AM1213" s="43" t="e">
        <f t="shared" si="633"/>
        <v>#VALUE!</v>
      </c>
      <c r="AN1213" s="43" t="e">
        <f t="shared" si="634"/>
        <v>#VALUE!</v>
      </c>
      <c r="AO1213" s="19" t="s">
        <v>118</v>
      </c>
      <c r="AT1213" s="2">
        <f t="shared" si="635"/>
        <v>7</v>
      </c>
      <c r="AU1213" s="45">
        <f t="shared" si="636"/>
        <v>-1.1476695725488124</v>
      </c>
      <c r="AV1213" s="45" t="e">
        <f t="shared" si="637"/>
        <v>#VALUE!</v>
      </c>
      <c r="AW1213" s="45" t="e">
        <f t="shared" si="638"/>
        <v>#VALUE!</v>
      </c>
      <c r="AX1213" s="45" t="e">
        <f t="shared" si="639"/>
        <v>#VALUE!</v>
      </c>
      <c r="AY1213" s="45" t="e">
        <f t="shared" si="640"/>
        <v>#VALUE!</v>
      </c>
      <c r="AZ1213" s="45" t="e">
        <f t="shared" si="641"/>
        <v>#VALUE!</v>
      </c>
      <c r="BA1213" s="45">
        <f t="shared" si="642"/>
        <v>0.62332275022248385</v>
      </c>
      <c r="BB1213" s="45">
        <f t="shared" si="643"/>
        <v>-0.47303072059732332</v>
      </c>
      <c r="BC1213" s="45">
        <f t="shared" si="644"/>
        <v>0.84509804001425681</v>
      </c>
      <c r="BD1213" s="45" t="e">
        <f t="shared" si="645"/>
        <v>#VALUE!</v>
      </c>
      <c r="BE1213" s="45" t="e">
        <f t="shared" si="646"/>
        <v>#VALUE!</v>
      </c>
      <c r="BF1213" s="45" t="e">
        <f t="shared" si="647"/>
        <v>#VALUE!</v>
      </c>
      <c r="BG1213" s="45" t="e">
        <f t="shared" si="648"/>
        <v>#VALUE!</v>
      </c>
      <c r="BH1213" s="45" t="e">
        <f t="shared" si="649"/>
        <v>#NUM!</v>
      </c>
      <c r="BI1213" s="43" t="e">
        <f t="shared" si="650"/>
        <v>#VALUE!</v>
      </c>
      <c r="CA1213" s="41" t="s">
        <v>22</v>
      </c>
      <c r="CC1213" t="s">
        <v>22</v>
      </c>
      <c r="CE1213" s="41" t="s">
        <v>22</v>
      </c>
      <c r="CF1213" s="41" t="s">
        <v>22</v>
      </c>
      <c r="CG1213" s="41" t="e">
        <f t="shared" si="662"/>
        <v>#VALUE!</v>
      </c>
      <c r="CH1213" s="41" t="e">
        <f t="shared" si="663"/>
        <v>#VALUE!</v>
      </c>
      <c r="CI1213" s="41">
        <f t="shared" si="664"/>
        <v>7</v>
      </c>
      <c r="CJ1213" s="41">
        <f t="shared" si="665"/>
        <v>0.84509804001425681</v>
      </c>
      <c r="CL1213" s="9" t="s">
        <v>1269</v>
      </c>
      <c r="CM1213" s="18" t="s">
        <v>1285</v>
      </c>
      <c r="CN1213" s="54" t="s">
        <v>1284</v>
      </c>
      <c r="CO1213" s="18" t="s">
        <v>1284</v>
      </c>
    </row>
    <row r="1214" spans="1:93" x14ac:dyDescent="0.25">
      <c r="A1214" s="18" t="s">
        <v>141</v>
      </c>
      <c r="B1214" s="41">
        <v>8.2895925441023061E-2</v>
      </c>
      <c r="C1214" s="41" t="s">
        <v>22</v>
      </c>
      <c r="D1214" s="41" t="s">
        <v>22</v>
      </c>
      <c r="E1214" s="41" t="s">
        <v>22</v>
      </c>
      <c r="F1214" s="18" t="s">
        <v>22</v>
      </c>
      <c r="G1214" s="18" t="s">
        <v>22</v>
      </c>
      <c r="H1214" s="18" t="s">
        <v>22</v>
      </c>
      <c r="I1214" s="18" t="s">
        <v>22</v>
      </c>
      <c r="J1214" s="41">
        <v>6.70515097690941</v>
      </c>
      <c r="K1214" s="18">
        <v>532</v>
      </c>
      <c r="L1214" s="41">
        <f t="shared" si="661"/>
        <v>0.53709992322273503</v>
      </c>
      <c r="M1214" t="s">
        <v>23</v>
      </c>
      <c r="N1214" s="41" t="s">
        <v>22</v>
      </c>
      <c r="O1214" s="41" t="s">
        <v>22</v>
      </c>
      <c r="P1214" s="41" t="s">
        <v>22</v>
      </c>
      <c r="R1214" s="41" t="s">
        <v>22</v>
      </c>
      <c r="S1214" s="41" t="s">
        <v>22</v>
      </c>
      <c r="T1214" s="41">
        <v>7</v>
      </c>
      <c r="U1214" s="41">
        <v>7</v>
      </c>
      <c r="V1214" s="18">
        <v>20200508</v>
      </c>
      <c r="W1214" s="9"/>
      <c r="X1214" s="18">
        <v>2020</v>
      </c>
      <c r="Y1214" s="18" t="s">
        <v>26</v>
      </c>
      <c r="Z1214" s="18" t="s">
        <v>34</v>
      </c>
      <c r="AC1214" s="18" t="s">
        <v>514</v>
      </c>
      <c r="AD1214" s="41" t="s">
        <v>22</v>
      </c>
      <c r="AE1214" s="41" t="s">
        <v>22</v>
      </c>
      <c r="AF1214" s="41" t="s">
        <v>22</v>
      </c>
      <c r="AG1214" s="41" t="s">
        <v>22</v>
      </c>
      <c r="AH1214" s="41" t="s">
        <v>22</v>
      </c>
      <c r="AI1214" s="41" t="s">
        <v>22</v>
      </c>
      <c r="AJ1214" s="41" t="s">
        <v>22</v>
      </c>
      <c r="AK1214" s="41" t="s">
        <v>22</v>
      </c>
      <c r="AL1214" s="41" t="s">
        <v>22</v>
      </c>
      <c r="AM1214" s="43" t="e">
        <f t="shared" si="633"/>
        <v>#VALUE!</v>
      </c>
      <c r="AN1214" s="43" t="e">
        <f t="shared" si="634"/>
        <v>#VALUE!</v>
      </c>
      <c r="AO1214" s="19" t="s">
        <v>118</v>
      </c>
      <c r="AT1214" s="2">
        <f t="shared" si="635"/>
        <v>7</v>
      </c>
      <c r="AU1214" s="45">
        <f t="shared" si="636"/>
        <v>-1.0814668156737126</v>
      </c>
      <c r="AV1214" s="45" t="e">
        <f t="shared" si="637"/>
        <v>#VALUE!</v>
      </c>
      <c r="AW1214" s="45" t="e">
        <f t="shared" si="638"/>
        <v>#VALUE!</v>
      </c>
      <c r="AX1214" s="45" t="e">
        <f t="shared" si="639"/>
        <v>#VALUE!</v>
      </c>
      <c r="AY1214" s="45" t="e">
        <f t="shared" si="640"/>
        <v>#VALUE!</v>
      </c>
      <c r="AZ1214" s="45" t="e">
        <f t="shared" si="641"/>
        <v>#VALUE!</v>
      </c>
      <c r="BA1214" s="45">
        <f t="shared" si="642"/>
        <v>0.82640856111386052</v>
      </c>
      <c r="BB1214" s="45">
        <f t="shared" si="643"/>
        <v>-0.2699449097059467</v>
      </c>
      <c r="BC1214" s="45">
        <f t="shared" si="644"/>
        <v>0.84509804001425681</v>
      </c>
      <c r="BD1214" s="45" t="e">
        <f t="shared" si="645"/>
        <v>#VALUE!</v>
      </c>
      <c r="BE1214" s="45" t="e">
        <f t="shared" si="646"/>
        <v>#VALUE!</v>
      </c>
      <c r="BF1214" s="45" t="e">
        <f t="shared" si="647"/>
        <v>#VALUE!</v>
      </c>
      <c r="BG1214" s="45" t="e">
        <f t="shared" si="648"/>
        <v>#VALUE!</v>
      </c>
      <c r="BH1214" s="45" t="e">
        <f t="shared" si="649"/>
        <v>#NUM!</v>
      </c>
      <c r="BI1214" s="43" t="e">
        <f t="shared" si="650"/>
        <v>#VALUE!</v>
      </c>
      <c r="CA1214" s="41" t="s">
        <v>22</v>
      </c>
      <c r="CC1214" t="s">
        <v>22</v>
      </c>
      <c r="CE1214" s="41" t="s">
        <v>22</v>
      </c>
      <c r="CF1214" s="41" t="s">
        <v>22</v>
      </c>
      <c r="CG1214" s="41" t="e">
        <f t="shared" si="662"/>
        <v>#VALUE!</v>
      </c>
      <c r="CH1214" s="41" t="e">
        <f t="shared" si="663"/>
        <v>#VALUE!</v>
      </c>
      <c r="CI1214" s="41">
        <f t="shared" si="664"/>
        <v>7</v>
      </c>
      <c r="CJ1214" s="41">
        <f t="shared" si="665"/>
        <v>0.84509804001425681</v>
      </c>
      <c r="CL1214" s="9" t="s">
        <v>1269</v>
      </c>
      <c r="CM1214" s="18" t="s">
        <v>1285</v>
      </c>
      <c r="CN1214" s="54" t="s">
        <v>1284</v>
      </c>
      <c r="CO1214" s="18" t="s">
        <v>1284</v>
      </c>
    </row>
    <row r="1215" spans="1:93" x14ac:dyDescent="0.25">
      <c r="A1215" s="18" t="s">
        <v>141</v>
      </c>
      <c r="B1215" s="41">
        <v>9.0299452073797221E-2</v>
      </c>
      <c r="C1215" s="41" t="s">
        <v>22</v>
      </c>
      <c r="D1215" s="41" t="s">
        <v>22</v>
      </c>
      <c r="E1215" s="41" t="s">
        <v>22</v>
      </c>
      <c r="F1215" s="18" t="s">
        <v>22</v>
      </c>
      <c r="G1215" s="18" t="s">
        <v>22</v>
      </c>
      <c r="H1215" s="18" t="s">
        <v>22</v>
      </c>
      <c r="I1215" s="18" t="s">
        <v>22</v>
      </c>
      <c r="J1215" s="41">
        <v>8.7300177619893393</v>
      </c>
      <c r="K1215" s="18">
        <v>532</v>
      </c>
      <c r="L1215" s="41">
        <f t="shared" si="661"/>
        <v>0.69929698612973323</v>
      </c>
      <c r="M1215" t="s">
        <v>23</v>
      </c>
      <c r="N1215" s="41" t="s">
        <v>22</v>
      </c>
      <c r="O1215" s="41" t="s">
        <v>22</v>
      </c>
      <c r="P1215" s="41" t="s">
        <v>22</v>
      </c>
      <c r="R1215" s="41" t="s">
        <v>22</v>
      </c>
      <c r="S1215" s="41" t="s">
        <v>22</v>
      </c>
      <c r="T1215" s="41">
        <v>7</v>
      </c>
      <c r="U1215" s="41">
        <v>7</v>
      </c>
      <c r="V1215" s="18">
        <v>20200508</v>
      </c>
      <c r="W1215" s="9" t="s">
        <v>615</v>
      </c>
      <c r="X1215" s="18">
        <v>2020</v>
      </c>
      <c r="Y1215" s="18" t="s">
        <v>26</v>
      </c>
      <c r="Z1215" s="18" t="s">
        <v>34</v>
      </c>
      <c r="AC1215" s="18" t="s">
        <v>514</v>
      </c>
      <c r="AD1215" s="41" t="s">
        <v>22</v>
      </c>
      <c r="AE1215" s="41">
        <v>1580.2</v>
      </c>
      <c r="AF1215" s="41" t="s">
        <v>22</v>
      </c>
      <c r="AG1215" s="41" t="s">
        <v>22</v>
      </c>
      <c r="AH1215" s="41">
        <v>4.6499199817100996</v>
      </c>
      <c r="AI1215" s="41">
        <v>3.9099549284734398</v>
      </c>
      <c r="AJ1215" s="41">
        <v>3.1444738389182798</v>
      </c>
      <c r="AK1215" s="41">
        <v>1.91970409563002</v>
      </c>
      <c r="AL1215" s="41">
        <v>1.0011267881638199</v>
      </c>
      <c r="AM1215" s="43">
        <f t="shared" si="633"/>
        <v>0.25604560831975853</v>
      </c>
      <c r="AN1215" s="43">
        <f t="shared" si="634"/>
        <v>0.31837656773389289</v>
      </c>
      <c r="AO1215" s="19" t="s">
        <v>118</v>
      </c>
      <c r="AT1215" s="2">
        <f t="shared" si="635"/>
        <v>7</v>
      </c>
      <c r="AU1215" s="45">
        <f t="shared" si="636"/>
        <v>-1.0443148849251245</v>
      </c>
      <c r="AV1215" s="45" t="e">
        <f t="shared" si="637"/>
        <v>#VALUE!</v>
      </c>
      <c r="AW1215" s="45" t="e">
        <f t="shared" si="638"/>
        <v>#VALUE!</v>
      </c>
      <c r="AX1215" s="45" t="e">
        <f t="shared" si="639"/>
        <v>#VALUE!</v>
      </c>
      <c r="AY1215" s="45" t="e">
        <f t="shared" si="640"/>
        <v>#VALUE!</v>
      </c>
      <c r="AZ1215" s="45" t="e">
        <f t="shared" si="641"/>
        <v>#VALUE!</v>
      </c>
      <c r="BA1215" s="45">
        <f t="shared" si="642"/>
        <v>0.94101512731680803</v>
      </c>
      <c r="BB1215" s="45">
        <f t="shared" si="643"/>
        <v>-0.15533834350299927</v>
      </c>
      <c r="BC1215" s="45">
        <f t="shared" si="644"/>
        <v>0.84509804001425681</v>
      </c>
      <c r="BD1215" s="45" t="e">
        <f t="shared" si="645"/>
        <v>#VALUE!</v>
      </c>
      <c r="BE1215" s="45" t="e">
        <f t="shared" si="646"/>
        <v>#VALUE!</v>
      </c>
      <c r="BF1215" s="45">
        <f t="shared" si="647"/>
        <v>-0.59168266876085585</v>
      </c>
      <c r="BG1215" s="45">
        <f t="shared" si="648"/>
        <v>-0.49705890349200355</v>
      </c>
      <c r="BH1215" s="45" t="e">
        <f t="shared" si="649"/>
        <v>#NUM!</v>
      </c>
      <c r="BI1215" s="43" t="e">
        <f t="shared" si="650"/>
        <v>#VALUE!</v>
      </c>
      <c r="CA1215" s="41" t="s">
        <v>22</v>
      </c>
      <c r="CC1215" t="s">
        <v>22</v>
      </c>
      <c r="CE1215" s="41" t="s">
        <v>22</v>
      </c>
      <c r="CF1215" s="41" t="s">
        <v>22</v>
      </c>
      <c r="CG1215" s="41" t="e">
        <f t="shared" si="662"/>
        <v>#VALUE!</v>
      </c>
      <c r="CH1215" s="41" t="e">
        <f t="shared" si="663"/>
        <v>#VALUE!</v>
      </c>
      <c r="CI1215" s="41">
        <f t="shared" si="664"/>
        <v>7</v>
      </c>
      <c r="CJ1215" s="41">
        <f t="shared" si="665"/>
        <v>0.84509804001425681</v>
      </c>
      <c r="CL1215" s="9" t="s">
        <v>1269</v>
      </c>
      <c r="CM1215" s="18" t="s">
        <v>1285</v>
      </c>
      <c r="CN1215" s="54" t="s">
        <v>1284</v>
      </c>
      <c r="CO1215" s="18" t="s">
        <v>1284</v>
      </c>
    </row>
    <row r="1216" spans="1:93" x14ac:dyDescent="0.25">
      <c r="A1216" s="18" t="s">
        <v>141</v>
      </c>
      <c r="B1216" s="41">
        <v>0.11475491114220546</v>
      </c>
      <c r="C1216" s="41" t="s">
        <v>22</v>
      </c>
      <c r="D1216" s="41" t="s">
        <v>22</v>
      </c>
      <c r="E1216" s="41" t="s">
        <v>22</v>
      </c>
      <c r="F1216" s="18" t="s">
        <v>22</v>
      </c>
      <c r="G1216" s="18" t="s">
        <v>22</v>
      </c>
      <c r="H1216" t="s">
        <v>22</v>
      </c>
      <c r="I1216" s="18" t="s">
        <v>22</v>
      </c>
      <c r="J1216" s="41">
        <v>12.122557726465301</v>
      </c>
      <c r="K1216" s="18">
        <v>532</v>
      </c>
      <c r="L1216" s="41">
        <f t="shared" si="661"/>
        <v>0.97104820556162896</v>
      </c>
      <c r="M1216" s="18" t="s">
        <v>23</v>
      </c>
      <c r="N1216" s="41" t="s">
        <v>22</v>
      </c>
      <c r="O1216" s="41" t="s">
        <v>22</v>
      </c>
      <c r="P1216" s="41" t="s">
        <v>22</v>
      </c>
      <c r="R1216" s="41" t="s">
        <v>22</v>
      </c>
      <c r="S1216" s="41" t="s">
        <v>22</v>
      </c>
      <c r="T1216" s="41">
        <v>7</v>
      </c>
      <c r="U1216" s="41">
        <v>7</v>
      </c>
      <c r="V1216" s="18">
        <v>20200508</v>
      </c>
      <c r="W1216" s="9" t="s">
        <v>587</v>
      </c>
      <c r="X1216" s="18">
        <v>2020</v>
      </c>
      <c r="Y1216" s="18" t="s">
        <v>26</v>
      </c>
      <c r="Z1216" s="18" t="s">
        <v>34</v>
      </c>
      <c r="AC1216" s="18" t="s">
        <v>514</v>
      </c>
      <c r="AD1216" s="41" t="s">
        <v>22</v>
      </c>
      <c r="AE1216" s="41">
        <v>1577.6</v>
      </c>
      <c r="AF1216" s="41" t="s">
        <v>22</v>
      </c>
      <c r="AG1216" s="41" t="s">
        <v>22</v>
      </c>
      <c r="AH1216" s="41" t="s">
        <v>22</v>
      </c>
      <c r="AI1216" s="41" t="s">
        <v>22</v>
      </c>
      <c r="AJ1216" s="41" t="s">
        <v>22</v>
      </c>
      <c r="AK1216" s="41" t="s">
        <v>22</v>
      </c>
      <c r="AL1216" s="41" t="s">
        <v>22</v>
      </c>
      <c r="AM1216" s="43" t="e">
        <f t="shared" si="633"/>
        <v>#VALUE!</v>
      </c>
      <c r="AN1216" s="43" t="e">
        <f t="shared" si="634"/>
        <v>#VALUE!</v>
      </c>
      <c r="AO1216" s="19" t="s">
        <v>118</v>
      </c>
      <c r="AT1216" s="2">
        <f t="shared" si="635"/>
        <v>7</v>
      </c>
      <c r="AU1216" s="45">
        <f t="shared" si="636"/>
        <v>-0.94022871898182303</v>
      </c>
      <c r="AV1216" s="45" t="e">
        <f t="shared" si="637"/>
        <v>#VALUE!</v>
      </c>
      <c r="AW1216" s="45" t="e">
        <f t="shared" si="638"/>
        <v>#VALUE!</v>
      </c>
      <c r="AX1216" s="45" t="e">
        <f t="shared" si="639"/>
        <v>#VALUE!</v>
      </c>
      <c r="AY1216" s="45" t="e">
        <f t="shared" si="640"/>
        <v>#VALUE!</v>
      </c>
      <c r="AZ1216" s="45" t="e">
        <f t="shared" si="641"/>
        <v>#VALUE!</v>
      </c>
      <c r="BA1216" s="45">
        <f t="shared" si="642"/>
        <v>1.0835942608614451</v>
      </c>
      <c r="BB1216" s="45">
        <f t="shared" si="643"/>
        <v>-1.2759209958362151E-2</v>
      </c>
      <c r="BC1216" s="45">
        <f t="shared" si="644"/>
        <v>0.84509804001425681</v>
      </c>
      <c r="BD1216" s="45" t="e">
        <f t="shared" si="645"/>
        <v>#VALUE!</v>
      </c>
      <c r="BE1216" s="45" t="e">
        <f t="shared" si="646"/>
        <v>#VALUE!</v>
      </c>
      <c r="BF1216" s="45" t="e">
        <f t="shared" si="647"/>
        <v>#VALUE!</v>
      </c>
      <c r="BG1216" s="45" t="e">
        <f t="shared" si="648"/>
        <v>#VALUE!</v>
      </c>
      <c r="BH1216" s="45" t="e">
        <f t="shared" si="649"/>
        <v>#NUM!</v>
      </c>
      <c r="BI1216" s="43" t="e">
        <f t="shared" si="650"/>
        <v>#VALUE!</v>
      </c>
      <c r="CA1216" s="41" t="s">
        <v>22</v>
      </c>
      <c r="CC1216" t="s">
        <v>22</v>
      </c>
      <c r="CE1216" s="41" t="s">
        <v>22</v>
      </c>
      <c r="CF1216" s="41" t="s">
        <v>22</v>
      </c>
      <c r="CG1216" s="41" t="e">
        <f t="shared" si="662"/>
        <v>#VALUE!</v>
      </c>
      <c r="CH1216" s="41" t="e">
        <f t="shared" si="663"/>
        <v>#VALUE!</v>
      </c>
      <c r="CI1216" s="41">
        <f t="shared" si="664"/>
        <v>7</v>
      </c>
      <c r="CJ1216" s="41">
        <f t="shared" si="665"/>
        <v>0.84509804001425681</v>
      </c>
      <c r="CL1216" s="9" t="s">
        <v>1269</v>
      </c>
      <c r="CM1216" s="18" t="s">
        <v>1285</v>
      </c>
      <c r="CN1216" s="54" t="s">
        <v>1284</v>
      </c>
      <c r="CO1216" s="18" t="s">
        <v>1284</v>
      </c>
    </row>
    <row r="1217" spans="1:93" x14ac:dyDescent="0.25">
      <c r="A1217" s="18" t="s">
        <v>141</v>
      </c>
      <c r="B1217" s="41">
        <v>0.1293891114630889</v>
      </c>
      <c r="C1217" s="41" t="s">
        <v>22</v>
      </c>
      <c r="D1217" s="41" t="s">
        <v>22</v>
      </c>
      <c r="E1217" s="41" t="s">
        <v>22</v>
      </c>
      <c r="F1217" s="18" t="s">
        <v>22</v>
      </c>
      <c r="G1217" s="18" t="s">
        <v>22</v>
      </c>
      <c r="H1217" s="18" t="s">
        <v>22</v>
      </c>
      <c r="I1217" s="18" t="s">
        <v>22</v>
      </c>
      <c r="J1217" s="41">
        <v>14.786856127886301</v>
      </c>
      <c r="K1217" s="18">
        <v>532</v>
      </c>
      <c r="L1217" s="41">
        <f t="shared" si="661"/>
        <v>1.1844653935971563</v>
      </c>
      <c r="M1217" s="18" t="s">
        <v>23</v>
      </c>
      <c r="N1217" s="41" t="s">
        <v>22</v>
      </c>
      <c r="O1217" s="41" t="s">
        <v>22</v>
      </c>
      <c r="P1217" s="41" t="s">
        <v>22</v>
      </c>
      <c r="R1217" s="41" t="s">
        <v>22</v>
      </c>
      <c r="S1217" s="41" t="s">
        <v>22</v>
      </c>
      <c r="T1217" s="41">
        <v>7</v>
      </c>
      <c r="U1217" s="41">
        <v>7</v>
      </c>
      <c r="V1217" s="18">
        <v>20200508</v>
      </c>
      <c r="W1217" s="9" t="s">
        <v>588</v>
      </c>
      <c r="X1217" s="18">
        <v>2020</v>
      </c>
      <c r="Y1217" s="18" t="s">
        <v>26</v>
      </c>
      <c r="Z1217" s="18" t="s">
        <v>34</v>
      </c>
      <c r="AC1217" s="18" t="s">
        <v>514</v>
      </c>
      <c r="AD1217" s="41" t="s">
        <v>22</v>
      </c>
      <c r="AE1217" s="41">
        <v>1576.7</v>
      </c>
      <c r="AF1217" s="41" t="s">
        <v>22</v>
      </c>
      <c r="AG1217" s="41" t="s">
        <v>22</v>
      </c>
      <c r="AH1217" s="41">
        <v>24.629000000000001</v>
      </c>
      <c r="AI1217" s="41">
        <v>19.551285191717199</v>
      </c>
      <c r="AJ1217" s="41">
        <v>10.9013488797439</v>
      </c>
      <c r="AK1217" s="41">
        <v>4.0120190737474601</v>
      </c>
      <c r="AL1217" s="41">
        <v>1.0011267881638199</v>
      </c>
      <c r="AM1217" s="43">
        <f t="shared" si="633"/>
        <v>5.1205165202538303E-2</v>
      </c>
      <c r="AN1217" s="43">
        <f t="shared" si="634"/>
        <v>9.1835129689688363E-2</v>
      </c>
      <c r="AO1217" s="19" t="s">
        <v>118</v>
      </c>
      <c r="AT1217" s="2">
        <f t="shared" si="635"/>
        <v>7</v>
      </c>
      <c r="AU1217" s="45">
        <f t="shared" si="636"/>
        <v>-0.88810226949780213</v>
      </c>
      <c r="AV1217" s="45" t="e">
        <f t="shared" si="637"/>
        <v>#VALUE!</v>
      </c>
      <c r="AW1217" s="45" t="e">
        <f t="shared" si="638"/>
        <v>#VALUE!</v>
      </c>
      <c r="AX1217" s="45" t="e">
        <f t="shared" si="639"/>
        <v>#VALUE!</v>
      </c>
      <c r="AY1217" s="45" t="e">
        <f t="shared" si="640"/>
        <v>#VALUE!</v>
      </c>
      <c r="AZ1217" s="45" t="e">
        <f t="shared" si="641"/>
        <v>#VALUE!</v>
      </c>
      <c r="BA1217" s="45">
        <f t="shared" si="642"/>
        <v>1.1698758473270106</v>
      </c>
      <c r="BB1217" s="45">
        <f t="shared" si="643"/>
        <v>7.3522376507203335E-2</v>
      </c>
      <c r="BC1217" s="45">
        <f t="shared" si="644"/>
        <v>0.84509804001425681</v>
      </c>
      <c r="BD1217" s="45" t="e">
        <f t="shared" si="645"/>
        <v>#VALUE!</v>
      </c>
      <c r="BE1217" s="45" t="e">
        <f t="shared" si="646"/>
        <v>#VALUE!</v>
      </c>
      <c r="BF1217" s="45">
        <f t="shared" si="647"/>
        <v>-1.2906862283636862</v>
      </c>
      <c r="BG1217" s="45">
        <f t="shared" si="648"/>
        <v>-1.0369911563592011</v>
      </c>
      <c r="BH1217" s="45" t="e">
        <f t="shared" si="649"/>
        <v>#NUM!</v>
      </c>
      <c r="BI1217" s="43" t="e">
        <f t="shared" si="650"/>
        <v>#VALUE!</v>
      </c>
      <c r="CA1217" s="41" t="s">
        <v>22</v>
      </c>
      <c r="CC1217" t="s">
        <v>22</v>
      </c>
      <c r="CE1217" s="41" t="s">
        <v>22</v>
      </c>
      <c r="CF1217" s="41" t="s">
        <v>22</v>
      </c>
      <c r="CG1217" s="41" t="e">
        <f t="shared" si="662"/>
        <v>#VALUE!</v>
      </c>
      <c r="CH1217" s="41" t="e">
        <f t="shared" si="663"/>
        <v>#VALUE!</v>
      </c>
      <c r="CI1217" s="41">
        <f t="shared" si="664"/>
        <v>7</v>
      </c>
      <c r="CJ1217" s="41">
        <f t="shared" si="665"/>
        <v>0.84509804001425681</v>
      </c>
      <c r="CL1217" s="9" t="s">
        <v>1269</v>
      </c>
      <c r="CM1217" s="18" t="s">
        <v>1285</v>
      </c>
      <c r="CN1217" s="54" t="s">
        <v>1284</v>
      </c>
      <c r="CO1217" s="18" t="s">
        <v>1284</v>
      </c>
    </row>
    <row r="1218" spans="1:93" x14ac:dyDescent="0.25">
      <c r="A1218" s="18" t="s">
        <v>141</v>
      </c>
      <c r="B1218" s="41">
        <v>0.10111223458038421</v>
      </c>
      <c r="C1218" s="41" t="s">
        <v>22</v>
      </c>
      <c r="D1218" s="41" t="s">
        <v>22</v>
      </c>
      <c r="E1218" s="41" t="s">
        <v>22</v>
      </c>
      <c r="F1218" s="18" t="s">
        <v>22</v>
      </c>
      <c r="G1218" s="18" t="s">
        <v>22</v>
      </c>
      <c r="H1218" s="18" t="s">
        <v>22</v>
      </c>
      <c r="I1218" s="18" t="s">
        <v>22</v>
      </c>
      <c r="J1218" s="41" t="s">
        <v>22</v>
      </c>
      <c r="K1218" s="18" t="s">
        <v>22</v>
      </c>
      <c r="L1218" s="41" t="s">
        <v>22</v>
      </c>
      <c r="M1218" s="18" t="s">
        <v>45</v>
      </c>
      <c r="N1218" s="41" t="s">
        <v>22</v>
      </c>
      <c r="O1218" s="41" t="s">
        <v>22</v>
      </c>
      <c r="P1218" s="41" t="s">
        <v>22</v>
      </c>
      <c r="R1218" s="41" t="s">
        <v>22</v>
      </c>
      <c r="S1218" s="41" t="s">
        <v>22</v>
      </c>
      <c r="T1218" s="41">
        <v>7</v>
      </c>
      <c r="U1218" s="41">
        <v>7</v>
      </c>
      <c r="V1218" s="18">
        <v>20200508</v>
      </c>
      <c r="W1218" s="21" t="s">
        <v>124</v>
      </c>
      <c r="X1218" s="18">
        <v>2020</v>
      </c>
      <c r="Y1218" s="18" t="s">
        <v>26</v>
      </c>
      <c r="Z1218" s="18" t="s">
        <v>119</v>
      </c>
      <c r="AA1218" t="s">
        <v>1007</v>
      </c>
      <c r="AB1218" s="41">
        <v>6.2466264438820543E-2</v>
      </c>
      <c r="AC1218" s="18" t="s">
        <v>514</v>
      </c>
      <c r="AD1218" s="41" t="s">
        <v>22</v>
      </c>
      <c r="AE1218" s="41" t="s">
        <v>22</v>
      </c>
      <c r="AF1218" s="41" t="s">
        <v>22</v>
      </c>
      <c r="AG1218" s="41" t="s">
        <v>22</v>
      </c>
      <c r="AH1218" s="41">
        <v>3.6462264150943399E-5</v>
      </c>
      <c r="AI1218" s="41">
        <v>3.37735849056603E-5</v>
      </c>
      <c r="AJ1218" s="41">
        <v>2.8962264150943399E-5</v>
      </c>
      <c r="AK1218" s="41">
        <v>1.7783018867924501E-5</v>
      </c>
      <c r="AL1218" s="41">
        <v>9.9999999999999907E-6</v>
      </c>
      <c r="AM1218" s="43">
        <f t="shared" ref="AM1218:AM1281" si="666">AL1218/AI1218</f>
        <v>0.29608938547486074</v>
      </c>
      <c r="AN1218" s="43">
        <f t="shared" ref="AN1218:AN1281" si="667">AL1218/AJ1218</f>
        <v>0.34527687296416903</v>
      </c>
      <c r="AO1218" s="19" t="s">
        <v>118</v>
      </c>
      <c r="AT1218" s="2">
        <f t="shared" ref="AT1218:AT1281" si="668">COUNTIF($AO$2:$AO$1400,AO1218)</f>
        <v>7</v>
      </c>
      <c r="AU1218" s="45">
        <f t="shared" ref="AU1218:AU1281" si="669">LOG10(B1218)</f>
        <v>-0.99519629159717948</v>
      </c>
      <c r="AV1218" s="45" t="e">
        <f t="shared" ref="AV1218:AV1281" si="670">LOG10(C1218)</f>
        <v>#VALUE!</v>
      </c>
      <c r="AW1218" s="45" t="e">
        <f t="shared" ref="AW1218:AW1281" si="671">LOG10(D1218)</f>
        <v>#VALUE!</v>
      </c>
      <c r="AX1218" s="45" t="e">
        <f t="shared" ref="AX1218:AX1281" si="672">LOG10(N1218)</f>
        <v>#VALUE!</v>
      </c>
      <c r="AY1218" s="45" t="e">
        <f t="shared" ref="AY1218:AY1281" si="673">LOG10(O1218)</f>
        <v>#VALUE!</v>
      </c>
      <c r="AZ1218" s="45" t="e">
        <f t="shared" ref="AZ1218:AZ1281" si="674">LOG10(P1218)</f>
        <v>#VALUE!</v>
      </c>
      <c r="BA1218" s="45" t="e">
        <f t="shared" ref="BA1218:BA1281" si="675">LOG10(J1218)</f>
        <v>#VALUE!</v>
      </c>
      <c r="BB1218" s="45" t="e">
        <f t="shared" ref="BB1218:BB1281" si="676">LOG10(L1218)</f>
        <v>#VALUE!</v>
      </c>
      <c r="BC1218" s="45">
        <f t="shared" ref="BC1218:BC1281" si="677">LOG10(U1218)</f>
        <v>0.84509804001425681</v>
      </c>
      <c r="BD1218" s="45" t="e">
        <f t="shared" ref="BD1218:BD1281" si="678">LOG10(AD1218)</f>
        <v>#VALUE!</v>
      </c>
      <c r="BE1218" s="45" t="e">
        <f t="shared" ref="BE1218:BE1281" si="679">LOG10(AF1218)</f>
        <v>#VALUE!</v>
      </c>
      <c r="BF1218" s="45">
        <f t="shared" ref="BF1218:BF1281" si="680">LOG10(AM1218)</f>
        <v>-0.52857716137910349</v>
      </c>
      <c r="BG1218" s="45">
        <f t="shared" ref="BG1218:BG1281" si="681">LOG10(AN1218)</f>
        <v>-0.46183251021241667</v>
      </c>
      <c r="BH1218" s="45">
        <f t="shared" ref="BH1218:BH1281" si="682">LOG10(AB1218)</f>
        <v>-1.2043544646336946</v>
      </c>
      <c r="BI1218" s="43" t="e">
        <f t="shared" ref="BI1218:BI1281" si="683">LOG10(AF1218)</f>
        <v>#VALUE!</v>
      </c>
      <c r="CA1218" s="41" t="s">
        <v>22</v>
      </c>
      <c r="CC1218" t="s">
        <v>22</v>
      </c>
      <c r="CE1218" s="41" t="s">
        <v>22</v>
      </c>
      <c r="CF1218" s="41" t="s">
        <v>22</v>
      </c>
      <c r="CG1218" s="41" t="e">
        <f t="shared" si="662"/>
        <v>#VALUE!</v>
      </c>
      <c r="CH1218" s="41" t="e">
        <f t="shared" si="663"/>
        <v>#VALUE!</v>
      </c>
      <c r="CI1218" s="41">
        <f t="shared" si="664"/>
        <v>7</v>
      </c>
      <c r="CJ1218" s="41">
        <f t="shared" si="665"/>
        <v>0.84509804001425681</v>
      </c>
      <c r="CL1218" s="9" t="s">
        <v>1269</v>
      </c>
      <c r="CM1218" s="18" t="s">
        <v>1285</v>
      </c>
      <c r="CN1218" s="54" t="s">
        <v>1284</v>
      </c>
      <c r="CO1218" s="18" t="s">
        <v>1284</v>
      </c>
    </row>
    <row r="1219" spans="1:93" s="9" customFormat="1" x14ac:dyDescent="0.25">
      <c r="A1219" s="9" t="s">
        <v>266</v>
      </c>
      <c r="B1219" s="50">
        <f>70700*100*10^-6</f>
        <v>7.0699999999999994</v>
      </c>
      <c r="C1219" s="50" t="s">
        <v>22</v>
      </c>
      <c r="D1219" s="50" t="s">
        <v>22</v>
      </c>
      <c r="E1219" s="50" t="s">
        <v>22</v>
      </c>
      <c r="F1219" s="9" t="s">
        <v>22</v>
      </c>
      <c r="G1219" s="9" t="s">
        <v>22</v>
      </c>
      <c r="H1219" s="9" t="s">
        <v>22</v>
      </c>
      <c r="I1219" s="9" t="s">
        <v>22</v>
      </c>
      <c r="J1219" s="50">
        <f>0.008^-1</f>
        <v>125</v>
      </c>
      <c r="K1219" s="9">
        <v>532</v>
      </c>
      <c r="L1219" s="50">
        <f>IF((10^-12)*J1219*K1219^4=0,"",(10^-12)*J1219*K1219^4)</f>
        <v>10.012823072</v>
      </c>
      <c r="M1219" s="9" t="s">
        <v>45</v>
      </c>
      <c r="N1219" s="50">
        <v>279</v>
      </c>
      <c r="O1219" s="50" t="s">
        <v>22</v>
      </c>
      <c r="P1219" s="50" t="s">
        <v>22</v>
      </c>
      <c r="Q1219" s="50"/>
      <c r="R1219" s="50">
        <f>N1219*B1219</f>
        <v>1972.5299999999997</v>
      </c>
      <c r="S1219" s="50" t="s">
        <v>22</v>
      </c>
      <c r="T1219" s="50" t="s">
        <v>1065</v>
      </c>
      <c r="U1219" s="50">
        <v>1</v>
      </c>
      <c r="V1219" s="9">
        <v>20200715</v>
      </c>
      <c r="W1219" s="21"/>
      <c r="X1219" s="21">
        <v>2020</v>
      </c>
      <c r="Y1219" s="9" t="s">
        <v>143</v>
      </c>
      <c r="Z1219" s="9" t="s">
        <v>32</v>
      </c>
      <c r="AB1219" s="50"/>
      <c r="AC1219" s="9" t="s">
        <v>514</v>
      </c>
      <c r="AD1219" s="50">
        <v>23</v>
      </c>
      <c r="AE1219" s="50">
        <v>1590.1</v>
      </c>
      <c r="AF1219" s="50" t="s">
        <v>22</v>
      </c>
      <c r="AG1219" s="50" t="s">
        <v>22</v>
      </c>
      <c r="AH1219" s="50" t="s">
        <v>22</v>
      </c>
      <c r="AI1219" s="50" t="s">
        <v>22</v>
      </c>
      <c r="AJ1219" s="50" t="s">
        <v>22</v>
      </c>
      <c r="AK1219" s="50" t="s">
        <v>22</v>
      </c>
      <c r="AL1219" s="50" t="s">
        <v>22</v>
      </c>
      <c r="AM1219" s="43" t="e">
        <f t="shared" si="666"/>
        <v>#VALUE!</v>
      </c>
      <c r="AN1219" s="43" t="e">
        <f t="shared" si="667"/>
        <v>#VALUE!</v>
      </c>
      <c r="AO1219" s="21" t="s">
        <v>1066</v>
      </c>
      <c r="AT1219" s="2">
        <f t="shared" si="668"/>
        <v>2</v>
      </c>
      <c r="AU1219" s="45">
        <f t="shared" si="669"/>
        <v>0.84941941379689934</v>
      </c>
      <c r="AV1219" s="45" t="e">
        <f t="shared" si="670"/>
        <v>#VALUE!</v>
      </c>
      <c r="AW1219" s="45" t="e">
        <f t="shared" si="671"/>
        <v>#VALUE!</v>
      </c>
      <c r="AX1219" s="45">
        <f t="shared" si="672"/>
        <v>2.4456042032735974</v>
      </c>
      <c r="AY1219" s="45" t="e">
        <f t="shared" si="673"/>
        <v>#VALUE!</v>
      </c>
      <c r="AZ1219" s="45" t="e">
        <f t="shared" si="674"/>
        <v>#VALUE!</v>
      </c>
      <c r="BA1219" s="45">
        <f t="shared" si="675"/>
        <v>2.0969100130080562</v>
      </c>
      <c r="BB1219" s="45">
        <f t="shared" si="676"/>
        <v>1.0005565421882492</v>
      </c>
      <c r="BC1219" s="45">
        <f t="shared" si="677"/>
        <v>0</v>
      </c>
      <c r="BD1219" s="45">
        <f t="shared" si="678"/>
        <v>1.3617278360175928</v>
      </c>
      <c r="BE1219" s="45" t="e">
        <f t="shared" si="679"/>
        <v>#VALUE!</v>
      </c>
      <c r="BF1219" s="45" t="e">
        <f t="shared" si="680"/>
        <v>#VALUE!</v>
      </c>
      <c r="BG1219" s="45" t="e">
        <f t="shared" si="681"/>
        <v>#VALUE!</v>
      </c>
      <c r="BH1219" s="45" t="e">
        <f t="shared" si="682"/>
        <v>#NUM!</v>
      </c>
      <c r="BI1219" s="43" t="e">
        <f t="shared" si="683"/>
        <v>#VALUE!</v>
      </c>
      <c r="BL1219" s="20"/>
      <c r="BM1219" s="50"/>
      <c r="BN1219" s="50"/>
      <c r="BO1219" s="50"/>
      <c r="BP1219" s="50"/>
      <c r="BQ1219" s="50"/>
      <c r="BR1219" s="50"/>
      <c r="BU1219" s="50"/>
      <c r="BV1219" s="50"/>
      <c r="BW1219" s="50"/>
      <c r="BX1219" s="50"/>
      <c r="BY1219" s="50"/>
      <c r="BZ1219" s="50"/>
      <c r="CA1219" s="50" t="s">
        <v>22</v>
      </c>
      <c r="CE1219" s="50"/>
      <c r="CF1219" s="50"/>
      <c r="CG1219" s="50"/>
      <c r="CH1219" s="50"/>
      <c r="CI1219" s="50">
        <f t="shared" ref="CI1219:CI1220" si="684">IF(ISNUMBER(CG1219),CG1219,U1219)</f>
        <v>1</v>
      </c>
      <c r="CJ1219" s="50">
        <f t="shared" ref="CJ1219:CJ1220" si="685">LOG10(CI1219)</f>
        <v>0</v>
      </c>
      <c r="CL1219" s="9" t="s">
        <v>1269</v>
      </c>
      <c r="CM1219" s="9" t="s">
        <v>1285</v>
      </c>
      <c r="CN1219" s="55" t="s">
        <v>1284</v>
      </c>
      <c r="CO1219" s="9" t="s">
        <v>1284</v>
      </c>
    </row>
    <row r="1220" spans="1:93" s="9" customFormat="1" x14ac:dyDescent="0.25">
      <c r="A1220" s="9" t="s">
        <v>266</v>
      </c>
      <c r="B1220" s="50">
        <v>4.2705000000000002</v>
      </c>
      <c r="C1220" s="50" t="s">
        <v>22</v>
      </c>
      <c r="D1220" s="50" t="s">
        <v>22</v>
      </c>
      <c r="E1220" s="50" t="s">
        <v>22</v>
      </c>
      <c r="F1220" s="9" t="s">
        <v>22</v>
      </c>
      <c r="G1220" s="9" t="s">
        <v>22</v>
      </c>
      <c r="H1220" s="9" t="s">
        <v>22</v>
      </c>
      <c r="I1220" s="9" t="s">
        <v>22</v>
      </c>
      <c r="J1220" s="50">
        <f>0.008^-1</f>
        <v>125</v>
      </c>
      <c r="K1220" s="9">
        <v>532</v>
      </c>
      <c r="L1220" s="50">
        <f>IF((10^-12)*J1220*K1220^4=0,"",(10^-12)*J1220*K1220^4)</f>
        <v>10.012823072</v>
      </c>
      <c r="M1220" s="9" t="s">
        <v>45</v>
      </c>
      <c r="N1220" s="50">
        <v>256</v>
      </c>
      <c r="O1220" s="50" t="s">
        <v>22</v>
      </c>
      <c r="P1220" s="50" t="s">
        <v>22</v>
      </c>
      <c r="Q1220" s="50"/>
      <c r="R1220" s="50">
        <f>N1220*B1220</f>
        <v>1093.248</v>
      </c>
      <c r="S1220" s="50" t="s">
        <v>22</v>
      </c>
      <c r="T1220" s="50" t="s">
        <v>1065</v>
      </c>
      <c r="U1220" s="50">
        <v>1</v>
      </c>
      <c r="V1220" s="9">
        <v>20200715</v>
      </c>
      <c r="W1220" s="21"/>
      <c r="X1220" s="21">
        <v>2020</v>
      </c>
      <c r="Y1220" s="9" t="s">
        <v>143</v>
      </c>
      <c r="Z1220" s="9" t="s">
        <v>32</v>
      </c>
      <c r="AB1220" s="50"/>
      <c r="AC1220" s="9" t="s">
        <v>514</v>
      </c>
      <c r="AD1220" s="50">
        <v>23</v>
      </c>
      <c r="AE1220" s="50">
        <v>1590.1</v>
      </c>
      <c r="AF1220" s="50" t="s">
        <v>22</v>
      </c>
      <c r="AG1220" s="50" t="s">
        <v>22</v>
      </c>
      <c r="AH1220" s="50" t="s">
        <v>22</v>
      </c>
      <c r="AI1220" s="50" t="s">
        <v>22</v>
      </c>
      <c r="AJ1220" s="50" t="s">
        <v>22</v>
      </c>
      <c r="AK1220" s="50" t="s">
        <v>22</v>
      </c>
      <c r="AL1220" s="50" t="s">
        <v>22</v>
      </c>
      <c r="AM1220" s="43" t="e">
        <f t="shared" si="666"/>
        <v>#VALUE!</v>
      </c>
      <c r="AN1220" s="43" t="e">
        <f t="shared" si="667"/>
        <v>#VALUE!</v>
      </c>
      <c r="AO1220" s="21" t="s">
        <v>1066</v>
      </c>
      <c r="AT1220" s="2">
        <f t="shared" si="668"/>
        <v>2</v>
      </c>
      <c r="AU1220" s="45">
        <f t="shared" si="669"/>
        <v>0.63047872620263634</v>
      </c>
      <c r="AV1220" s="45" t="e">
        <f t="shared" si="670"/>
        <v>#VALUE!</v>
      </c>
      <c r="AW1220" s="45" t="e">
        <f t="shared" si="671"/>
        <v>#VALUE!</v>
      </c>
      <c r="AX1220" s="45">
        <f t="shared" si="672"/>
        <v>2.4082399653118496</v>
      </c>
      <c r="AY1220" s="45" t="e">
        <f t="shared" si="673"/>
        <v>#VALUE!</v>
      </c>
      <c r="AZ1220" s="45" t="e">
        <f t="shared" si="674"/>
        <v>#VALUE!</v>
      </c>
      <c r="BA1220" s="45">
        <f t="shared" si="675"/>
        <v>2.0969100130080562</v>
      </c>
      <c r="BB1220" s="45">
        <f t="shared" si="676"/>
        <v>1.0005565421882492</v>
      </c>
      <c r="BC1220" s="45">
        <f t="shared" si="677"/>
        <v>0</v>
      </c>
      <c r="BD1220" s="45">
        <f t="shared" si="678"/>
        <v>1.3617278360175928</v>
      </c>
      <c r="BE1220" s="45" t="e">
        <f t="shared" si="679"/>
        <v>#VALUE!</v>
      </c>
      <c r="BF1220" s="45" t="e">
        <f t="shared" si="680"/>
        <v>#VALUE!</v>
      </c>
      <c r="BG1220" s="45" t="e">
        <f t="shared" si="681"/>
        <v>#VALUE!</v>
      </c>
      <c r="BH1220" s="45" t="e">
        <f t="shared" si="682"/>
        <v>#NUM!</v>
      </c>
      <c r="BI1220" s="43" t="e">
        <f t="shared" si="683"/>
        <v>#VALUE!</v>
      </c>
      <c r="BL1220" s="20"/>
      <c r="BM1220" s="50"/>
      <c r="BN1220" s="50"/>
      <c r="BO1220" s="50"/>
      <c r="BP1220" s="50"/>
      <c r="BQ1220" s="50"/>
      <c r="BR1220" s="50"/>
      <c r="BU1220" s="50"/>
      <c r="BV1220" s="50"/>
      <c r="BW1220" s="50"/>
      <c r="BX1220" s="50"/>
      <c r="BY1220" s="50"/>
      <c r="BZ1220" s="50"/>
      <c r="CA1220" s="50" t="s">
        <v>22</v>
      </c>
      <c r="CE1220" s="50"/>
      <c r="CF1220" s="50"/>
      <c r="CG1220" s="50"/>
      <c r="CH1220" s="50"/>
      <c r="CI1220" s="50">
        <f t="shared" si="684"/>
        <v>1</v>
      </c>
      <c r="CJ1220" s="50">
        <f t="shared" si="685"/>
        <v>0</v>
      </c>
      <c r="CL1220" s="9" t="s">
        <v>1269</v>
      </c>
      <c r="CM1220" s="9" t="s">
        <v>1285</v>
      </c>
      <c r="CN1220" s="55" t="s">
        <v>1284</v>
      </c>
      <c r="CO1220" s="9" t="s">
        <v>1284</v>
      </c>
    </row>
    <row r="1221" spans="1:93" x14ac:dyDescent="0.25">
      <c r="A1221" s="18" t="s">
        <v>141</v>
      </c>
      <c r="B1221" s="41">
        <v>0.18</v>
      </c>
      <c r="C1221" s="41">
        <v>0.81</v>
      </c>
      <c r="D1221" s="41">
        <f>0.001*(B1221*10^6)/(C1221*0.001*100^3)</f>
        <v>0.22222222222222218</v>
      </c>
      <c r="E1221" s="41" t="s">
        <v>22</v>
      </c>
      <c r="F1221" s="18">
        <v>1.22</v>
      </c>
      <c r="G1221" s="18" t="s">
        <v>52</v>
      </c>
      <c r="H1221" s="18" t="s">
        <v>22</v>
      </c>
      <c r="I1221" s="18" t="s">
        <v>22</v>
      </c>
      <c r="K1221" s="18" t="s">
        <v>22</v>
      </c>
      <c r="M1221" s="18" t="s">
        <v>23</v>
      </c>
      <c r="N1221" s="41">
        <v>700</v>
      </c>
      <c r="O1221" s="41">
        <f>0.001*(N1221*10^6)/(C1221*100^3)</f>
        <v>0.86419753086419748</v>
      </c>
      <c r="P1221" s="41">
        <v>8.4</v>
      </c>
      <c r="R1221" s="41">
        <f>N1221*B1221</f>
        <v>126</v>
      </c>
      <c r="S1221" s="41">
        <f>O1221*D1221</f>
        <v>0.19204389574759942</v>
      </c>
      <c r="T1221" s="41" t="s">
        <v>22</v>
      </c>
      <c r="U1221" s="41" t="s">
        <v>22</v>
      </c>
      <c r="V1221" s="18">
        <v>20200521</v>
      </c>
      <c r="W1221" s="16" t="s">
        <v>32</v>
      </c>
      <c r="X1221" s="18">
        <v>2020</v>
      </c>
      <c r="Y1221" s="18" t="s">
        <v>76</v>
      </c>
      <c r="Z1221" t="s">
        <v>792</v>
      </c>
      <c r="AA1221" s="18" t="s">
        <v>22</v>
      </c>
      <c r="AB1221" s="41" t="s">
        <v>22</v>
      </c>
      <c r="AC1221" t="s">
        <v>514</v>
      </c>
      <c r="AD1221" s="41">
        <v>37</v>
      </c>
      <c r="AE1221" s="41">
        <v>1582.6</v>
      </c>
      <c r="AF1221" s="41">
        <v>45.7</v>
      </c>
      <c r="AG1221" s="41" t="s">
        <v>22</v>
      </c>
      <c r="AH1221" s="41" t="s">
        <v>22</v>
      </c>
      <c r="AI1221" s="41" t="s">
        <v>22</v>
      </c>
      <c r="AJ1221" s="41" t="s">
        <v>22</v>
      </c>
      <c r="AK1221" s="41" t="s">
        <v>22</v>
      </c>
      <c r="AL1221" s="41" t="s">
        <v>22</v>
      </c>
      <c r="AM1221" s="43" t="e">
        <f t="shared" si="666"/>
        <v>#VALUE!</v>
      </c>
      <c r="AN1221" s="43" t="e">
        <f t="shared" si="667"/>
        <v>#VALUE!</v>
      </c>
      <c r="AO1221" s="19" t="s">
        <v>794</v>
      </c>
      <c r="AT1221" s="2">
        <f t="shared" si="668"/>
        <v>2</v>
      </c>
      <c r="AU1221" s="45">
        <f t="shared" si="669"/>
        <v>-0.74472749489669399</v>
      </c>
      <c r="AV1221" s="45">
        <f t="shared" si="670"/>
        <v>-9.1514981121350217E-2</v>
      </c>
      <c r="AW1221" s="45">
        <f t="shared" si="671"/>
        <v>-0.65321251377534373</v>
      </c>
      <c r="AX1221" s="45">
        <f t="shared" si="672"/>
        <v>2.8450980400142569</v>
      </c>
      <c r="AY1221" s="45">
        <f t="shared" si="673"/>
        <v>-6.3386978864392943E-2</v>
      </c>
      <c r="AZ1221" s="45">
        <f t="shared" si="674"/>
        <v>0.9242792860618817</v>
      </c>
      <c r="BA1221" s="45" t="e">
        <f t="shared" si="675"/>
        <v>#NUM!</v>
      </c>
      <c r="BB1221" s="45" t="e">
        <f t="shared" si="676"/>
        <v>#NUM!</v>
      </c>
      <c r="BC1221" s="45" t="e">
        <f t="shared" si="677"/>
        <v>#VALUE!</v>
      </c>
      <c r="BD1221" s="45">
        <f t="shared" si="678"/>
        <v>1.568201724066995</v>
      </c>
      <c r="BE1221" s="45">
        <f t="shared" si="679"/>
        <v>1.6599162000698502</v>
      </c>
      <c r="BF1221" s="45" t="e">
        <f t="shared" si="680"/>
        <v>#VALUE!</v>
      </c>
      <c r="BG1221" s="45" t="e">
        <f t="shared" si="681"/>
        <v>#VALUE!</v>
      </c>
      <c r="BH1221" s="45" t="e">
        <f t="shared" si="682"/>
        <v>#VALUE!</v>
      </c>
      <c r="BI1221" s="43">
        <f t="shared" si="683"/>
        <v>1.6599162000698502</v>
      </c>
      <c r="CA1221" s="41" t="s">
        <v>22</v>
      </c>
      <c r="CC1221" t="s">
        <v>22</v>
      </c>
      <c r="CE1221" s="41" t="s">
        <v>22</v>
      </c>
      <c r="CF1221" s="41" t="s">
        <v>22</v>
      </c>
      <c r="CG1221" s="41">
        <f>AD1221*1000</f>
        <v>37000</v>
      </c>
      <c r="CH1221" s="41">
        <f>LOG10(CG1221)</f>
        <v>4.568201724066995</v>
      </c>
      <c r="CI1221" s="41">
        <f>IF(ISNUMBER(CG1221),CG1221,U1221)</f>
        <v>37000</v>
      </c>
      <c r="CJ1221" s="41">
        <f>LOG10(CI1221)</f>
        <v>4.568201724066995</v>
      </c>
      <c r="CL1221" s="9" t="s">
        <v>1269</v>
      </c>
      <c r="CM1221" s="18" t="s">
        <v>1283</v>
      </c>
      <c r="CN1221" s="54" t="s">
        <v>1284</v>
      </c>
      <c r="CO1221" s="18" t="s">
        <v>1284</v>
      </c>
    </row>
    <row r="1222" spans="1:93" x14ac:dyDescent="0.25">
      <c r="A1222" s="18" t="s">
        <v>141</v>
      </c>
      <c r="B1222" s="41">
        <v>0.33</v>
      </c>
      <c r="C1222" s="41">
        <v>1.28</v>
      </c>
      <c r="D1222" s="41">
        <f>0.001*(B1222*10^6)/(C1222*0.001*100^3)</f>
        <v>0.2578125</v>
      </c>
      <c r="E1222" s="41" t="s">
        <v>22</v>
      </c>
      <c r="F1222" s="18">
        <v>2.62</v>
      </c>
      <c r="G1222" s="18" t="s">
        <v>52</v>
      </c>
      <c r="H1222" s="18" t="s">
        <v>22</v>
      </c>
      <c r="I1222" s="18" t="s">
        <v>22</v>
      </c>
      <c r="K1222" s="18" t="s">
        <v>22</v>
      </c>
      <c r="M1222" s="18" t="s">
        <v>23</v>
      </c>
      <c r="N1222" s="41">
        <v>2330</v>
      </c>
      <c r="O1222" s="41">
        <f>0.001*(N1222*10^6)/(C1222*100^3)</f>
        <v>1.8203125</v>
      </c>
      <c r="P1222" s="41">
        <v>70.099999999999994</v>
      </c>
      <c r="R1222" s="41">
        <f>N1222*B1222</f>
        <v>768.90000000000009</v>
      </c>
      <c r="S1222" s="41">
        <f>O1222*D1222</f>
        <v>0.46929931640625</v>
      </c>
      <c r="T1222" s="41" t="s">
        <v>22</v>
      </c>
      <c r="U1222" s="41" t="s">
        <v>22</v>
      </c>
      <c r="V1222" s="18">
        <v>20200521</v>
      </c>
      <c r="W1222" s="16" t="s">
        <v>791</v>
      </c>
      <c r="X1222" s="18">
        <v>2020</v>
      </c>
      <c r="Y1222" s="18" t="s">
        <v>76</v>
      </c>
      <c r="Z1222" t="s">
        <v>793</v>
      </c>
      <c r="AA1222" s="18" t="s">
        <v>22</v>
      </c>
      <c r="AB1222" s="41" t="s">
        <v>22</v>
      </c>
      <c r="AC1222" s="18" t="s">
        <v>514</v>
      </c>
      <c r="AD1222" s="41">
        <v>30</v>
      </c>
      <c r="AE1222" s="41">
        <v>1580.5</v>
      </c>
      <c r="AF1222" s="41">
        <v>98.1</v>
      </c>
      <c r="AG1222" s="41" t="s">
        <v>22</v>
      </c>
      <c r="AH1222" s="41" t="s">
        <v>22</v>
      </c>
      <c r="AI1222" s="41" t="s">
        <v>22</v>
      </c>
      <c r="AJ1222" s="41" t="s">
        <v>22</v>
      </c>
      <c r="AK1222" s="41" t="s">
        <v>22</v>
      </c>
      <c r="AL1222" s="41" t="s">
        <v>22</v>
      </c>
      <c r="AM1222" s="43" t="e">
        <f t="shared" si="666"/>
        <v>#VALUE!</v>
      </c>
      <c r="AN1222" s="43" t="e">
        <f t="shared" si="667"/>
        <v>#VALUE!</v>
      </c>
      <c r="AO1222" s="19" t="s">
        <v>794</v>
      </c>
      <c r="AT1222" s="2">
        <f t="shared" si="668"/>
        <v>2</v>
      </c>
      <c r="AU1222" s="45">
        <f t="shared" si="669"/>
        <v>-0.48148606012211248</v>
      </c>
      <c r="AV1222" s="45">
        <f t="shared" si="670"/>
        <v>0.10720996964786837</v>
      </c>
      <c r="AW1222" s="45">
        <f t="shared" si="671"/>
        <v>-0.58869602976998092</v>
      </c>
      <c r="AX1222" s="45">
        <f t="shared" si="672"/>
        <v>3.3673559210260189</v>
      </c>
      <c r="AY1222" s="45">
        <f t="shared" si="673"/>
        <v>0.26014595137815061</v>
      </c>
      <c r="AZ1222" s="45">
        <f t="shared" si="674"/>
        <v>1.8457180179666586</v>
      </c>
      <c r="BA1222" s="45" t="e">
        <f t="shared" si="675"/>
        <v>#NUM!</v>
      </c>
      <c r="BB1222" s="45" t="e">
        <f t="shared" si="676"/>
        <v>#NUM!</v>
      </c>
      <c r="BC1222" s="45" t="e">
        <f t="shared" si="677"/>
        <v>#VALUE!</v>
      </c>
      <c r="BD1222" s="45">
        <f t="shared" si="678"/>
        <v>1.4771212547196624</v>
      </c>
      <c r="BE1222" s="45">
        <f t="shared" si="679"/>
        <v>1.9916690073799486</v>
      </c>
      <c r="BF1222" s="45" t="e">
        <f t="shared" si="680"/>
        <v>#VALUE!</v>
      </c>
      <c r="BG1222" s="45" t="e">
        <f t="shared" si="681"/>
        <v>#VALUE!</v>
      </c>
      <c r="BH1222" s="45" t="e">
        <f t="shared" si="682"/>
        <v>#VALUE!</v>
      </c>
      <c r="BI1222" s="43">
        <f t="shared" si="683"/>
        <v>1.9916690073799486</v>
      </c>
      <c r="CA1222" s="41" t="s">
        <v>22</v>
      </c>
      <c r="CC1222" t="s">
        <v>22</v>
      </c>
      <c r="CE1222" s="41" t="s">
        <v>22</v>
      </c>
      <c r="CF1222" s="41" t="s">
        <v>22</v>
      </c>
      <c r="CG1222" s="41">
        <f>AD1222*1000</f>
        <v>30000</v>
      </c>
      <c r="CH1222" s="41">
        <f>LOG10(CG1222)</f>
        <v>4.4771212547196626</v>
      </c>
      <c r="CI1222" s="41">
        <f>IF(ISNUMBER(CG1222),CG1222,U1222)</f>
        <v>30000</v>
      </c>
      <c r="CJ1222" s="41">
        <f>LOG10(CI1222)</f>
        <v>4.4771212547196626</v>
      </c>
      <c r="CL1222" s="9" t="s">
        <v>1269</v>
      </c>
      <c r="CM1222" s="18" t="s">
        <v>1283</v>
      </c>
      <c r="CN1222" s="54" t="s">
        <v>1284</v>
      </c>
      <c r="CO1222" s="18" t="s">
        <v>1284</v>
      </c>
    </row>
    <row r="1223" spans="1:93" x14ac:dyDescent="0.25">
      <c r="A1223" s="18" t="s">
        <v>141</v>
      </c>
      <c r="B1223" s="41">
        <v>0.03</v>
      </c>
      <c r="C1223" s="41" t="s">
        <v>22</v>
      </c>
      <c r="D1223" s="41" t="s">
        <v>22</v>
      </c>
      <c r="E1223" s="41" t="s">
        <v>22</v>
      </c>
      <c r="F1223" s="18" t="s">
        <v>22</v>
      </c>
      <c r="G1223" s="18" t="s">
        <v>22</v>
      </c>
      <c r="H1223" s="18" t="s">
        <v>22</v>
      </c>
      <c r="I1223" s="18" t="s">
        <v>22</v>
      </c>
      <c r="J1223" s="41">
        <v>1.2048192771084338</v>
      </c>
      <c r="K1223" s="18">
        <v>514.5</v>
      </c>
      <c r="L1223" s="41">
        <f>IF((10^-12)*J1223*K1223^4=0,"",(10^-12)*J1223*K1223^4)</f>
        <v>8.4423513801280131E-2</v>
      </c>
      <c r="M1223" s="18" t="s">
        <v>23</v>
      </c>
      <c r="N1223" s="41" t="s">
        <v>22</v>
      </c>
      <c r="O1223" s="41" t="s">
        <v>22</v>
      </c>
      <c r="P1223" s="41" t="s">
        <v>22</v>
      </c>
      <c r="R1223" s="41" t="s">
        <v>22</v>
      </c>
      <c r="S1223" s="41" t="s">
        <v>22</v>
      </c>
      <c r="T1223" s="41" t="s">
        <v>22</v>
      </c>
      <c r="U1223" s="41" t="s">
        <v>22</v>
      </c>
      <c r="V1223" s="18">
        <v>20200513</v>
      </c>
      <c r="W1223" s="16" t="s">
        <v>32</v>
      </c>
      <c r="X1223" s="6">
        <v>2020</v>
      </c>
      <c r="Y1223" s="6" t="s">
        <v>26</v>
      </c>
      <c r="Z1223" s="6" t="s">
        <v>32</v>
      </c>
      <c r="AA1223" s="6"/>
      <c r="AB1223" s="47"/>
      <c r="AC1223" s="6" t="s">
        <v>514</v>
      </c>
      <c r="AD1223" s="41">
        <v>22</v>
      </c>
      <c r="AE1223" s="41" t="s">
        <v>22</v>
      </c>
      <c r="AF1223" s="41" t="s">
        <v>22</v>
      </c>
      <c r="AG1223" s="41" t="s">
        <v>22</v>
      </c>
      <c r="AH1223" s="41">
        <v>6.4760169292264582E-3</v>
      </c>
      <c r="AI1223" s="41">
        <v>6.4760169292264582E-3</v>
      </c>
      <c r="AJ1223" s="41">
        <v>5.4235669416931032E-3</v>
      </c>
      <c r="AK1223" s="41">
        <v>3.8203595306128281E-3</v>
      </c>
      <c r="AL1223" s="41">
        <v>3.015877361073113E-3</v>
      </c>
      <c r="AM1223" s="43">
        <f t="shared" si="666"/>
        <v>0.46569942513003143</v>
      </c>
      <c r="AN1223" s="43">
        <f t="shared" si="667"/>
        <v>0.55606898439638897</v>
      </c>
      <c r="AO1223" s="19" t="s">
        <v>706</v>
      </c>
      <c r="AT1223" s="2">
        <f t="shared" si="668"/>
        <v>3</v>
      </c>
      <c r="AU1223" s="45">
        <f t="shared" si="669"/>
        <v>-1.5228787452803376</v>
      </c>
      <c r="AV1223" s="45" t="e">
        <f t="shared" si="670"/>
        <v>#VALUE!</v>
      </c>
      <c r="AW1223" s="45" t="e">
        <f t="shared" si="671"/>
        <v>#VALUE!</v>
      </c>
      <c r="AX1223" s="45" t="e">
        <f t="shared" si="672"/>
        <v>#VALUE!</v>
      </c>
      <c r="AY1223" s="45" t="e">
        <f t="shared" si="673"/>
        <v>#VALUE!</v>
      </c>
      <c r="AZ1223" s="45" t="e">
        <f t="shared" si="674"/>
        <v>#VALUE!</v>
      </c>
      <c r="BA1223" s="45">
        <f t="shared" si="675"/>
        <v>8.0921907623926134E-2</v>
      </c>
      <c r="BB1223" s="45">
        <f t="shared" si="676"/>
        <v>-1.0735365759822668</v>
      </c>
      <c r="BC1223" s="45" t="e">
        <f t="shared" si="677"/>
        <v>#VALUE!</v>
      </c>
      <c r="BD1223" s="45">
        <f t="shared" si="678"/>
        <v>1.3424226808222062</v>
      </c>
      <c r="BE1223" s="45" t="e">
        <f t="shared" si="679"/>
        <v>#VALUE!</v>
      </c>
      <c r="BF1223" s="45">
        <f t="shared" si="680"/>
        <v>-0.33189429816992977</v>
      </c>
      <c r="BG1223" s="45">
        <f t="shared" si="681"/>
        <v>-0.25487132769085102</v>
      </c>
      <c r="BH1223" s="45" t="e">
        <f t="shared" si="682"/>
        <v>#NUM!</v>
      </c>
      <c r="BI1223" s="43" t="e">
        <f t="shared" si="683"/>
        <v>#VALUE!</v>
      </c>
      <c r="CA1223" s="41" t="s">
        <v>22</v>
      </c>
      <c r="CC1223" t="s">
        <v>22</v>
      </c>
      <c r="CE1223" s="41" t="s">
        <v>22</v>
      </c>
      <c r="CF1223" s="41" t="s">
        <v>22</v>
      </c>
      <c r="CG1223" s="41">
        <f>AD1223*1000</f>
        <v>22000</v>
      </c>
      <c r="CH1223" s="41">
        <f>LOG10(CG1223)</f>
        <v>4.3424226808222066</v>
      </c>
      <c r="CI1223" s="41">
        <f>IF(ISNUMBER(CG1223),CG1223,U1223)</f>
        <v>22000</v>
      </c>
      <c r="CJ1223" s="41">
        <f>LOG10(CI1223)</f>
        <v>4.3424226808222066</v>
      </c>
      <c r="CL1223" s="9" t="s">
        <v>1269</v>
      </c>
      <c r="CM1223" s="18" t="s">
        <v>1283</v>
      </c>
      <c r="CN1223" s="54" t="s">
        <v>1284</v>
      </c>
      <c r="CO1223" s="18" t="s">
        <v>1284</v>
      </c>
    </row>
    <row r="1224" spans="1:93" x14ac:dyDescent="0.25">
      <c r="A1224" s="18" t="s">
        <v>141</v>
      </c>
      <c r="B1224" s="41">
        <v>0.16</v>
      </c>
      <c r="C1224" s="41" t="s">
        <v>22</v>
      </c>
      <c r="D1224" s="41" t="s">
        <v>22</v>
      </c>
      <c r="E1224" s="41" t="s">
        <v>22</v>
      </c>
      <c r="F1224" s="18" t="s">
        <v>22</v>
      </c>
      <c r="G1224" s="18" t="s">
        <v>22</v>
      </c>
      <c r="H1224" s="18" t="s">
        <v>22</v>
      </c>
      <c r="I1224" s="18" t="s">
        <v>22</v>
      </c>
      <c r="J1224" s="41">
        <v>4.3478260869565215</v>
      </c>
      <c r="K1224" s="18">
        <v>514.5</v>
      </c>
      <c r="L1224" s="41">
        <f>IF((10^-12)*J1224*K1224^4=0,"",(10^-12)*J1224*K1224^4)</f>
        <v>0.30465876719592389</v>
      </c>
      <c r="M1224" s="18" t="s">
        <v>23</v>
      </c>
      <c r="N1224" s="41" t="s">
        <v>22</v>
      </c>
      <c r="O1224" s="41" t="s">
        <v>22</v>
      </c>
      <c r="P1224" s="41" t="s">
        <v>22</v>
      </c>
      <c r="R1224" s="41" t="s">
        <v>22</v>
      </c>
      <c r="S1224" s="41" t="s">
        <v>22</v>
      </c>
      <c r="T1224" s="41" t="s">
        <v>22</v>
      </c>
      <c r="U1224" s="41" t="s">
        <v>22</v>
      </c>
      <c r="V1224" s="18">
        <v>20200513</v>
      </c>
      <c r="W1224" s="16" t="s">
        <v>704</v>
      </c>
      <c r="X1224" s="6">
        <v>2020</v>
      </c>
      <c r="Y1224" s="6" t="s">
        <v>26</v>
      </c>
      <c r="Z1224" s="6" t="s">
        <v>34</v>
      </c>
      <c r="AA1224" s="6"/>
      <c r="AB1224" s="47"/>
      <c r="AC1224" s="6" t="s">
        <v>514</v>
      </c>
      <c r="AD1224" s="41">
        <v>21</v>
      </c>
      <c r="AE1224" s="41" t="s">
        <v>22</v>
      </c>
      <c r="AF1224" s="41" t="s">
        <v>22</v>
      </c>
      <c r="AG1224" s="41" t="s">
        <v>22</v>
      </c>
      <c r="AH1224" s="41">
        <v>1.1078686124340342E-3</v>
      </c>
      <c r="AI1224" s="41">
        <v>1.1078686124340342E-3</v>
      </c>
      <c r="AJ1224" s="41">
        <v>1.017593834399235E-3</v>
      </c>
      <c r="AK1224" s="41">
        <v>7.6593324693960602E-4</v>
      </c>
      <c r="AL1224" s="41">
        <v>6.6490998940200226E-4</v>
      </c>
      <c r="AM1224" s="43">
        <f t="shared" si="666"/>
        <v>0.60017043712536178</v>
      </c>
      <c r="AN1224" s="43">
        <f t="shared" si="667"/>
        <v>0.65341393287288385</v>
      </c>
      <c r="AO1224" s="19" t="s">
        <v>706</v>
      </c>
      <c r="AT1224" s="2">
        <f t="shared" si="668"/>
        <v>3</v>
      </c>
      <c r="AU1224" s="45">
        <f t="shared" si="669"/>
        <v>-0.79588001734407521</v>
      </c>
      <c r="AV1224" s="45" t="e">
        <f t="shared" si="670"/>
        <v>#VALUE!</v>
      </c>
      <c r="AW1224" s="45" t="e">
        <f t="shared" si="671"/>
        <v>#VALUE!</v>
      </c>
      <c r="AX1224" s="45" t="e">
        <f t="shared" si="672"/>
        <v>#VALUE!</v>
      </c>
      <c r="AY1224" s="45" t="e">
        <f t="shared" si="673"/>
        <v>#VALUE!</v>
      </c>
      <c r="AZ1224" s="45" t="e">
        <f t="shared" si="674"/>
        <v>#VALUE!</v>
      </c>
      <c r="BA1224" s="45">
        <f t="shared" si="675"/>
        <v>0.63827216398240705</v>
      </c>
      <c r="BB1224" s="45">
        <f t="shared" si="676"/>
        <v>-0.51618631962378603</v>
      </c>
      <c r="BC1224" s="45" t="e">
        <f t="shared" si="677"/>
        <v>#VALUE!</v>
      </c>
      <c r="BD1224" s="45">
        <f t="shared" si="678"/>
        <v>1.3222192947339193</v>
      </c>
      <c r="BE1224" s="45" t="e">
        <f t="shared" si="679"/>
        <v>#VALUE!</v>
      </c>
      <c r="BF1224" s="45">
        <f t="shared" si="680"/>
        <v>-0.22172540062980584</v>
      </c>
      <c r="BG1224" s="45">
        <f t="shared" si="681"/>
        <v>-0.18481160921580478</v>
      </c>
      <c r="BH1224" s="45" t="e">
        <f t="shared" si="682"/>
        <v>#NUM!</v>
      </c>
      <c r="BI1224" s="43" t="e">
        <f t="shared" si="683"/>
        <v>#VALUE!</v>
      </c>
      <c r="CA1224" s="41" t="s">
        <v>22</v>
      </c>
      <c r="CC1224" t="s">
        <v>22</v>
      </c>
      <c r="CE1224" s="41" t="s">
        <v>22</v>
      </c>
      <c r="CF1224" s="41" t="s">
        <v>22</v>
      </c>
      <c r="CG1224" s="41">
        <f>AD1224*1000</f>
        <v>21000</v>
      </c>
      <c r="CH1224" s="41">
        <f>LOG10(CG1224)</f>
        <v>4.3222192947339195</v>
      </c>
      <c r="CI1224" s="41">
        <f>IF(ISNUMBER(CG1224),CG1224,U1224)</f>
        <v>21000</v>
      </c>
      <c r="CJ1224" s="41">
        <f>LOG10(CI1224)</f>
        <v>4.3222192947339195</v>
      </c>
      <c r="CL1224" s="9" t="s">
        <v>1269</v>
      </c>
      <c r="CM1224" s="18" t="s">
        <v>1283</v>
      </c>
      <c r="CN1224" s="54" t="s">
        <v>1284</v>
      </c>
      <c r="CO1224" s="18" t="s">
        <v>1284</v>
      </c>
    </row>
    <row r="1225" spans="1:93" x14ac:dyDescent="0.25">
      <c r="A1225" s="18" t="s">
        <v>141</v>
      </c>
      <c r="B1225" s="41">
        <v>5.0355632204774299E-2</v>
      </c>
      <c r="C1225" s="41" t="s">
        <v>22</v>
      </c>
      <c r="D1225" s="41" t="s">
        <v>22</v>
      </c>
      <c r="E1225" s="41" t="s">
        <v>22</v>
      </c>
      <c r="F1225" s="18" t="s">
        <v>22</v>
      </c>
      <c r="G1225" s="18" t="s">
        <v>22</v>
      </c>
      <c r="H1225" s="18" t="s">
        <v>22</v>
      </c>
      <c r="I1225" s="18" t="s">
        <v>22</v>
      </c>
      <c r="J1225" s="41">
        <v>2.2222222222222223</v>
      </c>
      <c r="K1225" s="18">
        <v>514.5</v>
      </c>
      <c r="L1225" s="41">
        <f>IF((10^-12)*J1225*K1225^4=0,"",(10^-12)*J1225*K1225^4)</f>
        <v>0.15571448101125002</v>
      </c>
      <c r="M1225" s="18" t="s">
        <v>23</v>
      </c>
      <c r="N1225" s="41" t="s">
        <v>22</v>
      </c>
      <c r="O1225" s="41" t="s">
        <v>22</v>
      </c>
      <c r="P1225" s="41" t="s">
        <v>22</v>
      </c>
      <c r="R1225" s="41" t="s">
        <v>22</v>
      </c>
      <c r="S1225" s="41" t="s">
        <v>22</v>
      </c>
      <c r="T1225" s="41" t="s">
        <v>22</v>
      </c>
      <c r="U1225" s="41" t="s">
        <v>22</v>
      </c>
      <c r="V1225" s="18">
        <v>20200513</v>
      </c>
      <c r="W1225" s="16" t="s">
        <v>705</v>
      </c>
      <c r="X1225" s="6">
        <v>2020</v>
      </c>
      <c r="Y1225" s="6" t="s">
        <v>26</v>
      </c>
      <c r="Z1225" s="6" t="s">
        <v>34</v>
      </c>
      <c r="AA1225" s="6"/>
      <c r="AB1225" s="47"/>
      <c r="AC1225" s="6" t="s">
        <v>514</v>
      </c>
      <c r="AD1225" s="41">
        <v>21</v>
      </c>
      <c r="AE1225" s="41" t="s">
        <v>22</v>
      </c>
      <c r="AF1225" s="41" t="s">
        <v>22</v>
      </c>
      <c r="AG1225" s="41" t="s">
        <v>22</v>
      </c>
      <c r="AH1225" s="41">
        <v>3.8269417812977677E-3</v>
      </c>
      <c r="AI1225" s="41">
        <v>3.8269417812977677E-3</v>
      </c>
      <c r="AJ1225" s="41">
        <v>3.4332423369856542E-3</v>
      </c>
      <c r="AK1225" s="41">
        <v>2.5081046132551517E-3</v>
      </c>
      <c r="AL1225" s="41">
        <v>1.9858751766504254E-3</v>
      </c>
      <c r="AM1225" s="43">
        <f t="shared" si="666"/>
        <v>0.51891962045395634</v>
      </c>
      <c r="AN1225" s="43">
        <f t="shared" si="667"/>
        <v>0.578425576096676</v>
      </c>
      <c r="AO1225" s="19" t="s">
        <v>706</v>
      </c>
      <c r="AT1225" s="2">
        <f t="shared" si="668"/>
        <v>3</v>
      </c>
      <c r="AU1225" s="45">
        <f t="shared" si="669"/>
        <v>-1.2979519471827254</v>
      </c>
      <c r="AV1225" s="45" t="e">
        <f t="shared" si="670"/>
        <v>#VALUE!</v>
      </c>
      <c r="AW1225" s="45" t="e">
        <f t="shared" si="671"/>
        <v>#VALUE!</v>
      </c>
      <c r="AX1225" s="45" t="e">
        <f t="shared" si="672"/>
        <v>#VALUE!</v>
      </c>
      <c r="AY1225" s="45" t="e">
        <f t="shared" si="673"/>
        <v>#VALUE!</v>
      </c>
      <c r="AZ1225" s="45" t="e">
        <f t="shared" si="674"/>
        <v>#VALUE!</v>
      </c>
      <c r="BA1225" s="45">
        <f t="shared" si="675"/>
        <v>0.34678748622465633</v>
      </c>
      <c r="BB1225" s="45">
        <f t="shared" si="676"/>
        <v>-0.80767099738153669</v>
      </c>
      <c r="BC1225" s="45" t="e">
        <f t="shared" si="677"/>
        <v>#VALUE!</v>
      </c>
      <c r="BD1225" s="45">
        <f t="shared" si="678"/>
        <v>1.3222192947339193</v>
      </c>
      <c r="BE1225" s="45" t="e">
        <f t="shared" si="679"/>
        <v>#VALUE!</v>
      </c>
      <c r="BF1225" s="45">
        <f t="shared" si="680"/>
        <v>-0.28489990823397571</v>
      </c>
      <c r="BG1225" s="45">
        <f t="shared" si="681"/>
        <v>-0.23775251220024524</v>
      </c>
      <c r="BH1225" s="45" t="e">
        <f t="shared" si="682"/>
        <v>#NUM!</v>
      </c>
      <c r="BI1225" s="43" t="e">
        <f t="shared" si="683"/>
        <v>#VALUE!</v>
      </c>
      <c r="CA1225" s="41" t="s">
        <v>22</v>
      </c>
      <c r="CC1225" t="s">
        <v>22</v>
      </c>
      <c r="CE1225" s="41" t="s">
        <v>22</v>
      </c>
      <c r="CF1225" s="41" t="s">
        <v>22</v>
      </c>
      <c r="CG1225" s="41">
        <f>AD1225*1000</f>
        <v>21000</v>
      </c>
      <c r="CH1225" s="41">
        <f>LOG10(CG1225)</f>
        <v>4.3222192947339195</v>
      </c>
      <c r="CI1225" s="41">
        <f>IF(ISNUMBER(CG1225),CG1225,U1225)</f>
        <v>21000</v>
      </c>
      <c r="CJ1225" s="41">
        <f>LOG10(CI1225)</f>
        <v>4.3222192947339195</v>
      </c>
      <c r="CL1225" s="9" t="s">
        <v>1269</v>
      </c>
      <c r="CM1225" s="18" t="s">
        <v>1283</v>
      </c>
      <c r="CN1225" s="54" t="s">
        <v>1284</v>
      </c>
      <c r="CO1225" s="18" t="s">
        <v>1284</v>
      </c>
    </row>
    <row r="1226" spans="1:93" s="9" customFormat="1" x14ac:dyDescent="0.25">
      <c r="A1226" s="9" t="s">
        <v>266</v>
      </c>
      <c r="B1226" s="50">
        <v>1.63</v>
      </c>
      <c r="C1226" s="50">
        <v>1.17</v>
      </c>
      <c r="D1226" s="50">
        <v>1.39</v>
      </c>
      <c r="E1226" s="50" t="s">
        <v>22</v>
      </c>
      <c r="F1226" s="9" t="s">
        <v>22</v>
      </c>
      <c r="G1226" s="9" t="s">
        <v>22</v>
      </c>
      <c r="H1226" s="9" t="s">
        <v>22</v>
      </c>
      <c r="I1226" s="9" t="s">
        <v>22</v>
      </c>
      <c r="J1226" s="50" t="s">
        <v>22</v>
      </c>
      <c r="K1226" s="9" t="s">
        <v>22</v>
      </c>
      <c r="L1226" s="50"/>
      <c r="M1226" s="9" t="s">
        <v>45</v>
      </c>
      <c r="N1226" s="50" t="s">
        <v>22</v>
      </c>
      <c r="O1226" s="50" t="s">
        <v>22</v>
      </c>
      <c r="P1226" s="50" t="s">
        <v>22</v>
      </c>
      <c r="Q1226" s="50"/>
      <c r="R1226" s="50" t="s">
        <v>22</v>
      </c>
      <c r="S1226" s="50" t="s">
        <v>22</v>
      </c>
      <c r="T1226" s="50" t="s">
        <v>22</v>
      </c>
      <c r="U1226" s="50" t="s">
        <v>22</v>
      </c>
      <c r="V1226" s="9">
        <v>20201129</v>
      </c>
      <c r="W1226" s="21" t="s">
        <v>1187</v>
      </c>
      <c r="X1226" s="21">
        <v>2020</v>
      </c>
      <c r="Y1226" s="9" t="s">
        <v>76</v>
      </c>
      <c r="Z1226" s="9" t="s">
        <v>124</v>
      </c>
      <c r="AA1226" s="9" t="s">
        <v>783</v>
      </c>
      <c r="AB1226" s="50">
        <v>0.26600000000000001</v>
      </c>
      <c r="AC1226" s="9" t="s">
        <v>514</v>
      </c>
      <c r="AD1226" s="50">
        <v>65.8</v>
      </c>
      <c r="AE1226" s="50">
        <v>1586.2</v>
      </c>
      <c r="AF1226" s="50" t="s">
        <v>22</v>
      </c>
      <c r="AG1226" s="50" t="s">
        <v>22</v>
      </c>
      <c r="AH1226" s="50" t="s">
        <v>22</v>
      </c>
      <c r="AI1226" s="50" t="s">
        <v>22</v>
      </c>
      <c r="AJ1226" s="50" t="s">
        <v>22</v>
      </c>
      <c r="AK1226" s="50" t="s">
        <v>22</v>
      </c>
      <c r="AL1226" s="50" t="s">
        <v>22</v>
      </c>
      <c r="AM1226" s="43" t="e">
        <f t="shared" si="666"/>
        <v>#VALUE!</v>
      </c>
      <c r="AN1226" s="43" t="e">
        <f t="shared" si="667"/>
        <v>#VALUE!</v>
      </c>
      <c r="AO1226" s="9" t="s">
        <v>1192</v>
      </c>
      <c r="AT1226" s="2">
        <f t="shared" si="668"/>
        <v>8</v>
      </c>
      <c r="AU1226" s="45">
        <f t="shared" si="669"/>
        <v>0.21218760440395779</v>
      </c>
      <c r="AV1226" s="45">
        <f t="shared" si="670"/>
        <v>6.8185861746161619E-2</v>
      </c>
      <c r="AW1226" s="45">
        <f t="shared" si="671"/>
        <v>0.14301480025409505</v>
      </c>
      <c r="AX1226" s="45" t="e">
        <f t="shared" si="672"/>
        <v>#VALUE!</v>
      </c>
      <c r="AY1226" s="45" t="e">
        <f t="shared" si="673"/>
        <v>#VALUE!</v>
      </c>
      <c r="AZ1226" s="45" t="e">
        <f t="shared" si="674"/>
        <v>#VALUE!</v>
      </c>
      <c r="BA1226" s="45" t="e">
        <f t="shared" si="675"/>
        <v>#VALUE!</v>
      </c>
      <c r="BB1226" s="45" t="e">
        <f t="shared" si="676"/>
        <v>#NUM!</v>
      </c>
      <c r="BC1226" s="45" t="e">
        <f t="shared" si="677"/>
        <v>#VALUE!</v>
      </c>
      <c r="BD1226" s="45">
        <f t="shared" si="678"/>
        <v>1.8182258936139555</v>
      </c>
      <c r="BE1226" s="45" t="e">
        <f t="shared" si="679"/>
        <v>#VALUE!</v>
      </c>
      <c r="BF1226" s="45" t="e">
        <f t="shared" si="680"/>
        <v>#VALUE!</v>
      </c>
      <c r="BG1226" s="45" t="e">
        <f t="shared" si="681"/>
        <v>#VALUE!</v>
      </c>
      <c r="BH1226" s="45">
        <f t="shared" si="682"/>
        <v>-0.57511836336893296</v>
      </c>
      <c r="BI1226" s="43" t="e">
        <f t="shared" si="683"/>
        <v>#VALUE!</v>
      </c>
      <c r="BL1226" s="20"/>
      <c r="BM1226" s="50"/>
      <c r="BN1226" s="50"/>
      <c r="BO1226" s="50"/>
      <c r="BP1226" s="50"/>
      <c r="BQ1226" s="50"/>
      <c r="BR1226" s="50"/>
      <c r="BU1226" s="50"/>
      <c r="BV1226" s="50"/>
      <c r="BW1226" s="50"/>
      <c r="BX1226" s="50"/>
      <c r="BY1226" s="50"/>
      <c r="BZ1226" s="50"/>
      <c r="CA1226" s="50" t="s">
        <v>22</v>
      </c>
      <c r="CE1226" s="50"/>
      <c r="CF1226" s="50"/>
      <c r="CG1226" s="50"/>
      <c r="CH1226" s="50"/>
      <c r="CI1226" s="50" t="str">
        <f t="shared" ref="CI1226:CI1242" si="686">IF(ISNUMBER(CG1226),CG1226,U1226)</f>
        <v>Not Reported/ Can not calculate</v>
      </c>
      <c r="CJ1226" s="50" t="e">
        <f t="shared" ref="CJ1226:CJ1242" si="687">LOG10(CI1226)</f>
        <v>#VALUE!</v>
      </c>
      <c r="CL1226" s="9" t="s">
        <v>1269</v>
      </c>
      <c r="CM1226" s="9" t="s">
        <v>1284</v>
      </c>
      <c r="CN1226" s="55" t="s">
        <v>1284</v>
      </c>
      <c r="CO1226" s="9" t="s">
        <v>1284</v>
      </c>
    </row>
    <row r="1227" spans="1:93" s="9" customFormat="1" x14ac:dyDescent="0.25">
      <c r="A1227" s="9" t="s">
        <v>266</v>
      </c>
      <c r="B1227" s="50">
        <v>0.26600000000000001</v>
      </c>
      <c r="C1227" s="50">
        <v>0.76</v>
      </c>
      <c r="D1227" s="50">
        <v>0.35</v>
      </c>
      <c r="E1227" s="50" t="s">
        <v>22</v>
      </c>
      <c r="F1227" s="9" t="s">
        <v>22</v>
      </c>
      <c r="G1227" s="9" t="s">
        <v>22</v>
      </c>
      <c r="H1227" s="9" t="s">
        <v>22</v>
      </c>
      <c r="I1227" s="9" t="s">
        <v>22</v>
      </c>
      <c r="J1227" s="50" t="s">
        <v>22</v>
      </c>
      <c r="K1227" s="9" t="s">
        <v>22</v>
      </c>
      <c r="L1227" s="50"/>
      <c r="M1227" s="9" t="s">
        <v>23</v>
      </c>
      <c r="N1227" s="50" t="s">
        <v>22</v>
      </c>
      <c r="O1227" s="50" t="s">
        <v>22</v>
      </c>
      <c r="P1227" s="50" t="s">
        <v>22</v>
      </c>
      <c r="Q1227" s="50"/>
      <c r="R1227" s="50" t="s">
        <v>22</v>
      </c>
      <c r="S1227" s="50" t="s">
        <v>22</v>
      </c>
      <c r="T1227" s="50" t="s">
        <v>22</v>
      </c>
      <c r="U1227" s="50" t="s">
        <v>22</v>
      </c>
      <c r="V1227" s="9">
        <v>20201129</v>
      </c>
      <c r="W1227" s="21" t="s">
        <v>1184</v>
      </c>
      <c r="X1227" s="21">
        <v>2020</v>
      </c>
      <c r="Y1227" s="9" t="s">
        <v>76</v>
      </c>
      <c r="Z1227" s="9" t="s">
        <v>32</v>
      </c>
      <c r="AB1227" s="50"/>
      <c r="AC1227" s="9" t="s">
        <v>514</v>
      </c>
      <c r="AD1227" s="50">
        <v>78</v>
      </c>
      <c r="AE1227" s="50">
        <v>1580.7</v>
      </c>
      <c r="AF1227" s="50" t="s">
        <v>22</v>
      </c>
      <c r="AG1227" s="50" t="s">
        <v>22</v>
      </c>
      <c r="AH1227" s="50" t="s">
        <v>22</v>
      </c>
      <c r="AI1227" s="50" t="s">
        <v>22</v>
      </c>
      <c r="AJ1227" s="50" t="s">
        <v>22</v>
      </c>
      <c r="AK1227" s="50" t="s">
        <v>22</v>
      </c>
      <c r="AL1227" s="50" t="s">
        <v>22</v>
      </c>
      <c r="AM1227" s="43" t="e">
        <f t="shared" si="666"/>
        <v>#VALUE!</v>
      </c>
      <c r="AN1227" s="43" t="e">
        <f t="shared" si="667"/>
        <v>#VALUE!</v>
      </c>
      <c r="AO1227" s="9" t="s">
        <v>1192</v>
      </c>
      <c r="AT1227" s="2">
        <f t="shared" si="668"/>
        <v>8</v>
      </c>
      <c r="AU1227" s="45">
        <f t="shared" si="669"/>
        <v>-0.57511836336893296</v>
      </c>
      <c r="AV1227" s="45">
        <f t="shared" si="670"/>
        <v>-0.11918640771920865</v>
      </c>
      <c r="AW1227" s="45">
        <f t="shared" si="671"/>
        <v>-0.45593195564972439</v>
      </c>
      <c r="AX1227" s="45" t="e">
        <f t="shared" si="672"/>
        <v>#VALUE!</v>
      </c>
      <c r="AY1227" s="45" t="e">
        <f t="shared" si="673"/>
        <v>#VALUE!</v>
      </c>
      <c r="AZ1227" s="45" t="e">
        <f t="shared" si="674"/>
        <v>#VALUE!</v>
      </c>
      <c r="BA1227" s="45" t="e">
        <f t="shared" si="675"/>
        <v>#VALUE!</v>
      </c>
      <c r="BB1227" s="45" t="e">
        <f t="shared" si="676"/>
        <v>#NUM!</v>
      </c>
      <c r="BC1227" s="45" t="e">
        <f t="shared" si="677"/>
        <v>#VALUE!</v>
      </c>
      <c r="BD1227" s="45">
        <f t="shared" si="678"/>
        <v>1.8920946026904804</v>
      </c>
      <c r="BE1227" s="45" t="e">
        <f t="shared" si="679"/>
        <v>#VALUE!</v>
      </c>
      <c r="BF1227" s="45" t="e">
        <f t="shared" si="680"/>
        <v>#VALUE!</v>
      </c>
      <c r="BG1227" s="45" t="e">
        <f t="shared" si="681"/>
        <v>#VALUE!</v>
      </c>
      <c r="BH1227" s="45" t="e">
        <f t="shared" si="682"/>
        <v>#NUM!</v>
      </c>
      <c r="BI1227" s="43" t="e">
        <f t="shared" si="683"/>
        <v>#VALUE!</v>
      </c>
      <c r="BL1227" s="20"/>
      <c r="BM1227" s="50"/>
      <c r="BN1227" s="50"/>
      <c r="BO1227" s="50"/>
      <c r="BP1227" s="50"/>
      <c r="BQ1227" s="50"/>
      <c r="BR1227" s="50"/>
      <c r="BU1227" s="50"/>
      <c r="BV1227" s="50"/>
      <c r="BW1227" s="50"/>
      <c r="BX1227" s="50"/>
      <c r="BY1227" s="50"/>
      <c r="BZ1227" s="50"/>
      <c r="CA1227" s="50" t="s">
        <v>22</v>
      </c>
      <c r="CE1227" s="50"/>
      <c r="CF1227" s="50"/>
      <c r="CG1227" s="50"/>
      <c r="CH1227" s="50"/>
      <c r="CI1227" s="50" t="str">
        <f t="shared" si="686"/>
        <v>Not Reported/ Can not calculate</v>
      </c>
      <c r="CJ1227" s="50" t="e">
        <f t="shared" si="687"/>
        <v>#VALUE!</v>
      </c>
      <c r="CL1227" s="9" t="s">
        <v>1269</v>
      </c>
      <c r="CM1227" s="9" t="s">
        <v>1284</v>
      </c>
      <c r="CN1227" s="55" t="s">
        <v>1284</v>
      </c>
      <c r="CO1227" s="9" t="s">
        <v>1284</v>
      </c>
    </row>
    <row r="1228" spans="1:93" s="9" customFormat="1" x14ac:dyDescent="0.25">
      <c r="A1228" s="9" t="s">
        <v>266</v>
      </c>
      <c r="B1228" s="50">
        <v>0.79449152542372903</v>
      </c>
      <c r="C1228" s="50" t="s">
        <v>22</v>
      </c>
      <c r="D1228" s="50" t="s">
        <v>22</v>
      </c>
      <c r="E1228" s="50" t="s">
        <v>22</v>
      </c>
      <c r="F1228" s="9" t="s">
        <v>22</v>
      </c>
      <c r="G1228" s="9" t="s">
        <v>22</v>
      </c>
      <c r="H1228" s="9" t="s">
        <v>22</v>
      </c>
      <c r="I1228" s="9" t="s">
        <v>22</v>
      </c>
      <c r="J1228" s="50" t="s">
        <v>22</v>
      </c>
      <c r="K1228" s="9" t="s">
        <v>22</v>
      </c>
      <c r="L1228" s="50"/>
      <c r="M1228" s="9" t="s">
        <v>45</v>
      </c>
      <c r="N1228" s="50" t="s">
        <v>22</v>
      </c>
      <c r="O1228" s="50" t="s">
        <v>22</v>
      </c>
      <c r="P1228" s="50" t="s">
        <v>22</v>
      </c>
      <c r="Q1228" s="50"/>
      <c r="R1228" s="50" t="s">
        <v>22</v>
      </c>
      <c r="S1228" s="50" t="s">
        <v>22</v>
      </c>
      <c r="T1228" s="50" t="s">
        <v>22</v>
      </c>
      <c r="U1228" s="50" t="s">
        <v>22</v>
      </c>
      <c r="V1228" s="9">
        <v>20201129</v>
      </c>
      <c r="W1228" s="21" t="s">
        <v>1186</v>
      </c>
      <c r="X1228" s="21">
        <v>2020</v>
      </c>
      <c r="Y1228" s="9" t="s">
        <v>76</v>
      </c>
      <c r="Z1228" s="9" t="s">
        <v>124</v>
      </c>
      <c r="AA1228" s="9" t="s">
        <v>783</v>
      </c>
      <c r="AB1228" s="50">
        <v>0.12288135593220301</v>
      </c>
      <c r="AC1228" s="9" t="s">
        <v>514</v>
      </c>
      <c r="AD1228" s="50" t="s">
        <v>22</v>
      </c>
      <c r="AE1228" s="50" t="s">
        <v>22</v>
      </c>
      <c r="AF1228" s="50" t="s">
        <v>22</v>
      </c>
      <c r="AG1228" s="50" t="s">
        <v>22</v>
      </c>
      <c r="AH1228" s="50" t="s">
        <v>22</v>
      </c>
      <c r="AI1228" s="50" t="s">
        <v>22</v>
      </c>
      <c r="AJ1228" s="50" t="s">
        <v>22</v>
      </c>
      <c r="AK1228" s="50" t="s">
        <v>22</v>
      </c>
      <c r="AL1228" s="50" t="s">
        <v>22</v>
      </c>
      <c r="AM1228" s="43" t="e">
        <f t="shared" si="666"/>
        <v>#VALUE!</v>
      </c>
      <c r="AN1228" s="43" t="e">
        <f t="shared" si="667"/>
        <v>#VALUE!</v>
      </c>
      <c r="AO1228" s="9" t="s">
        <v>1192</v>
      </c>
      <c r="AT1228" s="2">
        <f t="shared" si="668"/>
        <v>8</v>
      </c>
      <c r="AU1228" s="45">
        <f t="shared" si="669"/>
        <v>-9.9910730906368803E-2</v>
      </c>
      <c r="AV1228" s="45" t="e">
        <f t="shared" si="670"/>
        <v>#VALUE!</v>
      </c>
      <c r="AW1228" s="45" t="e">
        <f t="shared" si="671"/>
        <v>#VALUE!</v>
      </c>
      <c r="AX1228" s="45" t="e">
        <f t="shared" si="672"/>
        <v>#VALUE!</v>
      </c>
      <c r="AY1228" s="45" t="e">
        <f t="shared" si="673"/>
        <v>#VALUE!</v>
      </c>
      <c r="AZ1228" s="45" t="e">
        <f t="shared" si="674"/>
        <v>#VALUE!</v>
      </c>
      <c r="BA1228" s="45" t="e">
        <f t="shared" si="675"/>
        <v>#VALUE!</v>
      </c>
      <c r="BB1228" s="45" t="e">
        <f t="shared" si="676"/>
        <v>#NUM!</v>
      </c>
      <c r="BC1228" s="45" t="e">
        <f t="shared" si="677"/>
        <v>#VALUE!</v>
      </c>
      <c r="BD1228" s="45" t="e">
        <f t="shared" si="678"/>
        <v>#VALUE!</v>
      </c>
      <c r="BE1228" s="45" t="e">
        <f t="shared" si="679"/>
        <v>#VALUE!</v>
      </c>
      <c r="BF1228" s="45" t="e">
        <f t="shared" si="680"/>
        <v>#VALUE!</v>
      </c>
      <c r="BG1228" s="45" t="e">
        <f t="shared" si="681"/>
        <v>#VALUE!</v>
      </c>
      <c r="BH1228" s="45">
        <f t="shared" si="682"/>
        <v>-0.91051400507115188</v>
      </c>
      <c r="BI1228" s="43" t="e">
        <f t="shared" si="683"/>
        <v>#VALUE!</v>
      </c>
      <c r="BL1228" s="20"/>
      <c r="BM1228" s="50"/>
      <c r="BN1228" s="50"/>
      <c r="BO1228" s="50"/>
      <c r="BP1228" s="50"/>
      <c r="BQ1228" s="50"/>
      <c r="BR1228" s="50"/>
      <c r="BU1228" s="50"/>
      <c r="BV1228" s="50"/>
      <c r="BW1228" s="50"/>
      <c r="BX1228" s="50"/>
      <c r="BY1228" s="50"/>
      <c r="BZ1228" s="50"/>
      <c r="CA1228" s="50" t="s">
        <v>22</v>
      </c>
      <c r="CE1228" s="50"/>
      <c r="CF1228" s="50"/>
      <c r="CG1228" s="50"/>
      <c r="CH1228" s="50"/>
      <c r="CI1228" s="50" t="str">
        <f t="shared" si="686"/>
        <v>Not Reported/ Can not calculate</v>
      </c>
      <c r="CJ1228" s="50" t="e">
        <f t="shared" si="687"/>
        <v>#VALUE!</v>
      </c>
      <c r="CL1228" s="9" t="s">
        <v>1269</v>
      </c>
      <c r="CM1228" s="9" t="s">
        <v>1284</v>
      </c>
      <c r="CN1228" s="55" t="s">
        <v>1284</v>
      </c>
      <c r="CO1228" s="9" t="s">
        <v>1284</v>
      </c>
    </row>
    <row r="1229" spans="1:93" s="9" customFormat="1" x14ac:dyDescent="0.25">
      <c r="A1229" s="9" t="s">
        <v>266</v>
      </c>
      <c r="B1229" s="50">
        <v>0.12288135593220301</v>
      </c>
      <c r="C1229" s="50" t="s">
        <v>22</v>
      </c>
      <c r="D1229" s="50" t="s">
        <v>22</v>
      </c>
      <c r="E1229" s="50" t="s">
        <v>22</v>
      </c>
      <c r="F1229" s="9" t="s">
        <v>22</v>
      </c>
      <c r="G1229" s="9" t="s">
        <v>22</v>
      </c>
      <c r="H1229" s="9" t="s">
        <v>22</v>
      </c>
      <c r="I1229" s="9" t="s">
        <v>22</v>
      </c>
      <c r="J1229" s="50" t="s">
        <v>22</v>
      </c>
      <c r="K1229" s="9" t="s">
        <v>22</v>
      </c>
      <c r="L1229" s="50"/>
      <c r="M1229" s="9" t="s">
        <v>23</v>
      </c>
      <c r="N1229" s="50" t="s">
        <v>22</v>
      </c>
      <c r="O1229" s="50" t="s">
        <v>22</v>
      </c>
      <c r="P1229" s="50" t="s">
        <v>22</v>
      </c>
      <c r="Q1229" s="50"/>
      <c r="R1229" s="50" t="s">
        <v>22</v>
      </c>
      <c r="S1229" s="50" t="s">
        <v>22</v>
      </c>
      <c r="T1229" s="50" t="s">
        <v>22</v>
      </c>
      <c r="U1229" s="50" t="s">
        <v>22</v>
      </c>
      <c r="V1229" s="9">
        <v>20201129</v>
      </c>
      <c r="W1229" s="21" t="s">
        <v>1185</v>
      </c>
      <c r="X1229" s="21">
        <v>2020</v>
      </c>
      <c r="Y1229" s="9" t="s">
        <v>76</v>
      </c>
      <c r="Z1229" s="9" t="s">
        <v>32</v>
      </c>
      <c r="AB1229" s="50"/>
      <c r="AC1229" s="9" t="s">
        <v>514</v>
      </c>
      <c r="AD1229" s="50">
        <v>147</v>
      </c>
      <c r="AE1229" s="50" t="s">
        <v>22</v>
      </c>
      <c r="AF1229" s="50" t="s">
        <v>22</v>
      </c>
      <c r="AG1229" s="50" t="s">
        <v>22</v>
      </c>
      <c r="AH1229" s="50" t="s">
        <v>22</v>
      </c>
      <c r="AI1229" s="50" t="s">
        <v>22</v>
      </c>
      <c r="AJ1229" s="50" t="s">
        <v>22</v>
      </c>
      <c r="AK1229" s="50" t="s">
        <v>22</v>
      </c>
      <c r="AL1229" s="50" t="s">
        <v>22</v>
      </c>
      <c r="AM1229" s="43" t="e">
        <f t="shared" si="666"/>
        <v>#VALUE!</v>
      </c>
      <c r="AN1229" s="43" t="e">
        <f t="shared" si="667"/>
        <v>#VALUE!</v>
      </c>
      <c r="AO1229" s="9" t="s">
        <v>1192</v>
      </c>
      <c r="AT1229" s="2">
        <f t="shared" si="668"/>
        <v>8</v>
      </c>
      <c r="AU1229" s="45">
        <f t="shared" si="669"/>
        <v>-0.91051400507115188</v>
      </c>
      <c r="AV1229" s="45" t="e">
        <f t="shared" si="670"/>
        <v>#VALUE!</v>
      </c>
      <c r="AW1229" s="45" t="e">
        <f t="shared" si="671"/>
        <v>#VALUE!</v>
      </c>
      <c r="AX1229" s="45" t="e">
        <f t="shared" si="672"/>
        <v>#VALUE!</v>
      </c>
      <c r="AY1229" s="45" t="e">
        <f t="shared" si="673"/>
        <v>#VALUE!</v>
      </c>
      <c r="AZ1229" s="45" t="e">
        <f t="shared" si="674"/>
        <v>#VALUE!</v>
      </c>
      <c r="BA1229" s="45" t="e">
        <f t="shared" si="675"/>
        <v>#VALUE!</v>
      </c>
      <c r="BB1229" s="45" t="e">
        <f t="shared" si="676"/>
        <v>#NUM!</v>
      </c>
      <c r="BC1229" s="45" t="e">
        <f t="shared" si="677"/>
        <v>#VALUE!</v>
      </c>
      <c r="BD1229" s="45">
        <f t="shared" si="678"/>
        <v>2.167317334748176</v>
      </c>
      <c r="BE1229" s="45" t="e">
        <f t="shared" si="679"/>
        <v>#VALUE!</v>
      </c>
      <c r="BF1229" s="45" t="e">
        <f t="shared" si="680"/>
        <v>#VALUE!</v>
      </c>
      <c r="BG1229" s="45" t="e">
        <f t="shared" si="681"/>
        <v>#VALUE!</v>
      </c>
      <c r="BH1229" s="45" t="e">
        <f t="shared" si="682"/>
        <v>#NUM!</v>
      </c>
      <c r="BI1229" s="43" t="e">
        <f t="shared" si="683"/>
        <v>#VALUE!</v>
      </c>
      <c r="BL1229" s="20"/>
      <c r="BM1229" s="50"/>
      <c r="BN1229" s="50"/>
      <c r="BO1229" s="50"/>
      <c r="BP1229" s="50"/>
      <c r="BQ1229" s="50"/>
      <c r="BR1229" s="50"/>
      <c r="BU1229" s="50"/>
      <c r="BV1229" s="50"/>
      <c r="BW1229" s="50"/>
      <c r="BX1229" s="50"/>
      <c r="BY1229" s="50"/>
      <c r="BZ1229" s="50"/>
      <c r="CA1229" s="50" t="s">
        <v>22</v>
      </c>
      <c r="CE1229" s="50"/>
      <c r="CF1229" s="50"/>
      <c r="CG1229" s="50"/>
      <c r="CH1229" s="50"/>
      <c r="CI1229" s="50" t="str">
        <f t="shared" si="686"/>
        <v>Not Reported/ Can not calculate</v>
      </c>
      <c r="CJ1229" s="50" t="e">
        <f t="shared" si="687"/>
        <v>#VALUE!</v>
      </c>
      <c r="CL1229" s="9" t="s">
        <v>1269</v>
      </c>
      <c r="CM1229" s="9" t="s">
        <v>1284</v>
      </c>
      <c r="CN1229" s="55" t="s">
        <v>1284</v>
      </c>
      <c r="CO1229" s="9" t="s">
        <v>1284</v>
      </c>
    </row>
    <row r="1230" spans="1:93" s="9" customFormat="1" x14ac:dyDescent="0.25">
      <c r="A1230" s="9" t="s">
        <v>266</v>
      </c>
      <c r="B1230" s="50">
        <v>0.144067796610169</v>
      </c>
      <c r="C1230" s="50" t="s">
        <v>22</v>
      </c>
      <c r="D1230" s="50" t="s">
        <v>22</v>
      </c>
      <c r="E1230" s="50" t="s">
        <v>22</v>
      </c>
      <c r="F1230" s="9" t="s">
        <v>22</v>
      </c>
      <c r="G1230" s="9" t="s">
        <v>22</v>
      </c>
      <c r="H1230" s="9" t="s">
        <v>22</v>
      </c>
      <c r="I1230" s="9" t="s">
        <v>22</v>
      </c>
      <c r="J1230" s="50" t="s">
        <v>22</v>
      </c>
      <c r="K1230" s="9" t="s">
        <v>22</v>
      </c>
      <c r="L1230" s="50"/>
      <c r="M1230" s="9" t="s">
        <v>45</v>
      </c>
      <c r="N1230" s="50" t="s">
        <v>22</v>
      </c>
      <c r="O1230" s="50" t="s">
        <v>22</v>
      </c>
      <c r="P1230" s="50" t="s">
        <v>22</v>
      </c>
      <c r="Q1230" s="50"/>
      <c r="R1230" s="50" t="s">
        <v>22</v>
      </c>
      <c r="S1230" s="50" t="s">
        <v>22</v>
      </c>
      <c r="T1230" s="50" t="s">
        <v>22</v>
      </c>
      <c r="U1230" s="50" t="s">
        <v>22</v>
      </c>
      <c r="V1230" s="9">
        <v>20201129</v>
      </c>
      <c r="W1230" s="21" t="s">
        <v>1188</v>
      </c>
      <c r="X1230" s="21">
        <v>2020</v>
      </c>
      <c r="Y1230" s="21" t="s">
        <v>26</v>
      </c>
      <c r="Z1230" s="9" t="s">
        <v>124</v>
      </c>
      <c r="AA1230" s="9" t="s">
        <v>783</v>
      </c>
      <c r="AB1230" s="50">
        <v>3.3898305084745603E-2</v>
      </c>
      <c r="AC1230" s="9" t="s">
        <v>514</v>
      </c>
      <c r="AD1230" s="50" t="s">
        <v>22</v>
      </c>
      <c r="AE1230" s="50" t="s">
        <v>22</v>
      </c>
      <c r="AF1230" s="50" t="s">
        <v>22</v>
      </c>
      <c r="AG1230" s="50" t="s">
        <v>22</v>
      </c>
      <c r="AH1230" s="50" t="s">
        <v>22</v>
      </c>
      <c r="AI1230" s="50" t="s">
        <v>22</v>
      </c>
      <c r="AJ1230" s="50" t="s">
        <v>22</v>
      </c>
      <c r="AK1230" s="50" t="s">
        <v>22</v>
      </c>
      <c r="AL1230" s="50" t="s">
        <v>22</v>
      </c>
      <c r="AM1230" s="43" t="e">
        <f t="shared" si="666"/>
        <v>#VALUE!</v>
      </c>
      <c r="AN1230" s="43" t="e">
        <f t="shared" si="667"/>
        <v>#VALUE!</v>
      </c>
      <c r="AO1230" s="9" t="s">
        <v>1192</v>
      </c>
      <c r="AT1230" s="2">
        <f t="shared" si="668"/>
        <v>8</v>
      </c>
      <c r="AU1230" s="45">
        <f t="shared" si="669"/>
        <v>-0.84143308592785293</v>
      </c>
      <c r="AV1230" s="45" t="e">
        <f t="shared" si="670"/>
        <v>#VALUE!</v>
      </c>
      <c r="AW1230" s="45" t="e">
        <f t="shared" si="671"/>
        <v>#VALUE!</v>
      </c>
      <c r="AX1230" s="45" t="e">
        <f t="shared" si="672"/>
        <v>#VALUE!</v>
      </c>
      <c r="AY1230" s="45" t="e">
        <f t="shared" si="673"/>
        <v>#VALUE!</v>
      </c>
      <c r="AZ1230" s="45" t="e">
        <f t="shared" si="674"/>
        <v>#VALUE!</v>
      </c>
      <c r="BA1230" s="45" t="e">
        <f t="shared" si="675"/>
        <v>#VALUE!</v>
      </c>
      <c r="BB1230" s="45" t="e">
        <f t="shared" si="676"/>
        <v>#NUM!</v>
      </c>
      <c r="BC1230" s="45" t="e">
        <f t="shared" si="677"/>
        <v>#VALUE!</v>
      </c>
      <c r="BD1230" s="45" t="e">
        <f t="shared" si="678"/>
        <v>#VALUE!</v>
      </c>
      <c r="BE1230" s="45" t="e">
        <f t="shared" si="679"/>
        <v>#VALUE!</v>
      </c>
      <c r="BF1230" s="45" t="e">
        <f t="shared" si="680"/>
        <v>#VALUE!</v>
      </c>
      <c r="BG1230" s="45" t="e">
        <f t="shared" si="681"/>
        <v>#VALUE!</v>
      </c>
      <c r="BH1230" s="45">
        <f t="shared" si="682"/>
        <v>-1.469822015978165</v>
      </c>
      <c r="BI1230" s="43" t="e">
        <f t="shared" si="683"/>
        <v>#VALUE!</v>
      </c>
      <c r="BL1230" s="20"/>
      <c r="BM1230" s="50"/>
      <c r="BN1230" s="50"/>
      <c r="BO1230" s="50"/>
      <c r="BP1230" s="50"/>
      <c r="BQ1230" s="50"/>
      <c r="BR1230" s="50"/>
      <c r="BU1230" s="50"/>
      <c r="BV1230" s="50"/>
      <c r="BW1230" s="50"/>
      <c r="BX1230" s="50"/>
      <c r="BY1230" s="50"/>
      <c r="BZ1230" s="50"/>
      <c r="CA1230" s="50" t="s">
        <v>22</v>
      </c>
      <c r="CE1230" s="50"/>
      <c r="CF1230" s="50"/>
      <c r="CG1230" s="50"/>
      <c r="CH1230" s="50"/>
      <c r="CI1230" s="50" t="str">
        <f t="shared" si="686"/>
        <v>Not Reported/ Can not calculate</v>
      </c>
      <c r="CJ1230" s="50" t="e">
        <f t="shared" si="687"/>
        <v>#VALUE!</v>
      </c>
      <c r="CL1230" s="9" t="s">
        <v>1269</v>
      </c>
      <c r="CM1230" s="9" t="s">
        <v>1284</v>
      </c>
      <c r="CN1230" s="55" t="s">
        <v>1284</v>
      </c>
      <c r="CO1230" s="9" t="s">
        <v>1284</v>
      </c>
    </row>
    <row r="1231" spans="1:93" s="9" customFormat="1" x14ac:dyDescent="0.25">
      <c r="A1231" s="9" t="s">
        <v>266</v>
      </c>
      <c r="B1231" s="50">
        <v>3.3898305084745603E-2</v>
      </c>
      <c r="C1231" s="50" t="s">
        <v>22</v>
      </c>
      <c r="D1231" s="50" t="s">
        <v>22</v>
      </c>
      <c r="E1231" s="50" t="s">
        <v>22</v>
      </c>
      <c r="F1231" s="9" t="s">
        <v>22</v>
      </c>
      <c r="G1231" s="9" t="s">
        <v>22</v>
      </c>
      <c r="H1231" s="9" t="s">
        <v>22</v>
      </c>
      <c r="I1231" s="9" t="s">
        <v>22</v>
      </c>
      <c r="J1231" s="50" t="s">
        <v>22</v>
      </c>
      <c r="K1231" s="9" t="s">
        <v>22</v>
      </c>
      <c r="L1231" s="50"/>
      <c r="M1231" s="9" t="s">
        <v>23</v>
      </c>
      <c r="N1231" s="50" t="s">
        <v>22</v>
      </c>
      <c r="O1231" s="50" t="s">
        <v>22</v>
      </c>
      <c r="P1231" s="50" t="s">
        <v>22</v>
      </c>
      <c r="Q1231" s="50"/>
      <c r="R1231" s="50" t="s">
        <v>22</v>
      </c>
      <c r="S1231" s="50" t="s">
        <v>22</v>
      </c>
      <c r="T1231" s="50" t="s">
        <v>22</v>
      </c>
      <c r="U1231" s="50" t="s">
        <v>22</v>
      </c>
      <c r="V1231" s="9">
        <v>20201129</v>
      </c>
      <c r="W1231" s="21" t="s">
        <v>1189</v>
      </c>
      <c r="X1231" s="21">
        <v>2020</v>
      </c>
      <c r="Y1231" s="21" t="s">
        <v>26</v>
      </c>
      <c r="Z1231" s="9" t="s">
        <v>32</v>
      </c>
      <c r="AB1231" s="50"/>
      <c r="AC1231" s="9" t="s">
        <v>514</v>
      </c>
      <c r="AD1231" s="50">
        <v>20</v>
      </c>
      <c r="AE1231" s="50" t="s">
        <v>22</v>
      </c>
      <c r="AF1231" s="50" t="s">
        <v>22</v>
      </c>
      <c r="AG1231" s="50" t="s">
        <v>22</v>
      </c>
      <c r="AH1231" s="50" t="s">
        <v>22</v>
      </c>
      <c r="AI1231" s="50" t="s">
        <v>22</v>
      </c>
      <c r="AJ1231" s="50" t="s">
        <v>22</v>
      </c>
      <c r="AK1231" s="50" t="s">
        <v>22</v>
      </c>
      <c r="AL1231" s="50" t="s">
        <v>22</v>
      </c>
      <c r="AM1231" s="43" t="e">
        <f t="shared" si="666"/>
        <v>#VALUE!</v>
      </c>
      <c r="AN1231" s="43" t="e">
        <f t="shared" si="667"/>
        <v>#VALUE!</v>
      </c>
      <c r="AO1231" s="9" t="s">
        <v>1192</v>
      </c>
      <c r="AT1231" s="2">
        <f t="shared" si="668"/>
        <v>8</v>
      </c>
      <c r="AU1231" s="45">
        <f t="shared" si="669"/>
        <v>-1.469822015978165</v>
      </c>
      <c r="AV1231" s="45" t="e">
        <f t="shared" si="670"/>
        <v>#VALUE!</v>
      </c>
      <c r="AW1231" s="45" t="e">
        <f t="shared" si="671"/>
        <v>#VALUE!</v>
      </c>
      <c r="AX1231" s="45" t="e">
        <f t="shared" si="672"/>
        <v>#VALUE!</v>
      </c>
      <c r="AY1231" s="45" t="e">
        <f t="shared" si="673"/>
        <v>#VALUE!</v>
      </c>
      <c r="AZ1231" s="45" t="e">
        <f t="shared" si="674"/>
        <v>#VALUE!</v>
      </c>
      <c r="BA1231" s="45" t="e">
        <f t="shared" si="675"/>
        <v>#VALUE!</v>
      </c>
      <c r="BB1231" s="45" t="e">
        <f t="shared" si="676"/>
        <v>#NUM!</v>
      </c>
      <c r="BC1231" s="45" t="e">
        <f t="shared" si="677"/>
        <v>#VALUE!</v>
      </c>
      <c r="BD1231" s="45">
        <f t="shared" si="678"/>
        <v>1.3010299956639813</v>
      </c>
      <c r="BE1231" s="45" t="e">
        <f t="shared" si="679"/>
        <v>#VALUE!</v>
      </c>
      <c r="BF1231" s="45" t="e">
        <f t="shared" si="680"/>
        <v>#VALUE!</v>
      </c>
      <c r="BG1231" s="45" t="e">
        <f t="shared" si="681"/>
        <v>#VALUE!</v>
      </c>
      <c r="BH1231" s="45" t="e">
        <f t="shared" si="682"/>
        <v>#NUM!</v>
      </c>
      <c r="BI1231" s="43" t="e">
        <f t="shared" si="683"/>
        <v>#VALUE!</v>
      </c>
      <c r="BL1231" s="20"/>
      <c r="BM1231" s="50"/>
      <c r="BN1231" s="50"/>
      <c r="BO1231" s="50"/>
      <c r="BP1231" s="50"/>
      <c r="BQ1231" s="50"/>
      <c r="BR1231" s="50"/>
      <c r="BU1231" s="50"/>
      <c r="BV1231" s="50"/>
      <c r="BW1231" s="50"/>
      <c r="BX1231" s="50"/>
      <c r="BY1231" s="50"/>
      <c r="BZ1231" s="50"/>
      <c r="CA1231" s="50" t="s">
        <v>22</v>
      </c>
      <c r="CE1231" s="50"/>
      <c r="CF1231" s="50"/>
      <c r="CG1231" s="50"/>
      <c r="CH1231" s="50"/>
      <c r="CI1231" s="50" t="str">
        <f t="shared" si="686"/>
        <v>Not Reported/ Can not calculate</v>
      </c>
      <c r="CJ1231" s="50" t="e">
        <f t="shared" si="687"/>
        <v>#VALUE!</v>
      </c>
      <c r="CL1231" s="9" t="s">
        <v>1269</v>
      </c>
      <c r="CM1231" s="9" t="s">
        <v>1284</v>
      </c>
      <c r="CN1231" s="55" t="s">
        <v>1284</v>
      </c>
      <c r="CO1231" s="9" t="s">
        <v>1284</v>
      </c>
    </row>
    <row r="1232" spans="1:93" s="9" customFormat="1" x14ac:dyDescent="0.25">
      <c r="A1232" s="9" t="s">
        <v>266</v>
      </c>
      <c r="B1232" s="50">
        <v>0.65466101694915202</v>
      </c>
      <c r="C1232" s="50" t="s">
        <v>22</v>
      </c>
      <c r="D1232" s="50" t="s">
        <v>22</v>
      </c>
      <c r="E1232" s="50" t="s">
        <v>22</v>
      </c>
      <c r="F1232" s="9" t="s">
        <v>22</v>
      </c>
      <c r="G1232" s="9" t="s">
        <v>22</v>
      </c>
      <c r="H1232" s="9" t="s">
        <v>22</v>
      </c>
      <c r="I1232" s="9" t="s">
        <v>22</v>
      </c>
      <c r="J1232" s="50" t="s">
        <v>22</v>
      </c>
      <c r="K1232" s="9" t="s">
        <v>22</v>
      </c>
      <c r="L1232" s="50"/>
      <c r="M1232" s="9" t="s">
        <v>45</v>
      </c>
      <c r="N1232" s="50" t="s">
        <v>22</v>
      </c>
      <c r="O1232" s="50" t="s">
        <v>22</v>
      </c>
      <c r="P1232" s="50" t="s">
        <v>22</v>
      </c>
      <c r="Q1232" s="50"/>
      <c r="R1232" s="50" t="s">
        <v>22</v>
      </c>
      <c r="S1232" s="50" t="s">
        <v>22</v>
      </c>
      <c r="T1232" s="50" t="s">
        <v>22</v>
      </c>
      <c r="U1232" s="50" t="s">
        <v>22</v>
      </c>
      <c r="V1232" s="9">
        <v>20201129</v>
      </c>
      <c r="W1232" s="21" t="s">
        <v>1190</v>
      </c>
      <c r="X1232" s="21">
        <v>2020</v>
      </c>
      <c r="Y1232" s="9" t="s">
        <v>76</v>
      </c>
      <c r="Z1232" s="9" t="s">
        <v>124</v>
      </c>
      <c r="AA1232" s="9" t="s">
        <v>783</v>
      </c>
      <c r="AB1232" s="50">
        <v>0.152542372881355</v>
      </c>
      <c r="AC1232" s="9" t="s">
        <v>514</v>
      </c>
      <c r="AD1232" s="50" t="s">
        <v>22</v>
      </c>
      <c r="AE1232" s="50" t="s">
        <v>22</v>
      </c>
      <c r="AF1232" s="50" t="s">
        <v>22</v>
      </c>
      <c r="AG1232" s="50" t="s">
        <v>22</v>
      </c>
      <c r="AH1232" s="50" t="s">
        <v>22</v>
      </c>
      <c r="AI1232" s="50" t="s">
        <v>22</v>
      </c>
      <c r="AJ1232" s="50" t="s">
        <v>22</v>
      </c>
      <c r="AK1232" s="50" t="s">
        <v>22</v>
      </c>
      <c r="AL1232" s="50" t="s">
        <v>22</v>
      </c>
      <c r="AM1232" s="43" t="e">
        <f t="shared" si="666"/>
        <v>#VALUE!</v>
      </c>
      <c r="AN1232" s="43" t="e">
        <f t="shared" si="667"/>
        <v>#VALUE!</v>
      </c>
      <c r="AO1232" s="9" t="s">
        <v>1192</v>
      </c>
      <c r="AT1232" s="2">
        <f t="shared" si="668"/>
        <v>8</v>
      </c>
      <c r="AU1232" s="45">
        <f t="shared" si="669"/>
        <v>-0.18398351920925349</v>
      </c>
      <c r="AV1232" s="45" t="e">
        <f t="shared" si="670"/>
        <v>#VALUE!</v>
      </c>
      <c r="AW1232" s="45" t="e">
        <f t="shared" si="671"/>
        <v>#VALUE!</v>
      </c>
      <c r="AX1232" s="45" t="e">
        <f t="shared" si="672"/>
        <v>#VALUE!</v>
      </c>
      <c r="AY1232" s="45" t="e">
        <f t="shared" si="673"/>
        <v>#VALUE!</v>
      </c>
      <c r="AZ1232" s="45" t="e">
        <f t="shared" si="674"/>
        <v>#VALUE!</v>
      </c>
      <c r="BA1232" s="45" t="e">
        <f t="shared" si="675"/>
        <v>#VALUE!</v>
      </c>
      <c r="BB1232" s="45" t="e">
        <f t="shared" si="676"/>
        <v>#NUM!</v>
      </c>
      <c r="BC1232" s="45" t="e">
        <f t="shared" si="677"/>
        <v>#VALUE!</v>
      </c>
      <c r="BD1232" s="45" t="e">
        <f t="shared" si="678"/>
        <v>#VALUE!</v>
      </c>
      <c r="BE1232" s="45" t="e">
        <f t="shared" si="679"/>
        <v>#VALUE!</v>
      </c>
      <c r="BF1232" s="45" t="e">
        <f t="shared" si="680"/>
        <v>#VALUE!</v>
      </c>
      <c r="BG1232" s="45" t="e">
        <f t="shared" si="681"/>
        <v>#VALUE!</v>
      </c>
      <c r="BH1232" s="45">
        <f t="shared" si="682"/>
        <v>-0.81660950220282202</v>
      </c>
      <c r="BI1232" s="43" t="e">
        <f t="shared" si="683"/>
        <v>#VALUE!</v>
      </c>
      <c r="BL1232" s="20"/>
      <c r="BM1232" s="50"/>
      <c r="BN1232" s="50"/>
      <c r="BO1232" s="50"/>
      <c r="BP1232" s="50"/>
      <c r="BQ1232" s="50"/>
      <c r="BR1232" s="50"/>
      <c r="BU1232" s="50"/>
      <c r="BV1232" s="50"/>
      <c r="BW1232" s="50"/>
      <c r="BX1232" s="50"/>
      <c r="BY1232" s="50"/>
      <c r="BZ1232" s="50"/>
      <c r="CA1232" s="50" t="s">
        <v>22</v>
      </c>
      <c r="CE1232" s="50"/>
      <c r="CF1232" s="50"/>
      <c r="CG1232" s="50"/>
      <c r="CH1232" s="50"/>
      <c r="CI1232" s="50" t="str">
        <f t="shared" si="686"/>
        <v>Not Reported/ Can not calculate</v>
      </c>
      <c r="CJ1232" s="50" t="e">
        <f t="shared" si="687"/>
        <v>#VALUE!</v>
      </c>
      <c r="CL1232" s="9" t="s">
        <v>1269</v>
      </c>
      <c r="CM1232" s="9" t="s">
        <v>1284</v>
      </c>
      <c r="CN1232" s="55" t="s">
        <v>1284</v>
      </c>
      <c r="CO1232" s="9" t="s">
        <v>1284</v>
      </c>
    </row>
    <row r="1233" spans="1:93" s="9" customFormat="1" x14ac:dyDescent="0.25">
      <c r="A1233" s="9" t="s">
        <v>266</v>
      </c>
      <c r="B1233" s="50">
        <v>0.152542372881355</v>
      </c>
      <c r="C1233" s="50" t="s">
        <v>22</v>
      </c>
      <c r="D1233" s="50" t="s">
        <v>22</v>
      </c>
      <c r="E1233" s="50" t="s">
        <v>22</v>
      </c>
      <c r="F1233" s="9" t="s">
        <v>22</v>
      </c>
      <c r="G1233" s="9" t="s">
        <v>22</v>
      </c>
      <c r="H1233" s="9" t="s">
        <v>22</v>
      </c>
      <c r="I1233" s="9" t="s">
        <v>22</v>
      </c>
      <c r="J1233" s="50" t="s">
        <v>22</v>
      </c>
      <c r="K1233" s="9" t="s">
        <v>22</v>
      </c>
      <c r="L1233" s="50"/>
      <c r="M1233" s="9" t="s">
        <v>23</v>
      </c>
      <c r="N1233" s="50" t="s">
        <v>22</v>
      </c>
      <c r="O1233" s="50" t="s">
        <v>22</v>
      </c>
      <c r="P1233" s="50" t="s">
        <v>22</v>
      </c>
      <c r="Q1233" s="50"/>
      <c r="R1233" s="50" t="s">
        <v>22</v>
      </c>
      <c r="S1233" s="50" t="s">
        <v>22</v>
      </c>
      <c r="T1233" s="50" t="s">
        <v>22</v>
      </c>
      <c r="U1233" s="50" t="s">
        <v>22</v>
      </c>
      <c r="V1233" s="9">
        <v>20201129</v>
      </c>
      <c r="W1233" s="21" t="s">
        <v>1191</v>
      </c>
      <c r="X1233" s="21">
        <v>2020</v>
      </c>
      <c r="Y1233" s="9" t="s">
        <v>76</v>
      </c>
      <c r="Z1233" s="9" t="s">
        <v>32</v>
      </c>
      <c r="AB1233" s="50"/>
      <c r="AC1233" s="9" t="s">
        <v>514</v>
      </c>
      <c r="AD1233" s="50" t="s">
        <v>22</v>
      </c>
      <c r="AE1233" s="50" t="s">
        <v>22</v>
      </c>
      <c r="AF1233" s="50" t="s">
        <v>22</v>
      </c>
      <c r="AG1233" s="50" t="s">
        <v>22</v>
      </c>
      <c r="AH1233" s="50" t="s">
        <v>22</v>
      </c>
      <c r="AI1233" s="50" t="s">
        <v>22</v>
      </c>
      <c r="AJ1233" s="50" t="s">
        <v>22</v>
      </c>
      <c r="AK1233" s="50" t="s">
        <v>22</v>
      </c>
      <c r="AL1233" s="50" t="s">
        <v>22</v>
      </c>
      <c r="AM1233" s="43" t="e">
        <f t="shared" si="666"/>
        <v>#VALUE!</v>
      </c>
      <c r="AN1233" s="43" t="e">
        <f t="shared" si="667"/>
        <v>#VALUE!</v>
      </c>
      <c r="AO1233" s="9" t="s">
        <v>1192</v>
      </c>
      <c r="AT1233" s="2">
        <f t="shared" si="668"/>
        <v>8</v>
      </c>
      <c r="AU1233" s="45">
        <f t="shared" si="669"/>
        <v>-0.81660950220282202</v>
      </c>
      <c r="AV1233" s="45" t="e">
        <f t="shared" si="670"/>
        <v>#VALUE!</v>
      </c>
      <c r="AW1233" s="45" t="e">
        <f t="shared" si="671"/>
        <v>#VALUE!</v>
      </c>
      <c r="AX1233" s="45" t="e">
        <f t="shared" si="672"/>
        <v>#VALUE!</v>
      </c>
      <c r="AY1233" s="45" t="e">
        <f t="shared" si="673"/>
        <v>#VALUE!</v>
      </c>
      <c r="AZ1233" s="45" t="e">
        <f t="shared" si="674"/>
        <v>#VALUE!</v>
      </c>
      <c r="BA1233" s="45" t="e">
        <f t="shared" si="675"/>
        <v>#VALUE!</v>
      </c>
      <c r="BB1233" s="45" t="e">
        <f t="shared" si="676"/>
        <v>#NUM!</v>
      </c>
      <c r="BC1233" s="45" t="e">
        <f t="shared" si="677"/>
        <v>#VALUE!</v>
      </c>
      <c r="BD1233" s="45" t="e">
        <f t="shared" si="678"/>
        <v>#VALUE!</v>
      </c>
      <c r="BE1233" s="45" t="e">
        <f t="shared" si="679"/>
        <v>#VALUE!</v>
      </c>
      <c r="BF1233" s="45" t="e">
        <f t="shared" si="680"/>
        <v>#VALUE!</v>
      </c>
      <c r="BG1233" s="45" t="e">
        <f t="shared" si="681"/>
        <v>#VALUE!</v>
      </c>
      <c r="BH1233" s="45" t="e">
        <f t="shared" si="682"/>
        <v>#NUM!</v>
      </c>
      <c r="BI1233" s="43" t="e">
        <f t="shared" si="683"/>
        <v>#VALUE!</v>
      </c>
      <c r="BL1233" s="20"/>
      <c r="BM1233" s="50"/>
      <c r="BN1233" s="50"/>
      <c r="BO1233" s="50"/>
      <c r="BP1233" s="50"/>
      <c r="BQ1233" s="50"/>
      <c r="BR1233" s="50"/>
      <c r="BU1233" s="50"/>
      <c r="BV1233" s="50"/>
      <c r="BW1233" s="50"/>
      <c r="BX1233" s="50"/>
      <c r="BY1233" s="50"/>
      <c r="BZ1233" s="50"/>
      <c r="CA1233" s="50" t="s">
        <v>22</v>
      </c>
      <c r="CE1233" s="50"/>
      <c r="CF1233" s="50"/>
      <c r="CG1233" s="50"/>
      <c r="CH1233" s="50"/>
      <c r="CI1233" s="50" t="str">
        <f t="shared" si="686"/>
        <v>Not Reported/ Can not calculate</v>
      </c>
      <c r="CJ1233" s="50" t="e">
        <f t="shared" si="687"/>
        <v>#VALUE!</v>
      </c>
      <c r="CL1233" s="9" t="s">
        <v>1269</v>
      </c>
      <c r="CM1233" s="9" t="s">
        <v>1284</v>
      </c>
      <c r="CN1233" s="55" t="s">
        <v>1284</v>
      </c>
      <c r="CO1233" s="9" t="s">
        <v>1284</v>
      </c>
    </row>
    <row r="1234" spans="1:93" s="9" customFormat="1" x14ac:dyDescent="0.25">
      <c r="A1234" s="9" t="s">
        <v>141</v>
      </c>
      <c r="B1234" s="50">
        <v>2.3636999999999998E-2</v>
      </c>
      <c r="C1234" s="50">
        <v>0.38</v>
      </c>
      <c r="D1234" s="50">
        <f t="shared" ref="D1234:D1242" si="688">0.001*(B1234*10^6)/(C1234*0.001*100^3)</f>
        <v>6.220263157894737E-2</v>
      </c>
      <c r="E1234" s="50" t="s">
        <v>22</v>
      </c>
      <c r="F1234" s="9" t="s">
        <v>22</v>
      </c>
      <c r="G1234" s="9" t="s">
        <v>22</v>
      </c>
      <c r="H1234" s="9" t="s">
        <v>22</v>
      </c>
      <c r="I1234" s="9" t="s">
        <v>22</v>
      </c>
      <c r="J1234" s="50" t="s">
        <v>22</v>
      </c>
      <c r="K1234" s="9" t="s">
        <v>22</v>
      </c>
      <c r="L1234" s="50"/>
      <c r="M1234" s="9" t="s">
        <v>23</v>
      </c>
      <c r="N1234" s="50" t="s">
        <v>22</v>
      </c>
      <c r="O1234" s="50" t="s">
        <v>22</v>
      </c>
      <c r="P1234" s="50" t="s">
        <v>22</v>
      </c>
      <c r="Q1234" s="50"/>
      <c r="R1234" s="50" t="s">
        <v>22</v>
      </c>
      <c r="S1234" s="50" t="s">
        <v>22</v>
      </c>
      <c r="T1234" s="50" t="s">
        <v>22</v>
      </c>
      <c r="U1234" s="50" t="s">
        <v>22</v>
      </c>
      <c r="V1234" s="9">
        <v>20210320</v>
      </c>
      <c r="W1234" s="21" t="s">
        <v>1076</v>
      </c>
      <c r="X1234" s="21">
        <v>2020</v>
      </c>
      <c r="Y1234" s="9" t="s">
        <v>76</v>
      </c>
      <c r="Z1234" s="9" t="s">
        <v>32</v>
      </c>
      <c r="AB1234" s="50"/>
      <c r="AC1234" s="9" t="s">
        <v>514</v>
      </c>
      <c r="AD1234" s="50" t="s">
        <v>22</v>
      </c>
      <c r="AE1234" s="50" t="s">
        <v>22</v>
      </c>
      <c r="AF1234" s="50" t="s">
        <v>22</v>
      </c>
      <c r="AG1234" s="50" t="s">
        <v>22</v>
      </c>
      <c r="AH1234" s="50" t="s">
        <v>22</v>
      </c>
      <c r="AI1234" s="50" t="s">
        <v>22</v>
      </c>
      <c r="AJ1234" s="50" t="s">
        <v>22</v>
      </c>
      <c r="AK1234" s="50" t="s">
        <v>22</v>
      </c>
      <c r="AL1234" s="50" t="s">
        <v>22</v>
      </c>
      <c r="AM1234" s="43" t="e">
        <f t="shared" si="666"/>
        <v>#VALUE!</v>
      </c>
      <c r="AN1234" s="43" t="e">
        <f t="shared" si="667"/>
        <v>#VALUE!</v>
      </c>
      <c r="AO1234" s="21" t="s">
        <v>1240</v>
      </c>
      <c r="AT1234" s="2">
        <f t="shared" si="668"/>
        <v>9</v>
      </c>
      <c r="AU1234" s="45">
        <f t="shared" si="669"/>
        <v>-1.6264076448010603</v>
      </c>
      <c r="AV1234" s="45">
        <f t="shared" si="670"/>
        <v>-0.42021640338318983</v>
      </c>
      <c r="AW1234" s="45">
        <f t="shared" si="671"/>
        <v>-1.2061912414178704</v>
      </c>
      <c r="AX1234" s="45" t="e">
        <f t="shared" si="672"/>
        <v>#VALUE!</v>
      </c>
      <c r="AY1234" s="45" t="e">
        <f t="shared" si="673"/>
        <v>#VALUE!</v>
      </c>
      <c r="AZ1234" s="45" t="e">
        <f t="shared" si="674"/>
        <v>#VALUE!</v>
      </c>
      <c r="BA1234" s="45" t="e">
        <f t="shared" si="675"/>
        <v>#VALUE!</v>
      </c>
      <c r="BB1234" s="45" t="e">
        <f t="shared" si="676"/>
        <v>#NUM!</v>
      </c>
      <c r="BC1234" s="45" t="e">
        <f t="shared" si="677"/>
        <v>#VALUE!</v>
      </c>
      <c r="BD1234" s="45" t="e">
        <f t="shared" si="678"/>
        <v>#VALUE!</v>
      </c>
      <c r="BE1234" s="45" t="e">
        <f t="shared" si="679"/>
        <v>#VALUE!</v>
      </c>
      <c r="BF1234" s="45" t="e">
        <f t="shared" si="680"/>
        <v>#VALUE!</v>
      </c>
      <c r="BG1234" s="45" t="e">
        <f t="shared" si="681"/>
        <v>#VALUE!</v>
      </c>
      <c r="BH1234" s="45" t="e">
        <f t="shared" si="682"/>
        <v>#NUM!</v>
      </c>
      <c r="BI1234" s="43" t="e">
        <f t="shared" si="683"/>
        <v>#VALUE!</v>
      </c>
      <c r="BL1234" s="20"/>
      <c r="BM1234" s="50"/>
      <c r="BN1234" s="50"/>
      <c r="BO1234" s="50"/>
      <c r="BP1234" s="50"/>
      <c r="BQ1234" s="50"/>
      <c r="BR1234" s="50"/>
      <c r="BU1234" s="50"/>
      <c r="BV1234" s="50"/>
      <c r="BW1234" s="50"/>
      <c r="BX1234" s="50"/>
      <c r="BY1234" s="50"/>
      <c r="BZ1234" s="50"/>
      <c r="CA1234" s="50" t="s">
        <v>22</v>
      </c>
      <c r="CE1234" s="50"/>
      <c r="CF1234" s="50"/>
      <c r="CG1234" s="50"/>
      <c r="CH1234" s="50"/>
      <c r="CI1234" s="50" t="str">
        <f t="shared" si="686"/>
        <v>Not Reported/ Can not calculate</v>
      </c>
      <c r="CJ1234" s="50" t="e">
        <f t="shared" si="687"/>
        <v>#VALUE!</v>
      </c>
      <c r="CL1234" s="9" t="s">
        <v>1269</v>
      </c>
      <c r="CM1234" s="9" t="s">
        <v>1284</v>
      </c>
      <c r="CN1234" s="55" t="s">
        <v>1284</v>
      </c>
      <c r="CO1234" s="9" t="s">
        <v>1284</v>
      </c>
    </row>
    <row r="1235" spans="1:93" s="9" customFormat="1" x14ac:dyDescent="0.25">
      <c r="A1235" s="9" t="s">
        <v>141</v>
      </c>
      <c r="B1235" s="50">
        <v>1.6264999999999998E-2</v>
      </c>
      <c r="C1235" s="50">
        <v>0.46</v>
      </c>
      <c r="D1235" s="50">
        <f t="shared" si="688"/>
        <v>3.5358695652173908E-2</v>
      </c>
      <c r="E1235" s="50" t="s">
        <v>22</v>
      </c>
      <c r="F1235" s="9" t="s">
        <v>22</v>
      </c>
      <c r="G1235" s="9" t="s">
        <v>22</v>
      </c>
      <c r="H1235" s="9" t="s">
        <v>22</v>
      </c>
      <c r="I1235" s="9" t="s">
        <v>22</v>
      </c>
      <c r="J1235" s="50" t="s">
        <v>22</v>
      </c>
      <c r="K1235" s="9" t="s">
        <v>22</v>
      </c>
      <c r="L1235" s="50"/>
      <c r="M1235" s="9" t="s">
        <v>23</v>
      </c>
      <c r="N1235" s="50" t="s">
        <v>22</v>
      </c>
      <c r="O1235" s="50" t="s">
        <v>22</v>
      </c>
      <c r="P1235" s="50" t="s">
        <v>22</v>
      </c>
      <c r="Q1235" s="50"/>
      <c r="R1235" s="50" t="s">
        <v>22</v>
      </c>
      <c r="S1235" s="50" t="s">
        <v>22</v>
      </c>
      <c r="T1235" s="50" t="s">
        <v>22</v>
      </c>
      <c r="U1235" s="50" t="s">
        <v>22</v>
      </c>
      <c r="V1235" s="9">
        <v>20210320</v>
      </c>
      <c r="W1235" s="21" t="s">
        <v>1076</v>
      </c>
      <c r="X1235" s="21">
        <v>2020</v>
      </c>
      <c r="Y1235" s="9" t="s">
        <v>76</v>
      </c>
      <c r="Z1235" s="9" t="s">
        <v>32</v>
      </c>
      <c r="AB1235" s="50"/>
      <c r="AC1235" s="9" t="s">
        <v>514</v>
      </c>
      <c r="AD1235" s="50" t="s">
        <v>22</v>
      </c>
      <c r="AE1235" s="50" t="s">
        <v>22</v>
      </c>
      <c r="AF1235" s="50" t="s">
        <v>22</v>
      </c>
      <c r="AG1235" s="50" t="s">
        <v>22</v>
      </c>
      <c r="AH1235" s="50" t="s">
        <v>22</v>
      </c>
      <c r="AI1235" s="50" t="s">
        <v>22</v>
      </c>
      <c r="AJ1235" s="50" t="s">
        <v>22</v>
      </c>
      <c r="AK1235" s="50" t="s">
        <v>22</v>
      </c>
      <c r="AL1235" s="50" t="s">
        <v>22</v>
      </c>
      <c r="AM1235" s="43" t="e">
        <f t="shared" si="666"/>
        <v>#VALUE!</v>
      </c>
      <c r="AN1235" s="43" t="e">
        <f t="shared" si="667"/>
        <v>#VALUE!</v>
      </c>
      <c r="AO1235" s="21" t="s">
        <v>1240</v>
      </c>
      <c r="AT1235" s="2">
        <f t="shared" si="668"/>
        <v>9</v>
      </c>
      <c r="AU1235" s="45">
        <f t="shared" si="669"/>
        <v>-1.7887459323821278</v>
      </c>
      <c r="AV1235" s="45">
        <f t="shared" si="670"/>
        <v>-0.33724216831842591</v>
      </c>
      <c r="AW1235" s="45">
        <f t="shared" si="671"/>
        <v>-1.4515037640637019</v>
      </c>
      <c r="AX1235" s="45" t="e">
        <f t="shared" si="672"/>
        <v>#VALUE!</v>
      </c>
      <c r="AY1235" s="45" t="e">
        <f t="shared" si="673"/>
        <v>#VALUE!</v>
      </c>
      <c r="AZ1235" s="45" t="e">
        <f t="shared" si="674"/>
        <v>#VALUE!</v>
      </c>
      <c r="BA1235" s="45" t="e">
        <f t="shared" si="675"/>
        <v>#VALUE!</v>
      </c>
      <c r="BB1235" s="45" t="e">
        <f t="shared" si="676"/>
        <v>#NUM!</v>
      </c>
      <c r="BC1235" s="45" t="e">
        <f t="shared" si="677"/>
        <v>#VALUE!</v>
      </c>
      <c r="BD1235" s="45" t="e">
        <f t="shared" si="678"/>
        <v>#VALUE!</v>
      </c>
      <c r="BE1235" s="45" t="e">
        <f t="shared" si="679"/>
        <v>#VALUE!</v>
      </c>
      <c r="BF1235" s="45" t="e">
        <f t="shared" si="680"/>
        <v>#VALUE!</v>
      </c>
      <c r="BG1235" s="45" t="e">
        <f t="shared" si="681"/>
        <v>#VALUE!</v>
      </c>
      <c r="BH1235" s="45" t="e">
        <f t="shared" si="682"/>
        <v>#NUM!</v>
      </c>
      <c r="BI1235" s="43" t="e">
        <f t="shared" si="683"/>
        <v>#VALUE!</v>
      </c>
      <c r="BL1235" s="20"/>
      <c r="BM1235" s="50"/>
      <c r="BN1235" s="50"/>
      <c r="BO1235" s="50"/>
      <c r="BP1235" s="50"/>
      <c r="BQ1235" s="50"/>
      <c r="BR1235" s="50"/>
      <c r="BU1235" s="50"/>
      <c r="BV1235" s="50"/>
      <c r="BW1235" s="50"/>
      <c r="BX1235" s="50"/>
      <c r="BY1235" s="50"/>
      <c r="BZ1235" s="50"/>
      <c r="CA1235" s="50" t="s">
        <v>22</v>
      </c>
      <c r="CE1235" s="50"/>
      <c r="CF1235" s="50"/>
      <c r="CG1235" s="50"/>
      <c r="CH1235" s="50"/>
      <c r="CI1235" s="50" t="str">
        <f t="shared" si="686"/>
        <v>Not Reported/ Can not calculate</v>
      </c>
      <c r="CJ1235" s="50" t="e">
        <f t="shared" si="687"/>
        <v>#VALUE!</v>
      </c>
      <c r="CL1235" s="9" t="s">
        <v>1269</v>
      </c>
      <c r="CM1235" s="9" t="s">
        <v>1284</v>
      </c>
      <c r="CN1235" s="55" t="s">
        <v>1284</v>
      </c>
      <c r="CO1235" s="9" t="s">
        <v>1284</v>
      </c>
    </row>
    <row r="1236" spans="1:93" s="9" customFormat="1" x14ac:dyDescent="0.25">
      <c r="A1236" s="9" t="s">
        <v>141</v>
      </c>
      <c r="B1236" s="50">
        <v>1.0862E-2</v>
      </c>
      <c r="C1236" s="50">
        <v>0.46</v>
      </c>
      <c r="D1236" s="50">
        <f t="shared" si="688"/>
        <v>2.3613043478260869E-2</v>
      </c>
      <c r="E1236" s="50" t="s">
        <v>22</v>
      </c>
      <c r="F1236" s="9" t="s">
        <v>22</v>
      </c>
      <c r="G1236" s="9" t="s">
        <v>22</v>
      </c>
      <c r="H1236" s="9" t="s">
        <v>22</v>
      </c>
      <c r="I1236" s="9" t="s">
        <v>22</v>
      </c>
      <c r="J1236" s="50" t="s">
        <v>22</v>
      </c>
      <c r="K1236" s="9" t="s">
        <v>22</v>
      </c>
      <c r="L1236" s="50"/>
      <c r="M1236" s="9" t="s">
        <v>23</v>
      </c>
      <c r="N1236" s="50" t="s">
        <v>22</v>
      </c>
      <c r="O1236" s="50" t="s">
        <v>22</v>
      </c>
      <c r="P1236" s="50" t="s">
        <v>22</v>
      </c>
      <c r="Q1236" s="50"/>
      <c r="R1236" s="50" t="s">
        <v>22</v>
      </c>
      <c r="S1236" s="50" t="s">
        <v>22</v>
      </c>
      <c r="T1236" s="50" t="s">
        <v>22</v>
      </c>
      <c r="U1236" s="50" t="s">
        <v>22</v>
      </c>
      <c r="V1236" s="9">
        <v>20210320</v>
      </c>
      <c r="W1236" s="21" t="s">
        <v>1076</v>
      </c>
      <c r="X1236" s="21">
        <v>2020</v>
      </c>
      <c r="Y1236" s="9" t="s">
        <v>76</v>
      </c>
      <c r="Z1236" s="9" t="s">
        <v>32</v>
      </c>
      <c r="AB1236" s="50"/>
      <c r="AC1236" s="9" t="s">
        <v>514</v>
      </c>
      <c r="AD1236" s="50" t="s">
        <v>22</v>
      </c>
      <c r="AE1236" s="50" t="s">
        <v>22</v>
      </c>
      <c r="AF1236" s="50" t="s">
        <v>22</v>
      </c>
      <c r="AG1236" s="50" t="s">
        <v>22</v>
      </c>
      <c r="AH1236" s="50" t="s">
        <v>22</v>
      </c>
      <c r="AI1236" s="50" t="s">
        <v>22</v>
      </c>
      <c r="AJ1236" s="50" t="s">
        <v>22</v>
      </c>
      <c r="AK1236" s="50" t="s">
        <v>22</v>
      </c>
      <c r="AL1236" s="50" t="s">
        <v>22</v>
      </c>
      <c r="AM1236" s="43" t="e">
        <f t="shared" si="666"/>
        <v>#VALUE!</v>
      </c>
      <c r="AN1236" s="43" t="e">
        <f t="shared" si="667"/>
        <v>#VALUE!</v>
      </c>
      <c r="AO1236" s="21" t="s">
        <v>1240</v>
      </c>
      <c r="AT1236" s="2">
        <f t="shared" si="668"/>
        <v>9</v>
      </c>
      <c r="AU1236" s="45">
        <f t="shared" si="669"/>
        <v>-1.9640902015433912</v>
      </c>
      <c r="AV1236" s="45">
        <f t="shared" si="670"/>
        <v>-0.33724216831842591</v>
      </c>
      <c r="AW1236" s="45">
        <f t="shared" si="671"/>
        <v>-1.6268480332249653</v>
      </c>
      <c r="AX1236" s="45" t="e">
        <f t="shared" si="672"/>
        <v>#VALUE!</v>
      </c>
      <c r="AY1236" s="45" t="e">
        <f t="shared" si="673"/>
        <v>#VALUE!</v>
      </c>
      <c r="AZ1236" s="45" t="e">
        <f t="shared" si="674"/>
        <v>#VALUE!</v>
      </c>
      <c r="BA1236" s="45" t="e">
        <f t="shared" si="675"/>
        <v>#VALUE!</v>
      </c>
      <c r="BB1236" s="45" t="e">
        <f t="shared" si="676"/>
        <v>#NUM!</v>
      </c>
      <c r="BC1236" s="45" t="e">
        <f t="shared" si="677"/>
        <v>#VALUE!</v>
      </c>
      <c r="BD1236" s="45" t="e">
        <f t="shared" si="678"/>
        <v>#VALUE!</v>
      </c>
      <c r="BE1236" s="45" t="e">
        <f t="shared" si="679"/>
        <v>#VALUE!</v>
      </c>
      <c r="BF1236" s="45" t="e">
        <f t="shared" si="680"/>
        <v>#VALUE!</v>
      </c>
      <c r="BG1236" s="45" t="e">
        <f t="shared" si="681"/>
        <v>#VALUE!</v>
      </c>
      <c r="BH1236" s="45" t="e">
        <f t="shared" si="682"/>
        <v>#NUM!</v>
      </c>
      <c r="BI1236" s="43" t="e">
        <f t="shared" si="683"/>
        <v>#VALUE!</v>
      </c>
      <c r="BL1236" s="20"/>
      <c r="BM1236" s="50"/>
      <c r="BN1236" s="50"/>
      <c r="BO1236" s="50"/>
      <c r="BP1236" s="50"/>
      <c r="BQ1236" s="50"/>
      <c r="BR1236" s="50"/>
      <c r="BU1236" s="50"/>
      <c r="BV1236" s="50"/>
      <c r="BW1236" s="50"/>
      <c r="BX1236" s="50"/>
      <c r="BY1236" s="50"/>
      <c r="BZ1236" s="50"/>
      <c r="CA1236" s="50" t="s">
        <v>22</v>
      </c>
      <c r="CE1236" s="50"/>
      <c r="CF1236" s="50"/>
      <c r="CG1236" s="50"/>
      <c r="CH1236" s="50"/>
      <c r="CI1236" s="50" t="str">
        <f t="shared" si="686"/>
        <v>Not Reported/ Can not calculate</v>
      </c>
      <c r="CJ1236" s="50" t="e">
        <f t="shared" si="687"/>
        <v>#VALUE!</v>
      </c>
      <c r="CL1236" s="9" t="s">
        <v>1269</v>
      </c>
      <c r="CM1236" s="9" t="s">
        <v>1284</v>
      </c>
      <c r="CN1236" s="55" t="s">
        <v>1284</v>
      </c>
      <c r="CO1236" s="9" t="s">
        <v>1284</v>
      </c>
    </row>
    <row r="1237" spans="1:93" s="9" customFormat="1" x14ac:dyDescent="0.25">
      <c r="A1237" s="9" t="s">
        <v>141</v>
      </c>
      <c r="B1237" s="50">
        <v>1.7135999999999998E-2</v>
      </c>
      <c r="C1237" s="50">
        <v>0.5</v>
      </c>
      <c r="D1237" s="50">
        <f t="shared" si="688"/>
        <v>3.4271999999999997E-2</v>
      </c>
      <c r="E1237" s="50" t="s">
        <v>22</v>
      </c>
      <c r="F1237" s="9" t="s">
        <v>22</v>
      </c>
      <c r="G1237" s="9" t="s">
        <v>22</v>
      </c>
      <c r="H1237" s="9" t="s">
        <v>22</v>
      </c>
      <c r="I1237" s="9" t="s">
        <v>22</v>
      </c>
      <c r="J1237" s="50" t="s">
        <v>22</v>
      </c>
      <c r="K1237" s="9" t="s">
        <v>22</v>
      </c>
      <c r="L1237" s="50"/>
      <c r="M1237" s="9" t="s">
        <v>23</v>
      </c>
      <c r="N1237" s="50" t="s">
        <v>22</v>
      </c>
      <c r="O1237" s="50" t="s">
        <v>22</v>
      </c>
      <c r="P1237" s="50" t="s">
        <v>22</v>
      </c>
      <c r="Q1237" s="50"/>
      <c r="R1237" s="50" t="s">
        <v>22</v>
      </c>
      <c r="S1237" s="50" t="s">
        <v>22</v>
      </c>
      <c r="T1237" s="50" t="s">
        <v>22</v>
      </c>
      <c r="U1237" s="50" t="s">
        <v>22</v>
      </c>
      <c r="V1237" s="9">
        <v>20210320</v>
      </c>
      <c r="W1237" s="21" t="s">
        <v>1076</v>
      </c>
      <c r="X1237" s="21">
        <v>2020</v>
      </c>
      <c r="Y1237" s="9" t="s">
        <v>76</v>
      </c>
      <c r="Z1237" s="9" t="s">
        <v>32</v>
      </c>
      <c r="AB1237" s="50"/>
      <c r="AC1237" s="9" t="s">
        <v>514</v>
      </c>
      <c r="AD1237" s="50" t="s">
        <v>22</v>
      </c>
      <c r="AE1237" s="50" t="s">
        <v>22</v>
      </c>
      <c r="AF1237" s="50" t="s">
        <v>22</v>
      </c>
      <c r="AG1237" s="50" t="s">
        <v>22</v>
      </c>
      <c r="AH1237" s="50" t="s">
        <v>22</v>
      </c>
      <c r="AI1237" s="50" t="s">
        <v>22</v>
      </c>
      <c r="AJ1237" s="50" t="s">
        <v>22</v>
      </c>
      <c r="AK1237" s="50" t="s">
        <v>22</v>
      </c>
      <c r="AL1237" s="50" t="s">
        <v>22</v>
      </c>
      <c r="AM1237" s="43" t="e">
        <f t="shared" si="666"/>
        <v>#VALUE!</v>
      </c>
      <c r="AN1237" s="43" t="e">
        <f t="shared" si="667"/>
        <v>#VALUE!</v>
      </c>
      <c r="AO1237" s="21" t="s">
        <v>1240</v>
      </c>
      <c r="AT1237" s="2">
        <f t="shared" si="668"/>
        <v>9</v>
      </c>
      <c r="AU1237" s="45">
        <f t="shared" si="669"/>
        <v>-1.7660905465122196</v>
      </c>
      <c r="AV1237" s="45">
        <f t="shared" si="670"/>
        <v>-0.3010299956639812</v>
      </c>
      <c r="AW1237" s="45">
        <f t="shared" si="671"/>
        <v>-1.4650605508482384</v>
      </c>
      <c r="AX1237" s="45" t="e">
        <f t="shared" si="672"/>
        <v>#VALUE!</v>
      </c>
      <c r="AY1237" s="45" t="e">
        <f t="shared" si="673"/>
        <v>#VALUE!</v>
      </c>
      <c r="AZ1237" s="45" t="e">
        <f t="shared" si="674"/>
        <v>#VALUE!</v>
      </c>
      <c r="BA1237" s="45" t="e">
        <f t="shared" si="675"/>
        <v>#VALUE!</v>
      </c>
      <c r="BB1237" s="45" t="e">
        <f t="shared" si="676"/>
        <v>#NUM!</v>
      </c>
      <c r="BC1237" s="45" t="e">
        <f t="shared" si="677"/>
        <v>#VALUE!</v>
      </c>
      <c r="BD1237" s="45" t="e">
        <f t="shared" si="678"/>
        <v>#VALUE!</v>
      </c>
      <c r="BE1237" s="45" t="e">
        <f t="shared" si="679"/>
        <v>#VALUE!</v>
      </c>
      <c r="BF1237" s="45" t="e">
        <f t="shared" si="680"/>
        <v>#VALUE!</v>
      </c>
      <c r="BG1237" s="45" t="e">
        <f t="shared" si="681"/>
        <v>#VALUE!</v>
      </c>
      <c r="BH1237" s="45" t="e">
        <f t="shared" si="682"/>
        <v>#NUM!</v>
      </c>
      <c r="BI1237" s="43" t="e">
        <f t="shared" si="683"/>
        <v>#VALUE!</v>
      </c>
      <c r="BL1237" s="20"/>
      <c r="BM1237" s="50"/>
      <c r="BN1237" s="50"/>
      <c r="BO1237" s="50"/>
      <c r="BP1237" s="50"/>
      <c r="BQ1237" s="50"/>
      <c r="BR1237" s="50"/>
      <c r="BU1237" s="50"/>
      <c r="BV1237" s="50"/>
      <c r="BW1237" s="50"/>
      <c r="BX1237" s="50"/>
      <c r="BY1237" s="50"/>
      <c r="BZ1237" s="50"/>
      <c r="CA1237" s="50" t="s">
        <v>22</v>
      </c>
      <c r="CE1237" s="50"/>
      <c r="CF1237" s="50"/>
      <c r="CG1237" s="50"/>
      <c r="CH1237" s="50"/>
      <c r="CI1237" s="50" t="str">
        <f t="shared" si="686"/>
        <v>Not Reported/ Can not calculate</v>
      </c>
      <c r="CJ1237" s="50" t="e">
        <f t="shared" si="687"/>
        <v>#VALUE!</v>
      </c>
      <c r="CL1237" s="9" t="s">
        <v>1269</v>
      </c>
      <c r="CM1237" s="9" t="s">
        <v>1284</v>
      </c>
      <c r="CN1237" s="55" t="s">
        <v>1284</v>
      </c>
      <c r="CO1237" s="9" t="s">
        <v>1284</v>
      </c>
    </row>
    <row r="1238" spans="1:93" s="9" customFormat="1" x14ac:dyDescent="0.25">
      <c r="A1238" s="9" t="s">
        <v>141</v>
      </c>
      <c r="B1238" s="50">
        <v>0.11466999999999999</v>
      </c>
      <c r="C1238" s="50">
        <v>0.52</v>
      </c>
      <c r="D1238" s="50">
        <f t="shared" si="688"/>
        <v>0.22051923076923072</v>
      </c>
      <c r="E1238" s="50" t="s">
        <v>22</v>
      </c>
      <c r="F1238" s="9" t="s">
        <v>22</v>
      </c>
      <c r="G1238" s="9" t="s">
        <v>22</v>
      </c>
      <c r="H1238" s="9" t="s">
        <v>22</v>
      </c>
      <c r="I1238" s="9" t="s">
        <v>22</v>
      </c>
      <c r="J1238" s="50" t="s">
        <v>22</v>
      </c>
      <c r="K1238" s="9" t="s">
        <v>22</v>
      </c>
      <c r="L1238" s="50"/>
      <c r="M1238" s="9" t="s">
        <v>45</v>
      </c>
      <c r="N1238" s="50" t="s">
        <v>22</v>
      </c>
      <c r="O1238" s="50" t="s">
        <v>22</v>
      </c>
      <c r="P1238" s="50" t="s">
        <v>22</v>
      </c>
      <c r="Q1238" s="50"/>
      <c r="R1238" s="50" t="s">
        <v>22</v>
      </c>
      <c r="S1238" s="50" t="s">
        <v>22</v>
      </c>
      <c r="T1238" s="50" t="s">
        <v>22</v>
      </c>
      <c r="U1238" s="50" t="s">
        <v>22</v>
      </c>
      <c r="V1238" s="9">
        <v>20210320</v>
      </c>
      <c r="W1238" s="21" t="s">
        <v>1076</v>
      </c>
      <c r="X1238" s="21">
        <v>2020</v>
      </c>
      <c r="Y1238" s="9" t="s">
        <v>76</v>
      </c>
      <c r="Z1238" s="9" t="s">
        <v>124</v>
      </c>
      <c r="AA1238" s="9" t="s">
        <v>737</v>
      </c>
      <c r="AB1238" s="50">
        <f>(236.27*10^2)*10^-6</f>
        <v>2.3626999999999999E-2</v>
      </c>
      <c r="AC1238" s="9" t="s">
        <v>514</v>
      </c>
      <c r="AD1238" s="50" t="s">
        <v>22</v>
      </c>
      <c r="AE1238" s="50" t="s">
        <v>22</v>
      </c>
      <c r="AF1238" s="50" t="s">
        <v>22</v>
      </c>
      <c r="AG1238" s="50" t="s">
        <v>22</v>
      </c>
      <c r="AH1238" s="50" t="s">
        <v>22</v>
      </c>
      <c r="AI1238" s="50" t="s">
        <v>22</v>
      </c>
      <c r="AJ1238" s="50" t="s">
        <v>22</v>
      </c>
      <c r="AK1238" s="50" t="s">
        <v>22</v>
      </c>
      <c r="AL1238" s="50" t="s">
        <v>22</v>
      </c>
      <c r="AM1238" s="43" t="e">
        <f t="shared" si="666"/>
        <v>#VALUE!</v>
      </c>
      <c r="AN1238" s="43" t="e">
        <f t="shared" si="667"/>
        <v>#VALUE!</v>
      </c>
      <c r="AO1238" s="21" t="s">
        <v>1240</v>
      </c>
      <c r="AT1238" s="2">
        <f t="shared" si="668"/>
        <v>9</v>
      </c>
      <c r="AU1238" s="45">
        <f t="shared" si="669"/>
        <v>-0.94055018749203911</v>
      </c>
      <c r="AV1238" s="45">
        <f t="shared" si="670"/>
        <v>-0.28399665636520083</v>
      </c>
      <c r="AW1238" s="45">
        <f t="shared" si="671"/>
        <v>-0.65655353112683834</v>
      </c>
      <c r="AX1238" s="45" t="e">
        <f t="shared" si="672"/>
        <v>#VALUE!</v>
      </c>
      <c r="AY1238" s="45" t="e">
        <f t="shared" si="673"/>
        <v>#VALUE!</v>
      </c>
      <c r="AZ1238" s="45" t="e">
        <f t="shared" si="674"/>
        <v>#VALUE!</v>
      </c>
      <c r="BA1238" s="45" t="e">
        <f t="shared" si="675"/>
        <v>#VALUE!</v>
      </c>
      <c r="BB1238" s="45" t="e">
        <f t="shared" si="676"/>
        <v>#NUM!</v>
      </c>
      <c r="BC1238" s="45" t="e">
        <f t="shared" si="677"/>
        <v>#VALUE!</v>
      </c>
      <c r="BD1238" s="45" t="e">
        <f t="shared" si="678"/>
        <v>#VALUE!</v>
      </c>
      <c r="BE1238" s="45" t="e">
        <f t="shared" si="679"/>
        <v>#VALUE!</v>
      </c>
      <c r="BF1238" s="45" t="e">
        <f t="shared" si="680"/>
        <v>#VALUE!</v>
      </c>
      <c r="BG1238" s="45" t="e">
        <f t="shared" si="681"/>
        <v>#VALUE!</v>
      </c>
      <c r="BH1238" s="45">
        <f t="shared" si="682"/>
        <v>-1.6265914187044048</v>
      </c>
      <c r="BI1238" s="43" t="e">
        <f t="shared" si="683"/>
        <v>#VALUE!</v>
      </c>
      <c r="BL1238" s="20"/>
      <c r="BM1238" s="50"/>
      <c r="BN1238" s="50"/>
      <c r="BO1238" s="50"/>
      <c r="BP1238" s="50"/>
      <c r="BQ1238" s="50"/>
      <c r="BR1238" s="50"/>
      <c r="BU1238" s="50"/>
      <c r="BV1238" s="50"/>
      <c r="BW1238" s="50"/>
      <c r="BX1238" s="50"/>
      <c r="BY1238" s="50"/>
      <c r="BZ1238" s="50"/>
      <c r="CA1238" s="50" t="s">
        <v>22</v>
      </c>
      <c r="CE1238" s="50"/>
      <c r="CF1238" s="50"/>
      <c r="CG1238" s="50"/>
      <c r="CH1238" s="50"/>
      <c r="CI1238" s="50" t="str">
        <f t="shared" si="686"/>
        <v>Not Reported/ Can not calculate</v>
      </c>
      <c r="CJ1238" s="50" t="e">
        <f t="shared" si="687"/>
        <v>#VALUE!</v>
      </c>
      <c r="CL1238" s="9" t="s">
        <v>1269</v>
      </c>
      <c r="CM1238" s="9" t="s">
        <v>1284</v>
      </c>
      <c r="CN1238" s="55" t="s">
        <v>1284</v>
      </c>
      <c r="CO1238" s="9" t="s">
        <v>1284</v>
      </c>
    </row>
    <row r="1239" spans="1:93" s="9" customFormat="1" x14ac:dyDescent="0.25">
      <c r="A1239" s="9" t="s">
        <v>141</v>
      </c>
      <c r="B1239" s="50">
        <v>5.8948E-2</v>
      </c>
      <c r="C1239" s="50">
        <v>0.49</v>
      </c>
      <c r="D1239" s="50">
        <f t="shared" si="688"/>
        <v>0.12030204081632653</v>
      </c>
      <c r="E1239" s="50" t="s">
        <v>22</v>
      </c>
      <c r="F1239" s="9" t="s">
        <v>22</v>
      </c>
      <c r="G1239" s="9" t="s">
        <v>22</v>
      </c>
      <c r="H1239" s="9" t="s">
        <v>22</v>
      </c>
      <c r="I1239" s="9" t="s">
        <v>22</v>
      </c>
      <c r="J1239" s="50" t="s">
        <v>22</v>
      </c>
      <c r="K1239" s="9" t="s">
        <v>22</v>
      </c>
      <c r="L1239" s="50"/>
      <c r="M1239" s="9" t="s">
        <v>45</v>
      </c>
      <c r="N1239" s="50" t="s">
        <v>22</v>
      </c>
      <c r="O1239" s="50" t="s">
        <v>22</v>
      </c>
      <c r="P1239" s="50" t="s">
        <v>22</v>
      </c>
      <c r="Q1239" s="50"/>
      <c r="R1239" s="50" t="s">
        <v>22</v>
      </c>
      <c r="S1239" s="50" t="s">
        <v>22</v>
      </c>
      <c r="T1239" s="50" t="s">
        <v>22</v>
      </c>
      <c r="U1239" s="50" t="s">
        <v>22</v>
      </c>
      <c r="V1239" s="9">
        <v>20210320</v>
      </c>
      <c r="W1239" s="21" t="s">
        <v>1076</v>
      </c>
      <c r="X1239" s="21">
        <v>2020</v>
      </c>
      <c r="Y1239" s="9" t="s">
        <v>76</v>
      </c>
      <c r="Z1239" s="9" t="s">
        <v>124</v>
      </c>
      <c r="AA1239" s="9" t="s">
        <v>737</v>
      </c>
      <c r="AB1239" s="50">
        <f>(236.27*10^2)*10^-6</f>
        <v>2.3626999999999999E-2</v>
      </c>
      <c r="AC1239" s="9" t="s">
        <v>514</v>
      </c>
      <c r="AD1239" s="50" t="s">
        <v>22</v>
      </c>
      <c r="AE1239" s="50" t="s">
        <v>22</v>
      </c>
      <c r="AF1239" s="50" t="s">
        <v>22</v>
      </c>
      <c r="AG1239" s="50" t="s">
        <v>22</v>
      </c>
      <c r="AH1239" s="50" t="s">
        <v>22</v>
      </c>
      <c r="AI1239" s="50" t="s">
        <v>22</v>
      </c>
      <c r="AJ1239" s="50" t="s">
        <v>22</v>
      </c>
      <c r="AK1239" s="50" t="s">
        <v>22</v>
      </c>
      <c r="AL1239" s="50" t="s">
        <v>22</v>
      </c>
      <c r="AM1239" s="43" t="e">
        <f t="shared" si="666"/>
        <v>#VALUE!</v>
      </c>
      <c r="AN1239" s="43" t="e">
        <f t="shared" si="667"/>
        <v>#VALUE!</v>
      </c>
      <c r="AO1239" s="21" t="s">
        <v>1240</v>
      </c>
      <c r="AT1239" s="2">
        <f t="shared" si="668"/>
        <v>9</v>
      </c>
      <c r="AU1239" s="45">
        <f t="shared" si="669"/>
        <v>-1.2295309251524116</v>
      </c>
      <c r="AV1239" s="45">
        <f t="shared" si="670"/>
        <v>-0.30980391997148632</v>
      </c>
      <c r="AW1239" s="45">
        <f t="shared" si="671"/>
        <v>-0.91972700518092521</v>
      </c>
      <c r="AX1239" s="45" t="e">
        <f t="shared" si="672"/>
        <v>#VALUE!</v>
      </c>
      <c r="AY1239" s="45" t="e">
        <f t="shared" si="673"/>
        <v>#VALUE!</v>
      </c>
      <c r="AZ1239" s="45" t="e">
        <f t="shared" si="674"/>
        <v>#VALUE!</v>
      </c>
      <c r="BA1239" s="45" t="e">
        <f t="shared" si="675"/>
        <v>#VALUE!</v>
      </c>
      <c r="BB1239" s="45" t="e">
        <f t="shared" si="676"/>
        <v>#NUM!</v>
      </c>
      <c r="BC1239" s="45" t="e">
        <f t="shared" si="677"/>
        <v>#VALUE!</v>
      </c>
      <c r="BD1239" s="45" t="e">
        <f t="shared" si="678"/>
        <v>#VALUE!</v>
      </c>
      <c r="BE1239" s="45" t="e">
        <f t="shared" si="679"/>
        <v>#VALUE!</v>
      </c>
      <c r="BF1239" s="45" t="e">
        <f t="shared" si="680"/>
        <v>#VALUE!</v>
      </c>
      <c r="BG1239" s="45" t="e">
        <f t="shared" si="681"/>
        <v>#VALUE!</v>
      </c>
      <c r="BH1239" s="45">
        <f t="shared" si="682"/>
        <v>-1.6265914187044048</v>
      </c>
      <c r="BI1239" s="43" t="e">
        <f t="shared" si="683"/>
        <v>#VALUE!</v>
      </c>
      <c r="BL1239" s="20"/>
      <c r="BM1239" s="50"/>
      <c r="BN1239" s="50"/>
      <c r="BO1239" s="50"/>
      <c r="BP1239" s="50"/>
      <c r="BQ1239" s="50"/>
      <c r="BR1239" s="50"/>
      <c r="BU1239" s="50"/>
      <c r="BV1239" s="50"/>
      <c r="BW1239" s="50"/>
      <c r="BX1239" s="50"/>
      <c r="BY1239" s="50"/>
      <c r="BZ1239" s="50"/>
      <c r="CA1239" s="50" t="s">
        <v>22</v>
      </c>
      <c r="CE1239" s="50"/>
      <c r="CF1239" s="50"/>
      <c r="CG1239" s="50"/>
      <c r="CH1239" s="50"/>
      <c r="CI1239" s="50" t="str">
        <f t="shared" si="686"/>
        <v>Not Reported/ Can not calculate</v>
      </c>
      <c r="CJ1239" s="50" t="e">
        <f t="shared" si="687"/>
        <v>#VALUE!</v>
      </c>
      <c r="CL1239" s="9" t="s">
        <v>1269</v>
      </c>
      <c r="CM1239" s="9" t="s">
        <v>1284</v>
      </c>
      <c r="CN1239" s="55" t="s">
        <v>1284</v>
      </c>
      <c r="CO1239" s="9" t="s">
        <v>1284</v>
      </c>
    </row>
    <row r="1240" spans="1:93" s="9" customFormat="1" x14ac:dyDescent="0.25">
      <c r="A1240" s="9" t="s">
        <v>141</v>
      </c>
      <c r="B1240" s="50">
        <v>4.4477999999999997E-2</v>
      </c>
      <c r="C1240" s="50">
        <v>0.31</v>
      </c>
      <c r="D1240" s="50">
        <f t="shared" si="688"/>
        <v>0.14347741935483871</v>
      </c>
      <c r="E1240" s="50" t="s">
        <v>22</v>
      </c>
      <c r="F1240" s="9" t="s">
        <v>22</v>
      </c>
      <c r="G1240" s="9" t="s">
        <v>22</v>
      </c>
      <c r="H1240" s="9" t="s">
        <v>22</v>
      </c>
      <c r="I1240" s="9" t="s">
        <v>22</v>
      </c>
      <c r="J1240" s="50" t="s">
        <v>22</v>
      </c>
      <c r="K1240" s="9" t="s">
        <v>22</v>
      </c>
      <c r="L1240" s="50"/>
      <c r="M1240" s="9" t="s">
        <v>45</v>
      </c>
      <c r="N1240" s="50" t="s">
        <v>22</v>
      </c>
      <c r="O1240" s="50" t="s">
        <v>22</v>
      </c>
      <c r="P1240" s="50" t="s">
        <v>22</v>
      </c>
      <c r="Q1240" s="50"/>
      <c r="R1240" s="50" t="s">
        <v>22</v>
      </c>
      <c r="S1240" s="50" t="s">
        <v>22</v>
      </c>
      <c r="T1240" s="50" t="s">
        <v>22</v>
      </c>
      <c r="U1240" s="50" t="s">
        <v>22</v>
      </c>
      <c r="V1240" s="9">
        <v>20210320</v>
      </c>
      <c r="W1240" s="21" t="s">
        <v>1076</v>
      </c>
      <c r="X1240" s="21">
        <v>2020</v>
      </c>
      <c r="Y1240" s="9" t="s">
        <v>76</v>
      </c>
      <c r="Z1240" s="9" t="s">
        <v>124</v>
      </c>
      <c r="AA1240" s="9" t="s">
        <v>737</v>
      </c>
      <c r="AB1240" s="50">
        <f>(236.27*10^2)*10^-6</f>
        <v>2.3626999999999999E-2</v>
      </c>
      <c r="AC1240" s="9" t="s">
        <v>514</v>
      </c>
      <c r="AD1240" s="50" t="s">
        <v>22</v>
      </c>
      <c r="AE1240" s="50" t="s">
        <v>22</v>
      </c>
      <c r="AF1240" s="50" t="s">
        <v>22</v>
      </c>
      <c r="AG1240" s="50" t="s">
        <v>22</v>
      </c>
      <c r="AH1240" s="50" t="s">
        <v>22</v>
      </c>
      <c r="AI1240" s="50" t="s">
        <v>22</v>
      </c>
      <c r="AJ1240" s="50" t="s">
        <v>22</v>
      </c>
      <c r="AK1240" s="50" t="s">
        <v>22</v>
      </c>
      <c r="AL1240" s="50" t="s">
        <v>22</v>
      </c>
      <c r="AM1240" s="43" t="e">
        <f t="shared" si="666"/>
        <v>#VALUE!</v>
      </c>
      <c r="AN1240" s="43" t="e">
        <f t="shared" si="667"/>
        <v>#VALUE!</v>
      </c>
      <c r="AO1240" s="21" t="s">
        <v>1240</v>
      </c>
      <c r="AT1240" s="2">
        <f t="shared" si="668"/>
        <v>9</v>
      </c>
      <c r="AU1240" s="45">
        <f t="shared" si="669"/>
        <v>-1.3518547494946145</v>
      </c>
      <c r="AV1240" s="45">
        <f t="shared" si="670"/>
        <v>-0.50863830616572736</v>
      </c>
      <c r="AW1240" s="45">
        <f t="shared" si="671"/>
        <v>-0.84321644332888723</v>
      </c>
      <c r="AX1240" s="45" t="e">
        <f t="shared" si="672"/>
        <v>#VALUE!</v>
      </c>
      <c r="AY1240" s="45" t="e">
        <f t="shared" si="673"/>
        <v>#VALUE!</v>
      </c>
      <c r="AZ1240" s="45" t="e">
        <f t="shared" si="674"/>
        <v>#VALUE!</v>
      </c>
      <c r="BA1240" s="45" t="e">
        <f t="shared" si="675"/>
        <v>#VALUE!</v>
      </c>
      <c r="BB1240" s="45" t="e">
        <f t="shared" si="676"/>
        <v>#NUM!</v>
      </c>
      <c r="BC1240" s="45" t="e">
        <f t="shared" si="677"/>
        <v>#VALUE!</v>
      </c>
      <c r="BD1240" s="45" t="e">
        <f t="shared" si="678"/>
        <v>#VALUE!</v>
      </c>
      <c r="BE1240" s="45" t="e">
        <f t="shared" si="679"/>
        <v>#VALUE!</v>
      </c>
      <c r="BF1240" s="45" t="e">
        <f t="shared" si="680"/>
        <v>#VALUE!</v>
      </c>
      <c r="BG1240" s="45" t="e">
        <f t="shared" si="681"/>
        <v>#VALUE!</v>
      </c>
      <c r="BH1240" s="45">
        <f t="shared" si="682"/>
        <v>-1.6265914187044048</v>
      </c>
      <c r="BI1240" s="43" t="e">
        <f t="shared" si="683"/>
        <v>#VALUE!</v>
      </c>
      <c r="BL1240" s="20"/>
      <c r="BM1240" s="50"/>
      <c r="BN1240" s="50"/>
      <c r="BO1240" s="50"/>
      <c r="BP1240" s="50"/>
      <c r="BQ1240" s="50"/>
      <c r="BR1240" s="50"/>
      <c r="BU1240" s="50"/>
      <c r="BV1240" s="50"/>
      <c r="BW1240" s="50"/>
      <c r="BX1240" s="50"/>
      <c r="BY1240" s="50"/>
      <c r="BZ1240" s="50"/>
      <c r="CA1240" s="50" t="s">
        <v>22</v>
      </c>
      <c r="CE1240" s="50"/>
      <c r="CF1240" s="50"/>
      <c r="CG1240" s="50"/>
      <c r="CH1240" s="50"/>
      <c r="CI1240" s="50" t="str">
        <f t="shared" si="686"/>
        <v>Not Reported/ Can not calculate</v>
      </c>
      <c r="CJ1240" s="50" t="e">
        <f t="shared" si="687"/>
        <v>#VALUE!</v>
      </c>
      <c r="CL1240" s="9" t="s">
        <v>1269</v>
      </c>
      <c r="CM1240" s="9" t="s">
        <v>1284</v>
      </c>
      <c r="CN1240" s="55" t="s">
        <v>1284</v>
      </c>
      <c r="CO1240" s="9" t="s">
        <v>1284</v>
      </c>
    </row>
    <row r="1241" spans="1:93" s="9" customFormat="1" x14ac:dyDescent="0.25">
      <c r="A1241" s="9" t="s">
        <v>141</v>
      </c>
      <c r="B1241" s="50">
        <v>3.3767999999999999E-2</v>
      </c>
      <c r="C1241" s="50">
        <v>0.57999999999999996</v>
      </c>
      <c r="D1241" s="50">
        <f t="shared" si="688"/>
        <v>5.8220689655172415E-2</v>
      </c>
      <c r="E1241" s="50" t="s">
        <v>22</v>
      </c>
      <c r="F1241" s="9" t="s">
        <v>22</v>
      </c>
      <c r="G1241" s="9" t="s">
        <v>22</v>
      </c>
      <c r="H1241" s="9" t="s">
        <v>22</v>
      </c>
      <c r="I1241" s="9" t="s">
        <v>22</v>
      </c>
      <c r="J1241" s="50" t="s">
        <v>22</v>
      </c>
      <c r="K1241" s="9" t="s">
        <v>22</v>
      </c>
      <c r="L1241" s="50"/>
      <c r="M1241" s="9" t="s">
        <v>45</v>
      </c>
      <c r="N1241" s="50" t="s">
        <v>22</v>
      </c>
      <c r="O1241" s="50" t="s">
        <v>22</v>
      </c>
      <c r="P1241" s="50" t="s">
        <v>22</v>
      </c>
      <c r="Q1241" s="50"/>
      <c r="R1241" s="50" t="s">
        <v>22</v>
      </c>
      <c r="S1241" s="50" t="s">
        <v>22</v>
      </c>
      <c r="T1241" s="50" t="s">
        <v>22</v>
      </c>
      <c r="U1241" s="50" t="s">
        <v>22</v>
      </c>
      <c r="V1241" s="9">
        <v>20210320</v>
      </c>
      <c r="W1241" s="21" t="s">
        <v>1076</v>
      </c>
      <c r="X1241" s="21">
        <v>2020</v>
      </c>
      <c r="Y1241" s="9" t="s">
        <v>76</v>
      </c>
      <c r="Z1241" s="9" t="s">
        <v>124</v>
      </c>
      <c r="AA1241" s="9" t="s">
        <v>737</v>
      </c>
      <c r="AB1241" s="50">
        <f>(162.65*10^2)*10^-6</f>
        <v>1.6264999999999998E-2</v>
      </c>
      <c r="AC1241" s="9" t="s">
        <v>514</v>
      </c>
      <c r="AD1241" s="50" t="s">
        <v>22</v>
      </c>
      <c r="AE1241" s="50" t="s">
        <v>22</v>
      </c>
      <c r="AF1241" s="50" t="s">
        <v>22</v>
      </c>
      <c r="AG1241" s="50" t="s">
        <v>22</v>
      </c>
      <c r="AH1241" s="50" t="s">
        <v>22</v>
      </c>
      <c r="AI1241" s="50" t="s">
        <v>22</v>
      </c>
      <c r="AJ1241" s="50" t="s">
        <v>22</v>
      </c>
      <c r="AK1241" s="50" t="s">
        <v>22</v>
      </c>
      <c r="AL1241" s="50" t="s">
        <v>22</v>
      </c>
      <c r="AM1241" s="43" t="e">
        <f t="shared" si="666"/>
        <v>#VALUE!</v>
      </c>
      <c r="AN1241" s="43" t="e">
        <f t="shared" si="667"/>
        <v>#VALUE!</v>
      </c>
      <c r="AO1241" s="21" t="s">
        <v>1240</v>
      </c>
      <c r="AT1241" s="2">
        <f t="shared" si="668"/>
        <v>9</v>
      </c>
      <c r="AU1241" s="45">
        <f t="shared" si="669"/>
        <v>-1.4714946608536483</v>
      </c>
      <c r="AV1241" s="45">
        <f t="shared" si="670"/>
        <v>-0.23657200643706275</v>
      </c>
      <c r="AW1241" s="45">
        <f t="shared" si="671"/>
        <v>-1.2349226544165854</v>
      </c>
      <c r="AX1241" s="45" t="e">
        <f t="shared" si="672"/>
        <v>#VALUE!</v>
      </c>
      <c r="AY1241" s="45" t="e">
        <f t="shared" si="673"/>
        <v>#VALUE!</v>
      </c>
      <c r="AZ1241" s="45" t="e">
        <f t="shared" si="674"/>
        <v>#VALUE!</v>
      </c>
      <c r="BA1241" s="45" t="e">
        <f t="shared" si="675"/>
        <v>#VALUE!</v>
      </c>
      <c r="BB1241" s="45" t="e">
        <f t="shared" si="676"/>
        <v>#NUM!</v>
      </c>
      <c r="BC1241" s="45" t="e">
        <f t="shared" si="677"/>
        <v>#VALUE!</v>
      </c>
      <c r="BD1241" s="45" t="e">
        <f t="shared" si="678"/>
        <v>#VALUE!</v>
      </c>
      <c r="BE1241" s="45" t="e">
        <f t="shared" si="679"/>
        <v>#VALUE!</v>
      </c>
      <c r="BF1241" s="45" t="e">
        <f t="shared" si="680"/>
        <v>#VALUE!</v>
      </c>
      <c r="BG1241" s="45" t="e">
        <f t="shared" si="681"/>
        <v>#VALUE!</v>
      </c>
      <c r="BH1241" s="45">
        <f t="shared" si="682"/>
        <v>-1.7887459323821278</v>
      </c>
      <c r="BI1241" s="43" t="e">
        <f t="shared" si="683"/>
        <v>#VALUE!</v>
      </c>
      <c r="BL1241" s="20"/>
      <c r="BM1241" s="50"/>
      <c r="BN1241" s="50"/>
      <c r="BO1241" s="50"/>
      <c r="BP1241" s="50"/>
      <c r="BQ1241" s="50"/>
      <c r="BR1241" s="50"/>
      <c r="BU1241" s="50"/>
      <c r="BV1241" s="50"/>
      <c r="BW1241" s="50"/>
      <c r="BX1241" s="50"/>
      <c r="BY1241" s="50"/>
      <c r="BZ1241" s="50"/>
      <c r="CA1241" s="50" t="s">
        <v>22</v>
      </c>
      <c r="CE1241" s="50"/>
      <c r="CF1241" s="50"/>
      <c r="CG1241" s="50"/>
      <c r="CH1241" s="50"/>
      <c r="CI1241" s="50" t="str">
        <f t="shared" si="686"/>
        <v>Not Reported/ Can not calculate</v>
      </c>
      <c r="CJ1241" s="50" t="e">
        <f t="shared" si="687"/>
        <v>#VALUE!</v>
      </c>
      <c r="CL1241" s="9" t="s">
        <v>1269</v>
      </c>
      <c r="CM1241" s="9" t="s">
        <v>1284</v>
      </c>
      <c r="CN1241" s="55" t="s">
        <v>1284</v>
      </c>
      <c r="CO1241" s="9" t="s">
        <v>1284</v>
      </c>
    </row>
    <row r="1242" spans="1:93" s="9" customFormat="1" x14ac:dyDescent="0.25">
      <c r="A1242" s="9" t="s">
        <v>141</v>
      </c>
      <c r="B1242" s="50">
        <v>5.5220000000000005E-2</v>
      </c>
      <c r="C1242" s="50">
        <v>0.4</v>
      </c>
      <c r="D1242" s="50">
        <f t="shared" si="688"/>
        <v>0.13805000000000001</v>
      </c>
      <c r="E1242" s="50" t="s">
        <v>22</v>
      </c>
      <c r="F1242" s="9" t="s">
        <v>22</v>
      </c>
      <c r="G1242" s="9" t="s">
        <v>22</v>
      </c>
      <c r="H1242" s="9" t="s">
        <v>22</v>
      </c>
      <c r="I1242" s="9" t="s">
        <v>22</v>
      </c>
      <c r="J1242" s="50" t="s">
        <v>22</v>
      </c>
      <c r="K1242" s="9" t="s">
        <v>22</v>
      </c>
      <c r="L1242" s="50"/>
      <c r="M1242" s="9" t="s">
        <v>45</v>
      </c>
      <c r="N1242" s="50" t="s">
        <v>22</v>
      </c>
      <c r="O1242" s="50" t="s">
        <v>22</v>
      </c>
      <c r="P1242" s="50" t="s">
        <v>22</v>
      </c>
      <c r="Q1242" s="50"/>
      <c r="R1242" s="50" t="s">
        <v>22</v>
      </c>
      <c r="S1242" s="50" t="s">
        <v>22</v>
      </c>
      <c r="T1242" s="50" t="s">
        <v>22</v>
      </c>
      <c r="U1242" s="50" t="s">
        <v>22</v>
      </c>
      <c r="V1242" s="9">
        <v>20210320</v>
      </c>
      <c r="W1242" s="21" t="s">
        <v>1076</v>
      </c>
      <c r="X1242" s="21">
        <v>2020</v>
      </c>
      <c r="Y1242" s="9" t="s">
        <v>76</v>
      </c>
      <c r="Z1242" s="9" t="s">
        <v>124</v>
      </c>
      <c r="AA1242" s="9" t="s">
        <v>737</v>
      </c>
      <c r="AB1242" s="50">
        <f>(162.65*10^2)*10^-6</f>
        <v>1.6264999999999998E-2</v>
      </c>
      <c r="AC1242" s="9" t="s">
        <v>514</v>
      </c>
      <c r="AD1242" s="50" t="s">
        <v>22</v>
      </c>
      <c r="AE1242" s="50" t="s">
        <v>22</v>
      </c>
      <c r="AF1242" s="50" t="s">
        <v>22</v>
      </c>
      <c r="AG1242" s="50" t="s">
        <v>22</v>
      </c>
      <c r="AH1242" s="50" t="s">
        <v>22</v>
      </c>
      <c r="AI1242" s="50" t="s">
        <v>22</v>
      </c>
      <c r="AJ1242" s="50" t="s">
        <v>22</v>
      </c>
      <c r="AK1242" s="50" t="s">
        <v>22</v>
      </c>
      <c r="AL1242" s="50" t="s">
        <v>22</v>
      </c>
      <c r="AM1242" s="43" t="e">
        <f t="shared" si="666"/>
        <v>#VALUE!</v>
      </c>
      <c r="AN1242" s="43" t="e">
        <f t="shared" si="667"/>
        <v>#VALUE!</v>
      </c>
      <c r="AO1242" s="21" t="s">
        <v>1240</v>
      </c>
      <c r="AT1242" s="2">
        <f t="shared" si="668"/>
        <v>9</v>
      </c>
      <c r="AU1242" s="45">
        <f t="shared" si="669"/>
        <v>-1.2579035976967556</v>
      </c>
      <c r="AV1242" s="45">
        <f t="shared" si="670"/>
        <v>-0.3979400086720376</v>
      </c>
      <c r="AW1242" s="45">
        <f t="shared" si="671"/>
        <v>-0.85996358902471803</v>
      </c>
      <c r="AX1242" s="45" t="e">
        <f t="shared" si="672"/>
        <v>#VALUE!</v>
      </c>
      <c r="AY1242" s="45" t="e">
        <f t="shared" si="673"/>
        <v>#VALUE!</v>
      </c>
      <c r="AZ1242" s="45" t="e">
        <f t="shared" si="674"/>
        <v>#VALUE!</v>
      </c>
      <c r="BA1242" s="45" t="e">
        <f t="shared" si="675"/>
        <v>#VALUE!</v>
      </c>
      <c r="BB1242" s="45" t="e">
        <f t="shared" si="676"/>
        <v>#NUM!</v>
      </c>
      <c r="BC1242" s="45" t="e">
        <f t="shared" si="677"/>
        <v>#VALUE!</v>
      </c>
      <c r="BD1242" s="45" t="e">
        <f t="shared" si="678"/>
        <v>#VALUE!</v>
      </c>
      <c r="BE1242" s="45" t="e">
        <f t="shared" si="679"/>
        <v>#VALUE!</v>
      </c>
      <c r="BF1242" s="45" t="e">
        <f t="shared" si="680"/>
        <v>#VALUE!</v>
      </c>
      <c r="BG1242" s="45" t="e">
        <f t="shared" si="681"/>
        <v>#VALUE!</v>
      </c>
      <c r="BH1242" s="45">
        <f t="shared" si="682"/>
        <v>-1.7887459323821278</v>
      </c>
      <c r="BI1242" s="43" t="e">
        <f t="shared" si="683"/>
        <v>#VALUE!</v>
      </c>
      <c r="BL1242" s="20"/>
      <c r="BM1242" s="50"/>
      <c r="BN1242" s="50"/>
      <c r="BO1242" s="50"/>
      <c r="BP1242" s="50"/>
      <c r="BQ1242" s="50"/>
      <c r="BR1242" s="50"/>
      <c r="BU1242" s="50"/>
      <c r="BV1242" s="50"/>
      <c r="BW1242" s="50"/>
      <c r="BX1242" s="50"/>
      <c r="BY1242" s="50"/>
      <c r="BZ1242" s="50"/>
      <c r="CA1242" s="50" t="s">
        <v>22</v>
      </c>
      <c r="CE1242" s="50"/>
      <c r="CF1242" s="50"/>
      <c r="CG1242" s="50"/>
      <c r="CH1242" s="50"/>
      <c r="CI1242" s="50" t="str">
        <f t="shared" si="686"/>
        <v>Not Reported/ Can not calculate</v>
      </c>
      <c r="CJ1242" s="50" t="e">
        <f t="shared" si="687"/>
        <v>#VALUE!</v>
      </c>
      <c r="CL1242" s="9" t="s">
        <v>1269</v>
      </c>
      <c r="CM1242" s="9" t="s">
        <v>1284</v>
      </c>
      <c r="CN1242" s="55" t="s">
        <v>1284</v>
      </c>
      <c r="CO1242" s="9" t="s">
        <v>1284</v>
      </c>
    </row>
    <row r="1243" spans="1:93" x14ac:dyDescent="0.25">
      <c r="A1243" s="18" t="s">
        <v>266</v>
      </c>
      <c r="B1243" s="41" t="s">
        <v>22</v>
      </c>
      <c r="C1243" s="41" t="s">
        <v>22</v>
      </c>
      <c r="D1243" s="41" t="s">
        <v>22</v>
      </c>
      <c r="E1243" s="41" t="s">
        <v>22</v>
      </c>
      <c r="F1243" s="18">
        <v>3.6</v>
      </c>
      <c r="G1243" s="18" t="s">
        <v>52</v>
      </c>
      <c r="H1243" s="18">
        <v>32.5</v>
      </c>
      <c r="I1243" s="18" t="s">
        <v>187</v>
      </c>
      <c r="J1243" s="41">
        <v>12.6</v>
      </c>
      <c r="K1243" s="18">
        <v>532</v>
      </c>
      <c r="L1243" s="41">
        <f>IF((10^-12)*J1243*K1243^4=0,"",(10^-12)*J1243*K1243^4)</f>
        <v>1.0092925656575999</v>
      </c>
      <c r="M1243" s="18" t="s">
        <v>23</v>
      </c>
      <c r="N1243" s="41" t="s">
        <v>22</v>
      </c>
      <c r="O1243" s="41">
        <v>2.2999999999999998</v>
      </c>
      <c r="P1243" s="41" t="s">
        <v>22</v>
      </c>
      <c r="R1243" s="41" t="s">
        <v>22</v>
      </c>
      <c r="S1243" s="41" t="s">
        <v>22</v>
      </c>
      <c r="T1243" s="41" t="s">
        <v>22</v>
      </c>
      <c r="U1243" s="41" t="s">
        <v>22</v>
      </c>
      <c r="V1243" s="18">
        <v>20200512</v>
      </c>
      <c r="W1243" s="21" t="s">
        <v>32</v>
      </c>
      <c r="X1243" s="6">
        <v>2020</v>
      </c>
      <c r="Y1243" s="18" t="s">
        <v>76</v>
      </c>
      <c r="Z1243" s="18" t="s">
        <v>32</v>
      </c>
      <c r="AA1243" s="18"/>
      <c r="AC1243" s="6" t="s">
        <v>269</v>
      </c>
      <c r="AD1243" s="41" t="s">
        <v>22</v>
      </c>
      <c r="AE1243" s="41">
        <v>1589.8</v>
      </c>
      <c r="AF1243" s="41" t="s">
        <v>22</v>
      </c>
      <c r="AG1243" s="41" t="s">
        <v>22</v>
      </c>
      <c r="AH1243" s="41" t="s">
        <v>22</v>
      </c>
      <c r="AI1243" s="41" t="s">
        <v>22</v>
      </c>
      <c r="AJ1243" s="41" t="s">
        <v>22</v>
      </c>
      <c r="AK1243" s="41" t="s">
        <v>22</v>
      </c>
      <c r="AL1243" s="41" t="s">
        <v>22</v>
      </c>
      <c r="AM1243" s="43" t="e">
        <f t="shared" si="666"/>
        <v>#VALUE!</v>
      </c>
      <c r="AN1243" s="43" t="e">
        <f t="shared" si="667"/>
        <v>#VALUE!</v>
      </c>
      <c r="AO1243" s="21" t="s">
        <v>1118</v>
      </c>
      <c r="AT1243" s="2">
        <f t="shared" si="668"/>
        <v>10</v>
      </c>
      <c r="AU1243" s="45" t="e">
        <f t="shared" si="669"/>
        <v>#VALUE!</v>
      </c>
      <c r="AV1243" s="45" t="e">
        <f t="shared" si="670"/>
        <v>#VALUE!</v>
      </c>
      <c r="AW1243" s="45" t="e">
        <f t="shared" si="671"/>
        <v>#VALUE!</v>
      </c>
      <c r="AX1243" s="45" t="e">
        <f t="shared" si="672"/>
        <v>#VALUE!</v>
      </c>
      <c r="AY1243" s="45">
        <f t="shared" si="673"/>
        <v>0.36172783601759284</v>
      </c>
      <c r="AZ1243" s="45" t="e">
        <f t="shared" si="674"/>
        <v>#VALUE!</v>
      </c>
      <c r="BA1243" s="45">
        <f t="shared" si="675"/>
        <v>1.1003705451175629</v>
      </c>
      <c r="BB1243" s="45">
        <f t="shared" si="676"/>
        <v>4.017074297755609E-3</v>
      </c>
      <c r="BC1243" s="45" t="e">
        <f t="shared" si="677"/>
        <v>#VALUE!</v>
      </c>
      <c r="BD1243" s="45" t="e">
        <f t="shared" si="678"/>
        <v>#VALUE!</v>
      </c>
      <c r="BE1243" s="45" t="e">
        <f t="shared" si="679"/>
        <v>#VALUE!</v>
      </c>
      <c r="BF1243" s="45" t="e">
        <f t="shared" si="680"/>
        <v>#VALUE!</v>
      </c>
      <c r="BG1243" s="45" t="e">
        <f t="shared" si="681"/>
        <v>#VALUE!</v>
      </c>
      <c r="BH1243" s="45" t="e">
        <f t="shared" si="682"/>
        <v>#NUM!</v>
      </c>
      <c r="BI1243" s="43" t="e">
        <f t="shared" si="683"/>
        <v>#VALUE!</v>
      </c>
      <c r="CA1243" s="41" t="s">
        <v>22</v>
      </c>
      <c r="CC1243" t="s">
        <v>22</v>
      </c>
      <c r="CE1243" s="41" t="s">
        <v>22</v>
      </c>
      <c r="CF1243" s="41" t="s">
        <v>22</v>
      </c>
      <c r="CG1243" s="41" t="e">
        <f>AD1243*1000</f>
        <v>#VALUE!</v>
      </c>
      <c r="CH1243" s="41" t="e">
        <f>LOG10(CG1243)</f>
        <v>#VALUE!</v>
      </c>
      <c r="CI1243" s="41" t="str">
        <f>IF(ISNUMBER(CG1243),CG1243,U1243)</f>
        <v>Not Reported/ Can not calculate</v>
      </c>
      <c r="CJ1243" s="41" t="e">
        <f>LOG10(CI1243)</f>
        <v>#VALUE!</v>
      </c>
      <c r="CL1243" s="9" t="s">
        <v>1269</v>
      </c>
      <c r="CM1243" s="18" t="s">
        <v>1284</v>
      </c>
      <c r="CN1243" s="54" t="s">
        <v>1284</v>
      </c>
      <c r="CO1243" s="18" t="s">
        <v>1284</v>
      </c>
    </row>
    <row r="1244" spans="1:93" x14ac:dyDescent="0.25">
      <c r="A1244" s="18" t="s">
        <v>266</v>
      </c>
      <c r="B1244" s="41" t="s">
        <v>22</v>
      </c>
      <c r="C1244" s="41" t="s">
        <v>22</v>
      </c>
      <c r="D1244" s="41" t="s">
        <v>22</v>
      </c>
      <c r="E1244" s="41" t="s">
        <v>22</v>
      </c>
      <c r="F1244" s="18">
        <v>5.7</v>
      </c>
      <c r="G1244" s="18" t="s">
        <v>52</v>
      </c>
      <c r="H1244" s="18">
        <v>15.3</v>
      </c>
      <c r="I1244" s="18" t="s">
        <v>187</v>
      </c>
      <c r="J1244" s="41" t="s">
        <v>22</v>
      </c>
      <c r="K1244" s="18">
        <v>532</v>
      </c>
      <c r="L1244" s="41" t="s">
        <v>22</v>
      </c>
      <c r="M1244" s="18" t="s">
        <v>23</v>
      </c>
      <c r="N1244" s="41" t="s">
        <v>22</v>
      </c>
      <c r="O1244" s="41">
        <v>6.4</v>
      </c>
      <c r="P1244" s="41" t="s">
        <v>22</v>
      </c>
      <c r="R1244" s="41" t="s">
        <v>22</v>
      </c>
      <c r="S1244" s="41" t="s">
        <v>22</v>
      </c>
      <c r="T1244" s="41" t="s">
        <v>22</v>
      </c>
      <c r="U1244" s="41" t="s">
        <v>22</v>
      </c>
      <c r="V1244" s="18">
        <v>20200512</v>
      </c>
      <c r="W1244" s="21" t="s">
        <v>508</v>
      </c>
      <c r="X1244" s="6">
        <v>2020</v>
      </c>
      <c r="Y1244" s="18" t="s">
        <v>76</v>
      </c>
      <c r="Z1244" s="6" t="s">
        <v>263</v>
      </c>
      <c r="AA1244" s="6"/>
      <c r="AB1244" s="47"/>
      <c r="AC1244" s="6" t="s">
        <v>269</v>
      </c>
      <c r="AD1244" s="41" t="s">
        <v>22</v>
      </c>
      <c r="AE1244" s="41" t="s">
        <v>22</v>
      </c>
      <c r="AF1244" s="41" t="s">
        <v>22</v>
      </c>
      <c r="AG1244" s="41" t="s">
        <v>22</v>
      </c>
      <c r="AH1244" s="41" t="s">
        <v>22</v>
      </c>
      <c r="AI1244" s="41" t="s">
        <v>22</v>
      </c>
      <c r="AJ1244" s="41" t="s">
        <v>22</v>
      </c>
      <c r="AK1244" s="41" t="s">
        <v>22</v>
      </c>
      <c r="AL1244" s="41" t="s">
        <v>22</v>
      </c>
      <c r="AM1244" s="43" t="e">
        <f t="shared" si="666"/>
        <v>#VALUE!</v>
      </c>
      <c r="AN1244" s="43" t="e">
        <f t="shared" si="667"/>
        <v>#VALUE!</v>
      </c>
      <c r="AO1244" s="21" t="s">
        <v>1118</v>
      </c>
      <c r="AT1244" s="2">
        <f t="shared" si="668"/>
        <v>10</v>
      </c>
      <c r="AU1244" s="45" t="e">
        <f t="shared" si="669"/>
        <v>#VALUE!</v>
      </c>
      <c r="AV1244" s="45" t="e">
        <f t="shared" si="670"/>
        <v>#VALUE!</v>
      </c>
      <c r="AW1244" s="45" t="e">
        <f t="shared" si="671"/>
        <v>#VALUE!</v>
      </c>
      <c r="AX1244" s="45" t="e">
        <f t="shared" si="672"/>
        <v>#VALUE!</v>
      </c>
      <c r="AY1244" s="45">
        <f t="shared" si="673"/>
        <v>0.80617997398388719</v>
      </c>
      <c r="AZ1244" s="45" t="e">
        <f t="shared" si="674"/>
        <v>#VALUE!</v>
      </c>
      <c r="BA1244" s="45" t="e">
        <f t="shared" si="675"/>
        <v>#VALUE!</v>
      </c>
      <c r="BB1244" s="45" t="e">
        <f t="shared" si="676"/>
        <v>#VALUE!</v>
      </c>
      <c r="BC1244" s="45" t="e">
        <f t="shared" si="677"/>
        <v>#VALUE!</v>
      </c>
      <c r="BD1244" s="45" t="e">
        <f t="shared" si="678"/>
        <v>#VALUE!</v>
      </c>
      <c r="BE1244" s="45" t="e">
        <f t="shared" si="679"/>
        <v>#VALUE!</v>
      </c>
      <c r="BF1244" s="45" t="e">
        <f t="shared" si="680"/>
        <v>#VALUE!</v>
      </c>
      <c r="BG1244" s="45" t="e">
        <f t="shared" si="681"/>
        <v>#VALUE!</v>
      </c>
      <c r="BH1244" s="45" t="e">
        <f t="shared" si="682"/>
        <v>#NUM!</v>
      </c>
      <c r="BI1244" s="43" t="e">
        <f t="shared" si="683"/>
        <v>#VALUE!</v>
      </c>
      <c r="CA1244" s="41" t="s">
        <v>22</v>
      </c>
      <c r="CC1244" t="s">
        <v>22</v>
      </c>
      <c r="CE1244" s="41" t="s">
        <v>22</v>
      </c>
      <c r="CF1244" s="41" t="s">
        <v>22</v>
      </c>
      <c r="CG1244" s="41" t="e">
        <f>AD1244*1000</f>
        <v>#VALUE!</v>
      </c>
      <c r="CH1244" s="41" t="e">
        <f>LOG10(CG1244)</f>
        <v>#VALUE!</v>
      </c>
      <c r="CI1244" s="41" t="str">
        <f>IF(ISNUMBER(CG1244),CG1244,U1244)</f>
        <v>Not Reported/ Can not calculate</v>
      </c>
      <c r="CJ1244" s="41" t="e">
        <f>LOG10(CI1244)</f>
        <v>#VALUE!</v>
      </c>
      <c r="CL1244" s="9" t="s">
        <v>1269</v>
      </c>
      <c r="CM1244" s="18" t="s">
        <v>1284</v>
      </c>
      <c r="CN1244" s="54" t="s">
        <v>1284</v>
      </c>
      <c r="CO1244" s="18" t="s">
        <v>1284</v>
      </c>
    </row>
    <row r="1245" spans="1:93" s="9" customFormat="1" x14ac:dyDescent="0.25">
      <c r="A1245" s="9" t="s">
        <v>141</v>
      </c>
      <c r="B1245" s="50" t="s">
        <v>22</v>
      </c>
      <c r="C1245" s="50" t="s">
        <v>22</v>
      </c>
      <c r="D1245" s="50" t="s">
        <v>22</v>
      </c>
      <c r="E1245" s="50" t="s">
        <v>22</v>
      </c>
      <c r="F1245" s="9" t="s">
        <v>22</v>
      </c>
      <c r="G1245" s="9" t="s">
        <v>22</v>
      </c>
      <c r="H1245" s="9" t="s">
        <v>22</v>
      </c>
      <c r="I1245" s="9" t="s">
        <v>22</v>
      </c>
      <c r="J1245" s="50">
        <v>3.7</v>
      </c>
      <c r="K1245" s="9">
        <v>532</v>
      </c>
      <c r="L1245" s="50">
        <f t="shared" ref="L1245:L1264" si="689">IF((10^-12)*J1245*K1245^4=0,"",(10^-12)*J1245*K1245^4)</f>
        <v>0.29637956293119999</v>
      </c>
      <c r="M1245" s="9" t="s">
        <v>23</v>
      </c>
      <c r="N1245" s="50" t="s">
        <v>22</v>
      </c>
      <c r="O1245" s="50">
        <v>0.28214285714285697</v>
      </c>
      <c r="P1245" s="50" t="s">
        <v>22</v>
      </c>
      <c r="Q1245" s="50"/>
      <c r="R1245" s="50" t="s">
        <v>22</v>
      </c>
      <c r="S1245" s="50" t="s">
        <v>22</v>
      </c>
      <c r="T1245" s="50" t="s">
        <v>22</v>
      </c>
      <c r="U1245" s="50" t="s">
        <v>22</v>
      </c>
      <c r="V1245" s="9">
        <v>20200719</v>
      </c>
      <c r="W1245" s="21" t="s">
        <v>1114</v>
      </c>
      <c r="X1245" s="21">
        <v>2020</v>
      </c>
      <c r="Y1245" s="9" t="s">
        <v>76</v>
      </c>
      <c r="Z1245" s="9" t="s">
        <v>32</v>
      </c>
      <c r="AB1245" s="50"/>
      <c r="AC1245" s="9" t="s">
        <v>514</v>
      </c>
      <c r="AD1245" s="50" t="s">
        <v>22</v>
      </c>
      <c r="AE1245" s="50"/>
      <c r="AF1245" s="50" t="s">
        <v>22</v>
      </c>
      <c r="AG1245" s="50" t="s">
        <v>22</v>
      </c>
      <c r="AH1245" s="50" t="s">
        <v>22</v>
      </c>
      <c r="AI1245" s="50" t="s">
        <v>22</v>
      </c>
      <c r="AJ1245" s="50" t="s">
        <v>22</v>
      </c>
      <c r="AK1245" s="50" t="s">
        <v>22</v>
      </c>
      <c r="AL1245" s="50" t="s">
        <v>22</v>
      </c>
      <c r="AM1245" s="43" t="e">
        <f t="shared" si="666"/>
        <v>#VALUE!</v>
      </c>
      <c r="AN1245" s="43" t="e">
        <f t="shared" si="667"/>
        <v>#VALUE!</v>
      </c>
      <c r="AO1245" s="21" t="s">
        <v>1118</v>
      </c>
      <c r="AT1245" s="2">
        <f t="shared" si="668"/>
        <v>10</v>
      </c>
      <c r="AU1245" s="45" t="e">
        <f t="shared" si="669"/>
        <v>#VALUE!</v>
      </c>
      <c r="AV1245" s="45" t="e">
        <f t="shared" si="670"/>
        <v>#VALUE!</v>
      </c>
      <c r="AW1245" s="45" t="e">
        <f t="shared" si="671"/>
        <v>#VALUE!</v>
      </c>
      <c r="AX1245" s="45" t="e">
        <f t="shared" si="672"/>
        <v>#VALUE!</v>
      </c>
      <c r="AY1245" s="45">
        <f t="shared" si="673"/>
        <v>-0.54953094005177805</v>
      </c>
      <c r="AZ1245" s="45" t="e">
        <f t="shared" si="674"/>
        <v>#VALUE!</v>
      </c>
      <c r="BA1245" s="45">
        <f t="shared" si="675"/>
        <v>0.56820172406699498</v>
      </c>
      <c r="BB1245" s="45">
        <f t="shared" si="676"/>
        <v>-0.52815174675281229</v>
      </c>
      <c r="BC1245" s="45" t="e">
        <f t="shared" si="677"/>
        <v>#VALUE!</v>
      </c>
      <c r="BD1245" s="45" t="e">
        <f t="shared" si="678"/>
        <v>#VALUE!</v>
      </c>
      <c r="BE1245" s="45" t="e">
        <f t="shared" si="679"/>
        <v>#VALUE!</v>
      </c>
      <c r="BF1245" s="45" t="e">
        <f t="shared" si="680"/>
        <v>#VALUE!</v>
      </c>
      <c r="BG1245" s="45" t="e">
        <f t="shared" si="681"/>
        <v>#VALUE!</v>
      </c>
      <c r="BH1245" s="45" t="e">
        <f t="shared" si="682"/>
        <v>#NUM!</v>
      </c>
      <c r="BI1245" s="43" t="e">
        <f t="shared" si="683"/>
        <v>#VALUE!</v>
      </c>
      <c r="BL1245" s="20"/>
      <c r="BM1245" s="50"/>
      <c r="BN1245" s="50"/>
      <c r="BO1245" s="50"/>
      <c r="BP1245" s="50"/>
      <c r="BQ1245" s="50"/>
      <c r="BR1245" s="50"/>
      <c r="BU1245" s="50"/>
      <c r="BV1245" s="50"/>
      <c r="BW1245" s="50"/>
      <c r="BX1245" s="50"/>
      <c r="BY1245" s="50"/>
      <c r="BZ1245" s="50"/>
      <c r="CA1245" s="50" t="s">
        <v>22</v>
      </c>
      <c r="CE1245" s="50"/>
      <c r="CF1245" s="50"/>
      <c r="CG1245" s="50"/>
      <c r="CH1245" s="50"/>
      <c r="CI1245" s="50" t="str">
        <f t="shared" ref="CI1245:CI1292" si="690">IF(ISNUMBER(CG1245),CG1245,U1245)</f>
        <v>Not Reported/ Can not calculate</v>
      </c>
      <c r="CJ1245" s="50" t="e">
        <f t="shared" ref="CJ1245:CJ1292" si="691">LOG10(CI1245)</f>
        <v>#VALUE!</v>
      </c>
      <c r="CL1245" s="9" t="s">
        <v>1269</v>
      </c>
      <c r="CM1245" s="9" t="s">
        <v>1284</v>
      </c>
      <c r="CN1245" s="55" t="s">
        <v>1284</v>
      </c>
      <c r="CO1245" s="9" t="s">
        <v>1284</v>
      </c>
    </row>
    <row r="1246" spans="1:93" s="9" customFormat="1" x14ac:dyDescent="0.25">
      <c r="A1246" s="9" t="s">
        <v>141</v>
      </c>
      <c r="B1246" s="50" t="s">
        <v>22</v>
      </c>
      <c r="C1246" s="50" t="s">
        <v>22</v>
      </c>
      <c r="D1246" s="50" t="s">
        <v>22</v>
      </c>
      <c r="E1246" s="50" t="s">
        <v>22</v>
      </c>
      <c r="F1246" s="9" t="s">
        <v>22</v>
      </c>
      <c r="G1246" s="9" t="s">
        <v>22</v>
      </c>
      <c r="H1246" s="9" t="s">
        <v>22</v>
      </c>
      <c r="I1246" s="9" t="s">
        <v>22</v>
      </c>
      <c r="J1246" s="50">
        <v>4</v>
      </c>
      <c r="K1246" s="9">
        <v>532</v>
      </c>
      <c r="L1246" s="50">
        <f t="shared" si="689"/>
        <v>0.32041033830400001</v>
      </c>
      <c r="M1246" s="9" t="s">
        <v>23</v>
      </c>
      <c r="N1246" s="50" t="s">
        <v>22</v>
      </c>
      <c r="O1246" s="50">
        <v>0.96428571428571397</v>
      </c>
      <c r="P1246" s="50" t="s">
        <v>22</v>
      </c>
      <c r="Q1246" s="50"/>
      <c r="R1246" s="50" t="s">
        <v>22</v>
      </c>
      <c r="S1246" s="50" t="s">
        <v>22</v>
      </c>
      <c r="T1246" s="50" t="s">
        <v>22</v>
      </c>
      <c r="U1246" s="50" t="s">
        <v>22</v>
      </c>
      <c r="V1246" s="9">
        <v>20200719</v>
      </c>
      <c r="W1246" s="21" t="s">
        <v>1115</v>
      </c>
      <c r="X1246" s="21">
        <v>2020</v>
      </c>
      <c r="Y1246" s="9" t="s">
        <v>76</v>
      </c>
      <c r="Z1246" s="9" t="s">
        <v>32</v>
      </c>
      <c r="AB1246" s="50"/>
      <c r="AC1246" s="9" t="s">
        <v>514</v>
      </c>
      <c r="AD1246" s="50" t="s">
        <v>22</v>
      </c>
      <c r="AE1246" s="50"/>
      <c r="AF1246" s="50" t="s">
        <v>22</v>
      </c>
      <c r="AG1246" s="50" t="s">
        <v>22</v>
      </c>
      <c r="AH1246" s="50" t="s">
        <v>22</v>
      </c>
      <c r="AI1246" s="50" t="s">
        <v>22</v>
      </c>
      <c r="AJ1246" s="50" t="s">
        <v>22</v>
      </c>
      <c r="AK1246" s="50" t="s">
        <v>22</v>
      </c>
      <c r="AL1246" s="50" t="s">
        <v>22</v>
      </c>
      <c r="AM1246" s="43" t="e">
        <f t="shared" si="666"/>
        <v>#VALUE!</v>
      </c>
      <c r="AN1246" s="43" t="e">
        <f t="shared" si="667"/>
        <v>#VALUE!</v>
      </c>
      <c r="AO1246" s="21" t="s">
        <v>1118</v>
      </c>
      <c r="AT1246" s="2">
        <f t="shared" si="668"/>
        <v>10</v>
      </c>
      <c r="AU1246" s="45" t="e">
        <f t="shared" si="669"/>
        <v>#VALUE!</v>
      </c>
      <c r="AV1246" s="45" t="e">
        <f t="shared" si="670"/>
        <v>#VALUE!</v>
      </c>
      <c r="AW1246" s="45" t="e">
        <f t="shared" si="671"/>
        <v>#VALUE!</v>
      </c>
      <c r="AX1246" s="45" t="e">
        <f t="shared" si="672"/>
        <v>#VALUE!</v>
      </c>
      <c r="AY1246" s="45">
        <f t="shared" si="673"/>
        <v>-1.5794267183232052E-2</v>
      </c>
      <c r="AZ1246" s="45" t="e">
        <f t="shared" si="674"/>
        <v>#VALUE!</v>
      </c>
      <c r="BA1246" s="45">
        <f t="shared" si="675"/>
        <v>0.6020599913279624</v>
      </c>
      <c r="BB1246" s="45">
        <f t="shared" si="676"/>
        <v>-0.49429347949184488</v>
      </c>
      <c r="BC1246" s="45" t="e">
        <f t="shared" si="677"/>
        <v>#VALUE!</v>
      </c>
      <c r="BD1246" s="45" t="e">
        <f t="shared" si="678"/>
        <v>#VALUE!</v>
      </c>
      <c r="BE1246" s="45" t="e">
        <f t="shared" si="679"/>
        <v>#VALUE!</v>
      </c>
      <c r="BF1246" s="45" t="e">
        <f t="shared" si="680"/>
        <v>#VALUE!</v>
      </c>
      <c r="BG1246" s="45" t="e">
        <f t="shared" si="681"/>
        <v>#VALUE!</v>
      </c>
      <c r="BH1246" s="45" t="e">
        <f t="shared" si="682"/>
        <v>#NUM!</v>
      </c>
      <c r="BI1246" s="43" t="e">
        <f t="shared" si="683"/>
        <v>#VALUE!</v>
      </c>
      <c r="BL1246" s="20"/>
      <c r="BM1246" s="50"/>
      <c r="BN1246" s="50"/>
      <c r="BO1246" s="50"/>
      <c r="BP1246" s="50"/>
      <c r="BQ1246" s="50"/>
      <c r="BR1246" s="50"/>
      <c r="BU1246" s="50"/>
      <c r="BV1246" s="50"/>
      <c r="BW1246" s="50"/>
      <c r="BX1246" s="50"/>
      <c r="BY1246" s="50"/>
      <c r="BZ1246" s="50"/>
      <c r="CA1246" s="50" t="s">
        <v>22</v>
      </c>
      <c r="CE1246" s="50"/>
      <c r="CF1246" s="50"/>
      <c r="CG1246" s="50"/>
      <c r="CH1246" s="50"/>
      <c r="CI1246" s="50" t="str">
        <f t="shared" si="690"/>
        <v>Not Reported/ Can not calculate</v>
      </c>
      <c r="CJ1246" s="50" t="e">
        <f t="shared" si="691"/>
        <v>#VALUE!</v>
      </c>
      <c r="CL1246" s="9" t="s">
        <v>1269</v>
      </c>
      <c r="CM1246" s="9" t="s">
        <v>1284</v>
      </c>
      <c r="CN1246" s="55" t="s">
        <v>1284</v>
      </c>
      <c r="CO1246" s="9" t="s">
        <v>1284</v>
      </c>
    </row>
    <row r="1247" spans="1:93" s="9" customFormat="1" x14ac:dyDescent="0.25">
      <c r="A1247" s="9" t="s">
        <v>266</v>
      </c>
      <c r="B1247" s="50" t="s">
        <v>22</v>
      </c>
      <c r="C1247" s="50" t="s">
        <v>22</v>
      </c>
      <c r="D1247" s="50" t="s">
        <v>22</v>
      </c>
      <c r="E1247" s="50" t="s">
        <v>22</v>
      </c>
      <c r="F1247" s="9" t="s">
        <v>22</v>
      </c>
      <c r="G1247" s="9" t="s">
        <v>22</v>
      </c>
      <c r="H1247" s="9" t="s">
        <v>22</v>
      </c>
      <c r="I1247" s="9" t="s">
        <v>22</v>
      </c>
      <c r="J1247" s="50">
        <v>9.9</v>
      </c>
      <c r="K1247" s="9">
        <v>532</v>
      </c>
      <c r="L1247" s="50">
        <f t="shared" si="689"/>
        <v>0.79301558730239996</v>
      </c>
      <c r="M1247" s="9" t="s">
        <v>23</v>
      </c>
      <c r="N1247" s="50" t="s">
        <v>22</v>
      </c>
      <c r="O1247" s="50">
        <v>1.1857142857142799</v>
      </c>
      <c r="P1247" s="50" t="s">
        <v>22</v>
      </c>
      <c r="Q1247" s="50"/>
      <c r="R1247" s="50" t="s">
        <v>22</v>
      </c>
      <c r="S1247" s="50" t="s">
        <v>22</v>
      </c>
      <c r="T1247" s="50" t="s">
        <v>22</v>
      </c>
      <c r="U1247" s="50" t="s">
        <v>22</v>
      </c>
      <c r="V1247" s="9">
        <v>20200719</v>
      </c>
      <c r="W1247" s="21" t="s">
        <v>1116</v>
      </c>
      <c r="X1247" s="21">
        <v>2020</v>
      </c>
      <c r="Y1247" s="9" t="s">
        <v>76</v>
      </c>
      <c r="Z1247" s="9" t="s">
        <v>32</v>
      </c>
      <c r="AB1247" s="50"/>
      <c r="AC1247" s="9" t="s">
        <v>514</v>
      </c>
      <c r="AD1247" s="50" t="s">
        <v>22</v>
      </c>
      <c r="AE1247" s="50"/>
      <c r="AF1247" s="50" t="s">
        <v>22</v>
      </c>
      <c r="AG1247" s="50" t="s">
        <v>22</v>
      </c>
      <c r="AH1247" s="50" t="s">
        <v>22</v>
      </c>
      <c r="AI1247" s="50" t="s">
        <v>22</v>
      </c>
      <c r="AJ1247" s="50" t="s">
        <v>22</v>
      </c>
      <c r="AK1247" s="50" t="s">
        <v>22</v>
      </c>
      <c r="AL1247" s="50" t="s">
        <v>22</v>
      </c>
      <c r="AM1247" s="43" t="e">
        <f t="shared" si="666"/>
        <v>#VALUE!</v>
      </c>
      <c r="AN1247" s="43" t="e">
        <f t="shared" si="667"/>
        <v>#VALUE!</v>
      </c>
      <c r="AO1247" s="21" t="s">
        <v>1118</v>
      </c>
      <c r="AT1247" s="2">
        <f t="shared" si="668"/>
        <v>10</v>
      </c>
      <c r="AU1247" s="45" t="e">
        <f t="shared" si="669"/>
        <v>#VALUE!</v>
      </c>
      <c r="AV1247" s="45" t="e">
        <f t="shared" si="670"/>
        <v>#VALUE!</v>
      </c>
      <c r="AW1247" s="45" t="e">
        <f t="shared" si="671"/>
        <v>#VALUE!</v>
      </c>
      <c r="AX1247" s="45" t="e">
        <f t="shared" si="672"/>
        <v>#VALUE!</v>
      </c>
      <c r="AY1247" s="45">
        <f t="shared" si="673"/>
        <v>7.3980052361814957E-2</v>
      </c>
      <c r="AZ1247" s="45" t="e">
        <f t="shared" si="674"/>
        <v>#VALUE!</v>
      </c>
      <c r="BA1247" s="45">
        <f t="shared" si="675"/>
        <v>0.9956351945975499</v>
      </c>
      <c r="BB1247" s="45">
        <f t="shared" si="676"/>
        <v>-0.10071827622225737</v>
      </c>
      <c r="BC1247" s="45" t="e">
        <f t="shared" si="677"/>
        <v>#VALUE!</v>
      </c>
      <c r="BD1247" s="45" t="e">
        <f t="shared" si="678"/>
        <v>#VALUE!</v>
      </c>
      <c r="BE1247" s="45" t="e">
        <f t="shared" si="679"/>
        <v>#VALUE!</v>
      </c>
      <c r="BF1247" s="45" t="e">
        <f t="shared" si="680"/>
        <v>#VALUE!</v>
      </c>
      <c r="BG1247" s="45" t="e">
        <f t="shared" si="681"/>
        <v>#VALUE!</v>
      </c>
      <c r="BH1247" s="45" t="e">
        <f t="shared" si="682"/>
        <v>#NUM!</v>
      </c>
      <c r="BI1247" s="43" t="e">
        <f t="shared" si="683"/>
        <v>#VALUE!</v>
      </c>
      <c r="BL1247" s="20"/>
      <c r="BM1247" s="50"/>
      <c r="BN1247" s="50"/>
      <c r="BO1247" s="50"/>
      <c r="BP1247" s="50"/>
      <c r="BQ1247" s="50"/>
      <c r="BR1247" s="50"/>
      <c r="BU1247" s="50"/>
      <c r="BV1247" s="50"/>
      <c r="BW1247" s="50"/>
      <c r="BX1247" s="50"/>
      <c r="BY1247" s="50"/>
      <c r="BZ1247" s="50"/>
      <c r="CA1247" s="50" t="s">
        <v>22</v>
      </c>
      <c r="CE1247" s="50"/>
      <c r="CF1247" s="50"/>
      <c r="CG1247" s="50"/>
      <c r="CH1247" s="50"/>
      <c r="CI1247" s="50" t="str">
        <f t="shared" si="690"/>
        <v>Not Reported/ Can not calculate</v>
      </c>
      <c r="CJ1247" s="50" t="e">
        <f t="shared" si="691"/>
        <v>#VALUE!</v>
      </c>
      <c r="CL1247" s="9" t="s">
        <v>1269</v>
      </c>
      <c r="CM1247" s="9" t="s">
        <v>1284</v>
      </c>
      <c r="CN1247" s="55" t="s">
        <v>1284</v>
      </c>
      <c r="CO1247" s="9" t="s">
        <v>1284</v>
      </c>
    </row>
    <row r="1248" spans="1:93" s="9" customFormat="1" x14ac:dyDescent="0.25">
      <c r="A1248" s="9" t="s">
        <v>266</v>
      </c>
      <c r="B1248" s="50" t="s">
        <v>22</v>
      </c>
      <c r="C1248" s="50" t="s">
        <v>22</v>
      </c>
      <c r="D1248" s="50" t="s">
        <v>22</v>
      </c>
      <c r="E1248" s="50" t="s">
        <v>22</v>
      </c>
      <c r="F1248" s="9">
        <v>3.6345759613501301</v>
      </c>
      <c r="G1248" s="9" t="s">
        <v>52</v>
      </c>
      <c r="H1248" s="9">
        <v>32.5</v>
      </c>
      <c r="I1248" s="9" t="s">
        <v>187</v>
      </c>
      <c r="J1248" s="50">
        <v>12.6</v>
      </c>
      <c r="K1248" s="9">
        <v>532</v>
      </c>
      <c r="L1248" s="50">
        <f t="shared" si="689"/>
        <v>1.0092925656575999</v>
      </c>
      <c r="M1248" s="9" t="s">
        <v>23</v>
      </c>
      <c r="N1248" s="50" t="s">
        <v>22</v>
      </c>
      <c r="O1248" s="50">
        <v>2.2627737226277298</v>
      </c>
      <c r="P1248" s="50" t="s">
        <v>22</v>
      </c>
      <c r="Q1248" s="50"/>
      <c r="R1248" s="50" t="s">
        <v>22</v>
      </c>
      <c r="S1248" s="50" t="s">
        <v>22</v>
      </c>
      <c r="T1248" s="50" t="s">
        <v>22</v>
      </c>
      <c r="U1248" s="50" t="s">
        <v>22</v>
      </c>
      <c r="V1248" s="9">
        <v>20200719</v>
      </c>
      <c r="W1248" s="21" t="s">
        <v>152</v>
      </c>
      <c r="X1248" s="21">
        <v>2020</v>
      </c>
      <c r="Y1248" s="9" t="s">
        <v>76</v>
      </c>
      <c r="Z1248" s="9" t="s">
        <v>32</v>
      </c>
      <c r="AB1248" s="50"/>
      <c r="AC1248" s="9" t="s">
        <v>514</v>
      </c>
      <c r="AD1248" s="50" t="s">
        <v>22</v>
      </c>
      <c r="AE1248" s="50"/>
      <c r="AF1248" s="50" t="s">
        <v>22</v>
      </c>
      <c r="AG1248" s="50" t="s">
        <v>22</v>
      </c>
      <c r="AH1248" s="50" t="s">
        <v>22</v>
      </c>
      <c r="AI1248" s="50" t="s">
        <v>22</v>
      </c>
      <c r="AJ1248" s="50" t="s">
        <v>22</v>
      </c>
      <c r="AK1248" s="50" t="s">
        <v>22</v>
      </c>
      <c r="AL1248" s="50" t="s">
        <v>22</v>
      </c>
      <c r="AM1248" s="43" t="e">
        <f t="shared" si="666"/>
        <v>#VALUE!</v>
      </c>
      <c r="AN1248" s="43" t="e">
        <f t="shared" si="667"/>
        <v>#VALUE!</v>
      </c>
      <c r="AO1248" s="21" t="s">
        <v>1118</v>
      </c>
      <c r="AT1248" s="2">
        <f t="shared" si="668"/>
        <v>10</v>
      </c>
      <c r="AU1248" s="45" t="e">
        <f t="shared" si="669"/>
        <v>#VALUE!</v>
      </c>
      <c r="AV1248" s="45" t="e">
        <f t="shared" si="670"/>
        <v>#VALUE!</v>
      </c>
      <c r="AW1248" s="45" t="e">
        <f t="shared" si="671"/>
        <v>#VALUE!</v>
      </c>
      <c r="AX1248" s="45" t="e">
        <f t="shared" si="672"/>
        <v>#VALUE!</v>
      </c>
      <c r="AY1248" s="45">
        <f t="shared" si="673"/>
        <v>0.35464112667786446</v>
      </c>
      <c r="AZ1248" s="45" t="e">
        <f t="shared" si="674"/>
        <v>#VALUE!</v>
      </c>
      <c r="BA1248" s="45">
        <f t="shared" si="675"/>
        <v>1.1003705451175629</v>
      </c>
      <c r="BB1248" s="45">
        <f t="shared" si="676"/>
        <v>4.017074297755609E-3</v>
      </c>
      <c r="BC1248" s="45" t="e">
        <f t="shared" si="677"/>
        <v>#VALUE!</v>
      </c>
      <c r="BD1248" s="45" t="e">
        <f t="shared" si="678"/>
        <v>#VALUE!</v>
      </c>
      <c r="BE1248" s="45" t="e">
        <f t="shared" si="679"/>
        <v>#VALUE!</v>
      </c>
      <c r="BF1248" s="45" t="e">
        <f t="shared" si="680"/>
        <v>#VALUE!</v>
      </c>
      <c r="BG1248" s="45" t="e">
        <f t="shared" si="681"/>
        <v>#VALUE!</v>
      </c>
      <c r="BH1248" s="45" t="e">
        <f t="shared" si="682"/>
        <v>#NUM!</v>
      </c>
      <c r="BI1248" s="43" t="e">
        <f t="shared" si="683"/>
        <v>#VALUE!</v>
      </c>
      <c r="BL1248" s="20"/>
      <c r="BM1248" s="50"/>
      <c r="BN1248" s="50"/>
      <c r="BO1248" s="50"/>
      <c r="BP1248" s="50"/>
      <c r="BQ1248" s="50"/>
      <c r="BR1248" s="50"/>
      <c r="BU1248" s="50"/>
      <c r="BV1248" s="50"/>
      <c r="BW1248" s="50"/>
      <c r="BX1248" s="50"/>
      <c r="BY1248" s="50"/>
      <c r="BZ1248" s="50"/>
      <c r="CA1248" s="50" t="s">
        <v>22</v>
      </c>
      <c r="CE1248" s="50"/>
      <c r="CF1248" s="50"/>
      <c r="CG1248" s="50"/>
      <c r="CH1248" s="50"/>
      <c r="CI1248" s="50" t="str">
        <f t="shared" si="690"/>
        <v>Not Reported/ Can not calculate</v>
      </c>
      <c r="CJ1248" s="50" t="e">
        <f t="shared" si="691"/>
        <v>#VALUE!</v>
      </c>
      <c r="CL1248" s="9" t="s">
        <v>1269</v>
      </c>
      <c r="CM1248" s="9" t="s">
        <v>1284</v>
      </c>
      <c r="CN1248" s="55" t="s">
        <v>1284</v>
      </c>
      <c r="CO1248" s="9" t="s">
        <v>1284</v>
      </c>
    </row>
    <row r="1249" spans="1:93" s="9" customFormat="1" x14ac:dyDescent="0.25">
      <c r="A1249" s="9" t="s">
        <v>266</v>
      </c>
      <c r="B1249" s="50" t="s">
        <v>22</v>
      </c>
      <c r="C1249" s="50" t="s">
        <v>22</v>
      </c>
      <c r="D1249" s="50" t="s">
        <v>22</v>
      </c>
      <c r="E1249" s="50" t="s">
        <v>22</v>
      </c>
      <c r="F1249" s="9" t="s">
        <v>22</v>
      </c>
      <c r="G1249" s="9" t="s">
        <v>22</v>
      </c>
      <c r="H1249" s="9" t="s">
        <v>22</v>
      </c>
      <c r="I1249" s="9" t="s">
        <v>22</v>
      </c>
      <c r="J1249" s="50" t="s">
        <v>22</v>
      </c>
      <c r="K1249" s="9" t="s">
        <v>22</v>
      </c>
      <c r="L1249" s="50" t="e">
        <f t="shared" si="689"/>
        <v>#VALUE!</v>
      </c>
      <c r="M1249" s="9" t="s">
        <v>45</v>
      </c>
      <c r="N1249" s="50" t="s">
        <v>22</v>
      </c>
      <c r="O1249" s="50">
        <v>4.7591240875912399</v>
      </c>
      <c r="P1249" s="50" t="s">
        <v>22</v>
      </c>
      <c r="Q1249" s="50"/>
      <c r="R1249" s="50" t="s">
        <v>22</v>
      </c>
      <c r="S1249" s="50" t="s">
        <v>22</v>
      </c>
      <c r="T1249" s="50" t="s">
        <v>22</v>
      </c>
      <c r="U1249" s="50" t="s">
        <v>22</v>
      </c>
      <c r="V1249" s="9">
        <v>20200719</v>
      </c>
      <c r="W1249" s="21" t="s">
        <v>1110</v>
      </c>
      <c r="X1249" s="21">
        <v>2020</v>
      </c>
      <c r="Y1249" s="9" t="s">
        <v>76</v>
      </c>
      <c r="Z1249" s="9" t="s">
        <v>1117</v>
      </c>
      <c r="AB1249" s="50"/>
      <c r="AC1249" s="9" t="s">
        <v>514</v>
      </c>
      <c r="AD1249" s="50" t="s">
        <v>22</v>
      </c>
      <c r="AE1249" s="50"/>
      <c r="AF1249" s="50" t="s">
        <v>22</v>
      </c>
      <c r="AG1249" s="50" t="s">
        <v>22</v>
      </c>
      <c r="AH1249" s="50" t="s">
        <v>22</v>
      </c>
      <c r="AI1249" s="50" t="s">
        <v>22</v>
      </c>
      <c r="AJ1249" s="50" t="s">
        <v>22</v>
      </c>
      <c r="AK1249" s="50" t="s">
        <v>22</v>
      </c>
      <c r="AL1249" s="50" t="s">
        <v>22</v>
      </c>
      <c r="AM1249" s="43" t="e">
        <f t="shared" si="666"/>
        <v>#VALUE!</v>
      </c>
      <c r="AN1249" s="43" t="e">
        <f t="shared" si="667"/>
        <v>#VALUE!</v>
      </c>
      <c r="AO1249" s="21" t="s">
        <v>1118</v>
      </c>
      <c r="AT1249" s="2">
        <f t="shared" si="668"/>
        <v>10</v>
      </c>
      <c r="AU1249" s="45" t="e">
        <f t="shared" si="669"/>
        <v>#VALUE!</v>
      </c>
      <c r="AV1249" s="45" t="e">
        <f t="shared" si="670"/>
        <v>#VALUE!</v>
      </c>
      <c r="AW1249" s="45" t="e">
        <f t="shared" si="671"/>
        <v>#VALUE!</v>
      </c>
      <c r="AX1249" s="45" t="e">
        <f t="shared" si="672"/>
        <v>#VALUE!</v>
      </c>
      <c r="AY1249" s="45">
        <f t="shared" si="673"/>
        <v>0.67752702857551339</v>
      </c>
      <c r="AZ1249" s="45" t="e">
        <f t="shared" si="674"/>
        <v>#VALUE!</v>
      </c>
      <c r="BA1249" s="45" t="e">
        <f t="shared" si="675"/>
        <v>#VALUE!</v>
      </c>
      <c r="BB1249" s="45" t="e">
        <f t="shared" si="676"/>
        <v>#VALUE!</v>
      </c>
      <c r="BC1249" s="45" t="e">
        <f t="shared" si="677"/>
        <v>#VALUE!</v>
      </c>
      <c r="BD1249" s="45" t="e">
        <f t="shared" si="678"/>
        <v>#VALUE!</v>
      </c>
      <c r="BE1249" s="45" t="e">
        <f t="shared" si="679"/>
        <v>#VALUE!</v>
      </c>
      <c r="BF1249" s="45" t="e">
        <f t="shared" si="680"/>
        <v>#VALUE!</v>
      </c>
      <c r="BG1249" s="45" t="e">
        <f t="shared" si="681"/>
        <v>#VALUE!</v>
      </c>
      <c r="BH1249" s="45" t="e">
        <f t="shared" si="682"/>
        <v>#NUM!</v>
      </c>
      <c r="BI1249" s="43" t="e">
        <f t="shared" si="683"/>
        <v>#VALUE!</v>
      </c>
      <c r="BL1249" s="20"/>
      <c r="BM1249" s="50"/>
      <c r="BN1249" s="50"/>
      <c r="BO1249" s="50"/>
      <c r="BP1249" s="50"/>
      <c r="BQ1249" s="50"/>
      <c r="BR1249" s="50"/>
      <c r="BU1249" s="50"/>
      <c r="BV1249" s="50"/>
      <c r="BW1249" s="50"/>
      <c r="BX1249" s="50"/>
      <c r="BY1249" s="50"/>
      <c r="BZ1249" s="50"/>
      <c r="CA1249" s="50" t="s">
        <v>22</v>
      </c>
      <c r="CE1249" s="50"/>
      <c r="CF1249" s="50"/>
      <c r="CG1249" s="50"/>
      <c r="CH1249" s="50"/>
      <c r="CI1249" s="50" t="str">
        <f t="shared" si="690"/>
        <v>Not Reported/ Can not calculate</v>
      </c>
      <c r="CJ1249" s="50" t="e">
        <f t="shared" si="691"/>
        <v>#VALUE!</v>
      </c>
      <c r="CL1249" s="9" t="s">
        <v>1269</v>
      </c>
      <c r="CM1249" s="9" t="s">
        <v>1284</v>
      </c>
      <c r="CN1249" s="55" t="s">
        <v>1284</v>
      </c>
      <c r="CO1249" s="9" t="s">
        <v>1284</v>
      </c>
    </row>
    <row r="1250" spans="1:93" s="9" customFormat="1" x14ac:dyDescent="0.25">
      <c r="A1250" s="9" t="s">
        <v>266</v>
      </c>
      <c r="B1250" s="50" t="s">
        <v>22</v>
      </c>
      <c r="C1250" s="50" t="s">
        <v>22</v>
      </c>
      <c r="D1250" s="50" t="s">
        <v>22</v>
      </c>
      <c r="E1250" s="50" t="s">
        <v>22</v>
      </c>
      <c r="F1250" s="9" t="s">
        <v>22</v>
      </c>
      <c r="G1250" s="9" t="s">
        <v>22</v>
      </c>
      <c r="H1250" s="9" t="s">
        <v>22</v>
      </c>
      <c r="I1250" s="9" t="s">
        <v>22</v>
      </c>
      <c r="J1250" s="50" t="s">
        <v>22</v>
      </c>
      <c r="K1250" s="9" t="s">
        <v>22</v>
      </c>
      <c r="L1250" s="50" t="e">
        <f t="shared" si="689"/>
        <v>#VALUE!</v>
      </c>
      <c r="M1250" s="9" t="s">
        <v>45</v>
      </c>
      <c r="N1250" s="50" t="s">
        <v>22</v>
      </c>
      <c r="O1250" s="50">
        <v>5.2700729927007304</v>
      </c>
      <c r="P1250" s="50" t="s">
        <v>22</v>
      </c>
      <c r="Q1250" s="50"/>
      <c r="R1250" s="50" t="s">
        <v>22</v>
      </c>
      <c r="S1250" s="50" t="s">
        <v>22</v>
      </c>
      <c r="T1250" s="50" t="s">
        <v>22</v>
      </c>
      <c r="U1250" s="50" t="s">
        <v>22</v>
      </c>
      <c r="V1250" s="9">
        <v>20200719</v>
      </c>
      <c r="W1250" s="21" t="s">
        <v>1111</v>
      </c>
      <c r="X1250" s="21">
        <v>2020</v>
      </c>
      <c r="Y1250" s="9" t="s">
        <v>76</v>
      </c>
      <c r="Z1250" s="9" t="s">
        <v>1117</v>
      </c>
      <c r="AB1250" s="50"/>
      <c r="AC1250" s="9" t="s">
        <v>514</v>
      </c>
      <c r="AD1250" s="50" t="s">
        <v>22</v>
      </c>
      <c r="AE1250" s="50"/>
      <c r="AF1250" s="50" t="s">
        <v>22</v>
      </c>
      <c r="AG1250" s="50" t="s">
        <v>22</v>
      </c>
      <c r="AH1250" s="50" t="s">
        <v>22</v>
      </c>
      <c r="AI1250" s="50" t="s">
        <v>22</v>
      </c>
      <c r="AJ1250" s="50" t="s">
        <v>22</v>
      </c>
      <c r="AK1250" s="50" t="s">
        <v>22</v>
      </c>
      <c r="AL1250" s="50" t="s">
        <v>22</v>
      </c>
      <c r="AM1250" s="43" t="e">
        <f t="shared" si="666"/>
        <v>#VALUE!</v>
      </c>
      <c r="AN1250" s="43" t="e">
        <f t="shared" si="667"/>
        <v>#VALUE!</v>
      </c>
      <c r="AO1250" s="21" t="s">
        <v>1118</v>
      </c>
      <c r="AT1250" s="2">
        <f t="shared" si="668"/>
        <v>10</v>
      </c>
      <c r="AU1250" s="45" t="e">
        <f t="shared" si="669"/>
        <v>#VALUE!</v>
      </c>
      <c r="AV1250" s="45" t="e">
        <f t="shared" si="670"/>
        <v>#VALUE!</v>
      </c>
      <c r="AW1250" s="45" t="e">
        <f t="shared" si="671"/>
        <v>#VALUE!</v>
      </c>
      <c r="AX1250" s="45" t="e">
        <f t="shared" si="672"/>
        <v>#VALUE!</v>
      </c>
      <c r="AY1250" s="45">
        <f t="shared" si="673"/>
        <v>0.72181663041323241</v>
      </c>
      <c r="AZ1250" s="45" t="e">
        <f t="shared" si="674"/>
        <v>#VALUE!</v>
      </c>
      <c r="BA1250" s="45" t="e">
        <f t="shared" si="675"/>
        <v>#VALUE!</v>
      </c>
      <c r="BB1250" s="45" t="e">
        <f t="shared" si="676"/>
        <v>#VALUE!</v>
      </c>
      <c r="BC1250" s="45" t="e">
        <f t="shared" si="677"/>
        <v>#VALUE!</v>
      </c>
      <c r="BD1250" s="45" t="e">
        <f t="shared" si="678"/>
        <v>#VALUE!</v>
      </c>
      <c r="BE1250" s="45" t="e">
        <f t="shared" si="679"/>
        <v>#VALUE!</v>
      </c>
      <c r="BF1250" s="45" t="e">
        <f t="shared" si="680"/>
        <v>#VALUE!</v>
      </c>
      <c r="BG1250" s="45" t="e">
        <f t="shared" si="681"/>
        <v>#VALUE!</v>
      </c>
      <c r="BH1250" s="45" t="e">
        <f t="shared" si="682"/>
        <v>#NUM!</v>
      </c>
      <c r="BI1250" s="43" t="e">
        <f t="shared" si="683"/>
        <v>#VALUE!</v>
      </c>
      <c r="BL1250" s="20"/>
      <c r="BM1250" s="50"/>
      <c r="BN1250" s="50"/>
      <c r="BO1250" s="50"/>
      <c r="BP1250" s="50"/>
      <c r="BQ1250" s="50"/>
      <c r="BR1250" s="50"/>
      <c r="BU1250" s="50"/>
      <c r="BV1250" s="50"/>
      <c r="BW1250" s="50"/>
      <c r="BX1250" s="50"/>
      <c r="BY1250" s="50"/>
      <c r="BZ1250" s="50"/>
      <c r="CA1250" s="50" t="s">
        <v>22</v>
      </c>
      <c r="CE1250" s="50"/>
      <c r="CF1250" s="50"/>
      <c r="CG1250" s="50"/>
      <c r="CH1250" s="50"/>
      <c r="CI1250" s="50" t="str">
        <f t="shared" si="690"/>
        <v>Not Reported/ Can not calculate</v>
      </c>
      <c r="CJ1250" s="50" t="e">
        <f t="shared" si="691"/>
        <v>#VALUE!</v>
      </c>
      <c r="CL1250" s="9" t="s">
        <v>1269</v>
      </c>
      <c r="CM1250" s="9" t="s">
        <v>1284</v>
      </c>
      <c r="CN1250" s="55" t="s">
        <v>1284</v>
      </c>
      <c r="CO1250" s="9" t="s">
        <v>1284</v>
      </c>
    </row>
    <row r="1251" spans="1:93" s="9" customFormat="1" x14ac:dyDescent="0.25">
      <c r="A1251" s="9" t="s">
        <v>266</v>
      </c>
      <c r="B1251" s="50" t="s">
        <v>22</v>
      </c>
      <c r="C1251" s="50" t="s">
        <v>22</v>
      </c>
      <c r="D1251" s="50" t="s">
        <v>22</v>
      </c>
      <c r="E1251" s="50" t="s">
        <v>22</v>
      </c>
      <c r="F1251" s="9">
        <v>5.5967878827446604</v>
      </c>
      <c r="G1251" s="9" t="s">
        <v>52</v>
      </c>
      <c r="H1251" s="9">
        <v>15.3</v>
      </c>
      <c r="I1251" s="9" t="s">
        <v>187</v>
      </c>
      <c r="J1251" s="50" t="s">
        <v>22</v>
      </c>
      <c r="K1251" s="9" t="s">
        <v>22</v>
      </c>
      <c r="L1251" s="50" t="e">
        <f t="shared" si="689"/>
        <v>#VALUE!</v>
      </c>
      <c r="M1251" s="9" t="s">
        <v>45</v>
      </c>
      <c r="N1251" s="50" t="s">
        <v>22</v>
      </c>
      <c r="O1251" s="50">
        <v>5.3722627737226203</v>
      </c>
      <c r="P1251" s="50" t="s">
        <v>22</v>
      </c>
      <c r="Q1251" s="50"/>
      <c r="R1251" s="50" t="s">
        <v>22</v>
      </c>
      <c r="S1251" s="50" t="s">
        <v>22</v>
      </c>
      <c r="T1251" s="50" t="s">
        <v>22</v>
      </c>
      <c r="U1251" s="50" t="s">
        <v>22</v>
      </c>
      <c r="V1251" s="9">
        <v>20200719</v>
      </c>
      <c r="W1251" s="21" t="s">
        <v>1112</v>
      </c>
      <c r="X1251" s="21">
        <v>2020</v>
      </c>
      <c r="Y1251" s="9" t="s">
        <v>76</v>
      </c>
      <c r="Z1251" s="9" t="s">
        <v>1117</v>
      </c>
      <c r="AB1251" s="50"/>
      <c r="AC1251" s="9" t="s">
        <v>514</v>
      </c>
      <c r="AD1251" s="50" t="s">
        <v>22</v>
      </c>
      <c r="AE1251" s="50"/>
      <c r="AF1251" s="50" t="s">
        <v>22</v>
      </c>
      <c r="AG1251" s="50" t="s">
        <v>22</v>
      </c>
      <c r="AH1251" s="50" t="s">
        <v>22</v>
      </c>
      <c r="AI1251" s="50" t="s">
        <v>22</v>
      </c>
      <c r="AJ1251" s="50" t="s">
        <v>22</v>
      </c>
      <c r="AK1251" s="50" t="s">
        <v>22</v>
      </c>
      <c r="AL1251" s="50" t="s">
        <v>22</v>
      </c>
      <c r="AM1251" s="43" t="e">
        <f t="shared" si="666"/>
        <v>#VALUE!</v>
      </c>
      <c r="AN1251" s="43" t="e">
        <f t="shared" si="667"/>
        <v>#VALUE!</v>
      </c>
      <c r="AO1251" s="21" t="s">
        <v>1118</v>
      </c>
      <c r="AT1251" s="2">
        <f t="shared" si="668"/>
        <v>10</v>
      </c>
      <c r="AU1251" s="45" t="e">
        <f t="shared" si="669"/>
        <v>#VALUE!</v>
      </c>
      <c r="AV1251" s="45" t="e">
        <f t="shared" si="670"/>
        <v>#VALUE!</v>
      </c>
      <c r="AW1251" s="45" t="e">
        <f t="shared" si="671"/>
        <v>#VALUE!</v>
      </c>
      <c r="AX1251" s="45" t="e">
        <f t="shared" si="672"/>
        <v>#VALUE!</v>
      </c>
      <c r="AY1251" s="45">
        <f t="shared" si="673"/>
        <v>0.73015724718109143</v>
      </c>
      <c r="AZ1251" s="45" t="e">
        <f t="shared" si="674"/>
        <v>#VALUE!</v>
      </c>
      <c r="BA1251" s="45" t="e">
        <f t="shared" si="675"/>
        <v>#VALUE!</v>
      </c>
      <c r="BB1251" s="45" t="e">
        <f t="shared" si="676"/>
        <v>#VALUE!</v>
      </c>
      <c r="BC1251" s="45" t="e">
        <f t="shared" si="677"/>
        <v>#VALUE!</v>
      </c>
      <c r="BD1251" s="45" t="e">
        <f t="shared" si="678"/>
        <v>#VALUE!</v>
      </c>
      <c r="BE1251" s="45" t="e">
        <f t="shared" si="679"/>
        <v>#VALUE!</v>
      </c>
      <c r="BF1251" s="45" t="e">
        <f t="shared" si="680"/>
        <v>#VALUE!</v>
      </c>
      <c r="BG1251" s="45" t="e">
        <f t="shared" si="681"/>
        <v>#VALUE!</v>
      </c>
      <c r="BH1251" s="45" t="e">
        <f t="shared" si="682"/>
        <v>#NUM!</v>
      </c>
      <c r="BI1251" s="43" t="e">
        <f t="shared" si="683"/>
        <v>#VALUE!</v>
      </c>
      <c r="BL1251" s="20"/>
      <c r="BM1251" s="50"/>
      <c r="BN1251" s="50"/>
      <c r="BO1251" s="50"/>
      <c r="BP1251" s="50"/>
      <c r="BQ1251" s="50"/>
      <c r="BR1251" s="50"/>
      <c r="BU1251" s="50"/>
      <c r="BV1251" s="50"/>
      <c r="BW1251" s="50"/>
      <c r="BX1251" s="50"/>
      <c r="BY1251" s="50"/>
      <c r="BZ1251" s="50"/>
      <c r="CA1251" s="50" t="s">
        <v>22</v>
      </c>
      <c r="CE1251" s="50"/>
      <c r="CF1251" s="50"/>
      <c r="CG1251" s="50"/>
      <c r="CH1251" s="50"/>
      <c r="CI1251" s="50" t="str">
        <f t="shared" si="690"/>
        <v>Not Reported/ Can not calculate</v>
      </c>
      <c r="CJ1251" s="50" t="e">
        <f t="shared" si="691"/>
        <v>#VALUE!</v>
      </c>
      <c r="CL1251" s="9" t="s">
        <v>1269</v>
      </c>
      <c r="CM1251" s="9" t="s">
        <v>1284</v>
      </c>
      <c r="CN1251" s="55" t="s">
        <v>1284</v>
      </c>
      <c r="CO1251" s="9" t="s">
        <v>1284</v>
      </c>
    </row>
    <row r="1252" spans="1:93" s="9" customFormat="1" x14ac:dyDescent="0.25">
      <c r="A1252" s="9" t="s">
        <v>266</v>
      </c>
      <c r="B1252" s="50" t="s">
        <v>22</v>
      </c>
      <c r="C1252" s="50" t="s">
        <v>22</v>
      </c>
      <c r="D1252" s="50" t="s">
        <v>22</v>
      </c>
      <c r="E1252" s="50" t="s">
        <v>22</v>
      </c>
      <c r="F1252" s="9" t="s">
        <v>22</v>
      </c>
      <c r="G1252" s="9" t="s">
        <v>22</v>
      </c>
      <c r="H1252" s="9" t="s">
        <v>22</v>
      </c>
      <c r="I1252" s="9" t="s">
        <v>22</v>
      </c>
      <c r="J1252" s="50" t="s">
        <v>22</v>
      </c>
      <c r="K1252" s="9" t="s">
        <v>22</v>
      </c>
      <c r="L1252" s="50" t="e">
        <f t="shared" si="689"/>
        <v>#VALUE!</v>
      </c>
      <c r="M1252" s="9" t="s">
        <v>45</v>
      </c>
      <c r="N1252" s="50" t="s">
        <v>22</v>
      </c>
      <c r="O1252" s="50">
        <v>5.4452554744525496</v>
      </c>
      <c r="P1252" s="50" t="s">
        <v>22</v>
      </c>
      <c r="Q1252" s="50"/>
      <c r="R1252" s="50" t="s">
        <v>22</v>
      </c>
      <c r="S1252" s="50" t="s">
        <v>22</v>
      </c>
      <c r="T1252" s="50" t="s">
        <v>22</v>
      </c>
      <c r="U1252" s="50" t="s">
        <v>22</v>
      </c>
      <c r="V1252" s="9">
        <v>20200719</v>
      </c>
      <c r="W1252" s="21" t="s">
        <v>1113</v>
      </c>
      <c r="X1252" s="21">
        <v>2020</v>
      </c>
      <c r="Y1252" s="9" t="s">
        <v>76</v>
      </c>
      <c r="Z1252" s="9" t="s">
        <v>1117</v>
      </c>
      <c r="AB1252" s="50"/>
      <c r="AC1252" s="9" t="s">
        <v>514</v>
      </c>
      <c r="AD1252" s="50" t="s">
        <v>22</v>
      </c>
      <c r="AE1252" s="50"/>
      <c r="AF1252" s="50" t="s">
        <v>22</v>
      </c>
      <c r="AG1252" s="50" t="s">
        <v>22</v>
      </c>
      <c r="AH1252" s="50" t="s">
        <v>22</v>
      </c>
      <c r="AI1252" s="50" t="s">
        <v>22</v>
      </c>
      <c r="AJ1252" s="50" t="s">
        <v>22</v>
      </c>
      <c r="AK1252" s="50" t="s">
        <v>22</v>
      </c>
      <c r="AL1252" s="50" t="s">
        <v>22</v>
      </c>
      <c r="AM1252" s="43" t="e">
        <f t="shared" si="666"/>
        <v>#VALUE!</v>
      </c>
      <c r="AN1252" s="43" t="e">
        <f t="shared" si="667"/>
        <v>#VALUE!</v>
      </c>
      <c r="AO1252" s="21" t="s">
        <v>1118</v>
      </c>
      <c r="AT1252" s="2">
        <f t="shared" si="668"/>
        <v>10</v>
      </c>
      <c r="AU1252" s="45" t="e">
        <f t="shared" si="669"/>
        <v>#VALUE!</v>
      </c>
      <c r="AV1252" s="45" t="e">
        <f t="shared" si="670"/>
        <v>#VALUE!</v>
      </c>
      <c r="AW1252" s="45" t="e">
        <f t="shared" si="671"/>
        <v>#VALUE!</v>
      </c>
      <c r="AX1252" s="45" t="e">
        <f t="shared" si="672"/>
        <v>#VALUE!</v>
      </c>
      <c r="AY1252" s="45">
        <f t="shared" si="673"/>
        <v>0.73601826031626161</v>
      </c>
      <c r="AZ1252" s="45" t="e">
        <f t="shared" si="674"/>
        <v>#VALUE!</v>
      </c>
      <c r="BA1252" s="45" t="e">
        <f t="shared" si="675"/>
        <v>#VALUE!</v>
      </c>
      <c r="BB1252" s="45" t="e">
        <f t="shared" si="676"/>
        <v>#VALUE!</v>
      </c>
      <c r="BC1252" s="45" t="e">
        <f t="shared" si="677"/>
        <v>#VALUE!</v>
      </c>
      <c r="BD1252" s="45" t="e">
        <f t="shared" si="678"/>
        <v>#VALUE!</v>
      </c>
      <c r="BE1252" s="45" t="e">
        <f t="shared" si="679"/>
        <v>#VALUE!</v>
      </c>
      <c r="BF1252" s="45" t="e">
        <f t="shared" si="680"/>
        <v>#VALUE!</v>
      </c>
      <c r="BG1252" s="45" t="e">
        <f t="shared" si="681"/>
        <v>#VALUE!</v>
      </c>
      <c r="BH1252" s="45" t="e">
        <f t="shared" si="682"/>
        <v>#NUM!</v>
      </c>
      <c r="BI1252" s="43" t="e">
        <f t="shared" si="683"/>
        <v>#VALUE!</v>
      </c>
      <c r="BL1252" s="20"/>
      <c r="BM1252" s="50"/>
      <c r="BN1252" s="50"/>
      <c r="BO1252" s="50"/>
      <c r="BP1252" s="50"/>
      <c r="BQ1252" s="50"/>
      <c r="BR1252" s="50"/>
      <c r="BU1252" s="50"/>
      <c r="BV1252" s="50"/>
      <c r="BW1252" s="50"/>
      <c r="BX1252" s="50"/>
      <c r="BY1252" s="50"/>
      <c r="BZ1252" s="50"/>
      <c r="CA1252" s="50" t="s">
        <v>22</v>
      </c>
      <c r="CE1252" s="50"/>
      <c r="CF1252" s="50"/>
      <c r="CG1252" s="50"/>
      <c r="CH1252" s="50"/>
      <c r="CI1252" s="50" t="str">
        <f t="shared" si="690"/>
        <v>Not Reported/ Can not calculate</v>
      </c>
      <c r="CJ1252" s="50" t="e">
        <f t="shared" si="691"/>
        <v>#VALUE!</v>
      </c>
      <c r="CL1252" s="9" t="s">
        <v>1269</v>
      </c>
      <c r="CM1252" s="9" t="s">
        <v>1284</v>
      </c>
      <c r="CN1252" s="55" t="s">
        <v>1284</v>
      </c>
      <c r="CO1252" s="9" t="s">
        <v>1284</v>
      </c>
    </row>
    <row r="1253" spans="1:93" s="9" customFormat="1" x14ac:dyDescent="0.25">
      <c r="A1253" s="9" t="s">
        <v>266</v>
      </c>
      <c r="B1253" s="50">
        <v>0.21926406926406899</v>
      </c>
      <c r="C1253" s="50" t="s">
        <v>22</v>
      </c>
      <c r="D1253" s="50" t="s">
        <v>22</v>
      </c>
      <c r="E1253" s="50" t="s">
        <v>22</v>
      </c>
      <c r="F1253" s="9" t="s">
        <v>22</v>
      </c>
      <c r="G1253" s="9" t="s">
        <v>22</v>
      </c>
      <c r="H1253" s="9" t="s">
        <v>22</v>
      </c>
      <c r="I1253" s="9" t="s">
        <v>22</v>
      </c>
      <c r="J1253" s="50">
        <v>75</v>
      </c>
      <c r="K1253" s="9" t="s">
        <v>22</v>
      </c>
      <c r="L1253" s="50" t="e">
        <f t="shared" si="689"/>
        <v>#VALUE!</v>
      </c>
      <c r="M1253" s="9" t="s">
        <v>23</v>
      </c>
      <c r="N1253" s="50">
        <v>520.61657032755204</v>
      </c>
      <c r="O1253" s="50" t="s">
        <v>22</v>
      </c>
      <c r="P1253" s="50" t="s">
        <v>22</v>
      </c>
      <c r="Q1253" s="50"/>
      <c r="R1253" s="50">
        <f t="shared" ref="R1253:R1263" si="692">N1253*B1253</f>
        <v>114.15250773632242</v>
      </c>
      <c r="S1253" s="50" t="s">
        <v>22</v>
      </c>
      <c r="T1253" s="50">
        <v>2.2000000000000002</v>
      </c>
      <c r="U1253" s="50">
        <v>2.2000000000000002</v>
      </c>
      <c r="V1253" s="9">
        <v>20201127</v>
      </c>
      <c r="W1253" s="21"/>
      <c r="X1253" s="21">
        <v>2020</v>
      </c>
      <c r="Y1253" s="9" t="s">
        <v>76</v>
      </c>
      <c r="Z1253" s="9" t="s">
        <v>32</v>
      </c>
      <c r="AB1253" s="50"/>
      <c r="AC1253" s="9" t="s">
        <v>514</v>
      </c>
      <c r="AD1253" s="50" t="s">
        <v>22</v>
      </c>
      <c r="AE1253" s="50">
        <v>1582</v>
      </c>
      <c r="AF1253" s="50" t="s">
        <v>22</v>
      </c>
      <c r="AG1253" s="50" t="s">
        <v>22</v>
      </c>
      <c r="AH1253" s="50" t="s">
        <v>22</v>
      </c>
      <c r="AI1253" s="50" t="s">
        <v>22</v>
      </c>
      <c r="AJ1253" s="50" t="s">
        <v>22</v>
      </c>
      <c r="AK1253" s="50" t="s">
        <v>22</v>
      </c>
      <c r="AL1253" s="50" t="s">
        <v>22</v>
      </c>
      <c r="AM1253" s="43" t="e">
        <f t="shared" si="666"/>
        <v>#VALUE!</v>
      </c>
      <c r="AN1253" s="43" t="e">
        <f t="shared" si="667"/>
        <v>#VALUE!</v>
      </c>
      <c r="AO1253" s="57" t="s">
        <v>1161</v>
      </c>
      <c r="AT1253" s="2">
        <f t="shared" si="668"/>
        <v>11</v>
      </c>
      <c r="AU1253" s="45">
        <f t="shared" si="669"/>
        <v>-0.65903253019584562</v>
      </c>
      <c r="AV1253" s="45" t="e">
        <f t="shared" si="670"/>
        <v>#VALUE!</v>
      </c>
      <c r="AW1253" s="45" t="e">
        <f t="shared" si="671"/>
        <v>#VALUE!</v>
      </c>
      <c r="AX1253" s="45">
        <f t="shared" si="672"/>
        <v>2.7165179868375531</v>
      </c>
      <c r="AY1253" s="45" t="e">
        <f t="shared" si="673"/>
        <v>#VALUE!</v>
      </c>
      <c r="AZ1253" s="45" t="e">
        <f t="shared" si="674"/>
        <v>#VALUE!</v>
      </c>
      <c r="BA1253" s="45">
        <f t="shared" si="675"/>
        <v>1.8750612633917001</v>
      </c>
      <c r="BB1253" s="45" t="e">
        <f t="shared" si="676"/>
        <v>#VALUE!</v>
      </c>
      <c r="BC1253" s="45">
        <f t="shared" si="677"/>
        <v>0.34242268082220628</v>
      </c>
      <c r="BD1253" s="45" t="e">
        <f t="shared" si="678"/>
        <v>#VALUE!</v>
      </c>
      <c r="BE1253" s="45" t="e">
        <f t="shared" si="679"/>
        <v>#VALUE!</v>
      </c>
      <c r="BF1253" s="45" t="e">
        <f t="shared" si="680"/>
        <v>#VALUE!</v>
      </c>
      <c r="BG1253" s="45" t="e">
        <f t="shared" si="681"/>
        <v>#VALUE!</v>
      </c>
      <c r="BH1253" s="45" t="e">
        <f t="shared" si="682"/>
        <v>#NUM!</v>
      </c>
      <c r="BI1253" s="43" t="e">
        <f t="shared" si="683"/>
        <v>#VALUE!</v>
      </c>
      <c r="BL1253" s="20"/>
      <c r="BM1253" s="50"/>
      <c r="BN1253" s="50"/>
      <c r="BO1253" s="50"/>
      <c r="BP1253" s="50"/>
      <c r="BQ1253" s="50"/>
      <c r="BR1253" s="50"/>
      <c r="BU1253" s="50"/>
      <c r="BV1253" s="50"/>
      <c r="BW1253" s="50"/>
      <c r="BX1253" s="50"/>
      <c r="BY1253" s="50"/>
      <c r="BZ1253" s="50"/>
      <c r="CA1253" s="50" t="s">
        <v>22</v>
      </c>
      <c r="CE1253" s="50"/>
      <c r="CF1253" s="50"/>
      <c r="CG1253" s="50"/>
      <c r="CH1253" s="50"/>
      <c r="CI1253" s="50">
        <f t="shared" si="690"/>
        <v>2.2000000000000002</v>
      </c>
      <c r="CJ1253" s="50">
        <f t="shared" si="691"/>
        <v>0.34242268082220628</v>
      </c>
      <c r="CL1253" s="9" t="s">
        <v>1269</v>
      </c>
      <c r="CM1253" s="9" t="s">
        <v>1285</v>
      </c>
      <c r="CN1253" s="55" t="s">
        <v>1284</v>
      </c>
      <c r="CO1253" s="9" t="s">
        <v>1284</v>
      </c>
    </row>
    <row r="1254" spans="1:93" s="9" customFormat="1" x14ac:dyDescent="0.25">
      <c r="A1254" s="9" t="s">
        <v>266</v>
      </c>
      <c r="B1254" s="50">
        <v>0.22424242424242402</v>
      </c>
      <c r="C1254" s="50" t="s">
        <v>22</v>
      </c>
      <c r="D1254" s="50" t="s">
        <v>22</v>
      </c>
      <c r="E1254" s="50" t="s">
        <v>22</v>
      </c>
      <c r="F1254" s="9" t="s">
        <v>22</v>
      </c>
      <c r="G1254" s="9" t="s">
        <v>22</v>
      </c>
      <c r="H1254" s="9" t="s">
        <v>22</v>
      </c>
      <c r="I1254" s="9" t="s">
        <v>22</v>
      </c>
      <c r="J1254" s="50">
        <v>75</v>
      </c>
      <c r="K1254" s="9" t="s">
        <v>22</v>
      </c>
      <c r="L1254" s="50" t="e">
        <f t="shared" si="689"/>
        <v>#VALUE!</v>
      </c>
      <c r="M1254" s="9" t="s">
        <v>23</v>
      </c>
      <c r="N1254" s="50">
        <v>566.08863198458505</v>
      </c>
      <c r="O1254" s="50" t="s">
        <v>22</v>
      </c>
      <c r="P1254" s="50" t="s">
        <v>22</v>
      </c>
      <c r="Q1254" s="50"/>
      <c r="R1254" s="50">
        <f t="shared" si="692"/>
        <v>126.94108717230077</v>
      </c>
      <c r="S1254" s="50" t="s">
        <v>22</v>
      </c>
      <c r="T1254" s="50">
        <v>2.2000000000000002</v>
      </c>
      <c r="U1254" s="50">
        <v>2.2000000000000002</v>
      </c>
      <c r="V1254" s="9">
        <v>20201127</v>
      </c>
      <c r="W1254" s="21"/>
      <c r="X1254" s="21">
        <v>2020</v>
      </c>
      <c r="Y1254" s="9" t="s">
        <v>76</v>
      </c>
      <c r="Z1254" s="9" t="s">
        <v>32</v>
      </c>
      <c r="AB1254" s="50"/>
      <c r="AC1254" s="9" t="s">
        <v>514</v>
      </c>
      <c r="AD1254" s="50" t="s">
        <v>22</v>
      </c>
      <c r="AE1254" s="50">
        <v>1582</v>
      </c>
      <c r="AF1254" s="50" t="s">
        <v>22</v>
      </c>
      <c r="AG1254" s="50" t="s">
        <v>22</v>
      </c>
      <c r="AH1254" s="50" t="s">
        <v>22</v>
      </c>
      <c r="AI1254" s="50" t="s">
        <v>22</v>
      </c>
      <c r="AJ1254" s="50" t="s">
        <v>22</v>
      </c>
      <c r="AK1254" s="50" t="s">
        <v>22</v>
      </c>
      <c r="AL1254" s="50" t="s">
        <v>22</v>
      </c>
      <c r="AM1254" s="43" t="e">
        <f t="shared" si="666"/>
        <v>#VALUE!</v>
      </c>
      <c r="AN1254" s="43" t="e">
        <f t="shared" si="667"/>
        <v>#VALUE!</v>
      </c>
      <c r="AO1254" s="57" t="s">
        <v>1161</v>
      </c>
      <c r="AT1254" s="2">
        <f t="shared" si="668"/>
        <v>11</v>
      </c>
      <c r="AU1254" s="45">
        <f t="shared" si="669"/>
        <v>-0.64928222014691173</v>
      </c>
      <c r="AV1254" s="45" t="e">
        <f t="shared" si="670"/>
        <v>#VALUE!</v>
      </c>
      <c r="AW1254" s="45" t="e">
        <f t="shared" si="671"/>
        <v>#VALUE!</v>
      </c>
      <c r="AX1254" s="45">
        <f t="shared" si="672"/>
        <v>2.7528844336057792</v>
      </c>
      <c r="AY1254" s="45" t="e">
        <f t="shared" si="673"/>
        <v>#VALUE!</v>
      </c>
      <c r="AZ1254" s="45" t="e">
        <f t="shared" si="674"/>
        <v>#VALUE!</v>
      </c>
      <c r="BA1254" s="45">
        <f t="shared" si="675"/>
        <v>1.8750612633917001</v>
      </c>
      <c r="BB1254" s="45" t="e">
        <f t="shared" si="676"/>
        <v>#VALUE!</v>
      </c>
      <c r="BC1254" s="45">
        <f t="shared" si="677"/>
        <v>0.34242268082220628</v>
      </c>
      <c r="BD1254" s="45" t="e">
        <f t="shared" si="678"/>
        <v>#VALUE!</v>
      </c>
      <c r="BE1254" s="45" t="e">
        <f t="shared" si="679"/>
        <v>#VALUE!</v>
      </c>
      <c r="BF1254" s="45" t="e">
        <f t="shared" si="680"/>
        <v>#VALUE!</v>
      </c>
      <c r="BG1254" s="45" t="e">
        <f t="shared" si="681"/>
        <v>#VALUE!</v>
      </c>
      <c r="BH1254" s="45" t="e">
        <f t="shared" si="682"/>
        <v>#NUM!</v>
      </c>
      <c r="BI1254" s="43" t="e">
        <f t="shared" si="683"/>
        <v>#VALUE!</v>
      </c>
      <c r="BL1254" s="20"/>
      <c r="BM1254" s="50"/>
      <c r="BN1254" s="50"/>
      <c r="BO1254" s="50"/>
      <c r="BP1254" s="50"/>
      <c r="BQ1254" s="50"/>
      <c r="BR1254" s="50"/>
      <c r="BU1254" s="50"/>
      <c r="BV1254" s="50"/>
      <c r="BW1254" s="50"/>
      <c r="BX1254" s="50"/>
      <c r="BY1254" s="50"/>
      <c r="BZ1254" s="50"/>
      <c r="CA1254" s="50" t="s">
        <v>22</v>
      </c>
      <c r="CE1254" s="50"/>
      <c r="CF1254" s="50"/>
      <c r="CG1254" s="50"/>
      <c r="CH1254" s="50"/>
      <c r="CI1254" s="50">
        <f t="shared" si="690"/>
        <v>2.2000000000000002</v>
      </c>
      <c r="CJ1254" s="50">
        <f t="shared" si="691"/>
        <v>0.34242268082220628</v>
      </c>
      <c r="CL1254" s="9" t="s">
        <v>1269</v>
      </c>
      <c r="CM1254" s="9" t="s">
        <v>1285</v>
      </c>
      <c r="CN1254" s="55" t="s">
        <v>1284</v>
      </c>
      <c r="CO1254" s="9" t="s">
        <v>1284</v>
      </c>
    </row>
    <row r="1255" spans="1:93" s="9" customFormat="1" x14ac:dyDescent="0.25">
      <c r="A1255" s="9" t="s">
        <v>266</v>
      </c>
      <c r="B1255" s="50">
        <v>0.22683982683982598</v>
      </c>
      <c r="C1255" s="50" t="s">
        <v>22</v>
      </c>
      <c r="D1255" s="50" t="s">
        <v>22</v>
      </c>
      <c r="E1255" s="50" t="s">
        <v>22</v>
      </c>
      <c r="F1255" s="9" t="s">
        <v>22</v>
      </c>
      <c r="G1255" s="9" t="s">
        <v>22</v>
      </c>
      <c r="H1255" s="9" t="s">
        <v>22</v>
      </c>
      <c r="I1255" s="9" t="s">
        <v>22</v>
      </c>
      <c r="J1255" s="50">
        <v>75</v>
      </c>
      <c r="K1255" s="9" t="s">
        <v>22</v>
      </c>
      <c r="L1255" s="50" t="e">
        <f t="shared" si="689"/>
        <v>#VALUE!</v>
      </c>
      <c r="M1255" s="9" t="s">
        <v>23</v>
      </c>
      <c r="N1255" s="50">
        <v>546.050096339113</v>
      </c>
      <c r="O1255" s="50" t="s">
        <v>22</v>
      </c>
      <c r="P1255" s="50" t="s">
        <v>22</v>
      </c>
      <c r="Q1255" s="50"/>
      <c r="R1255" s="50">
        <f t="shared" si="692"/>
        <v>123.86590929943469</v>
      </c>
      <c r="S1255" s="50" t="s">
        <v>22</v>
      </c>
      <c r="T1255" s="50">
        <v>2.2000000000000002</v>
      </c>
      <c r="U1255" s="50">
        <v>2.2000000000000002</v>
      </c>
      <c r="V1255" s="9">
        <v>20201127</v>
      </c>
      <c r="W1255" s="21"/>
      <c r="X1255" s="21">
        <v>2020</v>
      </c>
      <c r="Y1255" s="9" t="s">
        <v>76</v>
      </c>
      <c r="Z1255" s="9" t="s">
        <v>32</v>
      </c>
      <c r="AB1255" s="50"/>
      <c r="AC1255" s="9" t="s">
        <v>514</v>
      </c>
      <c r="AD1255" s="50" t="s">
        <v>22</v>
      </c>
      <c r="AE1255" s="50">
        <v>1582</v>
      </c>
      <c r="AF1255" s="50" t="s">
        <v>22</v>
      </c>
      <c r="AG1255" s="50" t="s">
        <v>22</v>
      </c>
      <c r="AH1255" s="50" t="s">
        <v>22</v>
      </c>
      <c r="AI1255" s="50" t="s">
        <v>22</v>
      </c>
      <c r="AJ1255" s="50" t="s">
        <v>22</v>
      </c>
      <c r="AK1255" s="50" t="s">
        <v>22</v>
      </c>
      <c r="AL1255" s="50" t="s">
        <v>22</v>
      </c>
      <c r="AM1255" s="43" t="e">
        <f t="shared" si="666"/>
        <v>#VALUE!</v>
      </c>
      <c r="AN1255" s="43" t="e">
        <f t="shared" si="667"/>
        <v>#VALUE!</v>
      </c>
      <c r="AO1255" s="57" t="s">
        <v>1161</v>
      </c>
      <c r="AT1255" s="2">
        <f t="shared" si="668"/>
        <v>11</v>
      </c>
      <c r="AU1255" s="45">
        <f t="shared" si="669"/>
        <v>-0.64428069290841927</v>
      </c>
      <c r="AV1255" s="45" t="e">
        <f t="shared" si="670"/>
        <v>#VALUE!</v>
      </c>
      <c r="AW1255" s="45" t="e">
        <f t="shared" si="671"/>
        <v>#VALUE!</v>
      </c>
      <c r="AX1255" s="45">
        <f t="shared" si="672"/>
        <v>2.737232488062983</v>
      </c>
      <c r="AY1255" s="45" t="e">
        <f t="shared" si="673"/>
        <v>#VALUE!</v>
      </c>
      <c r="AZ1255" s="45" t="e">
        <f t="shared" si="674"/>
        <v>#VALUE!</v>
      </c>
      <c r="BA1255" s="45">
        <f t="shared" si="675"/>
        <v>1.8750612633917001</v>
      </c>
      <c r="BB1255" s="45" t="e">
        <f t="shared" si="676"/>
        <v>#VALUE!</v>
      </c>
      <c r="BC1255" s="45">
        <f t="shared" si="677"/>
        <v>0.34242268082220628</v>
      </c>
      <c r="BD1255" s="45" t="e">
        <f t="shared" si="678"/>
        <v>#VALUE!</v>
      </c>
      <c r="BE1255" s="45" t="e">
        <f t="shared" si="679"/>
        <v>#VALUE!</v>
      </c>
      <c r="BF1255" s="45" t="e">
        <f t="shared" si="680"/>
        <v>#VALUE!</v>
      </c>
      <c r="BG1255" s="45" t="e">
        <f t="shared" si="681"/>
        <v>#VALUE!</v>
      </c>
      <c r="BH1255" s="45" t="e">
        <f t="shared" si="682"/>
        <v>#NUM!</v>
      </c>
      <c r="BI1255" s="43" t="e">
        <f t="shared" si="683"/>
        <v>#VALUE!</v>
      </c>
      <c r="BL1255" s="20"/>
      <c r="BM1255" s="50"/>
      <c r="BN1255" s="50"/>
      <c r="BO1255" s="50"/>
      <c r="BP1255" s="50"/>
      <c r="BQ1255" s="50"/>
      <c r="BR1255" s="50"/>
      <c r="BU1255" s="50"/>
      <c r="BV1255" s="50"/>
      <c r="BW1255" s="50"/>
      <c r="BX1255" s="50"/>
      <c r="BY1255" s="50"/>
      <c r="BZ1255" s="50"/>
      <c r="CA1255" s="50" t="s">
        <v>22</v>
      </c>
      <c r="CE1255" s="50"/>
      <c r="CF1255" s="50"/>
      <c r="CG1255" s="50"/>
      <c r="CH1255" s="50"/>
      <c r="CI1255" s="50">
        <f t="shared" si="690"/>
        <v>2.2000000000000002</v>
      </c>
      <c r="CJ1255" s="50">
        <f t="shared" si="691"/>
        <v>0.34242268082220628</v>
      </c>
      <c r="CL1255" s="9" t="s">
        <v>1269</v>
      </c>
      <c r="CM1255" s="9" t="s">
        <v>1285</v>
      </c>
      <c r="CN1255" s="55" t="s">
        <v>1284</v>
      </c>
      <c r="CO1255" s="9" t="s">
        <v>1284</v>
      </c>
    </row>
    <row r="1256" spans="1:93" s="9" customFormat="1" x14ac:dyDescent="0.25">
      <c r="A1256" s="9" t="s">
        <v>266</v>
      </c>
      <c r="B1256" s="50">
        <v>0.22900432900432902</v>
      </c>
      <c r="C1256" s="50" t="s">
        <v>22</v>
      </c>
      <c r="D1256" s="50" t="s">
        <v>22</v>
      </c>
      <c r="E1256" s="50" t="s">
        <v>22</v>
      </c>
      <c r="F1256" s="9" t="s">
        <v>22</v>
      </c>
      <c r="G1256" s="9" t="s">
        <v>22</v>
      </c>
      <c r="H1256" s="9" t="s">
        <v>22</v>
      </c>
      <c r="I1256" s="9" t="s">
        <v>22</v>
      </c>
      <c r="J1256" s="50">
        <v>75</v>
      </c>
      <c r="K1256" s="9" t="s">
        <v>22</v>
      </c>
      <c r="L1256" s="50" t="e">
        <f t="shared" si="689"/>
        <v>#VALUE!</v>
      </c>
      <c r="M1256" s="9" t="s">
        <v>23</v>
      </c>
      <c r="N1256" s="50">
        <v>550.67437379575995</v>
      </c>
      <c r="O1256" s="50" t="s">
        <v>22</v>
      </c>
      <c r="P1256" s="50" t="s">
        <v>22</v>
      </c>
      <c r="Q1256" s="50"/>
      <c r="R1256" s="50">
        <f t="shared" si="692"/>
        <v>126.10681547097707</v>
      </c>
      <c r="S1256" s="50" t="s">
        <v>22</v>
      </c>
      <c r="T1256" s="50">
        <v>2.2000000000000002</v>
      </c>
      <c r="U1256" s="50">
        <v>2.2000000000000002</v>
      </c>
      <c r="V1256" s="9">
        <v>20201127</v>
      </c>
      <c r="W1256" s="21"/>
      <c r="X1256" s="21">
        <v>2020</v>
      </c>
      <c r="Y1256" s="9" t="s">
        <v>76</v>
      </c>
      <c r="Z1256" s="9" t="s">
        <v>32</v>
      </c>
      <c r="AB1256" s="50"/>
      <c r="AC1256" s="9" t="s">
        <v>514</v>
      </c>
      <c r="AD1256" s="50" t="s">
        <v>22</v>
      </c>
      <c r="AE1256" s="50">
        <v>1582</v>
      </c>
      <c r="AF1256" s="50" t="s">
        <v>22</v>
      </c>
      <c r="AG1256" s="50" t="s">
        <v>22</v>
      </c>
      <c r="AH1256" s="50" t="s">
        <v>22</v>
      </c>
      <c r="AI1256" s="50" t="s">
        <v>22</v>
      </c>
      <c r="AJ1256" s="50" t="s">
        <v>22</v>
      </c>
      <c r="AK1256" s="50" t="s">
        <v>22</v>
      </c>
      <c r="AL1256" s="50" t="s">
        <v>22</v>
      </c>
      <c r="AM1256" s="43" t="e">
        <f t="shared" si="666"/>
        <v>#VALUE!</v>
      </c>
      <c r="AN1256" s="43" t="e">
        <f t="shared" si="667"/>
        <v>#VALUE!</v>
      </c>
      <c r="AO1256" s="57" t="s">
        <v>1161</v>
      </c>
      <c r="AT1256" s="2">
        <f t="shared" si="668"/>
        <v>11</v>
      </c>
      <c r="AU1256" s="45">
        <f t="shared" si="669"/>
        <v>-0.64015630785695854</v>
      </c>
      <c r="AV1256" s="45" t="e">
        <f t="shared" si="670"/>
        <v>#VALUE!</v>
      </c>
      <c r="AW1256" s="45" t="e">
        <f t="shared" si="671"/>
        <v>#VALUE!</v>
      </c>
      <c r="AX1256" s="45">
        <f t="shared" si="672"/>
        <v>2.7408948666064927</v>
      </c>
      <c r="AY1256" s="45" t="e">
        <f t="shared" si="673"/>
        <v>#VALUE!</v>
      </c>
      <c r="AZ1256" s="45" t="e">
        <f t="shared" si="674"/>
        <v>#VALUE!</v>
      </c>
      <c r="BA1256" s="45">
        <f t="shared" si="675"/>
        <v>1.8750612633917001</v>
      </c>
      <c r="BB1256" s="45" t="e">
        <f t="shared" si="676"/>
        <v>#VALUE!</v>
      </c>
      <c r="BC1256" s="45">
        <f t="shared" si="677"/>
        <v>0.34242268082220628</v>
      </c>
      <c r="BD1256" s="45" t="e">
        <f t="shared" si="678"/>
        <v>#VALUE!</v>
      </c>
      <c r="BE1256" s="45" t="e">
        <f t="shared" si="679"/>
        <v>#VALUE!</v>
      </c>
      <c r="BF1256" s="45" t="e">
        <f t="shared" si="680"/>
        <v>#VALUE!</v>
      </c>
      <c r="BG1256" s="45" t="e">
        <f t="shared" si="681"/>
        <v>#VALUE!</v>
      </c>
      <c r="BH1256" s="45" t="e">
        <f t="shared" si="682"/>
        <v>#NUM!</v>
      </c>
      <c r="BI1256" s="43" t="e">
        <f t="shared" si="683"/>
        <v>#VALUE!</v>
      </c>
      <c r="BL1256" s="20"/>
      <c r="BM1256" s="50"/>
      <c r="BN1256" s="50"/>
      <c r="BO1256" s="50"/>
      <c r="BP1256" s="50"/>
      <c r="BQ1256" s="50"/>
      <c r="BR1256" s="50"/>
      <c r="BU1256" s="50"/>
      <c r="BV1256" s="50"/>
      <c r="BW1256" s="50"/>
      <c r="BX1256" s="50"/>
      <c r="BY1256" s="50"/>
      <c r="BZ1256" s="50"/>
      <c r="CA1256" s="50" t="s">
        <v>22</v>
      </c>
      <c r="CE1256" s="50"/>
      <c r="CF1256" s="50"/>
      <c r="CG1256" s="50"/>
      <c r="CH1256" s="50"/>
      <c r="CI1256" s="50">
        <f t="shared" si="690"/>
        <v>2.2000000000000002</v>
      </c>
      <c r="CJ1256" s="50">
        <f t="shared" si="691"/>
        <v>0.34242268082220628</v>
      </c>
      <c r="CL1256" s="9" t="s">
        <v>1269</v>
      </c>
      <c r="CM1256" s="9" t="s">
        <v>1285</v>
      </c>
      <c r="CN1256" s="55" t="s">
        <v>1284</v>
      </c>
      <c r="CO1256" s="9" t="s">
        <v>1284</v>
      </c>
    </row>
    <row r="1257" spans="1:93" s="9" customFormat="1" x14ac:dyDescent="0.25">
      <c r="A1257" s="9" t="s">
        <v>266</v>
      </c>
      <c r="B1257" s="50">
        <v>0.23376623376623301</v>
      </c>
      <c r="C1257" s="50" t="s">
        <v>22</v>
      </c>
      <c r="D1257" s="50" t="s">
        <v>22</v>
      </c>
      <c r="E1257" s="50" t="s">
        <v>22</v>
      </c>
      <c r="F1257" s="9" t="s">
        <v>22</v>
      </c>
      <c r="G1257" s="9" t="s">
        <v>22</v>
      </c>
      <c r="H1257" s="9" t="s">
        <v>22</v>
      </c>
      <c r="I1257" s="9" t="s">
        <v>22</v>
      </c>
      <c r="J1257" s="50">
        <v>75</v>
      </c>
      <c r="K1257" s="9" t="s">
        <v>22</v>
      </c>
      <c r="L1257" s="50" t="e">
        <f t="shared" si="689"/>
        <v>#VALUE!</v>
      </c>
      <c r="M1257" s="9" t="s">
        <v>23</v>
      </c>
      <c r="N1257" s="50">
        <v>533.71868978805298</v>
      </c>
      <c r="O1257" s="50" t="s">
        <v>22</v>
      </c>
      <c r="P1257" s="50" t="s">
        <v>22</v>
      </c>
      <c r="Q1257" s="50"/>
      <c r="R1257" s="50">
        <f t="shared" si="692"/>
        <v>124.7654080024016</v>
      </c>
      <c r="S1257" s="50" t="s">
        <v>22</v>
      </c>
      <c r="T1257" s="50">
        <v>2.2000000000000002</v>
      </c>
      <c r="U1257" s="50">
        <v>2.2000000000000002</v>
      </c>
      <c r="V1257" s="9">
        <v>20201127</v>
      </c>
      <c r="W1257" s="21"/>
      <c r="X1257" s="21">
        <v>2020</v>
      </c>
      <c r="Y1257" s="9" t="s">
        <v>76</v>
      </c>
      <c r="Z1257" s="9" t="s">
        <v>32</v>
      </c>
      <c r="AB1257" s="50"/>
      <c r="AC1257" s="9" t="s">
        <v>514</v>
      </c>
      <c r="AD1257" s="50" t="s">
        <v>22</v>
      </c>
      <c r="AE1257" s="50">
        <v>1582</v>
      </c>
      <c r="AF1257" s="50" t="s">
        <v>22</v>
      </c>
      <c r="AG1257" s="50" t="s">
        <v>22</v>
      </c>
      <c r="AH1257" s="50" t="s">
        <v>22</v>
      </c>
      <c r="AI1257" s="50" t="s">
        <v>22</v>
      </c>
      <c r="AJ1257" s="50" t="s">
        <v>22</v>
      </c>
      <c r="AK1257" s="50" t="s">
        <v>22</v>
      </c>
      <c r="AL1257" s="50" t="s">
        <v>22</v>
      </c>
      <c r="AM1257" s="43" t="e">
        <f t="shared" si="666"/>
        <v>#VALUE!</v>
      </c>
      <c r="AN1257" s="43" t="e">
        <f t="shared" si="667"/>
        <v>#VALUE!</v>
      </c>
      <c r="AO1257" s="57" t="s">
        <v>1161</v>
      </c>
      <c r="AT1257" s="2">
        <f t="shared" si="668"/>
        <v>11</v>
      </c>
      <c r="AU1257" s="45">
        <f t="shared" si="669"/>
        <v>-0.63121822006917716</v>
      </c>
      <c r="AV1257" s="45" t="e">
        <f t="shared" si="670"/>
        <v>#VALUE!</v>
      </c>
      <c r="AW1257" s="45" t="e">
        <f t="shared" si="671"/>
        <v>#VALUE!</v>
      </c>
      <c r="AX1257" s="45">
        <f t="shared" si="672"/>
        <v>2.7273124112159901</v>
      </c>
      <c r="AY1257" s="45" t="e">
        <f t="shared" si="673"/>
        <v>#VALUE!</v>
      </c>
      <c r="AZ1257" s="45" t="e">
        <f t="shared" si="674"/>
        <v>#VALUE!</v>
      </c>
      <c r="BA1257" s="45">
        <f t="shared" si="675"/>
        <v>1.8750612633917001</v>
      </c>
      <c r="BB1257" s="45" t="e">
        <f t="shared" si="676"/>
        <v>#VALUE!</v>
      </c>
      <c r="BC1257" s="45">
        <f t="shared" si="677"/>
        <v>0.34242268082220628</v>
      </c>
      <c r="BD1257" s="45" t="e">
        <f t="shared" si="678"/>
        <v>#VALUE!</v>
      </c>
      <c r="BE1257" s="45" t="e">
        <f t="shared" si="679"/>
        <v>#VALUE!</v>
      </c>
      <c r="BF1257" s="45" t="e">
        <f t="shared" si="680"/>
        <v>#VALUE!</v>
      </c>
      <c r="BG1257" s="45" t="e">
        <f t="shared" si="681"/>
        <v>#VALUE!</v>
      </c>
      <c r="BH1257" s="45" t="e">
        <f t="shared" si="682"/>
        <v>#NUM!</v>
      </c>
      <c r="BI1257" s="43" t="e">
        <f t="shared" si="683"/>
        <v>#VALUE!</v>
      </c>
      <c r="BL1257" s="20"/>
      <c r="BM1257" s="50"/>
      <c r="BN1257" s="50"/>
      <c r="BO1257" s="50"/>
      <c r="BP1257" s="50"/>
      <c r="BQ1257" s="50"/>
      <c r="BR1257" s="50"/>
      <c r="BU1257" s="50"/>
      <c r="BV1257" s="50"/>
      <c r="BW1257" s="50"/>
      <c r="BX1257" s="50"/>
      <c r="BY1257" s="50"/>
      <c r="BZ1257" s="50"/>
      <c r="CA1257" s="50" t="s">
        <v>22</v>
      </c>
      <c r="CE1257" s="50"/>
      <c r="CF1257" s="50"/>
      <c r="CG1257" s="50"/>
      <c r="CH1257" s="50"/>
      <c r="CI1257" s="50">
        <f t="shared" si="690"/>
        <v>2.2000000000000002</v>
      </c>
      <c r="CJ1257" s="50">
        <f t="shared" si="691"/>
        <v>0.34242268082220628</v>
      </c>
      <c r="CL1257" s="9" t="s">
        <v>1269</v>
      </c>
      <c r="CM1257" s="9" t="s">
        <v>1285</v>
      </c>
      <c r="CN1257" s="55" t="s">
        <v>1284</v>
      </c>
      <c r="CO1257" s="9" t="s">
        <v>1284</v>
      </c>
    </row>
    <row r="1258" spans="1:93" s="9" customFormat="1" x14ac:dyDescent="0.25">
      <c r="A1258" s="9" t="s">
        <v>266</v>
      </c>
      <c r="B1258" s="50">
        <v>0.23722943722943698</v>
      </c>
      <c r="C1258" s="50" t="s">
        <v>22</v>
      </c>
      <c r="D1258" s="50" t="s">
        <v>22</v>
      </c>
      <c r="E1258" s="50" t="s">
        <v>22</v>
      </c>
      <c r="F1258" s="9" t="s">
        <v>22</v>
      </c>
      <c r="G1258" s="9" t="s">
        <v>22</v>
      </c>
      <c r="H1258" s="9" t="s">
        <v>22</v>
      </c>
      <c r="I1258" s="9" t="s">
        <v>22</v>
      </c>
      <c r="J1258" s="50">
        <v>75</v>
      </c>
      <c r="K1258" s="9" t="s">
        <v>22</v>
      </c>
      <c r="L1258" s="50" t="e">
        <f t="shared" si="689"/>
        <v>#VALUE!</v>
      </c>
      <c r="M1258" s="9" t="s">
        <v>23</v>
      </c>
      <c r="N1258" s="50">
        <v>538.34296724470096</v>
      </c>
      <c r="O1258" s="50" t="s">
        <v>22</v>
      </c>
      <c r="P1258" s="50" t="s">
        <v>22</v>
      </c>
      <c r="Q1258" s="50"/>
      <c r="R1258" s="50">
        <f t="shared" si="692"/>
        <v>127.71079915588564</v>
      </c>
      <c r="S1258" s="50" t="s">
        <v>22</v>
      </c>
      <c r="T1258" s="50">
        <v>2.2000000000000002</v>
      </c>
      <c r="U1258" s="50">
        <v>2.2000000000000002</v>
      </c>
      <c r="V1258" s="9">
        <v>20201127</v>
      </c>
      <c r="W1258" s="21"/>
      <c r="X1258" s="21">
        <v>2020</v>
      </c>
      <c r="Y1258" s="9" t="s">
        <v>76</v>
      </c>
      <c r="Z1258" s="9" t="s">
        <v>32</v>
      </c>
      <c r="AB1258" s="50"/>
      <c r="AC1258" s="9" t="s">
        <v>514</v>
      </c>
      <c r="AD1258" s="50" t="s">
        <v>22</v>
      </c>
      <c r="AE1258" s="50">
        <v>1582</v>
      </c>
      <c r="AF1258" s="50" t="s">
        <v>22</v>
      </c>
      <c r="AG1258" s="50" t="s">
        <v>22</v>
      </c>
      <c r="AH1258" s="50" t="s">
        <v>22</v>
      </c>
      <c r="AI1258" s="50" t="s">
        <v>22</v>
      </c>
      <c r="AJ1258" s="50" t="s">
        <v>22</v>
      </c>
      <c r="AK1258" s="50" t="s">
        <v>22</v>
      </c>
      <c r="AL1258" s="50" t="s">
        <v>22</v>
      </c>
      <c r="AM1258" s="43" t="e">
        <f t="shared" si="666"/>
        <v>#VALUE!</v>
      </c>
      <c r="AN1258" s="43" t="e">
        <f t="shared" si="667"/>
        <v>#VALUE!</v>
      </c>
      <c r="AO1258" s="57" t="s">
        <v>1161</v>
      </c>
      <c r="AT1258" s="2">
        <f t="shared" si="668"/>
        <v>11</v>
      </c>
      <c r="AU1258" s="45">
        <f t="shared" si="669"/>
        <v>-0.62483142140777559</v>
      </c>
      <c r="AV1258" s="45" t="e">
        <f t="shared" si="670"/>
        <v>#VALUE!</v>
      </c>
      <c r="AW1258" s="45" t="e">
        <f t="shared" si="671"/>
        <v>#VALUE!</v>
      </c>
      <c r="AX1258" s="45">
        <f t="shared" si="672"/>
        <v>2.7310590439297049</v>
      </c>
      <c r="AY1258" s="45" t="e">
        <f t="shared" si="673"/>
        <v>#VALUE!</v>
      </c>
      <c r="AZ1258" s="45" t="e">
        <f t="shared" si="674"/>
        <v>#VALUE!</v>
      </c>
      <c r="BA1258" s="45">
        <f t="shared" si="675"/>
        <v>1.8750612633917001</v>
      </c>
      <c r="BB1258" s="45" t="e">
        <f t="shared" si="676"/>
        <v>#VALUE!</v>
      </c>
      <c r="BC1258" s="45">
        <f t="shared" si="677"/>
        <v>0.34242268082220628</v>
      </c>
      <c r="BD1258" s="45" t="e">
        <f t="shared" si="678"/>
        <v>#VALUE!</v>
      </c>
      <c r="BE1258" s="45" t="e">
        <f t="shared" si="679"/>
        <v>#VALUE!</v>
      </c>
      <c r="BF1258" s="45" t="e">
        <f t="shared" si="680"/>
        <v>#VALUE!</v>
      </c>
      <c r="BG1258" s="45" t="e">
        <f t="shared" si="681"/>
        <v>#VALUE!</v>
      </c>
      <c r="BH1258" s="45" t="e">
        <f t="shared" si="682"/>
        <v>#NUM!</v>
      </c>
      <c r="BI1258" s="43" t="e">
        <f t="shared" si="683"/>
        <v>#VALUE!</v>
      </c>
      <c r="BL1258" s="20"/>
      <c r="BM1258" s="50"/>
      <c r="BN1258" s="50"/>
      <c r="BO1258" s="50"/>
      <c r="BP1258" s="50"/>
      <c r="BQ1258" s="50"/>
      <c r="BR1258" s="50"/>
      <c r="BU1258" s="50"/>
      <c r="BV1258" s="50"/>
      <c r="BW1258" s="50"/>
      <c r="BX1258" s="50"/>
      <c r="BY1258" s="50"/>
      <c r="BZ1258" s="50"/>
      <c r="CA1258" s="50" t="s">
        <v>22</v>
      </c>
      <c r="CE1258" s="50"/>
      <c r="CF1258" s="50"/>
      <c r="CG1258" s="50"/>
      <c r="CH1258" s="50"/>
      <c r="CI1258" s="50">
        <f t="shared" si="690"/>
        <v>2.2000000000000002</v>
      </c>
      <c r="CJ1258" s="50">
        <f t="shared" si="691"/>
        <v>0.34242268082220628</v>
      </c>
      <c r="CL1258" s="9" t="s">
        <v>1269</v>
      </c>
      <c r="CM1258" s="9" t="s">
        <v>1285</v>
      </c>
      <c r="CN1258" s="55" t="s">
        <v>1284</v>
      </c>
      <c r="CO1258" s="9" t="s">
        <v>1284</v>
      </c>
    </row>
    <row r="1259" spans="1:93" s="9" customFormat="1" x14ac:dyDescent="0.25">
      <c r="A1259" s="9" t="s">
        <v>266</v>
      </c>
      <c r="B1259" s="50">
        <v>0.23419913419913402</v>
      </c>
      <c r="C1259" s="50" t="s">
        <v>22</v>
      </c>
      <c r="D1259" s="50" t="s">
        <v>22</v>
      </c>
      <c r="E1259" s="50" t="s">
        <v>22</v>
      </c>
      <c r="F1259" s="9" t="s">
        <v>22</v>
      </c>
      <c r="G1259" s="9" t="s">
        <v>22</v>
      </c>
      <c r="H1259" s="9" t="s">
        <v>22</v>
      </c>
      <c r="I1259" s="9" t="s">
        <v>22</v>
      </c>
      <c r="J1259" s="50">
        <v>75</v>
      </c>
      <c r="K1259" s="9" t="s">
        <v>22</v>
      </c>
      <c r="L1259" s="50" t="e">
        <f t="shared" si="689"/>
        <v>#VALUE!</v>
      </c>
      <c r="M1259" s="9" t="s">
        <v>23</v>
      </c>
      <c r="N1259" s="50">
        <v>563.00578034681996</v>
      </c>
      <c r="O1259" s="50" t="s">
        <v>22</v>
      </c>
      <c r="P1259" s="50" t="s">
        <v>22</v>
      </c>
      <c r="Q1259" s="50"/>
      <c r="R1259" s="50">
        <f t="shared" si="692"/>
        <v>131.85546630633306</v>
      </c>
      <c r="S1259" s="50" t="s">
        <v>22</v>
      </c>
      <c r="T1259" s="50">
        <v>2.2000000000000002</v>
      </c>
      <c r="U1259" s="50">
        <v>2.2000000000000002</v>
      </c>
      <c r="V1259" s="9">
        <v>20201127</v>
      </c>
      <c r="W1259" s="21"/>
      <c r="X1259" s="21">
        <v>2020</v>
      </c>
      <c r="Y1259" s="9" t="s">
        <v>76</v>
      </c>
      <c r="Z1259" s="9" t="s">
        <v>32</v>
      </c>
      <c r="AB1259" s="50"/>
      <c r="AC1259" s="9" t="s">
        <v>514</v>
      </c>
      <c r="AD1259" s="50" t="s">
        <v>22</v>
      </c>
      <c r="AE1259" s="50">
        <v>1582</v>
      </c>
      <c r="AF1259" s="50" t="s">
        <v>22</v>
      </c>
      <c r="AG1259" s="50" t="s">
        <v>22</v>
      </c>
      <c r="AH1259" s="50" t="s">
        <v>22</v>
      </c>
      <c r="AI1259" s="50" t="s">
        <v>22</v>
      </c>
      <c r="AJ1259" s="50" t="s">
        <v>22</v>
      </c>
      <c r="AK1259" s="50" t="s">
        <v>22</v>
      </c>
      <c r="AL1259" s="50" t="s">
        <v>22</v>
      </c>
      <c r="AM1259" s="43" t="e">
        <f t="shared" si="666"/>
        <v>#VALUE!</v>
      </c>
      <c r="AN1259" s="43" t="e">
        <f t="shared" si="667"/>
        <v>#VALUE!</v>
      </c>
      <c r="AO1259" s="57" t="s">
        <v>1161</v>
      </c>
      <c r="AT1259" s="2">
        <f t="shared" si="668"/>
        <v>11</v>
      </c>
      <c r="AU1259" s="45">
        <f t="shared" si="669"/>
        <v>-0.6304147147855752</v>
      </c>
      <c r="AV1259" s="45" t="e">
        <f t="shared" si="670"/>
        <v>#VALUE!</v>
      </c>
      <c r="AW1259" s="45" t="e">
        <f t="shared" si="671"/>
        <v>#VALUE!</v>
      </c>
      <c r="AX1259" s="45">
        <f t="shared" si="672"/>
        <v>2.7505128537498194</v>
      </c>
      <c r="AY1259" s="45" t="e">
        <f t="shared" si="673"/>
        <v>#VALUE!</v>
      </c>
      <c r="AZ1259" s="45" t="e">
        <f t="shared" si="674"/>
        <v>#VALUE!</v>
      </c>
      <c r="BA1259" s="45">
        <f t="shared" si="675"/>
        <v>1.8750612633917001</v>
      </c>
      <c r="BB1259" s="45" t="e">
        <f t="shared" si="676"/>
        <v>#VALUE!</v>
      </c>
      <c r="BC1259" s="45">
        <f t="shared" si="677"/>
        <v>0.34242268082220628</v>
      </c>
      <c r="BD1259" s="45" t="e">
        <f t="shared" si="678"/>
        <v>#VALUE!</v>
      </c>
      <c r="BE1259" s="45" t="e">
        <f t="shared" si="679"/>
        <v>#VALUE!</v>
      </c>
      <c r="BF1259" s="45" t="e">
        <f t="shared" si="680"/>
        <v>#VALUE!</v>
      </c>
      <c r="BG1259" s="45" t="e">
        <f t="shared" si="681"/>
        <v>#VALUE!</v>
      </c>
      <c r="BH1259" s="45" t="e">
        <f t="shared" si="682"/>
        <v>#NUM!</v>
      </c>
      <c r="BI1259" s="43" t="e">
        <f t="shared" si="683"/>
        <v>#VALUE!</v>
      </c>
      <c r="BL1259" s="20"/>
      <c r="BM1259" s="50"/>
      <c r="BN1259" s="50"/>
      <c r="BO1259" s="50"/>
      <c r="BP1259" s="50"/>
      <c r="BQ1259" s="50"/>
      <c r="BR1259" s="50"/>
      <c r="BU1259" s="50"/>
      <c r="BV1259" s="50"/>
      <c r="BW1259" s="50"/>
      <c r="BX1259" s="50"/>
      <c r="BY1259" s="50"/>
      <c r="BZ1259" s="50"/>
      <c r="CA1259" s="50" t="s">
        <v>22</v>
      </c>
      <c r="CE1259" s="50"/>
      <c r="CF1259" s="50"/>
      <c r="CG1259" s="50"/>
      <c r="CH1259" s="50"/>
      <c r="CI1259" s="50">
        <f t="shared" si="690"/>
        <v>2.2000000000000002</v>
      </c>
      <c r="CJ1259" s="50">
        <f t="shared" si="691"/>
        <v>0.34242268082220628</v>
      </c>
      <c r="CL1259" s="9" t="s">
        <v>1269</v>
      </c>
      <c r="CM1259" s="9" t="s">
        <v>1285</v>
      </c>
      <c r="CN1259" s="55" t="s">
        <v>1284</v>
      </c>
      <c r="CO1259" s="9" t="s">
        <v>1284</v>
      </c>
    </row>
    <row r="1260" spans="1:93" s="9" customFormat="1" x14ac:dyDescent="0.25">
      <c r="A1260" s="9" t="s">
        <v>266</v>
      </c>
      <c r="B1260" s="50">
        <v>0.23939393939393896</v>
      </c>
      <c r="C1260" s="50" t="s">
        <v>22</v>
      </c>
      <c r="D1260" s="50" t="s">
        <v>22</v>
      </c>
      <c r="E1260" s="50" t="s">
        <v>22</v>
      </c>
      <c r="F1260" s="9" t="s">
        <v>22</v>
      </c>
      <c r="G1260" s="9" t="s">
        <v>22</v>
      </c>
      <c r="H1260" s="9" t="s">
        <v>22</v>
      </c>
      <c r="I1260" s="9" t="s">
        <v>22</v>
      </c>
      <c r="J1260" s="50">
        <v>75</v>
      </c>
      <c r="K1260" s="9" t="s">
        <v>22</v>
      </c>
      <c r="L1260" s="50" t="e">
        <f t="shared" si="689"/>
        <v>#VALUE!</v>
      </c>
      <c r="M1260" s="9" t="s">
        <v>23</v>
      </c>
      <c r="N1260" s="50">
        <v>569.17148362235002</v>
      </c>
      <c r="O1260" s="50" t="s">
        <v>22</v>
      </c>
      <c r="P1260" s="50" t="s">
        <v>22</v>
      </c>
      <c r="Q1260" s="50"/>
      <c r="R1260" s="50">
        <f t="shared" si="692"/>
        <v>136.25620365504719</v>
      </c>
      <c r="S1260" s="50" t="s">
        <v>22</v>
      </c>
      <c r="T1260" s="50">
        <v>2.2000000000000002</v>
      </c>
      <c r="U1260" s="50">
        <v>2.2000000000000002</v>
      </c>
      <c r="V1260" s="9">
        <v>20201127</v>
      </c>
      <c r="W1260" s="21"/>
      <c r="X1260" s="21">
        <v>2020</v>
      </c>
      <c r="Y1260" s="9" t="s">
        <v>76</v>
      </c>
      <c r="Z1260" s="9" t="s">
        <v>32</v>
      </c>
      <c r="AB1260" s="50"/>
      <c r="AC1260" s="9" t="s">
        <v>514</v>
      </c>
      <c r="AD1260" s="50" t="s">
        <v>22</v>
      </c>
      <c r="AE1260" s="50">
        <v>1582</v>
      </c>
      <c r="AF1260" s="50" t="s">
        <v>22</v>
      </c>
      <c r="AG1260" s="50" t="s">
        <v>22</v>
      </c>
      <c r="AH1260" s="50" t="s">
        <v>22</v>
      </c>
      <c r="AI1260" s="50" t="s">
        <v>22</v>
      </c>
      <c r="AJ1260" s="50" t="s">
        <v>22</v>
      </c>
      <c r="AK1260" s="50" t="s">
        <v>22</v>
      </c>
      <c r="AL1260" s="50" t="s">
        <v>22</v>
      </c>
      <c r="AM1260" s="43" t="e">
        <f t="shared" si="666"/>
        <v>#VALUE!</v>
      </c>
      <c r="AN1260" s="43" t="e">
        <f t="shared" si="667"/>
        <v>#VALUE!</v>
      </c>
      <c r="AO1260" s="57" t="s">
        <v>1161</v>
      </c>
      <c r="AT1260" s="2">
        <f t="shared" si="668"/>
        <v>11</v>
      </c>
      <c r="AU1260" s="45">
        <f t="shared" si="669"/>
        <v>-0.6208868485874468</v>
      </c>
      <c r="AV1260" s="45" t="e">
        <f t="shared" si="670"/>
        <v>#VALUE!</v>
      </c>
      <c r="AW1260" s="45" t="e">
        <f t="shared" si="671"/>
        <v>#VALUE!</v>
      </c>
      <c r="AX1260" s="45">
        <f t="shared" si="672"/>
        <v>2.7552431331274723</v>
      </c>
      <c r="AY1260" s="45" t="e">
        <f t="shared" si="673"/>
        <v>#VALUE!</v>
      </c>
      <c r="AZ1260" s="45" t="e">
        <f t="shared" si="674"/>
        <v>#VALUE!</v>
      </c>
      <c r="BA1260" s="45">
        <f t="shared" si="675"/>
        <v>1.8750612633917001</v>
      </c>
      <c r="BB1260" s="45" t="e">
        <f t="shared" si="676"/>
        <v>#VALUE!</v>
      </c>
      <c r="BC1260" s="45">
        <f t="shared" si="677"/>
        <v>0.34242268082220628</v>
      </c>
      <c r="BD1260" s="45" t="e">
        <f t="shared" si="678"/>
        <v>#VALUE!</v>
      </c>
      <c r="BE1260" s="45" t="e">
        <f t="shared" si="679"/>
        <v>#VALUE!</v>
      </c>
      <c r="BF1260" s="45" t="e">
        <f t="shared" si="680"/>
        <v>#VALUE!</v>
      </c>
      <c r="BG1260" s="45" t="e">
        <f t="shared" si="681"/>
        <v>#VALUE!</v>
      </c>
      <c r="BH1260" s="45" t="e">
        <f t="shared" si="682"/>
        <v>#NUM!</v>
      </c>
      <c r="BI1260" s="43" t="e">
        <f t="shared" si="683"/>
        <v>#VALUE!</v>
      </c>
      <c r="BL1260" s="20"/>
      <c r="BM1260" s="50"/>
      <c r="BN1260" s="50"/>
      <c r="BO1260" s="50"/>
      <c r="BP1260" s="50"/>
      <c r="BQ1260" s="50"/>
      <c r="BR1260" s="50"/>
      <c r="BU1260" s="50"/>
      <c r="BV1260" s="50"/>
      <c r="BW1260" s="50"/>
      <c r="BX1260" s="50"/>
      <c r="BY1260" s="50"/>
      <c r="BZ1260" s="50"/>
      <c r="CA1260" s="50" t="s">
        <v>22</v>
      </c>
      <c r="CE1260" s="50"/>
      <c r="CF1260" s="50"/>
      <c r="CG1260" s="50"/>
      <c r="CH1260" s="50"/>
      <c r="CI1260" s="50">
        <f t="shared" si="690"/>
        <v>2.2000000000000002</v>
      </c>
      <c r="CJ1260" s="50">
        <f t="shared" si="691"/>
        <v>0.34242268082220628</v>
      </c>
      <c r="CL1260" s="9" t="s">
        <v>1269</v>
      </c>
      <c r="CM1260" s="9" t="s">
        <v>1285</v>
      </c>
      <c r="CN1260" s="55" t="s">
        <v>1284</v>
      </c>
      <c r="CO1260" s="9" t="s">
        <v>1284</v>
      </c>
    </row>
    <row r="1261" spans="1:93" s="9" customFormat="1" x14ac:dyDescent="0.25">
      <c r="A1261" s="9" t="s">
        <v>266</v>
      </c>
      <c r="B1261" s="50">
        <v>0.24415584415584396</v>
      </c>
      <c r="C1261" s="50" t="s">
        <v>22</v>
      </c>
      <c r="D1261" s="50" t="s">
        <v>22</v>
      </c>
      <c r="E1261" s="50" t="s">
        <v>22</v>
      </c>
      <c r="F1261" s="9" t="s">
        <v>22</v>
      </c>
      <c r="G1261" s="9" t="s">
        <v>22</v>
      </c>
      <c r="H1261" s="9" t="s">
        <v>22</v>
      </c>
      <c r="I1261" s="9" t="s">
        <v>22</v>
      </c>
      <c r="J1261" s="50">
        <v>75</v>
      </c>
      <c r="K1261" s="9" t="s">
        <v>22</v>
      </c>
      <c r="L1261" s="50" t="e">
        <f t="shared" si="689"/>
        <v>#VALUE!</v>
      </c>
      <c r="M1261" s="9" t="s">
        <v>23</v>
      </c>
      <c r="N1261" s="50">
        <v>566.08863198458505</v>
      </c>
      <c r="O1261" s="50" t="s">
        <v>22</v>
      </c>
      <c r="P1261" s="50" t="s">
        <v>22</v>
      </c>
      <c r="Q1261" s="50"/>
      <c r="R1261" s="50">
        <f t="shared" si="692"/>
        <v>138.21384780922324</v>
      </c>
      <c r="S1261" s="50" t="s">
        <v>22</v>
      </c>
      <c r="T1261" s="50">
        <v>2.2000000000000002</v>
      </c>
      <c r="U1261" s="50">
        <v>2.2000000000000002</v>
      </c>
      <c r="V1261" s="9">
        <v>20201127</v>
      </c>
      <c r="W1261" s="21"/>
      <c r="X1261" s="21">
        <v>2020</v>
      </c>
      <c r="Y1261" s="9" t="s">
        <v>76</v>
      </c>
      <c r="Z1261" s="9" t="s">
        <v>32</v>
      </c>
      <c r="AB1261" s="50"/>
      <c r="AC1261" s="9" t="s">
        <v>514</v>
      </c>
      <c r="AD1261" s="50" t="s">
        <v>22</v>
      </c>
      <c r="AE1261" s="50">
        <v>1582</v>
      </c>
      <c r="AF1261" s="50" t="s">
        <v>22</v>
      </c>
      <c r="AG1261" s="50" t="s">
        <v>22</v>
      </c>
      <c r="AH1261" s="50" t="s">
        <v>22</v>
      </c>
      <c r="AI1261" s="50" t="s">
        <v>22</v>
      </c>
      <c r="AJ1261" s="50" t="s">
        <v>22</v>
      </c>
      <c r="AK1261" s="50" t="s">
        <v>22</v>
      </c>
      <c r="AL1261" s="50" t="s">
        <v>22</v>
      </c>
      <c r="AM1261" s="43" t="e">
        <f t="shared" si="666"/>
        <v>#VALUE!</v>
      </c>
      <c r="AN1261" s="43" t="e">
        <f t="shared" si="667"/>
        <v>#VALUE!</v>
      </c>
      <c r="AO1261" s="57" t="s">
        <v>1161</v>
      </c>
      <c r="AT1261" s="2">
        <f t="shared" si="668"/>
        <v>11</v>
      </c>
      <c r="AU1261" s="45">
        <f t="shared" si="669"/>
        <v>-0.61233287590880237</v>
      </c>
      <c r="AV1261" s="45" t="e">
        <f t="shared" si="670"/>
        <v>#VALUE!</v>
      </c>
      <c r="AW1261" s="45" t="e">
        <f t="shared" si="671"/>
        <v>#VALUE!</v>
      </c>
      <c r="AX1261" s="45">
        <f t="shared" si="672"/>
        <v>2.7528844336057792</v>
      </c>
      <c r="AY1261" s="45" t="e">
        <f t="shared" si="673"/>
        <v>#VALUE!</v>
      </c>
      <c r="AZ1261" s="45" t="e">
        <f t="shared" si="674"/>
        <v>#VALUE!</v>
      </c>
      <c r="BA1261" s="45">
        <f t="shared" si="675"/>
        <v>1.8750612633917001</v>
      </c>
      <c r="BB1261" s="45" t="e">
        <f t="shared" si="676"/>
        <v>#VALUE!</v>
      </c>
      <c r="BC1261" s="45">
        <f t="shared" si="677"/>
        <v>0.34242268082220628</v>
      </c>
      <c r="BD1261" s="45" t="e">
        <f t="shared" si="678"/>
        <v>#VALUE!</v>
      </c>
      <c r="BE1261" s="45" t="e">
        <f t="shared" si="679"/>
        <v>#VALUE!</v>
      </c>
      <c r="BF1261" s="45" t="e">
        <f t="shared" si="680"/>
        <v>#VALUE!</v>
      </c>
      <c r="BG1261" s="45" t="e">
        <f t="shared" si="681"/>
        <v>#VALUE!</v>
      </c>
      <c r="BH1261" s="45" t="e">
        <f t="shared" si="682"/>
        <v>#NUM!</v>
      </c>
      <c r="BI1261" s="43" t="e">
        <f t="shared" si="683"/>
        <v>#VALUE!</v>
      </c>
      <c r="BL1261" s="20"/>
      <c r="BM1261" s="50"/>
      <c r="BN1261" s="50"/>
      <c r="BO1261" s="50"/>
      <c r="BP1261" s="50"/>
      <c r="BQ1261" s="50"/>
      <c r="BR1261" s="50"/>
      <c r="BU1261" s="50"/>
      <c r="BV1261" s="50"/>
      <c r="BW1261" s="50"/>
      <c r="BX1261" s="50"/>
      <c r="BY1261" s="50"/>
      <c r="BZ1261" s="50"/>
      <c r="CA1261" s="50" t="s">
        <v>22</v>
      </c>
      <c r="CE1261" s="50"/>
      <c r="CF1261" s="50"/>
      <c r="CG1261" s="50"/>
      <c r="CH1261" s="50"/>
      <c r="CI1261" s="50">
        <f t="shared" si="690"/>
        <v>2.2000000000000002</v>
      </c>
      <c r="CJ1261" s="50">
        <f t="shared" si="691"/>
        <v>0.34242268082220628</v>
      </c>
      <c r="CL1261" s="9" t="s">
        <v>1269</v>
      </c>
      <c r="CM1261" s="9" t="s">
        <v>1285</v>
      </c>
      <c r="CN1261" s="55" t="s">
        <v>1284</v>
      </c>
      <c r="CO1261" s="9" t="s">
        <v>1284</v>
      </c>
    </row>
    <row r="1262" spans="1:93" s="9" customFormat="1" x14ac:dyDescent="0.25">
      <c r="A1262" s="9" t="s">
        <v>266</v>
      </c>
      <c r="B1262" s="50">
        <v>0.24632034632034602</v>
      </c>
      <c r="C1262" s="50" t="s">
        <v>22</v>
      </c>
      <c r="D1262" s="50" t="s">
        <v>22</v>
      </c>
      <c r="E1262" s="50" t="s">
        <v>22</v>
      </c>
      <c r="F1262" s="9" t="s">
        <v>22</v>
      </c>
      <c r="G1262" s="9" t="s">
        <v>22</v>
      </c>
      <c r="H1262" s="9" t="s">
        <v>22</v>
      </c>
      <c r="I1262" s="9" t="s">
        <v>22</v>
      </c>
      <c r="J1262" s="50">
        <v>75</v>
      </c>
      <c r="K1262" s="9" t="s">
        <v>22</v>
      </c>
      <c r="L1262" s="50" t="e">
        <f t="shared" si="689"/>
        <v>#VALUE!</v>
      </c>
      <c r="M1262" s="9" t="s">
        <v>23</v>
      </c>
      <c r="N1262" s="50">
        <v>570.712909441232</v>
      </c>
      <c r="O1262" s="50" t="s">
        <v>22</v>
      </c>
      <c r="P1262" s="50" t="s">
        <v>22</v>
      </c>
      <c r="Q1262" s="50"/>
      <c r="R1262" s="50">
        <f t="shared" si="692"/>
        <v>140.57820150305653</v>
      </c>
      <c r="S1262" s="50" t="s">
        <v>22</v>
      </c>
      <c r="T1262" s="50">
        <v>2.2000000000000002</v>
      </c>
      <c r="U1262" s="50">
        <v>2.2000000000000002</v>
      </c>
      <c r="V1262" s="9">
        <v>20201127</v>
      </c>
      <c r="W1262" s="21"/>
      <c r="X1262" s="21">
        <v>2020</v>
      </c>
      <c r="Y1262" s="9" t="s">
        <v>76</v>
      </c>
      <c r="Z1262" s="9" t="s">
        <v>32</v>
      </c>
      <c r="AB1262" s="50"/>
      <c r="AC1262" s="9" t="s">
        <v>514</v>
      </c>
      <c r="AD1262" s="50" t="s">
        <v>22</v>
      </c>
      <c r="AE1262" s="50">
        <v>1582</v>
      </c>
      <c r="AF1262" s="50" t="s">
        <v>22</v>
      </c>
      <c r="AG1262" s="50" t="s">
        <v>22</v>
      </c>
      <c r="AH1262" s="50" t="s">
        <v>22</v>
      </c>
      <c r="AI1262" s="50" t="s">
        <v>22</v>
      </c>
      <c r="AJ1262" s="50" t="s">
        <v>22</v>
      </c>
      <c r="AK1262" s="50" t="s">
        <v>22</v>
      </c>
      <c r="AL1262" s="50" t="s">
        <v>22</v>
      </c>
      <c r="AM1262" s="43" t="e">
        <f t="shared" si="666"/>
        <v>#VALUE!</v>
      </c>
      <c r="AN1262" s="43" t="e">
        <f t="shared" si="667"/>
        <v>#VALUE!</v>
      </c>
      <c r="AO1262" s="57" t="s">
        <v>1161</v>
      </c>
      <c r="AT1262" s="2">
        <f t="shared" si="668"/>
        <v>11</v>
      </c>
      <c r="AU1262" s="45">
        <f t="shared" si="669"/>
        <v>-0.60849971349707366</v>
      </c>
      <c r="AV1262" s="45" t="e">
        <f t="shared" si="670"/>
        <v>#VALUE!</v>
      </c>
      <c r="AW1262" s="45" t="e">
        <f t="shared" si="671"/>
        <v>#VALUE!</v>
      </c>
      <c r="AX1262" s="45">
        <f t="shared" si="672"/>
        <v>2.7564176963367308</v>
      </c>
      <c r="AY1262" s="45" t="e">
        <f t="shared" si="673"/>
        <v>#VALUE!</v>
      </c>
      <c r="AZ1262" s="45" t="e">
        <f t="shared" si="674"/>
        <v>#VALUE!</v>
      </c>
      <c r="BA1262" s="45">
        <f t="shared" si="675"/>
        <v>1.8750612633917001</v>
      </c>
      <c r="BB1262" s="45" t="e">
        <f t="shared" si="676"/>
        <v>#VALUE!</v>
      </c>
      <c r="BC1262" s="45">
        <f t="shared" si="677"/>
        <v>0.34242268082220628</v>
      </c>
      <c r="BD1262" s="45" t="e">
        <f t="shared" si="678"/>
        <v>#VALUE!</v>
      </c>
      <c r="BE1262" s="45" t="e">
        <f t="shared" si="679"/>
        <v>#VALUE!</v>
      </c>
      <c r="BF1262" s="45" t="e">
        <f t="shared" si="680"/>
        <v>#VALUE!</v>
      </c>
      <c r="BG1262" s="45" t="e">
        <f t="shared" si="681"/>
        <v>#VALUE!</v>
      </c>
      <c r="BH1262" s="45" t="e">
        <f t="shared" si="682"/>
        <v>#NUM!</v>
      </c>
      <c r="BI1262" s="43" t="e">
        <f t="shared" si="683"/>
        <v>#VALUE!</v>
      </c>
      <c r="BL1262" s="20"/>
      <c r="BM1262" s="50"/>
      <c r="BN1262" s="50"/>
      <c r="BO1262" s="50"/>
      <c r="BP1262" s="50"/>
      <c r="BQ1262" s="50"/>
      <c r="BR1262" s="50"/>
      <c r="BU1262" s="50"/>
      <c r="BV1262" s="50"/>
      <c r="BW1262" s="50"/>
      <c r="BX1262" s="50"/>
      <c r="BY1262" s="50"/>
      <c r="BZ1262" s="50"/>
      <c r="CA1262" s="50" t="s">
        <v>22</v>
      </c>
      <c r="CE1262" s="50"/>
      <c r="CF1262" s="50"/>
      <c r="CG1262" s="50"/>
      <c r="CH1262" s="50"/>
      <c r="CI1262" s="50">
        <f t="shared" si="690"/>
        <v>2.2000000000000002</v>
      </c>
      <c r="CJ1262" s="50">
        <f t="shared" si="691"/>
        <v>0.34242268082220628</v>
      </c>
      <c r="CL1262" s="9" t="s">
        <v>1269</v>
      </c>
      <c r="CM1262" s="9" t="s">
        <v>1285</v>
      </c>
      <c r="CN1262" s="55" t="s">
        <v>1284</v>
      </c>
      <c r="CO1262" s="9" t="s">
        <v>1284</v>
      </c>
    </row>
    <row r="1263" spans="1:93" s="9" customFormat="1" x14ac:dyDescent="0.25">
      <c r="A1263" s="9" t="s">
        <v>266</v>
      </c>
      <c r="B1263" s="50">
        <v>0.24891774891774798</v>
      </c>
      <c r="C1263" s="50" t="s">
        <v>22</v>
      </c>
      <c r="D1263" s="50" t="s">
        <v>22</v>
      </c>
      <c r="E1263" s="50" t="s">
        <v>22</v>
      </c>
      <c r="F1263" s="9" t="s">
        <v>22</v>
      </c>
      <c r="G1263" s="9" t="s">
        <v>22</v>
      </c>
      <c r="H1263" s="9" t="s">
        <v>22</v>
      </c>
      <c r="I1263" s="9" t="s">
        <v>22</v>
      </c>
      <c r="J1263" s="50">
        <v>75</v>
      </c>
      <c r="K1263" s="9" t="s">
        <v>22</v>
      </c>
      <c r="L1263" s="50" t="e">
        <f t="shared" si="689"/>
        <v>#VALUE!</v>
      </c>
      <c r="M1263" s="9" t="s">
        <v>23</v>
      </c>
      <c r="N1263" s="50">
        <v>580.73217726396797</v>
      </c>
      <c r="O1263" s="50" t="s">
        <v>22</v>
      </c>
      <c r="P1263" s="50" t="s">
        <v>22</v>
      </c>
      <c r="Q1263" s="50"/>
      <c r="R1263" s="50">
        <f t="shared" si="692"/>
        <v>144.5545462886495</v>
      </c>
      <c r="S1263" s="50" t="s">
        <v>22</v>
      </c>
      <c r="T1263" s="50">
        <v>2.2000000000000002</v>
      </c>
      <c r="U1263" s="50">
        <v>2.2000000000000002</v>
      </c>
      <c r="V1263" s="9">
        <v>20201127</v>
      </c>
      <c r="W1263" s="21"/>
      <c r="X1263" s="21">
        <v>2020</v>
      </c>
      <c r="Y1263" s="9" t="s">
        <v>76</v>
      </c>
      <c r="Z1263" s="9" t="s">
        <v>32</v>
      </c>
      <c r="AB1263" s="50"/>
      <c r="AC1263" s="9" t="s">
        <v>514</v>
      </c>
      <c r="AD1263" s="50" t="s">
        <v>22</v>
      </c>
      <c r="AE1263" s="50">
        <v>1582</v>
      </c>
      <c r="AF1263" s="50" t="s">
        <v>22</v>
      </c>
      <c r="AG1263" s="50" t="s">
        <v>22</v>
      </c>
      <c r="AH1263" s="50" t="s">
        <v>22</v>
      </c>
      <c r="AI1263" s="50" t="s">
        <v>22</v>
      </c>
      <c r="AJ1263" s="50" t="s">
        <v>22</v>
      </c>
      <c r="AK1263" s="50" t="s">
        <v>22</v>
      </c>
      <c r="AL1263" s="50" t="s">
        <v>22</v>
      </c>
      <c r="AM1263" s="43" t="e">
        <f t="shared" si="666"/>
        <v>#VALUE!</v>
      </c>
      <c r="AN1263" s="43" t="e">
        <f t="shared" si="667"/>
        <v>#VALUE!</v>
      </c>
      <c r="AO1263" s="57" t="s">
        <v>1161</v>
      </c>
      <c r="AT1263" s="2">
        <f t="shared" si="668"/>
        <v>11</v>
      </c>
      <c r="AU1263" s="45">
        <f t="shared" si="669"/>
        <v>-0.60394413520251544</v>
      </c>
      <c r="AV1263" s="45" t="e">
        <f t="shared" si="670"/>
        <v>#VALUE!</v>
      </c>
      <c r="AW1263" s="45" t="e">
        <f t="shared" si="671"/>
        <v>#VALUE!</v>
      </c>
      <c r="AX1263" s="45">
        <f t="shared" si="672"/>
        <v>2.7639758901301543</v>
      </c>
      <c r="AY1263" s="45" t="e">
        <f t="shared" si="673"/>
        <v>#VALUE!</v>
      </c>
      <c r="AZ1263" s="45" t="e">
        <f t="shared" si="674"/>
        <v>#VALUE!</v>
      </c>
      <c r="BA1263" s="45">
        <f t="shared" si="675"/>
        <v>1.8750612633917001</v>
      </c>
      <c r="BB1263" s="45" t="e">
        <f t="shared" si="676"/>
        <v>#VALUE!</v>
      </c>
      <c r="BC1263" s="45">
        <f t="shared" si="677"/>
        <v>0.34242268082220628</v>
      </c>
      <c r="BD1263" s="45" t="e">
        <f t="shared" si="678"/>
        <v>#VALUE!</v>
      </c>
      <c r="BE1263" s="45" t="e">
        <f t="shared" si="679"/>
        <v>#VALUE!</v>
      </c>
      <c r="BF1263" s="45" t="e">
        <f t="shared" si="680"/>
        <v>#VALUE!</v>
      </c>
      <c r="BG1263" s="45" t="e">
        <f t="shared" si="681"/>
        <v>#VALUE!</v>
      </c>
      <c r="BH1263" s="45" t="e">
        <f t="shared" si="682"/>
        <v>#NUM!</v>
      </c>
      <c r="BI1263" s="43" t="e">
        <f t="shared" si="683"/>
        <v>#VALUE!</v>
      </c>
      <c r="BL1263" s="20"/>
      <c r="BM1263" s="50"/>
      <c r="BN1263" s="50"/>
      <c r="BO1263" s="50"/>
      <c r="BP1263" s="50"/>
      <c r="BQ1263" s="50"/>
      <c r="BR1263" s="50"/>
      <c r="BU1263" s="50"/>
      <c r="BV1263" s="50"/>
      <c r="BW1263" s="50"/>
      <c r="BX1263" s="50"/>
      <c r="BY1263" s="50"/>
      <c r="BZ1263" s="50"/>
      <c r="CA1263" s="50" t="s">
        <v>22</v>
      </c>
      <c r="CE1263" s="50"/>
      <c r="CF1263" s="50"/>
      <c r="CG1263" s="50"/>
      <c r="CH1263" s="50"/>
      <c r="CI1263" s="50">
        <f t="shared" si="690"/>
        <v>2.2000000000000002</v>
      </c>
      <c r="CJ1263" s="50">
        <f t="shared" si="691"/>
        <v>0.34242268082220628</v>
      </c>
      <c r="CL1263" s="9" t="s">
        <v>1269</v>
      </c>
      <c r="CM1263" s="9" t="s">
        <v>1285</v>
      </c>
      <c r="CN1263" s="55" t="s">
        <v>1284</v>
      </c>
      <c r="CO1263" s="9" t="s">
        <v>1284</v>
      </c>
    </row>
    <row r="1264" spans="1:93" x14ac:dyDescent="0.25">
      <c r="A1264" s="18" t="s">
        <v>266</v>
      </c>
      <c r="B1264" s="41" t="s">
        <v>22</v>
      </c>
      <c r="C1264" s="41">
        <v>1.19</v>
      </c>
      <c r="D1264" s="41" t="s">
        <v>22</v>
      </c>
      <c r="E1264" s="41" t="s">
        <v>22</v>
      </c>
      <c r="F1264" s="18" t="s">
        <v>22</v>
      </c>
      <c r="G1264" s="18" t="s">
        <v>22</v>
      </c>
      <c r="H1264" s="18" t="s">
        <v>22</v>
      </c>
      <c r="I1264" s="18" t="s">
        <v>22</v>
      </c>
      <c r="J1264" s="41">
        <v>60</v>
      </c>
      <c r="K1264" s="18">
        <v>514</v>
      </c>
      <c r="L1264" s="41">
        <f t="shared" si="689"/>
        <v>4.1879715849599997</v>
      </c>
      <c r="M1264" s="18" t="s">
        <v>45</v>
      </c>
      <c r="N1264" s="41">
        <f>O1264*C1264*1000</f>
        <v>3498.6</v>
      </c>
      <c r="O1264" s="41">
        <v>2.94</v>
      </c>
      <c r="P1264" s="41">
        <f>231*C1264</f>
        <v>274.89</v>
      </c>
      <c r="R1264" s="41" t="s">
        <v>22</v>
      </c>
      <c r="S1264" s="41" t="s">
        <v>22</v>
      </c>
      <c r="T1264" s="41" t="s">
        <v>173</v>
      </c>
      <c r="U1264" s="41">
        <v>2.5</v>
      </c>
      <c r="V1264" s="18">
        <v>20210319</v>
      </c>
      <c r="X1264" s="21">
        <v>2021</v>
      </c>
      <c r="Y1264" s="1" t="s">
        <v>143</v>
      </c>
      <c r="Z1264" s="1" t="s">
        <v>124</v>
      </c>
      <c r="AC1264" s="18" t="s">
        <v>514</v>
      </c>
      <c r="AD1264" s="41" t="s">
        <v>22</v>
      </c>
      <c r="AE1264" s="41" t="s">
        <v>22</v>
      </c>
      <c r="AF1264" s="41" t="s">
        <v>22</v>
      </c>
      <c r="AG1264" s="41" t="s">
        <v>22</v>
      </c>
      <c r="AH1264" s="41" t="s">
        <v>22</v>
      </c>
      <c r="AI1264" s="41" t="s">
        <v>22</v>
      </c>
      <c r="AJ1264" s="41" t="s">
        <v>22</v>
      </c>
      <c r="AK1264" s="41" t="s">
        <v>22</v>
      </c>
      <c r="AL1264" s="41" t="s">
        <v>22</v>
      </c>
      <c r="AM1264" s="43" t="e">
        <f t="shared" si="666"/>
        <v>#VALUE!</v>
      </c>
      <c r="AN1264" s="43" t="e">
        <f t="shared" si="667"/>
        <v>#VALUE!</v>
      </c>
      <c r="AO1264" s="6" t="s">
        <v>1210</v>
      </c>
      <c r="AT1264" s="2">
        <f t="shared" si="668"/>
        <v>1</v>
      </c>
      <c r="AU1264" s="45" t="e">
        <f t="shared" si="669"/>
        <v>#VALUE!</v>
      </c>
      <c r="AV1264" s="45">
        <f t="shared" si="670"/>
        <v>7.554696139253074E-2</v>
      </c>
      <c r="AW1264" s="45" t="e">
        <f t="shared" si="671"/>
        <v>#VALUE!</v>
      </c>
      <c r="AX1264" s="45">
        <f t="shared" si="672"/>
        <v>3.5438942918046878</v>
      </c>
      <c r="AY1264" s="45">
        <f t="shared" si="673"/>
        <v>0.46834733041215726</v>
      </c>
      <c r="AZ1264" s="45">
        <f t="shared" si="674"/>
        <v>2.439158941284675</v>
      </c>
      <c r="BA1264" s="45">
        <f t="shared" si="675"/>
        <v>1.7781512503836436</v>
      </c>
      <c r="BB1264" s="45">
        <f t="shared" si="676"/>
        <v>0.62200372636474655</v>
      </c>
      <c r="BC1264" s="45">
        <f t="shared" si="677"/>
        <v>0.3979400086720376</v>
      </c>
      <c r="BD1264" s="45" t="e">
        <f t="shared" si="678"/>
        <v>#VALUE!</v>
      </c>
      <c r="BE1264" s="45" t="e">
        <f t="shared" si="679"/>
        <v>#VALUE!</v>
      </c>
      <c r="BF1264" s="45" t="e">
        <f t="shared" si="680"/>
        <v>#VALUE!</v>
      </c>
      <c r="BG1264" s="45" t="e">
        <f t="shared" si="681"/>
        <v>#VALUE!</v>
      </c>
      <c r="BH1264" s="45" t="e">
        <f t="shared" si="682"/>
        <v>#NUM!</v>
      </c>
      <c r="BI1264" s="43" t="e">
        <f t="shared" si="683"/>
        <v>#VALUE!</v>
      </c>
      <c r="CA1264" s="41" t="s">
        <v>22</v>
      </c>
      <c r="CI1264" s="41">
        <f t="shared" si="690"/>
        <v>2.5</v>
      </c>
      <c r="CJ1264" s="41">
        <f t="shared" si="691"/>
        <v>0.3979400086720376</v>
      </c>
      <c r="CL1264" s="9" t="s">
        <v>1269</v>
      </c>
      <c r="CM1264" s="18" t="s">
        <v>1285</v>
      </c>
      <c r="CN1264" s="54" t="s">
        <v>1284</v>
      </c>
      <c r="CO1264" s="18" t="s">
        <v>1284</v>
      </c>
    </row>
    <row r="1265" spans="1:93" x14ac:dyDescent="0.25">
      <c r="A1265" s="18" t="s">
        <v>266</v>
      </c>
      <c r="B1265" s="41">
        <v>0.18150454906270899</v>
      </c>
      <c r="C1265" s="41">
        <f t="shared" ref="C1265:C1270" si="693">(0.01^3)*(B1265*10^6)/(D1265)</f>
        <v>0.36789632340644257</v>
      </c>
      <c r="D1265" s="41">
        <v>0.493357876974996</v>
      </c>
      <c r="E1265" s="41" t="s">
        <v>22</v>
      </c>
      <c r="F1265" s="18" t="s">
        <v>22</v>
      </c>
      <c r="G1265" s="18" t="s">
        <v>22</v>
      </c>
      <c r="H1265" s="18" t="s">
        <v>22</v>
      </c>
      <c r="I1265" s="18" t="s">
        <v>22</v>
      </c>
      <c r="J1265" s="41" t="s">
        <v>22</v>
      </c>
      <c r="K1265" s="18" t="s">
        <v>22</v>
      </c>
      <c r="M1265" s="18" t="s">
        <v>23</v>
      </c>
      <c r="N1265" s="41">
        <v>63.725490196079498</v>
      </c>
      <c r="O1265" s="41">
        <v>0.18627450980392099</v>
      </c>
      <c r="P1265" s="41" t="s">
        <v>22</v>
      </c>
      <c r="R1265" s="41">
        <f t="shared" ref="R1265:R1270" si="694">N1265*B1265</f>
        <v>11.566466361839492</v>
      </c>
      <c r="S1265" s="41">
        <f t="shared" ref="S1265:S1270" si="695">O1265*D1265</f>
        <v>9.1899996691420544E-2</v>
      </c>
      <c r="T1265" s="41" t="s">
        <v>1170</v>
      </c>
      <c r="U1265" s="41">
        <v>6</v>
      </c>
      <c r="V1265" s="18">
        <v>20201128</v>
      </c>
      <c r="X1265" s="21">
        <v>2021</v>
      </c>
      <c r="Y1265" s="18"/>
      <c r="Z1265" s="1" t="s">
        <v>1117</v>
      </c>
      <c r="AC1265" s="18" t="s">
        <v>514</v>
      </c>
      <c r="AD1265" s="41" t="s">
        <v>22</v>
      </c>
      <c r="AE1265" s="41" t="s">
        <v>22</v>
      </c>
      <c r="AF1265" s="41" t="s">
        <v>22</v>
      </c>
      <c r="AG1265" s="41" t="s">
        <v>22</v>
      </c>
      <c r="AH1265" s="41" t="s">
        <v>22</v>
      </c>
      <c r="AI1265" s="41" t="s">
        <v>22</v>
      </c>
      <c r="AJ1265" s="41" t="s">
        <v>22</v>
      </c>
      <c r="AK1265" s="41" t="s">
        <v>22</v>
      </c>
      <c r="AL1265" s="41" t="s">
        <v>22</v>
      </c>
      <c r="AM1265" s="43" t="e">
        <f t="shared" si="666"/>
        <v>#VALUE!</v>
      </c>
      <c r="AN1265" s="43" t="e">
        <f t="shared" si="667"/>
        <v>#VALUE!</v>
      </c>
      <c r="AO1265" s="6" t="s">
        <v>1171</v>
      </c>
      <c r="AT1265" s="2">
        <f t="shared" si="668"/>
        <v>6</v>
      </c>
      <c r="AU1265" s="45">
        <f t="shared" si="669"/>
        <v>-0.74111248573489663</v>
      </c>
      <c r="AV1265" s="45">
        <f t="shared" si="670"/>
        <v>-0.43427455229464806</v>
      </c>
      <c r="AW1265" s="45">
        <f t="shared" si="671"/>
        <v>-0.30683793344024851</v>
      </c>
      <c r="AX1265" s="45">
        <f t="shared" si="672"/>
        <v>1.8043131848809453</v>
      </c>
      <c r="AY1265" s="45">
        <f t="shared" si="673"/>
        <v>-0.72984657080908999</v>
      </c>
      <c r="AZ1265" s="45" t="e">
        <f t="shared" si="674"/>
        <v>#VALUE!</v>
      </c>
      <c r="BA1265" s="45" t="e">
        <f t="shared" si="675"/>
        <v>#VALUE!</v>
      </c>
      <c r="BB1265" s="45" t="e">
        <f t="shared" si="676"/>
        <v>#NUM!</v>
      </c>
      <c r="BC1265" s="45">
        <f t="shared" si="677"/>
        <v>0.77815125038364363</v>
      </c>
      <c r="BD1265" s="45" t="e">
        <f t="shared" si="678"/>
        <v>#VALUE!</v>
      </c>
      <c r="BE1265" s="45" t="e">
        <f t="shared" si="679"/>
        <v>#VALUE!</v>
      </c>
      <c r="BF1265" s="45" t="e">
        <f t="shared" si="680"/>
        <v>#VALUE!</v>
      </c>
      <c r="BG1265" s="45" t="e">
        <f t="shared" si="681"/>
        <v>#VALUE!</v>
      </c>
      <c r="BH1265" s="45" t="e">
        <f t="shared" si="682"/>
        <v>#NUM!</v>
      </c>
      <c r="BI1265" s="43" t="e">
        <f t="shared" si="683"/>
        <v>#VALUE!</v>
      </c>
      <c r="CA1265" s="41" t="s">
        <v>22</v>
      </c>
      <c r="CI1265" s="41">
        <f t="shared" si="690"/>
        <v>6</v>
      </c>
      <c r="CJ1265" s="41">
        <f t="shared" si="691"/>
        <v>0.77815125038364363</v>
      </c>
      <c r="CL1265" s="9" t="s">
        <v>1269</v>
      </c>
      <c r="CM1265" s="18" t="s">
        <v>1285</v>
      </c>
      <c r="CN1265" s="54" t="s">
        <v>1284</v>
      </c>
      <c r="CO1265" s="18" t="s">
        <v>1284</v>
      </c>
    </row>
    <row r="1266" spans="1:93" x14ac:dyDescent="0.25">
      <c r="A1266" s="18" t="s">
        <v>266</v>
      </c>
      <c r="B1266" s="41">
        <v>0.272531599193991</v>
      </c>
      <c r="C1266" s="41">
        <f t="shared" si="693"/>
        <v>0.55103079683196776</v>
      </c>
      <c r="D1266" s="41">
        <v>0.49458505905813699</v>
      </c>
      <c r="E1266" s="41" t="s">
        <v>22</v>
      </c>
      <c r="F1266" s="18" t="s">
        <v>22</v>
      </c>
      <c r="G1266" s="18" t="s">
        <v>22</v>
      </c>
      <c r="H1266" s="18" t="s">
        <v>22</v>
      </c>
      <c r="I1266" s="18" t="s">
        <v>22</v>
      </c>
      <c r="J1266" s="41" t="s">
        <v>22</v>
      </c>
      <c r="K1266" s="18" t="s">
        <v>22</v>
      </c>
      <c r="M1266" s="18" t="s">
        <v>23</v>
      </c>
      <c r="N1266" s="41">
        <v>210.78431372549099</v>
      </c>
      <c r="O1266" s="41">
        <v>0.38725490196078399</v>
      </c>
      <c r="P1266" s="41" t="s">
        <v>22</v>
      </c>
      <c r="R1266" s="41">
        <f t="shared" si="694"/>
        <v>57.44538610461597</v>
      </c>
      <c r="S1266" s="41">
        <f t="shared" si="695"/>
        <v>0.19153048855682739</v>
      </c>
      <c r="T1266" s="41" t="s">
        <v>1170</v>
      </c>
      <c r="U1266" s="41">
        <v>6</v>
      </c>
      <c r="V1266" s="18">
        <v>20201128</v>
      </c>
      <c r="X1266" s="21">
        <v>2021</v>
      </c>
      <c r="Y1266" s="18"/>
      <c r="Z1266" s="1" t="s">
        <v>1117</v>
      </c>
      <c r="AC1266" s="18" t="s">
        <v>514</v>
      </c>
      <c r="AD1266" s="41" t="s">
        <v>22</v>
      </c>
      <c r="AE1266" s="41" t="s">
        <v>22</v>
      </c>
      <c r="AF1266" s="41" t="s">
        <v>22</v>
      </c>
      <c r="AG1266" s="41" t="s">
        <v>22</v>
      </c>
      <c r="AH1266" s="41" t="s">
        <v>22</v>
      </c>
      <c r="AI1266" s="41" t="s">
        <v>22</v>
      </c>
      <c r="AJ1266" s="41" t="s">
        <v>22</v>
      </c>
      <c r="AK1266" s="41" t="s">
        <v>22</v>
      </c>
      <c r="AL1266" s="41" t="s">
        <v>22</v>
      </c>
      <c r="AM1266" s="43" t="e">
        <f t="shared" si="666"/>
        <v>#VALUE!</v>
      </c>
      <c r="AN1266" s="43" t="e">
        <f t="shared" si="667"/>
        <v>#VALUE!</v>
      </c>
      <c r="AO1266" s="6" t="s">
        <v>1171</v>
      </c>
      <c r="AT1266" s="2">
        <f t="shared" si="668"/>
        <v>6</v>
      </c>
      <c r="AU1266" s="45">
        <f t="shared" si="669"/>
        <v>-0.56458313536913007</v>
      </c>
      <c r="AV1266" s="45">
        <f t="shared" si="670"/>
        <v>-0.25882412797141147</v>
      </c>
      <c r="AW1266" s="45">
        <f t="shared" si="671"/>
        <v>-0.3057590073977185</v>
      </c>
      <c r="AX1266" s="45">
        <f t="shared" si="672"/>
        <v>2.3238382881536892</v>
      </c>
      <c r="AY1266" s="45">
        <f t="shared" si="673"/>
        <v>-0.41200307613545767</v>
      </c>
      <c r="AZ1266" s="45" t="e">
        <f t="shared" si="674"/>
        <v>#VALUE!</v>
      </c>
      <c r="BA1266" s="45" t="e">
        <f t="shared" si="675"/>
        <v>#VALUE!</v>
      </c>
      <c r="BB1266" s="45" t="e">
        <f t="shared" si="676"/>
        <v>#NUM!</v>
      </c>
      <c r="BC1266" s="45">
        <f t="shared" si="677"/>
        <v>0.77815125038364363</v>
      </c>
      <c r="BD1266" s="45" t="e">
        <f t="shared" si="678"/>
        <v>#VALUE!</v>
      </c>
      <c r="BE1266" s="45" t="e">
        <f t="shared" si="679"/>
        <v>#VALUE!</v>
      </c>
      <c r="BF1266" s="45" t="e">
        <f t="shared" si="680"/>
        <v>#VALUE!</v>
      </c>
      <c r="BG1266" s="45" t="e">
        <f t="shared" si="681"/>
        <v>#VALUE!</v>
      </c>
      <c r="BH1266" s="45" t="e">
        <f t="shared" si="682"/>
        <v>#NUM!</v>
      </c>
      <c r="BI1266" s="43" t="e">
        <f t="shared" si="683"/>
        <v>#VALUE!</v>
      </c>
      <c r="CA1266" s="41" t="s">
        <v>22</v>
      </c>
      <c r="CI1266" s="41">
        <f t="shared" si="690"/>
        <v>6</v>
      </c>
      <c r="CJ1266" s="41">
        <f t="shared" si="691"/>
        <v>0.77815125038364363</v>
      </c>
      <c r="CL1266" s="9" t="s">
        <v>1269</v>
      </c>
      <c r="CM1266" s="18" t="s">
        <v>1285</v>
      </c>
      <c r="CN1266" s="54" t="s">
        <v>1284</v>
      </c>
      <c r="CO1266" s="18" t="s">
        <v>1284</v>
      </c>
    </row>
    <row r="1267" spans="1:93" x14ac:dyDescent="0.25">
      <c r="A1267" s="18" t="s">
        <v>266</v>
      </c>
      <c r="B1267" s="41">
        <v>0.32956280148989398</v>
      </c>
      <c r="C1267" s="41">
        <f t="shared" si="693"/>
        <v>0.57674153792183303</v>
      </c>
      <c r="D1267" s="41">
        <v>0.57142199723884002</v>
      </c>
      <c r="E1267" s="41" t="s">
        <v>22</v>
      </c>
      <c r="F1267" s="18" t="s">
        <v>22</v>
      </c>
      <c r="G1267" s="18" t="s">
        <v>22</v>
      </c>
      <c r="H1267" s="18" t="s">
        <v>22</v>
      </c>
      <c r="I1267" s="18" t="s">
        <v>22</v>
      </c>
      <c r="J1267" s="41" t="s">
        <v>22</v>
      </c>
      <c r="K1267" s="18" t="s">
        <v>22</v>
      </c>
      <c r="M1267" s="18" t="s">
        <v>23</v>
      </c>
      <c r="N1267" s="41">
        <v>294.11764705882399</v>
      </c>
      <c r="O1267" s="41">
        <v>0.51470588235294101</v>
      </c>
      <c r="P1267" s="41" t="s">
        <v>22</v>
      </c>
      <c r="R1267" s="41">
        <f t="shared" si="694"/>
        <v>96.930235732321904</v>
      </c>
      <c r="S1267" s="41">
        <f t="shared" si="695"/>
        <v>0.29411426328469698</v>
      </c>
      <c r="T1267" s="41" t="s">
        <v>1170</v>
      </c>
      <c r="U1267" s="41">
        <v>6</v>
      </c>
      <c r="V1267" s="18">
        <v>20201128</v>
      </c>
      <c r="X1267" s="21">
        <v>2021</v>
      </c>
      <c r="Y1267" s="18"/>
      <c r="Z1267" s="1" t="s">
        <v>1117</v>
      </c>
      <c r="AC1267" s="18" t="s">
        <v>514</v>
      </c>
      <c r="AD1267" s="41" t="s">
        <v>22</v>
      </c>
      <c r="AE1267" s="41" t="s">
        <v>22</v>
      </c>
      <c r="AF1267" s="41" t="s">
        <v>22</v>
      </c>
      <c r="AG1267" s="41" t="s">
        <v>22</v>
      </c>
      <c r="AH1267" s="41" t="s">
        <v>22</v>
      </c>
      <c r="AI1267" s="41" t="s">
        <v>22</v>
      </c>
      <c r="AJ1267" s="41" t="s">
        <v>22</v>
      </c>
      <c r="AK1267" s="41" t="s">
        <v>22</v>
      </c>
      <c r="AL1267" s="41" t="s">
        <v>22</v>
      </c>
      <c r="AM1267" s="43" t="e">
        <f t="shared" si="666"/>
        <v>#VALUE!</v>
      </c>
      <c r="AN1267" s="43" t="e">
        <f t="shared" si="667"/>
        <v>#VALUE!</v>
      </c>
      <c r="AO1267" s="6" t="s">
        <v>1171</v>
      </c>
      <c r="AT1267" s="2">
        <f t="shared" si="668"/>
        <v>6</v>
      </c>
      <c r="AU1267" s="45">
        <f t="shared" si="669"/>
        <v>-0.48206181402398679</v>
      </c>
      <c r="AV1267" s="45">
        <f t="shared" si="670"/>
        <v>-0.23901876882388437</v>
      </c>
      <c r="AW1267" s="45">
        <f t="shared" si="671"/>
        <v>-0.24304304520010236</v>
      </c>
      <c r="AX1267" s="45">
        <f t="shared" si="672"/>
        <v>2.4685210829577455</v>
      </c>
      <c r="AY1267" s="45">
        <f t="shared" si="673"/>
        <v>-0.28844086835596083</v>
      </c>
      <c r="AZ1267" s="45" t="e">
        <f t="shared" si="674"/>
        <v>#VALUE!</v>
      </c>
      <c r="BA1267" s="45" t="e">
        <f t="shared" si="675"/>
        <v>#VALUE!</v>
      </c>
      <c r="BB1267" s="45" t="e">
        <f t="shared" si="676"/>
        <v>#NUM!</v>
      </c>
      <c r="BC1267" s="45">
        <f t="shared" si="677"/>
        <v>0.77815125038364363</v>
      </c>
      <c r="BD1267" s="45" t="e">
        <f t="shared" si="678"/>
        <v>#VALUE!</v>
      </c>
      <c r="BE1267" s="45" t="e">
        <f t="shared" si="679"/>
        <v>#VALUE!</v>
      </c>
      <c r="BF1267" s="45" t="e">
        <f t="shared" si="680"/>
        <v>#VALUE!</v>
      </c>
      <c r="BG1267" s="45" t="e">
        <f t="shared" si="681"/>
        <v>#VALUE!</v>
      </c>
      <c r="BH1267" s="45" t="e">
        <f t="shared" si="682"/>
        <v>#NUM!</v>
      </c>
      <c r="BI1267" s="43" t="e">
        <f t="shared" si="683"/>
        <v>#VALUE!</v>
      </c>
      <c r="CA1267" s="41" t="s">
        <v>22</v>
      </c>
      <c r="CI1267" s="41">
        <f t="shared" si="690"/>
        <v>6</v>
      </c>
      <c r="CJ1267" s="41">
        <f t="shared" si="691"/>
        <v>0.77815125038364363</v>
      </c>
      <c r="CL1267" s="9" t="s">
        <v>1269</v>
      </c>
      <c r="CM1267" s="18" t="s">
        <v>1285</v>
      </c>
      <c r="CN1267" s="54" t="s">
        <v>1284</v>
      </c>
      <c r="CO1267" s="18" t="s">
        <v>1284</v>
      </c>
    </row>
    <row r="1268" spans="1:93" x14ac:dyDescent="0.25">
      <c r="A1268" s="18" t="s">
        <v>266</v>
      </c>
      <c r="B1268" s="41">
        <v>0.46913354094156401</v>
      </c>
      <c r="C1268" s="41">
        <f t="shared" si="693"/>
        <v>0.59962189916340158</v>
      </c>
      <c r="D1268" s="41">
        <v>0.78238226721889892</v>
      </c>
      <c r="E1268" s="41" t="s">
        <v>22</v>
      </c>
      <c r="F1268" s="18" t="s">
        <v>22</v>
      </c>
      <c r="G1268" s="18" t="s">
        <v>22</v>
      </c>
      <c r="H1268" s="18" t="s">
        <v>22</v>
      </c>
      <c r="I1268" s="18" t="s">
        <v>22</v>
      </c>
      <c r="J1268" s="41" t="s">
        <v>22</v>
      </c>
      <c r="K1268" s="18" t="s">
        <v>22</v>
      </c>
      <c r="M1268" s="18" t="s">
        <v>23</v>
      </c>
      <c r="N1268" s="41">
        <v>446.07843137254901</v>
      </c>
      <c r="O1268" s="41">
        <v>0.75</v>
      </c>
      <c r="P1268" s="41" t="s">
        <v>22</v>
      </c>
      <c r="R1268" s="41">
        <f t="shared" si="694"/>
        <v>209.27035404746238</v>
      </c>
      <c r="S1268" s="41">
        <f t="shared" si="695"/>
        <v>0.58678670041417424</v>
      </c>
      <c r="T1268" s="41" t="s">
        <v>1170</v>
      </c>
      <c r="U1268" s="41">
        <v>6</v>
      </c>
      <c r="V1268" s="18">
        <v>20201128</v>
      </c>
      <c r="X1268" s="21">
        <v>2021</v>
      </c>
      <c r="Y1268" s="18"/>
      <c r="Z1268" s="1" t="s">
        <v>1117</v>
      </c>
      <c r="AC1268" s="18" t="s">
        <v>514</v>
      </c>
      <c r="AD1268" s="41" t="s">
        <v>22</v>
      </c>
      <c r="AE1268" s="41" t="s">
        <v>22</v>
      </c>
      <c r="AF1268" s="41" t="s">
        <v>22</v>
      </c>
      <c r="AG1268" s="41" t="s">
        <v>22</v>
      </c>
      <c r="AH1268" s="41" t="s">
        <v>22</v>
      </c>
      <c r="AI1268" s="41" t="s">
        <v>22</v>
      </c>
      <c r="AJ1268" s="41" t="s">
        <v>22</v>
      </c>
      <c r="AK1268" s="41" t="s">
        <v>22</v>
      </c>
      <c r="AL1268" s="41" t="s">
        <v>22</v>
      </c>
      <c r="AM1268" s="43" t="e">
        <f t="shared" si="666"/>
        <v>#VALUE!</v>
      </c>
      <c r="AN1268" s="43" t="e">
        <f t="shared" si="667"/>
        <v>#VALUE!</v>
      </c>
      <c r="AO1268" s="6" t="s">
        <v>1171</v>
      </c>
      <c r="AT1268" s="2">
        <f t="shared" si="668"/>
        <v>6</v>
      </c>
      <c r="AU1268" s="45">
        <f t="shared" si="669"/>
        <v>-0.32870351583753188</v>
      </c>
      <c r="AV1268" s="45">
        <f t="shared" si="670"/>
        <v>-0.22212251439589178</v>
      </c>
      <c r="AW1268" s="45">
        <f t="shared" si="671"/>
        <v>-0.10658100144164001</v>
      </c>
      <c r="AX1268" s="45">
        <f t="shared" si="672"/>
        <v>2.6494112248951946</v>
      </c>
      <c r="AY1268" s="45">
        <f t="shared" si="673"/>
        <v>-0.12493873660829995</v>
      </c>
      <c r="AZ1268" s="45" t="e">
        <f t="shared" si="674"/>
        <v>#VALUE!</v>
      </c>
      <c r="BA1268" s="45" t="e">
        <f t="shared" si="675"/>
        <v>#VALUE!</v>
      </c>
      <c r="BB1268" s="45" t="e">
        <f t="shared" si="676"/>
        <v>#NUM!</v>
      </c>
      <c r="BC1268" s="45">
        <f t="shared" si="677"/>
        <v>0.77815125038364363</v>
      </c>
      <c r="BD1268" s="45" t="e">
        <f t="shared" si="678"/>
        <v>#VALUE!</v>
      </c>
      <c r="BE1268" s="45" t="e">
        <f t="shared" si="679"/>
        <v>#VALUE!</v>
      </c>
      <c r="BF1268" s="45" t="e">
        <f t="shared" si="680"/>
        <v>#VALUE!</v>
      </c>
      <c r="BG1268" s="45" t="e">
        <f t="shared" si="681"/>
        <v>#VALUE!</v>
      </c>
      <c r="BH1268" s="45" t="e">
        <f t="shared" si="682"/>
        <v>#NUM!</v>
      </c>
      <c r="BI1268" s="43" t="e">
        <f t="shared" si="683"/>
        <v>#VALUE!</v>
      </c>
      <c r="CA1268" s="41" t="s">
        <v>22</v>
      </c>
      <c r="CI1268" s="41">
        <f t="shared" si="690"/>
        <v>6</v>
      </c>
      <c r="CJ1268" s="41">
        <f t="shared" si="691"/>
        <v>0.77815125038364363</v>
      </c>
      <c r="CL1268" s="9" t="s">
        <v>1269</v>
      </c>
      <c r="CM1268" s="18" t="s">
        <v>1285</v>
      </c>
      <c r="CN1268" s="54" t="s">
        <v>1284</v>
      </c>
      <c r="CO1268" s="18" t="s">
        <v>1284</v>
      </c>
    </row>
    <row r="1269" spans="1:93" x14ac:dyDescent="0.25">
      <c r="A1269" s="18" t="s">
        <v>266</v>
      </c>
      <c r="B1269" s="41">
        <v>0.71790468339744795</v>
      </c>
      <c r="C1269" s="41">
        <f t="shared" si="693"/>
        <v>0.82385301524789689</v>
      </c>
      <c r="D1269" s="41">
        <v>0.87139898757478107</v>
      </c>
      <c r="E1269" s="41" t="s">
        <v>22</v>
      </c>
      <c r="F1269" s="18" t="s">
        <v>22</v>
      </c>
      <c r="G1269" s="18" t="s">
        <v>22</v>
      </c>
      <c r="H1269" s="18" t="s">
        <v>22</v>
      </c>
      <c r="I1269" s="18" t="s">
        <v>22</v>
      </c>
      <c r="J1269" s="41" t="s">
        <v>22</v>
      </c>
      <c r="K1269" s="18" t="s">
        <v>22</v>
      </c>
      <c r="M1269" s="18" t="s">
        <v>23</v>
      </c>
      <c r="N1269" s="41">
        <v>1000</v>
      </c>
      <c r="O1269" s="41">
        <v>1.20588235294117</v>
      </c>
      <c r="P1269" s="41" t="s">
        <v>22</v>
      </c>
      <c r="R1269" s="41">
        <f t="shared" si="694"/>
        <v>717.90468339744791</v>
      </c>
      <c r="S1269" s="41">
        <f t="shared" si="695"/>
        <v>1.0508046614872304</v>
      </c>
      <c r="T1269" s="41" t="s">
        <v>1170</v>
      </c>
      <c r="U1269" s="41">
        <v>6</v>
      </c>
      <c r="V1269" s="18">
        <v>20201128</v>
      </c>
      <c r="X1269" s="21">
        <v>2021</v>
      </c>
      <c r="Y1269" s="18"/>
      <c r="Z1269" s="1" t="s">
        <v>1117</v>
      </c>
      <c r="AC1269" s="18" t="s">
        <v>514</v>
      </c>
      <c r="AD1269" s="41" t="s">
        <v>22</v>
      </c>
      <c r="AE1269" s="41" t="s">
        <v>22</v>
      </c>
      <c r="AF1269" s="41" t="s">
        <v>22</v>
      </c>
      <c r="AG1269" s="41" t="s">
        <v>22</v>
      </c>
      <c r="AH1269" s="41" t="s">
        <v>22</v>
      </c>
      <c r="AI1269" s="41" t="s">
        <v>22</v>
      </c>
      <c r="AJ1269" s="41" t="s">
        <v>22</v>
      </c>
      <c r="AK1269" s="41" t="s">
        <v>22</v>
      </c>
      <c r="AL1269" s="41" t="s">
        <v>22</v>
      </c>
      <c r="AM1269" s="43" t="e">
        <f t="shared" si="666"/>
        <v>#VALUE!</v>
      </c>
      <c r="AN1269" s="43" t="e">
        <f t="shared" si="667"/>
        <v>#VALUE!</v>
      </c>
      <c r="AO1269" s="6" t="s">
        <v>1171</v>
      </c>
      <c r="AT1269" s="2">
        <f t="shared" si="668"/>
        <v>6</v>
      </c>
      <c r="AU1269" s="45">
        <f t="shared" si="669"/>
        <v>-0.14393321344913496</v>
      </c>
      <c r="AV1269" s="45">
        <f t="shared" si="670"/>
        <v>-8.4150264468951103E-2</v>
      </c>
      <c r="AW1269" s="45">
        <f t="shared" si="671"/>
        <v>-5.9782948980183818E-2</v>
      </c>
      <c r="AX1269" s="45">
        <f t="shared" si="672"/>
        <v>3</v>
      </c>
      <c r="AY1269" s="45">
        <f t="shared" si="673"/>
        <v>8.1304939677478025E-2</v>
      </c>
      <c r="AZ1269" s="45" t="e">
        <f t="shared" si="674"/>
        <v>#VALUE!</v>
      </c>
      <c r="BA1269" s="45" t="e">
        <f t="shared" si="675"/>
        <v>#VALUE!</v>
      </c>
      <c r="BB1269" s="45" t="e">
        <f t="shared" si="676"/>
        <v>#NUM!</v>
      </c>
      <c r="BC1269" s="45">
        <f t="shared" si="677"/>
        <v>0.77815125038364363</v>
      </c>
      <c r="BD1269" s="45" t="e">
        <f t="shared" si="678"/>
        <v>#VALUE!</v>
      </c>
      <c r="BE1269" s="45" t="e">
        <f t="shared" si="679"/>
        <v>#VALUE!</v>
      </c>
      <c r="BF1269" s="45" t="e">
        <f t="shared" si="680"/>
        <v>#VALUE!</v>
      </c>
      <c r="BG1269" s="45" t="e">
        <f t="shared" si="681"/>
        <v>#VALUE!</v>
      </c>
      <c r="BH1269" s="45" t="e">
        <f t="shared" si="682"/>
        <v>#NUM!</v>
      </c>
      <c r="BI1269" s="43" t="e">
        <f t="shared" si="683"/>
        <v>#VALUE!</v>
      </c>
      <c r="CA1269" s="41" t="s">
        <v>22</v>
      </c>
      <c r="CI1269" s="41">
        <f t="shared" si="690"/>
        <v>6</v>
      </c>
      <c r="CJ1269" s="41">
        <f t="shared" si="691"/>
        <v>0.77815125038364363</v>
      </c>
      <c r="CL1269" s="9" t="s">
        <v>1269</v>
      </c>
      <c r="CM1269" s="18" t="s">
        <v>1285</v>
      </c>
      <c r="CN1269" s="54" t="s">
        <v>1284</v>
      </c>
      <c r="CO1269" s="18" t="s">
        <v>1284</v>
      </c>
    </row>
    <row r="1270" spans="1:93" x14ac:dyDescent="0.25">
      <c r="A1270" s="18" t="s">
        <v>266</v>
      </c>
      <c r="B1270" s="41">
        <v>1.50066404103315</v>
      </c>
      <c r="C1270" s="41">
        <f t="shared" si="693"/>
        <v>1.141973348060511</v>
      </c>
      <c r="D1270" s="41">
        <v>1.3140972541800799</v>
      </c>
      <c r="E1270" s="41" t="s">
        <v>22</v>
      </c>
      <c r="F1270" s="18" t="s">
        <v>22</v>
      </c>
      <c r="G1270" s="18" t="s">
        <v>22</v>
      </c>
      <c r="H1270" s="18" t="s">
        <v>22</v>
      </c>
      <c r="I1270" s="18" t="s">
        <v>22</v>
      </c>
      <c r="J1270" s="41" t="s">
        <v>22</v>
      </c>
      <c r="K1270" s="18" t="s">
        <v>22</v>
      </c>
      <c r="M1270" s="18" t="s">
        <v>23</v>
      </c>
      <c r="N1270" s="41">
        <v>1754.9019607843099</v>
      </c>
      <c r="O1270" s="41">
        <v>1.5269607843137201</v>
      </c>
      <c r="P1270" s="41" t="s">
        <v>22</v>
      </c>
      <c r="R1270" s="41">
        <f t="shared" si="694"/>
        <v>2633.518268087581</v>
      </c>
      <c r="S1270" s="41">
        <f t="shared" si="695"/>
        <v>2.0065749739073206</v>
      </c>
      <c r="T1270" s="41" t="s">
        <v>1170</v>
      </c>
      <c r="U1270" s="41">
        <v>6</v>
      </c>
      <c r="V1270" s="18">
        <v>20201128</v>
      </c>
      <c r="X1270" s="21">
        <v>2021</v>
      </c>
      <c r="Y1270" s="18"/>
      <c r="Z1270" s="1" t="s">
        <v>1117</v>
      </c>
      <c r="AC1270" s="18" t="s">
        <v>514</v>
      </c>
      <c r="AD1270" s="41" t="s">
        <v>22</v>
      </c>
      <c r="AE1270" s="41" t="s">
        <v>22</v>
      </c>
      <c r="AF1270" s="41" t="s">
        <v>22</v>
      </c>
      <c r="AG1270" s="41" t="s">
        <v>22</v>
      </c>
      <c r="AH1270" s="41" t="s">
        <v>22</v>
      </c>
      <c r="AI1270" s="41" t="s">
        <v>22</v>
      </c>
      <c r="AJ1270" s="41" t="s">
        <v>22</v>
      </c>
      <c r="AK1270" s="41" t="s">
        <v>22</v>
      </c>
      <c r="AL1270" s="41" t="s">
        <v>22</v>
      </c>
      <c r="AM1270" s="43" t="e">
        <f t="shared" si="666"/>
        <v>#VALUE!</v>
      </c>
      <c r="AN1270" s="43" t="e">
        <f t="shared" si="667"/>
        <v>#VALUE!</v>
      </c>
      <c r="AO1270" s="6" t="s">
        <v>1171</v>
      </c>
      <c r="AT1270" s="2">
        <f t="shared" si="668"/>
        <v>6</v>
      </c>
      <c r="AU1270" s="45">
        <f t="shared" si="669"/>
        <v>0.17628347608312483</v>
      </c>
      <c r="AV1270" s="45">
        <f t="shared" si="670"/>
        <v>5.7655968248428072E-2</v>
      </c>
      <c r="AW1270" s="45">
        <f t="shared" si="671"/>
        <v>0.11862750783469682</v>
      </c>
      <c r="AX1270" s="45">
        <f t="shared" si="672"/>
        <v>3.2442528592179745</v>
      </c>
      <c r="AY1270" s="45">
        <f t="shared" si="673"/>
        <v>0.18382788356928811</v>
      </c>
      <c r="AZ1270" s="45" t="e">
        <f t="shared" si="674"/>
        <v>#VALUE!</v>
      </c>
      <c r="BA1270" s="45" t="e">
        <f t="shared" si="675"/>
        <v>#VALUE!</v>
      </c>
      <c r="BB1270" s="45" t="e">
        <f t="shared" si="676"/>
        <v>#NUM!</v>
      </c>
      <c r="BC1270" s="45">
        <f t="shared" si="677"/>
        <v>0.77815125038364363</v>
      </c>
      <c r="BD1270" s="45" t="e">
        <f t="shared" si="678"/>
        <v>#VALUE!</v>
      </c>
      <c r="BE1270" s="45" t="e">
        <f t="shared" si="679"/>
        <v>#VALUE!</v>
      </c>
      <c r="BF1270" s="45" t="e">
        <f t="shared" si="680"/>
        <v>#VALUE!</v>
      </c>
      <c r="BG1270" s="45" t="e">
        <f t="shared" si="681"/>
        <v>#VALUE!</v>
      </c>
      <c r="BH1270" s="45" t="e">
        <f t="shared" si="682"/>
        <v>#NUM!</v>
      </c>
      <c r="BI1270" s="43" t="e">
        <f t="shared" si="683"/>
        <v>#VALUE!</v>
      </c>
      <c r="CA1270" s="41" t="s">
        <v>22</v>
      </c>
      <c r="CI1270" s="41">
        <f t="shared" si="690"/>
        <v>6</v>
      </c>
      <c r="CJ1270" s="41">
        <f t="shared" si="691"/>
        <v>0.77815125038364363</v>
      </c>
      <c r="CL1270" s="9" t="s">
        <v>1269</v>
      </c>
      <c r="CM1270" s="18" t="s">
        <v>1285</v>
      </c>
      <c r="CN1270" s="54" t="s">
        <v>1284</v>
      </c>
      <c r="CO1270" s="18" t="s">
        <v>1284</v>
      </c>
    </row>
    <row r="1271" spans="1:93" s="9" customFormat="1" x14ac:dyDescent="0.25">
      <c r="A1271" s="9" t="s">
        <v>141</v>
      </c>
      <c r="B1271" s="50" t="s">
        <v>22</v>
      </c>
      <c r="C1271" s="50" t="s">
        <v>22</v>
      </c>
      <c r="D1271" s="50" t="s">
        <v>22</v>
      </c>
      <c r="E1271" s="50" t="s">
        <v>22</v>
      </c>
      <c r="F1271" s="9" t="s">
        <v>22</v>
      </c>
      <c r="G1271" s="9" t="s">
        <v>22</v>
      </c>
      <c r="H1271" s="9" t="s">
        <v>22</v>
      </c>
      <c r="I1271" s="9" t="s">
        <v>22</v>
      </c>
      <c r="J1271" s="50" t="s">
        <v>22</v>
      </c>
      <c r="K1271" s="9" t="s">
        <v>22</v>
      </c>
      <c r="L1271" s="50"/>
      <c r="M1271" s="9" t="s">
        <v>23</v>
      </c>
      <c r="N1271" s="50">
        <v>17.9775280898875</v>
      </c>
      <c r="O1271" s="50" t="s">
        <v>22</v>
      </c>
      <c r="P1271" s="50">
        <v>6.9848300584710699E-2</v>
      </c>
      <c r="Q1271" s="50"/>
      <c r="R1271" s="50" t="s">
        <v>22</v>
      </c>
      <c r="S1271" s="50" t="s">
        <v>22</v>
      </c>
      <c r="T1271" s="50" t="s">
        <v>1231</v>
      </c>
      <c r="U1271" s="50">
        <v>17.5</v>
      </c>
      <c r="V1271" s="9">
        <v>20210320</v>
      </c>
      <c r="W1271" s="21"/>
      <c r="X1271" s="21">
        <v>2020</v>
      </c>
      <c r="Y1271" s="21" t="s">
        <v>26</v>
      </c>
      <c r="AB1271" s="50"/>
      <c r="AC1271" s="9" t="s">
        <v>514</v>
      </c>
      <c r="AD1271" s="50">
        <v>310.240963855421</v>
      </c>
      <c r="AE1271" s="50" t="s">
        <v>22</v>
      </c>
      <c r="AF1271" s="50" t="s">
        <v>22</v>
      </c>
      <c r="AG1271" s="50" t="s">
        <v>22</v>
      </c>
      <c r="AH1271" s="50" t="s">
        <v>22</v>
      </c>
      <c r="AI1271" s="50" t="s">
        <v>22</v>
      </c>
      <c r="AJ1271" s="50" t="s">
        <v>22</v>
      </c>
      <c r="AK1271" s="50" t="s">
        <v>22</v>
      </c>
      <c r="AL1271" s="50" t="s">
        <v>22</v>
      </c>
      <c r="AM1271" s="43" t="e">
        <f t="shared" si="666"/>
        <v>#VALUE!</v>
      </c>
      <c r="AN1271" s="43" t="e">
        <f t="shared" si="667"/>
        <v>#VALUE!</v>
      </c>
      <c r="AO1271" s="21" t="s">
        <v>1232</v>
      </c>
      <c r="AT1271" s="2">
        <f t="shared" si="668"/>
        <v>7</v>
      </c>
      <c r="AU1271" s="45" t="e">
        <f t="shared" si="669"/>
        <v>#VALUE!</v>
      </c>
      <c r="AV1271" s="45" t="e">
        <f t="shared" si="670"/>
        <v>#VALUE!</v>
      </c>
      <c r="AW1271" s="45" t="e">
        <f t="shared" si="671"/>
        <v>#VALUE!</v>
      </c>
      <c r="AX1271" s="45">
        <f t="shared" si="672"/>
        <v>1.2547299760110087</v>
      </c>
      <c r="AY1271" s="45" t="e">
        <f t="shared" si="673"/>
        <v>#VALUE!</v>
      </c>
      <c r="AZ1271" s="45">
        <f t="shared" si="674"/>
        <v>-1.1558441558441572</v>
      </c>
      <c r="BA1271" s="45" t="e">
        <f t="shared" si="675"/>
        <v>#VALUE!</v>
      </c>
      <c r="BB1271" s="45" t="e">
        <f t="shared" si="676"/>
        <v>#NUM!</v>
      </c>
      <c r="BC1271" s="45">
        <f t="shared" si="677"/>
        <v>1.2430380486862944</v>
      </c>
      <c r="BD1271" s="45">
        <f t="shared" si="678"/>
        <v>2.4916991410011349</v>
      </c>
      <c r="BE1271" s="45" t="e">
        <f t="shared" si="679"/>
        <v>#VALUE!</v>
      </c>
      <c r="BF1271" s="45" t="e">
        <f t="shared" si="680"/>
        <v>#VALUE!</v>
      </c>
      <c r="BG1271" s="45" t="e">
        <f t="shared" si="681"/>
        <v>#VALUE!</v>
      </c>
      <c r="BH1271" s="45" t="e">
        <f t="shared" si="682"/>
        <v>#NUM!</v>
      </c>
      <c r="BI1271" s="43" t="e">
        <f t="shared" si="683"/>
        <v>#VALUE!</v>
      </c>
      <c r="BL1271" s="20"/>
      <c r="BM1271" s="50"/>
      <c r="BN1271" s="50"/>
      <c r="BO1271" s="50"/>
      <c r="BP1271" s="50"/>
      <c r="BQ1271" s="50"/>
      <c r="BR1271" s="50"/>
      <c r="BU1271" s="50"/>
      <c r="BV1271" s="50"/>
      <c r="BW1271" s="50"/>
      <c r="BX1271" s="50"/>
      <c r="BY1271" s="50"/>
      <c r="BZ1271" s="50"/>
      <c r="CA1271" s="50" t="s">
        <v>22</v>
      </c>
      <c r="CE1271" s="50"/>
      <c r="CF1271" s="50"/>
      <c r="CG1271" s="50"/>
      <c r="CH1271" s="50"/>
      <c r="CI1271" s="50">
        <f t="shared" si="690"/>
        <v>17.5</v>
      </c>
      <c r="CJ1271" s="50">
        <f t="shared" si="691"/>
        <v>1.2430380486862944</v>
      </c>
      <c r="CL1271" s="9" t="s">
        <v>1269</v>
      </c>
      <c r="CM1271" s="9" t="s">
        <v>1285</v>
      </c>
      <c r="CN1271" s="55" t="s">
        <v>1284</v>
      </c>
      <c r="CO1271" s="9" t="s">
        <v>1284</v>
      </c>
    </row>
    <row r="1272" spans="1:93" s="9" customFormat="1" x14ac:dyDescent="0.25">
      <c r="A1272" s="9" t="s">
        <v>141</v>
      </c>
      <c r="B1272" s="50" t="s">
        <v>22</v>
      </c>
      <c r="C1272" s="50" t="s">
        <v>22</v>
      </c>
      <c r="D1272" s="50" t="s">
        <v>22</v>
      </c>
      <c r="E1272" s="50" t="s">
        <v>22</v>
      </c>
      <c r="F1272" s="9" t="s">
        <v>22</v>
      </c>
      <c r="G1272" s="9" t="s">
        <v>22</v>
      </c>
      <c r="H1272" s="9" t="s">
        <v>22</v>
      </c>
      <c r="I1272" s="9" t="s">
        <v>22</v>
      </c>
      <c r="J1272" s="50" t="s">
        <v>22</v>
      </c>
      <c r="K1272" s="9" t="s">
        <v>22</v>
      </c>
      <c r="L1272" s="50"/>
      <c r="M1272" s="9" t="s">
        <v>23</v>
      </c>
      <c r="N1272" s="50">
        <v>51.685393258426899</v>
      </c>
      <c r="O1272" s="50" t="s">
        <v>22</v>
      </c>
      <c r="P1272" s="50">
        <v>0.13485595530525599</v>
      </c>
      <c r="Q1272" s="50"/>
      <c r="R1272" s="50" t="s">
        <v>22</v>
      </c>
      <c r="S1272" s="50" t="s">
        <v>22</v>
      </c>
      <c r="T1272" s="50" t="s">
        <v>1231</v>
      </c>
      <c r="U1272" s="50">
        <v>17.5</v>
      </c>
      <c r="V1272" s="9">
        <v>20210320</v>
      </c>
      <c r="W1272" s="21"/>
      <c r="X1272" s="21">
        <v>2020</v>
      </c>
      <c r="Y1272" s="21" t="s">
        <v>26</v>
      </c>
      <c r="AB1272" s="50"/>
      <c r="AC1272" s="9" t="s">
        <v>514</v>
      </c>
      <c r="AD1272" s="50">
        <v>186.14457831325299</v>
      </c>
      <c r="AE1272" s="50" t="s">
        <v>22</v>
      </c>
      <c r="AF1272" s="50" t="s">
        <v>22</v>
      </c>
      <c r="AG1272" s="50" t="s">
        <v>22</v>
      </c>
      <c r="AH1272" s="50" t="s">
        <v>22</v>
      </c>
      <c r="AI1272" s="50" t="s">
        <v>22</v>
      </c>
      <c r="AJ1272" s="50" t="s">
        <v>22</v>
      </c>
      <c r="AK1272" s="50" t="s">
        <v>22</v>
      </c>
      <c r="AL1272" s="50" t="s">
        <v>22</v>
      </c>
      <c r="AM1272" s="43" t="e">
        <f t="shared" si="666"/>
        <v>#VALUE!</v>
      </c>
      <c r="AN1272" s="43" t="e">
        <f t="shared" si="667"/>
        <v>#VALUE!</v>
      </c>
      <c r="AO1272" s="21" t="s">
        <v>1232</v>
      </c>
      <c r="AT1272" s="2">
        <f t="shared" si="668"/>
        <v>7</v>
      </c>
      <c r="AU1272" s="45" t="e">
        <f t="shared" si="669"/>
        <v>#VALUE!</v>
      </c>
      <c r="AV1272" s="45" t="e">
        <f t="shared" si="670"/>
        <v>#VALUE!</v>
      </c>
      <c r="AW1272" s="45" t="e">
        <f t="shared" si="671"/>
        <v>#VALUE!</v>
      </c>
      <c r="AX1272" s="45">
        <f t="shared" si="672"/>
        <v>1.7133678250366606</v>
      </c>
      <c r="AY1272" s="45" t="e">
        <f t="shared" si="673"/>
        <v>#VALUE!</v>
      </c>
      <c r="AZ1272" s="45">
        <f t="shared" si="674"/>
        <v>-0.87012987012987009</v>
      </c>
      <c r="BA1272" s="45" t="e">
        <f t="shared" si="675"/>
        <v>#VALUE!</v>
      </c>
      <c r="BB1272" s="45" t="e">
        <f t="shared" si="676"/>
        <v>#NUM!</v>
      </c>
      <c r="BC1272" s="45">
        <f t="shared" si="677"/>
        <v>1.2430380486862944</v>
      </c>
      <c r="BD1272" s="45">
        <f t="shared" si="678"/>
        <v>2.2698503913847796</v>
      </c>
      <c r="BE1272" s="45" t="e">
        <f t="shared" si="679"/>
        <v>#VALUE!</v>
      </c>
      <c r="BF1272" s="45" t="e">
        <f t="shared" si="680"/>
        <v>#VALUE!</v>
      </c>
      <c r="BG1272" s="45" t="e">
        <f t="shared" si="681"/>
        <v>#VALUE!</v>
      </c>
      <c r="BH1272" s="45" t="e">
        <f t="shared" si="682"/>
        <v>#NUM!</v>
      </c>
      <c r="BI1272" s="43" t="e">
        <f t="shared" si="683"/>
        <v>#VALUE!</v>
      </c>
      <c r="BL1272" s="20"/>
      <c r="BM1272" s="50"/>
      <c r="BN1272" s="50"/>
      <c r="BO1272" s="50"/>
      <c r="BP1272" s="50"/>
      <c r="BQ1272" s="50"/>
      <c r="BR1272" s="50"/>
      <c r="BU1272" s="50"/>
      <c r="BV1272" s="50"/>
      <c r="BW1272" s="50"/>
      <c r="BX1272" s="50"/>
      <c r="BY1272" s="50"/>
      <c r="BZ1272" s="50"/>
      <c r="CA1272" s="50" t="s">
        <v>22</v>
      </c>
      <c r="CE1272" s="50"/>
      <c r="CF1272" s="50"/>
      <c r="CG1272" s="50"/>
      <c r="CH1272" s="50"/>
      <c r="CI1272" s="50">
        <f t="shared" si="690"/>
        <v>17.5</v>
      </c>
      <c r="CJ1272" s="50">
        <f t="shared" si="691"/>
        <v>1.2430380486862944</v>
      </c>
      <c r="CL1272" s="9" t="s">
        <v>1269</v>
      </c>
      <c r="CM1272" s="9" t="s">
        <v>1285</v>
      </c>
      <c r="CN1272" s="55" t="s">
        <v>1284</v>
      </c>
      <c r="CO1272" s="9" t="s">
        <v>1284</v>
      </c>
    </row>
    <row r="1273" spans="1:93" s="9" customFormat="1" x14ac:dyDescent="0.25">
      <c r="A1273" s="9" t="s">
        <v>141</v>
      </c>
      <c r="B1273" s="50" t="s">
        <v>22</v>
      </c>
      <c r="C1273" s="50" t="s">
        <v>22</v>
      </c>
      <c r="D1273" s="50" t="s">
        <v>22</v>
      </c>
      <c r="E1273" s="50" t="s">
        <v>22</v>
      </c>
      <c r="F1273" s="9" t="s">
        <v>22</v>
      </c>
      <c r="G1273" s="9" t="s">
        <v>22</v>
      </c>
      <c r="H1273" s="9" t="s">
        <v>22</v>
      </c>
      <c r="I1273" s="9" t="s">
        <v>22</v>
      </c>
      <c r="J1273" s="50" t="s">
        <v>22</v>
      </c>
      <c r="K1273" s="9" t="s">
        <v>22</v>
      </c>
      <c r="L1273" s="50"/>
      <c r="M1273" s="9" t="s">
        <v>23</v>
      </c>
      <c r="N1273" s="50">
        <v>73.033707865168495</v>
      </c>
      <c r="O1273" s="50" t="s">
        <v>22</v>
      </c>
      <c r="P1273" s="50">
        <v>0.11270626347293999</v>
      </c>
      <c r="Q1273" s="50"/>
      <c r="R1273" s="50" t="s">
        <v>22</v>
      </c>
      <c r="S1273" s="50" t="s">
        <v>22</v>
      </c>
      <c r="T1273" s="50" t="s">
        <v>1231</v>
      </c>
      <c r="U1273" s="50">
        <v>17.5</v>
      </c>
      <c r="V1273" s="9">
        <v>20210320</v>
      </c>
      <c r="W1273" s="21"/>
      <c r="X1273" s="21">
        <v>2020</v>
      </c>
      <c r="Y1273" s="21" t="s">
        <v>26</v>
      </c>
      <c r="AB1273" s="50"/>
      <c r="AC1273" s="9" t="s">
        <v>514</v>
      </c>
      <c r="AD1273" s="50">
        <v>181.325301204819</v>
      </c>
      <c r="AE1273" s="50" t="s">
        <v>22</v>
      </c>
      <c r="AF1273" s="50" t="s">
        <v>22</v>
      </c>
      <c r="AG1273" s="50" t="s">
        <v>22</v>
      </c>
      <c r="AH1273" s="50" t="s">
        <v>22</v>
      </c>
      <c r="AI1273" s="50" t="s">
        <v>22</v>
      </c>
      <c r="AJ1273" s="50" t="s">
        <v>22</v>
      </c>
      <c r="AK1273" s="50" t="s">
        <v>22</v>
      </c>
      <c r="AL1273" s="50" t="s">
        <v>22</v>
      </c>
      <c r="AM1273" s="43" t="e">
        <f t="shared" si="666"/>
        <v>#VALUE!</v>
      </c>
      <c r="AN1273" s="43" t="e">
        <f t="shared" si="667"/>
        <v>#VALUE!</v>
      </c>
      <c r="AO1273" s="21" t="s">
        <v>1232</v>
      </c>
      <c r="AT1273" s="2">
        <f t="shared" si="668"/>
        <v>7</v>
      </c>
      <c r="AU1273" s="45" t="e">
        <f t="shared" si="669"/>
        <v>#VALUE!</v>
      </c>
      <c r="AV1273" s="45" t="e">
        <f t="shared" si="670"/>
        <v>#VALUE!</v>
      </c>
      <c r="AW1273" s="45" t="e">
        <f t="shared" si="671"/>
        <v>#VALUE!</v>
      </c>
      <c r="AX1273" s="45">
        <f t="shared" si="672"/>
        <v>1.8635233499979424</v>
      </c>
      <c r="AY1273" s="45" t="e">
        <f t="shared" si="673"/>
        <v>#VALUE!</v>
      </c>
      <c r="AZ1273" s="45">
        <f t="shared" si="674"/>
        <v>-0.94805194805195192</v>
      </c>
      <c r="BA1273" s="45" t="e">
        <f t="shared" si="675"/>
        <v>#VALUE!</v>
      </c>
      <c r="BB1273" s="45" t="e">
        <f t="shared" si="676"/>
        <v>#NUM!</v>
      </c>
      <c r="BC1273" s="45">
        <f t="shared" si="677"/>
        <v>1.2430380486862944</v>
      </c>
      <c r="BD1273" s="45">
        <f t="shared" si="678"/>
        <v>2.2584584075537877</v>
      </c>
      <c r="BE1273" s="45" t="e">
        <f t="shared" si="679"/>
        <v>#VALUE!</v>
      </c>
      <c r="BF1273" s="45" t="e">
        <f t="shared" si="680"/>
        <v>#VALUE!</v>
      </c>
      <c r="BG1273" s="45" t="e">
        <f t="shared" si="681"/>
        <v>#VALUE!</v>
      </c>
      <c r="BH1273" s="45" t="e">
        <f t="shared" si="682"/>
        <v>#NUM!</v>
      </c>
      <c r="BI1273" s="43" t="e">
        <f t="shared" si="683"/>
        <v>#VALUE!</v>
      </c>
      <c r="BL1273" s="20"/>
      <c r="BM1273" s="50"/>
      <c r="BN1273" s="50"/>
      <c r="BO1273" s="50"/>
      <c r="BP1273" s="50"/>
      <c r="BQ1273" s="50"/>
      <c r="BR1273" s="50"/>
      <c r="BU1273" s="50"/>
      <c r="BV1273" s="50"/>
      <c r="BW1273" s="50"/>
      <c r="BX1273" s="50"/>
      <c r="BY1273" s="50"/>
      <c r="BZ1273" s="50"/>
      <c r="CA1273" s="50" t="s">
        <v>22</v>
      </c>
      <c r="CE1273" s="50"/>
      <c r="CF1273" s="50"/>
      <c r="CG1273" s="50"/>
      <c r="CH1273" s="50"/>
      <c r="CI1273" s="50">
        <f t="shared" si="690"/>
        <v>17.5</v>
      </c>
      <c r="CJ1273" s="50">
        <f t="shared" si="691"/>
        <v>1.2430380486862944</v>
      </c>
      <c r="CL1273" s="9" t="s">
        <v>1269</v>
      </c>
      <c r="CM1273" s="9" t="s">
        <v>1285</v>
      </c>
      <c r="CN1273" s="55" t="s">
        <v>1284</v>
      </c>
      <c r="CO1273" s="9" t="s">
        <v>1284</v>
      </c>
    </row>
    <row r="1274" spans="1:93" s="9" customFormat="1" x14ac:dyDescent="0.25">
      <c r="A1274" s="9" t="s">
        <v>141</v>
      </c>
      <c r="B1274" s="50" t="s">
        <v>22</v>
      </c>
      <c r="C1274" s="50" t="s">
        <v>22</v>
      </c>
      <c r="D1274" s="50" t="s">
        <v>22</v>
      </c>
      <c r="E1274" s="50" t="s">
        <v>22</v>
      </c>
      <c r="F1274" s="9" t="s">
        <v>22</v>
      </c>
      <c r="G1274" s="9" t="s">
        <v>22</v>
      </c>
      <c r="H1274" s="9" t="s">
        <v>22</v>
      </c>
      <c r="I1274" s="9" t="s">
        <v>22</v>
      </c>
      <c r="J1274" s="50" t="s">
        <v>22</v>
      </c>
      <c r="K1274" s="9" t="s">
        <v>22</v>
      </c>
      <c r="L1274" s="50"/>
      <c r="M1274" s="9" t="s">
        <v>23</v>
      </c>
      <c r="N1274" s="50">
        <v>59.5505617977527</v>
      </c>
      <c r="O1274" s="50" t="s">
        <v>22</v>
      </c>
      <c r="P1274" s="50">
        <v>0.37275937203149501</v>
      </c>
      <c r="Q1274" s="50"/>
      <c r="R1274" s="50" t="s">
        <v>22</v>
      </c>
      <c r="S1274" s="50" t="s">
        <v>22</v>
      </c>
      <c r="T1274" s="50" t="s">
        <v>1231</v>
      </c>
      <c r="U1274" s="50">
        <v>17.5</v>
      </c>
      <c r="V1274" s="9">
        <v>20210320</v>
      </c>
      <c r="W1274" s="21"/>
      <c r="X1274" s="21">
        <v>2020</v>
      </c>
      <c r="Y1274" s="21" t="s">
        <v>26</v>
      </c>
      <c r="AB1274" s="50"/>
      <c r="AC1274" s="9" t="s">
        <v>514</v>
      </c>
      <c r="AD1274" s="50">
        <v>149.397590361445</v>
      </c>
      <c r="AE1274" s="50" t="s">
        <v>22</v>
      </c>
      <c r="AF1274" s="50" t="s">
        <v>22</v>
      </c>
      <c r="AG1274" s="50" t="s">
        <v>22</v>
      </c>
      <c r="AH1274" s="50" t="s">
        <v>22</v>
      </c>
      <c r="AI1274" s="50" t="s">
        <v>22</v>
      </c>
      <c r="AJ1274" s="50" t="s">
        <v>22</v>
      </c>
      <c r="AK1274" s="50" t="s">
        <v>22</v>
      </c>
      <c r="AL1274" s="50" t="s">
        <v>22</v>
      </c>
      <c r="AM1274" s="43" t="e">
        <f t="shared" si="666"/>
        <v>#VALUE!</v>
      </c>
      <c r="AN1274" s="43" t="e">
        <f t="shared" si="667"/>
        <v>#VALUE!</v>
      </c>
      <c r="AO1274" s="21" t="s">
        <v>1232</v>
      </c>
      <c r="AT1274" s="2">
        <f t="shared" si="668"/>
        <v>7</v>
      </c>
      <c r="AU1274" s="45" t="e">
        <f t="shared" si="669"/>
        <v>#VALUE!</v>
      </c>
      <c r="AV1274" s="45" t="e">
        <f t="shared" si="670"/>
        <v>#VALUE!</v>
      </c>
      <c r="AW1274" s="45" t="e">
        <f t="shared" si="671"/>
        <v>#VALUE!</v>
      </c>
      <c r="AX1274" s="45">
        <f t="shared" si="672"/>
        <v>1.7748858629558755</v>
      </c>
      <c r="AY1274" s="45" t="e">
        <f t="shared" si="673"/>
        <v>#VALUE!</v>
      </c>
      <c r="AZ1274" s="45">
        <f t="shared" si="674"/>
        <v>-0.42857142857142744</v>
      </c>
      <c r="BA1274" s="45" t="e">
        <f t="shared" si="675"/>
        <v>#VALUE!</v>
      </c>
      <c r="BB1274" s="45" t="e">
        <f t="shared" si="676"/>
        <v>#NUM!</v>
      </c>
      <c r="BC1274" s="45">
        <f t="shared" si="677"/>
        <v>1.2430380486862944</v>
      </c>
      <c r="BD1274" s="45">
        <f t="shared" si="678"/>
        <v>2.1743435927861587</v>
      </c>
      <c r="BE1274" s="45" t="e">
        <f t="shared" si="679"/>
        <v>#VALUE!</v>
      </c>
      <c r="BF1274" s="45" t="e">
        <f t="shared" si="680"/>
        <v>#VALUE!</v>
      </c>
      <c r="BG1274" s="45" t="e">
        <f t="shared" si="681"/>
        <v>#VALUE!</v>
      </c>
      <c r="BH1274" s="45" t="e">
        <f t="shared" si="682"/>
        <v>#NUM!</v>
      </c>
      <c r="BI1274" s="43" t="e">
        <f t="shared" si="683"/>
        <v>#VALUE!</v>
      </c>
      <c r="BL1274" s="20"/>
      <c r="BM1274" s="50"/>
      <c r="BN1274" s="50"/>
      <c r="BO1274" s="50"/>
      <c r="BP1274" s="50"/>
      <c r="BQ1274" s="50"/>
      <c r="BR1274" s="50"/>
      <c r="BU1274" s="50"/>
      <c r="BV1274" s="50"/>
      <c r="BW1274" s="50"/>
      <c r="BX1274" s="50"/>
      <c r="BY1274" s="50"/>
      <c r="BZ1274" s="50"/>
      <c r="CA1274" s="50" t="s">
        <v>22</v>
      </c>
      <c r="CE1274" s="50"/>
      <c r="CF1274" s="50"/>
      <c r="CG1274" s="50"/>
      <c r="CH1274" s="50"/>
      <c r="CI1274" s="50">
        <f t="shared" si="690"/>
        <v>17.5</v>
      </c>
      <c r="CJ1274" s="50">
        <f t="shared" si="691"/>
        <v>1.2430380486862944</v>
      </c>
      <c r="CL1274" s="9" t="s">
        <v>1269</v>
      </c>
      <c r="CM1274" s="9" t="s">
        <v>1285</v>
      </c>
      <c r="CN1274" s="55" t="s">
        <v>1284</v>
      </c>
      <c r="CO1274" s="9" t="s">
        <v>1284</v>
      </c>
    </row>
    <row r="1275" spans="1:93" s="9" customFormat="1" x14ac:dyDescent="0.25">
      <c r="A1275" s="9" t="s">
        <v>141</v>
      </c>
      <c r="B1275" s="50" t="s">
        <v>22</v>
      </c>
      <c r="C1275" s="50" t="s">
        <v>22</v>
      </c>
      <c r="D1275" s="50" t="s">
        <v>22</v>
      </c>
      <c r="E1275" s="50" t="s">
        <v>22</v>
      </c>
      <c r="F1275" s="9" t="s">
        <v>22</v>
      </c>
      <c r="G1275" s="9" t="s">
        <v>22</v>
      </c>
      <c r="H1275" s="9" t="s">
        <v>22</v>
      </c>
      <c r="I1275" s="9" t="s">
        <v>22</v>
      </c>
      <c r="J1275" s="50" t="s">
        <v>22</v>
      </c>
      <c r="K1275" s="9" t="s">
        <v>22</v>
      </c>
      <c r="L1275" s="50"/>
      <c r="M1275" s="9" t="s">
        <v>23</v>
      </c>
      <c r="N1275" s="50">
        <v>121.91011235955</v>
      </c>
      <c r="O1275" s="50" t="s">
        <v>22</v>
      </c>
      <c r="P1275" s="50">
        <v>0.970538989520768</v>
      </c>
      <c r="Q1275" s="50"/>
      <c r="R1275" s="50" t="s">
        <v>22</v>
      </c>
      <c r="S1275" s="50" t="s">
        <v>22</v>
      </c>
      <c r="T1275" s="50" t="s">
        <v>1231</v>
      </c>
      <c r="U1275" s="50">
        <v>17.5</v>
      </c>
      <c r="V1275" s="9">
        <v>20210320</v>
      </c>
      <c r="W1275" s="21"/>
      <c r="X1275" s="21">
        <v>2020</v>
      </c>
      <c r="Y1275" s="21" t="s">
        <v>26</v>
      </c>
      <c r="AB1275" s="50"/>
      <c r="AC1275" s="9" t="s">
        <v>514</v>
      </c>
      <c r="AD1275" s="50">
        <v>150.60240963855401</v>
      </c>
      <c r="AE1275" s="50" t="s">
        <v>22</v>
      </c>
      <c r="AF1275" s="50" t="s">
        <v>22</v>
      </c>
      <c r="AG1275" s="50" t="s">
        <v>22</v>
      </c>
      <c r="AH1275" s="50" t="s">
        <v>22</v>
      </c>
      <c r="AI1275" s="50" t="s">
        <v>22</v>
      </c>
      <c r="AJ1275" s="50" t="s">
        <v>22</v>
      </c>
      <c r="AK1275" s="50" t="s">
        <v>22</v>
      </c>
      <c r="AL1275" s="50" t="s">
        <v>22</v>
      </c>
      <c r="AM1275" s="43" t="e">
        <f t="shared" si="666"/>
        <v>#VALUE!</v>
      </c>
      <c r="AN1275" s="43" t="e">
        <f t="shared" si="667"/>
        <v>#VALUE!</v>
      </c>
      <c r="AO1275" s="21" t="s">
        <v>1232</v>
      </c>
      <c r="AT1275" s="2">
        <f t="shared" si="668"/>
        <v>7</v>
      </c>
      <c r="AU1275" s="45" t="e">
        <f t="shared" si="669"/>
        <v>#VALUE!</v>
      </c>
      <c r="AV1275" s="45" t="e">
        <f t="shared" si="670"/>
        <v>#VALUE!</v>
      </c>
      <c r="AW1275" s="45" t="e">
        <f t="shared" si="671"/>
        <v>#VALUE!</v>
      </c>
      <c r="AX1275" s="45">
        <f t="shared" si="672"/>
        <v>2.0860397315396337</v>
      </c>
      <c r="AY1275" s="45" t="e">
        <f t="shared" si="673"/>
        <v>#VALUE!</v>
      </c>
      <c r="AZ1275" s="45">
        <f t="shared" si="674"/>
        <v>-1.2987012987011302E-2</v>
      </c>
      <c r="BA1275" s="45" t="e">
        <f t="shared" si="675"/>
        <v>#VALUE!</v>
      </c>
      <c r="BB1275" s="45" t="e">
        <f t="shared" si="676"/>
        <v>#NUM!</v>
      </c>
      <c r="BC1275" s="45">
        <f t="shared" si="677"/>
        <v>1.2430380486862944</v>
      </c>
      <c r="BD1275" s="45">
        <f t="shared" si="678"/>
        <v>2.1778319206319821</v>
      </c>
      <c r="BE1275" s="45" t="e">
        <f t="shared" si="679"/>
        <v>#VALUE!</v>
      </c>
      <c r="BF1275" s="45" t="e">
        <f t="shared" si="680"/>
        <v>#VALUE!</v>
      </c>
      <c r="BG1275" s="45" t="e">
        <f t="shared" si="681"/>
        <v>#VALUE!</v>
      </c>
      <c r="BH1275" s="45" t="e">
        <f t="shared" si="682"/>
        <v>#NUM!</v>
      </c>
      <c r="BI1275" s="43" t="e">
        <f t="shared" si="683"/>
        <v>#VALUE!</v>
      </c>
      <c r="BL1275" s="20"/>
      <c r="BM1275" s="50"/>
      <c r="BN1275" s="50"/>
      <c r="BO1275" s="50"/>
      <c r="BP1275" s="50"/>
      <c r="BQ1275" s="50"/>
      <c r="BR1275" s="50"/>
      <c r="BU1275" s="50"/>
      <c r="BV1275" s="50"/>
      <c r="BW1275" s="50"/>
      <c r="BX1275" s="50"/>
      <c r="BY1275" s="50"/>
      <c r="BZ1275" s="50"/>
      <c r="CA1275" s="50" t="s">
        <v>22</v>
      </c>
      <c r="CE1275" s="50"/>
      <c r="CF1275" s="50"/>
      <c r="CG1275" s="50"/>
      <c r="CH1275" s="50"/>
      <c r="CI1275" s="50">
        <f t="shared" si="690"/>
        <v>17.5</v>
      </c>
      <c r="CJ1275" s="50">
        <f t="shared" si="691"/>
        <v>1.2430380486862944</v>
      </c>
      <c r="CL1275" s="9" t="s">
        <v>1269</v>
      </c>
      <c r="CM1275" s="9" t="s">
        <v>1285</v>
      </c>
      <c r="CN1275" s="55" t="s">
        <v>1284</v>
      </c>
      <c r="CO1275" s="9" t="s">
        <v>1284</v>
      </c>
    </row>
    <row r="1276" spans="1:93" s="9" customFormat="1" x14ac:dyDescent="0.25">
      <c r="A1276" s="9" t="s">
        <v>141</v>
      </c>
      <c r="B1276" s="50" t="s">
        <v>22</v>
      </c>
      <c r="C1276" s="50" t="s">
        <v>22</v>
      </c>
      <c r="D1276" s="50" t="s">
        <v>22</v>
      </c>
      <c r="E1276" s="50" t="s">
        <v>22</v>
      </c>
      <c r="F1276" s="9" t="s">
        <v>22</v>
      </c>
      <c r="G1276" s="9" t="s">
        <v>22</v>
      </c>
      <c r="H1276" s="9" t="s">
        <v>22</v>
      </c>
      <c r="I1276" s="9" t="s">
        <v>22</v>
      </c>
      <c r="J1276" s="50" t="s">
        <v>22</v>
      </c>
      <c r="K1276" s="9" t="s">
        <v>22</v>
      </c>
      <c r="L1276" s="50"/>
      <c r="M1276" s="9" t="s">
        <v>23</v>
      </c>
      <c r="N1276" s="50">
        <v>80.337078651685403</v>
      </c>
      <c r="O1276" s="50" t="s">
        <v>22</v>
      </c>
      <c r="P1276" s="50">
        <v>1.1612749687531201</v>
      </c>
      <c r="Q1276" s="50"/>
      <c r="R1276" s="50" t="s">
        <v>22</v>
      </c>
      <c r="S1276" s="50" t="s">
        <v>22</v>
      </c>
      <c r="T1276" s="50" t="s">
        <v>1231</v>
      </c>
      <c r="U1276" s="50">
        <v>17.5</v>
      </c>
      <c r="V1276" s="9">
        <v>20210320</v>
      </c>
      <c r="W1276" s="21"/>
      <c r="X1276" s="21">
        <v>2020</v>
      </c>
      <c r="Y1276" s="21" t="s">
        <v>26</v>
      </c>
      <c r="AB1276" s="50"/>
      <c r="AC1276" s="9" t="s">
        <v>514</v>
      </c>
      <c r="AD1276" s="50">
        <v>107.831325301204</v>
      </c>
      <c r="AE1276" s="50" t="s">
        <v>22</v>
      </c>
      <c r="AF1276" s="50" t="s">
        <v>22</v>
      </c>
      <c r="AG1276" s="50" t="s">
        <v>22</v>
      </c>
      <c r="AH1276" s="50" t="s">
        <v>22</v>
      </c>
      <c r="AI1276" s="50" t="s">
        <v>22</v>
      </c>
      <c r="AJ1276" s="50" t="s">
        <v>22</v>
      </c>
      <c r="AK1276" s="50" t="s">
        <v>22</v>
      </c>
      <c r="AL1276" s="50" t="s">
        <v>22</v>
      </c>
      <c r="AM1276" s="43" t="e">
        <f t="shared" si="666"/>
        <v>#VALUE!</v>
      </c>
      <c r="AN1276" s="43" t="e">
        <f t="shared" si="667"/>
        <v>#VALUE!</v>
      </c>
      <c r="AO1276" s="21" t="s">
        <v>1232</v>
      </c>
      <c r="AT1276" s="2">
        <f t="shared" si="668"/>
        <v>7</v>
      </c>
      <c r="AU1276" s="45" t="e">
        <f t="shared" si="669"/>
        <v>#VALUE!</v>
      </c>
      <c r="AV1276" s="45" t="e">
        <f t="shared" si="670"/>
        <v>#VALUE!</v>
      </c>
      <c r="AW1276" s="45" t="e">
        <f t="shared" si="671"/>
        <v>#VALUE!</v>
      </c>
      <c r="AX1276" s="45">
        <f t="shared" si="672"/>
        <v>1.9049160351561678</v>
      </c>
      <c r="AY1276" s="45" t="e">
        <f t="shared" si="673"/>
        <v>#VALUE!</v>
      </c>
      <c r="AZ1276" s="45">
        <f t="shared" si="674"/>
        <v>6.4935064935064984E-2</v>
      </c>
      <c r="BA1276" s="45" t="e">
        <f t="shared" si="675"/>
        <v>#VALUE!</v>
      </c>
      <c r="BB1276" s="45" t="e">
        <f t="shared" si="676"/>
        <v>#NUM!</v>
      </c>
      <c r="BC1276" s="45">
        <f t="shared" si="677"/>
        <v>1.2430380486862944</v>
      </c>
      <c r="BD1276" s="45">
        <f t="shared" si="678"/>
        <v>2.0327449429398348</v>
      </c>
      <c r="BE1276" s="45" t="e">
        <f t="shared" si="679"/>
        <v>#VALUE!</v>
      </c>
      <c r="BF1276" s="45" t="e">
        <f t="shared" si="680"/>
        <v>#VALUE!</v>
      </c>
      <c r="BG1276" s="45" t="e">
        <f t="shared" si="681"/>
        <v>#VALUE!</v>
      </c>
      <c r="BH1276" s="45" t="e">
        <f t="shared" si="682"/>
        <v>#NUM!</v>
      </c>
      <c r="BI1276" s="43" t="e">
        <f t="shared" si="683"/>
        <v>#VALUE!</v>
      </c>
      <c r="BL1276" s="20"/>
      <c r="BM1276" s="50"/>
      <c r="BN1276" s="50"/>
      <c r="BO1276" s="50"/>
      <c r="BP1276" s="50"/>
      <c r="BQ1276" s="50"/>
      <c r="BR1276" s="50"/>
      <c r="BU1276" s="50"/>
      <c r="BV1276" s="50"/>
      <c r="BW1276" s="50"/>
      <c r="BX1276" s="50"/>
      <c r="BY1276" s="50"/>
      <c r="BZ1276" s="50"/>
      <c r="CA1276" s="50" t="s">
        <v>22</v>
      </c>
      <c r="CE1276" s="50"/>
      <c r="CF1276" s="50"/>
      <c r="CG1276" s="50"/>
      <c r="CH1276" s="50"/>
      <c r="CI1276" s="50">
        <f t="shared" si="690"/>
        <v>17.5</v>
      </c>
      <c r="CJ1276" s="50">
        <f t="shared" si="691"/>
        <v>1.2430380486862944</v>
      </c>
      <c r="CL1276" s="9" t="s">
        <v>1269</v>
      </c>
      <c r="CM1276" s="9" t="s">
        <v>1285</v>
      </c>
      <c r="CN1276" s="55" t="s">
        <v>1284</v>
      </c>
      <c r="CO1276" s="9" t="s">
        <v>1284</v>
      </c>
    </row>
    <row r="1277" spans="1:93" s="9" customFormat="1" x14ac:dyDescent="0.25">
      <c r="A1277" s="9" t="s">
        <v>141</v>
      </c>
      <c r="B1277" s="50" t="s">
        <v>22</v>
      </c>
      <c r="C1277" s="50" t="s">
        <v>22</v>
      </c>
      <c r="D1277" s="50" t="s">
        <v>22</v>
      </c>
      <c r="E1277" s="50" t="s">
        <v>22</v>
      </c>
      <c r="F1277" s="9" t="s">
        <v>22</v>
      </c>
      <c r="G1277" s="9" t="s">
        <v>22</v>
      </c>
      <c r="H1277" s="9" t="s">
        <v>22</v>
      </c>
      <c r="I1277" s="9" t="s">
        <v>22</v>
      </c>
      <c r="J1277" s="50" t="s">
        <v>22</v>
      </c>
      <c r="K1277" s="9" t="s">
        <v>22</v>
      </c>
      <c r="L1277" s="50"/>
      <c r="M1277" s="9" t="s">
        <v>23</v>
      </c>
      <c r="N1277" s="50">
        <v>150</v>
      </c>
      <c r="O1277" s="50" t="s">
        <v>22</v>
      </c>
      <c r="P1277" s="50">
        <v>2.8480358684358</v>
      </c>
      <c r="Q1277" s="50"/>
      <c r="R1277" s="50" t="s">
        <v>22</v>
      </c>
      <c r="S1277" s="50" t="s">
        <v>22</v>
      </c>
      <c r="T1277" s="50" t="s">
        <v>1231</v>
      </c>
      <c r="U1277" s="50">
        <v>17.5</v>
      </c>
      <c r="V1277" s="9">
        <v>20210320</v>
      </c>
      <c r="W1277" s="21"/>
      <c r="X1277" s="21">
        <v>2020</v>
      </c>
      <c r="Y1277" s="21" t="s">
        <v>26</v>
      </c>
      <c r="AB1277" s="50"/>
      <c r="AC1277" s="9" t="s">
        <v>514</v>
      </c>
      <c r="AD1277" s="50">
        <v>106.02409638554199</v>
      </c>
      <c r="AE1277" s="50" t="s">
        <v>22</v>
      </c>
      <c r="AF1277" s="50" t="s">
        <v>22</v>
      </c>
      <c r="AG1277" s="50" t="s">
        <v>22</v>
      </c>
      <c r="AH1277" s="50" t="s">
        <v>22</v>
      </c>
      <c r="AI1277" s="50" t="s">
        <v>22</v>
      </c>
      <c r="AJ1277" s="50" t="s">
        <v>22</v>
      </c>
      <c r="AK1277" s="50" t="s">
        <v>22</v>
      </c>
      <c r="AL1277" s="50" t="s">
        <v>22</v>
      </c>
      <c r="AM1277" s="43" t="e">
        <f t="shared" si="666"/>
        <v>#VALUE!</v>
      </c>
      <c r="AN1277" s="43" t="e">
        <f t="shared" si="667"/>
        <v>#VALUE!</v>
      </c>
      <c r="AO1277" s="21" t="s">
        <v>1232</v>
      </c>
      <c r="AT1277" s="2">
        <f t="shared" si="668"/>
        <v>7</v>
      </c>
      <c r="AU1277" s="45" t="e">
        <f t="shared" si="669"/>
        <v>#VALUE!</v>
      </c>
      <c r="AV1277" s="45" t="e">
        <f t="shared" si="670"/>
        <v>#VALUE!</v>
      </c>
      <c r="AW1277" s="45" t="e">
        <f t="shared" si="671"/>
        <v>#VALUE!</v>
      </c>
      <c r="AX1277" s="45">
        <f t="shared" si="672"/>
        <v>2.1760912590556813</v>
      </c>
      <c r="AY1277" s="45" t="e">
        <f t="shared" si="673"/>
        <v>#VALUE!</v>
      </c>
      <c r="AZ1277" s="45">
        <f t="shared" si="674"/>
        <v>0.45454545454545431</v>
      </c>
      <c r="BA1277" s="45" t="e">
        <f t="shared" si="675"/>
        <v>#VALUE!</v>
      </c>
      <c r="BB1277" s="45" t="e">
        <f t="shared" si="676"/>
        <v>#NUM!</v>
      </c>
      <c r="BC1277" s="45">
        <f t="shared" si="677"/>
        <v>1.2430380486862944</v>
      </c>
      <c r="BD1277" s="45">
        <f t="shared" si="678"/>
        <v>2.025404579774094</v>
      </c>
      <c r="BE1277" s="45" t="e">
        <f t="shared" si="679"/>
        <v>#VALUE!</v>
      </c>
      <c r="BF1277" s="45" t="e">
        <f t="shared" si="680"/>
        <v>#VALUE!</v>
      </c>
      <c r="BG1277" s="45" t="e">
        <f t="shared" si="681"/>
        <v>#VALUE!</v>
      </c>
      <c r="BH1277" s="45" t="e">
        <f t="shared" si="682"/>
        <v>#NUM!</v>
      </c>
      <c r="BI1277" s="43" t="e">
        <f t="shared" si="683"/>
        <v>#VALUE!</v>
      </c>
      <c r="BL1277" s="20"/>
      <c r="BM1277" s="50"/>
      <c r="BN1277" s="50"/>
      <c r="BO1277" s="50"/>
      <c r="BP1277" s="50"/>
      <c r="BQ1277" s="50"/>
      <c r="BR1277" s="50"/>
      <c r="BU1277" s="50"/>
      <c r="BV1277" s="50"/>
      <c r="BW1277" s="50"/>
      <c r="BX1277" s="50"/>
      <c r="BY1277" s="50"/>
      <c r="BZ1277" s="50"/>
      <c r="CA1277" s="50" t="s">
        <v>22</v>
      </c>
      <c r="CE1277" s="50"/>
      <c r="CF1277" s="50"/>
      <c r="CG1277" s="50"/>
      <c r="CH1277" s="50"/>
      <c r="CI1277" s="50">
        <f t="shared" si="690"/>
        <v>17.5</v>
      </c>
      <c r="CJ1277" s="50">
        <f t="shared" si="691"/>
        <v>1.2430380486862944</v>
      </c>
      <c r="CL1277" s="9" t="s">
        <v>1269</v>
      </c>
      <c r="CM1277" s="9" t="s">
        <v>1285</v>
      </c>
      <c r="CN1277" s="55" t="s">
        <v>1284</v>
      </c>
      <c r="CO1277" s="9" t="s">
        <v>1284</v>
      </c>
    </row>
    <row r="1278" spans="1:93" s="9" customFormat="1" x14ac:dyDescent="0.25">
      <c r="A1278" s="9" t="s">
        <v>141</v>
      </c>
      <c r="B1278" s="50" t="s">
        <v>22</v>
      </c>
      <c r="C1278" s="50" t="s">
        <v>22</v>
      </c>
      <c r="D1278" s="50" t="s">
        <v>22</v>
      </c>
      <c r="E1278" s="50" t="s">
        <v>22</v>
      </c>
      <c r="F1278" s="9" t="s">
        <v>22</v>
      </c>
      <c r="G1278" s="9" t="s">
        <v>22</v>
      </c>
      <c r="H1278" s="9" t="s">
        <v>22</v>
      </c>
      <c r="I1278" s="9" t="s">
        <v>22</v>
      </c>
      <c r="J1278" s="50">
        <v>1</v>
      </c>
      <c r="K1278" s="9">
        <v>532</v>
      </c>
      <c r="L1278" s="50">
        <f t="shared" ref="L1278:L1283" si="696">IF((10^-12)*J1278*K1278^4=0,"",(10^-12)*J1278*K1278^4)</f>
        <v>8.0102584576000002E-2</v>
      </c>
      <c r="M1278" s="9" t="s">
        <v>23</v>
      </c>
      <c r="N1278" s="50">
        <v>512.70000000000005</v>
      </c>
      <c r="O1278" s="50" t="s">
        <v>22</v>
      </c>
      <c r="P1278" s="50">
        <v>19.600000000000001</v>
      </c>
      <c r="Q1278" s="50"/>
      <c r="R1278" s="50" t="s">
        <v>22</v>
      </c>
      <c r="S1278" s="50" t="s">
        <v>22</v>
      </c>
      <c r="T1278" s="50" t="s">
        <v>22</v>
      </c>
      <c r="U1278" s="50" t="s">
        <v>22</v>
      </c>
      <c r="V1278" s="9">
        <v>20201128</v>
      </c>
      <c r="W1278" s="21" t="s">
        <v>1172</v>
      </c>
      <c r="X1278" s="21">
        <v>2021</v>
      </c>
      <c r="Y1278" s="21" t="s">
        <v>26</v>
      </c>
      <c r="Z1278" s="9" t="s">
        <v>32</v>
      </c>
      <c r="AB1278" s="50"/>
      <c r="AC1278" s="9" t="s">
        <v>514</v>
      </c>
      <c r="AD1278" s="50">
        <v>8.8000000000000007</v>
      </c>
      <c r="AE1278" s="50"/>
      <c r="AF1278" s="50" t="s">
        <v>22</v>
      </c>
      <c r="AG1278" s="50" t="s">
        <v>22</v>
      </c>
      <c r="AH1278" s="50" t="s">
        <v>22</v>
      </c>
      <c r="AI1278" s="50" t="s">
        <v>22</v>
      </c>
      <c r="AJ1278" s="50" t="s">
        <v>22</v>
      </c>
      <c r="AK1278" s="50" t="s">
        <v>22</v>
      </c>
      <c r="AL1278" s="50" t="s">
        <v>22</v>
      </c>
      <c r="AM1278" s="43" t="e">
        <f t="shared" si="666"/>
        <v>#VALUE!</v>
      </c>
      <c r="AN1278" s="43" t="e">
        <f t="shared" si="667"/>
        <v>#VALUE!</v>
      </c>
      <c r="AO1278" s="21" t="s">
        <v>1176</v>
      </c>
      <c r="AT1278" s="2">
        <f t="shared" si="668"/>
        <v>5</v>
      </c>
      <c r="AU1278" s="45" t="e">
        <f t="shared" si="669"/>
        <v>#VALUE!</v>
      </c>
      <c r="AV1278" s="45" t="e">
        <f t="shared" si="670"/>
        <v>#VALUE!</v>
      </c>
      <c r="AW1278" s="45" t="e">
        <f t="shared" si="671"/>
        <v>#VALUE!</v>
      </c>
      <c r="AX1278" s="45">
        <f t="shared" si="672"/>
        <v>2.7098633174403992</v>
      </c>
      <c r="AY1278" s="45" t="e">
        <f t="shared" si="673"/>
        <v>#VALUE!</v>
      </c>
      <c r="AZ1278" s="45">
        <f t="shared" si="674"/>
        <v>1.2922560713564761</v>
      </c>
      <c r="BA1278" s="45">
        <f t="shared" si="675"/>
        <v>0</v>
      </c>
      <c r="BB1278" s="45">
        <f t="shared" si="676"/>
        <v>-1.0963534708198073</v>
      </c>
      <c r="BC1278" s="45" t="e">
        <f t="shared" si="677"/>
        <v>#VALUE!</v>
      </c>
      <c r="BD1278" s="45">
        <f t="shared" si="678"/>
        <v>0.94448267215016868</v>
      </c>
      <c r="BE1278" s="45" t="e">
        <f t="shared" si="679"/>
        <v>#VALUE!</v>
      </c>
      <c r="BF1278" s="45" t="e">
        <f t="shared" si="680"/>
        <v>#VALUE!</v>
      </c>
      <c r="BG1278" s="45" t="e">
        <f t="shared" si="681"/>
        <v>#VALUE!</v>
      </c>
      <c r="BH1278" s="45" t="e">
        <f t="shared" si="682"/>
        <v>#NUM!</v>
      </c>
      <c r="BI1278" s="43" t="e">
        <f t="shared" si="683"/>
        <v>#VALUE!</v>
      </c>
      <c r="BL1278" s="20"/>
      <c r="BM1278" s="50"/>
      <c r="BN1278" s="50"/>
      <c r="BO1278" s="50"/>
      <c r="BP1278" s="50"/>
      <c r="BQ1278" s="50"/>
      <c r="BR1278" s="50"/>
      <c r="BU1278" s="50"/>
      <c r="BV1278" s="50"/>
      <c r="BW1278" s="50"/>
      <c r="BX1278" s="50"/>
      <c r="BY1278" s="50"/>
      <c r="BZ1278" s="50"/>
      <c r="CA1278" s="50" t="s">
        <v>22</v>
      </c>
      <c r="CE1278" s="50"/>
      <c r="CF1278" s="50"/>
      <c r="CG1278" s="50"/>
      <c r="CH1278" s="50"/>
      <c r="CI1278" s="50" t="str">
        <f t="shared" si="690"/>
        <v>Not Reported/ Can not calculate</v>
      </c>
      <c r="CJ1278" s="50" t="e">
        <f t="shared" si="691"/>
        <v>#VALUE!</v>
      </c>
      <c r="CL1278" s="9" t="s">
        <v>1269</v>
      </c>
      <c r="CM1278" s="9" t="s">
        <v>1284</v>
      </c>
      <c r="CN1278" s="55" t="s">
        <v>1284</v>
      </c>
      <c r="CO1278" s="9" t="s">
        <v>1284</v>
      </c>
    </row>
    <row r="1279" spans="1:93" s="9" customFormat="1" x14ac:dyDescent="0.25">
      <c r="A1279" s="9" t="s">
        <v>141</v>
      </c>
      <c r="B1279" s="50" t="s">
        <v>22</v>
      </c>
      <c r="C1279" s="50" t="s">
        <v>22</v>
      </c>
      <c r="D1279" s="50" t="s">
        <v>22</v>
      </c>
      <c r="E1279" s="50" t="s">
        <v>22</v>
      </c>
      <c r="F1279" s="9" t="s">
        <v>22</v>
      </c>
      <c r="G1279" s="9" t="s">
        <v>22</v>
      </c>
      <c r="H1279" s="9" t="s">
        <v>22</v>
      </c>
      <c r="I1279" s="9" t="s">
        <v>22</v>
      </c>
      <c r="J1279" s="50">
        <v>1.4</v>
      </c>
      <c r="K1279" s="9">
        <v>532</v>
      </c>
      <c r="L1279" s="50">
        <f t="shared" si="696"/>
        <v>0.1121436184064</v>
      </c>
      <c r="M1279" s="9" t="s">
        <v>23</v>
      </c>
      <c r="N1279" s="50">
        <v>682.6</v>
      </c>
      <c r="O1279" s="50" t="s">
        <v>22</v>
      </c>
      <c r="P1279" s="50">
        <v>53.6</v>
      </c>
      <c r="Q1279" s="50"/>
      <c r="R1279" s="50" t="s">
        <v>22</v>
      </c>
      <c r="S1279" s="50" t="s">
        <v>22</v>
      </c>
      <c r="T1279" s="50" t="s">
        <v>22</v>
      </c>
      <c r="U1279" s="50" t="s">
        <v>22</v>
      </c>
      <c r="V1279" s="9">
        <v>20201128</v>
      </c>
      <c r="W1279" s="21" t="s">
        <v>1173</v>
      </c>
      <c r="X1279" s="21">
        <v>2021</v>
      </c>
      <c r="Y1279" s="21" t="s">
        <v>26</v>
      </c>
      <c r="Z1279" s="9" t="s">
        <v>34</v>
      </c>
      <c r="AB1279" s="50"/>
      <c r="AC1279" s="9" t="s">
        <v>514</v>
      </c>
      <c r="AD1279" s="50">
        <v>7.6</v>
      </c>
      <c r="AE1279" s="50"/>
      <c r="AF1279" s="50" t="s">
        <v>22</v>
      </c>
      <c r="AG1279" s="50" t="s">
        <v>22</v>
      </c>
      <c r="AH1279" s="50" t="s">
        <v>22</v>
      </c>
      <c r="AI1279" s="50" t="s">
        <v>22</v>
      </c>
      <c r="AJ1279" s="50" t="s">
        <v>22</v>
      </c>
      <c r="AK1279" s="50" t="s">
        <v>22</v>
      </c>
      <c r="AL1279" s="50" t="s">
        <v>22</v>
      </c>
      <c r="AM1279" s="43" t="e">
        <f t="shared" si="666"/>
        <v>#VALUE!</v>
      </c>
      <c r="AN1279" s="43" t="e">
        <f t="shared" si="667"/>
        <v>#VALUE!</v>
      </c>
      <c r="AO1279" s="21" t="s">
        <v>1176</v>
      </c>
      <c r="AT1279" s="2">
        <f t="shared" si="668"/>
        <v>5</v>
      </c>
      <c r="AU1279" s="45" t="e">
        <f t="shared" si="669"/>
        <v>#VALUE!</v>
      </c>
      <c r="AV1279" s="45" t="e">
        <f t="shared" si="670"/>
        <v>#VALUE!</v>
      </c>
      <c r="AW1279" s="45" t="e">
        <f t="shared" si="671"/>
        <v>#VALUE!</v>
      </c>
      <c r="AX1279" s="45">
        <f t="shared" si="672"/>
        <v>2.8341662839426203</v>
      </c>
      <c r="AY1279" s="45" t="e">
        <f t="shared" si="673"/>
        <v>#VALUE!</v>
      </c>
      <c r="AZ1279" s="45">
        <f t="shared" si="674"/>
        <v>1.72916478969277</v>
      </c>
      <c r="BA1279" s="45">
        <f t="shared" si="675"/>
        <v>0.14612803567823801</v>
      </c>
      <c r="BB1279" s="45">
        <f t="shared" si="676"/>
        <v>-0.95022543514156921</v>
      </c>
      <c r="BC1279" s="45" t="e">
        <f t="shared" si="677"/>
        <v>#VALUE!</v>
      </c>
      <c r="BD1279" s="45">
        <f t="shared" si="678"/>
        <v>0.88081359228079137</v>
      </c>
      <c r="BE1279" s="45" t="e">
        <f t="shared" si="679"/>
        <v>#VALUE!</v>
      </c>
      <c r="BF1279" s="45" t="e">
        <f t="shared" si="680"/>
        <v>#VALUE!</v>
      </c>
      <c r="BG1279" s="45" t="e">
        <f t="shared" si="681"/>
        <v>#VALUE!</v>
      </c>
      <c r="BH1279" s="45" t="e">
        <f t="shared" si="682"/>
        <v>#NUM!</v>
      </c>
      <c r="BI1279" s="43" t="e">
        <f t="shared" si="683"/>
        <v>#VALUE!</v>
      </c>
      <c r="BL1279" s="20"/>
      <c r="BM1279" s="50"/>
      <c r="BN1279" s="50"/>
      <c r="BO1279" s="50"/>
      <c r="BP1279" s="50"/>
      <c r="BQ1279" s="50"/>
      <c r="BR1279" s="50"/>
      <c r="BU1279" s="50"/>
      <c r="BV1279" s="50"/>
      <c r="BW1279" s="50"/>
      <c r="BX1279" s="50"/>
      <c r="BY1279" s="50"/>
      <c r="BZ1279" s="50"/>
      <c r="CA1279" s="50" t="s">
        <v>22</v>
      </c>
      <c r="CE1279" s="50"/>
      <c r="CF1279" s="50"/>
      <c r="CG1279" s="50"/>
      <c r="CH1279" s="50"/>
      <c r="CI1279" s="50" t="str">
        <f t="shared" si="690"/>
        <v>Not Reported/ Can not calculate</v>
      </c>
      <c r="CJ1279" s="50" t="e">
        <f t="shared" si="691"/>
        <v>#VALUE!</v>
      </c>
      <c r="CL1279" s="9" t="s">
        <v>1269</v>
      </c>
      <c r="CM1279" s="9" t="s">
        <v>1284</v>
      </c>
      <c r="CN1279" s="55" t="s">
        <v>1284</v>
      </c>
      <c r="CO1279" s="9" t="s">
        <v>1284</v>
      </c>
    </row>
    <row r="1280" spans="1:93" s="9" customFormat="1" x14ac:dyDescent="0.25">
      <c r="A1280" s="9" t="s">
        <v>141</v>
      </c>
      <c r="B1280" s="50" t="s">
        <v>22</v>
      </c>
      <c r="C1280" s="50" t="s">
        <v>22</v>
      </c>
      <c r="D1280" s="50" t="s">
        <v>22</v>
      </c>
      <c r="E1280" s="50" t="s">
        <v>22</v>
      </c>
      <c r="F1280" s="9" t="s">
        <v>22</v>
      </c>
      <c r="G1280" s="9" t="s">
        <v>22</v>
      </c>
      <c r="H1280" s="9" t="s">
        <v>22</v>
      </c>
      <c r="I1280" s="9" t="s">
        <v>22</v>
      </c>
      <c r="J1280" s="50">
        <v>9.9</v>
      </c>
      <c r="K1280" s="9">
        <v>532</v>
      </c>
      <c r="L1280" s="50">
        <f t="shared" si="696"/>
        <v>0.79301558730239996</v>
      </c>
      <c r="M1280" s="9" t="s">
        <v>23</v>
      </c>
      <c r="N1280" s="50">
        <v>1146.7</v>
      </c>
      <c r="O1280" s="50" t="s">
        <v>22</v>
      </c>
      <c r="P1280" s="50">
        <v>44</v>
      </c>
      <c r="Q1280" s="50"/>
      <c r="R1280" s="50" t="s">
        <v>22</v>
      </c>
      <c r="S1280" s="50" t="s">
        <v>22</v>
      </c>
      <c r="T1280" s="50" t="s">
        <v>22</v>
      </c>
      <c r="U1280" s="50" t="s">
        <v>22</v>
      </c>
      <c r="V1280" s="9">
        <v>20201128</v>
      </c>
      <c r="W1280" s="21" t="s">
        <v>1174</v>
      </c>
      <c r="X1280" s="21">
        <v>2021</v>
      </c>
      <c r="Y1280" s="21" t="s">
        <v>26</v>
      </c>
      <c r="Z1280" s="9" t="s">
        <v>34</v>
      </c>
      <c r="AB1280" s="50"/>
      <c r="AC1280" s="9" t="s">
        <v>514</v>
      </c>
      <c r="AD1280" s="50">
        <v>7.6</v>
      </c>
      <c r="AE1280" s="50"/>
      <c r="AF1280" s="50" t="s">
        <v>22</v>
      </c>
      <c r="AG1280" s="50" t="s">
        <v>22</v>
      </c>
      <c r="AH1280" s="50" t="s">
        <v>22</v>
      </c>
      <c r="AI1280" s="50" t="s">
        <v>22</v>
      </c>
      <c r="AJ1280" s="50" t="s">
        <v>22</v>
      </c>
      <c r="AK1280" s="50" t="s">
        <v>22</v>
      </c>
      <c r="AL1280" s="50" t="s">
        <v>22</v>
      </c>
      <c r="AM1280" s="43" t="e">
        <f t="shared" si="666"/>
        <v>#VALUE!</v>
      </c>
      <c r="AN1280" s="43" t="e">
        <f t="shared" si="667"/>
        <v>#VALUE!</v>
      </c>
      <c r="AO1280" s="21" t="s">
        <v>1176</v>
      </c>
      <c r="AT1280" s="2">
        <f t="shared" si="668"/>
        <v>5</v>
      </c>
      <c r="AU1280" s="45" t="e">
        <f t="shared" si="669"/>
        <v>#VALUE!</v>
      </c>
      <c r="AV1280" s="45" t="e">
        <f t="shared" si="670"/>
        <v>#VALUE!</v>
      </c>
      <c r="AW1280" s="45" t="e">
        <f t="shared" si="671"/>
        <v>#VALUE!</v>
      </c>
      <c r="AX1280" s="45">
        <f t="shared" si="672"/>
        <v>3.0594498125079608</v>
      </c>
      <c r="AY1280" s="45" t="e">
        <f t="shared" si="673"/>
        <v>#VALUE!</v>
      </c>
      <c r="AZ1280" s="45">
        <f t="shared" si="674"/>
        <v>1.6434526764861874</v>
      </c>
      <c r="BA1280" s="45">
        <f t="shared" si="675"/>
        <v>0.9956351945975499</v>
      </c>
      <c r="BB1280" s="45">
        <f t="shared" si="676"/>
        <v>-0.10071827622225737</v>
      </c>
      <c r="BC1280" s="45" t="e">
        <f t="shared" si="677"/>
        <v>#VALUE!</v>
      </c>
      <c r="BD1280" s="45">
        <f t="shared" si="678"/>
        <v>0.88081359228079137</v>
      </c>
      <c r="BE1280" s="45" t="e">
        <f t="shared" si="679"/>
        <v>#VALUE!</v>
      </c>
      <c r="BF1280" s="45" t="e">
        <f t="shared" si="680"/>
        <v>#VALUE!</v>
      </c>
      <c r="BG1280" s="45" t="e">
        <f t="shared" si="681"/>
        <v>#VALUE!</v>
      </c>
      <c r="BH1280" s="45" t="e">
        <f t="shared" si="682"/>
        <v>#NUM!</v>
      </c>
      <c r="BI1280" s="43" t="e">
        <f t="shared" si="683"/>
        <v>#VALUE!</v>
      </c>
      <c r="BL1280" s="20"/>
      <c r="BM1280" s="50"/>
      <c r="BN1280" s="50"/>
      <c r="BO1280" s="50"/>
      <c r="BP1280" s="50"/>
      <c r="BQ1280" s="50"/>
      <c r="BR1280" s="50"/>
      <c r="BU1280" s="50"/>
      <c r="BV1280" s="50"/>
      <c r="BW1280" s="50"/>
      <c r="BX1280" s="50"/>
      <c r="BY1280" s="50"/>
      <c r="BZ1280" s="50"/>
      <c r="CA1280" s="50" t="s">
        <v>22</v>
      </c>
      <c r="CE1280" s="50"/>
      <c r="CF1280" s="50"/>
      <c r="CG1280" s="50"/>
      <c r="CH1280" s="50"/>
      <c r="CI1280" s="50" t="str">
        <f t="shared" si="690"/>
        <v>Not Reported/ Can not calculate</v>
      </c>
      <c r="CJ1280" s="50" t="e">
        <f t="shared" si="691"/>
        <v>#VALUE!</v>
      </c>
      <c r="CL1280" s="9" t="s">
        <v>1269</v>
      </c>
      <c r="CM1280" s="9" t="s">
        <v>1284</v>
      </c>
      <c r="CN1280" s="55" t="s">
        <v>1284</v>
      </c>
      <c r="CO1280" s="9" t="s">
        <v>1284</v>
      </c>
    </row>
    <row r="1281" spans="1:93" s="9" customFormat="1" x14ac:dyDescent="0.25">
      <c r="A1281" s="9" t="s">
        <v>141</v>
      </c>
      <c r="B1281" s="50" t="s">
        <v>22</v>
      </c>
      <c r="C1281" s="50" t="s">
        <v>22</v>
      </c>
      <c r="D1281" s="50" t="s">
        <v>22</v>
      </c>
      <c r="E1281" s="50" t="s">
        <v>22</v>
      </c>
      <c r="F1281" s="9" t="s">
        <v>22</v>
      </c>
      <c r="G1281" s="9" t="s">
        <v>22</v>
      </c>
      <c r="H1281" s="9" t="s">
        <v>22</v>
      </c>
      <c r="I1281" s="9" t="s">
        <v>22</v>
      </c>
      <c r="J1281" s="50">
        <v>1.1000000000000001</v>
      </c>
      <c r="K1281" s="9">
        <v>532</v>
      </c>
      <c r="L1281" s="50">
        <f t="shared" si="696"/>
        <v>8.8112843033600008E-2</v>
      </c>
      <c r="M1281" s="9" t="s">
        <v>23</v>
      </c>
      <c r="N1281" s="50">
        <v>761.8</v>
      </c>
      <c r="O1281" s="50" t="s">
        <v>22</v>
      </c>
      <c r="P1281" s="50">
        <v>21.3</v>
      </c>
      <c r="Q1281" s="50"/>
      <c r="R1281" s="50" t="s">
        <v>22</v>
      </c>
      <c r="S1281" s="50" t="s">
        <v>22</v>
      </c>
      <c r="T1281" s="50" t="s">
        <v>22</v>
      </c>
      <c r="U1281" s="50" t="s">
        <v>22</v>
      </c>
      <c r="V1281" s="9">
        <v>20201128</v>
      </c>
      <c r="W1281" s="21" t="s">
        <v>1175</v>
      </c>
      <c r="X1281" s="21">
        <v>2021</v>
      </c>
      <c r="Y1281" s="21" t="s">
        <v>26</v>
      </c>
      <c r="Z1281" s="9" t="s">
        <v>32</v>
      </c>
      <c r="AB1281" s="50"/>
      <c r="AC1281" s="9" t="s">
        <v>514</v>
      </c>
      <c r="AD1281" s="50">
        <v>25</v>
      </c>
      <c r="AE1281" s="50"/>
      <c r="AF1281" s="50" t="s">
        <v>22</v>
      </c>
      <c r="AG1281" s="50" t="s">
        <v>22</v>
      </c>
      <c r="AH1281" s="50" t="s">
        <v>22</v>
      </c>
      <c r="AI1281" s="50" t="s">
        <v>22</v>
      </c>
      <c r="AJ1281" s="50" t="s">
        <v>22</v>
      </c>
      <c r="AK1281" s="50" t="s">
        <v>22</v>
      </c>
      <c r="AL1281" s="50" t="s">
        <v>22</v>
      </c>
      <c r="AM1281" s="43" t="e">
        <f t="shared" si="666"/>
        <v>#VALUE!</v>
      </c>
      <c r="AN1281" s="43" t="e">
        <f t="shared" si="667"/>
        <v>#VALUE!</v>
      </c>
      <c r="AO1281" s="21" t="s">
        <v>1176</v>
      </c>
      <c r="AT1281" s="2">
        <f t="shared" si="668"/>
        <v>5</v>
      </c>
      <c r="AU1281" s="45" t="e">
        <f t="shared" si="669"/>
        <v>#VALUE!</v>
      </c>
      <c r="AV1281" s="45" t="e">
        <f t="shared" si="670"/>
        <v>#VALUE!</v>
      </c>
      <c r="AW1281" s="45" t="e">
        <f t="shared" si="671"/>
        <v>#VALUE!</v>
      </c>
      <c r="AX1281" s="45">
        <f t="shared" si="672"/>
        <v>2.8818409683249273</v>
      </c>
      <c r="AY1281" s="45" t="e">
        <f t="shared" si="673"/>
        <v>#VALUE!</v>
      </c>
      <c r="AZ1281" s="45">
        <f t="shared" si="674"/>
        <v>1.3283796034387378</v>
      </c>
      <c r="BA1281" s="45">
        <f t="shared" si="675"/>
        <v>4.1392685158225077E-2</v>
      </c>
      <c r="BB1281" s="45">
        <f t="shared" si="676"/>
        <v>-1.0549607856615821</v>
      </c>
      <c r="BC1281" s="45" t="e">
        <f t="shared" si="677"/>
        <v>#VALUE!</v>
      </c>
      <c r="BD1281" s="45">
        <f t="shared" si="678"/>
        <v>1.3979400086720377</v>
      </c>
      <c r="BE1281" s="45" t="e">
        <f t="shared" si="679"/>
        <v>#VALUE!</v>
      </c>
      <c r="BF1281" s="45" t="e">
        <f t="shared" si="680"/>
        <v>#VALUE!</v>
      </c>
      <c r="BG1281" s="45" t="e">
        <f t="shared" si="681"/>
        <v>#VALUE!</v>
      </c>
      <c r="BH1281" s="45" t="e">
        <f t="shared" si="682"/>
        <v>#NUM!</v>
      </c>
      <c r="BI1281" s="43" t="e">
        <f t="shared" si="683"/>
        <v>#VALUE!</v>
      </c>
      <c r="BL1281" s="20"/>
      <c r="BM1281" s="50"/>
      <c r="BN1281" s="50"/>
      <c r="BO1281" s="50"/>
      <c r="BP1281" s="50"/>
      <c r="BQ1281" s="50"/>
      <c r="BR1281" s="50"/>
      <c r="BU1281" s="50"/>
      <c r="BV1281" s="50"/>
      <c r="BW1281" s="50"/>
      <c r="BX1281" s="50"/>
      <c r="BY1281" s="50"/>
      <c r="BZ1281" s="50"/>
      <c r="CA1281" s="50" t="s">
        <v>22</v>
      </c>
      <c r="CE1281" s="50"/>
      <c r="CF1281" s="50"/>
      <c r="CG1281" s="50"/>
      <c r="CH1281" s="50"/>
      <c r="CI1281" s="50" t="str">
        <f t="shared" si="690"/>
        <v>Not Reported/ Can not calculate</v>
      </c>
      <c r="CJ1281" s="50" t="e">
        <f t="shared" si="691"/>
        <v>#VALUE!</v>
      </c>
      <c r="CL1281" s="9" t="s">
        <v>1269</v>
      </c>
      <c r="CM1281" s="9" t="s">
        <v>1284</v>
      </c>
      <c r="CN1281" s="55" t="s">
        <v>1284</v>
      </c>
      <c r="CO1281" s="9" t="s">
        <v>1284</v>
      </c>
    </row>
    <row r="1282" spans="1:93" s="9" customFormat="1" x14ac:dyDescent="0.25">
      <c r="A1282" s="9" t="s">
        <v>141</v>
      </c>
      <c r="B1282" s="50" t="s">
        <v>22</v>
      </c>
      <c r="C1282" s="50" t="s">
        <v>22</v>
      </c>
      <c r="D1282" s="50" t="s">
        <v>22</v>
      </c>
      <c r="E1282" s="50" t="s">
        <v>22</v>
      </c>
      <c r="F1282" s="9" t="s">
        <v>22</v>
      </c>
      <c r="G1282" s="9" t="s">
        <v>22</v>
      </c>
      <c r="H1282" s="9" t="s">
        <v>22</v>
      </c>
      <c r="I1282" s="9" t="s">
        <v>22</v>
      </c>
      <c r="J1282" s="50">
        <v>54.4</v>
      </c>
      <c r="K1282" s="9">
        <v>532</v>
      </c>
      <c r="L1282" s="50">
        <f t="shared" si="696"/>
        <v>4.3575806009343996</v>
      </c>
      <c r="M1282" s="9" t="s">
        <v>23</v>
      </c>
      <c r="N1282" s="50">
        <v>1371.8</v>
      </c>
      <c r="O1282" s="50" t="s">
        <v>22</v>
      </c>
      <c r="P1282" s="50">
        <v>37.6</v>
      </c>
      <c r="Q1282" s="50"/>
      <c r="R1282" s="50" t="s">
        <v>22</v>
      </c>
      <c r="S1282" s="50" t="s">
        <v>22</v>
      </c>
      <c r="T1282" s="50" t="s">
        <v>22</v>
      </c>
      <c r="U1282" s="50" t="s">
        <v>22</v>
      </c>
      <c r="V1282" s="9">
        <v>20201128</v>
      </c>
      <c r="W1282" s="21" t="s">
        <v>1174</v>
      </c>
      <c r="X1282" s="21">
        <v>2021</v>
      </c>
      <c r="Y1282" s="21" t="s">
        <v>26</v>
      </c>
      <c r="Z1282" s="9" t="s">
        <v>34</v>
      </c>
      <c r="AB1282" s="50"/>
      <c r="AC1282" s="9" t="s">
        <v>514</v>
      </c>
      <c r="AD1282" s="50">
        <v>18</v>
      </c>
      <c r="AE1282" s="50"/>
      <c r="AF1282" s="50" t="s">
        <v>22</v>
      </c>
      <c r="AG1282" s="50" t="s">
        <v>22</v>
      </c>
      <c r="AH1282" s="50" t="s">
        <v>22</v>
      </c>
      <c r="AI1282" s="50" t="s">
        <v>22</v>
      </c>
      <c r="AJ1282" s="50" t="s">
        <v>22</v>
      </c>
      <c r="AK1282" s="50" t="s">
        <v>22</v>
      </c>
      <c r="AL1282" s="50" t="s">
        <v>22</v>
      </c>
      <c r="AM1282" s="43" t="e">
        <f t="shared" ref="AM1282:AM1303" si="697">AL1282/AI1282</f>
        <v>#VALUE!</v>
      </c>
      <c r="AN1282" s="43" t="e">
        <f t="shared" ref="AN1282:AN1303" si="698">AL1282/AJ1282</f>
        <v>#VALUE!</v>
      </c>
      <c r="AO1282" s="21" t="s">
        <v>1176</v>
      </c>
      <c r="AT1282" s="2">
        <f t="shared" ref="AT1282:AT1302" si="699">COUNTIF($AO$2:$AO$1400,AO1282)</f>
        <v>5</v>
      </c>
      <c r="AU1282" s="45" t="e">
        <f t="shared" ref="AU1282:AU1303" si="700">LOG10(B1282)</f>
        <v>#VALUE!</v>
      </c>
      <c r="AV1282" s="45" t="e">
        <f t="shared" ref="AV1282:AV1303" si="701">LOG10(C1282)</f>
        <v>#VALUE!</v>
      </c>
      <c r="AW1282" s="45" t="e">
        <f t="shared" ref="AW1282:AW1303" si="702">LOG10(D1282)</f>
        <v>#VALUE!</v>
      </c>
      <c r="AX1282" s="45">
        <f t="shared" ref="AX1282:AX1303" si="703">LOG10(N1282)</f>
        <v>3.1372907985224683</v>
      </c>
      <c r="AY1282" s="45" t="e">
        <f t="shared" ref="AY1282:AY1303" si="704">LOG10(O1282)</f>
        <v>#VALUE!</v>
      </c>
      <c r="AZ1282" s="45">
        <f t="shared" ref="AZ1282:AZ1303" si="705">LOG10(P1282)</f>
        <v>1.5751878449276611</v>
      </c>
      <c r="BA1282" s="45">
        <f t="shared" ref="BA1282:BA1303" si="706">LOG10(J1282)</f>
        <v>1.7355988996981799</v>
      </c>
      <c r="BB1282" s="45">
        <f t="shared" ref="BB1282:BB1303" si="707">LOG10(L1282)</f>
        <v>0.63924542887837255</v>
      </c>
      <c r="BC1282" s="45" t="e">
        <f t="shared" ref="BC1282:BC1303" si="708">LOG10(U1282)</f>
        <v>#VALUE!</v>
      </c>
      <c r="BD1282" s="45">
        <f t="shared" ref="BD1282:BD1303" si="709">LOG10(AD1282)</f>
        <v>1.255272505103306</v>
      </c>
      <c r="BE1282" s="45" t="e">
        <f t="shared" ref="BE1282:BE1303" si="710">LOG10(AF1282)</f>
        <v>#VALUE!</v>
      </c>
      <c r="BF1282" s="45" t="e">
        <f t="shared" ref="BF1282:BF1303" si="711">LOG10(AM1282)</f>
        <v>#VALUE!</v>
      </c>
      <c r="BG1282" s="45" t="e">
        <f t="shared" ref="BG1282:BG1303" si="712">LOG10(AN1282)</f>
        <v>#VALUE!</v>
      </c>
      <c r="BH1282" s="45" t="e">
        <f t="shared" ref="BH1282:BH1305" si="713">LOG10(AB1282)</f>
        <v>#NUM!</v>
      </c>
      <c r="BI1282" s="43" t="e">
        <f t="shared" ref="BI1282:BI1303" si="714">LOG10(AF1282)</f>
        <v>#VALUE!</v>
      </c>
      <c r="BL1282" s="20"/>
      <c r="BM1282" s="50"/>
      <c r="BN1282" s="50"/>
      <c r="BO1282" s="50"/>
      <c r="BP1282" s="50"/>
      <c r="BQ1282" s="50"/>
      <c r="BR1282" s="50"/>
      <c r="BU1282" s="50"/>
      <c r="BV1282" s="50"/>
      <c r="BW1282" s="50"/>
      <c r="BX1282" s="50"/>
      <c r="BY1282" s="50"/>
      <c r="BZ1282" s="50"/>
      <c r="CA1282" s="50" t="s">
        <v>22</v>
      </c>
      <c r="CE1282" s="50"/>
      <c r="CF1282" s="50"/>
      <c r="CG1282" s="50"/>
      <c r="CH1282" s="50"/>
      <c r="CI1282" s="50" t="str">
        <f t="shared" si="690"/>
        <v>Not Reported/ Can not calculate</v>
      </c>
      <c r="CJ1282" s="50" t="e">
        <f t="shared" si="691"/>
        <v>#VALUE!</v>
      </c>
      <c r="CL1282" s="9" t="s">
        <v>1269</v>
      </c>
      <c r="CM1282" s="9" t="s">
        <v>1284</v>
      </c>
      <c r="CN1282" s="55" t="s">
        <v>1284</v>
      </c>
      <c r="CO1282" s="9" t="s">
        <v>1284</v>
      </c>
    </row>
    <row r="1283" spans="1:93" s="9" customFormat="1" x14ac:dyDescent="0.25">
      <c r="A1283" s="9" t="s">
        <v>141</v>
      </c>
      <c r="B1283" s="50">
        <v>0.11170731707317076</v>
      </c>
      <c r="C1283" s="50">
        <v>1.5524934383202</v>
      </c>
      <c r="D1283" s="50">
        <f>0.001*(B1283*10^6)/(C1283*0.001*100^3)</f>
        <v>7.1953487413150191E-2</v>
      </c>
      <c r="E1283" s="50" t="s">
        <v>22</v>
      </c>
      <c r="F1283" s="9" t="s">
        <v>22</v>
      </c>
      <c r="G1283" s="9" t="s">
        <v>22</v>
      </c>
      <c r="H1283" s="9" t="s">
        <v>22</v>
      </c>
      <c r="I1283" s="9" t="s">
        <v>22</v>
      </c>
      <c r="J1283" s="50">
        <v>2.6946564885496098</v>
      </c>
      <c r="K1283" s="9">
        <v>532</v>
      </c>
      <c r="L1283" s="50">
        <f t="shared" si="696"/>
        <v>0.2158489492773123</v>
      </c>
      <c r="M1283" s="9" t="s">
        <v>23</v>
      </c>
      <c r="N1283" s="50">
        <v>1185.20286396181</v>
      </c>
      <c r="O1283" s="50">
        <v>0.76645161290322505</v>
      </c>
      <c r="P1283" s="50">
        <v>85.886075949366997</v>
      </c>
      <c r="Q1283" s="50"/>
      <c r="R1283" s="50">
        <f>N1283*B1283</f>
        <v>132.39583212061197</v>
      </c>
      <c r="S1283" s="50">
        <f>O1283*D1283</f>
        <v>5.5148866481820866E-2</v>
      </c>
      <c r="T1283" s="50">
        <v>17.577197149643698</v>
      </c>
      <c r="U1283" s="50">
        <v>17.577197149643698</v>
      </c>
      <c r="V1283" s="9">
        <v>20210319</v>
      </c>
      <c r="W1283" s="21"/>
      <c r="X1283" s="21">
        <v>2021</v>
      </c>
      <c r="Y1283" s="21" t="s">
        <v>26</v>
      </c>
      <c r="Z1283" s="9" t="s">
        <v>32</v>
      </c>
      <c r="AB1283" s="50"/>
      <c r="AC1283" s="9" t="s">
        <v>514</v>
      </c>
      <c r="AD1283" s="50" t="s">
        <v>22</v>
      </c>
      <c r="AE1283" s="50" t="s">
        <v>22</v>
      </c>
      <c r="AF1283" s="50" t="s">
        <v>22</v>
      </c>
      <c r="AG1283" s="50" t="s">
        <v>22</v>
      </c>
      <c r="AH1283" s="50" t="s">
        <v>22</v>
      </c>
      <c r="AI1283" s="50" t="s">
        <v>22</v>
      </c>
      <c r="AJ1283" s="50" t="s">
        <v>22</v>
      </c>
      <c r="AK1283" s="50" t="s">
        <v>22</v>
      </c>
      <c r="AL1283" s="50" t="s">
        <v>22</v>
      </c>
      <c r="AM1283" s="43" t="e">
        <f t="shared" si="697"/>
        <v>#VALUE!</v>
      </c>
      <c r="AN1283" s="43" t="e">
        <f t="shared" si="698"/>
        <v>#VALUE!</v>
      </c>
      <c r="AO1283" s="21" t="s">
        <v>1211</v>
      </c>
      <c r="AT1283" s="2">
        <f t="shared" si="699"/>
        <v>6</v>
      </c>
      <c r="AU1283" s="45">
        <f t="shared" si="700"/>
        <v>-0.95191837871586615</v>
      </c>
      <c r="AV1283" s="45">
        <f t="shared" si="701"/>
        <v>0.1910297732883271</v>
      </c>
      <c r="AW1283" s="45">
        <f t="shared" si="702"/>
        <v>-1.1429481520041933</v>
      </c>
      <c r="AX1283" s="45">
        <f t="shared" si="703"/>
        <v>3.0737926922522489</v>
      </c>
      <c r="AY1283" s="45">
        <f t="shared" si="704"/>
        <v>-0.11551525752511717</v>
      </c>
      <c r="AZ1283" s="45">
        <f t="shared" si="705"/>
        <v>1.933922760705314</v>
      </c>
      <c r="BA1283" s="45">
        <f t="shared" si="706"/>
        <v>0.43050340973205692</v>
      </c>
      <c r="BB1283" s="45">
        <f t="shared" si="707"/>
        <v>-0.66585006108775036</v>
      </c>
      <c r="BC1283" s="45">
        <f t="shared" si="708"/>
        <v>1.2449496238953077</v>
      </c>
      <c r="BD1283" s="45" t="e">
        <f t="shared" si="709"/>
        <v>#VALUE!</v>
      </c>
      <c r="BE1283" s="45" t="e">
        <f t="shared" si="710"/>
        <v>#VALUE!</v>
      </c>
      <c r="BF1283" s="45" t="e">
        <f t="shared" si="711"/>
        <v>#VALUE!</v>
      </c>
      <c r="BG1283" s="45" t="e">
        <f t="shared" si="712"/>
        <v>#VALUE!</v>
      </c>
      <c r="BH1283" s="45" t="e">
        <f t="shared" si="713"/>
        <v>#NUM!</v>
      </c>
      <c r="BI1283" s="43" t="e">
        <f t="shared" si="714"/>
        <v>#VALUE!</v>
      </c>
      <c r="BL1283" s="20"/>
      <c r="BM1283" s="50"/>
      <c r="BN1283" s="50"/>
      <c r="BO1283" s="50"/>
      <c r="BP1283" s="50"/>
      <c r="BQ1283" s="50"/>
      <c r="BR1283" s="50"/>
      <c r="BU1283" s="50"/>
      <c r="BV1283" s="50"/>
      <c r="BW1283" s="50"/>
      <c r="BX1283" s="50"/>
      <c r="BY1283" s="50"/>
      <c r="BZ1283" s="50"/>
      <c r="CA1283" s="50" t="s">
        <v>22</v>
      </c>
      <c r="CE1283" s="50"/>
      <c r="CF1283" s="50"/>
      <c r="CG1283" s="50"/>
      <c r="CH1283" s="50"/>
      <c r="CI1283" s="50">
        <f t="shared" si="690"/>
        <v>17.577197149643698</v>
      </c>
      <c r="CJ1283" s="50">
        <f t="shared" si="691"/>
        <v>1.2449496238953077</v>
      </c>
      <c r="CL1283" s="9" t="s">
        <v>1269</v>
      </c>
      <c r="CM1283" s="9" t="s">
        <v>1285</v>
      </c>
      <c r="CN1283" s="55" t="s">
        <v>1284</v>
      </c>
      <c r="CO1283" s="9" t="s">
        <v>1284</v>
      </c>
    </row>
    <row r="1284" spans="1:93" s="9" customFormat="1" x14ac:dyDescent="0.25">
      <c r="A1284" s="9" t="s">
        <v>141</v>
      </c>
      <c r="B1284" s="50">
        <v>9.9999999999999978E-2</v>
      </c>
      <c r="C1284" s="50">
        <v>1.46325459317585</v>
      </c>
      <c r="D1284" s="50">
        <f>0.001*(B1284*10^6)/(C1284*0.001*100^3)</f>
        <v>6.834080717488801E-2</v>
      </c>
      <c r="E1284" s="50" t="s">
        <v>22</v>
      </c>
      <c r="F1284" s="9" t="s">
        <v>22</v>
      </c>
      <c r="G1284" s="9" t="s">
        <v>22</v>
      </c>
      <c r="H1284" s="9" t="s">
        <v>22</v>
      </c>
      <c r="I1284" s="9" t="s">
        <v>22</v>
      </c>
      <c r="J1284" s="50"/>
      <c r="K1284" s="9">
        <v>532</v>
      </c>
      <c r="L1284" s="50"/>
      <c r="M1284" s="9" t="s">
        <v>23</v>
      </c>
      <c r="N1284" s="50">
        <v>1032.4582338902101</v>
      </c>
      <c r="O1284" s="50">
        <v>0.70451612903225802</v>
      </c>
      <c r="P1284" s="50">
        <v>76.962025316455694</v>
      </c>
      <c r="Q1284" s="50"/>
      <c r="R1284" s="50">
        <f>N1284*B1284</f>
        <v>103.24582338902098</v>
      </c>
      <c r="S1284" s="50">
        <f>O1284*D1284</f>
        <v>4.8147200925792069E-2</v>
      </c>
      <c r="T1284" s="50">
        <v>22.850356294536802</v>
      </c>
      <c r="U1284" s="50">
        <v>22.850356294536802</v>
      </c>
      <c r="V1284" s="9">
        <v>20210319</v>
      </c>
      <c r="W1284" s="21"/>
      <c r="X1284" s="21">
        <v>2021</v>
      </c>
      <c r="Y1284" s="21" t="s">
        <v>26</v>
      </c>
      <c r="Z1284" s="9" t="s">
        <v>32</v>
      </c>
      <c r="AB1284" s="50"/>
      <c r="AC1284" s="9" t="s">
        <v>514</v>
      </c>
      <c r="AD1284" s="50" t="s">
        <v>22</v>
      </c>
      <c r="AE1284" s="50" t="s">
        <v>22</v>
      </c>
      <c r="AF1284" s="50" t="s">
        <v>22</v>
      </c>
      <c r="AG1284" s="50" t="s">
        <v>22</v>
      </c>
      <c r="AH1284" s="50" t="s">
        <v>22</v>
      </c>
      <c r="AI1284" s="50" t="s">
        <v>22</v>
      </c>
      <c r="AJ1284" s="50" t="s">
        <v>22</v>
      </c>
      <c r="AK1284" s="50" t="s">
        <v>22</v>
      </c>
      <c r="AL1284" s="50" t="s">
        <v>22</v>
      </c>
      <c r="AM1284" s="43" t="e">
        <f t="shared" si="697"/>
        <v>#VALUE!</v>
      </c>
      <c r="AN1284" s="43" t="e">
        <f t="shared" si="698"/>
        <v>#VALUE!</v>
      </c>
      <c r="AO1284" s="21" t="s">
        <v>1211</v>
      </c>
      <c r="AT1284" s="2">
        <f t="shared" si="699"/>
        <v>6</v>
      </c>
      <c r="AU1284" s="45">
        <f t="shared" si="700"/>
        <v>-1</v>
      </c>
      <c r="AV1284" s="45">
        <f t="shared" si="701"/>
        <v>0.16531989604457811</v>
      </c>
      <c r="AW1284" s="45">
        <f t="shared" si="702"/>
        <v>-1.1653198960445783</v>
      </c>
      <c r="AX1284" s="45">
        <f t="shared" si="703"/>
        <v>3.0138724921367754</v>
      </c>
      <c r="AY1284" s="45">
        <f t="shared" si="704"/>
        <v>-0.15210905980157308</v>
      </c>
      <c r="AZ1284" s="45">
        <f t="shared" si="705"/>
        <v>1.8862764879822935</v>
      </c>
      <c r="BA1284" s="45" t="e">
        <f t="shared" si="706"/>
        <v>#NUM!</v>
      </c>
      <c r="BB1284" s="45" t="e">
        <f t="shared" si="707"/>
        <v>#NUM!</v>
      </c>
      <c r="BC1284" s="45">
        <f t="shared" si="708"/>
        <v>1.3588929762021444</v>
      </c>
      <c r="BD1284" s="45" t="e">
        <f t="shared" si="709"/>
        <v>#VALUE!</v>
      </c>
      <c r="BE1284" s="45" t="e">
        <f t="shared" si="710"/>
        <v>#VALUE!</v>
      </c>
      <c r="BF1284" s="45" t="e">
        <f t="shared" si="711"/>
        <v>#VALUE!</v>
      </c>
      <c r="BG1284" s="45" t="e">
        <f t="shared" si="712"/>
        <v>#VALUE!</v>
      </c>
      <c r="BH1284" s="45" t="e">
        <f t="shared" si="713"/>
        <v>#NUM!</v>
      </c>
      <c r="BI1284" s="43" t="e">
        <f t="shared" si="714"/>
        <v>#VALUE!</v>
      </c>
      <c r="BL1284" s="20"/>
      <c r="BM1284" s="50"/>
      <c r="BN1284" s="50"/>
      <c r="BO1284" s="50"/>
      <c r="BP1284" s="50"/>
      <c r="BQ1284" s="50"/>
      <c r="BR1284" s="50"/>
      <c r="BU1284" s="50"/>
      <c r="BV1284" s="50"/>
      <c r="BW1284" s="50"/>
      <c r="BX1284" s="50"/>
      <c r="BY1284" s="50"/>
      <c r="BZ1284" s="50"/>
      <c r="CA1284" s="50" t="s">
        <v>22</v>
      </c>
      <c r="CE1284" s="50"/>
      <c r="CF1284" s="50"/>
      <c r="CG1284" s="50"/>
      <c r="CH1284" s="50"/>
      <c r="CI1284" s="50">
        <f t="shared" si="690"/>
        <v>22.850356294536802</v>
      </c>
      <c r="CJ1284" s="50">
        <f t="shared" si="691"/>
        <v>1.3588929762021444</v>
      </c>
      <c r="CL1284" s="9" t="s">
        <v>1269</v>
      </c>
      <c r="CM1284" s="9" t="s">
        <v>1285</v>
      </c>
      <c r="CN1284" s="55" t="s">
        <v>1284</v>
      </c>
      <c r="CO1284" s="9" t="s">
        <v>1284</v>
      </c>
    </row>
    <row r="1285" spans="1:93" s="9" customFormat="1" x14ac:dyDescent="0.25">
      <c r="A1285" s="9" t="s">
        <v>141</v>
      </c>
      <c r="B1285" s="50">
        <v>9.087301587301648E-2</v>
      </c>
      <c r="C1285" s="50">
        <v>1.3608923884514399</v>
      </c>
      <c r="D1285" s="50">
        <f>0.001*(B1285*10^6)/(C1285*0.001*100^3)</f>
        <v>6.6774578683933217E-2</v>
      </c>
      <c r="E1285" s="50" t="s">
        <v>22</v>
      </c>
      <c r="F1285" s="9" t="s">
        <v>22</v>
      </c>
      <c r="G1285" s="9" t="s">
        <v>22</v>
      </c>
      <c r="H1285" s="9" t="s">
        <v>22</v>
      </c>
      <c r="I1285" s="9" t="s">
        <v>22</v>
      </c>
      <c r="J1285" s="50">
        <v>3.0814249363867598</v>
      </c>
      <c r="K1285" s="9">
        <v>532</v>
      </c>
      <c r="L1285" s="50">
        <f>IF((10^-12)*J1285*K1285^4=0,"",(10^-12)*J1285*K1285^4)</f>
        <v>0.24683010158151586</v>
      </c>
      <c r="M1285" s="9" t="s">
        <v>23</v>
      </c>
      <c r="N1285" s="50">
        <v>872.076372315036</v>
      </c>
      <c r="O1285" s="50">
        <v>0.64516129032257996</v>
      </c>
      <c r="P1285" s="50">
        <v>67.278481012658204</v>
      </c>
      <c r="Q1285" s="50"/>
      <c r="R1285" s="50">
        <f>N1285*B1285</f>
        <v>79.248210023866889</v>
      </c>
      <c r="S1285" s="50">
        <f>O1285*D1285</f>
        <v>4.3080373344472997E-2</v>
      </c>
      <c r="T1285" s="50">
        <v>26.1282660332541</v>
      </c>
      <c r="U1285" s="50">
        <v>26.1282660332541</v>
      </c>
      <c r="V1285" s="9">
        <v>20210319</v>
      </c>
      <c r="W1285" s="21"/>
      <c r="X1285" s="21">
        <v>2021</v>
      </c>
      <c r="Y1285" s="21" t="s">
        <v>26</v>
      </c>
      <c r="Z1285" s="9" t="s">
        <v>32</v>
      </c>
      <c r="AB1285" s="50"/>
      <c r="AC1285" s="9" t="s">
        <v>514</v>
      </c>
      <c r="AD1285" s="50" t="s">
        <v>22</v>
      </c>
      <c r="AE1285" s="50" t="s">
        <v>22</v>
      </c>
      <c r="AF1285" s="50" t="s">
        <v>22</v>
      </c>
      <c r="AG1285" s="50" t="s">
        <v>22</v>
      </c>
      <c r="AH1285" s="50" t="s">
        <v>22</v>
      </c>
      <c r="AI1285" s="50" t="s">
        <v>22</v>
      </c>
      <c r="AJ1285" s="50" t="s">
        <v>22</v>
      </c>
      <c r="AK1285" s="50" t="s">
        <v>22</v>
      </c>
      <c r="AL1285" s="50" t="s">
        <v>22</v>
      </c>
      <c r="AM1285" s="43" t="e">
        <f t="shared" si="697"/>
        <v>#VALUE!</v>
      </c>
      <c r="AN1285" s="43" t="e">
        <f t="shared" si="698"/>
        <v>#VALUE!</v>
      </c>
      <c r="AO1285" s="21" t="s">
        <v>1211</v>
      </c>
      <c r="AT1285" s="2">
        <f t="shared" si="699"/>
        <v>6</v>
      </c>
      <c r="AU1285" s="45">
        <f t="shared" si="700"/>
        <v>-1.0415650584416531</v>
      </c>
      <c r="AV1285" s="45">
        <f t="shared" si="701"/>
        <v>0.13382378504943929</v>
      </c>
      <c r="AW1285" s="45">
        <f t="shared" si="702"/>
        <v>-1.1753888434910924</v>
      </c>
      <c r="AX1285" s="45">
        <f t="shared" si="703"/>
        <v>2.9405545200502239</v>
      </c>
      <c r="AY1285" s="45">
        <f t="shared" si="704"/>
        <v>-0.19033169817029194</v>
      </c>
      <c r="AZ1285" s="45">
        <f t="shared" si="705"/>
        <v>1.8278761775688739</v>
      </c>
      <c r="BA1285" s="45">
        <f t="shared" si="706"/>
        <v>0.48875159276762431</v>
      </c>
      <c r="BB1285" s="45">
        <f t="shared" si="707"/>
        <v>-0.60760187805218291</v>
      </c>
      <c r="BC1285" s="45">
        <f t="shared" si="708"/>
        <v>1.4171105893225557</v>
      </c>
      <c r="BD1285" s="45" t="e">
        <f t="shared" si="709"/>
        <v>#VALUE!</v>
      </c>
      <c r="BE1285" s="45" t="e">
        <f t="shared" si="710"/>
        <v>#VALUE!</v>
      </c>
      <c r="BF1285" s="45" t="e">
        <f t="shared" si="711"/>
        <v>#VALUE!</v>
      </c>
      <c r="BG1285" s="45" t="e">
        <f t="shared" si="712"/>
        <v>#VALUE!</v>
      </c>
      <c r="BH1285" s="45" t="e">
        <f t="shared" si="713"/>
        <v>#NUM!</v>
      </c>
      <c r="BI1285" s="43" t="e">
        <f t="shared" si="714"/>
        <v>#VALUE!</v>
      </c>
      <c r="BL1285" s="20"/>
      <c r="BM1285" s="50"/>
      <c r="BN1285" s="50"/>
      <c r="BO1285" s="50"/>
      <c r="BP1285" s="50"/>
      <c r="BQ1285" s="50"/>
      <c r="BR1285" s="50"/>
      <c r="BU1285" s="50"/>
      <c r="BV1285" s="50"/>
      <c r="BW1285" s="50"/>
      <c r="BX1285" s="50"/>
      <c r="BY1285" s="50"/>
      <c r="BZ1285" s="50"/>
      <c r="CA1285" s="50" t="s">
        <v>22</v>
      </c>
      <c r="CE1285" s="50"/>
      <c r="CF1285" s="50"/>
      <c r="CG1285" s="50"/>
      <c r="CH1285" s="50"/>
      <c r="CI1285" s="50">
        <f t="shared" si="690"/>
        <v>26.1282660332541</v>
      </c>
      <c r="CJ1285" s="50">
        <f t="shared" si="691"/>
        <v>1.4171105893225557</v>
      </c>
      <c r="CL1285" s="9" t="s">
        <v>1269</v>
      </c>
      <c r="CM1285" s="9" t="s">
        <v>1285</v>
      </c>
      <c r="CN1285" s="55" t="s">
        <v>1284</v>
      </c>
      <c r="CO1285" s="9" t="s">
        <v>1284</v>
      </c>
    </row>
    <row r="1286" spans="1:93" s="9" customFormat="1" x14ac:dyDescent="0.25">
      <c r="A1286" s="9" t="s">
        <v>141</v>
      </c>
      <c r="B1286" s="50">
        <v>8.3576642335766463E-2</v>
      </c>
      <c r="C1286" s="50">
        <v>1.2060367454068199</v>
      </c>
      <c r="D1286" s="50">
        <f>0.001*(B1286*10^6)/(C1286*0.001*100^3)</f>
        <v>6.929858700745839E-2</v>
      </c>
      <c r="E1286" s="50" t="s">
        <v>22</v>
      </c>
      <c r="F1286" s="9" t="s">
        <v>22</v>
      </c>
      <c r="G1286" s="9" t="s">
        <v>22</v>
      </c>
      <c r="H1286" s="9" t="s">
        <v>22</v>
      </c>
      <c r="I1286" s="9" t="s">
        <v>22</v>
      </c>
      <c r="J1286" s="50">
        <v>3.0508905852417301</v>
      </c>
      <c r="K1286" s="9">
        <v>532</v>
      </c>
      <c r="L1286" s="50">
        <f>IF((10^-12)*J1286*K1286^4=0,"",(10^-12)*J1286*K1286^4)</f>
        <v>0.24438422113644781</v>
      </c>
      <c r="M1286" s="9" t="s">
        <v>23</v>
      </c>
      <c r="N1286" s="50">
        <v>784.24821002386602</v>
      </c>
      <c r="O1286" s="50">
        <v>0.65548387096774197</v>
      </c>
      <c r="P1286" s="50">
        <v>68.037974683544306</v>
      </c>
      <c r="Q1286" s="50"/>
      <c r="R1286" s="50">
        <f>N1286*B1286</f>
        <v>65.544832151629706</v>
      </c>
      <c r="S1286" s="50">
        <f>O1286*D1286</f>
        <v>4.5424106064243693E-2</v>
      </c>
      <c r="T1286" s="50">
        <v>28.266033254156699</v>
      </c>
      <c r="U1286" s="50">
        <v>28.266033254156699</v>
      </c>
      <c r="V1286" s="9">
        <v>20210319</v>
      </c>
      <c r="W1286" s="21"/>
      <c r="X1286" s="21">
        <v>2021</v>
      </c>
      <c r="Y1286" s="21" t="s">
        <v>26</v>
      </c>
      <c r="Z1286" s="9" t="s">
        <v>32</v>
      </c>
      <c r="AB1286" s="50"/>
      <c r="AC1286" s="9" t="s">
        <v>514</v>
      </c>
      <c r="AD1286" s="50" t="s">
        <v>22</v>
      </c>
      <c r="AE1286" s="50" t="s">
        <v>22</v>
      </c>
      <c r="AF1286" s="50" t="s">
        <v>22</v>
      </c>
      <c r="AG1286" s="50" t="s">
        <v>22</v>
      </c>
      <c r="AH1286" s="50" t="s">
        <v>22</v>
      </c>
      <c r="AI1286" s="50" t="s">
        <v>22</v>
      </c>
      <c r="AJ1286" s="50" t="s">
        <v>22</v>
      </c>
      <c r="AK1286" s="50" t="s">
        <v>22</v>
      </c>
      <c r="AL1286" s="50" t="s">
        <v>22</v>
      </c>
      <c r="AM1286" s="43" t="e">
        <f t="shared" si="697"/>
        <v>#VALUE!</v>
      </c>
      <c r="AN1286" s="43" t="e">
        <f t="shared" si="698"/>
        <v>#VALUE!</v>
      </c>
      <c r="AO1286" s="21" t="s">
        <v>1211</v>
      </c>
      <c r="AT1286" s="2">
        <f t="shared" si="699"/>
        <v>6</v>
      </c>
      <c r="AU1286" s="45">
        <f t="shared" si="700"/>
        <v>-1.0779150804804998</v>
      </c>
      <c r="AV1286" s="45">
        <f t="shared" si="701"/>
        <v>8.136054004650925E-2</v>
      </c>
      <c r="AW1286" s="45">
        <f t="shared" si="702"/>
        <v>-1.1592756205270092</v>
      </c>
      <c r="AX1286" s="45">
        <f t="shared" si="703"/>
        <v>2.8944535361327475</v>
      </c>
      <c r="AY1286" s="45">
        <f t="shared" si="704"/>
        <v>-0.18343799022239102</v>
      </c>
      <c r="AZ1286" s="45">
        <f t="shared" si="705"/>
        <v>1.8327513772972015</v>
      </c>
      <c r="BA1286" s="45">
        <f t="shared" si="706"/>
        <v>0.48442663272342196</v>
      </c>
      <c r="BB1286" s="45">
        <f t="shared" si="707"/>
        <v>-0.61192683809638537</v>
      </c>
      <c r="BC1286" s="45">
        <f t="shared" si="708"/>
        <v>1.4512648655568614</v>
      </c>
      <c r="BD1286" s="45" t="e">
        <f t="shared" si="709"/>
        <v>#VALUE!</v>
      </c>
      <c r="BE1286" s="45" t="e">
        <f t="shared" si="710"/>
        <v>#VALUE!</v>
      </c>
      <c r="BF1286" s="45" t="e">
        <f t="shared" si="711"/>
        <v>#VALUE!</v>
      </c>
      <c r="BG1286" s="45" t="e">
        <f t="shared" si="712"/>
        <v>#VALUE!</v>
      </c>
      <c r="BH1286" s="45" t="e">
        <f t="shared" si="713"/>
        <v>#NUM!</v>
      </c>
      <c r="BI1286" s="43" t="e">
        <f t="shared" si="714"/>
        <v>#VALUE!</v>
      </c>
      <c r="BL1286" s="20"/>
      <c r="BM1286" s="50"/>
      <c r="BN1286" s="50"/>
      <c r="BO1286" s="50"/>
      <c r="BP1286" s="50"/>
      <c r="BQ1286" s="50"/>
      <c r="BR1286" s="50"/>
      <c r="BU1286" s="50"/>
      <c r="BV1286" s="50"/>
      <c r="BW1286" s="50"/>
      <c r="BX1286" s="50"/>
      <c r="BY1286" s="50"/>
      <c r="BZ1286" s="50"/>
      <c r="CA1286" s="50" t="s">
        <v>22</v>
      </c>
      <c r="CE1286" s="50"/>
      <c r="CF1286" s="50"/>
      <c r="CG1286" s="50"/>
      <c r="CH1286" s="50"/>
      <c r="CI1286" s="50">
        <f t="shared" si="690"/>
        <v>28.266033254156699</v>
      </c>
      <c r="CJ1286" s="50">
        <f t="shared" si="691"/>
        <v>1.4512648655568614</v>
      </c>
      <c r="CL1286" s="9" t="s">
        <v>1269</v>
      </c>
      <c r="CM1286" s="9" t="s">
        <v>1285</v>
      </c>
      <c r="CN1286" s="55" t="s">
        <v>1284</v>
      </c>
      <c r="CO1286" s="9" t="s">
        <v>1284</v>
      </c>
    </row>
    <row r="1287" spans="1:93" s="9" customFormat="1" x14ac:dyDescent="0.25">
      <c r="A1287" s="9" t="s">
        <v>141</v>
      </c>
      <c r="B1287" s="50">
        <v>7.1562500000000279E-2</v>
      </c>
      <c r="C1287" s="50">
        <v>1.17454068241469</v>
      </c>
      <c r="D1287" s="50">
        <f>0.001*(B1287*10^6)/(C1287*0.001*100^3)</f>
        <v>6.0928072625698985E-2</v>
      </c>
      <c r="E1287" s="50" t="s">
        <v>22</v>
      </c>
      <c r="F1287" s="9" t="s">
        <v>22</v>
      </c>
      <c r="G1287" s="9" t="s">
        <v>22</v>
      </c>
      <c r="H1287" s="9" t="s">
        <v>22</v>
      </c>
      <c r="I1287" s="9" t="s">
        <v>22</v>
      </c>
      <c r="J1287" s="50">
        <v>3.4173027989821798</v>
      </c>
      <c r="K1287" s="9">
        <v>532</v>
      </c>
      <c r="L1287" s="50">
        <f>IF((10^-12)*J1287*K1287^4=0,"",(10^-12)*J1287*K1287^4)</f>
        <v>0.27373478647727156</v>
      </c>
      <c r="M1287" s="9" t="s">
        <v>23</v>
      </c>
      <c r="N1287" s="50">
        <v>711.69451073985601</v>
      </c>
      <c r="O1287" s="50">
        <v>0.60645161290322502</v>
      </c>
      <c r="P1287" s="50">
        <v>53.037974683544299</v>
      </c>
      <c r="Q1287" s="50"/>
      <c r="R1287" s="50">
        <f>N1287*B1287</f>
        <v>50.930638424821147</v>
      </c>
      <c r="S1287" s="50">
        <f>O1287*D1287</f>
        <v>3.6949927914939985E-2</v>
      </c>
      <c r="T1287" s="50">
        <v>30.902612826603299</v>
      </c>
      <c r="U1287" s="50">
        <v>30.902612826603299</v>
      </c>
      <c r="V1287" s="9">
        <v>20210319</v>
      </c>
      <c r="W1287" s="21"/>
      <c r="X1287" s="21">
        <v>2021</v>
      </c>
      <c r="Y1287" s="21" t="s">
        <v>26</v>
      </c>
      <c r="Z1287" s="9" t="s">
        <v>32</v>
      </c>
      <c r="AB1287" s="50"/>
      <c r="AC1287" s="9" t="s">
        <v>514</v>
      </c>
      <c r="AD1287" s="50" t="s">
        <v>22</v>
      </c>
      <c r="AE1287" s="50" t="s">
        <v>22</v>
      </c>
      <c r="AF1287" s="50" t="s">
        <v>22</v>
      </c>
      <c r="AG1287" s="50" t="s">
        <v>22</v>
      </c>
      <c r="AH1287" s="50" t="s">
        <v>22</v>
      </c>
      <c r="AI1287" s="50" t="s">
        <v>22</v>
      </c>
      <c r="AJ1287" s="50" t="s">
        <v>22</v>
      </c>
      <c r="AK1287" s="50" t="s">
        <v>22</v>
      </c>
      <c r="AL1287" s="50" t="s">
        <v>22</v>
      </c>
      <c r="AM1287" s="43" t="e">
        <f t="shared" si="697"/>
        <v>#VALUE!</v>
      </c>
      <c r="AN1287" s="43" t="e">
        <f t="shared" si="698"/>
        <v>#VALUE!</v>
      </c>
      <c r="AO1287" s="21" t="s">
        <v>1211</v>
      </c>
      <c r="AT1287" s="2">
        <f t="shared" si="699"/>
        <v>6</v>
      </c>
      <c r="AU1287" s="45">
        <f t="shared" si="700"/>
        <v>-1.1453144959800163</v>
      </c>
      <c r="AV1287" s="45">
        <f t="shared" si="701"/>
        <v>6.9868063976308459E-2</v>
      </c>
      <c r="AW1287" s="45">
        <f t="shared" si="702"/>
        <v>-1.2151825599563248</v>
      </c>
      <c r="AX1287" s="45">
        <f t="shared" si="703"/>
        <v>2.8522936161506798</v>
      </c>
      <c r="AY1287" s="45">
        <f t="shared" si="704"/>
        <v>-0.21720384457059339</v>
      </c>
      <c r="AZ1287" s="45">
        <f t="shared" si="705"/>
        <v>1.7245869316758538</v>
      </c>
      <c r="BA1287" s="45">
        <f t="shared" si="706"/>
        <v>0.53368346229328756</v>
      </c>
      <c r="BB1287" s="45">
        <f t="shared" si="707"/>
        <v>-0.56267000852651972</v>
      </c>
      <c r="BC1287" s="45">
        <f t="shared" si="708"/>
        <v>1.4899952007259176</v>
      </c>
      <c r="BD1287" s="45" t="e">
        <f t="shared" si="709"/>
        <v>#VALUE!</v>
      </c>
      <c r="BE1287" s="45" t="e">
        <f t="shared" si="710"/>
        <v>#VALUE!</v>
      </c>
      <c r="BF1287" s="45" t="e">
        <f t="shared" si="711"/>
        <v>#VALUE!</v>
      </c>
      <c r="BG1287" s="45" t="e">
        <f t="shared" si="712"/>
        <v>#VALUE!</v>
      </c>
      <c r="BH1287" s="45" t="e">
        <f t="shared" si="713"/>
        <v>#NUM!</v>
      </c>
      <c r="BI1287" s="43" t="e">
        <f t="shared" si="714"/>
        <v>#VALUE!</v>
      </c>
      <c r="BL1287" s="20"/>
      <c r="BM1287" s="50"/>
      <c r="BN1287" s="50"/>
      <c r="BO1287" s="50"/>
      <c r="BP1287" s="50"/>
      <c r="BQ1287" s="50"/>
      <c r="BR1287" s="50"/>
      <c r="BU1287" s="50"/>
      <c r="BV1287" s="50"/>
      <c r="BW1287" s="50"/>
      <c r="BX1287" s="50"/>
      <c r="BY1287" s="50"/>
      <c r="BZ1287" s="50"/>
      <c r="CA1287" s="50" t="s">
        <v>22</v>
      </c>
      <c r="CE1287" s="50"/>
      <c r="CF1287" s="50"/>
      <c r="CG1287" s="50"/>
      <c r="CH1287" s="50"/>
      <c r="CI1287" s="50">
        <f t="shared" si="690"/>
        <v>30.902612826603299</v>
      </c>
      <c r="CJ1287" s="50">
        <f t="shared" si="691"/>
        <v>1.4899952007259176</v>
      </c>
      <c r="CL1287" s="9" t="s">
        <v>1269</v>
      </c>
      <c r="CM1287" s="9" t="s">
        <v>1285</v>
      </c>
      <c r="CN1287" s="55" t="s">
        <v>1284</v>
      </c>
      <c r="CO1287" s="9" t="s">
        <v>1284</v>
      </c>
    </row>
    <row r="1288" spans="1:93" x14ac:dyDescent="0.25">
      <c r="A1288" s="2" t="s">
        <v>352</v>
      </c>
      <c r="B1288" s="41" t="s">
        <v>22</v>
      </c>
      <c r="C1288" s="41" t="s">
        <v>22</v>
      </c>
      <c r="D1288" s="41" t="s">
        <v>22</v>
      </c>
      <c r="E1288" s="41" t="s">
        <v>22</v>
      </c>
      <c r="F1288" s="18" t="s">
        <v>22</v>
      </c>
      <c r="G1288" s="18" t="s">
        <v>22</v>
      </c>
      <c r="H1288" s="18" t="s">
        <v>22</v>
      </c>
      <c r="I1288" s="18" t="s">
        <v>22</v>
      </c>
      <c r="J1288" s="41" t="s">
        <v>22</v>
      </c>
      <c r="K1288" s="18" t="s">
        <v>22</v>
      </c>
      <c r="M1288" t="s">
        <v>23</v>
      </c>
      <c r="N1288" s="41">
        <v>8400</v>
      </c>
      <c r="O1288" s="41" t="s">
        <v>22</v>
      </c>
      <c r="P1288" s="41">
        <v>197</v>
      </c>
      <c r="R1288" s="41" t="s">
        <v>22</v>
      </c>
      <c r="S1288" s="41" t="s">
        <v>22</v>
      </c>
      <c r="T1288" s="41" t="s">
        <v>1212</v>
      </c>
      <c r="U1288" s="41">
        <v>31.5</v>
      </c>
      <c r="V1288" s="18">
        <v>20210319</v>
      </c>
      <c r="X1288" s="21">
        <v>2021</v>
      </c>
      <c r="Y1288" s="6" t="s">
        <v>26</v>
      </c>
      <c r="Z1288" s="1" t="s">
        <v>32</v>
      </c>
      <c r="AC1288" s="18" t="s">
        <v>514</v>
      </c>
      <c r="AD1288" s="41" t="s">
        <v>22</v>
      </c>
      <c r="AE1288" s="41" t="s">
        <v>22</v>
      </c>
      <c r="AF1288" s="41" t="s">
        <v>22</v>
      </c>
      <c r="AG1288" s="41" t="s">
        <v>22</v>
      </c>
      <c r="AH1288" s="41" t="s">
        <v>22</v>
      </c>
      <c r="AI1288" s="41" t="s">
        <v>22</v>
      </c>
      <c r="AJ1288" s="41" t="s">
        <v>22</v>
      </c>
      <c r="AK1288" s="41" t="s">
        <v>22</v>
      </c>
      <c r="AL1288" s="41" t="s">
        <v>22</v>
      </c>
      <c r="AM1288" s="43" t="e">
        <f t="shared" si="697"/>
        <v>#VALUE!</v>
      </c>
      <c r="AN1288" s="43" t="e">
        <f t="shared" si="698"/>
        <v>#VALUE!</v>
      </c>
      <c r="AO1288" s="6" t="s">
        <v>1211</v>
      </c>
      <c r="AT1288" s="2">
        <f t="shared" si="699"/>
        <v>6</v>
      </c>
      <c r="AU1288" s="45" t="e">
        <f t="shared" si="700"/>
        <v>#VALUE!</v>
      </c>
      <c r="AV1288" s="45" t="e">
        <f t="shared" si="701"/>
        <v>#VALUE!</v>
      </c>
      <c r="AW1288" s="45" t="e">
        <f t="shared" si="702"/>
        <v>#VALUE!</v>
      </c>
      <c r="AX1288" s="45">
        <f t="shared" si="703"/>
        <v>3.9242792860618816</v>
      </c>
      <c r="AY1288" s="45" t="e">
        <f t="shared" si="704"/>
        <v>#VALUE!</v>
      </c>
      <c r="AZ1288" s="45">
        <f t="shared" si="705"/>
        <v>2.2944662261615929</v>
      </c>
      <c r="BA1288" s="45" t="e">
        <f t="shared" si="706"/>
        <v>#VALUE!</v>
      </c>
      <c r="BB1288" s="45" t="e">
        <f t="shared" si="707"/>
        <v>#NUM!</v>
      </c>
      <c r="BC1288" s="45">
        <f t="shared" si="708"/>
        <v>1.4983105537896004</v>
      </c>
      <c r="BD1288" s="45" t="e">
        <f t="shared" si="709"/>
        <v>#VALUE!</v>
      </c>
      <c r="BE1288" s="45" t="e">
        <f t="shared" si="710"/>
        <v>#VALUE!</v>
      </c>
      <c r="BF1288" s="45" t="e">
        <f t="shared" si="711"/>
        <v>#VALUE!</v>
      </c>
      <c r="BG1288" s="45" t="e">
        <f t="shared" si="712"/>
        <v>#VALUE!</v>
      </c>
      <c r="BH1288" s="45" t="e">
        <f t="shared" si="713"/>
        <v>#NUM!</v>
      </c>
      <c r="BI1288" s="43" t="e">
        <f t="shared" si="714"/>
        <v>#VALUE!</v>
      </c>
      <c r="CA1288" s="41" t="s">
        <v>22</v>
      </c>
      <c r="CI1288" s="41">
        <f t="shared" si="690"/>
        <v>31.5</v>
      </c>
      <c r="CJ1288" s="41">
        <f t="shared" si="691"/>
        <v>1.4983105537896004</v>
      </c>
      <c r="CL1288" s="9" t="s">
        <v>1269</v>
      </c>
      <c r="CM1288" s="18" t="s">
        <v>1285</v>
      </c>
      <c r="CN1288" s="54" t="s">
        <v>1284</v>
      </c>
      <c r="CO1288" s="18" t="s">
        <v>1284</v>
      </c>
    </row>
    <row r="1289" spans="1:93" x14ac:dyDescent="0.25">
      <c r="A1289" s="18" t="s">
        <v>266</v>
      </c>
      <c r="B1289" s="41" t="s">
        <v>22</v>
      </c>
      <c r="C1289" s="41">
        <f>(10^-3)*N1289/O1289</f>
        <v>1.129032258064516</v>
      </c>
      <c r="D1289" s="41" t="s">
        <v>22</v>
      </c>
      <c r="E1289" s="41" t="s">
        <v>22</v>
      </c>
      <c r="F1289" s="18">
        <v>2.5</v>
      </c>
      <c r="G1289" s="1" t="s">
        <v>52</v>
      </c>
      <c r="H1289" s="18" t="s">
        <v>22</v>
      </c>
      <c r="I1289" s="18" t="s">
        <v>22</v>
      </c>
      <c r="J1289" s="41">
        <v>5.36</v>
      </c>
      <c r="K1289" s="18">
        <v>633</v>
      </c>
      <c r="L1289" s="41">
        <f>IF((10^-12)*J1289*K1289^4=0,"",(10^-12)*J1289*K1289^4)</f>
        <v>0.86055697650456009</v>
      </c>
      <c r="M1289" t="s">
        <v>23</v>
      </c>
      <c r="N1289" s="41">
        <v>3500</v>
      </c>
      <c r="O1289" s="41">
        <v>3.1</v>
      </c>
      <c r="P1289" s="41" t="s">
        <v>22</v>
      </c>
      <c r="R1289" s="41" t="s">
        <v>22</v>
      </c>
      <c r="S1289" s="41" t="s">
        <v>22</v>
      </c>
      <c r="T1289" s="41" t="s">
        <v>22</v>
      </c>
      <c r="U1289" s="41" t="s">
        <v>22</v>
      </c>
      <c r="V1289" s="18">
        <v>20210319</v>
      </c>
      <c r="X1289" s="21">
        <v>2021</v>
      </c>
      <c r="Y1289" s="1" t="s">
        <v>76</v>
      </c>
      <c r="Z1289" s="1" t="s">
        <v>32</v>
      </c>
      <c r="AC1289" s="18" t="s">
        <v>514</v>
      </c>
      <c r="AD1289" s="41">
        <v>30</v>
      </c>
      <c r="AE1289" s="41">
        <v>1577</v>
      </c>
      <c r="AF1289" s="41" t="s">
        <v>22</v>
      </c>
      <c r="AG1289" s="41" t="s">
        <v>22</v>
      </c>
      <c r="AH1289" s="41" t="s">
        <v>22</v>
      </c>
      <c r="AI1289" s="41" t="s">
        <v>22</v>
      </c>
      <c r="AJ1289" s="41" t="s">
        <v>22</v>
      </c>
      <c r="AK1289" s="41" t="s">
        <v>22</v>
      </c>
      <c r="AL1289" s="41" t="s">
        <v>22</v>
      </c>
      <c r="AM1289" s="43" t="e">
        <f t="shared" si="697"/>
        <v>#VALUE!</v>
      </c>
      <c r="AN1289" s="43" t="e">
        <f t="shared" si="698"/>
        <v>#VALUE!</v>
      </c>
      <c r="AO1289" s="6" t="s">
        <v>1203</v>
      </c>
      <c r="AT1289" s="2">
        <f t="shared" si="699"/>
        <v>1</v>
      </c>
      <c r="AU1289" s="45" t="e">
        <f t="shared" si="700"/>
        <v>#VALUE!</v>
      </c>
      <c r="AV1289" s="45">
        <f t="shared" si="701"/>
        <v>5.2706350516002913E-2</v>
      </c>
      <c r="AW1289" s="45" t="e">
        <f t="shared" si="702"/>
        <v>#VALUE!</v>
      </c>
      <c r="AX1289" s="45">
        <f t="shared" si="703"/>
        <v>3.5440680443502757</v>
      </c>
      <c r="AY1289" s="45">
        <f t="shared" si="704"/>
        <v>0.49136169383427269</v>
      </c>
      <c r="AZ1289" s="45" t="e">
        <f t="shared" si="705"/>
        <v>#VALUE!</v>
      </c>
      <c r="BA1289" s="45">
        <f t="shared" si="706"/>
        <v>0.7291647896927701</v>
      </c>
      <c r="BB1289" s="45">
        <f t="shared" si="707"/>
        <v>-6.5220370237809522E-2</v>
      </c>
      <c r="BC1289" s="45" t="e">
        <f t="shared" si="708"/>
        <v>#VALUE!</v>
      </c>
      <c r="BD1289" s="45">
        <f t="shared" si="709"/>
        <v>1.4771212547196624</v>
      </c>
      <c r="BE1289" s="45" t="e">
        <f t="shared" si="710"/>
        <v>#VALUE!</v>
      </c>
      <c r="BF1289" s="45" t="e">
        <f t="shared" si="711"/>
        <v>#VALUE!</v>
      </c>
      <c r="BG1289" s="45" t="e">
        <f t="shared" si="712"/>
        <v>#VALUE!</v>
      </c>
      <c r="BH1289" s="45" t="e">
        <f t="shared" si="713"/>
        <v>#NUM!</v>
      </c>
      <c r="BI1289" s="43" t="e">
        <f t="shared" si="714"/>
        <v>#VALUE!</v>
      </c>
      <c r="CA1289" s="41" t="s">
        <v>22</v>
      </c>
      <c r="CI1289" s="41" t="str">
        <f t="shared" si="690"/>
        <v>Not Reported/ Can not calculate</v>
      </c>
      <c r="CJ1289" s="41" t="e">
        <f t="shared" si="691"/>
        <v>#VALUE!</v>
      </c>
      <c r="CL1289" s="9" t="s">
        <v>1269</v>
      </c>
      <c r="CM1289" s="18" t="s">
        <v>1284</v>
      </c>
      <c r="CN1289" s="54" t="s">
        <v>1284</v>
      </c>
      <c r="CO1289" s="18" t="s">
        <v>1284</v>
      </c>
    </row>
    <row r="1290" spans="1:93" s="9" customFormat="1" x14ac:dyDescent="0.25">
      <c r="A1290" s="9" t="s">
        <v>266</v>
      </c>
      <c r="B1290" s="50">
        <v>2.1999999999999999E-2</v>
      </c>
      <c r="C1290" s="50">
        <f>(0.01^3)*(B1290*10^6)/(D1290)</f>
        <v>0.3235294117647059</v>
      </c>
      <c r="D1290" s="50">
        <f>680*0.01*0.01</f>
        <v>6.8000000000000005E-2</v>
      </c>
      <c r="E1290" s="50" t="s">
        <v>22</v>
      </c>
      <c r="F1290" s="9" t="s">
        <v>22</v>
      </c>
      <c r="G1290" s="9" t="s">
        <v>22</v>
      </c>
      <c r="H1290" s="9" t="s">
        <v>22</v>
      </c>
      <c r="I1290" s="9" t="s">
        <v>22</v>
      </c>
      <c r="J1290" s="50">
        <v>1.4</v>
      </c>
      <c r="K1290" s="9">
        <v>488</v>
      </c>
      <c r="L1290" s="50">
        <f>IF((10^-12)*J1290*K1290^4=0,"",(10^-12)*J1290*K1290^4)</f>
        <v>7.93975906304E-2</v>
      </c>
      <c r="M1290" s="9" t="s">
        <v>23</v>
      </c>
      <c r="N1290" s="50">
        <v>76.629213483146003</v>
      </c>
      <c r="O1290" s="50">
        <v>0.45260663507109</v>
      </c>
      <c r="P1290" s="50">
        <v>6.2499999999999902</v>
      </c>
      <c r="Q1290" s="50"/>
      <c r="R1290" s="50">
        <f>N1290*B1290</f>
        <v>1.6858426966292119</v>
      </c>
      <c r="S1290" s="50">
        <f>O1290*D1290</f>
        <v>3.0777251184834122E-2</v>
      </c>
      <c r="T1290" s="50">
        <v>5.44</v>
      </c>
      <c r="U1290" s="50">
        <v>5.44</v>
      </c>
      <c r="V1290" s="9">
        <v>20210320</v>
      </c>
      <c r="W1290" s="21" t="s">
        <v>1245</v>
      </c>
      <c r="X1290" s="21">
        <v>2021</v>
      </c>
      <c r="Y1290" s="9" t="s">
        <v>26</v>
      </c>
      <c r="Z1290" s="9" t="s">
        <v>32</v>
      </c>
      <c r="AB1290" s="50"/>
      <c r="AC1290" s="9" t="s">
        <v>514</v>
      </c>
      <c r="AD1290" s="50" t="s">
        <v>22</v>
      </c>
      <c r="AE1290" s="50">
        <v>1590</v>
      </c>
      <c r="AF1290" s="50" t="s">
        <v>22</v>
      </c>
      <c r="AG1290" s="50" t="s">
        <v>22</v>
      </c>
      <c r="AH1290" s="50" t="s">
        <v>22</v>
      </c>
      <c r="AI1290" s="50" t="s">
        <v>22</v>
      </c>
      <c r="AJ1290" s="50" t="s">
        <v>22</v>
      </c>
      <c r="AK1290" s="50" t="s">
        <v>22</v>
      </c>
      <c r="AL1290" s="50" t="s">
        <v>22</v>
      </c>
      <c r="AM1290" s="43" t="e">
        <f t="shared" si="697"/>
        <v>#VALUE!</v>
      </c>
      <c r="AN1290" s="43" t="e">
        <f t="shared" si="698"/>
        <v>#VALUE!</v>
      </c>
      <c r="AO1290" s="21" t="s">
        <v>1246</v>
      </c>
      <c r="AT1290" s="2">
        <f t="shared" si="699"/>
        <v>3</v>
      </c>
      <c r="AU1290" s="45">
        <f t="shared" si="700"/>
        <v>-1.6575773191777938</v>
      </c>
      <c r="AV1290" s="45">
        <f t="shared" si="701"/>
        <v>-0.49008623188403005</v>
      </c>
      <c r="AW1290" s="45">
        <f t="shared" si="702"/>
        <v>-1.1674910872937636</v>
      </c>
      <c r="AX1290" s="45">
        <f t="shared" si="703"/>
        <v>1.8843943680115658</v>
      </c>
      <c r="AY1290" s="45">
        <f t="shared" si="704"/>
        <v>-0.34427908371394639</v>
      </c>
      <c r="AZ1290" s="45">
        <f t="shared" si="705"/>
        <v>0.79588001734407454</v>
      </c>
      <c r="BA1290" s="45">
        <f t="shared" si="706"/>
        <v>0.14612803567823801</v>
      </c>
      <c r="BB1290" s="45">
        <f t="shared" si="707"/>
        <v>-1.1001926763109195</v>
      </c>
      <c r="BC1290" s="45">
        <f t="shared" si="708"/>
        <v>0.73559889969817993</v>
      </c>
      <c r="BD1290" s="45" t="e">
        <f t="shared" si="709"/>
        <v>#VALUE!</v>
      </c>
      <c r="BE1290" s="45" t="e">
        <f t="shared" si="710"/>
        <v>#VALUE!</v>
      </c>
      <c r="BF1290" s="45" t="e">
        <f t="shared" si="711"/>
        <v>#VALUE!</v>
      </c>
      <c r="BG1290" s="45" t="e">
        <f t="shared" si="712"/>
        <v>#VALUE!</v>
      </c>
      <c r="BH1290" s="45" t="e">
        <f t="shared" si="713"/>
        <v>#NUM!</v>
      </c>
      <c r="BI1290" s="43" t="e">
        <f t="shared" si="714"/>
        <v>#VALUE!</v>
      </c>
      <c r="BL1290" s="20"/>
      <c r="BM1290" s="50"/>
      <c r="BN1290" s="50"/>
      <c r="BO1290" s="50"/>
      <c r="BP1290" s="50"/>
      <c r="BQ1290" s="50"/>
      <c r="BR1290" s="50"/>
      <c r="BU1290" s="50"/>
      <c r="BV1290" s="50"/>
      <c r="BW1290" s="50"/>
      <c r="BX1290" s="50"/>
      <c r="BY1290" s="50"/>
      <c r="BZ1290" s="50"/>
      <c r="CA1290" s="50" t="s">
        <v>22</v>
      </c>
      <c r="CE1290" s="50"/>
      <c r="CF1290" s="50"/>
      <c r="CG1290" s="50"/>
      <c r="CH1290" s="50"/>
      <c r="CI1290" s="50">
        <f t="shared" si="690"/>
        <v>5.44</v>
      </c>
      <c r="CJ1290" s="50">
        <f t="shared" si="691"/>
        <v>0.73559889969817993</v>
      </c>
      <c r="CL1290" s="9" t="s">
        <v>1269</v>
      </c>
      <c r="CM1290" s="9" t="s">
        <v>1285</v>
      </c>
      <c r="CN1290" s="55" t="s">
        <v>1284</v>
      </c>
      <c r="CO1290" s="9" t="s">
        <v>1284</v>
      </c>
    </row>
    <row r="1291" spans="1:93" s="9" customFormat="1" x14ac:dyDescent="0.25">
      <c r="A1291" s="9" t="s">
        <v>266</v>
      </c>
      <c r="B1291" s="50">
        <f>140*100*10^-6</f>
        <v>1.3999999999999999E-2</v>
      </c>
      <c r="C1291" s="50">
        <f>(0.01^3)*(B1291*10^6)/(D1291)</f>
        <v>0.22950819672131145</v>
      </c>
      <c r="D1291" s="50">
        <f>610*0.01*0.01</f>
        <v>6.1000000000000006E-2</v>
      </c>
      <c r="E1291" s="50" t="s">
        <v>22</v>
      </c>
      <c r="F1291" s="9" t="s">
        <v>22</v>
      </c>
      <c r="G1291" s="9" t="s">
        <v>22</v>
      </c>
      <c r="H1291" s="9" t="s">
        <v>22</v>
      </c>
      <c r="I1291" s="9" t="s">
        <v>22</v>
      </c>
      <c r="J1291" s="50">
        <v>1.4</v>
      </c>
      <c r="K1291" s="9">
        <v>488</v>
      </c>
      <c r="L1291" s="50">
        <f>IF((10^-12)*J1291*K1291^4=0,"",(10^-12)*J1291*K1291^4)</f>
        <v>7.93975906304E-2</v>
      </c>
      <c r="M1291" s="9" t="s">
        <v>23</v>
      </c>
      <c r="N1291" s="50">
        <v>58.651685393258397</v>
      </c>
      <c r="O1291" s="50">
        <v>0.390047393364928</v>
      </c>
      <c r="P1291" s="50">
        <v>4.7727272727272698</v>
      </c>
      <c r="Q1291" s="50"/>
      <c r="R1291" s="50">
        <f>N1291*B1291</f>
        <v>0.82112359550561742</v>
      </c>
      <c r="S1291" s="50">
        <f>O1291*D1291</f>
        <v>2.3792890995260611E-2</v>
      </c>
      <c r="T1291" s="50">
        <v>6.65</v>
      </c>
      <c r="U1291" s="50">
        <v>6.65</v>
      </c>
      <c r="V1291" s="9">
        <v>20210320</v>
      </c>
      <c r="W1291" s="21" t="s">
        <v>1243</v>
      </c>
      <c r="X1291" s="21">
        <v>2021</v>
      </c>
      <c r="Y1291" s="9" t="s">
        <v>26</v>
      </c>
      <c r="Z1291" s="9" t="s">
        <v>32</v>
      </c>
      <c r="AB1291" s="50"/>
      <c r="AC1291" s="9" t="s">
        <v>514</v>
      </c>
      <c r="AD1291" s="50" t="s">
        <v>22</v>
      </c>
      <c r="AE1291" s="50">
        <v>1590</v>
      </c>
      <c r="AF1291" s="50" t="s">
        <v>22</v>
      </c>
      <c r="AG1291" s="50" t="s">
        <v>22</v>
      </c>
      <c r="AH1291" s="50" t="s">
        <v>22</v>
      </c>
      <c r="AI1291" s="50" t="s">
        <v>22</v>
      </c>
      <c r="AJ1291" s="50" t="s">
        <v>22</v>
      </c>
      <c r="AK1291" s="50" t="s">
        <v>22</v>
      </c>
      <c r="AL1291" s="50" t="s">
        <v>22</v>
      </c>
      <c r="AM1291" s="43" t="e">
        <f t="shared" si="697"/>
        <v>#VALUE!</v>
      </c>
      <c r="AN1291" s="43" t="e">
        <f t="shared" si="698"/>
        <v>#VALUE!</v>
      </c>
      <c r="AO1291" s="21" t="s">
        <v>1246</v>
      </c>
      <c r="AT1291" s="2">
        <f t="shared" si="699"/>
        <v>3</v>
      </c>
      <c r="AU1291" s="45">
        <f t="shared" si="700"/>
        <v>-1.853871964321762</v>
      </c>
      <c r="AV1291" s="45">
        <f t="shared" si="701"/>
        <v>-0.63920179933252907</v>
      </c>
      <c r="AW1291" s="45">
        <f t="shared" si="702"/>
        <v>-1.2146701649892329</v>
      </c>
      <c r="AX1291" s="45">
        <f t="shared" si="703"/>
        <v>1.7682804963573491</v>
      </c>
      <c r="AY1291" s="45">
        <f t="shared" si="704"/>
        <v>-0.40888262008542386</v>
      </c>
      <c r="AZ1291" s="45">
        <f t="shared" si="705"/>
        <v>0.67876661824773155</v>
      </c>
      <c r="BA1291" s="45">
        <f t="shared" si="706"/>
        <v>0.14612803567823801</v>
      </c>
      <c r="BB1291" s="45">
        <f t="shared" si="707"/>
        <v>-1.1001926763109195</v>
      </c>
      <c r="BC1291" s="45">
        <f t="shared" si="708"/>
        <v>0.82282164530310464</v>
      </c>
      <c r="BD1291" s="45" t="e">
        <f t="shared" si="709"/>
        <v>#VALUE!</v>
      </c>
      <c r="BE1291" s="45" t="e">
        <f t="shared" si="710"/>
        <v>#VALUE!</v>
      </c>
      <c r="BF1291" s="45" t="e">
        <f t="shared" si="711"/>
        <v>#VALUE!</v>
      </c>
      <c r="BG1291" s="45" t="e">
        <f t="shared" si="712"/>
        <v>#VALUE!</v>
      </c>
      <c r="BH1291" s="45" t="e">
        <f t="shared" si="713"/>
        <v>#NUM!</v>
      </c>
      <c r="BI1291" s="43" t="e">
        <f t="shared" si="714"/>
        <v>#VALUE!</v>
      </c>
      <c r="BL1291" s="20"/>
      <c r="BM1291" s="50"/>
      <c r="BN1291" s="50"/>
      <c r="BO1291" s="50"/>
      <c r="BP1291" s="50"/>
      <c r="BQ1291" s="50"/>
      <c r="BR1291" s="50"/>
      <c r="BU1291" s="50"/>
      <c r="BV1291" s="50"/>
      <c r="BW1291" s="50"/>
      <c r="BX1291" s="50"/>
      <c r="BY1291" s="50"/>
      <c r="BZ1291" s="50"/>
      <c r="CA1291" s="50" t="s">
        <v>22</v>
      </c>
      <c r="CE1291" s="50"/>
      <c r="CF1291" s="50"/>
      <c r="CG1291" s="50"/>
      <c r="CH1291" s="50"/>
      <c r="CI1291" s="50">
        <f t="shared" si="690"/>
        <v>6.65</v>
      </c>
      <c r="CJ1291" s="50">
        <f t="shared" si="691"/>
        <v>0.82282164530310464</v>
      </c>
      <c r="CL1291" s="9" t="s">
        <v>1269</v>
      </c>
      <c r="CM1291" s="9" t="s">
        <v>1285</v>
      </c>
      <c r="CN1291" s="55" t="s">
        <v>1284</v>
      </c>
      <c r="CO1291" s="9" t="s">
        <v>1284</v>
      </c>
    </row>
    <row r="1292" spans="1:93" s="9" customFormat="1" x14ac:dyDescent="0.25">
      <c r="A1292" s="9" t="s">
        <v>266</v>
      </c>
      <c r="B1292" s="50">
        <f>350*100*10^-6</f>
        <v>3.4999999999999996E-2</v>
      </c>
      <c r="C1292" s="50">
        <f>(0.01^3)*(B1292*10^6)/(D1292)</f>
        <v>0.21875000000000003</v>
      </c>
      <c r="D1292" s="50">
        <f>1600*0.01*0.01</f>
        <v>0.16</v>
      </c>
      <c r="E1292" s="50" t="s">
        <v>22</v>
      </c>
      <c r="F1292" s="9" t="s">
        <v>22</v>
      </c>
      <c r="G1292" s="9" t="s">
        <v>22</v>
      </c>
      <c r="H1292" s="9" t="s">
        <v>22</v>
      </c>
      <c r="I1292" s="9" t="s">
        <v>22</v>
      </c>
      <c r="J1292" s="50">
        <v>10</v>
      </c>
      <c r="K1292" s="9">
        <v>488</v>
      </c>
      <c r="L1292" s="50">
        <f>IF((10^-12)*J1292*K1292^4=0,"",(10^-12)*J1292*K1292^4)</f>
        <v>0.56712564735999993</v>
      </c>
      <c r="M1292" s="9" t="s">
        <v>23</v>
      </c>
      <c r="N1292" s="50" t="s">
        <v>22</v>
      </c>
      <c r="O1292" s="50" t="s">
        <v>22</v>
      </c>
      <c r="P1292" s="50" t="s">
        <v>22</v>
      </c>
      <c r="Q1292" s="50"/>
      <c r="R1292" s="50" t="s">
        <v>22</v>
      </c>
      <c r="S1292" s="50" t="s">
        <v>22</v>
      </c>
      <c r="T1292" s="50" t="s">
        <v>22</v>
      </c>
      <c r="U1292" s="50" t="s">
        <v>22</v>
      </c>
      <c r="V1292" s="9">
        <v>20210320</v>
      </c>
      <c r="W1292" s="21" t="s">
        <v>1244</v>
      </c>
      <c r="X1292" s="21">
        <v>2021</v>
      </c>
      <c r="Y1292" s="9" t="s">
        <v>26</v>
      </c>
      <c r="Z1292" s="21" t="s">
        <v>34</v>
      </c>
      <c r="AB1292" s="50"/>
      <c r="AC1292" s="9" t="s">
        <v>514</v>
      </c>
      <c r="AD1292" s="50" t="s">
        <v>22</v>
      </c>
      <c r="AE1292" s="50">
        <v>1590</v>
      </c>
      <c r="AF1292" s="50" t="s">
        <v>22</v>
      </c>
      <c r="AG1292" s="50" t="s">
        <v>22</v>
      </c>
      <c r="AH1292" s="50" t="s">
        <v>22</v>
      </c>
      <c r="AI1292" s="50" t="s">
        <v>22</v>
      </c>
      <c r="AJ1292" s="50" t="s">
        <v>22</v>
      </c>
      <c r="AK1292" s="50" t="s">
        <v>22</v>
      </c>
      <c r="AL1292" s="50" t="s">
        <v>22</v>
      </c>
      <c r="AM1292" s="43" t="e">
        <f t="shared" si="697"/>
        <v>#VALUE!</v>
      </c>
      <c r="AN1292" s="43" t="e">
        <f t="shared" si="698"/>
        <v>#VALUE!</v>
      </c>
      <c r="AO1292" s="21" t="s">
        <v>1246</v>
      </c>
      <c r="AT1292" s="2">
        <f t="shared" si="699"/>
        <v>3</v>
      </c>
      <c r="AU1292" s="45">
        <f t="shared" si="700"/>
        <v>-1.4559319556497243</v>
      </c>
      <c r="AV1292" s="45">
        <f t="shared" si="701"/>
        <v>-0.66005193830564912</v>
      </c>
      <c r="AW1292" s="45">
        <f t="shared" si="702"/>
        <v>-0.79588001734407521</v>
      </c>
      <c r="AX1292" s="45" t="e">
        <f t="shared" si="703"/>
        <v>#VALUE!</v>
      </c>
      <c r="AY1292" s="45" t="e">
        <f t="shared" si="704"/>
        <v>#VALUE!</v>
      </c>
      <c r="AZ1292" s="45" t="e">
        <f t="shared" si="705"/>
        <v>#VALUE!</v>
      </c>
      <c r="BA1292" s="45">
        <f t="shared" si="706"/>
        <v>1</v>
      </c>
      <c r="BB1292" s="45">
        <f t="shared" si="707"/>
        <v>-0.24632071198915759</v>
      </c>
      <c r="BC1292" s="45" t="e">
        <f t="shared" si="708"/>
        <v>#VALUE!</v>
      </c>
      <c r="BD1292" s="45" t="e">
        <f t="shared" si="709"/>
        <v>#VALUE!</v>
      </c>
      <c r="BE1292" s="45" t="e">
        <f t="shared" si="710"/>
        <v>#VALUE!</v>
      </c>
      <c r="BF1292" s="45" t="e">
        <f t="shared" si="711"/>
        <v>#VALUE!</v>
      </c>
      <c r="BG1292" s="45" t="e">
        <f t="shared" si="712"/>
        <v>#VALUE!</v>
      </c>
      <c r="BH1292" s="45" t="e">
        <f t="shared" si="713"/>
        <v>#NUM!</v>
      </c>
      <c r="BI1292" s="43" t="e">
        <f t="shared" si="714"/>
        <v>#VALUE!</v>
      </c>
      <c r="BL1292" s="20"/>
      <c r="BM1292" s="50"/>
      <c r="BN1292" s="50"/>
      <c r="BO1292" s="50"/>
      <c r="BP1292" s="50"/>
      <c r="BQ1292" s="50"/>
      <c r="BR1292" s="50"/>
      <c r="BU1292" s="50"/>
      <c r="BV1292" s="50"/>
      <c r="BW1292" s="50"/>
      <c r="BX1292" s="50"/>
      <c r="BY1292" s="50"/>
      <c r="BZ1292" s="50"/>
      <c r="CA1292" s="50" t="s">
        <v>22</v>
      </c>
      <c r="CE1292" s="50"/>
      <c r="CF1292" s="50"/>
      <c r="CG1292" s="50"/>
      <c r="CH1292" s="50"/>
      <c r="CI1292" s="50" t="str">
        <f t="shared" si="690"/>
        <v>Not Reported/ Can not calculate</v>
      </c>
      <c r="CJ1292" s="50" t="e">
        <f t="shared" si="691"/>
        <v>#VALUE!</v>
      </c>
      <c r="CL1292" s="9" t="s">
        <v>1269</v>
      </c>
      <c r="CM1292" s="9" t="s">
        <v>1284</v>
      </c>
      <c r="CN1292" s="55" t="s">
        <v>1284</v>
      </c>
      <c r="CO1292" s="9" t="s">
        <v>1284</v>
      </c>
    </row>
    <row r="1293" spans="1:93" x14ac:dyDescent="0.25">
      <c r="A1293" s="6" t="s">
        <v>407</v>
      </c>
      <c r="B1293" s="41">
        <v>60</v>
      </c>
      <c r="C1293" s="41">
        <v>7.7640000000000002</v>
      </c>
      <c r="D1293" s="41">
        <v>7.7279752704791349</v>
      </c>
      <c r="E1293" s="41" t="s">
        <v>22</v>
      </c>
      <c r="F1293" s="18" t="s">
        <v>22</v>
      </c>
      <c r="G1293" s="18" t="s">
        <v>22</v>
      </c>
      <c r="H1293" s="18" t="s">
        <v>22</v>
      </c>
      <c r="I1293" s="18" t="s">
        <v>22</v>
      </c>
      <c r="J1293" s="41" t="s">
        <v>22</v>
      </c>
      <c r="K1293" s="18" t="s">
        <v>22</v>
      </c>
      <c r="M1293" t="s">
        <v>23</v>
      </c>
      <c r="N1293" s="41">
        <v>210</v>
      </c>
      <c r="O1293" s="41">
        <v>2.704791344667697E-2</v>
      </c>
      <c r="P1293" s="41">
        <v>110</v>
      </c>
      <c r="R1293" s="41">
        <f>N1293*B1293</f>
        <v>12600</v>
      </c>
      <c r="S1293" s="41">
        <f>O1293*D1293</f>
        <v>0.20902560623397967</v>
      </c>
      <c r="T1293" s="41" t="s">
        <v>22</v>
      </c>
      <c r="U1293" s="41" t="s">
        <v>22</v>
      </c>
      <c r="V1293" s="18">
        <v>20191229</v>
      </c>
      <c r="W1293" s="16" t="s">
        <v>394</v>
      </c>
      <c r="X1293" s="18"/>
      <c r="Y1293" s="18"/>
      <c r="Z1293" s="18"/>
      <c r="AC1293" s="18" t="s">
        <v>22</v>
      </c>
      <c r="AD1293" s="41" t="s">
        <v>22</v>
      </c>
      <c r="AE1293" s="41" t="s">
        <v>22</v>
      </c>
      <c r="AF1293" s="41" t="s">
        <v>22</v>
      </c>
      <c r="AG1293" s="41" t="s">
        <v>22</v>
      </c>
      <c r="AH1293" s="41" t="s">
        <v>22</v>
      </c>
      <c r="AI1293" s="41" t="s">
        <v>22</v>
      </c>
      <c r="AJ1293" s="41" t="s">
        <v>22</v>
      </c>
      <c r="AK1293" s="41" t="s">
        <v>22</v>
      </c>
      <c r="AL1293" s="41" t="s">
        <v>22</v>
      </c>
      <c r="AM1293" s="43" t="e">
        <f t="shared" si="697"/>
        <v>#VALUE!</v>
      </c>
      <c r="AN1293" s="43" t="e">
        <f t="shared" si="698"/>
        <v>#VALUE!</v>
      </c>
      <c r="AO1293" s="6" t="s">
        <v>402</v>
      </c>
      <c r="AT1293" s="2">
        <f t="shared" si="699"/>
        <v>1</v>
      </c>
      <c r="AU1293" s="45">
        <f t="shared" si="700"/>
        <v>1.7781512503836436</v>
      </c>
      <c r="AV1293" s="45">
        <f t="shared" si="701"/>
        <v>0.89008552671632524</v>
      </c>
      <c r="AW1293" s="45">
        <f t="shared" si="702"/>
        <v>0.8880657236673184</v>
      </c>
      <c r="AX1293" s="45">
        <f t="shared" si="703"/>
        <v>2.3222192947339191</v>
      </c>
      <c r="AY1293" s="45">
        <f t="shared" si="704"/>
        <v>-1.5678662319824059</v>
      </c>
      <c r="AZ1293" s="45">
        <f t="shared" si="705"/>
        <v>2.0413926851582249</v>
      </c>
      <c r="BA1293" s="45" t="e">
        <f t="shared" si="706"/>
        <v>#VALUE!</v>
      </c>
      <c r="BB1293" s="45" t="e">
        <f t="shared" si="707"/>
        <v>#NUM!</v>
      </c>
      <c r="BC1293" s="45" t="e">
        <f t="shared" si="708"/>
        <v>#VALUE!</v>
      </c>
      <c r="BD1293" s="45" t="e">
        <f t="shared" si="709"/>
        <v>#VALUE!</v>
      </c>
      <c r="BE1293" s="45" t="e">
        <f t="shared" si="710"/>
        <v>#VALUE!</v>
      </c>
      <c r="BF1293" s="45" t="e">
        <f t="shared" si="711"/>
        <v>#VALUE!</v>
      </c>
      <c r="BG1293" s="45" t="e">
        <f t="shared" si="712"/>
        <v>#VALUE!</v>
      </c>
      <c r="BH1293" s="45" t="e">
        <f t="shared" si="713"/>
        <v>#NUM!</v>
      </c>
      <c r="BI1293" s="43" t="e">
        <f t="shared" si="714"/>
        <v>#VALUE!</v>
      </c>
      <c r="CA1293" s="41" t="s">
        <v>22</v>
      </c>
      <c r="CC1293" t="s">
        <v>22</v>
      </c>
      <c r="CE1293" s="41" t="s">
        <v>22</v>
      </c>
      <c r="CF1293" s="41" t="s">
        <v>22</v>
      </c>
      <c r="CG1293" s="41" t="e">
        <f t="shared" ref="CG1293:CG1302" si="715">AD1293*1000</f>
        <v>#VALUE!</v>
      </c>
      <c r="CH1293" s="41" t="e">
        <f t="shared" ref="CH1293:CH1302" si="716">LOG10(CG1293)</f>
        <v>#VALUE!</v>
      </c>
      <c r="CI1293" s="41" t="str">
        <f t="shared" ref="CI1293:CI1302" si="717">IF(ISNUMBER(CG1293),CG1293,U1293)</f>
        <v>Not Reported/ Can not calculate</v>
      </c>
      <c r="CJ1293" s="41" t="e">
        <f t="shared" ref="CJ1293:CJ1302" si="718">LOG10(CI1293)</f>
        <v>#VALUE!</v>
      </c>
      <c r="CL1293" s="9" t="s">
        <v>407</v>
      </c>
      <c r="CM1293" s="18" t="s">
        <v>1284</v>
      </c>
      <c r="CN1293" s="54" t="s">
        <v>1284</v>
      </c>
      <c r="CO1293" s="18" t="s">
        <v>1284</v>
      </c>
    </row>
    <row r="1294" spans="1:93" x14ac:dyDescent="0.25">
      <c r="A1294" s="18" t="s">
        <v>375</v>
      </c>
      <c r="B1294" s="41">
        <v>7.1400000000000005E-2</v>
      </c>
      <c r="C1294" s="41">
        <v>1.8</v>
      </c>
      <c r="D1294" s="41">
        <v>3.9666666666666663E-2</v>
      </c>
      <c r="E1294" s="41" t="s">
        <v>22</v>
      </c>
      <c r="F1294" s="18" t="s">
        <v>22</v>
      </c>
      <c r="G1294" s="18" t="s">
        <v>22</v>
      </c>
      <c r="H1294" s="18" t="s">
        <v>22</v>
      </c>
      <c r="I1294" s="18" t="s">
        <v>22</v>
      </c>
      <c r="J1294" s="41" t="s">
        <v>22</v>
      </c>
      <c r="K1294" s="18" t="s">
        <v>22</v>
      </c>
      <c r="M1294" s="18" t="s">
        <v>23</v>
      </c>
      <c r="N1294" s="41">
        <v>7000</v>
      </c>
      <c r="O1294" s="41">
        <v>3.8888888888888888</v>
      </c>
      <c r="P1294" s="41">
        <v>324</v>
      </c>
      <c r="R1294" s="41">
        <f>N1294*B1294</f>
        <v>499.8</v>
      </c>
      <c r="S1294" s="41">
        <f>O1294*D1294</f>
        <v>0.15425925925925923</v>
      </c>
      <c r="T1294" s="41" t="s">
        <v>22</v>
      </c>
      <c r="U1294" s="41" t="s">
        <v>22</v>
      </c>
      <c r="V1294" s="18">
        <v>20191229</v>
      </c>
      <c r="W1294" s="21" t="s">
        <v>383</v>
      </c>
      <c r="X1294" s="18"/>
      <c r="Y1294" s="18"/>
      <c r="Z1294" s="18"/>
      <c r="AA1294" s="18"/>
      <c r="AC1294" s="18" t="s">
        <v>22</v>
      </c>
      <c r="AD1294" s="41" t="s">
        <v>22</v>
      </c>
      <c r="AE1294" s="41" t="s">
        <v>22</v>
      </c>
      <c r="AF1294" s="41" t="s">
        <v>22</v>
      </c>
      <c r="AG1294" s="41" t="s">
        <v>22</v>
      </c>
      <c r="AH1294" s="41" t="s">
        <v>22</v>
      </c>
      <c r="AI1294" s="41" t="s">
        <v>22</v>
      </c>
      <c r="AJ1294" s="41" t="s">
        <v>22</v>
      </c>
      <c r="AK1294" s="41" t="s">
        <v>22</v>
      </c>
      <c r="AL1294" s="41" t="s">
        <v>22</v>
      </c>
      <c r="AM1294" s="43" t="e">
        <f t="shared" si="697"/>
        <v>#VALUE!</v>
      </c>
      <c r="AN1294" s="43" t="e">
        <f t="shared" si="698"/>
        <v>#VALUE!</v>
      </c>
      <c r="AO1294" s="6" t="s">
        <v>395</v>
      </c>
      <c r="AT1294" s="2">
        <f t="shared" si="699"/>
        <v>1</v>
      </c>
      <c r="AU1294" s="45">
        <f t="shared" si="700"/>
        <v>-1.1463017882238256</v>
      </c>
      <c r="AV1294" s="45">
        <f t="shared" si="701"/>
        <v>0.25527250510330607</v>
      </c>
      <c r="AW1294" s="45">
        <f t="shared" si="702"/>
        <v>-1.4015742933271318</v>
      </c>
      <c r="AX1294" s="45">
        <f t="shared" si="703"/>
        <v>3.8450980400142569</v>
      </c>
      <c r="AY1294" s="45">
        <f t="shared" si="704"/>
        <v>0.5898255349109508</v>
      </c>
      <c r="AZ1294" s="45">
        <f t="shared" si="705"/>
        <v>2.510545010206612</v>
      </c>
      <c r="BA1294" s="45" t="e">
        <f t="shared" si="706"/>
        <v>#VALUE!</v>
      </c>
      <c r="BB1294" s="45" t="e">
        <f t="shared" si="707"/>
        <v>#NUM!</v>
      </c>
      <c r="BC1294" s="45" t="e">
        <f t="shared" si="708"/>
        <v>#VALUE!</v>
      </c>
      <c r="BD1294" s="45" t="e">
        <f t="shared" si="709"/>
        <v>#VALUE!</v>
      </c>
      <c r="BE1294" s="45" t="e">
        <f t="shared" si="710"/>
        <v>#VALUE!</v>
      </c>
      <c r="BF1294" s="45" t="e">
        <f t="shared" si="711"/>
        <v>#VALUE!</v>
      </c>
      <c r="BG1294" s="45" t="e">
        <f t="shared" si="712"/>
        <v>#VALUE!</v>
      </c>
      <c r="BH1294" s="45" t="e">
        <f t="shared" si="713"/>
        <v>#NUM!</v>
      </c>
      <c r="BI1294" s="43" t="e">
        <f t="shared" si="714"/>
        <v>#VALUE!</v>
      </c>
      <c r="CA1294" s="41" t="s">
        <v>22</v>
      </c>
      <c r="CC1294" t="s">
        <v>22</v>
      </c>
      <c r="CE1294" s="41" t="s">
        <v>22</v>
      </c>
      <c r="CF1294" s="41" t="s">
        <v>22</v>
      </c>
      <c r="CG1294" s="41" t="e">
        <f t="shared" si="715"/>
        <v>#VALUE!</v>
      </c>
      <c r="CH1294" s="41" t="e">
        <f t="shared" si="716"/>
        <v>#VALUE!</v>
      </c>
      <c r="CI1294" s="41" t="str">
        <f t="shared" si="717"/>
        <v>Not Reported/ Can not calculate</v>
      </c>
      <c r="CJ1294" s="41" t="e">
        <f t="shared" si="718"/>
        <v>#VALUE!</v>
      </c>
      <c r="CL1294" s="9" t="s">
        <v>1268</v>
      </c>
      <c r="CM1294" s="18" t="s">
        <v>1284</v>
      </c>
      <c r="CN1294" s="54" t="s">
        <v>1284</v>
      </c>
      <c r="CO1294" s="18" t="s">
        <v>1284</v>
      </c>
    </row>
    <row r="1295" spans="1:93" ht="15.75" x14ac:dyDescent="0.25">
      <c r="A1295" s="6" t="s">
        <v>406</v>
      </c>
      <c r="B1295" s="41" t="s">
        <v>22</v>
      </c>
      <c r="C1295" s="41">
        <v>1.56</v>
      </c>
      <c r="D1295" s="41" t="s">
        <v>22</v>
      </c>
      <c r="E1295" s="41" t="s">
        <v>22</v>
      </c>
      <c r="F1295" s="18" t="s">
        <v>22</v>
      </c>
      <c r="G1295" s="18" t="s">
        <v>22</v>
      </c>
      <c r="H1295" s="18" t="s">
        <v>22</v>
      </c>
      <c r="I1295" s="18" t="s">
        <v>22</v>
      </c>
      <c r="J1295" s="41" t="s">
        <v>22</v>
      </c>
      <c r="K1295" s="18" t="s">
        <v>22</v>
      </c>
      <c r="M1295" s="18" t="s">
        <v>23</v>
      </c>
      <c r="N1295" s="48">
        <v>5800</v>
      </c>
      <c r="O1295" s="41">
        <v>3.7179487179487176</v>
      </c>
      <c r="P1295" s="48">
        <v>180</v>
      </c>
      <c r="R1295" s="41" t="s">
        <v>22</v>
      </c>
      <c r="S1295" s="41" t="s">
        <v>22</v>
      </c>
      <c r="T1295" s="41" t="s">
        <v>22</v>
      </c>
      <c r="U1295" s="41" t="s">
        <v>22</v>
      </c>
      <c r="V1295" s="18">
        <v>20191229</v>
      </c>
      <c r="W1295" s="21" t="s">
        <v>385</v>
      </c>
      <c r="X1295" s="18"/>
      <c r="Y1295" s="18"/>
      <c r="Z1295" s="18"/>
      <c r="AA1295" s="18"/>
      <c r="AC1295" s="18" t="s">
        <v>22</v>
      </c>
      <c r="AD1295" s="41" t="s">
        <v>22</v>
      </c>
      <c r="AE1295" s="41" t="s">
        <v>22</v>
      </c>
      <c r="AF1295" s="41" t="s">
        <v>22</v>
      </c>
      <c r="AG1295" s="41" t="s">
        <v>22</v>
      </c>
      <c r="AH1295" s="41" t="s">
        <v>22</v>
      </c>
      <c r="AI1295" s="41" t="s">
        <v>22</v>
      </c>
      <c r="AJ1295" s="41" t="s">
        <v>22</v>
      </c>
      <c r="AK1295" s="41" t="s">
        <v>22</v>
      </c>
      <c r="AL1295" s="41" t="s">
        <v>22</v>
      </c>
      <c r="AM1295" s="43" t="e">
        <f t="shared" si="697"/>
        <v>#VALUE!</v>
      </c>
      <c r="AN1295" s="43" t="e">
        <f t="shared" si="698"/>
        <v>#VALUE!</v>
      </c>
      <c r="AO1295" s="6" t="s">
        <v>397</v>
      </c>
      <c r="AT1295" s="2">
        <f t="shared" si="699"/>
        <v>1</v>
      </c>
      <c r="AU1295" s="45" t="e">
        <f t="shared" si="700"/>
        <v>#VALUE!</v>
      </c>
      <c r="AV1295" s="45">
        <f t="shared" si="701"/>
        <v>0.19312459835446161</v>
      </c>
      <c r="AW1295" s="45" t="e">
        <f t="shared" si="702"/>
        <v>#VALUE!</v>
      </c>
      <c r="AX1295" s="45">
        <f t="shared" si="703"/>
        <v>3.7634279935629373</v>
      </c>
      <c r="AY1295" s="45">
        <f t="shared" si="704"/>
        <v>0.57030339520847562</v>
      </c>
      <c r="AZ1295" s="45">
        <f t="shared" si="705"/>
        <v>2.255272505103306</v>
      </c>
      <c r="BA1295" s="45" t="e">
        <f t="shared" si="706"/>
        <v>#VALUE!</v>
      </c>
      <c r="BB1295" s="45" t="e">
        <f t="shared" si="707"/>
        <v>#NUM!</v>
      </c>
      <c r="BC1295" s="45" t="e">
        <f t="shared" si="708"/>
        <v>#VALUE!</v>
      </c>
      <c r="BD1295" s="45" t="e">
        <f t="shared" si="709"/>
        <v>#VALUE!</v>
      </c>
      <c r="BE1295" s="45" t="e">
        <f t="shared" si="710"/>
        <v>#VALUE!</v>
      </c>
      <c r="BF1295" s="45" t="e">
        <f t="shared" si="711"/>
        <v>#VALUE!</v>
      </c>
      <c r="BG1295" s="45" t="e">
        <f t="shared" si="712"/>
        <v>#VALUE!</v>
      </c>
      <c r="BH1295" s="45" t="e">
        <f t="shared" si="713"/>
        <v>#NUM!</v>
      </c>
      <c r="BI1295" s="43" t="e">
        <f t="shared" si="714"/>
        <v>#VALUE!</v>
      </c>
      <c r="CA1295" s="41" t="s">
        <v>22</v>
      </c>
      <c r="CC1295" t="s">
        <v>22</v>
      </c>
      <c r="CE1295" s="41" t="s">
        <v>22</v>
      </c>
      <c r="CF1295" s="41" t="s">
        <v>22</v>
      </c>
      <c r="CG1295" s="41" t="e">
        <f t="shared" si="715"/>
        <v>#VALUE!</v>
      </c>
      <c r="CH1295" s="41" t="e">
        <f t="shared" si="716"/>
        <v>#VALUE!</v>
      </c>
      <c r="CI1295" s="41" t="str">
        <f t="shared" si="717"/>
        <v>Not Reported/ Can not calculate</v>
      </c>
      <c r="CJ1295" s="41" t="e">
        <f t="shared" si="718"/>
        <v>#VALUE!</v>
      </c>
      <c r="CL1295" s="9" t="s">
        <v>1268</v>
      </c>
      <c r="CM1295" s="18" t="s">
        <v>1284</v>
      </c>
      <c r="CN1295" s="54" t="s">
        <v>1284</v>
      </c>
      <c r="CO1295" s="18" t="s">
        <v>1284</v>
      </c>
    </row>
    <row r="1296" spans="1:93" x14ac:dyDescent="0.25">
      <c r="A1296" s="6" t="s">
        <v>393</v>
      </c>
      <c r="B1296" s="41" t="s">
        <v>22</v>
      </c>
      <c r="C1296" s="41">
        <v>0.83330000000000004</v>
      </c>
      <c r="D1296" s="41" t="s">
        <v>22</v>
      </c>
      <c r="E1296" s="41" t="s">
        <v>22</v>
      </c>
      <c r="F1296" s="18" t="s">
        <v>22</v>
      </c>
      <c r="G1296" s="18" t="s">
        <v>22</v>
      </c>
      <c r="H1296" s="18" t="s">
        <v>22</v>
      </c>
      <c r="I1296" s="18" t="s">
        <v>22</v>
      </c>
      <c r="J1296" s="41" t="s">
        <v>22</v>
      </c>
      <c r="K1296" s="18" t="s">
        <v>22</v>
      </c>
      <c r="M1296" s="18" t="s">
        <v>23</v>
      </c>
      <c r="N1296" s="41">
        <v>30</v>
      </c>
      <c r="O1296" s="41">
        <v>3.6001440057602301E-2</v>
      </c>
      <c r="P1296" s="41">
        <v>2.7</v>
      </c>
      <c r="R1296" s="41" t="s">
        <v>22</v>
      </c>
      <c r="S1296" s="41" t="s">
        <v>22</v>
      </c>
      <c r="T1296" s="41" t="s">
        <v>22</v>
      </c>
      <c r="U1296" s="41" t="s">
        <v>22</v>
      </c>
      <c r="V1296" s="18">
        <v>20191229</v>
      </c>
      <c r="W1296" s="21" t="s">
        <v>393</v>
      </c>
      <c r="X1296" s="18"/>
      <c r="Y1296" s="18"/>
      <c r="Z1296" s="18"/>
      <c r="AA1296" s="18"/>
      <c r="AC1296" s="18" t="s">
        <v>22</v>
      </c>
      <c r="AD1296" s="41" t="s">
        <v>22</v>
      </c>
      <c r="AE1296" s="41" t="s">
        <v>22</v>
      </c>
      <c r="AF1296" s="41" t="s">
        <v>22</v>
      </c>
      <c r="AG1296" s="41" t="s">
        <v>22</v>
      </c>
      <c r="AH1296" s="41" t="s">
        <v>22</v>
      </c>
      <c r="AI1296" s="41" t="s">
        <v>22</v>
      </c>
      <c r="AJ1296" s="41" t="s">
        <v>22</v>
      </c>
      <c r="AK1296" s="41" t="s">
        <v>22</v>
      </c>
      <c r="AL1296" s="41" t="s">
        <v>22</v>
      </c>
      <c r="AM1296" s="43" t="e">
        <f t="shared" si="697"/>
        <v>#VALUE!</v>
      </c>
      <c r="AN1296" s="43" t="e">
        <f t="shared" si="698"/>
        <v>#VALUE!</v>
      </c>
      <c r="AO1296" s="6" t="s">
        <v>403</v>
      </c>
      <c r="AT1296" s="2">
        <f t="shared" si="699"/>
        <v>1</v>
      </c>
      <c r="AU1296" s="45" t="e">
        <f t="shared" si="700"/>
        <v>#VALUE!</v>
      </c>
      <c r="AV1296" s="45">
        <f t="shared" si="701"/>
        <v>-7.9198618174345786E-2</v>
      </c>
      <c r="AW1296" s="45" t="e">
        <f t="shared" si="702"/>
        <v>#VALUE!</v>
      </c>
      <c r="AX1296" s="45">
        <f t="shared" si="703"/>
        <v>1.4771212547196624</v>
      </c>
      <c r="AY1296" s="45">
        <f t="shared" si="704"/>
        <v>-1.4436801271059918</v>
      </c>
      <c r="AZ1296" s="45">
        <f t="shared" si="705"/>
        <v>0.43136376415898736</v>
      </c>
      <c r="BA1296" s="45" t="e">
        <f t="shared" si="706"/>
        <v>#VALUE!</v>
      </c>
      <c r="BB1296" s="45" t="e">
        <f t="shared" si="707"/>
        <v>#NUM!</v>
      </c>
      <c r="BC1296" s="45" t="e">
        <f t="shared" si="708"/>
        <v>#VALUE!</v>
      </c>
      <c r="BD1296" s="45" t="e">
        <f t="shared" si="709"/>
        <v>#VALUE!</v>
      </c>
      <c r="BE1296" s="45" t="e">
        <f t="shared" si="710"/>
        <v>#VALUE!</v>
      </c>
      <c r="BF1296" s="45" t="e">
        <f t="shared" si="711"/>
        <v>#VALUE!</v>
      </c>
      <c r="BG1296" s="45" t="e">
        <f t="shared" si="712"/>
        <v>#VALUE!</v>
      </c>
      <c r="BH1296" s="45" t="e">
        <f t="shared" si="713"/>
        <v>#NUM!</v>
      </c>
      <c r="BI1296" s="43" t="e">
        <f t="shared" si="714"/>
        <v>#VALUE!</v>
      </c>
      <c r="CA1296" s="41" t="s">
        <v>22</v>
      </c>
      <c r="CC1296" t="s">
        <v>22</v>
      </c>
      <c r="CE1296" s="41" t="s">
        <v>22</v>
      </c>
      <c r="CF1296" s="41" t="s">
        <v>22</v>
      </c>
      <c r="CG1296" s="41" t="e">
        <f t="shared" si="715"/>
        <v>#VALUE!</v>
      </c>
      <c r="CH1296" s="41" t="e">
        <f t="shared" si="716"/>
        <v>#VALUE!</v>
      </c>
      <c r="CI1296" s="41" t="str">
        <f t="shared" si="717"/>
        <v>Not Reported/ Can not calculate</v>
      </c>
      <c r="CJ1296" s="41" t="e">
        <f t="shared" si="718"/>
        <v>#VALUE!</v>
      </c>
      <c r="CL1296" s="9" t="e">
        <v>#N/A</v>
      </c>
      <c r="CM1296" s="18" t="s">
        <v>1284</v>
      </c>
      <c r="CN1296" s="54" t="s">
        <v>1284</v>
      </c>
      <c r="CO1296" s="18" t="s">
        <v>1284</v>
      </c>
    </row>
    <row r="1297" spans="1:93" x14ac:dyDescent="0.25">
      <c r="A1297" s="6" t="s">
        <v>406</v>
      </c>
      <c r="B1297" s="41" t="s">
        <v>22</v>
      </c>
      <c r="C1297" s="41">
        <v>1.38</v>
      </c>
      <c r="D1297" s="41" t="s">
        <v>22</v>
      </c>
      <c r="E1297" s="41" t="s">
        <v>22</v>
      </c>
      <c r="F1297" s="18" t="s">
        <v>22</v>
      </c>
      <c r="G1297" s="18" t="s">
        <v>22</v>
      </c>
      <c r="H1297" s="18" t="s">
        <v>22</v>
      </c>
      <c r="I1297" s="18" t="s">
        <v>22</v>
      </c>
      <c r="J1297" s="41" t="s">
        <v>22</v>
      </c>
      <c r="K1297" s="18" t="s">
        <v>22</v>
      </c>
      <c r="M1297" s="18" t="s">
        <v>23</v>
      </c>
      <c r="N1297" s="49">
        <v>2757</v>
      </c>
      <c r="O1297" s="41">
        <v>1.9978260869565221</v>
      </c>
      <c r="P1297" s="49">
        <v>179</v>
      </c>
      <c r="R1297" s="41" t="s">
        <v>22</v>
      </c>
      <c r="S1297" s="41" t="s">
        <v>22</v>
      </c>
      <c r="T1297" s="41" t="s">
        <v>22</v>
      </c>
      <c r="U1297" s="41" t="s">
        <v>22</v>
      </c>
      <c r="V1297" s="18">
        <v>20191229</v>
      </c>
      <c r="W1297" s="21" t="s">
        <v>387</v>
      </c>
      <c r="X1297" s="18"/>
      <c r="Y1297" s="18"/>
      <c r="Z1297" s="18"/>
      <c r="AA1297" s="18"/>
      <c r="AC1297" s="18" t="s">
        <v>22</v>
      </c>
      <c r="AD1297" s="41" t="s">
        <v>22</v>
      </c>
      <c r="AE1297" s="41" t="s">
        <v>22</v>
      </c>
      <c r="AF1297" s="41" t="s">
        <v>22</v>
      </c>
      <c r="AG1297" s="41" t="s">
        <v>22</v>
      </c>
      <c r="AH1297" s="41" t="s">
        <v>22</v>
      </c>
      <c r="AI1297" s="41" t="s">
        <v>22</v>
      </c>
      <c r="AJ1297" s="41" t="s">
        <v>22</v>
      </c>
      <c r="AK1297" s="41" t="s">
        <v>22</v>
      </c>
      <c r="AL1297" s="41" t="s">
        <v>22</v>
      </c>
      <c r="AM1297" s="43" t="e">
        <f t="shared" si="697"/>
        <v>#VALUE!</v>
      </c>
      <c r="AN1297" s="43" t="e">
        <f t="shared" si="698"/>
        <v>#VALUE!</v>
      </c>
      <c r="AO1297" s="19" t="s">
        <v>398</v>
      </c>
      <c r="AT1297" s="2">
        <f t="shared" si="699"/>
        <v>1</v>
      </c>
      <c r="AU1297" s="45" t="e">
        <f t="shared" si="700"/>
        <v>#VALUE!</v>
      </c>
      <c r="AV1297" s="45">
        <f t="shared" si="701"/>
        <v>0.13987908640123647</v>
      </c>
      <c r="AW1297" s="45" t="e">
        <f t="shared" si="702"/>
        <v>#VALUE!</v>
      </c>
      <c r="AX1297" s="45">
        <f t="shared" si="703"/>
        <v>3.4404367661057735</v>
      </c>
      <c r="AY1297" s="45">
        <f t="shared" si="704"/>
        <v>0.30055767970453728</v>
      </c>
      <c r="AZ1297" s="45">
        <f t="shared" si="705"/>
        <v>2.2528530309798933</v>
      </c>
      <c r="BA1297" s="45" t="e">
        <f t="shared" si="706"/>
        <v>#VALUE!</v>
      </c>
      <c r="BB1297" s="45" t="e">
        <f t="shared" si="707"/>
        <v>#NUM!</v>
      </c>
      <c r="BC1297" s="45" t="e">
        <f t="shared" si="708"/>
        <v>#VALUE!</v>
      </c>
      <c r="BD1297" s="45" t="e">
        <f t="shared" si="709"/>
        <v>#VALUE!</v>
      </c>
      <c r="BE1297" s="45" t="e">
        <f t="shared" si="710"/>
        <v>#VALUE!</v>
      </c>
      <c r="BF1297" s="45" t="e">
        <f t="shared" si="711"/>
        <v>#VALUE!</v>
      </c>
      <c r="BG1297" s="45" t="e">
        <f t="shared" si="712"/>
        <v>#VALUE!</v>
      </c>
      <c r="BH1297" s="45" t="e">
        <f t="shared" si="713"/>
        <v>#NUM!</v>
      </c>
      <c r="BI1297" s="43" t="e">
        <f t="shared" si="714"/>
        <v>#VALUE!</v>
      </c>
      <c r="CA1297" s="41" t="s">
        <v>22</v>
      </c>
      <c r="CC1297" t="s">
        <v>22</v>
      </c>
      <c r="CE1297" s="41" t="s">
        <v>22</v>
      </c>
      <c r="CF1297" s="41" t="s">
        <v>22</v>
      </c>
      <c r="CG1297" s="41" t="e">
        <f t="shared" si="715"/>
        <v>#VALUE!</v>
      </c>
      <c r="CH1297" s="41" t="e">
        <f t="shared" si="716"/>
        <v>#VALUE!</v>
      </c>
      <c r="CI1297" s="41" t="str">
        <f t="shared" si="717"/>
        <v>Not Reported/ Can not calculate</v>
      </c>
      <c r="CJ1297" s="41" t="e">
        <f t="shared" si="718"/>
        <v>#VALUE!</v>
      </c>
      <c r="CL1297" s="9" t="s">
        <v>1268</v>
      </c>
      <c r="CM1297" s="18" t="s">
        <v>1284</v>
      </c>
      <c r="CN1297" s="54" t="s">
        <v>1284</v>
      </c>
      <c r="CO1297" s="18" t="s">
        <v>1284</v>
      </c>
    </row>
    <row r="1298" spans="1:93" x14ac:dyDescent="0.25">
      <c r="A1298" s="6" t="s">
        <v>407</v>
      </c>
      <c r="B1298" s="41">
        <v>0.56000000000000005</v>
      </c>
      <c r="C1298" s="41">
        <v>4.34</v>
      </c>
      <c r="D1298" s="41">
        <v>0.12903225806451613</v>
      </c>
      <c r="E1298" s="41" t="s">
        <v>22</v>
      </c>
      <c r="F1298" s="18" t="s">
        <v>22</v>
      </c>
      <c r="G1298" s="18" t="s">
        <v>22</v>
      </c>
      <c r="H1298" s="18" t="s">
        <v>22</v>
      </c>
      <c r="I1298" s="18" t="s">
        <v>22</v>
      </c>
      <c r="J1298" s="41" t="s">
        <v>22</v>
      </c>
      <c r="K1298" s="18" t="s">
        <v>22</v>
      </c>
      <c r="M1298" s="18" t="s">
        <v>23</v>
      </c>
      <c r="N1298" s="41">
        <v>827</v>
      </c>
      <c r="O1298" s="41">
        <v>0.19055299539170509</v>
      </c>
      <c r="P1298" s="41">
        <v>110</v>
      </c>
      <c r="R1298" s="41">
        <f>N1298*B1298</f>
        <v>463.12000000000006</v>
      </c>
      <c r="S1298" s="41">
        <f>O1298*D1298</f>
        <v>2.4587483276349045E-2</v>
      </c>
      <c r="T1298" s="41" t="s">
        <v>22</v>
      </c>
      <c r="U1298" s="41" t="s">
        <v>22</v>
      </c>
      <c r="V1298" s="18">
        <v>20191229</v>
      </c>
      <c r="W1298" s="16" t="s">
        <v>389</v>
      </c>
      <c r="X1298" s="18"/>
      <c r="Y1298" s="18"/>
      <c r="Z1298" s="18"/>
      <c r="AC1298" s="18" t="s">
        <v>22</v>
      </c>
      <c r="AD1298" s="41" t="s">
        <v>22</v>
      </c>
      <c r="AE1298" s="41" t="s">
        <v>22</v>
      </c>
      <c r="AF1298" s="41" t="s">
        <v>22</v>
      </c>
      <c r="AG1298" s="41" t="s">
        <v>22</v>
      </c>
      <c r="AH1298" s="41" t="s">
        <v>22</v>
      </c>
      <c r="AI1298" s="41" t="s">
        <v>22</v>
      </c>
      <c r="AJ1298" s="41" t="s">
        <v>22</v>
      </c>
      <c r="AK1298" s="41" t="s">
        <v>22</v>
      </c>
      <c r="AL1298" s="41" t="s">
        <v>22</v>
      </c>
      <c r="AM1298" s="43" t="e">
        <f t="shared" si="697"/>
        <v>#VALUE!</v>
      </c>
      <c r="AN1298" s="43" t="e">
        <f t="shared" si="698"/>
        <v>#VALUE!</v>
      </c>
      <c r="AO1298" s="6" t="s">
        <v>400</v>
      </c>
      <c r="AT1298" s="2">
        <f t="shared" si="699"/>
        <v>2</v>
      </c>
      <c r="AU1298" s="45">
        <f t="shared" si="700"/>
        <v>-0.25181197299379954</v>
      </c>
      <c r="AV1298" s="45">
        <f t="shared" si="701"/>
        <v>0.63748972951251071</v>
      </c>
      <c r="AW1298" s="45">
        <f t="shared" si="702"/>
        <v>-0.88930170250631035</v>
      </c>
      <c r="AX1298" s="45">
        <f t="shared" si="703"/>
        <v>2.9175055095525466</v>
      </c>
      <c r="AY1298" s="45">
        <f t="shared" si="704"/>
        <v>-0.71998421995996398</v>
      </c>
      <c r="AZ1298" s="45">
        <f t="shared" si="705"/>
        <v>2.0413926851582249</v>
      </c>
      <c r="BA1298" s="45" t="e">
        <f t="shared" si="706"/>
        <v>#VALUE!</v>
      </c>
      <c r="BB1298" s="45" t="e">
        <f t="shared" si="707"/>
        <v>#NUM!</v>
      </c>
      <c r="BC1298" s="45" t="e">
        <f t="shared" si="708"/>
        <v>#VALUE!</v>
      </c>
      <c r="BD1298" s="45" t="e">
        <f t="shared" si="709"/>
        <v>#VALUE!</v>
      </c>
      <c r="BE1298" s="45" t="e">
        <f t="shared" si="710"/>
        <v>#VALUE!</v>
      </c>
      <c r="BF1298" s="45" t="e">
        <f t="shared" si="711"/>
        <v>#VALUE!</v>
      </c>
      <c r="BG1298" s="45" t="e">
        <f t="shared" si="712"/>
        <v>#VALUE!</v>
      </c>
      <c r="BH1298" s="45" t="e">
        <f t="shared" si="713"/>
        <v>#NUM!</v>
      </c>
      <c r="BI1298" s="43" t="e">
        <f t="shared" si="714"/>
        <v>#VALUE!</v>
      </c>
      <c r="CA1298" s="41" t="s">
        <v>22</v>
      </c>
      <c r="CC1298" t="s">
        <v>22</v>
      </c>
      <c r="CE1298" s="41" t="s">
        <v>22</v>
      </c>
      <c r="CF1298" s="41" t="s">
        <v>22</v>
      </c>
      <c r="CG1298" s="41" t="e">
        <f t="shared" si="715"/>
        <v>#VALUE!</v>
      </c>
      <c r="CH1298" s="41" t="e">
        <f t="shared" si="716"/>
        <v>#VALUE!</v>
      </c>
      <c r="CI1298" s="41" t="str">
        <f t="shared" si="717"/>
        <v>Not Reported/ Can not calculate</v>
      </c>
      <c r="CJ1298" s="41" t="e">
        <f t="shared" si="718"/>
        <v>#VALUE!</v>
      </c>
      <c r="CL1298" s="9" t="s">
        <v>407</v>
      </c>
      <c r="CM1298" s="18" t="s">
        <v>1284</v>
      </c>
      <c r="CN1298" s="54" t="s">
        <v>1284</v>
      </c>
      <c r="CO1298" s="18" t="s">
        <v>1284</v>
      </c>
    </row>
    <row r="1299" spans="1:93" x14ac:dyDescent="0.25">
      <c r="A1299" s="6" t="s">
        <v>407</v>
      </c>
      <c r="B1299" s="41">
        <v>25</v>
      </c>
      <c r="C1299" s="41">
        <v>2.7</v>
      </c>
      <c r="D1299" s="41">
        <v>9.2592592592592595</v>
      </c>
      <c r="E1299" s="41" t="s">
        <v>22</v>
      </c>
      <c r="F1299" s="18" t="s">
        <v>22</v>
      </c>
      <c r="G1299" s="18" t="s">
        <v>22</v>
      </c>
      <c r="H1299" s="18" t="s">
        <v>22</v>
      </c>
      <c r="I1299" s="18" t="s">
        <v>22</v>
      </c>
      <c r="J1299" s="41" t="s">
        <v>22</v>
      </c>
      <c r="K1299" s="18" t="s">
        <v>22</v>
      </c>
      <c r="M1299" s="18" t="s">
        <v>23</v>
      </c>
      <c r="N1299" s="41">
        <v>241</v>
      </c>
      <c r="O1299" s="41">
        <v>8.9259259259259247E-2</v>
      </c>
      <c r="P1299" s="41">
        <v>68.8</v>
      </c>
      <c r="R1299" s="41">
        <f>N1299*B1299</f>
        <v>6025</v>
      </c>
      <c r="S1299" s="41">
        <f>O1299*D1299</f>
        <v>0.82647462277091899</v>
      </c>
      <c r="T1299" s="41" t="s">
        <v>22</v>
      </c>
      <c r="U1299" s="41" t="s">
        <v>22</v>
      </c>
      <c r="V1299" s="18">
        <v>20191229</v>
      </c>
      <c r="W1299" s="21" t="s">
        <v>390</v>
      </c>
      <c r="X1299" s="18"/>
      <c r="Y1299" s="18"/>
      <c r="Z1299" s="18"/>
      <c r="AA1299" s="18"/>
      <c r="AC1299" s="18" t="s">
        <v>22</v>
      </c>
      <c r="AD1299" s="41" t="s">
        <v>22</v>
      </c>
      <c r="AE1299" s="41" t="s">
        <v>22</v>
      </c>
      <c r="AF1299" s="41" t="s">
        <v>22</v>
      </c>
      <c r="AG1299" s="41" t="s">
        <v>22</v>
      </c>
      <c r="AH1299" s="41" t="s">
        <v>22</v>
      </c>
      <c r="AI1299" s="41" t="s">
        <v>22</v>
      </c>
      <c r="AJ1299" s="41" t="s">
        <v>22</v>
      </c>
      <c r="AK1299" s="41" t="s">
        <v>22</v>
      </c>
      <c r="AL1299" s="41" t="s">
        <v>22</v>
      </c>
      <c r="AM1299" s="43" t="e">
        <f t="shared" si="697"/>
        <v>#VALUE!</v>
      </c>
      <c r="AN1299" s="43" t="e">
        <f t="shared" si="698"/>
        <v>#VALUE!</v>
      </c>
      <c r="AO1299" s="6" t="s">
        <v>400</v>
      </c>
      <c r="AT1299" s="2">
        <f t="shared" si="699"/>
        <v>2</v>
      </c>
      <c r="AU1299" s="45">
        <f t="shared" si="700"/>
        <v>1.3979400086720377</v>
      </c>
      <c r="AV1299" s="45">
        <f t="shared" si="701"/>
        <v>0.43136376415898736</v>
      </c>
      <c r="AW1299" s="45">
        <f t="shared" si="702"/>
        <v>0.96657624451305035</v>
      </c>
      <c r="AX1299" s="45">
        <f t="shared" si="703"/>
        <v>2.3820170425748683</v>
      </c>
      <c r="AY1299" s="45">
        <f t="shared" si="704"/>
        <v>-1.049346721584119</v>
      </c>
      <c r="AZ1299" s="45">
        <f t="shared" si="705"/>
        <v>1.8375884382355112</v>
      </c>
      <c r="BA1299" s="45" t="e">
        <f t="shared" si="706"/>
        <v>#VALUE!</v>
      </c>
      <c r="BB1299" s="45" t="e">
        <f t="shared" si="707"/>
        <v>#NUM!</v>
      </c>
      <c r="BC1299" s="45" t="e">
        <f t="shared" si="708"/>
        <v>#VALUE!</v>
      </c>
      <c r="BD1299" s="45" t="e">
        <f t="shared" si="709"/>
        <v>#VALUE!</v>
      </c>
      <c r="BE1299" s="45" t="e">
        <f t="shared" si="710"/>
        <v>#VALUE!</v>
      </c>
      <c r="BF1299" s="45" t="e">
        <f t="shared" si="711"/>
        <v>#VALUE!</v>
      </c>
      <c r="BG1299" s="45" t="e">
        <f t="shared" si="712"/>
        <v>#VALUE!</v>
      </c>
      <c r="BH1299" s="45" t="e">
        <f t="shared" si="713"/>
        <v>#NUM!</v>
      </c>
      <c r="BI1299" s="43" t="e">
        <f t="shared" si="714"/>
        <v>#VALUE!</v>
      </c>
      <c r="CA1299" s="41" t="s">
        <v>22</v>
      </c>
      <c r="CC1299" t="s">
        <v>22</v>
      </c>
      <c r="CE1299" s="41" t="s">
        <v>22</v>
      </c>
      <c r="CF1299" s="41" t="s">
        <v>22</v>
      </c>
      <c r="CG1299" s="41" t="e">
        <f t="shared" si="715"/>
        <v>#VALUE!</v>
      </c>
      <c r="CH1299" s="41" t="e">
        <f t="shared" si="716"/>
        <v>#VALUE!</v>
      </c>
      <c r="CI1299" s="41" t="str">
        <f t="shared" si="717"/>
        <v>Not Reported/ Can not calculate</v>
      </c>
      <c r="CJ1299" s="41" t="e">
        <f t="shared" si="718"/>
        <v>#VALUE!</v>
      </c>
      <c r="CL1299" s="9" t="s">
        <v>407</v>
      </c>
      <c r="CM1299" s="18" t="s">
        <v>1284</v>
      </c>
      <c r="CN1299" s="54" t="s">
        <v>1284</v>
      </c>
      <c r="CO1299" s="18" t="s">
        <v>1284</v>
      </c>
    </row>
    <row r="1300" spans="1:93" x14ac:dyDescent="0.25">
      <c r="A1300" s="6" t="s">
        <v>407</v>
      </c>
      <c r="B1300" s="41">
        <v>4.4800000000000004</v>
      </c>
      <c r="C1300" s="41">
        <v>7.7</v>
      </c>
      <c r="D1300" s="41">
        <v>0.58181818181818179</v>
      </c>
      <c r="E1300" s="41" t="s">
        <v>22</v>
      </c>
      <c r="F1300" s="18" t="s">
        <v>22</v>
      </c>
      <c r="G1300" s="18" t="s">
        <v>22</v>
      </c>
      <c r="H1300" s="18" t="s">
        <v>22</v>
      </c>
      <c r="I1300" s="18" t="s">
        <v>22</v>
      </c>
      <c r="J1300" s="41" t="s">
        <v>22</v>
      </c>
      <c r="K1300" s="18" t="s">
        <v>22</v>
      </c>
      <c r="M1300" s="18" t="s">
        <v>23</v>
      </c>
      <c r="N1300" s="41">
        <v>690</v>
      </c>
      <c r="O1300" s="41">
        <v>8.9610389610389612E-2</v>
      </c>
      <c r="P1300" s="41">
        <v>207</v>
      </c>
      <c r="R1300" s="41">
        <f>N1300*B1300</f>
        <v>3091.2000000000003</v>
      </c>
      <c r="S1300" s="41">
        <f>O1300*D1300</f>
        <v>5.2136953955135769E-2</v>
      </c>
      <c r="T1300" s="41" t="s">
        <v>22</v>
      </c>
      <c r="U1300" s="41" t="s">
        <v>22</v>
      </c>
      <c r="V1300" s="18">
        <v>20191229</v>
      </c>
      <c r="W1300" s="21" t="s">
        <v>388</v>
      </c>
      <c r="X1300" s="18"/>
      <c r="Y1300" s="18"/>
      <c r="Z1300" s="18"/>
      <c r="AA1300" s="18"/>
      <c r="AC1300" s="18" t="s">
        <v>22</v>
      </c>
      <c r="AD1300" s="41" t="s">
        <v>22</v>
      </c>
      <c r="AE1300" s="41" t="s">
        <v>22</v>
      </c>
      <c r="AF1300" s="41" t="s">
        <v>22</v>
      </c>
      <c r="AG1300" s="41" t="s">
        <v>22</v>
      </c>
      <c r="AH1300" s="41" t="s">
        <v>22</v>
      </c>
      <c r="AI1300" s="41" t="s">
        <v>22</v>
      </c>
      <c r="AJ1300" s="41" t="s">
        <v>22</v>
      </c>
      <c r="AK1300" s="41" t="s">
        <v>22</v>
      </c>
      <c r="AL1300" s="41" t="s">
        <v>22</v>
      </c>
      <c r="AM1300" s="43" t="e">
        <f t="shared" si="697"/>
        <v>#VALUE!</v>
      </c>
      <c r="AN1300" s="43" t="e">
        <f t="shared" si="698"/>
        <v>#VALUE!</v>
      </c>
      <c r="AO1300" s="19" t="s">
        <v>399</v>
      </c>
      <c r="AT1300" s="2">
        <f t="shared" si="699"/>
        <v>1</v>
      </c>
      <c r="AU1300" s="45">
        <f t="shared" si="700"/>
        <v>0.651278013998144</v>
      </c>
      <c r="AV1300" s="45">
        <f t="shared" si="701"/>
        <v>0.88649072517248184</v>
      </c>
      <c r="AW1300" s="45">
        <f t="shared" si="702"/>
        <v>-0.2352127111743379</v>
      </c>
      <c r="AX1300" s="45">
        <f t="shared" si="703"/>
        <v>2.8388490907372552</v>
      </c>
      <c r="AY1300" s="45">
        <f t="shared" si="704"/>
        <v>-1.0476416344352266</v>
      </c>
      <c r="AZ1300" s="45">
        <f t="shared" si="705"/>
        <v>2.3159703454569178</v>
      </c>
      <c r="BA1300" s="45" t="e">
        <f t="shared" si="706"/>
        <v>#VALUE!</v>
      </c>
      <c r="BB1300" s="45" t="e">
        <f t="shared" si="707"/>
        <v>#NUM!</v>
      </c>
      <c r="BC1300" s="45" t="e">
        <f t="shared" si="708"/>
        <v>#VALUE!</v>
      </c>
      <c r="BD1300" s="45" t="e">
        <f t="shared" si="709"/>
        <v>#VALUE!</v>
      </c>
      <c r="BE1300" s="45" t="e">
        <f t="shared" si="710"/>
        <v>#VALUE!</v>
      </c>
      <c r="BF1300" s="45" t="e">
        <f t="shared" si="711"/>
        <v>#VALUE!</v>
      </c>
      <c r="BG1300" s="45" t="e">
        <f t="shared" si="712"/>
        <v>#VALUE!</v>
      </c>
      <c r="BH1300" s="45" t="e">
        <f t="shared" si="713"/>
        <v>#NUM!</v>
      </c>
      <c r="BI1300" s="43" t="e">
        <f t="shared" si="714"/>
        <v>#VALUE!</v>
      </c>
      <c r="CA1300" s="41" t="s">
        <v>22</v>
      </c>
      <c r="CC1300" t="s">
        <v>22</v>
      </c>
      <c r="CE1300" s="41" t="s">
        <v>22</v>
      </c>
      <c r="CF1300" s="41" t="s">
        <v>22</v>
      </c>
      <c r="CG1300" s="41" t="e">
        <f t="shared" si="715"/>
        <v>#VALUE!</v>
      </c>
      <c r="CH1300" s="41" t="e">
        <f t="shared" si="716"/>
        <v>#VALUE!</v>
      </c>
      <c r="CI1300" s="41" t="str">
        <f t="shared" si="717"/>
        <v>Not Reported/ Can not calculate</v>
      </c>
      <c r="CJ1300" s="41" t="e">
        <f t="shared" si="718"/>
        <v>#VALUE!</v>
      </c>
      <c r="CL1300" s="9" t="s">
        <v>407</v>
      </c>
      <c r="CM1300" s="18" t="s">
        <v>1284</v>
      </c>
      <c r="CN1300" s="54" t="s">
        <v>1284</v>
      </c>
      <c r="CO1300" s="18" t="s">
        <v>1284</v>
      </c>
    </row>
    <row r="1301" spans="1:93" x14ac:dyDescent="0.25">
      <c r="A1301" s="6" t="s">
        <v>375</v>
      </c>
      <c r="B1301" s="41">
        <v>0.14000000000000001</v>
      </c>
      <c r="C1301" s="41">
        <v>1.93</v>
      </c>
      <c r="D1301" s="41">
        <v>7.2538860103626937E-2</v>
      </c>
      <c r="E1301" s="41" t="s">
        <v>22</v>
      </c>
      <c r="F1301" s="18" t="s">
        <v>22</v>
      </c>
      <c r="G1301" s="18" t="s">
        <v>22</v>
      </c>
      <c r="H1301" s="18" t="s">
        <v>22</v>
      </c>
      <c r="I1301" s="18" t="s">
        <v>22</v>
      </c>
      <c r="J1301" s="41" t="s">
        <v>22</v>
      </c>
      <c r="K1301" s="18" t="s">
        <v>22</v>
      </c>
      <c r="M1301" s="18" t="s">
        <v>23</v>
      </c>
      <c r="N1301" s="41">
        <v>3920</v>
      </c>
      <c r="O1301" s="41">
        <v>2.0310880829015545</v>
      </c>
      <c r="P1301" s="41">
        <v>588</v>
      </c>
      <c r="R1301" s="41">
        <f>N1301*B1301</f>
        <v>548.80000000000007</v>
      </c>
      <c r="S1301" s="41">
        <f>O1301*D1301</f>
        <v>0.14733281430373971</v>
      </c>
      <c r="T1301" s="41" t="s">
        <v>22</v>
      </c>
      <c r="U1301" s="41" t="s">
        <v>22</v>
      </c>
      <c r="V1301" s="18">
        <v>20191229</v>
      </c>
      <c r="W1301" s="21" t="s">
        <v>405</v>
      </c>
      <c r="X1301" s="18"/>
      <c r="Y1301" s="18"/>
      <c r="Z1301" s="18"/>
      <c r="AA1301" s="18"/>
      <c r="AC1301" s="18" t="s">
        <v>22</v>
      </c>
      <c r="AD1301" s="41" t="s">
        <v>22</v>
      </c>
      <c r="AE1301" s="41" t="s">
        <v>22</v>
      </c>
      <c r="AF1301" s="41" t="s">
        <v>22</v>
      </c>
      <c r="AG1301" s="41" t="s">
        <v>22</v>
      </c>
      <c r="AH1301" s="41" t="s">
        <v>22</v>
      </c>
      <c r="AI1301" s="41" t="s">
        <v>22</v>
      </c>
      <c r="AJ1301" s="41" t="s">
        <v>22</v>
      </c>
      <c r="AK1301" s="41" t="s">
        <v>22</v>
      </c>
      <c r="AL1301" s="41" t="s">
        <v>22</v>
      </c>
      <c r="AM1301" s="43" t="e">
        <f t="shared" si="697"/>
        <v>#VALUE!</v>
      </c>
      <c r="AN1301" s="43" t="e">
        <f t="shared" si="698"/>
        <v>#VALUE!</v>
      </c>
      <c r="AO1301" s="19" t="s">
        <v>404</v>
      </c>
      <c r="AT1301" s="2">
        <f t="shared" si="699"/>
        <v>1</v>
      </c>
      <c r="AU1301" s="45">
        <f t="shared" si="700"/>
        <v>-0.85387196432176193</v>
      </c>
      <c r="AV1301" s="45">
        <f t="shared" si="701"/>
        <v>0.28555730900777376</v>
      </c>
      <c r="AW1301" s="45">
        <f t="shared" si="702"/>
        <v>-1.1394292733295357</v>
      </c>
      <c r="AX1301" s="45">
        <f t="shared" si="703"/>
        <v>3.5932860670204572</v>
      </c>
      <c r="AY1301" s="45">
        <f t="shared" si="704"/>
        <v>0.30772875801268351</v>
      </c>
      <c r="AZ1301" s="45">
        <f t="shared" si="705"/>
        <v>2.7693773260761385</v>
      </c>
      <c r="BA1301" s="45" t="e">
        <f t="shared" si="706"/>
        <v>#VALUE!</v>
      </c>
      <c r="BB1301" s="45" t="e">
        <f t="shared" si="707"/>
        <v>#NUM!</v>
      </c>
      <c r="BC1301" s="45" t="e">
        <f t="shared" si="708"/>
        <v>#VALUE!</v>
      </c>
      <c r="BD1301" s="45" t="e">
        <f t="shared" si="709"/>
        <v>#VALUE!</v>
      </c>
      <c r="BE1301" s="45" t="e">
        <f t="shared" si="710"/>
        <v>#VALUE!</v>
      </c>
      <c r="BF1301" s="45" t="e">
        <f t="shared" si="711"/>
        <v>#VALUE!</v>
      </c>
      <c r="BG1301" s="45" t="e">
        <f t="shared" si="712"/>
        <v>#VALUE!</v>
      </c>
      <c r="BH1301" s="45" t="e">
        <f t="shared" si="713"/>
        <v>#NUM!</v>
      </c>
      <c r="BI1301" s="43" t="e">
        <f t="shared" si="714"/>
        <v>#VALUE!</v>
      </c>
      <c r="CA1301" s="41" t="s">
        <v>22</v>
      </c>
      <c r="CC1301" t="s">
        <v>22</v>
      </c>
      <c r="CE1301" s="41" t="s">
        <v>22</v>
      </c>
      <c r="CF1301" s="41" t="s">
        <v>22</v>
      </c>
      <c r="CG1301" s="41" t="e">
        <f t="shared" si="715"/>
        <v>#VALUE!</v>
      </c>
      <c r="CH1301" s="41" t="e">
        <f t="shared" si="716"/>
        <v>#VALUE!</v>
      </c>
      <c r="CI1301" s="41" t="str">
        <f t="shared" si="717"/>
        <v>Not Reported/ Can not calculate</v>
      </c>
      <c r="CJ1301" s="41" t="e">
        <f t="shared" si="718"/>
        <v>#VALUE!</v>
      </c>
      <c r="CL1301" s="9" t="s">
        <v>1268</v>
      </c>
      <c r="CM1301" s="18" t="s">
        <v>1284</v>
      </c>
      <c r="CN1301" s="54" t="s">
        <v>1284</v>
      </c>
      <c r="CO1301" s="18" t="s">
        <v>1284</v>
      </c>
    </row>
    <row r="1302" spans="1:93" x14ac:dyDescent="0.25">
      <c r="A1302" s="6" t="s">
        <v>406</v>
      </c>
      <c r="B1302" s="41" t="s">
        <v>22</v>
      </c>
      <c r="C1302" s="41">
        <v>0.97</v>
      </c>
      <c r="D1302" s="41" t="s">
        <v>22</v>
      </c>
      <c r="E1302" s="41" t="s">
        <v>22</v>
      </c>
      <c r="F1302" s="18" t="s">
        <v>22</v>
      </c>
      <c r="G1302" s="18" t="s">
        <v>22</v>
      </c>
      <c r="H1302" s="18" t="s">
        <v>22</v>
      </c>
      <c r="I1302" s="18" t="s">
        <v>22</v>
      </c>
      <c r="J1302" s="41" t="s">
        <v>22</v>
      </c>
      <c r="K1302" s="18" t="s">
        <v>22</v>
      </c>
      <c r="M1302" s="18" t="s">
        <v>23</v>
      </c>
      <c r="N1302" s="41">
        <v>3900</v>
      </c>
      <c r="O1302" s="41">
        <v>4.0206185567010309</v>
      </c>
      <c r="P1302" s="41">
        <v>132</v>
      </c>
      <c r="R1302" s="41" t="s">
        <v>22</v>
      </c>
      <c r="S1302" s="41" t="s">
        <v>22</v>
      </c>
      <c r="T1302" s="41" t="s">
        <v>22</v>
      </c>
      <c r="U1302" s="41" t="s">
        <v>22</v>
      </c>
      <c r="V1302" s="18">
        <v>20191229</v>
      </c>
      <c r="W1302" s="21" t="s">
        <v>386</v>
      </c>
      <c r="X1302" s="18"/>
      <c r="Y1302" s="18" t="s">
        <v>22</v>
      </c>
      <c r="Z1302" s="18" t="s">
        <v>22</v>
      </c>
      <c r="AA1302" s="18"/>
      <c r="AC1302" s="18" t="s">
        <v>22</v>
      </c>
      <c r="AD1302" s="41" t="s">
        <v>22</v>
      </c>
      <c r="AE1302" s="41" t="s">
        <v>22</v>
      </c>
      <c r="AF1302" s="41" t="s">
        <v>22</v>
      </c>
      <c r="AG1302" s="41" t="s">
        <v>22</v>
      </c>
      <c r="AH1302" s="41" t="s">
        <v>22</v>
      </c>
      <c r="AI1302" s="41" t="s">
        <v>22</v>
      </c>
      <c r="AJ1302" s="41" t="s">
        <v>22</v>
      </c>
      <c r="AK1302" s="41" t="s">
        <v>22</v>
      </c>
      <c r="AL1302" s="41" t="s">
        <v>22</v>
      </c>
      <c r="AM1302" s="43" t="e">
        <f t="shared" si="697"/>
        <v>#VALUE!</v>
      </c>
      <c r="AN1302" s="43" t="e">
        <f t="shared" si="698"/>
        <v>#VALUE!</v>
      </c>
      <c r="AO1302" s="14" t="s">
        <v>1041</v>
      </c>
      <c r="AT1302" s="2">
        <f t="shared" si="699"/>
        <v>1</v>
      </c>
      <c r="AU1302" s="45" t="e">
        <f t="shared" si="700"/>
        <v>#VALUE!</v>
      </c>
      <c r="AV1302" s="45">
        <f t="shared" si="701"/>
        <v>-1.322826573375516E-2</v>
      </c>
      <c r="AW1302" s="45" t="e">
        <f t="shared" si="702"/>
        <v>#VALUE!</v>
      </c>
      <c r="AX1302" s="45">
        <f t="shared" si="703"/>
        <v>3.5910646070264991</v>
      </c>
      <c r="AY1302" s="45">
        <f t="shared" si="704"/>
        <v>0.60429287276025434</v>
      </c>
      <c r="AZ1302" s="45">
        <f t="shared" si="705"/>
        <v>2.12057393120585</v>
      </c>
      <c r="BA1302" s="45" t="e">
        <f t="shared" si="706"/>
        <v>#VALUE!</v>
      </c>
      <c r="BB1302" s="45" t="e">
        <f t="shared" si="707"/>
        <v>#NUM!</v>
      </c>
      <c r="BC1302" s="45" t="e">
        <f t="shared" si="708"/>
        <v>#VALUE!</v>
      </c>
      <c r="BD1302" s="45" t="e">
        <f t="shared" si="709"/>
        <v>#VALUE!</v>
      </c>
      <c r="BE1302" s="45" t="e">
        <f t="shared" si="710"/>
        <v>#VALUE!</v>
      </c>
      <c r="BF1302" s="45" t="e">
        <f t="shared" si="711"/>
        <v>#VALUE!</v>
      </c>
      <c r="BG1302" s="45" t="e">
        <f t="shared" si="712"/>
        <v>#VALUE!</v>
      </c>
      <c r="BH1302" s="45" t="e">
        <f t="shared" si="713"/>
        <v>#NUM!</v>
      </c>
      <c r="BI1302" s="43" t="e">
        <f t="shared" si="714"/>
        <v>#VALUE!</v>
      </c>
      <c r="CA1302" s="41" t="s">
        <v>22</v>
      </c>
      <c r="CC1302" t="s">
        <v>22</v>
      </c>
      <c r="CE1302" s="41" t="s">
        <v>22</v>
      </c>
      <c r="CF1302" s="41" t="s">
        <v>22</v>
      </c>
      <c r="CG1302" s="41" t="e">
        <f t="shared" si="715"/>
        <v>#VALUE!</v>
      </c>
      <c r="CH1302" s="41" t="e">
        <f t="shared" si="716"/>
        <v>#VALUE!</v>
      </c>
      <c r="CI1302" s="41" t="str">
        <f t="shared" si="717"/>
        <v>Not Reported/ Can not calculate</v>
      </c>
      <c r="CJ1302" s="41" t="e">
        <f t="shared" si="718"/>
        <v>#VALUE!</v>
      </c>
      <c r="CL1302" s="9" t="s">
        <v>1268</v>
      </c>
      <c r="CM1302" s="18" t="s">
        <v>1284</v>
      </c>
      <c r="CN1302" s="54" t="s">
        <v>1284</v>
      </c>
      <c r="CO1302" s="18" t="s">
        <v>1284</v>
      </c>
    </row>
    <row r="1303" spans="1:93" x14ac:dyDescent="0.25">
      <c r="A1303" s="6" t="s">
        <v>1267</v>
      </c>
      <c r="B1303" s="41">
        <v>55</v>
      </c>
      <c r="C1303" s="41">
        <v>5.9</v>
      </c>
      <c r="D1303" s="41">
        <v>9.4</v>
      </c>
      <c r="E1303" s="41" t="s">
        <v>22</v>
      </c>
      <c r="F1303" t="s">
        <v>22</v>
      </c>
      <c r="G1303" t="s">
        <v>22</v>
      </c>
      <c r="H1303" t="s">
        <v>22</v>
      </c>
      <c r="I1303" t="s">
        <v>22</v>
      </c>
      <c r="J1303" s="41" t="s">
        <v>22</v>
      </c>
      <c r="K1303" t="s">
        <v>22</v>
      </c>
      <c r="L1303" s="41" t="s">
        <v>22</v>
      </c>
      <c r="M1303" s="20" t="s">
        <v>1261</v>
      </c>
      <c r="N1303" s="41">
        <v>318</v>
      </c>
      <c r="O1303" s="41">
        <v>5.389830508E-2</v>
      </c>
      <c r="P1303" s="41">
        <v>53.78</v>
      </c>
      <c r="R1303" s="41" t="s">
        <v>22</v>
      </c>
      <c r="S1303" s="41">
        <f>O1303*D1303</f>
        <v>0.50664406775199999</v>
      </c>
      <c r="T1303" s="41" t="s">
        <v>22</v>
      </c>
      <c r="U1303" s="41" t="s">
        <v>22</v>
      </c>
      <c r="V1303">
        <v>20210326</v>
      </c>
      <c r="X1303">
        <v>2021</v>
      </c>
      <c r="Y1303" t="s">
        <v>26</v>
      </c>
      <c r="Z1303" t="s">
        <v>34</v>
      </c>
      <c r="AC1303" t="s">
        <v>514</v>
      </c>
      <c r="AD1303" s="41">
        <v>10.9</v>
      </c>
      <c r="AE1303" s="41" t="s">
        <v>22</v>
      </c>
      <c r="AF1303" s="41" t="s">
        <v>22</v>
      </c>
      <c r="AG1303" s="41" t="s">
        <v>22</v>
      </c>
      <c r="AI1303" s="41" t="s">
        <v>22</v>
      </c>
      <c r="AJ1303" s="41" t="s">
        <v>22</v>
      </c>
      <c r="AK1303" s="41" t="s">
        <v>22</v>
      </c>
      <c r="AL1303" s="41" t="s">
        <v>22</v>
      </c>
      <c r="AM1303" s="43" t="e">
        <f t="shared" si="697"/>
        <v>#VALUE!</v>
      </c>
      <c r="AN1303" s="43" t="e">
        <f t="shared" si="698"/>
        <v>#VALUE!</v>
      </c>
      <c r="AO1303" s="6" t="s">
        <v>1262</v>
      </c>
      <c r="AT1303" s="18">
        <v>2</v>
      </c>
      <c r="AU1303" s="45">
        <f t="shared" si="700"/>
        <v>1.7403626894942439</v>
      </c>
      <c r="AV1303" s="45">
        <f t="shared" si="701"/>
        <v>0.77085201164214423</v>
      </c>
      <c r="AW1303" s="45">
        <f t="shared" si="702"/>
        <v>0.97312785359969867</v>
      </c>
      <c r="AX1303" s="45">
        <f t="shared" si="703"/>
        <v>2.5024271199844326</v>
      </c>
      <c r="AY1303" s="45">
        <f t="shared" si="704"/>
        <v>-1.2684248916959513</v>
      </c>
      <c r="AZ1303" s="45">
        <f t="shared" si="705"/>
        <v>1.7306207978872827</v>
      </c>
      <c r="BA1303" s="45" t="e">
        <f t="shared" si="706"/>
        <v>#VALUE!</v>
      </c>
      <c r="BB1303" s="45" t="e">
        <f t="shared" si="707"/>
        <v>#VALUE!</v>
      </c>
      <c r="BC1303" s="45" t="e">
        <f t="shared" si="708"/>
        <v>#VALUE!</v>
      </c>
      <c r="BD1303" s="45">
        <f t="shared" si="709"/>
        <v>1.0374264979406236</v>
      </c>
      <c r="BE1303" s="45" t="e">
        <f t="shared" si="710"/>
        <v>#VALUE!</v>
      </c>
      <c r="BF1303" s="45" t="e">
        <f t="shared" si="711"/>
        <v>#VALUE!</v>
      </c>
      <c r="BG1303" s="45" t="e">
        <f t="shared" si="712"/>
        <v>#VALUE!</v>
      </c>
      <c r="BH1303" s="45" t="e">
        <f t="shared" si="713"/>
        <v>#NUM!</v>
      </c>
      <c r="BI1303" s="43" t="e">
        <f t="shared" si="714"/>
        <v>#VALUE!</v>
      </c>
      <c r="BJ1303" t="s">
        <v>528</v>
      </c>
      <c r="BK1303" t="s">
        <v>521</v>
      </c>
      <c r="BL1303" s="2" t="s">
        <v>22</v>
      </c>
      <c r="BM1303" s="41">
        <v>1857</v>
      </c>
      <c r="BN1303" s="41">
        <v>19970000000</v>
      </c>
      <c r="BO1303" s="41">
        <v>3384.5</v>
      </c>
      <c r="BP1303" s="41" t="s">
        <v>22</v>
      </c>
      <c r="BQ1303" s="41" t="s">
        <v>22</v>
      </c>
      <c r="BR1303" s="41">
        <v>800</v>
      </c>
      <c r="BS1303" t="s">
        <v>22</v>
      </c>
      <c r="BT1303" s="18" t="s">
        <v>22</v>
      </c>
      <c r="BU1303" s="41" t="s">
        <v>22</v>
      </c>
      <c r="BV1303" s="41" t="s">
        <v>22</v>
      </c>
      <c r="BW1303" s="41" t="s">
        <v>22</v>
      </c>
      <c r="BX1303" s="41" t="s">
        <v>22</v>
      </c>
      <c r="BY1303" s="41" t="s">
        <v>22</v>
      </c>
      <c r="BZ1303" s="41">
        <v>1500</v>
      </c>
      <c r="CA1303" s="41">
        <v>1500</v>
      </c>
      <c r="CC1303" t="s">
        <v>1008</v>
      </c>
      <c r="CE1303" s="41">
        <f>LOG10(BN1303)</f>
        <v>10.300378064870703</v>
      </c>
      <c r="CF1303" s="41" t="s">
        <v>22</v>
      </c>
      <c r="CG1303" s="41">
        <f>AD1303*1000</f>
        <v>10900</v>
      </c>
      <c r="CH1303" s="41">
        <f>LOG10(CG1303)</f>
        <v>4.0374264979406238</v>
      </c>
      <c r="CI1303" s="41">
        <f>IF(ISNUMBER(CG1303),CG1303,U1303)</f>
        <v>10900</v>
      </c>
      <c r="CJ1303" s="41">
        <f>LOG10(CI1303)</f>
        <v>4.0374264979406238</v>
      </c>
      <c r="CL1303" s="9" t="s">
        <v>407</v>
      </c>
      <c r="CM1303" s="18" t="s">
        <v>1283</v>
      </c>
      <c r="CN1303" s="54">
        <v>3.1760912590556813</v>
      </c>
      <c r="CO1303" s="18" t="s">
        <v>1283</v>
      </c>
    </row>
    <row r="1304" spans="1:93" s="18" customFormat="1" x14ac:dyDescent="0.25">
      <c r="A1304" s="6" t="s">
        <v>1267</v>
      </c>
      <c r="B1304" s="41">
        <v>55</v>
      </c>
      <c r="C1304" s="41">
        <v>5.9</v>
      </c>
      <c r="D1304" s="41">
        <v>9.4</v>
      </c>
      <c r="E1304" s="41" t="s">
        <v>22</v>
      </c>
      <c r="F1304" s="18" t="s">
        <v>22</v>
      </c>
      <c r="G1304" s="18" t="s">
        <v>22</v>
      </c>
      <c r="H1304" s="18" t="s">
        <v>22</v>
      </c>
      <c r="I1304" s="18" t="s">
        <v>22</v>
      </c>
      <c r="J1304" s="41" t="s">
        <v>22</v>
      </c>
      <c r="K1304" s="18" t="s">
        <v>22</v>
      </c>
      <c r="L1304" s="41" t="s">
        <v>22</v>
      </c>
      <c r="M1304" s="20" t="s">
        <v>1261</v>
      </c>
      <c r="N1304" s="41">
        <v>318</v>
      </c>
      <c r="O1304" s="41">
        <v>5.389830508E-2</v>
      </c>
      <c r="P1304" s="41">
        <v>53.78</v>
      </c>
      <c r="Q1304" s="41"/>
      <c r="R1304" s="41" t="s">
        <v>22</v>
      </c>
      <c r="S1304" s="41">
        <f>O1304*D1304</f>
        <v>0.50664406775199999</v>
      </c>
      <c r="T1304" s="41" t="s">
        <v>22</v>
      </c>
      <c r="U1304" s="41" t="s">
        <v>22</v>
      </c>
      <c r="V1304" s="18">
        <v>20210326</v>
      </c>
      <c r="W1304" s="21"/>
      <c r="X1304" s="18">
        <v>2021</v>
      </c>
      <c r="Y1304" s="18" t="s">
        <v>26</v>
      </c>
      <c r="Z1304" s="18" t="s">
        <v>34</v>
      </c>
      <c r="AB1304" s="41"/>
      <c r="AC1304" s="18" t="s">
        <v>514</v>
      </c>
      <c r="AD1304" s="41">
        <v>10.9</v>
      </c>
      <c r="AE1304" s="41" t="s">
        <v>22</v>
      </c>
      <c r="AF1304" s="41" t="s">
        <v>22</v>
      </c>
      <c r="AG1304" s="41" t="s">
        <v>22</v>
      </c>
      <c r="AH1304" s="41"/>
      <c r="AI1304" s="41" t="s">
        <v>22</v>
      </c>
      <c r="AJ1304" s="41" t="s">
        <v>22</v>
      </c>
      <c r="AK1304" s="41" t="s">
        <v>22</v>
      </c>
      <c r="AL1304" s="41" t="s">
        <v>22</v>
      </c>
      <c r="AM1304" s="43" t="e">
        <f t="shared" ref="AM1304" si="719">AL1304/AI1304</f>
        <v>#VALUE!</v>
      </c>
      <c r="AN1304" s="43" t="e">
        <f t="shared" ref="AN1304" si="720">AL1304/AJ1304</f>
        <v>#VALUE!</v>
      </c>
      <c r="AO1304" s="6" t="s">
        <v>1262</v>
      </c>
      <c r="AT1304" s="18">
        <v>2</v>
      </c>
      <c r="AU1304" s="45">
        <f t="shared" ref="AU1304:AU1305" si="721">LOG10(B1304)</f>
        <v>1.7403626894942439</v>
      </c>
      <c r="AV1304" s="45">
        <f t="shared" ref="AV1304" si="722">LOG10(C1304)</f>
        <v>0.77085201164214423</v>
      </c>
      <c r="AW1304" s="45">
        <f t="shared" ref="AW1304" si="723">LOG10(D1304)</f>
        <v>0.97312785359969867</v>
      </c>
      <c r="AX1304" s="45">
        <f t="shared" ref="AX1304" si="724">LOG10(N1304)</f>
        <v>2.5024271199844326</v>
      </c>
      <c r="AY1304" s="45">
        <f t="shared" ref="AY1304" si="725">LOG10(O1304)</f>
        <v>-1.2684248916959513</v>
      </c>
      <c r="AZ1304" s="45">
        <f t="shared" ref="AZ1304" si="726">LOG10(P1304)</f>
        <v>1.7306207978872827</v>
      </c>
      <c r="BA1304" s="45" t="e">
        <f t="shared" ref="BA1304" si="727">LOG10(J1304)</f>
        <v>#VALUE!</v>
      </c>
      <c r="BB1304" s="45" t="e">
        <f t="shared" ref="BB1304" si="728">LOG10(L1304)</f>
        <v>#VALUE!</v>
      </c>
      <c r="BC1304" s="45" t="e">
        <f t="shared" ref="BC1304" si="729">LOG10(U1304)</f>
        <v>#VALUE!</v>
      </c>
      <c r="BD1304" s="45">
        <f t="shared" ref="BD1304" si="730">LOG10(AD1304)</f>
        <v>1.0374264979406236</v>
      </c>
      <c r="BE1304" s="45" t="e">
        <f t="shared" ref="BE1304:BE1305" si="731">LOG10(AF1304)</f>
        <v>#VALUE!</v>
      </c>
      <c r="BF1304" s="45" t="e">
        <f t="shared" ref="BF1304" si="732">LOG10(AM1304)</f>
        <v>#VALUE!</v>
      </c>
      <c r="BG1304" s="45" t="e">
        <f t="shared" ref="BG1304" si="733">LOG10(AN1304)</f>
        <v>#VALUE!</v>
      </c>
      <c r="BH1304" s="45" t="e">
        <f t="shared" si="713"/>
        <v>#NUM!</v>
      </c>
      <c r="BI1304" s="43" t="e">
        <f t="shared" ref="BI1304:BI1305" si="734">LOG10(AF1304)</f>
        <v>#VALUE!</v>
      </c>
      <c r="BJ1304" s="18" t="s">
        <v>528</v>
      </c>
      <c r="BK1304" s="18" t="s">
        <v>521</v>
      </c>
      <c r="BL1304" s="2" t="s">
        <v>22</v>
      </c>
      <c r="BM1304" s="41">
        <v>259</v>
      </c>
      <c r="BN1304" s="41">
        <v>2740000000</v>
      </c>
      <c r="BO1304" s="41">
        <v>472</v>
      </c>
      <c r="BP1304" s="41" t="s">
        <v>22</v>
      </c>
      <c r="BQ1304" s="41" t="s">
        <v>22</v>
      </c>
      <c r="BR1304" s="41">
        <v>800</v>
      </c>
      <c r="BS1304" s="18" t="s">
        <v>22</v>
      </c>
      <c r="BT1304" s="18" t="s">
        <v>22</v>
      </c>
      <c r="BU1304" s="41" t="s">
        <v>22</v>
      </c>
      <c r="BV1304" s="41" t="s">
        <v>22</v>
      </c>
      <c r="BW1304" s="41" t="s">
        <v>22</v>
      </c>
      <c r="BX1304" s="41" t="s">
        <v>22</v>
      </c>
      <c r="BY1304" s="41" t="s">
        <v>22</v>
      </c>
      <c r="BZ1304" s="41">
        <v>17000</v>
      </c>
      <c r="CA1304" s="41">
        <v>17000</v>
      </c>
      <c r="CC1304" s="18" t="s">
        <v>1008</v>
      </c>
      <c r="CE1304" s="41">
        <f>LOG10(BN1304)</f>
        <v>9.4377505628203888</v>
      </c>
      <c r="CF1304" s="41" t="s">
        <v>22</v>
      </c>
      <c r="CG1304" s="41">
        <f>AD1304*1000</f>
        <v>10900</v>
      </c>
      <c r="CH1304" s="41">
        <f>LOG10(CG1304)</f>
        <v>4.0374264979406238</v>
      </c>
      <c r="CI1304" s="41">
        <f>IF(ISNUMBER(CG1304),CG1304,U1304)</f>
        <v>10900</v>
      </c>
      <c r="CJ1304" s="41">
        <f>LOG10(CI1304)</f>
        <v>4.0374264979406238</v>
      </c>
      <c r="CL1304" s="9" t="s">
        <v>407</v>
      </c>
      <c r="CM1304" s="18" t="s">
        <v>1283</v>
      </c>
      <c r="CN1304" s="54">
        <v>4.2304489213782741</v>
      </c>
      <c r="CO1304" s="18" t="s">
        <v>1283</v>
      </c>
    </row>
    <row r="1305" spans="1:93" x14ac:dyDescent="0.25">
      <c r="A1305" s="6" t="s">
        <v>141</v>
      </c>
      <c r="B1305" s="41" t="s">
        <v>22</v>
      </c>
      <c r="C1305" s="41" t="s">
        <v>22</v>
      </c>
      <c r="D1305" s="41" t="s">
        <v>22</v>
      </c>
      <c r="E1305" s="41" t="s">
        <v>22</v>
      </c>
      <c r="F1305" s="18" t="s">
        <v>22</v>
      </c>
      <c r="G1305" s="18" t="s">
        <v>22</v>
      </c>
      <c r="H1305" s="18" t="s">
        <v>22</v>
      </c>
      <c r="I1305" s="18" t="s">
        <v>22</v>
      </c>
      <c r="J1305" s="41">
        <v>0.9</v>
      </c>
      <c r="K1305">
        <v>532</v>
      </c>
      <c r="L1305" s="41">
        <f>IF((10^-12)*J1305*K1305^4=0,"",(10^-12)*J1305*K1305^4)</f>
        <v>7.2092326118399996E-2</v>
      </c>
      <c r="M1305" t="s">
        <v>23</v>
      </c>
      <c r="N1305" s="41" t="s">
        <v>22</v>
      </c>
      <c r="O1305" s="41" t="s">
        <v>22</v>
      </c>
      <c r="P1305" s="41" t="s">
        <v>22</v>
      </c>
      <c r="R1305" s="41" t="s">
        <v>22</v>
      </c>
      <c r="S1305" s="41" t="s">
        <v>22</v>
      </c>
      <c r="T1305" s="41">
        <v>6</v>
      </c>
      <c r="U1305" s="41">
        <v>6</v>
      </c>
      <c r="V1305">
        <v>20210326</v>
      </c>
      <c r="X1305" s="21">
        <v>2021</v>
      </c>
      <c r="Y1305" t="s">
        <v>26</v>
      </c>
      <c r="Z1305" t="s">
        <v>32</v>
      </c>
      <c r="AC1305" t="s">
        <v>1263</v>
      </c>
      <c r="AD1305" s="41">
        <v>5</v>
      </c>
      <c r="AE1305" s="41">
        <v>1580</v>
      </c>
      <c r="AF1305" s="41" t="s">
        <v>22</v>
      </c>
      <c r="AG1305" s="41" t="s">
        <v>22</v>
      </c>
      <c r="AH1305" s="41" t="s">
        <v>22</v>
      </c>
      <c r="AI1305" s="41" t="s">
        <v>22</v>
      </c>
      <c r="AJ1305" s="41" t="s">
        <v>22</v>
      </c>
      <c r="AK1305" s="41" t="s">
        <v>22</v>
      </c>
      <c r="AL1305" s="41" t="s">
        <v>22</v>
      </c>
      <c r="AM1305" s="41" t="s">
        <v>22</v>
      </c>
      <c r="AN1305" s="41" t="s">
        <v>22</v>
      </c>
      <c r="AO1305" s="6" t="s">
        <v>1264</v>
      </c>
      <c r="AT1305" s="18">
        <v>1</v>
      </c>
      <c r="AU1305" s="45" t="e">
        <f t="shared" si="721"/>
        <v>#VALUE!</v>
      </c>
      <c r="AV1305" s="45" t="e">
        <f t="shared" ref="AV1305" si="735">LOG10(C1305)</f>
        <v>#VALUE!</v>
      </c>
      <c r="AW1305" s="45" t="e">
        <f t="shared" ref="AW1305" si="736">LOG10(D1305)</f>
        <v>#VALUE!</v>
      </c>
      <c r="AX1305" s="45" t="e">
        <f t="shared" ref="AX1305" si="737">LOG10(N1305)</f>
        <v>#VALUE!</v>
      </c>
      <c r="AY1305" s="45" t="e">
        <f t="shared" ref="AY1305" si="738">LOG10(O1305)</f>
        <v>#VALUE!</v>
      </c>
      <c r="AZ1305" s="45" t="e">
        <f t="shared" ref="AZ1305" si="739">LOG10(P1305)</f>
        <v>#VALUE!</v>
      </c>
      <c r="BA1305" s="45">
        <f t="shared" ref="BA1305" si="740">LOG10(J1305)</f>
        <v>-4.5757490560675115E-2</v>
      </c>
      <c r="BB1305" s="45">
        <f t="shared" ref="BB1305" si="741">LOG10(L1305)</f>
        <v>-1.1421109613804825</v>
      </c>
      <c r="BC1305" s="45">
        <f t="shared" ref="BC1305" si="742">LOG10(U1305)</f>
        <v>0.77815125038364363</v>
      </c>
      <c r="BD1305" s="45">
        <f t="shared" ref="BD1305" si="743">LOG10(AD1305)</f>
        <v>0.69897000433601886</v>
      </c>
      <c r="BE1305" s="45" t="e">
        <f t="shared" si="731"/>
        <v>#VALUE!</v>
      </c>
      <c r="BF1305" s="45" t="e">
        <f t="shared" ref="BF1305" si="744">LOG10(AM1305)</f>
        <v>#VALUE!</v>
      </c>
      <c r="BG1305" s="45" t="e">
        <f t="shared" ref="BG1305" si="745">LOG10(AN1305)</f>
        <v>#VALUE!</v>
      </c>
      <c r="BH1305" s="45" t="e">
        <f t="shared" si="713"/>
        <v>#NUM!</v>
      </c>
      <c r="BI1305" s="43" t="e">
        <f t="shared" si="734"/>
        <v>#VALUE!</v>
      </c>
      <c r="BJ1305" t="s">
        <v>520</v>
      </c>
      <c r="BK1305" s="2" t="s">
        <v>22</v>
      </c>
      <c r="BL1305" s="2" t="s">
        <v>22</v>
      </c>
      <c r="BM1305" s="43" t="s">
        <v>22</v>
      </c>
      <c r="BN1305" s="43" t="s">
        <v>22</v>
      </c>
      <c r="BO1305" s="43" t="s">
        <v>22</v>
      </c>
      <c r="BP1305" s="43" t="s">
        <v>22</v>
      </c>
      <c r="BQ1305" s="43" t="s">
        <v>22</v>
      </c>
      <c r="BR1305" s="43" t="s">
        <v>22</v>
      </c>
      <c r="BS1305" s="2" t="s">
        <v>522</v>
      </c>
      <c r="BT1305" s="2" t="s">
        <v>22</v>
      </c>
      <c r="BU1305" s="41">
        <v>31</v>
      </c>
      <c r="BV1305" s="41">
        <v>1580000000</v>
      </c>
      <c r="BW1305" s="41" t="s">
        <v>22</v>
      </c>
      <c r="BX1305" s="41" t="s">
        <v>22</v>
      </c>
      <c r="BY1305" s="41" t="s">
        <v>22</v>
      </c>
      <c r="BZ1305" s="41" t="s">
        <v>22</v>
      </c>
      <c r="CA1305" s="41" t="s">
        <v>22</v>
      </c>
      <c r="CB1305" s="18" t="s">
        <v>22</v>
      </c>
      <c r="CC1305" t="s">
        <v>1009</v>
      </c>
      <c r="CD1305" t="s">
        <v>1265</v>
      </c>
      <c r="CE1305" s="41" t="e">
        <f>LOG10(BN1305)</f>
        <v>#VALUE!</v>
      </c>
      <c r="CF1305" s="41">
        <f>LOG10(BV1305)</f>
        <v>9.1986570869544231</v>
      </c>
      <c r="CG1305" s="41">
        <f>AD1305*1000</f>
        <v>5000</v>
      </c>
      <c r="CH1305" s="41">
        <f>LOG10(CG1305)</f>
        <v>3.6989700043360187</v>
      </c>
      <c r="CI1305" s="41">
        <f>IF(ISNUMBER(CG1305),CG1305,U1305)</f>
        <v>5000</v>
      </c>
      <c r="CJ1305" s="41">
        <f>LOG10(CI1305)</f>
        <v>3.6989700043360187</v>
      </c>
      <c r="CL1305" s="9" t="s">
        <v>1269</v>
      </c>
      <c r="CM1305" s="18" t="s">
        <v>1283</v>
      </c>
      <c r="CN1305" s="54" t="s">
        <v>1284</v>
      </c>
      <c r="CO1305" s="18" t="s">
        <v>1284</v>
      </c>
    </row>
  </sheetData>
  <sortState xmlns:xlrd2="http://schemas.microsoft.com/office/spreadsheetml/2017/richdata2" ref="A2:CK1330">
    <sortCondition ref="AO2:AO1330"/>
  </sortState>
  <phoneticPr fontId="12" type="noConversion"/>
  <hyperlinks>
    <hyperlink ref="AO297" r:id="rId1" xr:uid="{00000000-0004-0000-0000-000000000000}"/>
    <hyperlink ref="AO445" r:id="rId2" xr:uid="{00000000-0004-0000-0000-000001000000}"/>
    <hyperlink ref="AO552" r:id="rId3" xr:uid="{00000000-0004-0000-0000-000002000000}"/>
    <hyperlink ref="AO313" r:id="rId4" xr:uid="{00000000-0004-0000-0000-000003000000}"/>
    <hyperlink ref="AO314" r:id="rId5" xr:uid="{00000000-0004-0000-0000-000004000000}"/>
    <hyperlink ref="AO341" r:id="rId6" xr:uid="{00000000-0004-0000-0000-000005000000}"/>
    <hyperlink ref="AO470" r:id="rId7" display=" 2011 Anisotropic carbon nanotube papers fabricated from multiwalled carbon nanotube webs" xr:uid="{00000000-0004-0000-0000-000006000000}"/>
    <hyperlink ref="AO541" r:id="rId8" xr:uid="{00000000-0004-0000-0000-000007000000}"/>
    <hyperlink ref="AO630" r:id="rId9" display=" 2014 Anisotropic buckypaper through shear-induced mechanical alignment of carbon nanotubes in water" xr:uid="{00000000-0004-0000-0000-000008000000}"/>
    <hyperlink ref="AO682" r:id="rId10" xr:uid="{00000000-0004-0000-0000-000009000000}"/>
    <hyperlink ref="AO683" r:id="rId11" xr:uid="{00000000-0004-0000-0000-00000A000000}"/>
    <hyperlink ref="AO549" r:id="rId12" xr:uid="{00000000-0004-0000-0000-00000B000000}"/>
    <hyperlink ref="AO405" r:id="rId13" xr:uid="{00000000-0004-0000-0000-00000C000000}"/>
    <hyperlink ref="AO894" r:id="rId14" xr:uid="{00000000-0004-0000-0000-00000D000000}"/>
    <hyperlink ref="AO859" r:id="rId15" xr:uid="{00000000-0004-0000-0000-00000E000000}"/>
    <hyperlink ref="AO860" r:id="rId16" xr:uid="{00000000-0004-0000-0000-00000F000000}"/>
    <hyperlink ref="AO845" r:id="rId17" xr:uid="{00000000-0004-0000-0000-000010000000}"/>
    <hyperlink ref="AO846" r:id="rId18" xr:uid="{00000000-0004-0000-0000-000011000000}"/>
    <hyperlink ref="AO527" r:id="rId19" xr:uid="{00000000-0004-0000-0000-000012000000}"/>
    <hyperlink ref="AO685" r:id="rId20" xr:uid="{00000000-0004-0000-0000-000013000000}"/>
    <hyperlink ref="AO406" r:id="rId21" xr:uid="{00000000-0004-0000-0000-000014000000}"/>
    <hyperlink ref="AO958" r:id="rId22" display="Hierarchical structure of carbon nanotube fibers, and the change of structure during densification by wet stretching" xr:uid="{00000000-0004-0000-0000-000015000000}"/>
    <hyperlink ref="AO411" r:id="rId23" xr:uid="{00000000-0004-0000-0000-000016000000}"/>
    <hyperlink ref="AO421" r:id="rId24" xr:uid="{00000000-0004-0000-0000-000017000000}"/>
    <hyperlink ref="AO430" r:id="rId25" xr:uid="{00000000-0004-0000-0000-000018000000}"/>
    <hyperlink ref="AO684" r:id="rId26" xr:uid="{00000000-0004-0000-0000-000019000000}"/>
    <hyperlink ref="AO889" r:id="rId27" display="2018 A comparison of the twisted and untwisted structures for " xr:uid="{00000000-0004-0000-0000-00001A000000}"/>
    <hyperlink ref="AO499" r:id="rId28" xr:uid="{00000000-0004-0000-0000-00001C000000}"/>
    <hyperlink ref="AO500" r:id="rId29" xr:uid="{00000000-0004-0000-0000-00001D000000}"/>
    <hyperlink ref="AO898" r:id="rId30" xr:uid="{00000000-0004-0000-0000-00001E000000}"/>
    <hyperlink ref="AO899" r:id="rId31" xr:uid="{00000000-0004-0000-0000-00001F000000}"/>
    <hyperlink ref="AO937" r:id="rId32" xr:uid="{00000000-0004-0000-0000-000020000000}"/>
    <hyperlink ref="AO938" r:id="rId33" xr:uid="{00000000-0004-0000-0000-000021000000}"/>
    <hyperlink ref="AO524" r:id="rId34" xr:uid="{00000000-0004-0000-0000-000022000000}"/>
    <hyperlink ref="AO525" r:id="rId35" xr:uid="{00000000-0004-0000-0000-000023000000}"/>
    <hyperlink ref="AO526" r:id="rId36" xr:uid="{00000000-0004-0000-0000-000024000000}"/>
    <hyperlink ref="AO466" r:id="rId37" display="2011_Jia et al._A comparison of the mechanical properties of fibers spun from different carbon nanotubes.pdf" xr:uid="{00000000-0004-0000-0000-000025000000}"/>
    <hyperlink ref="AO467" r:id="rId38" display="2011_Jia et al._A comparison of the mechanical properties of fibers spun from different carbon nanotubes.pdf" xr:uid="{00000000-0004-0000-0000-000026000000}"/>
    <hyperlink ref="AO468" r:id="rId39" display="2011_Jia et al._A comparison of the mechanical properties of fibers spun from different carbon nanotubes.pdf" xr:uid="{00000000-0004-0000-0000-000027000000}"/>
    <hyperlink ref="AO469" r:id="rId40" display="2011_Jia et al._A comparison of the mechanical properties of fibers spun from different carbon nanotubes.pdf" xr:uid="{00000000-0004-0000-0000-000028000000}"/>
    <hyperlink ref="AO351" r:id="rId41" display="2008_Zhang et al._Solid-state spun fibers and yarns from 1-mm long carbon nanotube forests synthesized by water-assisted chemical vapor.pdf" xr:uid="{00000000-0004-0000-0000-000029000000}"/>
    <hyperlink ref="AO352" r:id="rId42" display="2008_Zhang et al._Solid-state spun fibers and yarns from 1-mm long carbon nanotube forests synthesized by water-assisted chemical vapor.pdf" xr:uid="{00000000-0004-0000-0000-00002A000000}"/>
    <hyperlink ref="AO353" r:id="rId43" display="2008_Zhang et al._Solid-state spun fibers and yarns from 1-mm long carbon nanotube forests synthesized by water-assisted chemical vapor.pdf" xr:uid="{00000000-0004-0000-0000-00002B000000}"/>
    <hyperlink ref="AO309" r:id="rId44" display="2007_Zhang et al._Strong carbon-nanotube fibers spun from long carbon-nanotube arrays.pdf" xr:uid="{00000000-0004-0000-0000-00002C000000}"/>
    <hyperlink ref="AO310" r:id="rId45" display="2007_Zhang et al._Strong carbon-nanotube fibers spun from long carbon-nanotube arrays.pdf" xr:uid="{00000000-0004-0000-0000-00002D000000}"/>
    <hyperlink ref="AO311" r:id="rId46" display="2007_Zhang et al._Strong carbon-nanotube fibers spun from long carbon-nanotube arrays.pdf" xr:uid="{00000000-0004-0000-0000-00002E000000}"/>
    <hyperlink ref="AO312" r:id="rId47" display="2007_Zhang et al._Strong carbon-nanotube fibers spun from long carbon-nanotube arrays.pdf" xr:uid="{00000000-0004-0000-0000-00002F000000}"/>
    <hyperlink ref="AO808" r:id="rId48" xr:uid="{00000000-0004-0000-0000-000030000000}"/>
    <hyperlink ref="AO298" r:id="rId49" xr:uid="{00000000-0004-0000-0000-000031000000}"/>
    <hyperlink ref="AO299" r:id="rId50" xr:uid="{00000000-0004-0000-0000-000032000000}"/>
    <hyperlink ref="AO300" r:id="rId51" xr:uid="{00000000-0004-0000-0000-000033000000}"/>
    <hyperlink ref="AO315" r:id="rId52" xr:uid="{00000000-0004-0000-0000-000034000000}"/>
    <hyperlink ref="AO316" r:id="rId53" xr:uid="{00000000-0004-0000-0000-000035000000}"/>
    <hyperlink ref="AO317" r:id="rId54" xr:uid="{00000000-0004-0000-0000-000036000000}"/>
    <hyperlink ref="AO318" r:id="rId55" xr:uid="{00000000-0004-0000-0000-000037000000}"/>
    <hyperlink ref="AO542" r:id="rId56" xr:uid="{00000000-0004-0000-0000-000038000000}"/>
    <hyperlink ref="AO543" r:id="rId57" xr:uid="{00000000-0004-0000-0000-000039000000}"/>
    <hyperlink ref="AO544" r:id="rId58" xr:uid="{00000000-0004-0000-0000-00003A000000}"/>
    <hyperlink ref="AO545" r:id="rId59" xr:uid="{00000000-0004-0000-0000-00003B000000}"/>
    <hyperlink ref="AO546" r:id="rId60" xr:uid="{00000000-0004-0000-0000-00003C000000}"/>
    <hyperlink ref="AO547" r:id="rId61" xr:uid="{00000000-0004-0000-0000-00003D000000}"/>
    <hyperlink ref="AO548" r:id="rId62" xr:uid="{00000000-0004-0000-0000-00003E000000}"/>
    <hyperlink ref="AO631" r:id="rId63" display=" 2014 Anisotropic buckypaper through shear-induced mechanical alignment of carbon nanotubes in water" xr:uid="{00000000-0004-0000-0000-00003F000000}"/>
    <hyperlink ref="AO632" r:id="rId64" display=" 2014 Anisotropic buckypaper through shear-induced mechanical alignment of carbon nanotubes in water" xr:uid="{00000000-0004-0000-0000-000040000000}"/>
    <hyperlink ref="AO633" r:id="rId65" display=" 2014 Anisotropic buckypaper through shear-induced mechanical alignment of carbon nanotubes in water" xr:uid="{00000000-0004-0000-0000-000041000000}"/>
    <hyperlink ref="AO634" r:id="rId66" display=" 2014 Anisotropic buckypaper through shear-induced mechanical alignment of carbon nanotubes in water" xr:uid="{00000000-0004-0000-0000-000042000000}"/>
    <hyperlink ref="AO635" r:id="rId67" display=" 2014 Anisotropic buckypaper through shear-induced mechanical alignment of carbon nanotubes in water" xr:uid="{00000000-0004-0000-0000-000043000000}"/>
    <hyperlink ref="AO636" r:id="rId68" display=" 2014 Anisotropic buckypaper through shear-induced mechanical alignment of carbon nanotubes in water" xr:uid="{00000000-0004-0000-0000-000044000000}"/>
    <hyperlink ref="AO528" r:id="rId69" xr:uid="{00000000-0004-0000-0000-000045000000}"/>
    <hyperlink ref="AO529" r:id="rId70" xr:uid="{00000000-0004-0000-0000-000046000000}"/>
    <hyperlink ref="AO530" r:id="rId71" xr:uid="{00000000-0004-0000-0000-000047000000}"/>
    <hyperlink ref="AO531" r:id="rId72" xr:uid="{00000000-0004-0000-0000-000048000000}"/>
    <hyperlink ref="AO532" r:id="rId73" xr:uid="{00000000-0004-0000-0000-000049000000}"/>
    <hyperlink ref="AO533" r:id="rId74" xr:uid="{00000000-0004-0000-0000-00004A000000}"/>
    <hyperlink ref="AO535" r:id="rId75" xr:uid="{00000000-0004-0000-0000-00004B000000}"/>
    <hyperlink ref="AO536" r:id="rId76" xr:uid="{00000000-0004-0000-0000-00004C000000}"/>
    <hyperlink ref="AO537" r:id="rId77" xr:uid="{00000000-0004-0000-0000-00004D000000}"/>
    <hyperlink ref="AO538" r:id="rId78" xr:uid="{00000000-0004-0000-0000-00004E000000}"/>
    <hyperlink ref="AO539" r:id="rId79" xr:uid="{00000000-0004-0000-0000-00004F000000}"/>
    <hyperlink ref="AO550" r:id="rId80" xr:uid="{00000000-0004-0000-0000-000050000000}"/>
    <hyperlink ref="AO895" r:id="rId81" xr:uid="{00000000-0004-0000-0000-000051000000}"/>
    <hyperlink ref="AO896" r:id="rId82" xr:uid="{00000000-0004-0000-0000-000052000000}"/>
    <hyperlink ref="AO897" r:id="rId83" xr:uid="{00000000-0004-0000-0000-000053000000}"/>
    <hyperlink ref="AO216" r:id="rId84" xr:uid="{00000000-0004-0000-0000-000054000000}"/>
    <hyperlink ref="AO762" r:id="rId85" xr:uid="{00000000-0004-0000-0000-000055000000}"/>
    <hyperlink ref="AO244" r:id="rId86" xr:uid="{00000000-0004-0000-0000-000056000000}"/>
    <hyperlink ref="AO725" r:id="rId87" xr:uid="{00000000-0004-0000-0000-000057000000}"/>
    <hyperlink ref="AO251" r:id="rId88" xr:uid="{00000000-0004-0000-0000-000058000000}"/>
    <hyperlink ref="AO681" r:id="rId89" xr:uid="{00000000-0004-0000-0000-000059000000}"/>
    <hyperlink ref="AO843" r:id="rId90" xr:uid="{00000000-0004-0000-0000-00005A000000}"/>
    <hyperlink ref="AO840" r:id="rId91" xr:uid="{00000000-0004-0000-0000-00005B000000}"/>
    <hyperlink ref="AO279" r:id="rId92" display="2005 Metal-insulator transistion in doped single-wall carbon nanotubes" xr:uid="{00000000-0004-0000-0000-00005C000000}"/>
    <hyperlink ref="AO280" r:id="rId93" display="2005 Metal-insulator transistion in doped single-wall carbon nanotubes" xr:uid="{00000000-0004-0000-0000-00005D000000}"/>
    <hyperlink ref="AO693" r:id="rId94" xr:uid="{00000000-0004-0000-0000-00005E000000}"/>
    <hyperlink ref="AO717" r:id="rId95" xr:uid="{00000000-0004-0000-0000-00005F000000}"/>
    <hyperlink ref="AO718" r:id="rId96" xr:uid="{00000000-0004-0000-0000-000060000000}"/>
    <hyperlink ref="AO637" r:id="rId97" xr:uid="{00000000-0004-0000-0000-000061000000}"/>
    <hyperlink ref="AO491" r:id="rId98" xr:uid="{00000000-0004-0000-0000-000062000000}"/>
    <hyperlink ref="AO492" r:id="rId99" xr:uid="{00000000-0004-0000-0000-000063000000}"/>
    <hyperlink ref="AO618" r:id="rId100" xr:uid="{00000000-0004-0000-0000-000064000000}"/>
    <hyperlink ref="AO619" r:id="rId101" xr:uid="{00000000-0004-0000-0000-000065000000}"/>
    <hyperlink ref="AO442" r:id="rId102" xr:uid="{00000000-0004-0000-0000-000066000000}"/>
    <hyperlink ref="AO443" r:id="rId103" xr:uid="{00000000-0004-0000-0000-000067000000}"/>
    <hyperlink ref="AO444" r:id="rId104" xr:uid="{00000000-0004-0000-0000-000068000000}"/>
    <hyperlink ref="AO307" r:id="rId105" xr:uid="{00000000-0004-0000-0000-000069000000}"/>
    <hyperlink ref="AO809" r:id="rId106" xr:uid="{00000000-0004-0000-0000-00006A000000}"/>
    <hyperlink ref="AO848" r:id="rId107" xr:uid="{00000000-0004-0000-0000-00006B000000}"/>
    <hyperlink ref="AO798" r:id="rId108" xr:uid="{00000000-0004-0000-0000-00006C000000}"/>
    <hyperlink ref="AO844" r:id="rId109" xr:uid="{00000000-0004-0000-0000-00006D000000}"/>
    <hyperlink ref="AO258" r:id="rId110" xr:uid="{00000000-0004-0000-0000-00006E000000}"/>
    <hyperlink ref="AO913" r:id="rId111" xr:uid="{00000000-0004-0000-0000-00006F000000}"/>
    <hyperlink ref="AO847" r:id="rId112" xr:uid="{00000000-0004-0000-0000-000070000000}"/>
    <hyperlink ref="AO646" r:id="rId113" xr:uid="{00000000-0004-0000-0000-000071000000}"/>
    <hyperlink ref="AO815" r:id="rId114" xr:uid="{00000000-0004-0000-0000-000072000000}"/>
    <hyperlink ref="AO724" r:id="rId115" xr:uid="{00000000-0004-0000-0000-000073000000}"/>
    <hyperlink ref="AO262:AO263" r:id="rId116" display="2014 Iodine monochloride as a powerful enhancerof electrical conductivity of carbon nanotube wires " xr:uid="{00000000-0004-0000-0000-000074000000}"/>
    <hyperlink ref="AO837" r:id="rId117" xr:uid="{00000000-0004-0000-0000-000075000000}"/>
    <hyperlink ref="AO1144" r:id="rId118" xr:uid="{00000000-0004-0000-0000-000076000000}"/>
    <hyperlink ref="AO729" r:id="rId119" xr:uid="{00000000-0004-0000-0000-000077000000}"/>
    <hyperlink ref="AO277:AO304" r:id="rId120" display="2016 Relationship between Mechanical and Electrical Properties of Continuous Polymer-Free Carbon Nanotube Fibers by Wet-Spinning Method and Nanotube-Length Estimated by Far-Infrared Spectroscopy" xr:uid="{00000000-0004-0000-0000-000078000000}"/>
    <hyperlink ref="AO1145" r:id="rId121" xr:uid="{00000000-0004-0000-0000-000079000000}"/>
    <hyperlink ref="AO1146" r:id="rId122" xr:uid="{00000000-0004-0000-0000-00007A000000}"/>
    <hyperlink ref="AO1147" r:id="rId123" xr:uid="{00000000-0004-0000-0000-00007B000000}"/>
    <hyperlink ref="AO1148" r:id="rId124" xr:uid="{00000000-0004-0000-0000-00007C000000}"/>
    <hyperlink ref="AO1149" r:id="rId125" xr:uid="{00000000-0004-0000-0000-00007D000000}"/>
    <hyperlink ref="AO1150" r:id="rId126" xr:uid="{00000000-0004-0000-0000-00007E000000}"/>
    <hyperlink ref="AO509" r:id="rId127" xr:uid="{00000000-0004-0000-0000-00007F000000}"/>
    <hyperlink ref="AO719" r:id="rId128" xr:uid="{00000000-0004-0000-0000-000080000000}"/>
    <hyperlink ref="AO720" r:id="rId129" xr:uid="{00000000-0004-0000-0000-000081000000}"/>
    <hyperlink ref="AO638" r:id="rId130" xr:uid="{00000000-0004-0000-0000-000082000000}"/>
    <hyperlink ref="AO639" r:id="rId131" xr:uid="{00000000-0004-0000-0000-000083000000}"/>
    <hyperlink ref="AO640" r:id="rId132" xr:uid="{00000000-0004-0000-0000-000084000000}"/>
    <hyperlink ref="AO641" r:id="rId133" xr:uid="{00000000-0004-0000-0000-000085000000}"/>
    <hyperlink ref="AO647" r:id="rId134" xr:uid="{00000000-0004-0000-0000-000086000000}"/>
    <hyperlink ref="AO726" r:id="rId135" xr:uid="{00000000-0004-0000-0000-000087000000}"/>
    <hyperlink ref="AO727" r:id="rId136" xr:uid="{00000000-0004-0000-0000-000088000000}"/>
    <hyperlink ref="AO620" r:id="rId137" xr:uid="{00000000-0004-0000-0000-000089000000}"/>
    <hyperlink ref="AO217" r:id="rId138" xr:uid="{00000000-0004-0000-0000-00008A000000}"/>
    <hyperlink ref="AO218" r:id="rId139" xr:uid="{00000000-0004-0000-0000-00008B000000}"/>
    <hyperlink ref="AO219" r:id="rId140" xr:uid="{00000000-0004-0000-0000-00008C000000}"/>
    <hyperlink ref="AO245" r:id="rId141" xr:uid="{00000000-0004-0000-0000-00008D000000}"/>
    <hyperlink ref="AO810" r:id="rId142" xr:uid="{00000000-0004-0000-0000-00008E000000}"/>
    <hyperlink ref="AO811" r:id="rId143" xr:uid="{00000000-0004-0000-0000-00008F000000}"/>
    <hyperlink ref="AO841" r:id="rId144" xr:uid="{00000000-0004-0000-0000-000090000000}"/>
    <hyperlink ref="AO842" r:id="rId145" xr:uid="{00000000-0004-0000-0000-000091000000}"/>
    <hyperlink ref="AO667" r:id="rId146" xr:uid="{00000000-0004-0000-0000-000092000000}"/>
    <hyperlink ref="AO669" r:id="rId147" xr:uid="{00000000-0004-0000-0000-000093000000}"/>
    <hyperlink ref="AO670" r:id="rId148" xr:uid="{00000000-0004-0000-0000-000094000000}"/>
    <hyperlink ref="AO838" r:id="rId149" xr:uid="{00000000-0004-0000-0000-000095000000}"/>
    <hyperlink ref="AO839" r:id="rId150" xr:uid="{00000000-0004-0000-0000-000096000000}"/>
    <hyperlink ref="AO282" r:id="rId151" display="2005 Metal-insulator transistion in doped single-wall carbon nanotubes" xr:uid="{00000000-0004-0000-0000-000097000000}"/>
    <hyperlink ref="AO283" r:id="rId152" display="2005 Metal-insulator transistion in doped single-wall carbon nanotubes" xr:uid="{00000000-0004-0000-0000-000098000000}"/>
    <hyperlink ref="AO508" r:id="rId153" xr:uid="{00000000-0004-0000-0000-000099000000}"/>
    <hyperlink ref="AO481" r:id="rId154" xr:uid="{00000000-0004-0000-0000-00009A000000}"/>
    <hyperlink ref="AO387" r:id="rId155" xr:uid="{00000000-0004-0000-0000-00009B000000}"/>
    <hyperlink ref="AO252" r:id="rId156" xr:uid="{00000000-0004-0000-0000-00009C000000}"/>
    <hyperlink ref="AO246" r:id="rId157" xr:uid="{00000000-0004-0000-0000-00009D000000}"/>
    <hyperlink ref="AO270" r:id="rId158" xr:uid="{00000000-0004-0000-0000-00009E000000}"/>
    <hyperlink ref="AO447" r:id="rId159" xr:uid="{00000000-0004-0000-0000-00009F000000}"/>
    <hyperlink ref="AO446" r:id="rId160" xr:uid="{00000000-0004-0000-0000-0000A0000000}"/>
    <hyperlink ref="AO507" r:id="rId161" xr:uid="{00000000-0004-0000-0000-0000A2000000}"/>
    <hyperlink ref="AO506" r:id="rId162" xr:uid="{00000000-0004-0000-0000-0000A3000000}"/>
    <hyperlink ref="AO505" r:id="rId163" xr:uid="{00000000-0004-0000-0000-0000A4000000}"/>
    <hyperlink ref="AO504" r:id="rId164" xr:uid="{00000000-0004-0000-0000-0000A5000000}"/>
    <hyperlink ref="AO503" r:id="rId165" xr:uid="{00000000-0004-0000-0000-0000A6000000}"/>
    <hyperlink ref="AO502" r:id="rId166" xr:uid="{00000000-0004-0000-0000-0000A7000000}"/>
    <hyperlink ref="AO501" r:id="rId167" xr:uid="{00000000-0004-0000-0000-0000A8000000}"/>
    <hyperlink ref="AO341:AO352" r:id="rId168" display="2013 Influence of lengths of millimeter-scale single-walled carbon nanotube on electrical and mechanical properties of buckypaper" xr:uid="{00000000-0004-0000-0000-0000A9000000}"/>
    <hyperlink ref="AO253" r:id="rId169" xr:uid="{00000000-0004-0000-0000-0000AA000000}"/>
    <hyperlink ref="AO254" r:id="rId170" xr:uid="{00000000-0004-0000-0000-0000AB000000}"/>
    <hyperlink ref="AO255" r:id="rId171" xr:uid="{00000000-0004-0000-0000-0000AC000000}"/>
    <hyperlink ref="AO256" r:id="rId172" xr:uid="{00000000-0004-0000-0000-0000AD000000}"/>
    <hyperlink ref="AO257" r:id="rId173" xr:uid="{00000000-0004-0000-0000-0000AE000000}"/>
    <hyperlink ref="AO247" r:id="rId174" xr:uid="{00000000-0004-0000-0000-0000AF000000}"/>
    <hyperlink ref="AO388" r:id="rId175" xr:uid="{00000000-0004-0000-0000-0000B0000000}"/>
    <hyperlink ref="AO389" r:id="rId176" xr:uid="{00000000-0004-0000-0000-0000B1000000}"/>
    <hyperlink ref="AO390" r:id="rId177" xr:uid="{00000000-0004-0000-0000-0000B2000000}"/>
    <hyperlink ref="AO494" r:id="rId178" xr:uid="{00000000-0004-0000-0000-0000B3000000}"/>
    <hyperlink ref="AO416" r:id="rId179" xr:uid="{00000000-0004-0000-0000-0000B4000000}"/>
    <hyperlink ref="AO412" r:id="rId180" xr:uid="{00000000-0004-0000-0000-0000B5000000}"/>
    <hyperlink ref="AO413" r:id="rId181" xr:uid="{00000000-0004-0000-0000-0000B6000000}"/>
    <hyperlink ref="AO414" r:id="rId182" xr:uid="{00000000-0004-0000-0000-0000B7000000}"/>
    <hyperlink ref="AO415" r:id="rId183" xr:uid="{00000000-0004-0000-0000-0000B8000000}"/>
    <hyperlink ref="AO540" r:id="rId184" xr:uid="{00000000-0004-0000-0000-0000B9000000}"/>
    <hyperlink ref="AO342" r:id="rId185" xr:uid="{00000000-0004-0000-0000-0000BA000000}"/>
    <hyperlink ref="AO551" r:id="rId186" xr:uid="{00000000-0004-0000-0000-0000BB000000}"/>
    <hyperlink ref="AO354" r:id="rId187" xr:uid="{00000000-0004-0000-0000-0000BC000000}"/>
    <hyperlink ref="AO355" r:id="rId188" xr:uid="{00000000-0004-0000-0000-0000BD000000}"/>
    <hyperlink ref="AO356" r:id="rId189" xr:uid="{00000000-0004-0000-0000-0000BE000000}"/>
    <hyperlink ref="AO357" r:id="rId190" xr:uid="{00000000-0004-0000-0000-0000BF000000}"/>
    <hyperlink ref="AO358" r:id="rId191" xr:uid="{00000000-0004-0000-0000-0000C0000000}"/>
    <hyperlink ref="AO908" r:id="rId192" xr:uid="{00000000-0004-0000-0000-0000C1000000}"/>
    <hyperlink ref="AO909" r:id="rId193" xr:uid="{00000000-0004-0000-0000-0000C2000000}"/>
    <hyperlink ref="AO910" r:id="rId194" xr:uid="{00000000-0004-0000-0000-0000C3000000}"/>
    <hyperlink ref="AO911" r:id="rId195" xr:uid="{00000000-0004-0000-0000-0000C4000000}"/>
    <hyperlink ref="AO912" r:id="rId196" xr:uid="{00000000-0004-0000-0000-0000C5000000}"/>
    <hyperlink ref="AO606" r:id="rId197" xr:uid="{00000000-0004-0000-0000-0000C6000000}"/>
    <hyperlink ref="AO175" r:id="rId198" display="1992 iPAC review.pdf" xr:uid="{00000000-0004-0000-0000-0000C7000000}"/>
    <hyperlink ref="AO176" r:id="rId199" display="1992 iPAC review.pdf" xr:uid="{00000000-0004-0000-0000-0000C8000000}"/>
    <hyperlink ref="AO177" r:id="rId200" display="1992 iPAC review.pdf" xr:uid="{00000000-0004-0000-0000-0000C9000000}"/>
    <hyperlink ref="AO178" r:id="rId201" display="1992 iPAC review.pdf" xr:uid="{00000000-0004-0000-0000-0000CA000000}"/>
    <hyperlink ref="AO179" r:id="rId202" display="1992 iPAC review.pdf" xr:uid="{00000000-0004-0000-0000-0000CB000000}"/>
    <hyperlink ref="AO180" r:id="rId203" display="1992 iPAC review.pdf" xr:uid="{00000000-0004-0000-0000-0000CC000000}"/>
    <hyperlink ref="AO181" r:id="rId204" display="1992 iPAC review.pdf" xr:uid="{00000000-0004-0000-0000-0000CD000000}"/>
    <hyperlink ref="AO182" r:id="rId205" display="1992 iPAC review.pdf" xr:uid="{00000000-0004-0000-0000-0000CE000000}"/>
    <hyperlink ref="AO183" r:id="rId206" display="1992 iPAC review.pdf" xr:uid="{00000000-0004-0000-0000-0000CF000000}"/>
    <hyperlink ref="AO184" r:id="rId207" display="1992 iPAC review.pdf" xr:uid="{00000000-0004-0000-0000-0000D0000000}"/>
    <hyperlink ref="AO132" r:id="rId208" display="1988_SynthesisandCharacyeristicsofOrientedPacfilms" xr:uid="{00000000-0004-0000-0000-0000D2000000}"/>
    <hyperlink ref="AO285" r:id="rId209" display="2005 Metal-insulator transistion in doped single-wall carbon nanotubes" xr:uid="{00000000-0004-0000-0000-0000D3000000}"/>
    <hyperlink ref="AO87" r:id="rId210" xr:uid="{00000000-0004-0000-0000-0000D4000000}"/>
    <hyperlink ref="AO88" r:id="rId211" xr:uid="{00000000-0004-0000-0000-0000D5000000}"/>
    <hyperlink ref="AO89" r:id="rId212" xr:uid="{00000000-0004-0000-0000-0000D6000000}"/>
    <hyperlink ref="AO90" r:id="rId213" xr:uid="{00000000-0004-0000-0000-0000D7000000}"/>
    <hyperlink ref="AO399" r:id="rId214" display=" 2009 Density measurement of size selected multiwalled carbon nanotubes by mobility-mass characterization" xr:uid="{00000000-0004-0000-0000-0000D8000000}"/>
    <hyperlink ref="AO214" r:id="rId215" xr:uid="{00000000-0004-0000-0000-0000D9000000}"/>
    <hyperlink ref="AO215" r:id="rId216" xr:uid="{00000000-0004-0000-0000-0000DA000000}"/>
    <hyperlink ref="AO198" r:id="rId217" display="1996_ElectricalConductivitiesofIndividualCarbonNanotubes" xr:uid="{00000000-0004-0000-0000-0000DB000000}"/>
    <hyperlink ref="AO233" r:id="rId218" xr:uid="{00000000-0004-0000-0000-0000DC000000}"/>
    <hyperlink ref="AO234" r:id="rId219" xr:uid="{00000000-0004-0000-0000-0000DD000000}"/>
    <hyperlink ref="AO286" r:id="rId220" xr:uid="{00000000-0004-0000-0000-0000DE000000}"/>
    <hyperlink ref="AO345" r:id="rId221" xr:uid="{00000000-0004-0000-0000-0000DF000000}"/>
    <hyperlink ref="AO346" r:id="rId222" xr:uid="{00000000-0004-0000-0000-0000E0000000}"/>
    <hyperlink ref="AO347" r:id="rId223" xr:uid="{00000000-0004-0000-0000-0000E1000000}"/>
    <hyperlink ref="AO348" r:id="rId224" xr:uid="{00000000-0004-0000-0000-0000E2000000}"/>
    <hyperlink ref="AO349" r:id="rId225" xr:uid="{00000000-0004-0000-0000-0000E3000000}"/>
    <hyperlink ref="AO350" r:id="rId226" xr:uid="{00000000-0004-0000-0000-0000E4000000}"/>
    <hyperlink ref="AO220" r:id="rId227" xr:uid="{00000000-0004-0000-0000-0000E5000000}"/>
    <hyperlink ref="AO221" r:id="rId228" xr:uid="{00000000-0004-0000-0000-0000E6000000}"/>
    <hyperlink ref="AO222" r:id="rId229" xr:uid="{00000000-0004-0000-0000-0000E7000000}"/>
    <hyperlink ref="AO223" r:id="rId230" xr:uid="{00000000-0004-0000-0000-0000E8000000}"/>
    <hyperlink ref="AO224" r:id="rId231" xr:uid="{00000000-0004-0000-0000-0000E9000000}"/>
    <hyperlink ref="AO225" r:id="rId232" xr:uid="{00000000-0004-0000-0000-0000EA000000}"/>
    <hyperlink ref="AO226" r:id="rId233" xr:uid="{00000000-0004-0000-0000-0000EB000000}"/>
    <hyperlink ref="AO190" r:id="rId234" xr:uid="{00000000-0004-0000-0000-0000EC000000}"/>
    <hyperlink ref="AO191" r:id="rId235" xr:uid="{00000000-0004-0000-0000-0000ED000000}"/>
    <hyperlink ref="AO400" r:id="rId236" xr:uid="{00000000-0004-0000-0000-0000EE000000}"/>
    <hyperlink ref="AO448" r:id="rId237" xr:uid="{00000000-0004-0000-0000-0000EF000000}"/>
    <hyperlink ref="AO449" r:id="rId238" xr:uid="{00000000-0004-0000-0000-0000F0000000}"/>
    <hyperlink ref="AO690" r:id="rId239" xr:uid="{00000000-0004-0000-0000-0000F2000000}"/>
    <hyperlink ref="AO691" r:id="rId240" xr:uid="{00000000-0004-0000-0000-0000F3000000}"/>
    <hyperlink ref="AO240" r:id="rId241" xr:uid="{00000000-0004-0000-0000-0000F4000000}"/>
    <hyperlink ref="AO241" r:id="rId242" xr:uid="{00000000-0004-0000-0000-0000F5000000}"/>
    <hyperlink ref="AO891" r:id="rId243" xr:uid="{00000000-0004-0000-0000-0000F6000000}"/>
    <hyperlink ref="AO91" r:id="rId244" xr:uid="{00000000-0004-0000-0000-0000F7000000}"/>
    <hyperlink ref="AO93" r:id="rId245" xr:uid="{00000000-0004-0000-0000-0000F8000000}"/>
    <hyperlink ref="AO49" r:id="rId246" xr:uid="{00000000-0004-0000-0000-0000FA000000}"/>
    <hyperlink ref="AO118" r:id="rId247" xr:uid="{00000000-0004-0000-0000-0000FB000000}"/>
    <hyperlink ref="AO648" r:id="rId248" xr:uid="{00000000-0004-0000-0000-0000FC000000}"/>
    <hyperlink ref="AO649" r:id="rId249" xr:uid="{00000000-0004-0000-0000-0000FD000000}"/>
    <hyperlink ref="AO650" r:id="rId250" xr:uid="{00000000-0004-0000-0000-0000FE000000}"/>
    <hyperlink ref="AO651" r:id="rId251" xr:uid="{00000000-0004-0000-0000-0000FF000000}"/>
    <hyperlink ref="AO652" r:id="rId252" xr:uid="{00000000-0004-0000-0000-000000010000}"/>
    <hyperlink ref="AO653" r:id="rId253" xr:uid="{00000000-0004-0000-0000-000001010000}"/>
    <hyperlink ref="AO876" r:id="rId254" xr:uid="{00000000-0004-0000-0000-000002010000}"/>
    <hyperlink ref="AO1297" r:id="rId255" xr:uid="{00000000-0004-0000-0000-000003010000}"/>
    <hyperlink ref="AO50" r:id="rId256" xr:uid="{00000000-0004-0000-0000-000004010000}"/>
    <hyperlink ref="AO51" r:id="rId257" xr:uid="{00000000-0004-0000-0000-000005010000}"/>
    <hyperlink ref="AO92" r:id="rId258" xr:uid="{00000000-0004-0000-0000-000006010000}"/>
    <hyperlink ref="AO1300" r:id="rId259" display="https://www.clearwatercomposites.com/resources/properties-of-carbon-fiber/" xr:uid="{00000000-0004-0000-0000-000007010000}"/>
    <hyperlink ref="AO728" r:id="rId260" xr:uid="{00000000-0004-0000-0000-000008010000}"/>
    <hyperlink ref="AO1301" r:id="rId261" xr:uid="{00000000-0004-0000-0000-000009010000}"/>
    <hyperlink ref="AO692" r:id="rId262" xr:uid="{00000000-0004-0000-0000-00000A010000}"/>
    <hyperlink ref="AO42" r:id="rId263" display="1983 High-field magnetoresistance measurements on highly ordered graphite 6bers" xr:uid="{00000000-0004-0000-0000-00000B010000}"/>
    <hyperlink ref="AO133" r:id="rId264" xr:uid="{00000000-0004-0000-0000-000016010000}"/>
    <hyperlink ref="AO134" r:id="rId265" xr:uid="{00000000-0004-0000-0000-000017010000}"/>
    <hyperlink ref="AO135" r:id="rId266" xr:uid="{00000000-0004-0000-0000-000018010000}"/>
    <hyperlink ref="AO136" r:id="rId267" xr:uid="{00000000-0004-0000-0000-000019010000}"/>
    <hyperlink ref="AO19" r:id="rId268" xr:uid="{00000000-0004-0000-0000-00001A010000}"/>
    <hyperlink ref="AO18" r:id="rId269" display="1977_AsF5GIC.pdf" xr:uid="{00000000-0004-0000-0000-00001B010000}"/>
    <hyperlink ref="AO66" r:id="rId270" xr:uid="{00000000-0004-0000-0000-00001C010000}"/>
    <hyperlink ref="AO67" r:id="rId271" xr:uid="{00000000-0004-0000-0000-00001D010000}"/>
    <hyperlink ref="AO68" r:id="rId272" xr:uid="{00000000-0004-0000-0000-00001E010000}"/>
    <hyperlink ref="AO69" r:id="rId273" xr:uid="{00000000-0004-0000-0000-00001F010000}"/>
    <hyperlink ref="AO70" r:id="rId274" xr:uid="{00000000-0004-0000-0000-000020010000}"/>
    <hyperlink ref="AO71" r:id="rId275" xr:uid="{00000000-0004-0000-0000-000021010000}"/>
    <hyperlink ref="AO72" r:id="rId276" xr:uid="{00000000-0004-0000-0000-000022010000}"/>
    <hyperlink ref="AO73" r:id="rId277" xr:uid="{00000000-0004-0000-0000-000023010000}"/>
    <hyperlink ref="AO74" r:id="rId278" xr:uid="{00000000-0004-0000-0000-000024010000}"/>
    <hyperlink ref="AO119" r:id="rId279" xr:uid="{00000000-0004-0000-0000-000025010000}"/>
    <hyperlink ref="AO1125" r:id="rId280" xr:uid="{00000000-0004-0000-0000-000026010000}"/>
    <hyperlink ref="AO1126" r:id="rId281" xr:uid="{00000000-0004-0000-0000-000027010000}"/>
    <hyperlink ref="AO1127" r:id="rId282" xr:uid="{00000000-0004-0000-0000-000028010000}"/>
    <hyperlink ref="AO1128" r:id="rId283" xr:uid="{00000000-0004-0000-0000-000029010000}"/>
    <hyperlink ref="AO1129" r:id="rId284" xr:uid="{00000000-0004-0000-0000-00002A010000}"/>
    <hyperlink ref="AO1130" r:id="rId285" xr:uid="{00000000-0004-0000-0000-00002B010000}"/>
    <hyperlink ref="AO1131" r:id="rId286" xr:uid="{00000000-0004-0000-0000-00002C010000}"/>
    <hyperlink ref="AO1132" r:id="rId287" xr:uid="{00000000-0004-0000-0000-00002D010000}"/>
    <hyperlink ref="AO1133" r:id="rId288" xr:uid="{00000000-0004-0000-0000-00002E010000}"/>
    <hyperlink ref="AO1134" r:id="rId289" xr:uid="{00000000-0004-0000-0000-00002F010000}"/>
    <hyperlink ref="AO1135" r:id="rId290" xr:uid="{00000000-0004-0000-0000-000030010000}"/>
    <hyperlink ref="AO1136" r:id="rId291" xr:uid="{00000000-0004-0000-0000-000031010000}"/>
    <hyperlink ref="AO1137" r:id="rId292" xr:uid="{00000000-0004-0000-0000-000032010000}"/>
    <hyperlink ref="AO1138" r:id="rId293" xr:uid="{00000000-0004-0000-0000-000033010000}"/>
    <hyperlink ref="AO1139" r:id="rId294" xr:uid="{00000000-0004-0000-0000-000034010000}"/>
    <hyperlink ref="AO1140" r:id="rId295" xr:uid="{00000000-0004-0000-0000-000035010000}"/>
    <hyperlink ref="AO816" r:id="rId296" xr:uid="{00000000-0004-0000-0000-000036010000}"/>
    <hyperlink ref="AO734" r:id="rId297" xr:uid="{00000000-0004-0000-0000-000037010000}"/>
    <hyperlink ref="AO143" r:id="rId298" display="1989_RAMAN AND X-RAY STUDY OF AsFJVAPOR- GROWN GRAPHITE FIBERS .pdf" xr:uid="{00000000-0004-0000-0000-000038010000}"/>
    <hyperlink ref="AO144" r:id="rId299" display="1989_RAMAN AND X-RAY STUDY OF AsFJVAPOR- GROWN GRAPHITE FIBERS .pdf" xr:uid="{00000000-0004-0000-0000-000039010000}"/>
    <hyperlink ref="AO142" r:id="rId300" display="1989 Vapor Grown Properties of Vapor Grown Graphite " xr:uid="{00000000-0004-0000-0000-00003A010000}"/>
    <hyperlink ref="AO497" r:id="rId301" display="2012 Alkali-metal-graphite intercalation compounds prepaired from flexible graphite sheets exhibiting high air stability and electrical conductivity " xr:uid="{00000000-0004-0000-0000-00003B010000}"/>
    <hyperlink ref="AO498" r:id="rId302" display="2012 Alkali-metal-graphite intercalation compounds prepaired from flexible graphite sheets exhibiting high air stability and electrical conductivity " xr:uid="{00000000-0004-0000-0000-00003C010000}"/>
    <hyperlink ref="AO1115" r:id="rId303" xr:uid="{00000000-0004-0000-0000-00003D010000}"/>
    <hyperlink ref="AO1116" r:id="rId304" xr:uid="{00000000-0004-0000-0000-00003E010000}"/>
    <hyperlink ref="AO1117" r:id="rId305" xr:uid="{00000000-0004-0000-0000-00003F010000}"/>
    <hyperlink ref="AO1118" r:id="rId306" xr:uid="{00000000-0004-0000-0000-000040010000}"/>
    <hyperlink ref="AO1119" r:id="rId307" xr:uid="{00000000-0004-0000-0000-000041010000}"/>
    <hyperlink ref="AO1120" r:id="rId308" xr:uid="{00000000-0004-0000-0000-000042010000}"/>
    <hyperlink ref="AO1121" r:id="rId309" xr:uid="{00000000-0004-0000-0000-000043010000}"/>
    <hyperlink ref="AO1122" r:id="rId310" xr:uid="{00000000-0004-0000-0000-000044010000}"/>
    <hyperlink ref="AO1123" r:id="rId311" xr:uid="{00000000-0004-0000-0000-000045010000}"/>
    <hyperlink ref="AO1124" r:id="rId312" xr:uid="{00000000-0004-0000-0000-000046010000}"/>
    <hyperlink ref="AO431" r:id="rId313" display="2010 Continious Multilayered Carbon Nanotube Yarns" xr:uid="{00000000-0004-0000-0000-000047010000}"/>
    <hyperlink ref="AO892" r:id="rId314" xr:uid="{00000000-0004-0000-0000-000048010000}"/>
    <hyperlink ref="AO893" r:id="rId315" xr:uid="{00000000-0004-0000-0000-000049010000}"/>
    <hyperlink ref="AO53" r:id="rId316" xr:uid="{00000000-0004-0000-0000-00004A010000}"/>
    <hyperlink ref="AO95" r:id="rId317" xr:uid="{00000000-0004-0000-0000-00004B010000}"/>
    <hyperlink ref="AO96" r:id="rId318" xr:uid="{00000000-0004-0000-0000-00004C010000}"/>
    <hyperlink ref="AO97" r:id="rId319" xr:uid="{00000000-0004-0000-0000-00004D010000}"/>
    <hyperlink ref="AO98" r:id="rId320" xr:uid="{00000000-0004-0000-0000-00004E010000}"/>
    <hyperlink ref="AO99" r:id="rId321" xr:uid="{00000000-0004-0000-0000-00004F010000}"/>
    <hyperlink ref="AO100" r:id="rId322" xr:uid="{00000000-0004-0000-0000-000050010000}"/>
    <hyperlink ref="AO101" r:id="rId323" xr:uid="{00000000-0004-0000-0000-000051010000}"/>
    <hyperlink ref="AO102" r:id="rId324" xr:uid="{00000000-0004-0000-0000-000052010000}"/>
    <hyperlink ref="AO21" r:id="rId325" xr:uid="{00000000-0004-0000-0000-000053010000}"/>
    <hyperlink ref="AO471" r:id="rId326" xr:uid="{00000000-0004-0000-0000-000054010000}"/>
    <hyperlink ref="AO472" r:id="rId327" xr:uid="{00000000-0004-0000-0000-000055010000}"/>
    <hyperlink ref="AO473" r:id="rId328" xr:uid="{00000000-0004-0000-0000-000056010000}"/>
    <hyperlink ref="AO474" r:id="rId329" xr:uid="{00000000-0004-0000-0000-000057010000}"/>
    <hyperlink ref="AO475" r:id="rId330" xr:uid="{00000000-0004-0000-0000-000058010000}"/>
    <hyperlink ref="AO476" r:id="rId331" xr:uid="{00000000-0004-0000-0000-000059010000}"/>
    <hyperlink ref="AO477" r:id="rId332" xr:uid="{00000000-0004-0000-0000-00005A010000}"/>
    <hyperlink ref="AO478" r:id="rId333" xr:uid="{00000000-0004-0000-0000-00005B010000}"/>
    <hyperlink ref="AO479" r:id="rId334" xr:uid="{00000000-0004-0000-0000-00005C010000}"/>
    <hyperlink ref="AO480" r:id="rId335" xr:uid="{00000000-0004-0000-0000-00005D010000}"/>
    <hyperlink ref="AO553" r:id="rId336" xr:uid="{00000000-0004-0000-0000-00005E010000}"/>
    <hyperlink ref="AO554" r:id="rId337" xr:uid="{00000000-0004-0000-0000-00005F010000}"/>
    <hyperlink ref="AO555" r:id="rId338" xr:uid="{00000000-0004-0000-0000-000060010000}"/>
    <hyperlink ref="AO556" r:id="rId339" xr:uid="{00000000-0004-0000-0000-000061010000}"/>
    <hyperlink ref="AO557" r:id="rId340" xr:uid="{00000000-0004-0000-0000-000062010000}"/>
    <hyperlink ref="AO558" r:id="rId341" xr:uid="{00000000-0004-0000-0000-000063010000}"/>
    <hyperlink ref="AO559" r:id="rId342" xr:uid="{00000000-0004-0000-0000-000064010000}"/>
    <hyperlink ref="AO560" r:id="rId343" xr:uid="{00000000-0004-0000-0000-000065010000}"/>
    <hyperlink ref="AO561" r:id="rId344" xr:uid="{00000000-0004-0000-0000-000066010000}"/>
    <hyperlink ref="AO562" r:id="rId345" xr:uid="{00000000-0004-0000-0000-000067010000}"/>
    <hyperlink ref="AO156" r:id="rId346" xr:uid="{00000000-0004-0000-0000-000068010000}"/>
    <hyperlink ref="AO157" r:id="rId347" xr:uid="{00000000-0004-0000-0000-000069010000}"/>
    <hyperlink ref="AO158" r:id="rId348" xr:uid="{00000000-0004-0000-0000-00006A010000}"/>
    <hyperlink ref="AO159" r:id="rId349" xr:uid="{00000000-0004-0000-0000-00006B010000}"/>
    <hyperlink ref="AO160" r:id="rId350" xr:uid="{00000000-0004-0000-0000-00006C010000}"/>
    <hyperlink ref="AO161" r:id="rId351" xr:uid="{00000000-0004-0000-0000-00006D010000}"/>
    <hyperlink ref="AO162" r:id="rId352" xr:uid="{00000000-0004-0000-0000-00006E010000}"/>
    <hyperlink ref="AO343" r:id="rId353" display="2008_Macroscopic Fibers of Well-Aligned Carbon Nanotubes.pdf" xr:uid="{00000000-0004-0000-0000-00006F010000}"/>
    <hyperlink ref="AO344" r:id="rId354" display="2008_Macroscopic Fibers of Well-Aligned Carbon Nanotubes.pdf" xr:uid="{00000000-0004-0000-0000-000070010000}"/>
    <hyperlink ref="AO451" r:id="rId355" xr:uid="{00000000-0004-0000-0000-000071010000}"/>
    <hyperlink ref="AO452" r:id="rId356" xr:uid="{00000000-0004-0000-0000-000072010000}"/>
    <hyperlink ref="AO453" r:id="rId357" xr:uid="{00000000-0004-0000-0000-000073010000}"/>
    <hyperlink ref="AO454" r:id="rId358" xr:uid="{00000000-0004-0000-0000-000074010000}"/>
    <hyperlink ref="AO455" r:id="rId359" xr:uid="{00000000-0004-0000-0000-000075010000}"/>
    <hyperlink ref="AO456" r:id="rId360" xr:uid="{00000000-0004-0000-0000-000076010000}"/>
    <hyperlink ref="AO457" r:id="rId361" xr:uid="{00000000-0004-0000-0000-000077010000}"/>
    <hyperlink ref="AO458" r:id="rId362" xr:uid="{00000000-0004-0000-0000-000078010000}"/>
    <hyperlink ref="AO459" r:id="rId363" xr:uid="{00000000-0004-0000-0000-000079010000}"/>
    <hyperlink ref="AO704" r:id="rId364" display="Post-Treatments for Multifunctional Property Enhancement of Carbon Nanotube Fibers from the Floating Catalyst Method" xr:uid="{00000000-0004-0000-0000-00007A010000}"/>
    <hyperlink ref="AO730" r:id="rId365" xr:uid="{00000000-0004-0000-0000-00007B010000}"/>
    <hyperlink ref="AO523" r:id="rId366" xr:uid="{00000000-0004-0000-0000-00007C010000}"/>
    <hyperlink ref="AO522" r:id="rId367" xr:uid="{00000000-0004-0000-0000-00007D010000}"/>
    <hyperlink ref="AO521" r:id="rId368" xr:uid="{00000000-0004-0000-0000-00007E010000}"/>
    <hyperlink ref="AO520" r:id="rId369" xr:uid="{00000000-0004-0000-0000-00007F010000}"/>
    <hyperlink ref="AO519" r:id="rId370" xr:uid="{00000000-0004-0000-0000-000080010000}"/>
    <hyperlink ref="AO518" r:id="rId371" xr:uid="{00000000-0004-0000-0000-000081010000}"/>
    <hyperlink ref="AO517" r:id="rId372" xr:uid="{00000000-0004-0000-0000-000082010000}"/>
    <hyperlink ref="AO516" r:id="rId373" xr:uid="{00000000-0004-0000-0000-000083010000}"/>
    <hyperlink ref="AO515" r:id="rId374" xr:uid="{00000000-0004-0000-0000-000084010000}"/>
    <hyperlink ref="AO514" r:id="rId375" xr:uid="{00000000-0004-0000-0000-000085010000}"/>
    <hyperlink ref="AO513" r:id="rId376" xr:uid="{00000000-0004-0000-0000-000086010000}"/>
    <hyperlink ref="AO512" r:id="rId377" xr:uid="{00000000-0004-0000-0000-000087010000}"/>
    <hyperlink ref="AO511" r:id="rId378" xr:uid="{00000000-0004-0000-0000-000088010000}"/>
    <hyperlink ref="AO510" r:id="rId379" xr:uid="{00000000-0004-0000-0000-000089010000}"/>
    <hyperlink ref="AO1041" r:id="rId380" xr:uid="{00000000-0004-0000-0000-00008C010000}"/>
    <hyperlink ref="AO1042" r:id="rId381" xr:uid="{00000000-0004-0000-0000-00008D010000}"/>
    <hyperlink ref="AO826" r:id="rId382" xr:uid="{00000000-0004-0000-0000-00008E010000}"/>
    <hyperlink ref="AO1141" r:id="rId383" xr:uid="{00000000-0004-0000-0000-00008F010000}"/>
    <hyperlink ref="AO1142" r:id="rId384" xr:uid="{00000000-0004-0000-0000-000090010000}"/>
    <hyperlink ref="AO1143" r:id="rId385" xr:uid="{00000000-0004-0000-0000-000091010000}"/>
    <hyperlink ref="AO563" r:id="rId386" xr:uid="{00000000-0004-0000-0000-000092010000}"/>
    <hyperlink ref="AO564" r:id="rId387" xr:uid="{00000000-0004-0000-0000-000093010000}"/>
    <hyperlink ref="AO359" r:id="rId388" xr:uid="{00000000-0004-0000-0000-000094010000}"/>
    <hyperlink ref="AO657:AO672" r:id="rId389" display="2008 The Relationship between network morphology and conductivity in nanotube films " xr:uid="{00000000-0004-0000-0000-000095010000}"/>
    <hyperlink ref="AO643:AO652" r:id="rId390" display="2017 Large n- and p-type thermoelectric power factors from doped semiconducting single-walled carbon nanotube thin films" xr:uid="{00000000-0004-0000-0000-000096010000}"/>
    <hyperlink ref="AO849" r:id="rId391" xr:uid="{00000000-0004-0000-0000-000097010000}"/>
    <hyperlink ref="AO850" r:id="rId392" xr:uid="{00000000-0004-0000-0000-000098010000}"/>
    <hyperlink ref="AO861" r:id="rId393" xr:uid="{00000000-0004-0000-0000-000099010000}"/>
    <hyperlink ref="AO862" r:id="rId394" xr:uid="{00000000-0004-0000-0000-00009A010000}"/>
    <hyperlink ref="AO407" r:id="rId395" xr:uid="{00000000-0004-0000-0000-00009B010000}"/>
    <hyperlink ref="AO408" r:id="rId396" xr:uid="{00000000-0004-0000-0000-00009C010000}"/>
    <hyperlink ref="AO409" r:id="rId397" xr:uid="{00000000-0004-0000-0000-00009D010000}"/>
    <hyperlink ref="AO410" r:id="rId398" xr:uid="{00000000-0004-0000-0000-00009E010000}"/>
    <hyperlink ref="AO109:AO116" r:id="rId399" display="2010 Carbon nanotube yarns with high tensile strength made by a twisting and shrinking method" xr:uid="{00000000-0004-0000-0000-00009F010000}"/>
    <hyperlink ref="AO432" r:id="rId400" xr:uid="{00000000-0004-0000-0000-0000A0010000}"/>
    <hyperlink ref="AO433" r:id="rId401" xr:uid="{00000000-0004-0000-0000-0000A1010000}"/>
    <hyperlink ref="AO434" r:id="rId402" xr:uid="{00000000-0004-0000-0000-0000A2010000}"/>
    <hyperlink ref="AO435" r:id="rId403" xr:uid="{00000000-0004-0000-0000-0000A3010000}"/>
    <hyperlink ref="AO436" r:id="rId404" xr:uid="{00000000-0004-0000-0000-0000A4010000}"/>
    <hyperlink ref="AO437" r:id="rId405" xr:uid="{00000000-0004-0000-0000-0000A5010000}"/>
    <hyperlink ref="AO438" r:id="rId406" xr:uid="{00000000-0004-0000-0000-0000A6010000}"/>
    <hyperlink ref="AO439" r:id="rId407" xr:uid="{00000000-0004-0000-0000-0000A7010000}"/>
    <hyperlink ref="AO440" r:id="rId408" xr:uid="{00000000-0004-0000-0000-0000A8010000}"/>
    <hyperlink ref="AO441" r:id="rId409" xr:uid="{00000000-0004-0000-0000-0000A9010000}"/>
    <hyperlink ref="AO1212" r:id="rId410" xr:uid="{00000000-0004-0000-0000-0000AA010000}"/>
    <hyperlink ref="AO1213" r:id="rId411" xr:uid="{00000000-0004-0000-0000-0000AB010000}"/>
    <hyperlink ref="AO1214" r:id="rId412" xr:uid="{00000000-0004-0000-0000-0000AC010000}"/>
    <hyperlink ref="AO1215" r:id="rId413" xr:uid="{00000000-0004-0000-0000-0000AD010000}"/>
    <hyperlink ref="AO1216" r:id="rId414" xr:uid="{00000000-0004-0000-0000-0000AE010000}"/>
    <hyperlink ref="AO1217" r:id="rId415" xr:uid="{00000000-0004-0000-0000-0000AF010000}"/>
    <hyperlink ref="AO1218" r:id="rId416" xr:uid="{00000000-0004-0000-0000-0000B0010000}"/>
    <hyperlink ref="AO902" r:id="rId417" xr:uid="{00000000-0004-0000-0000-0000B1010000}"/>
    <hyperlink ref="AO903" r:id="rId418" xr:uid="{00000000-0004-0000-0000-0000B2010000}"/>
    <hyperlink ref="AO904" r:id="rId419" xr:uid="{00000000-0004-0000-0000-0000B3010000}"/>
    <hyperlink ref="AO905" r:id="rId420" xr:uid="{00000000-0004-0000-0000-0000B4010000}"/>
    <hyperlink ref="AO906" r:id="rId421" xr:uid="{00000000-0004-0000-0000-0000B5010000}"/>
    <hyperlink ref="AO907" r:id="rId422" xr:uid="{00000000-0004-0000-0000-0000B6010000}"/>
    <hyperlink ref="AO686" r:id="rId423" xr:uid="{00000000-0004-0000-0000-0000B7010000}"/>
    <hyperlink ref="AO687" r:id="rId424" xr:uid="{00000000-0004-0000-0000-0000B8010000}"/>
    <hyperlink ref="AO688" r:id="rId425" xr:uid="{00000000-0004-0000-0000-0000B9010000}"/>
    <hyperlink ref="AO689" r:id="rId426" xr:uid="{00000000-0004-0000-0000-0000BA010000}"/>
    <hyperlink ref="AO851" r:id="rId427" xr:uid="{00000000-0004-0000-0000-0000BB010000}"/>
    <hyperlink ref="AO852" r:id="rId428" xr:uid="{00000000-0004-0000-0000-0000BC010000}"/>
    <hyperlink ref="AO853" r:id="rId429" xr:uid="{00000000-0004-0000-0000-0000BD010000}"/>
    <hyperlink ref="AO854" r:id="rId430" xr:uid="{00000000-0004-0000-0000-0000BE010000}"/>
    <hyperlink ref="AO855" r:id="rId431" xr:uid="{00000000-0004-0000-0000-0000BF010000}"/>
    <hyperlink ref="AO856" r:id="rId432" xr:uid="{00000000-0004-0000-0000-0000C0010000}"/>
    <hyperlink ref="AO857" r:id="rId433" xr:uid="{00000000-0004-0000-0000-0000C1010000}"/>
    <hyperlink ref="AO858" r:id="rId434" xr:uid="{00000000-0004-0000-0000-0000C2010000}"/>
    <hyperlink ref="AO642" r:id="rId435" xr:uid="{00000000-0004-0000-0000-0000C3010000}"/>
    <hyperlink ref="AO643" r:id="rId436" xr:uid="{00000000-0004-0000-0000-0000C4010000}"/>
    <hyperlink ref="AO644" r:id="rId437" xr:uid="{00000000-0004-0000-0000-0000C5010000}"/>
    <hyperlink ref="AO645" r:id="rId438" xr:uid="{00000000-0004-0000-0000-0000C6010000}"/>
    <hyperlink ref="AO675" r:id="rId439" display="2015_Effects of CNT diameter on mechanical properties of aligned CNT sheets.pdf" xr:uid="{00000000-0004-0000-0000-0000C7010000}"/>
    <hyperlink ref="AO676" r:id="rId440" display="2015_Effects of CNT diameter on mechanical properties of aligned CNT sheets.pdf" xr:uid="{00000000-0004-0000-0000-0000C8010000}"/>
    <hyperlink ref="AO677" r:id="rId441" display="2015_Effects of CNT diameter on mechanical properties of aligned CNT sheets.pdf" xr:uid="{00000000-0004-0000-0000-0000C9010000}"/>
    <hyperlink ref="AO678" r:id="rId442" display="2015_Effects of CNT diameter on mechanical properties of aligned CNT sheets.pdf" xr:uid="{00000000-0004-0000-0000-0000CA010000}"/>
    <hyperlink ref="AO679" r:id="rId443" display="2015_Effects of CNT diameter on mechanical properties of aligned CNT sheets.pdf" xr:uid="{00000000-0004-0000-0000-0000CB010000}"/>
    <hyperlink ref="AO680" r:id="rId444" display="2015_Effects of CNT diameter on mechanical properties of aligned CNT sheets.pdf" xr:uid="{00000000-0004-0000-0000-0000CC010000}"/>
    <hyperlink ref="AO900" r:id="rId445" xr:uid="{00000000-0004-0000-0000-0000CD010000}"/>
    <hyperlink ref="AO901" r:id="rId446" xr:uid="{00000000-0004-0000-0000-0000CE010000}"/>
    <hyperlink ref="AO758" r:id="rId447" xr:uid="{00000000-0004-0000-0000-0000CF010000}"/>
    <hyperlink ref="AO759" r:id="rId448" xr:uid="{00000000-0004-0000-0000-0000D0010000}"/>
    <hyperlink ref="AO760" r:id="rId449" xr:uid="{00000000-0004-0000-0000-0000D1010000}"/>
    <hyperlink ref="AO761" r:id="rId450" xr:uid="{00000000-0004-0000-0000-0000D2010000}"/>
    <hyperlink ref="AO1053" r:id="rId451" xr:uid="{00000000-0004-0000-0000-0000D3010000}"/>
    <hyperlink ref="AO1054" r:id="rId452" xr:uid="{00000000-0004-0000-0000-0000D4010000}"/>
    <hyperlink ref="AO266" r:id="rId453" xr:uid="{00000000-0004-0000-0000-0000D5010000}"/>
    <hyperlink ref="AO267" r:id="rId454" xr:uid="{00000000-0004-0000-0000-0000D6010000}"/>
    <hyperlink ref="AO268" r:id="rId455" xr:uid="{00000000-0004-0000-0000-0000D7010000}"/>
    <hyperlink ref="AO260" r:id="rId456" display="2004_Single wall carbon nanotube fibers extruded from super-acid suspensions.pdf" xr:uid="{00000000-0004-0000-0000-0000D8010000}"/>
    <hyperlink ref="AO261" r:id="rId457" display="2004_Single wall carbon nanotube fibers extruded from super-acid suspensions.pdf" xr:uid="{00000000-0004-0000-0000-0000D9010000}"/>
    <hyperlink ref="AO262" r:id="rId458" display="2004_Single wall carbon nanotube fibers extruded from super-acid suspensions.pdf" xr:uid="{00000000-0004-0000-0000-0000DA010000}"/>
    <hyperlink ref="AO263" r:id="rId459" display="2004_Single wall carbon nanotube fibers extruded from super-acid suspensions.pdf" xr:uid="{00000000-0004-0000-0000-0000DB010000}"/>
    <hyperlink ref="AO264" r:id="rId460" display="2004_Single wall carbon nanotube fibers extruded from super-acid suspensions.pdf" xr:uid="{00000000-0004-0000-0000-0000DC010000}"/>
    <hyperlink ref="AO265" r:id="rId461" display="2004_Single wall carbon nanotube fibers extruded from super-acid suspensions.pdf" xr:uid="{00000000-0004-0000-0000-0000DD010000}"/>
    <hyperlink ref="AO985" r:id="rId462" xr:uid="{00000000-0004-0000-0000-0000DE010000}"/>
    <hyperlink ref="AO986" r:id="rId463" xr:uid="{00000000-0004-0000-0000-0000DF010000}"/>
    <hyperlink ref="AO987" r:id="rId464" xr:uid="{00000000-0004-0000-0000-0000E0010000}"/>
    <hyperlink ref="AO988" r:id="rId465" xr:uid="{00000000-0004-0000-0000-0000E1010000}"/>
    <hyperlink ref="AO989" r:id="rId466" xr:uid="{00000000-0004-0000-0000-0000E2010000}"/>
    <hyperlink ref="AO990" r:id="rId467" xr:uid="{00000000-0004-0000-0000-0000E3010000}"/>
    <hyperlink ref="AO991" r:id="rId468" xr:uid="{00000000-0004-0000-0000-0000E4010000}"/>
    <hyperlink ref="AO992" r:id="rId469" xr:uid="{00000000-0004-0000-0000-0000E5010000}"/>
    <hyperlink ref="AO993" r:id="rId470" xr:uid="{00000000-0004-0000-0000-0000E6010000}"/>
    <hyperlink ref="AO994" r:id="rId471" xr:uid="{00000000-0004-0000-0000-0000E7010000}"/>
    <hyperlink ref="AO817" r:id="rId472" xr:uid="{00000000-0004-0000-0000-0000E8010000}"/>
    <hyperlink ref="AO818" r:id="rId473" xr:uid="{00000000-0004-0000-0000-0000E9010000}"/>
    <hyperlink ref="AO819" r:id="rId474" xr:uid="{00000000-0004-0000-0000-0000EA010000}"/>
    <hyperlink ref="AO820" r:id="rId475" xr:uid="{00000000-0004-0000-0000-0000EB010000}"/>
    <hyperlink ref="AO821" r:id="rId476" xr:uid="{00000000-0004-0000-0000-0000EC010000}"/>
    <hyperlink ref="AO822" r:id="rId477" xr:uid="{00000000-0004-0000-0000-0000ED010000}"/>
    <hyperlink ref="AO823" r:id="rId478" xr:uid="{00000000-0004-0000-0000-0000EE010000}"/>
    <hyperlink ref="AO824" r:id="rId479" xr:uid="{00000000-0004-0000-0000-0000EF010000}"/>
    <hyperlink ref="AO825" r:id="rId480" xr:uid="{00000000-0004-0000-0000-0000F0010000}"/>
    <hyperlink ref="AO799" r:id="rId481" xr:uid="{00000000-0004-0000-0000-0000F1010000}"/>
    <hyperlink ref="AO800" r:id="rId482" xr:uid="{00000000-0004-0000-0000-0000F2010000}"/>
    <hyperlink ref="AO801" r:id="rId483" xr:uid="{00000000-0004-0000-0000-0000F3010000}"/>
    <hyperlink ref="AO802" r:id="rId484" xr:uid="{00000000-0004-0000-0000-0000F4010000}"/>
    <hyperlink ref="AO803" r:id="rId485" xr:uid="{00000000-0004-0000-0000-0000F5010000}"/>
    <hyperlink ref="AO914" r:id="rId486" xr:uid="{00000000-0004-0000-0000-0000F6010000}"/>
    <hyperlink ref="AO915" r:id="rId487" xr:uid="{00000000-0004-0000-0000-0000F7010000}"/>
    <hyperlink ref="AO916" r:id="rId488" xr:uid="{00000000-0004-0000-0000-0000F8010000}"/>
    <hyperlink ref="AO917" r:id="rId489" xr:uid="{00000000-0004-0000-0000-0000F9010000}"/>
    <hyperlink ref="AO918" r:id="rId490" xr:uid="{00000000-0004-0000-0000-0000FA010000}"/>
    <hyperlink ref="AO919" r:id="rId491" xr:uid="{00000000-0004-0000-0000-0000FB010000}"/>
    <hyperlink ref="AO920" r:id="rId492" xr:uid="{00000000-0004-0000-0000-0000FC010000}"/>
    <hyperlink ref="AO921" r:id="rId493" xr:uid="{00000000-0004-0000-0000-0000FD010000}"/>
    <hyperlink ref="AO922" r:id="rId494" xr:uid="{00000000-0004-0000-0000-0000FE010000}"/>
    <hyperlink ref="AO923" r:id="rId495" xr:uid="{00000000-0004-0000-0000-0000FF010000}"/>
    <hyperlink ref="AO924" r:id="rId496" xr:uid="{00000000-0004-0000-0000-000000020000}"/>
    <hyperlink ref="AO925" r:id="rId497" xr:uid="{00000000-0004-0000-0000-000001020000}"/>
    <hyperlink ref="AO926" r:id="rId498" xr:uid="{00000000-0004-0000-0000-000002020000}"/>
    <hyperlink ref="AO927" r:id="rId499" xr:uid="{00000000-0004-0000-0000-000003020000}"/>
    <hyperlink ref="AO928" r:id="rId500" xr:uid="{00000000-0004-0000-0000-000004020000}"/>
    <hyperlink ref="AO929" r:id="rId501" xr:uid="{00000000-0004-0000-0000-000005020000}"/>
    <hyperlink ref="AO930" r:id="rId502" xr:uid="{00000000-0004-0000-0000-000006020000}"/>
    <hyperlink ref="AO931" r:id="rId503" xr:uid="{00000000-0004-0000-0000-000007020000}"/>
    <hyperlink ref="AO392" r:id="rId504" display="2008_Highly Dense and Perfectly Aligned SWCNT Fabrictated by Diamond Wire Dawing Dies" xr:uid="{00000000-0004-0000-0000-000008020000}"/>
    <hyperlink ref="AO932" r:id="rId505" xr:uid="{00000000-0004-0000-0000-000009020000}"/>
    <hyperlink ref="AO933" r:id="rId506" xr:uid="{00000000-0004-0000-0000-00000A020000}"/>
    <hyperlink ref="AO934" r:id="rId507" xr:uid="{00000000-0004-0000-0000-00000B020000}"/>
    <hyperlink ref="AO871" r:id="rId508" xr:uid="{00000000-0004-0000-0000-00000C020000}"/>
    <hyperlink ref="AO872" r:id="rId509" xr:uid="{00000000-0004-0000-0000-00000D020000}"/>
    <hyperlink ref="AO873" r:id="rId510" xr:uid="{00000000-0004-0000-0000-00000E020000}"/>
    <hyperlink ref="AO874" r:id="rId511" xr:uid="{00000000-0004-0000-0000-00000F020000}"/>
    <hyperlink ref="AO875" r:id="rId512" xr:uid="{00000000-0004-0000-0000-000010020000}"/>
    <hyperlink ref="AO723" r:id="rId513" xr:uid="{00000000-0004-0000-0000-000011020000}"/>
    <hyperlink ref="AO722" r:id="rId514" xr:uid="{00000000-0004-0000-0000-000012020000}"/>
    <hyperlink ref="AO721" r:id="rId515" xr:uid="{00000000-0004-0000-0000-000013020000}"/>
    <hyperlink ref="AO306:AO321" r:id="rId516" display="2019 Direct spinning and densification method for high-performance carbon nanotube fibers" xr:uid="{00000000-0004-0000-0000-000014020000}"/>
    <hyperlink ref="AO490" r:id="rId517" xr:uid="{00000000-0004-0000-0000-000015020000}"/>
    <hyperlink ref="AO489" r:id="rId518" xr:uid="{00000000-0004-0000-0000-000016020000}"/>
    <hyperlink ref="AO488" r:id="rId519" xr:uid="{00000000-0004-0000-0000-000017020000}"/>
    <hyperlink ref="AO487" r:id="rId520" xr:uid="{00000000-0004-0000-0000-000018020000}"/>
    <hyperlink ref="AO486" r:id="rId521" xr:uid="{00000000-0004-0000-0000-000019020000}"/>
    <hyperlink ref="AO485" r:id="rId522" xr:uid="{00000000-0004-0000-0000-00001A020000}"/>
    <hyperlink ref="AO484" r:id="rId523" xr:uid="{00000000-0004-0000-0000-00001B020000}"/>
    <hyperlink ref="AO483" r:id="rId524" xr:uid="{00000000-0004-0000-0000-00001C020000}"/>
    <hyperlink ref="AO482" r:id="rId525" xr:uid="{00000000-0004-0000-0000-00001D020000}"/>
    <hyperlink ref="AO269" r:id="rId526" xr:uid="{00000000-0004-0000-0000-00001E020000}"/>
    <hyperlink ref="AO271" r:id="rId527" xr:uid="{00000000-0004-0000-0000-00001F020000}"/>
    <hyperlink ref="AO272" r:id="rId528" xr:uid="{00000000-0004-0000-0000-000020020000}"/>
    <hyperlink ref="AO273" r:id="rId529" xr:uid="{00000000-0004-0000-0000-000021020000}"/>
    <hyperlink ref="AO995" r:id="rId530" display="2019 Convienent but powerful method to dope single wall carbon nanotube films with iodium salts " xr:uid="{00000000-0004-0000-0000-000022020000}"/>
    <hyperlink ref="AO996" r:id="rId531" display="2019 Convienent but powerful method to dope single wall carbon nanotube films with iodium salts " xr:uid="{00000000-0004-0000-0000-000023020000}"/>
    <hyperlink ref="AO997" r:id="rId532" display="2019 Convienent but powerful method to dope single wall carbon nanotube films with iodium salts " xr:uid="{00000000-0004-0000-0000-000024020000}"/>
    <hyperlink ref="AO998" r:id="rId533" display="2019 Convienent but powerful method to dope single wall carbon nanotube films with iodium salts " xr:uid="{00000000-0004-0000-0000-000025020000}"/>
    <hyperlink ref="AO999" r:id="rId534" display="2019 Convienent but powerful method to dope single wall carbon nanotube films with iodium salts " xr:uid="{00000000-0004-0000-0000-000026020000}"/>
    <hyperlink ref="AO495" r:id="rId535" xr:uid="{00000000-0004-0000-0000-000027020000}"/>
    <hyperlink ref="AO534" r:id="rId536" xr:uid="{00000000-0004-0000-0000-000028020000}"/>
    <hyperlink ref="AO308" r:id="rId537" xr:uid="{00000000-0004-0000-0000-000029020000}"/>
    <hyperlink ref="AO654" r:id="rId538" xr:uid="{00000000-0004-0000-0000-00002A020000}"/>
    <hyperlink ref="AO754:AO765" r:id="rId539" display="2014 Interplay of wall number and diameter on the electrical conductivity of carbon nanotube thin films" xr:uid="{00000000-0004-0000-0000-00002B020000}"/>
    <hyperlink ref="AO248" r:id="rId540" xr:uid="{00000000-0004-0000-0000-00002C020000}"/>
    <hyperlink ref="AO249" r:id="rId541" xr:uid="{00000000-0004-0000-0000-00002D020000}"/>
    <hyperlink ref="AO250" r:id="rId542" xr:uid="{00000000-0004-0000-0000-00002E020000}"/>
    <hyperlink ref="AO227" r:id="rId543" xr:uid="{00000000-0004-0000-0000-00002F020000}"/>
    <hyperlink ref="AO1195" r:id="rId544" xr:uid="{00000000-0004-0000-0000-000030020000}"/>
    <hyperlink ref="AO1196" r:id="rId545" xr:uid="{00000000-0004-0000-0000-000031020000}"/>
    <hyperlink ref="AO1197" r:id="rId546" xr:uid="{00000000-0004-0000-0000-000032020000}"/>
    <hyperlink ref="AO1198" r:id="rId547" xr:uid="{00000000-0004-0000-0000-000033020000}"/>
    <hyperlink ref="AO1199" r:id="rId548" xr:uid="{00000000-0004-0000-0000-000034020000}"/>
    <hyperlink ref="AO1200" r:id="rId549" xr:uid="{00000000-0004-0000-0000-000035020000}"/>
    <hyperlink ref="AO1201" r:id="rId550" xr:uid="{00000000-0004-0000-0000-000036020000}"/>
    <hyperlink ref="AO1223" r:id="rId551" xr:uid="{00000000-0004-0000-0000-000037020000}"/>
    <hyperlink ref="AO1224" r:id="rId552" xr:uid="{00000000-0004-0000-0000-000038020000}"/>
    <hyperlink ref="AO1225" r:id="rId553" xr:uid="{00000000-0004-0000-0000-000039020000}"/>
    <hyperlink ref="AO1043" r:id="rId554" xr:uid="{00000000-0004-0000-0000-00003A020000}"/>
    <hyperlink ref="AO1044" r:id="rId555" xr:uid="{00000000-0004-0000-0000-00003B020000}"/>
    <hyperlink ref="AO1045" r:id="rId556" xr:uid="{00000000-0004-0000-0000-00003C020000}"/>
    <hyperlink ref="AO1046" r:id="rId557" xr:uid="{00000000-0004-0000-0000-00003D020000}"/>
    <hyperlink ref="AO1047" r:id="rId558" xr:uid="{00000000-0004-0000-0000-00003E020000}"/>
    <hyperlink ref="AO1048" r:id="rId559" xr:uid="{00000000-0004-0000-0000-00003F020000}"/>
    <hyperlink ref="AO1049" r:id="rId560" xr:uid="{00000000-0004-0000-0000-000040020000}"/>
    <hyperlink ref="AO1050" r:id="rId561" xr:uid="{00000000-0004-0000-0000-000041020000}"/>
    <hyperlink ref="AO1051" r:id="rId562" xr:uid="{00000000-0004-0000-0000-000042020000}"/>
    <hyperlink ref="AO1052" r:id="rId563" xr:uid="{00000000-0004-0000-0000-000043020000}"/>
    <hyperlink ref="AO1192" r:id="rId564" xr:uid="{00000000-0004-0000-0000-000044020000}"/>
    <hyperlink ref="AO1193" r:id="rId565" xr:uid="{00000000-0004-0000-0000-000045020000}"/>
    <hyperlink ref="AO1194" r:id="rId566" xr:uid="{00000000-0004-0000-0000-000046020000}"/>
    <hyperlink ref="AO319" r:id="rId567" display="2007_Thermal transport in MWCNT sheets and yarns-annotated.pdf" xr:uid="{00000000-0004-0000-0000-000047020000}"/>
    <hyperlink ref="AO320" r:id="rId568" display="2007_Thermal transport in MWCNT sheets and yarns-annotated.pdf" xr:uid="{00000000-0004-0000-0000-000048020000}"/>
    <hyperlink ref="AO276" r:id="rId569" xr:uid="{00000000-0004-0000-0000-000049020000}"/>
    <hyperlink ref="AO277" r:id="rId570" xr:uid="{00000000-0004-0000-0000-00004A020000}"/>
    <hyperlink ref="AO278" r:id="rId571" xr:uid="{00000000-0004-0000-0000-00004B020000}"/>
    <hyperlink ref="AO243" r:id="rId572" display="2002_Thermal conductivity of multiwalled carbon nanotubes-annotated.pdf" xr:uid="{00000000-0004-0000-0000-00004C020000}"/>
    <hyperlink ref="AO235" r:id="rId573" xr:uid="{00000000-0004-0000-0000-00004D020000}"/>
    <hyperlink ref="AO236" r:id="rId574" xr:uid="{00000000-0004-0000-0000-00004E020000}"/>
    <hyperlink ref="AO237" r:id="rId575" xr:uid="{00000000-0004-0000-0000-00004F020000}"/>
    <hyperlink ref="AO384" r:id="rId576" xr:uid="{00000000-0004-0000-0000-000050020000}"/>
    <hyperlink ref="AO1100" r:id="rId577" display="2019_One-directional thermal transport in densely aligned single-wall carbon nanotube films-annotated.pdf" xr:uid="{00000000-0004-0000-0000-000051020000}"/>
    <hyperlink ref="AO1101" r:id="rId578" display="2019_One-directional thermal transport in densely aligned single-wall carbon nanotube films-annotated.pdf" xr:uid="{00000000-0004-0000-0000-000052020000}"/>
    <hyperlink ref="AO1102" r:id="rId579" display="2019_One-directional thermal transport in densely aligned single-wall carbon nanotube films-annotated.pdf" xr:uid="{00000000-0004-0000-0000-000053020000}"/>
    <hyperlink ref="AO259" r:id="rId580" xr:uid="{00000000-0004-0000-0000-000054020000}"/>
    <hyperlink ref="AO375" r:id="rId581" xr:uid="{00000000-0004-0000-0000-000055020000}"/>
    <hyperlink ref="AO213" r:id="rId582" xr:uid="{00000000-0004-0000-0000-000056020000}"/>
    <hyperlink ref="AO75" r:id="rId583" xr:uid="{00000000-0004-0000-0000-000059020000}"/>
    <hyperlink ref="AO76" r:id="rId584" xr:uid="{00000000-0004-0000-0000-00005A020000}"/>
    <hyperlink ref="AO77" r:id="rId585" xr:uid="{00000000-0004-0000-0000-00005B020000}"/>
    <hyperlink ref="AO78" r:id="rId586" xr:uid="{00000000-0004-0000-0000-00005C020000}"/>
    <hyperlink ref="AO79" r:id="rId587" xr:uid="{00000000-0004-0000-0000-00005D020000}"/>
    <hyperlink ref="AO80" r:id="rId588" xr:uid="{00000000-0004-0000-0000-00005E020000}"/>
    <hyperlink ref="AO81" r:id="rId589" xr:uid="{00000000-0004-0000-0000-00005F020000}"/>
    <hyperlink ref="AO103" r:id="rId590" xr:uid="{00000000-0004-0000-0000-000060020000}"/>
    <hyperlink ref="AO104" r:id="rId591" xr:uid="{00000000-0004-0000-0000-000061020000}"/>
    <hyperlink ref="AO105" r:id="rId592" xr:uid="{00000000-0004-0000-0000-000062020000}"/>
    <hyperlink ref="AO106" r:id="rId593" xr:uid="{00000000-0004-0000-0000-000063020000}"/>
    <hyperlink ref="AO107" r:id="rId594" xr:uid="{00000000-0004-0000-0000-000064020000}"/>
    <hyperlink ref="AO108" r:id="rId595" xr:uid="{00000000-0004-0000-0000-000065020000}"/>
    <hyperlink ref="AO109" r:id="rId596" xr:uid="{00000000-0004-0000-0000-000066020000}"/>
    <hyperlink ref="AO110" r:id="rId597" xr:uid="{00000000-0004-0000-0000-000067020000}"/>
    <hyperlink ref="AO111" r:id="rId598" xr:uid="{00000000-0004-0000-0000-000068020000}"/>
    <hyperlink ref="AO112" r:id="rId599" xr:uid="{00000000-0004-0000-0000-000069020000}"/>
    <hyperlink ref="AO113" r:id="rId600" xr:uid="{00000000-0004-0000-0000-00006A020000}"/>
    <hyperlink ref="AO114" r:id="rId601" xr:uid="{00000000-0004-0000-0000-00006B020000}"/>
    <hyperlink ref="AO115" r:id="rId602" xr:uid="{00000000-0004-0000-0000-00006C020000}"/>
    <hyperlink ref="AO116" r:id="rId603" xr:uid="{00000000-0004-0000-0000-00006D020000}"/>
    <hyperlink ref="AO155" r:id="rId604" xr:uid="{00000000-0004-0000-0000-00006E020000}"/>
    <hyperlink ref="AO154" r:id="rId605" xr:uid="{00000000-0004-0000-0000-00006F020000}"/>
    <hyperlink ref="AO39" r:id="rId606" xr:uid="{00000000-0004-0000-0000-000070020000}"/>
    <hyperlink ref="AO40" r:id="rId607" xr:uid="{00000000-0004-0000-0000-000071020000}"/>
    <hyperlink ref="AO41" r:id="rId608" xr:uid="{00000000-0004-0000-0000-000072020000}"/>
    <hyperlink ref="AO54" r:id="rId609" xr:uid="{00000000-0004-0000-0000-000073020000}"/>
    <hyperlink ref="AO55" r:id="rId610" xr:uid="{00000000-0004-0000-0000-000074020000}"/>
    <hyperlink ref="AO52" r:id="rId611" xr:uid="{00000000-0004-0000-0000-000075020000}"/>
    <hyperlink ref="AO163" r:id="rId612" xr:uid="{00000000-0004-0000-0000-000077020000}"/>
    <hyperlink ref="AO164" r:id="rId613" xr:uid="{00000000-0004-0000-0000-000078020000}"/>
    <hyperlink ref="AO120" r:id="rId614" xr:uid="{00000000-0004-0000-0000-000079020000}"/>
    <hyperlink ref="AO121" r:id="rId615" xr:uid="{00000000-0004-0000-0000-00007A020000}"/>
    <hyperlink ref="AO122" r:id="rId616" xr:uid="{00000000-0004-0000-0000-00007B020000}"/>
    <hyperlink ref="AO936" r:id="rId617" xr:uid="{00000000-0004-0000-0000-00007C020000}"/>
    <hyperlink ref="AO935" r:id="rId618" xr:uid="{00000000-0004-0000-0000-00007D020000}"/>
    <hyperlink ref="AO1221" r:id="rId619" xr:uid="{00000000-0004-0000-0000-00007E020000}"/>
    <hyperlink ref="AO1222" r:id="rId620" xr:uid="{00000000-0004-0000-0000-00007F020000}"/>
    <hyperlink ref="AO173" r:id="rId621" display="1991_Mechanical and electrical properties of highly oriented polyacetylene films.pdf" xr:uid="{00000000-0004-0000-0000-000080020000}"/>
    <hyperlink ref="AO172" r:id="rId622" display="1991_Mechanical and electrical properties of highly oriented polyacetylene films.pdf" xr:uid="{00000000-0004-0000-0000-000081020000}"/>
    <hyperlink ref="AO171" r:id="rId623" display="1991_Mechanical and electrical properties of highly oriented polyacetylene films.pdf" xr:uid="{00000000-0004-0000-0000-000082020000}"/>
    <hyperlink ref="AO170" r:id="rId624" display="1991_Mechanical and electrical properties of highly oriented polyacetylene films.pdf" xr:uid="{00000000-0004-0000-0000-000083020000}"/>
    <hyperlink ref="AO169" r:id="rId625" display="1991_Mechanical and electrical properties of highly oriented polyacetylene films.pdf" xr:uid="{00000000-0004-0000-0000-000084020000}"/>
    <hyperlink ref="AO168" r:id="rId626" display="1991_Mechanical and electrical properties of highly oriented polyacetylene films.pdf" xr:uid="{00000000-0004-0000-0000-000085020000}"/>
    <hyperlink ref="AO167" r:id="rId627" display="1991_Mechanical and electrical properties of highly oriented polyacetylene films.pdf" xr:uid="{00000000-0004-0000-0000-000086020000}"/>
    <hyperlink ref="AO166" r:id="rId628" display="1991_Mechanical and electrical properties of highly oriented polyacetylene films.pdf" xr:uid="{00000000-0004-0000-0000-000087020000}"/>
    <hyperlink ref="AO165" r:id="rId629" display="1991_Mechanical and electrical properties of highly oriented polyacetylene films.pdf" xr:uid="{00000000-0004-0000-0000-000088020000}"/>
    <hyperlink ref="AO192" r:id="rId630" xr:uid="{00000000-0004-0000-0000-000089020000}"/>
    <hyperlink ref="AO861:AO865" r:id="rId631" display="1996 Probing Electrical Transport in Nanomaterials: Individual Singlewalled Carbon Nanotubes" xr:uid="{00000000-0004-0000-0000-00008A020000}"/>
    <hyperlink ref="AO984" r:id="rId632" display="2018_Themechanicalandelectricalpropertiesofdirect-spuncarbon nanotubemats" xr:uid="{00000000-0004-0000-0000-00008B020000}"/>
    <hyperlink ref="AO863" r:id="rId633" xr:uid="{00000000-0004-0000-0000-00008C020000}"/>
    <hyperlink ref="AO864" r:id="rId634" xr:uid="{00000000-0004-0000-0000-00008D020000}"/>
    <hyperlink ref="AO596" r:id="rId635" xr:uid="{00000000-0004-0000-0000-00008E020000}"/>
    <hyperlink ref="AO597" r:id="rId636" xr:uid="{00000000-0004-0000-0000-00008F020000}"/>
    <hyperlink ref="AO598" r:id="rId637" xr:uid="{00000000-0004-0000-0000-000090020000}"/>
    <hyperlink ref="AO599" r:id="rId638" xr:uid="{00000000-0004-0000-0000-000091020000}"/>
    <hyperlink ref="AO600" r:id="rId639" xr:uid="{00000000-0004-0000-0000-000092020000}"/>
    <hyperlink ref="AO601" r:id="rId640" xr:uid="{00000000-0004-0000-0000-000093020000}"/>
    <hyperlink ref="AO954" r:id="rId641" xr:uid="{00000000-0004-0000-0000-000094020000}"/>
    <hyperlink ref="AO955" r:id="rId642" xr:uid="{00000000-0004-0000-0000-000095020000}"/>
    <hyperlink ref="AO956" r:id="rId643" xr:uid="{00000000-0004-0000-0000-000096020000}"/>
    <hyperlink ref="AO957" r:id="rId644" xr:uid="{00000000-0004-0000-0000-000097020000}"/>
    <hyperlink ref="AO567" r:id="rId645" xr:uid="{00000000-0004-0000-0000-000098020000}"/>
    <hyperlink ref="AO1164" r:id="rId646" xr:uid="{00000000-0004-0000-0000-000099020000}"/>
    <hyperlink ref="AO1165" r:id="rId647" xr:uid="{00000000-0004-0000-0000-00009A020000}"/>
    <hyperlink ref="AO1166" r:id="rId648" xr:uid="{00000000-0004-0000-0000-00009B020000}"/>
    <hyperlink ref="AO694" r:id="rId649" xr:uid="{00000000-0004-0000-0000-00009C020000}"/>
    <hyperlink ref="AO695" r:id="rId650" xr:uid="{00000000-0004-0000-0000-00009D020000}"/>
    <hyperlink ref="AO696" r:id="rId651" xr:uid="{00000000-0004-0000-0000-00009E020000}"/>
    <hyperlink ref="AO697" r:id="rId652" xr:uid="{00000000-0004-0000-0000-00009F020000}"/>
    <hyperlink ref="AO698" r:id="rId653" xr:uid="{00000000-0004-0000-0000-0000A0020000}"/>
    <hyperlink ref="AO699" r:id="rId654" xr:uid="{00000000-0004-0000-0000-0000A1020000}"/>
    <hyperlink ref="AO700" r:id="rId655" xr:uid="{00000000-0004-0000-0000-0000A2020000}"/>
    <hyperlink ref="AO701" r:id="rId656" xr:uid="{00000000-0004-0000-0000-0000A3020000}"/>
    <hyperlink ref="AO702" r:id="rId657" xr:uid="{00000000-0004-0000-0000-0000A4020000}"/>
    <hyperlink ref="AO703" r:id="rId658" xr:uid="{00000000-0004-0000-0000-0000A5020000}"/>
    <hyperlink ref="AO274" r:id="rId659" display="2005_Measurement of thermal conductivity of individual multiwalled carbon nanotube by the 3 omega method.pdf" xr:uid="{00000000-0004-0000-0000-0000A6020000}"/>
    <hyperlink ref="AO275" r:id="rId660" display="2005_Measurement of thermal conductivity of individual multiwalled carbon nanotube by the 3 omega method.pdf" xr:uid="{00000000-0004-0000-0000-0000A7020000}"/>
    <hyperlink ref="AO199" r:id="rId661" display="1996_ElectricalConductivitiesofIndividualCarbonNanotubes" xr:uid="{00000000-0004-0000-0000-0000A8020000}"/>
    <hyperlink ref="AO200" r:id="rId662" display="1996_ElectricalConductivitiesofIndividualCarbonNanotubes" xr:uid="{00000000-0004-0000-0000-0000A9020000}"/>
    <hyperlink ref="AO201" r:id="rId663" display="1996_ElectricalConductivitiesofIndividualCarbonNanotubes" xr:uid="{00000000-0004-0000-0000-0000AA020000}"/>
    <hyperlink ref="AO401" r:id="rId664" xr:uid="{00000000-0004-0000-0000-0000AB020000}"/>
    <hyperlink ref="AO402" r:id="rId665" xr:uid="{00000000-0004-0000-0000-0000AC020000}"/>
    <hyperlink ref="AO403" r:id="rId666" xr:uid="{00000000-0004-0000-0000-0000AD020000}"/>
    <hyperlink ref="AO404" r:id="rId667" xr:uid="{00000000-0004-0000-0000-0000AE020000}"/>
    <hyperlink ref="AO393" r:id="rId668" display="2008_Highly Dense and Perfectly Aligned SWCNT Fabrictated by Diamond Wire Dawing Dies" xr:uid="{00000000-0004-0000-0000-0000AF020000}"/>
    <hyperlink ref="AO293" r:id="rId669" xr:uid="{00000000-0004-0000-0000-0000B0020000}"/>
    <hyperlink ref="AO294" r:id="rId670" xr:uid="{00000000-0004-0000-0000-0000B1020000}"/>
    <hyperlink ref="AO295" r:id="rId671" xr:uid="{00000000-0004-0000-0000-0000B2020000}"/>
    <hyperlink ref="AO296" r:id="rId672" xr:uid="{00000000-0004-0000-0000-0000B3020000}"/>
    <hyperlink ref="AO386" r:id="rId673" xr:uid="{00000000-0004-0000-0000-0000B4020000}"/>
    <hyperlink ref="AO385" r:id="rId674" xr:uid="{00000000-0004-0000-0000-0000B5020000}"/>
    <hyperlink ref="AO117" r:id="rId675" xr:uid="{00000000-0004-0000-0000-0000B6020000}"/>
    <hyperlink ref="AO231" r:id="rId676" xr:uid="{00000000-0004-0000-0000-0000B7020000}"/>
    <hyperlink ref="AO232" r:id="rId677" xr:uid="{00000000-0004-0000-0000-0000B8020000}"/>
    <hyperlink ref="AO185" r:id="rId678" xr:uid="{00000000-0004-0000-0000-0000B9020000}"/>
    <hyperlink ref="AO186" r:id="rId679" xr:uid="{00000000-0004-0000-0000-0000BA020000}"/>
    <hyperlink ref="AO187" r:id="rId680" xr:uid="{00000000-0004-0000-0000-0000BB020000}"/>
    <hyperlink ref="AO188" r:id="rId681" xr:uid="{00000000-0004-0000-0000-0000BC020000}"/>
    <hyperlink ref="AO1055" r:id="rId682" display="2019_Millisecond tension-annealing for enhancing carbon nanotube fibers_Song et al.pdf" xr:uid="{00000000-0004-0000-0000-0000BD020000}"/>
    <hyperlink ref="AO1056" r:id="rId683" display="2019_Millisecond tension-annealing for enhancing carbon nanotube fibers_Song et al.pdf" xr:uid="{00000000-0004-0000-0000-0000BE020000}"/>
    <hyperlink ref="AO1057" r:id="rId684" display="2019_Millisecond tension-annealing for enhancing carbon nanotube fibers_Song et al.pdf" xr:uid="{00000000-0004-0000-0000-0000BF020000}"/>
    <hyperlink ref="AO1058" r:id="rId685" display="2019_Millisecond tension-annealing for enhancing carbon nanotube fibers_Song et al.pdf" xr:uid="{00000000-0004-0000-0000-0000C0020000}"/>
    <hyperlink ref="AO1059" r:id="rId686" display="2019_Millisecond tension-annealing for enhancing carbon nanotube fibers_Song et al.pdf" xr:uid="{00000000-0004-0000-0000-0000C1020000}"/>
    <hyperlink ref="AO493" r:id="rId687" xr:uid="{00000000-0004-0000-0000-0000C2020000}"/>
    <hyperlink ref="AO814" r:id="rId688" xr:uid="{00000000-0004-0000-0000-0000C3020000}"/>
    <hyperlink ref="AO812" r:id="rId689" xr:uid="{00000000-0004-0000-0000-0000C5020000}"/>
    <hyperlink ref="AO813" r:id="rId690" xr:uid="{00000000-0004-0000-0000-0000C6020000}"/>
    <hyperlink ref="AO26" r:id="rId691" display="Intercalation compounds of graphite" xr:uid="{00000000-0004-0000-0000-0000C7020000}"/>
    <hyperlink ref="AO27" r:id="rId692" display="Intercalation compounds of graphite" xr:uid="{00000000-0004-0000-0000-0000C8020000}"/>
    <hyperlink ref="AO28" r:id="rId693" display="Intercalation compounds of graphite" xr:uid="{00000000-0004-0000-0000-0000C9020000}"/>
    <hyperlink ref="AO29" r:id="rId694" display="Intercalation compounds of graphite" xr:uid="{00000000-0004-0000-0000-0000CA020000}"/>
    <hyperlink ref="AO30" r:id="rId695" display="Intercalation compounds of graphite" xr:uid="{00000000-0004-0000-0000-0000CB020000}"/>
    <hyperlink ref="AO31" r:id="rId696" display="Intercalation compounds of graphite" xr:uid="{00000000-0004-0000-0000-0000CC020000}"/>
    <hyperlink ref="AO32" r:id="rId697" display="Intercalation compounds of graphite" xr:uid="{00000000-0004-0000-0000-0000CD020000}"/>
    <hyperlink ref="AO33" r:id="rId698" display="Intercalation compounds of graphite" xr:uid="{00000000-0004-0000-0000-0000CE020000}"/>
    <hyperlink ref="AO34" r:id="rId699" display="Intercalation compounds of graphite" xr:uid="{00000000-0004-0000-0000-0000CF020000}"/>
    <hyperlink ref="AO705" r:id="rId700" display="Post-Treatments for Multifunctional Property Enhancement of Carbon Nanotube Fibers from the Floating Catalyst Method" xr:uid="{00000000-0004-0000-0000-0000D0020000}"/>
    <hyperlink ref="AO706" r:id="rId701" display="Post-Treatments for Multifunctional Property Enhancement of Carbon Nanotube Fibers from the Floating Catalyst Method" xr:uid="{00000000-0004-0000-0000-0000D1020000}"/>
    <hyperlink ref="AO707" r:id="rId702" display="Post-Treatments for Multifunctional Property Enhancement of Carbon Nanotube Fibers from the Floating Catalyst Method" xr:uid="{00000000-0004-0000-0000-0000D2020000}"/>
    <hyperlink ref="AO708" r:id="rId703" display="Post-Treatments for Multifunctional Property Enhancement of Carbon Nanotube Fibers from the Floating Catalyst Method" xr:uid="{00000000-0004-0000-0000-0000D3020000}"/>
    <hyperlink ref="AO709" r:id="rId704" display="Post-Treatments for Multifunctional Property Enhancement of Carbon Nanotube Fibers from the Floating Catalyst Method" xr:uid="{00000000-0004-0000-0000-0000D4020000}"/>
    <hyperlink ref="AO710" r:id="rId705" display="Post-Treatments for Multifunctional Property Enhancement of Carbon Nanotube Fibers from the Floating Catalyst Method" xr:uid="{00000000-0004-0000-0000-0000D5020000}"/>
    <hyperlink ref="AO711" r:id="rId706" display="Post-Treatments for Multifunctional Property Enhancement of Carbon Nanotube Fibers from the Floating Catalyst Method" xr:uid="{00000000-0004-0000-0000-0000D6020000}"/>
    <hyperlink ref="AO712" r:id="rId707" display="Post-Treatments for Multifunctional Property Enhancement of Carbon Nanotube Fibers from the Floating Catalyst Method" xr:uid="{00000000-0004-0000-0000-0000D7020000}"/>
    <hyperlink ref="AO959" r:id="rId708" display="Hierarchical structure of carbon nanotube fibers, and the change of structure during densification by wet stretching" xr:uid="{00000000-0004-0000-0000-0000D8020000}"/>
    <hyperlink ref="AO960" r:id="rId709" display="Hierarchical structure of carbon nanotube fibers, and the change of structure during densification by wet stretching" xr:uid="{00000000-0004-0000-0000-0000D9020000}"/>
    <hyperlink ref="AO961" r:id="rId710" display="Hierarchical structure of carbon nanotube fibers, and the change of structure during densification by wet stretching" xr:uid="{00000000-0004-0000-0000-0000DA020000}"/>
    <hyperlink ref="AO962" r:id="rId711" display="Hierarchical structure of carbon nanotube fibers, and the change of structure during densification by wet stretching" xr:uid="{00000000-0004-0000-0000-0000DB020000}"/>
    <hyperlink ref="AO963" r:id="rId712" display="Hierarchical structure of carbon nanotube fibers, and the change of structure during densification by wet stretching" xr:uid="{00000000-0004-0000-0000-0000DC020000}"/>
    <hyperlink ref="AO141" r:id="rId713" display="1989 Vapor Grown Properties of Vapor Grown Graphite " xr:uid="{00000000-0004-0000-0000-0000DD020000}"/>
    <hyperlink ref="AO140" r:id="rId714" display="1989 Vapor Grown Properties of Vapor Grown Graphite " xr:uid="{00000000-0004-0000-0000-0000DE020000}"/>
    <hyperlink ref="AO139" r:id="rId715" display="1989 Vapor Grown Properties of Vapor Grown Graphite " xr:uid="{00000000-0004-0000-0000-0000DF020000}"/>
    <hyperlink ref="AO138" r:id="rId716" display="1989 Vapor Grown Properties of Vapor Grown Graphite " xr:uid="{00000000-0004-0000-0000-0000E0020000}"/>
    <hyperlink ref="AO137" r:id="rId717" display="1989 Vapor Grown Properties of Vapor Grown Graphite " xr:uid="{00000000-0004-0000-0000-0000E1020000}"/>
    <hyperlink ref="AO43" r:id="rId718" display="1983 High-field magnetoresistance measurements on highly ordered graphite 6bers" xr:uid="{00000000-0004-0000-0000-0000E2020000}"/>
    <hyperlink ref="AO44" r:id="rId719" display="1983 High-field magnetoresistance measurements on highly ordered graphite 6bers" xr:uid="{00000000-0004-0000-0000-0000E3020000}"/>
    <hyperlink ref="AO45" r:id="rId720" display="1983 High-field magnetoresistance measurements on highly ordered graphite 6bers" xr:uid="{00000000-0004-0000-0000-0000E4020000}"/>
    <hyperlink ref="AO46" r:id="rId721" display="1983 High-field magnetoresistance measurements on highly ordered graphite 6bers" xr:uid="{00000000-0004-0000-0000-0000E5020000}"/>
    <hyperlink ref="AO281" r:id="rId722" display="2005 Metal-insulator transistion in doped single-wall carbon nanotubes" xr:uid="{00000000-0004-0000-0000-0000E6020000}"/>
    <hyperlink ref="AO284" r:id="rId723" display="2005 Metal-insulator transistion in doped single-wall carbon nanotubes" xr:uid="{00000000-0004-0000-0000-0000E7020000}"/>
    <hyperlink ref="AO25" r:id="rId724" display="Intercalation compounds of graphite" xr:uid="{55B19F8A-E0B8-40E5-897E-C0B93282EBC0}"/>
    <hyperlink ref="AO24" r:id="rId725" display="Intercalation compounds of graphite" xr:uid="{B99682B4-B7FD-46CC-A495-E9B2FB5845BA}"/>
    <hyperlink ref="AO23" r:id="rId726" display="Intercalation compounds of graphite" xr:uid="{BB66630E-E21C-4AFC-874F-17F39F58DEB0}"/>
    <hyperlink ref="AO22" r:id="rId727" display="Intercalation compounds of graphite" xr:uid="{E792C118-F3A3-4D08-B991-354E6FA6B780}"/>
    <hyperlink ref="AO56" r:id="rId728" xr:uid="{CCB2BA44-8835-4234-942C-6A4B779E7FC1}"/>
    <hyperlink ref="AO57" r:id="rId729" xr:uid="{71DB61ED-1CAE-428B-9D1E-FC938EAF4236}"/>
    <hyperlink ref="AO58" r:id="rId730" xr:uid="{03FDDD9D-B5E1-4434-B84A-3FB97B3326F8}"/>
    <hyperlink ref="AO59" r:id="rId731" xr:uid="{CDF6F56F-69C6-4CBB-A301-26AC3D6B0ACB}"/>
    <hyperlink ref="AO60" r:id="rId732" xr:uid="{BFC8221F-14F3-461B-9D82-45CCEBA2B0D4}"/>
    <hyperlink ref="AO61" r:id="rId733" xr:uid="{B9EBA083-EF2A-4777-8220-85302182CE62}"/>
    <hyperlink ref="AO62" r:id="rId734" xr:uid="{0ED2AEFE-ECCC-4E39-A354-981DE4A7ED7B}"/>
    <hyperlink ref="AO63" r:id="rId735" xr:uid="{6C3D6F18-E2DF-4E10-A8ED-7923893ABC7D}"/>
    <hyperlink ref="AO64" r:id="rId736" xr:uid="{628DBDFC-667D-4F13-83A6-331D875DCEA9}"/>
    <hyperlink ref="AO65" r:id="rId737" xr:uid="{844983B9-8557-4A0F-B98C-E0836AB5C10B}"/>
    <hyperlink ref="AO174" r:id="rId738" display="1992 iPAC review.pdf" xr:uid="{223BD5C6-EAA3-4F63-9994-CE4350981D0F}"/>
    <hyperlink ref="AO242" r:id="rId739" xr:uid="{C571CDD9-C944-4BBF-84EF-698EC3C70317}"/>
    <hyperlink ref="AO890" r:id="rId740" display="2018 A comparison of the twisted and untwisted structures for " xr:uid="{165492A8-CBC8-465F-8ECB-158AA13C34A2}"/>
    <hyperlink ref="AO804" r:id="rId741" xr:uid="{3186BAEB-B392-4E85-8FCE-DC698F1BEA4F}"/>
    <hyperlink ref="AO805" r:id="rId742" xr:uid="{857B3DC6-0BF6-448F-9B9B-6E5B9ABA18FC}"/>
    <hyperlink ref="AO806" r:id="rId743" xr:uid="{81881BD1-D97D-4DB5-BBE5-BA75266916C5}"/>
    <hyperlink ref="AO807" r:id="rId744" xr:uid="{FC2B4EFC-CFFA-4222-8600-43271FC124BC}"/>
  </hyperlinks>
  <pageMargins left="0.7" right="0.7" top="0.75" bottom="0.75" header="0.3" footer="0.3"/>
  <pageSetup orientation="portrait" r:id="rId7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Q196"/>
  <sheetViews>
    <sheetView topLeftCell="C169" zoomScale="60" zoomScaleNormal="60" workbookViewId="0">
      <selection activeCell="G182" sqref="G182:P184"/>
    </sheetView>
  </sheetViews>
  <sheetFormatPr defaultColWidth="8.85546875" defaultRowHeight="15" x14ac:dyDescent="0.25"/>
  <cols>
    <col min="1" max="6" width="8.85546875" style="22"/>
    <col min="7" max="7" width="29.28515625" style="22" customWidth="1"/>
    <col min="8" max="8" width="13" style="22" customWidth="1"/>
    <col min="9" max="9" width="15.85546875" style="22" customWidth="1"/>
    <col min="10" max="11" width="15" style="22" customWidth="1"/>
    <col min="12" max="12" width="14.28515625" style="22" customWidth="1"/>
    <col min="13" max="14" width="16.7109375" style="22" customWidth="1"/>
    <col min="15" max="15" width="14.7109375" style="22" customWidth="1"/>
    <col min="16" max="16" width="13.85546875" style="22" customWidth="1"/>
    <col min="17" max="17" width="17.28515625" style="22" customWidth="1"/>
    <col min="18" max="16384" width="8.85546875" style="22"/>
  </cols>
  <sheetData>
    <row r="3" spans="1:17" x14ac:dyDescent="0.25">
      <c r="A3" s="34"/>
      <c r="D3" s="22" t="s">
        <v>454</v>
      </c>
    </row>
    <row r="4" spans="1:17" ht="66" customHeight="1" x14ac:dyDescent="0.25">
      <c r="H4" s="23" t="s">
        <v>1198</v>
      </c>
      <c r="I4" s="23" t="s">
        <v>1002</v>
      </c>
      <c r="J4" s="23" t="s">
        <v>1005</v>
      </c>
      <c r="K4" s="23" t="s">
        <v>1004</v>
      </c>
      <c r="L4" s="23" t="s">
        <v>1199</v>
      </c>
      <c r="M4" s="23" t="s">
        <v>1138</v>
      </c>
      <c r="N4" s="23" t="s">
        <v>1139</v>
      </c>
      <c r="O4" s="23" t="s">
        <v>1140</v>
      </c>
      <c r="P4" s="23" t="s">
        <v>1006</v>
      </c>
    </row>
    <row r="5" spans="1:17" x14ac:dyDescent="0.25">
      <c r="G5" s="22" t="s">
        <v>455</v>
      </c>
      <c r="H5" s="27">
        <v>-0.01</v>
      </c>
      <c r="I5" s="27">
        <v>-0.02</v>
      </c>
      <c r="J5" s="27">
        <v>0.63</v>
      </c>
      <c r="K5" s="27">
        <v>0.97</v>
      </c>
      <c r="L5" s="27">
        <v>-0.24</v>
      </c>
      <c r="M5" s="27">
        <v>-0.28000000000000003</v>
      </c>
      <c r="N5" s="27">
        <v>0.4</v>
      </c>
      <c r="O5" s="27">
        <v>0.51</v>
      </c>
      <c r="P5" s="27">
        <v>10</v>
      </c>
    </row>
    <row r="6" spans="1:17" x14ac:dyDescent="0.25">
      <c r="G6" s="22" t="s">
        <v>456</v>
      </c>
      <c r="H6" s="32">
        <v>0.72</v>
      </c>
      <c r="I6" s="32">
        <v>0.46</v>
      </c>
      <c r="J6" s="32">
        <v>0.04</v>
      </c>
      <c r="K6" s="32" t="s">
        <v>1137</v>
      </c>
      <c r="L6" s="32">
        <v>0.74</v>
      </c>
      <c r="M6" s="32">
        <v>0.56999999999999995</v>
      </c>
      <c r="N6" s="32">
        <v>0.04</v>
      </c>
      <c r="O6" s="32" t="s">
        <v>1137</v>
      </c>
      <c r="P6" s="27">
        <v>151</v>
      </c>
    </row>
    <row r="7" spans="1:17" x14ac:dyDescent="0.25">
      <c r="G7" s="22" t="s">
        <v>457</v>
      </c>
      <c r="H7" s="27">
        <v>0.67</v>
      </c>
      <c r="I7" s="27">
        <v>0.39</v>
      </c>
      <c r="J7" s="27">
        <v>0.25</v>
      </c>
      <c r="K7" s="27">
        <v>0.22</v>
      </c>
      <c r="L7" s="27">
        <v>0.64</v>
      </c>
      <c r="M7" s="27">
        <v>0.34</v>
      </c>
      <c r="N7" s="27">
        <v>0.23</v>
      </c>
      <c r="O7" s="27">
        <v>0.25</v>
      </c>
      <c r="P7" s="27">
        <v>5</v>
      </c>
    </row>
    <row r="8" spans="1:17" x14ac:dyDescent="0.25">
      <c r="G8" s="22" t="s">
        <v>458</v>
      </c>
      <c r="H8" s="32">
        <v>0.85</v>
      </c>
      <c r="I8" s="32">
        <v>0.91</v>
      </c>
      <c r="J8" s="32">
        <v>0.05</v>
      </c>
      <c r="K8" s="32" t="s">
        <v>1137</v>
      </c>
      <c r="L8" s="32">
        <v>0.77</v>
      </c>
      <c r="M8" s="32">
        <v>0.73</v>
      </c>
      <c r="N8" s="32">
        <v>0.06</v>
      </c>
      <c r="O8" s="32" t="s">
        <v>1137</v>
      </c>
      <c r="P8" s="27">
        <v>118</v>
      </c>
    </row>
    <row r="13" spans="1:17" x14ac:dyDescent="0.25">
      <c r="A13" s="34"/>
      <c r="D13" s="22" t="s">
        <v>459</v>
      </c>
    </row>
    <row r="14" spans="1:17" ht="73.5" customHeight="1" x14ac:dyDescent="0.25">
      <c r="G14" s="26"/>
      <c r="H14" s="23" t="s">
        <v>1198</v>
      </c>
      <c r="I14" s="23" t="s">
        <v>1002</v>
      </c>
      <c r="J14" s="23" t="s">
        <v>1005</v>
      </c>
      <c r="K14" s="23" t="s">
        <v>1004</v>
      </c>
      <c r="L14" s="23" t="s">
        <v>1199</v>
      </c>
      <c r="M14" s="23" t="s">
        <v>1138</v>
      </c>
      <c r="N14" s="23" t="s">
        <v>1139</v>
      </c>
      <c r="O14" s="23" t="s">
        <v>1140</v>
      </c>
      <c r="P14" s="23" t="s">
        <v>1006</v>
      </c>
      <c r="Q14" s="24"/>
    </row>
    <row r="15" spans="1:17" x14ac:dyDescent="0.25">
      <c r="G15" s="26" t="s">
        <v>455</v>
      </c>
      <c r="H15" s="28">
        <v>0.55000000000000004</v>
      </c>
      <c r="I15" s="28">
        <v>0.65</v>
      </c>
      <c r="J15" s="28">
        <v>0.35</v>
      </c>
      <c r="K15" s="28">
        <v>0.1</v>
      </c>
      <c r="L15" s="29">
        <v>0.28999999999999998</v>
      </c>
      <c r="M15" s="29">
        <v>0.39</v>
      </c>
      <c r="N15" s="29">
        <v>0.46</v>
      </c>
      <c r="O15" s="29">
        <v>0.42</v>
      </c>
      <c r="P15" s="29">
        <v>10</v>
      </c>
    </row>
    <row r="16" spans="1:17" x14ac:dyDescent="0.25">
      <c r="G16" s="26" t="s">
        <v>456</v>
      </c>
      <c r="H16" s="33">
        <v>0.45</v>
      </c>
      <c r="I16" s="33">
        <v>0.46</v>
      </c>
      <c r="J16" s="33">
        <v>0.1</v>
      </c>
      <c r="K16" s="33" t="s">
        <v>1137</v>
      </c>
      <c r="L16" s="33">
        <v>0.62</v>
      </c>
      <c r="M16" s="33">
        <v>0.56000000000000005</v>
      </c>
      <c r="N16" s="33">
        <v>7.0000000000000007E-2</v>
      </c>
      <c r="O16" s="33" t="s">
        <v>1137</v>
      </c>
      <c r="P16" s="29">
        <v>96</v>
      </c>
    </row>
    <row r="17" spans="1:16" x14ac:dyDescent="0.25">
      <c r="G17" s="26" t="s">
        <v>457</v>
      </c>
      <c r="H17" s="29">
        <v>0.02</v>
      </c>
      <c r="I17" s="29">
        <v>0.05</v>
      </c>
      <c r="J17" s="29">
        <v>0.46</v>
      </c>
      <c r="K17" s="29">
        <v>0.92</v>
      </c>
      <c r="L17" s="29">
        <v>-0.31</v>
      </c>
      <c r="M17" s="26">
        <v>-0.71</v>
      </c>
      <c r="N17" s="29">
        <v>0.5</v>
      </c>
      <c r="O17" s="29">
        <v>0.17</v>
      </c>
      <c r="P17" s="29">
        <v>21</v>
      </c>
    </row>
    <row r="18" spans="1:16" x14ac:dyDescent="0.25">
      <c r="G18" s="26" t="s">
        <v>458</v>
      </c>
      <c r="H18" s="33">
        <v>0.75</v>
      </c>
      <c r="I18" s="33">
        <v>0.98</v>
      </c>
      <c r="J18" s="33">
        <v>7.0000000000000007E-2</v>
      </c>
      <c r="K18" s="33" t="s">
        <v>1137</v>
      </c>
      <c r="L18" s="33">
        <v>0.75</v>
      </c>
      <c r="M18" s="33">
        <v>0.88</v>
      </c>
      <c r="N18" s="33">
        <v>0.1</v>
      </c>
      <c r="O18" s="33" t="s">
        <v>1137</v>
      </c>
      <c r="P18" s="29">
        <v>160</v>
      </c>
    </row>
    <row r="21" spans="1:16" ht="23.25" customHeight="1" x14ac:dyDescent="0.25">
      <c r="A21" s="34"/>
      <c r="D21" s="22" t="s">
        <v>460</v>
      </c>
    </row>
    <row r="22" spans="1:16" ht="62.25" customHeight="1" x14ac:dyDescent="0.25">
      <c r="H22" s="23" t="s">
        <v>1198</v>
      </c>
      <c r="I22" s="23" t="s">
        <v>1002</v>
      </c>
      <c r="J22" s="23" t="s">
        <v>1005</v>
      </c>
      <c r="K22" s="23" t="s">
        <v>1004</v>
      </c>
      <c r="L22" s="23" t="s">
        <v>1199</v>
      </c>
      <c r="M22" s="23" t="s">
        <v>1138</v>
      </c>
      <c r="N22" s="23" t="s">
        <v>1139</v>
      </c>
      <c r="O22" s="23" t="s">
        <v>1140</v>
      </c>
      <c r="P22" s="23" t="s">
        <v>1006</v>
      </c>
    </row>
    <row r="23" spans="1:16" x14ac:dyDescent="0.25">
      <c r="G23" s="22" t="s">
        <v>455</v>
      </c>
      <c r="H23" s="33">
        <v>0.69</v>
      </c>
      <c r="I23" s="33">
        <v>0.94</v>
      </c>
      <c r="J23" s="33">
        <v>0.31</v>
      </c>
      <c r="K23" s="33">
        <v>0.01</v>
      </c>
      <c r="L23" s="33">
        <v>0.63</v>
      </c>
      <c r="M23" s="33">
        <v>0.85</v>
      </c>
      <c r="N23" s="33">
        <v>0.33</v>
      </c>
      <c r="O23" s="33">
        <v>0.03</v>
      </c>
      <c r="P23" s="29">
        <v>12</v>
      </c>
    </row>
    <row r="24" spans="1:16" x14ac:dyDescent="0.25">
      <c r="G24" s="22" t="s">
        <v>456</v>
      </c>
      <c r="H24" s="33">
        <v>0.78</v>
      </c>
      <c r="I24" s="33">
        <v>1.19</v>
      </c>
      <c r="J24" s="33">
        <v>0.09</v>
      </c>
      <c r="K24" s="33" t="s">
        <v>1137</v>
      </c>
      <c r="L24" s="33">
        <v>0.74</v>
      </c>
      <c r="M24" s="33">
        <v>1.1000000000000001</v>
      </c>
      <c r="N24" s="33">
        <v>0.09</v>
      </c>
      <c r="O24" s="33" t="s">
        <v>1137</v>
      </c>
      <c r="P24" s="29">
        <v>112</v>
      </c>
    </row>
    <row r="25" spans="1:16" x14ac:dyDescent="0.25">
      <c r="G25" s="22" t="s">
        <v>457</v>
      </c>
      <c r="H25" s="28">
        <v>0.41</v>
      </c>
      <c r="I25" s="28">
        <v>1.07</v>
      </c>
      <c r="J25" s="28">
        <v>0.56000000000000005</v>
      </c>
      <c r="K25" s="28">
        <v>7.0000000000000007E-2</v>
      </c>
      <c r="L25" s="33">
        <v>0.48</v>
      </c>
      <c r="M25" s="33">
        <v>0.92</v>
      </c>
      <c r="N25" s="33">
        <v>0.4</v>
      </c>
      <c r="O25" s="33">
        <v>0.03</v>
      </c>
      <c r="P25" s="29">
        <v>20</v>
      </c>
    </row>
    <row r="26" spans="1:16" x14ac:dyDescent="0.25">
      <c r="G26" s="22" t="s">
        <v>458</v>
      </c>
      <c r="H26" s="33">
        <v>0.59</v>
      </c>
      <c r="I26" s="33">
        <v>1.47</v>
      </c>
      <c r="J26" s="33">
        <v>0.19</v>
      </c>
      <c r="K26" s="33" t="s">
        <v>1137</v>
      </c>
      <c r="L26" s="33">
        <v>0.54</v>
      </c>
      <c r="M26" s="33">
        <v>1.48</v>
      </c>
      <c r="N26" s="33">
        <v>0.22</v>
      </c>
      <c r="O26" s="33" t="s">
        <v>1137</v>
      </c>
      <c r="P26" s="29">
        <v>109</v>
      </c>
    </row>
    <row r="30" spans="1:16" x14ac:dyDescent="0.25">
      <c r="A30" s="34"/>
      <c r="D30" s="22" t="s">
        <v>461</v>
      </c>
    </row>
    <row r="31" spans="1:16" ht="56.25" customHeight="1" x14ac:dyDescent="0.25">
      <c r="H31" s="23" t="s">
        <v>1198</v>
      </c>
      <c r="I31" s="23" t="s">
        <v>1002</v>
      </c>
      <c r="J31" s="23" t="s">
        <v>1005</v>
      </c>
      <c r="K31" s="23" t="s">
        <v>1004</v>
      </c>
      <c r="L31" s="23" t="s">
        <v>1199</v>
      </c>
      <c r="M31" s="23" t="s">
        <v>1138</v>
      </c>
      <c r="N31" s="23" t="s">
        <v>1139</v>
      </c>
      <c r="O31" s="23" t="s">
        <v>1140</v>
      </c>
      <c r="P31" s="23" t="s">
        <v>1006</v>
      </c>
    </row>
    <row r="32" spans="1:16" ht="15.75" x14ac:dyDescent="0.25">
      <c r="G32" s="22" t="s">
        <v>455</v>
      </c>
      <c r="H32" s="35" t="s">
        <v>1260</v>
      </c>
      <c r="I32" s="35" t="s">
        <v>1260</v>
      </c>
      <c r="J32" s="35" t="s">
        <v>1260</v>
      </c>
      <c r="K32" s="35" t="s">
        <v>1260</v>
      </c>
      <c r="L32" s="35" t="s">
        <v>1260</v>
      </c>
      <c r="M32" s="35" t="s">
        <v>1260</v>
      </c>
      <c r="N32" s="35" t="s">
        <v>1260</v>
      </c>
      <c r="O32" s="35" t="s">
        <v>1260</v>
      </c>
      <c r="P32" s="29">
        <v>0</v>
      </c>
    </row>
    <row r="33" spans="1:16" x14ac:dyDescent="0.25">
      <c r="G33" s="22" t="s">
        <v>456</v>
      </c>
      <c r="H33" s="33">
        <v>0.55000000000000004</v>
      </c>
      <c r="I33" s="33">
        <v>1.07</v>
      </c>
      <c r="J33" s="33">
        <v>0.18</v>
      </c>
      <c r="K33" s="33" t="s">
        <v>1137</v>
      </c>
      <c r="L33" s="33">
        <v>0.64</v>
      </c>
      <c r="M33" s="33">
        <v>1.08</v>
      </c>
      <c r="N33" s="33">
        <v>0.14000000000000001</v>
      </c>
      <c r="O33" s="33" t="s">
        <v>1137</v>
      </c>
      <c r="P33" s="29">
        <v>82</v>
      </c>
    </row>
    <row r="34" spans="1:16" x14ac:dyDescent="0.25">
      <c r="G34" s="22" t="s">
        <v>457</v>
      </c>
      <c r="H34" s="33">
        <v>0.83</v>
      </c>
      <c r="I34" s="33">
        <v>1.07</v>
      </c>
      <c r="J34" s="33">
        <v>0.22</v>
      </c>
      <c r="K34" s="33" t="s">
        <v>1137</v>
      </c>
      <c r="L34" s="33">
        <v>0.78</v>
      </c>
      <c r="M34" s="33">
        <v>0.65</v>
      </c>
      <c r="N34" s="33">
        <v>0.16</v>
      </c>
      <c r="O34" s="33" t="s">
        <v>1137</v>
      </c>
      <c r="P34" s="29">
        <v>13</v>
      </c>
    </row>
    <row r="35" spans="1:16" x14ac:dyDescent="0.25">
      <c r="G35" s="22" t="s">
        <v>458</v>
      </c>
      <c r="H35" s="33">
        <v>0.71</v>
      </c>
      <c r="I35" s="33">
        <v>1.84</v>
      </c>
      <c r="J35" s="33">
        <v>0.18</v>
      </c>
      <c r="K35" s="33" t="s">
        <v>1137</v>
      </c>
      <c r="L35" s="33">
        <v>0.56000000000000005</v>
      </c>
      <c r="M35" s="33">
        <v>1.24</v>
      </c>
      <c r="N35" s="33">
        <v>0.18</v>
      </c>
      <c r="O35" s="33" t="s">
        <v>1137</v>
      </c>
      <c r="P35" s="29">
        <v>101</v>
      </c>
    </row>
    <row r="38" spans="1:16" x14ac:dyDescent="0.25">
      <c r="A38" s="34"/>
      <c r="D38" s="22" t="s">
        <v>468</v>
      </c>
    </row>
    <row r="39" spans="1:16" ht="60" x14ac:dyDescent="0.25">
      <c r="H39" s="23" t="s">
        <v>1198</v>
      </c>
      <c r="I39" s="23" t="s">
        <v>1002</v>
      </c>
      <c r="J39" s="23" t="s">
        <v>1005</v>
      </c>
      <c r="K39" s="23" t="s">
        <v>1004</v>
      </c>
      <c r="L39" s="23" t="s">
        <v>1199</v>
      </c>
      <c r="M39" s="23" t="s">
        <v>1138</v>
      </c>
      <c r="N39" s="23" t="s">
        <v>1139</v>
      </c>
      <c r="O39" s="23" t="s">
        <v>1140</v>
      </c>
      <c r="P39" s="23" t="s">
        <v>1006</v>
      </c>
    </row>
    <row r="40" spans="1:16" x14ac:dyDescent="0.25">
      <c r="G40" s="22" t="s">
        <v>455</v>
      </c>
      <c r="H40" s="29">
        <v>-0.06</v>
      </c>
      <c r="I40" s="29">
        <v>-0.06</v>
      </c>
      <c r="J40" s="29">
        <v>0.31</v>
      </c>
      <c r="K40" s="29">
        <v>0.86</v>
      </c>
      <c r="L40" s="29">
        <v>-0.14000000000000001</v>
      </c>
      <c r="M40" s="29">
        <v>-0.15</v>
      </c>
      <c r="N40" s="29">
        <v>0.33</v>
      </c>
      <c r="O40" s="29">
        <v>0.65</v>
      </c>
      <c r="P40" s="29">
        <v>12</v>
      </c>
    </row>
    <row r="41" spans="1:16" x14ac:dyDescent="0.25">
      <c r="G41" s="22" t="s">
        <v>456</v>
      </c>
      <c r="H41" s="33">
        <v>0.19</v>
      </c>
      <c r="I41" s="33">
        <v>0.19</v>
      </c>
      <c r="J41" s="33">
        <v>0.09</v>
      </c>
      <c r="K41" s="33">
        <v>0.05</v>
      </c>
      <c r="L41" s="29">
        <v>0.1</v>
      </c>
      <c r="M41" s="29">
        <v>0.1</v>
      </c>
      <c r="N41" s="26">
        <v>0.1</v>
      </c>
      <c r="O41" s="29">
        <v>0.31</v>
      </c>
      <c r="P41" s="29">
        <v>112</v>
      </c>
    </row>
    <row r="42" spans="1:16" x14ac:dyDescent="0.25">
      <c r="G42" s="22" t="s">
        <v>457</v>
      </c>
      <c r="H42" s="29">
        <v>0.03</v>
      </c>
      <c r="I42" s="29">
        <v>7.0000000000000007E-2</v>
      </c>
      <c r="J42" s="29">
        <v>0.56000000000000005</v>
      </c>
      <c r="K42" s="29">
        <v>0.9</v>
      </c>
      <c r="L42" s="29">
        <v>-0.05</v>
      </c>
      <c r="M42" s="29">
        <v>-0.08</v>
      </c>
      <c r="N42" s="29">
        <v>0.4</v>
      </c>
      <c r="O42" s="29">
        <v>0.85</v>
      </c>
      <c r="P42" s="29">
        <v>20</v>
      </c>
    </row>
    <row r="43" spans="1:16" x14ac:dyDescent="0.25">
      <c r="G43" s="22" t="s">
        <v>458</v>
      </c>
      <c r="H43" s="33">
        <v>0.32</v>
      </c>
      <c r="I43" s="33">
        <v>0.61</v>
      </c>
      <c r="J43" s="33">
        <v>0.18</v>
      </c>
      <c r="K43" s="33" t="s">
        <v>1137</v>
      </c>
      <c r="L43" s="33">
        <v>0.31</v>
      </c>
      <c r="M43" s="33">
        <v>0.7</v>
      </c>
      <c r="N43" s="33">
        <v>0.21</v>
      </c>
      <c r="O43" s="33" t="s">
        <v>1137</v>
      </c>
      <c r="P43" s="29">
        <v>106</v>
      </c>
    </row>
    <row r="46" spans="1:16" x14ac:dyDescent="0.25">
      <c r="A46" s="34"/>
      <c r="D46" s="22" t="s">
        <v>989</v>
      </c>
    </row>
    <row r="47" spans="1:16" ht="60" x14ac:dyDescent="0.25">
      <c r="H47" s="23" t="s">
        <v>1198</v>
      </c>
      <c r="I47" s="23" t="s">
        <v>1002</v>
      </c>
      <c r="J47" s="23" t="s">
        <v>1005</v>
      </c>
      <c r="K47" s="23" t="s">
        <v>1004</v>
      </c>
      <c r="L47" s="23" t="s">
        <v>1199</v>
      </c>
      <c r="M47" s="23" t="s">
        <v>1138</v>
      </c>
      <c r="N47" s="23" t="s">
        <v>1139</v>
      </c>
      <c r="O47" s="23" t="s">
        <v>1140</v>
      </c>
      <c r="P47" s="23" t="s">
        <v>1006</v>
      </c>
    </row>
    <row r="48" spans="1:16" ht="15.75" x14ac:dyDescent="0.25">
      <c r="G48" s="22" t="s">
        <v>455</v>
      </c>
      <c r="H48" s="35"/>
      <c r="I48" s="35" t="s">
        <v>1260</v>
      </c>
      <c r="J48" s="35" t="s">
        <v>1260</v>
      </c>
      <c r="K48" s="35" t="s">
        <v>1260</v>
      </c>
      <c r="L48" s="35" t="s">
        <v>1260</v>
      </c>
      <c r="M48" s="35" t="s">
        <v>1260</v>
      </c>
      <c r="N48" s="35" t="s">
        <v>1260</v>
      </c>
      <c r="O48" s="35" t="s">
        <v>1260</v>
      </c>
      <c r="P48" s="29">
        <v>0</v>
      </c>
    </row>
    <row r="49" spans="1:16" x14ac:dyDescent="0.25">
      <c r="G49" s="22" t="s">
        <v>456</v>
      </c>
      <c r="H49" s="29">
        <v>0.04</v>
      </c>
      <c r="I49" s="29">
        <v>7.0000000000000007E-2</v>
      </c>
      <c r="J49" s="29">
        <v>0.18</v>
      </c>
      <c r="K49" s="29">
        <v>0.71</v>
      </c>
      <c r="L49" s="29">
        <v>0.06</v>
      </c>
      <c r="M49" s="29">
        <v>0.08</v>
      </c>
      <c r="N49" s="29">
        <v>0.14000000000000001</v>
      </c>
      <c r="O49" s="29">
        <v>0.6</v>
      </c>
      <c r="P49" s="29">
        <v>82</v>
      </c>
    </row>
    <row r="50" spans="1:16" x14ac:dyDescent="0.25">
      <c r="G50" s="22" t="s">
        <v>457</v>
      </c>
      <c r="H50" s="29">
        <v>0.1</v>
      </c>
      <c r="I50" s="29">
        <v>7.0000000000000007E-2</v>
      </c>
      <c r="J50" s="29">
        <v>0.22</v>
      </c>
      <c r="K50" s="29">
        <v>0.75</v>
      </c>
      <c r="L50" s="33">
        <v>-0.55000000000000004</v>
      </c>
      <c r="M50" s="33">
        <v>-0.35</v>
      </c>
      <c r="N50" s="33">
        <v>0.16</v>
      </c>
      <c r="O50" s="33">
        <v>0.05</v>
      </c>
      <c r="P50" s="29">
        <v>13</v>
      </c>
    </row>
    <row r="51" spans="1:16" x14ac:dyDescent="0.25">
      <c r="G51" s="22" t="s">
        <v>458</v>
      </c>
      <c r="H51" s="33">
        <v>0.4</v>
      </c>
      <c r="I51" s="33">
        <v>0.8</v>
      </c>
      <c r="J51" s="33">
        <v>0.19</v>
      </c>
      <c r="K51" s="33" t="s">
        <v>1137</v>
      </c>
      <c r="L51" s="29">
        <v>0.1</v>
      </c>
      <c r="M51" s="29">
        <v>0.19</v>
      </c>
      <c r="N51" s="29">
        <v>0.19</v>
      </c>
      <c r="O51" s="29">
        <v>0.32</v>
      </c>
      <c r="P51" s="29">
        <v>99</v>
      </c>
    </row>
    <row r="54" spans="1:16" x14ac:dyDescent="0.25">
      <c r="A54" s="34"/>
      <c r="D54" s="22" t="s">
        <v>990</v>
      </c>
      <c r="H54" s="34" t="s">
        <v>1200</v>
      </c>
    </row>
    <row r="55" spans="1:16" ht="60" x14ac:dyDescent="0.25">
      <c r="D55" s="34"/>
      <c r="H55" s="23" t="s">
        <v>1198</v>
      </c>
      <c r="I55" s="23" t="s">
        <v>1002</v>
      </c>
      <c r="J55" s="23" t="s">
        <v>1005</v>
      </c>
      <c r="K55" s="23" t="s">
        <v>1004</v>
      </c>
      <c r="L55" s="23" t="s">
        <v>1199</v>
      </c>
      <c r="M55" s="23" t="s">
        <v>1138</v>
      </c>
      <c r="N55" s="23" t="s">
        <v>1139</v>
      </c>
      <c r="O55" s="23" t="s">
        <v>1140</v>
      </c>
      <c r="P55" s="23" t="s">
        <v>1006</v>
      </c>
    </row>
    <row r="56" spans="1:16" x14ac:dyDescent="0.25">
      <c r="G56" s="22" t="s">
        <v>456</v>
      </c>
      <c r="H56" s="33">
        <v>-0.25</v>
      </c>
      <c r="I56" s="33">
        <v>-0.36</v>
      </c>
      <c r="J56" s="33">
        <v>0.13</v>
      </c>
      <c r="K56" s="33" t="s">
        <v>1137</v>
      </c>
      <c r="L56" s="28">
        <v>0.16</v>
      </c>
      <c r="M56" s="28">
        <v>0.2</v>
      </c>
      <c r="N56" s="28">
        <v>0.12</v>
      </c>
      <c r="O56" s="28">
        <v>0.1</v>
      </c>
      <c r="P56" s="29">
        <v>112</v>
      </c>
    </row>
    <row r="57" spans="1:16" x14ac:dyDescent="0.25">
      <c r="G57" s="22" t="s">
        <v>458</v>
      </c>
      <c r="H57" s="33">
        <v>-0.28999999999999998</v>
      </c>
      <c r="I57" s="33">
        <v>-0.49</v>
      </c>
      <c r="J57" s="33">
        <v>0.2</v>
      </c>
      <c r="K57" s="33">
        <v>0.01</v>
      </c>
      <c r="L57" s="33">
        <v>-0.26</v>
      </c>
      <c r="M57" s="33">
        <v>-0.56999999999999995</v>
      </c>
      <c r="N57" s="33">
        <v>0.26</v>
      </c>
      <c r="O57" s="33">
        <v>0.03</v>
      </c>
      <c r="P57" s="29">
        <v>69</v>
      </c>
    </row>
    <row r="60" spans="1:16" x14ac:dyDescent="0.25">
      <c r="A60" s="34"/>
      <c r="D60" s="22" t="s">
        <v>991</v>
      </c>
      <c r="H60" s="34" t="s">
        <v>1200</v>
      </c>
    </row>
    <row r="61" spans="1:16" ht="60" x14ac:dyDescent="0.25">
      <c r="H61" s="23" t="s">
        <v>1198</v>
      </c>
      <c r="I61" s="23" t="s">
        <v>1002</v>
      </c>
      <c r="J61" s="23" t="s">
        <v>1005</v>
      </c>
      <c r="K61" s="23" t="s">
        <v>1004</v>
      </c>
      <c r="L61" s="23" t="s">
        <v>1199</v>
      </c>
      <c r="M61" s="23" t="s">
        <v>1138</v>
      </c>
      <c r="N61" s="23" t="s">
        <v>1139</v>
      </c>
      <c r="O61" s="23" t="s">
        <v>1140</v>
      </c>
      <c r="P61" s="23" t="s">
        <v>1006</v>
      </c>
    </row>
    <row r="62" spans="1:16" x14ac:dyDescent="0.25">
      <c r="G62" s="22" t="s">
        <v>456</v>
      </c>
      <c r="H62" s="33">
        <v>-0.63</v>
      </c>
      <c r="I62" s="33">
        <v>-0.52</v>
      </c>
      <c r="J62" s="33">
        <v>0.06</v>
      </c>
      <c r="K62" s="33" t="s">
        <v>1137</v>
      </c>
      <c r="L62" s="33">
        <v>-0.59</v>
      </c>
      <c r="M62" s="33">
        <v>-0.48</v>
      </c>
      <c r="N62" s="33">
        <v>0.06</v>
      </c>
      <c r="O62" s="33" t="s">
        <v>1137</v>
      </c>
      <c r="P62" s="29">
        <v>118</v>
      </c>
    </row>
    <row r="63" spans="1:16" x14ac:dyDescent="0.25">
      <c r="G63" s="22" t="s">
        <v>458</v>
      </c>
      <c r="H63" s="33">
        <v>-0.45</v>
      </c>
      <c r="I63" s="33">
        <v>-0.7</v>
      </c>
      <c r="J63" s="33">
        <v>0.27</v>
      </c>
      <c r="K63" s="33">
        <v>0.02</v>
      </c>
      <c r="L63" s="33">
        <v>-0.56999999999999995</v>
      </c>
      <c r="M63" s="33">
        <v>-0.81</v>
      </c>
      <c r="N63" s="33">
        <v>0.27</v>
      </c>
      <c r="O63" s="33" t="s">
        <v>1137</v>
      </c>
      <c r="P63" s="29">
        <v>28</v>
      </c>
    </row>
    <row r="67" spans="1:16" x14ac:dyDescent="0.25">
      <c r="A67" s="34"/>
      <c r="D67" s="22" t="s">
        <v>1141</v>
      </c>
    </row>
    <row r="68" spans="1:16" ht="60" x14ac:dyDescent="0.25">
      <c r="H68" s="23" t="s">
        <v>1198</v>
      </c>
      <c r="I68" s="23" t="s">
        <v>1002</v>
      </c>
      <c r="J68" s="23" t="s">
        <v>1005</v>
      </c>
      <c r="K68" s="23" t="s">
        <v>1004</v>
      </c>
      <c r="L68" s="23" t="s">
        <v>1199</v>
      </c>
      <c r="M68" s="23" t="s">
        <v>1138</v>
      </c>
      <c r="N68" s="23" t="s">
        <v>1139</v>
      </c>
      <c r="O68" s="23" t="s">
        <v>1140</v>
      </c>
      <c r="P68" s="23" t="s">
        <v>1006</v>
      </c>
    </row>
    <row r="69" spans="1:16" x14ac:dyDescent="0.25">
      <c r="G69" s="22" t="s">
        <v>456</v>
      </c>
      <c r="H69" s="33">
        <v>0.77</v>
      </c>
      <c r="I69" s="33">
        <v>1.51</v>
      </c>
      <c r="J69" s="33">
        <v>0.36</v>
      </c>
      <c r="K69" s="33" t="s">
        <v>1137</v>
      </c>
      <c r="L69" s="33">
        <v>0.78</v>
      </c>
      <c r="M69" s="33">
        <v>1.57</v>
      </c>
      <c r="N69" s="33">
        <v>0.37</v>
      </c>
      <c r="O69" s="33" t="s">
        <v>1137</v>
      </c>
      <c r="P69" s="29">
        <v>14</v>
      </c>
    </row>
    <row r="70" spans="1:16" x14ac:dyDescent="0.25">
      <c r="G70" s="22" t="s">
        <v>458</v>
      </c>
      <c r="H70" s="33">
        <v>-0.72</v>
      </c>
      <c r="I70" s="33">
        <v>-2.2799999999999998</v>
      </c>
      <c r="J70" s="33">
        <v>0.49</v>
      </c>
      <c r="K70" s="33" t="s">
        <v>1137</v>
      </c>
      <c r="L70" s="33">
        <v>-0.76</v>
      </c>
      <c r="M70" s="33">
        <v>-2.19</v>
      </c>
      <c r="N70" s="33">
        <v>0.41</v>
      </c>
      <c r="O70" s="33" t="s">
        <v>1137</v>
      </c>
      <c r="P70" s="29">
        <v>22</v>
      </c>
    </row>
    <row r="71" spans="1:16" x14ac:dyDescent="0.25">
      <c r="P71" s="25"/>
    </row>
    <row r="73" spans="1:16" x14ac:dyDescent="0.25">
      <c r="A73" s="34"/>
      <c r="D73" s="22" t="s">
        <v>1142</v>
      </c>
    </row>
    <row r="74" spans="1:16" ht="60" x14ac:dyDescent="0.25">
      <c r="H74" s="23" t="s">
        <v>1198</v>
      </c>
      <c r="I74" s="23" t="s">
        <v>1002</v>
      </c>
      <c r="J74" s="23" t="s">
        <v>1005</v>
      </c>
      <c r="K74" s="23" t="s">
        <v>1004</v>
      </c>
      <c r="L74" s="23" t="s">
        <v>1199</v>
      </c>
      <c r="M74" s="23" t="s">
        <v>1138</v>
      </c>
      <c r="N74" s="23" t="s">
        <v>1139</v>
      </c>
      <c r="O74" s="23" t="s">
        <v>1140</v>
      </c>
      <c r="P74" s="23" t="s">
        <v>1006</v>
      </c>
    </row>
    <row r="75" spans="1:16" x14ac:dyDescent="0.25">
      <c r="G75" s="22" t="s">
        <v>456</v>
      </c>
      <c r="H75" s="29">
        <v>0.2</v>
      </c>
      <c r="I75" s="29">
        <v>0.28999999999999998</v>
      </c>
      <c r="J75" s="29">
        <v>0.45</v>
      </c>
      <c r="K75" s="29">
        <v>0.53</v>
      </c>
      <c r="L75" s="28">
        <v>0.52</v>
      </c>
      <c r="M75" s="28">
        <v>0.68</v>
      </c>
      <c r="N75" s="28">
        <v>0.35</v>
      </c>
      <c r="O75" s="28">
        <v>0.08</v>
      </c>
      <c r="P75" s="29">
        <v>12</v>
      </c>
    </row>
    <row r="76" spans="1:16" x14ac:dyDescent="0.25">
      <c r="G76" s="22" t="s">
        <v>458</v>
      </c>
      <c r="H76" s="29">
        <v>-0.53</v>
      </c>
      <c r="I76" s="29">
        <v>-0.97</v>
      </c>
      <c r="J76" s="29">
        <v>0.64</v>
      </c>
      <c r="K76" s="29">
        <v>0.18</v>
      </c>
      <c r="L76" s="29">
        <v>-0.6</v>
      </c>
      <c r="M76" s="29">
        <v>-1.08</v>
      </c>
      <c r="N76" s="29">
        <v>0.59</v>
      </c>
      <c r="O76" s="29">
        <v>0.12</v>
      </c>
      <c r="P76" s="29">
        <v>8</v>
      </c>
    </row>
    <row r="79" spans="1:16" x14ac:dyDescent="0.25">
      <c r="A79" s="34"/>
      <c r="D79" s="22" t="s">
        <v>992</v>
      </c>
    </row>
    <row r="80" spans="1:16" ht="60" x14ac:dyDescent="0.25">
      <c r="H80" s="23" t="s">
        <v>1198</v>
      </c>
      <c r="I80" s="23" t="s">
        <v>1002</v>
      </c>
      <c r="J80" s="23" t="s">
        <v>1005</v>
      </c>
      <c r="K80" s="23" t="s">
        <v>1004</v>
      </c>
      <c r="L80" s="23" t="s">
        <v>1199</v>
      </c>
      <c r="M80" s="23" t="s">
        <v>1138</v>
      </c>
      <c r="N80" s="23" t="s">
        <v>1139</v>
      </c>
      <c r="O80" s="23" t="s">
        <v>1140</v>
      </c>
      <c r="P80" s="23" t="s">
        <v>1006</v>
      </c>
    </row>
    <row r="81" spans="1:16" x14ac:dyDescent="0.25">
      <c r="G81" s="22" t="s">
        <v>456</v>
      </c>
      <c r="H81" s="33">
        <v>-0.5</v>
      </c>
      <c r="I81" s="33">
        <v>-1.03</v>
      </c>
      <c r="J81" s="33">
        <v>0.47</v>
      </c>
      <c r="K81" s="33">
        <v>0.04</v>
      </c>
      <c r="L81" s="28">
        <v>-0.44</v>
      </c>
      <c r="M81" s="28">
        <v>-0.82</v>
      </c>
      <c r="N81" s="28">
        <v>0.43</v>
      </c>
      <c r="O81" s="28">
        <v>0.08</v>
      </c>
      <c r="P81" s="29">
        <v>17</v>
      </c>
    </row>
    <row r="82" spans="1:16" x14ac:dyDescent="0.25">
      <c r="G82" s="22" t="s">
        <v>458</v>
      </c>
      <c r="H82" s="33">
        <v>0.37</v>
      </c>
      <c r="I82" s="33">
        <v>0.5</v>
      </c>
      <c r="J82" s="33">
        <v>0.23</v>
      </c>
      <c r="K82" s="33">
        <v>0.04</v>
      </c>
      <c r="L82" s="29">
        <v>0.19</v>
      </c>
      <c r="M82" s="29">
        <v>0.26</v>
      </c>
      <c r="N82" s="29">
        <v>0.24</v>
      </c>
      <c r="O82" s="29">
        <v>0.28999999999999998</v>
      </c>
      <c r="P82" s="29">
        <v>31</v>
      </c>
    </row>
    <row r="85" spans="1:16" x14ac:dyDescent="0.25">
      <c r="A85" s="34"/>
      <c r="D85" s="22" t="s">
        <v>993</v>
      </c>
    </row>
    <row r="86" spans="1:16" ht="60" x14ac:dyDescent="0.25">
      <c r="H86" s="23" t="s">
        <v>1198</v>
      </c>
      <c r="I86" s="23" t="s">
        <v>1002</v>
      </c>
      <c r="J86" s="23" t="s">
        <v>1005</v>
      </c>
      <c r="K86" s="23" t="s">
        <v>1004</v>
      </c>
      <c r="L86" s="23" t="s">
        <v>1199</v>
      </c>
      <c r="M86" s="23" t="s">
        <v>1138</v>
      </c>
      <c r="N86" s="23" t="s">
        <v>1139</v>
      </c>
      <c r="O86" s="23" t="s">
        <v>1140</v>
      </c>
      <c r="P86" s="23" t="s">
        <v>1006</v>
      </c>
    </row>
    <row r="87" spans="1:16" x14ac:dyDescent="0.25">
      <c r="G87" s="22" t="s">
        <v>456</v>
      </c>
      <c r="H87" s="29">
        <v>0.03</v>
      </c>
      <c r="I87" s="29">
        <v>0.05</v>
      </c>
      <c r="J87" s="29">
        <v>0.32</v>
      </c>
      <c r="K87" s="29">
        <v>0.88</v>
      </c>
      <c r="L87" s="29">
        <v>-0.16</v>
      </c>
      <c r="M87" s="29">
        <v>-0.28000000000000003</v>
      </c>
      <c r="N87" s="29">
        <v>0.39</v>
      </c>
      <c r="O87" s="29">
        <v>0.48</v>
      </c>
      <c r="P87" s="29">
        <v>22</v>
      </c>
    </row>
    <row r="88" spans="1:16" x14ac:dyDescent="0.25">
      <c r="G88" s="22" t="s">
        <v>458</v>
      </c>
      <c r="H88" s="29">
        <v>0.11</v>
      </c>
      <c r="I88" s="29">
        <v>0.13</v>
      </c>
      <c r="J88" s="29">
        <v>0.24</v>
      </c>
      <c r="K88" s="29">
        <v>0.57999999999999996</v>
      </c>
      <c r="L88" s="29">
        <v>-0.25</v>
      </c>
      <c r="M88" s="29">
        <v>-0.34</v>
      </c>
      <c r="N88" s="29">
        <v>0.26</v>
      </c>
      <c r="O88" s="29">
        <v>0.21</v>
      </c>
      <c r="P88" s="29">
        <v>27</v>
      </c>
    </row>
    <row r="91" spans="1:16" x14ac:dyDescent="0.25">
      <c r="A91" s="34"/>
      <c r="D91" s="22" t="s">
        <v>994</v>
      </c>
    </row>
    <row r="92" spans="1:16" ht="60" x14ac:dyDescent="0.25">
      <c r="H92" s="23" t="s">
        <v>1198</v>
      </c>
      <c r="I92" s="23" t="s">
        <v>1002</v>
      </c>
      <c r="J92" s="23" t="s">
        <v>1005</v>
      </c>
      <c r="K92" s="23" t="s">
        <v>1004</v>
      </c>
      <c r="L92" s="23" t="s">
        <v>1199</v>
      </c>
      <c r="M92" s="23" t="s">
        <v>1138</v>
      </c>
      <c r="N92" s="23" t="s">
        <v>1139</v>
      </c>
      <c r="O92" s="23" t="s">
        <v>1140</v>
      </c>
      <c r="P92" s="23" t="s">
        <v>1006</v>
      </c>
    </row>
    <row r="93" spans="1:16" x14ac:dyDescent="0.25">
      <c r="G93" s="22" t="s">
        <v>456</v>
      </c>
      <c r="H93" s="29">
        <v>7.0000000000000007E-2</v>
      </c>
      <c r="I93" s="29">
        <v>0.12</v>
      </c>
      <c r="J93" s="29">
        <v>0.34</v>
      </c>
      <c r="K93" s="29">
        <v>0.73</v>
      </c>
      <c r="L93" s="29">
        <v>-0.08</v>
      </c>
      <c r="M93" s="29">
        <v>-0.1</v>
      </c>
      <c r="N93" s="29">
        <v>0.27</v>
      </c>
      <c r="O93" s="29">
        <v>0.71</v>
      </c>
      <c r="P93" s="29">
        <v>26</v>
      </c>
    </row>
    <row r="94" spans="1:16" x14ac:dyDescent="0.25">
      <c r="G94" s="22" t="s">
        <v>458</v>
      </c>
      <c r="H94" s="33">
        <v>0.65</v>
      </c>
      <c r="I94" s="33">
        <v>1.17</v>
      </c>
      <c r="J94" s="33">
        <v>0.48</v>
      </c>
      <c r="K94" s="33">
        <v>0.04</v>
      </c>
      <c r="L94" s="29">
        <v>0.31</v>
      </c>
      <c r="M94" s="29">
        <v>0.52</v>
      </c>
      <c r="N94" s="29">
        <v>0.55000000000000004</v>
      </c>
      <c r="O94" s="29">
        <v>0.38</v>
      </c>
      <c r="P94" s="29">
        <v>10</v>
      </c>
    </row>
    <row r="97" spans="1:16" x14ac:dyDescent="0.25">
      <c r="A97" s="34"/>
      <c r="D97" s="22" t="s">
        <v>995</v>
      </c>
    </row>
    <row r="98" spans="1:16" ht="60" x14ac:dyDescent="0.25">
      <c r="H98" s="23" t="s">
        <v>1198</v>
      </c>
      <c r="I98" s="23" t="s">
        <v>1002</v>
      </c>
      <c r="J98" s="23" t="s">
        <v>1005</v>
      </c>
      <c r="K98" s="23" t="s">
        <v>1004</v>
      </c>
      <c r="L98" s="23" t="s">
        <v>1199</v>
      </c>
      <c r="M98" s="23" t="s">
        <v>1138</v>
      </c>
      <c r="N98" s="23" t="s">
        <v>1139</v>
      </c>
      <c r="O98" s="23" t="s">
        <v>1140</v>
      </c>
      <c r="P98" s="23" t="s">
        <v>1006</v>
      </c>
    </row>
    <row r="99" spans="1:16" x14ac:dyDescent="0.25">
      <c r="G99" s="22" t="s">
        <v>455</v>
      </c>
      <c r="H99" s="29">
        <v>-0.46</v>
      </c>
      <c r="I99" s="29">
        <v>-0.52</v>
      </c>
      <c r="J99" s="29">
        <v>0.32</v>
      </c>
      <c r="K99" s="29">
        <v>0.13</v>
      </c>
      <c r="L99" s="33">
        <v>-0.66</v>
      </c>
      <c r="M99" s="33">
        <v>-0.5</v>
      </c>
      <c r="N99" s="33">
        <v>0.18</v>
      </c>
      <c r="O99" s="33">
        <v>0.02</v>
      </c>
      <c r="P99" s="29">
        <v>12</v>
      </c>
    </row>
    <row r="100" spans="1:16" x14ac:dyDescent="0.25">
      <c r="G100" s="22" t="s">
        <v>456</v>
      </c>
      <c r="H100" s="33">
        <v>0.33</v>
      </c>
      <c r="I100" s="33">
        <v>0.44</v>
      </c>
      <c r="J100" s="33">
        <v>0.13</v>
      </c>
      <c r="K100" s="33" t="s">
        <v>1137</v>
      </c>
      <c r="L100" s="33">
        <v>0.41</v>
      </c>
      <c r="M100" s="33">
        <v>0.75</v>
      </c>
      <c r="N100" s="33">
        <v>0.17</v>
      </c>
      <c r="O100" s="33" t="s">
        <v>1137</v>
      </c>
      <c r="P100" s="29">
        <v>96</v>
      </c>
    </row>
    <row r="101" spans="1:16" x14ac:dyDescent="0.25">
      <c r="G101" s="22" t="s">
        <v>457</v>
      </c>
      <c r="H101" s="33">
        <v>0.22</v>
      </c>
      <c r="I101" s="33">
        <v>0.28999999999999998</v>
      </c>
      <c r="J101" s="33">
        <v>0.13</v>
      </c>
      <c r="K101" s="33">
        <v>0.03</v>
      </c>
      <c r="L101" s="33">
        <v>0.34</v>
      </c>
      <c r="M101" s="33">
        <v>0.76</v>
      </c>
      <c r="N101" s="33">
        <v>0.18</v>
      </c>
      <c r="O101" s="33" t="s">
        <v>1137</v>
      </c>
      <c r="P101" s="29">
        <v>97</v>
      </c>
    </row>
    <row r="102" spans="1:16" x14ac:dyDescent="0.25">
      <c r="G102" s="22" t="s">
        <v>458</v>
      </c>
      <c r="H102" s="33">
        <v>0.45</v>
      </c>
      <c r="I102" s="33">
        <v>0.56000000000000005</v>
      </c>
      <c r="J102" s="33">
        <v>0.1</v>
      </c>
      <c r="K102" s="33" t="s">
        <v>1137</v>
      </c>
      <c r="L102" s="33">
        <v>0.51</v>
      </c>
      <c r="M102" s="33">
        <v>0.7</v>
      </c>
      <c r="N102" s="33">
        <v>0.1</v>
      </c>
      <c r="O102" s="33" t="s">
        <v>1137</v>
      </c>
      <c r="P102" s="29">
        <v>141</v>
      </c>
    </row>
    <row r="105" spans="1:16" x14ac:dyDescent="0.25">
      <c r="A105" s="34"/>
      <c r="D105" s="22" t="s">
        <v>996</v>
      </c>
    </row>
    <row r="106" spans="1:16" ht="60" x14ac:dyDescent="0.25">
      <c r="H106" s="23" t="s">
        <v>1198</v>
      </c>
      <c r="I106" s="23" t="s">
        <v>1002</v>
      </c>
      <c r="J106" s="23" t="s">
        <v>1005</v>
      </c>
      <c r="K106" s="23" t="s">
        <v>1004</v>
      </c>
      <c r="L106" s="23" t="s">
        <v>1199</v>
      </c>
      <c r="M106" s="23" t="s">
        <v>1138</v>
      </c>
      <c r="N106" s="23" t="s">
        <v>1139</v>
      </c>
      <c r="O106" s="23" t="s">
        <v>1140</v>
      </c>
      <c r="P106" s="23" t="s">
        <v>1006</v>
      </c>
    </row>
    <row r="107" spans="1:16" x14ac:dyDescent="0.25">
      <c r="G107" s="22" t="s">
        <v>455</v>
      </c>
      <c r="H107" s="29">
        <v>0.24</v>
      </c>
      <c r="I107" s="29">
        <v>0.25</v>
      </c>
      <c r="J107" s="29">
        <v>0.35</v>
      </c>
      <c r="K107" s="29">
        <v>0.5</v>
      </c>
      <c r="L107" s="29">
        <v>0.37</v>
      </c>
      <c r="M107" s="29">
        <v>0.22</v>
      </c>
      <c r="N107" s="29">
        <v>0.19</v>
      </c>
      <c r="O107" s="29">
        <v>0.28999999999999998</v>
      </c>
      <c r="P107" s="29">
        <v>10</v>
      </c>
    </row>
    <row r="108" spans="1:16" x14ac:dyDescent="0.25">
      <c r="G108" s="22" t="s">
        <v>456</v>
      </c>
      <c r="H108" s="39">
        <v>-0.27</v>
      </c>
      <c r="I108" s="39">
        <v>-0.38</v>
      </c>
      <c r="J108" s="39">
        <v>0.18</v>
      </c>
      <c r="K108" s="39">
        <v>0.04</v>
      </c>
      <c r="L108" s="29">
        <v>-0.15</v>
      </c>
      <c r="M108" s="29">
        <v>-0.28999999999999998</v>
      </c>
      <c r="N108" s="29">
        <v>0.25</v>
      </c>
      <c r="O108" s="29">
        <v>0.24</v>
      </c>
      <c r="P108" s="29">
        <v>60</v>
      </c>
    </row>
    <row r="109" spans="1:16" x14ac:dyDescent="0.25">
      <c r="G109" s="22" t="s">
        <v>457</v>
      </c>
      <c r="H109" s="29">
        <v>0.06</v>
      </c>
      <c r="I109" s="29">
        <v>0.06</v>
      </c>
      <c r="J109" s="29">
        <v>0.26</v>
      </c>
      <c r="K109" s="29">
        <v>0.82</v>
      </c>
      <c r="L109" s="29">
        <v>0.08</v>
      </c>
      <c r="M109" s="29">
        <v>0.06</v>
      </c>
      <c r="N109" s="29">
        <v>0.2</v>
      </c>
      <c r="O109" s="29">
        <v>0.76</v>
      </c>
      <c r="P109" s="29">
        <v>16</v>
      </c>
    </row>
    <row r="110" spans="1:16" x14ac:dyDescent="0.25">
      <c r="G110" s="22" t="s">
        <v>458</v>
      </c>
      <c r="H110" s="29">
        <v>0.03</v>
      </c>
      <c r="I110" s="29">
        <v>0.03</v>
      </c>
      <c r="J110" s="29">
        <v>0.09</v>
      </c>
      <c r="K110" s="29">
        <v>0.72</v>
      </c>
      <c r="L110" s="29">
        <v>7.0000000000000007E-2</v>
      </c>
      <c r="M110" s="29">
        <v>7.0000000000000007E-2</v>
      </c>
      <c r="N110" s="29">
        <v>0.08</v>
      </c>
      <c r="O110" s="29">
        <v>0.41</v>
      </c>
      <c r="P110" s="29">
        <v>124</v>
      </c>
    </row>
    <row r="113" spans="1:16" x14ac:dyDescent="0.25">
      <c r="A113" s="34"/>
      <c r="D113" s="22" t="s">
        <v>997</v>
      </c>
    </row>
    <row r="114" spans="1:16" ht="60" x14ac:dyDescent="0.25">
      <c r="H114" s="23" t="s">
        <v>1198</v>
      </c>
      <c r="I114" s="23" t="s">
        <v>1002</v>
      </c>
      <c r="J114" s="23" t="s">
        <v>1005</v>
      </c>
      <c r="K114" s="23" t="s">
        <v>1004</v>
      </c>
      <c r="L114" s="23" t="s">
        <v>1199</v>
      </c>
      <c r="M114" s="23" t="s">
        <v>1138</v>
      </c>
      <c r="N114" s="23" t="s">
        <v>1139</v>
      </c>
      <c r="O114" s="23" t="s">
        <v>1140</v>
      </c>
      <c r="P114" s="23" t="s">
        <v>1006</v>
      </c>
    </row>
    <row r="115" spans="1:16" x14ac:dyDescent="0.25">
      <c r="G115" s="22" t="s">
        <v>455</v>
      </c>
      <c r="H115" s="29">
        <v>0.36</v>
      </c>
      <c r="I115" s="29">
        <v>0.62</v>
      </c>
      <c r="J115" s="29">
        <v>0.5</v>
      </c>
      <c r="K115" s="29">
        <v>0.24</v>
      </c>
      <c r="L115" s="29">
        <v>-0.05</v>
      </c>
      <c r="M115" s="29">
        <v>-0.09</v>
      </c>
      <c r="N115" s="29">
        <v>0.5</v>
      </c>
      <c r="O115" s="29">
        <v>0.87</v>
      </c>
      <c r="P115" s="29">
        <v>12</v>
      </c>
    </row>
    <row r="116" spans="1:16" x14ac:dyDescent="0.25">
      <c r="G116" s="22" t="s">
        <v>456</v>
      </c>
      <c r="H116" s="33">
        <v>0.31</v>
      </c>
      <c r="I116" s="33">
        <v>0.41</v>
      </c>
      <c r="J116" s="33">
        <v>0.15</v>
      </c>
      <c r="K116" s="33" t="s">
        <v>1137</v>
      </c>
      <c r="L116" s="33">
        <v>0.37</v>
      </c>
      <c r="M116" s="33">
        <v>0.62</v>
      </c>
      <c r="N116" s="33">
        <v>0.18</v>
      </c>
      <c r="O116" s="33" t="s">
        <v>1137</v>
      </c>
      <c r="P116" s="29">
        <v>77</v>
      </c>
    </row>
    <row r="117" spans="1:16" x14ac:dyDescent="0.25">
      <c r="G117" s="22" t="s">
        <v>457</v>
      </c>
      <c r="H117" s="33">
        <v>0.22</v>
      </c>
      <c r="I117" s="33">
        <v>0.32</v>
      </c>
      <c r="J117" s="33">
        <v>0.14000000000000001</v>
      </c>
      <c r="K117" s="33">
        <v>0.03</v>
      </c>
      <c r="L117" s="33">
        <v>0.47</v>
      </c>
      <c r="M117" s="33">
        <v>1.01</v>
      </c>
      <c r="N117" s="33">
        <v>0.19</v>
      </c>
      <c r="O117" s="33" t="s">
        <v>1137</v>
      </c>
      <c r="P117" s="29">
        <v>97</v>
      </c>
    </row>
    <row r="118" spans="1:16" x14ac:dyDescent="0.25">
      <c r="G118" s="22" t="s">
        <v>458</v>
      </c>
      <c r="H118" s="33">
        <v>0.67</v>
      </c>
      <c r="I118" s="33">
        <v>0.81</v>
      </c>
      <c r="J118" s="33">
        <v>0.08</v>
      </c>
      <c r="K118" s="33" t="s">
        <v>1137</v>
      </c>
      <c r="L118" s="33">
        <v>0.62</v>
      </c>
      <c r="M118" s="33">
        <v>0.72</v>
      </c>
      <c r="N118" s="33">
        <v>0.08</v>
      </c>
      <c r="O118" s="33" t="s">
        <v>1137</v>
      </c>
      <c r="P118" s="29">
        <v>124</v>
      </c>
    </row>
    <row r="121" spans="1:16" x14ac:dyDescent="0.25">
      <c r="A121" s="34"/>
      <c r="D121" s="22" t="s">
        <v>998</v>
      </c>
    </row>
    <row r="122" spans="1:16" ht="60" x14ac:dyDescent="0.25">
      <c r="H122" s="23" t="s">
        <v>1198</v>
      </c>
      <c r="I122" s="23" t="s">
        <v>1002</v>
      </c>
      <c r="J122" s="23" t="s">
        <v>1005</v>
      </c>
      <c r="K122" s="23" t="s">
        <v>1004</v>
      </c>
      <c r="L122" s="23" t="s">
        <v>1199</v>
      </c>
      <c r="M122" s="23" t="s">
        <v>1138</v>
      </c>
      <c r="N122" s="23" t="s">
        <v>1139</v>
      </c>
      <c r="O122" s="23" t="s">
        <v>1140</v>
      </c>
      <c r="P122" s="23" t="s">
        <v>1006</v>
      </c>
    </row>
    <row r="123" spans="1:16" x14ac:dyDescent="0.25">
      <c r="G123" s="22" t="s">
        <v>455</v>
      </c>
      <c r="H123" s="33">
        <v>0.93</v>
      </c>
      <c r="I123" s="33">
        <v>1.22</v>
      </c>
      <c r="J123" s="33">
        <v>0.18</v>
      </c>
      <c r="K123" s="33" t="s">
        <v>1137</v>
      </c>
      <c r="L123" s="33">
        <v>0.89</v>
      </c>
      <c r="M123" s="33">
        <v>1</v>
      </c>
      <c r="N123" s="33">
        <v>0.18</v>
      </c>
      <c r="O123" s="33" t="s">
        <v>1137</v>
      </c>
      <c r="P123" s="29">
        <v>10</v>
      </c>
    </row>
    <row r="124" spans="1:16" x14ac:dyDescent="0.25">
      <c r="G124" s="22" t="s">
        <v>456</v>
      </c>
      <c r="H124" s="28">
        <v>-0.28000000000000003</v>
      </c>
      <c r="I124" s="28">
        <v>-0.28000000000000003</v>
      </c>
      <c r="J124" s="28">
        <v>0.15</v>
      </c>
      <c r="K124" s="28">
        <v>0.06</v>
      </c>
      <c r="L124" s="29">
        <v>-0.17</v>
      </c>
      <c r="M124" s="29">
        <v>-0.26</v>
      </c>
      <c r="N124" s="29">
        <v>0.23</v>
      </c>
      <c r="O124" s="29">
        <v>0.26</v>
      </c>
      <c r="P124" s="29">
        <v>44</v>
      </c>
    </row>
    <row r="125" spans="1:16" x14ac:dyDescent="0.25">
      <c r="G125" s="22" t="s">
        <v>457</v>
      </c>
      <c r="H125" s="29">
        <v>0.36</v>
      </c>
      <c r="I125" s="29">
        <v>0.33</v>
      </c>
      <c r="J125" s="29">
        <v>0.23</v>
      </c>
      <c r="K125" s="29">
        <v>0.17</v>
      </c>
      <c r="L125" s="29">
        <v>0.35</v>
      </c>
      <c r="M125" s="29">
        <v>0.25</v>
      </c>
      <c r="N125" s="29">
        <v>0.18</v>
      </c>
      <c r="O125" s="29">
        <v>0.19</v>
      </c>
      <c r="P125" s="29">
        <v>16</v>
      </c>
    </row>
    <row r="126" spans="1:16" x14ac:dyDescent="0.25">
      <c r="G126" s="22" t="s">
        <v>458</v>
      </c>
      <c r="H126" s="33">
        <v>0.3</v>
      </c>
      <c r="I126" s="33">
        <v>0.28999999999999998</v>
      </c>
      <c r="J126" s="33">
        <v>0.09</v>
      </c>
      <c r="K126" s="33" t="s">
        <v>1137</v>
      </c>
      <c r="L126" s="33">
        <v>0.28999999999999998</v>
      </c>
      <c r="M126" s="33">
        <v>0.27</v>
      </c>
      <c r="N126" s="33">
        <v>0.09</v>
      </c>
      <c r="O126" s="33" t="s">
        <v>1137</v>
      </c>
      <c r="P126" s="29">
        <v>101</v>
      </c>
    </row>
    <row r="129" spans="1:16" x14ac:dyDescent="0.25">
      <c r="A129" s="34"/>
      <c r="D129" s="22" t="s">
        <v>999</v>
      </c>
    </row>
    <row r="130" spans="1:16" ht="60" x14ac:dyDescent="0.25">
      <c r="H130" s="23" t="s">
        <v>1198</v>
      </c>
      <c r="I130" s="23" t="s">
        <v>1002</v>
      </c>
      <c r="J130" s="23" t="s">
        <v>1005</v>
      </c>
      <c r="K130" s="23" t="s">
        <v>1004</v>
      </c>
      <c r="L130" s="23" t="s">
        <v>1199</v>
      </c>
      <c r="M130" s="23" t="s">
        <v>1138</v>
      </c>
      <c r="N130" s="23" t="s">
        <v>1139</v>
      </c>
      <c r="O130" s="23" t="s">
        <v>1140</v>
      </c>
      <c r="P130" s="23" t="s">
        <v>1006</v>
      </c>
    </row>
    <row r="131" spans="1:16" x14ac:dyDescent="0.25">
      <c r="G131" s="22" t="s">
        <v>455</v>
      </c>
      <c r="H131" s="29">
        <v>0</v>
      </c>
      <c r="I131" s="29">
        <v>0</v>
      </c>
      <c r="J131" s="29">
        <v>0.33</v>
      </c>
      <c r="K131" s="29">
        <v>1</v>
      </c>
      <c r="L131" s="28">
        <v>-0.39</v>
      </c>
      <c r="M131" s="28">
        <v>-0.56999999999999995</v>
      </c>
      <c r="N131" s="28">
        <v>0.32</v>
      </c>
      <c r="O131" s="28">
        <v>0.09</v>
      </c>
      <c r="P131" s="29">
        <v>20</v>
      </c>
    </row>
    <row r="132" spans="1:16" x14ac:dyDescent="0.25">
      <c r="G132" s="22" t="s">
        <v>456</v>
      </c>
      <c r="H132" s="29">
        <v>-0.01</v>
      </c>
      <c r="I132" s="29">
        <v>-0.04</v>
      </c>
      <c r="J132" s="29">
        <v>0.23</v>
      </c>
      <c r="K132" s="29">
        <v>0.87</v>
      </c>
      <c r="L132" s="33">
        <v>-0.17</v>
      </c>
      <c r="M132" s="33">
        <v>-0.47</v>
      </c>
      <c r="N132" s="33">
        <v>0.22</v>
      </c>
      <c r="O132" s="33">
        <v>0.03</v>
      </c>
      <c r="P132" s="29">
        <v>163</v>
      </c>
    </row>
    <row r="133" spans="1:16" x14ac:dyDescent="0.25">
      <c r="G133" s="22" t="s">
        <v>457</v>
      </c>
      <c r="H133" s="29">
        <v>-0.11</v>
      </c>
      <c r="I133" s="29">
        <v>-0.36</v>
      </c>
      <c r="J133" s="29">
        <v>0.37</v>
      </c>
      <c r="K133" s="29">
        <v>0.34</v>
      </c>
      <c r="L133" s="29">
        <v>-0.15</v>
      </c>
      <c r="M133" s="29">
        <v>-0.5</v>
      </c>
      <c r="N133" s="29">
        <v>0.35</v>
      </c>
      <c r="O133" s="29">
        <v>0.16</v>
      </c>
      <c r="P133" s="29">
        <v>84</v>
      </c>
    </row>
    <row r="134" spans="1:16" x14ac:dyDescent="0.25">
      <c r="G134" s="22" t="s">
        <v>458</v>
      </c>
      <c r="H134" s="33">
        <v>-0.33</v>
      </c>
      <c r="I134" s="33">
        <v>-1.1399999999999999</v>
      </c>
      <c r="J134" s="33">
        <v>0.28000000000000003</v>
      </c>
      <c r="K134" s="33" t="s">
        <v>1137</v>
      </c>
      <c r="L134" s="33">
        <v>-0.33</v>
      </c>
      <c r="M134" s="33">
        <v>-1.03</v>
      </c>
      <c r="N134" s="33">
        <v>0.25</v>
      </c>
      <c r="O134" s="33" t="s">
        <v>1137</v>
      </c>
      <c r="P134" s="29">
        <v>141</v>
      </c>
    </row>
    <row r="137" spans="1:16" x14ac:dyDescent="0.25">
      <c r="A137" s="34"/>
      <c r="D137" s="22" t="s">
        <v>1000</v>
      </c>
    </row>
    <row r="138" spans="1:16" ht="60" x14ac:dyDescent="0.25">
      <c r="H138" s="23" t="s">
        <v>1198</v>
      </c>
      <c r="I138" s="23" t="s">
        <v>1002</v>
      </c>
      <c r="J138" s="23" t="s">
        <v>1005</v>
      </c>
      <c r="K138" s="23" t="s">
        <v>1004</v>
      </c>
      <c r="L138" s="23" t="s">
        <v>1199</v>
      </c>
      <c r="M138" s="23" t="s">
        <v>1138</v>
      </c>
      <c r="N138" s="23" t="s">
        <v>1139</v>
      </c>
      <c r="O138" s="23" t="s">
        <v>1140</v>
      </c>
      <c r="P138" s="23" t="s">
        <v>1006</v>
      </c>
    </row>
    <row r="139" spans="1:16" ht="15.75" x14ac:dyDescent="0.25">
      <c r="G139" s="22" t="s">
        <v>455</v>
      </c>
      <c r="H139" s="35" t="s">
        <v>1260</v>
      </c>
      <c r="I139" s="35" t="s">
        <v>1260</v>
      </c>
      <c r="J139" s="35" t="s">
        <v>1260</v>
      </c>
      <c r="K139" s="35" t="s">
        <v>1260</v>
      </c>
      <c r="L139" s="35" t="s">
        <v>1260</v>
      </c>
      <c r="M139" s="35" t="s">
        <v>1260</v>
      </c>
      <c r="N139" s="35" t="s">
        <v>1260</v>
      </c>
      <c r="O139" s="35" t="s">
        <v>1260</v>
      </c>
      <c r="P139" s="29">
        <v>5</v>
      </c>
    </row>
    <row r="140" spans="1:16" x14ac:dyDescent="0.25">
      <c r="G140" s="22" t="s">
        <v>456</v>
      </c>
      <c r="H140" s="33">
        <v>-0.22</v>
      </c>
      <c r="I140" s="33">
        <v>-0.38</v>
      </c>
      <c r="J140" s="33">
        <v>0.14000000000000001</v>
      </c>
      <c r="K140" s="33" t="s">
        <v>1137</v>
      </c>
      <c r="L140" s="33">
        <v>-0.3</v>
      </c>
      <c r="M140" s="33">
        <v>-0.69</v>
      </c>
      <c r="N140" s="33">
        <v>0.18</v>
      </c>
      <c r="O140" s="33" t="s">
        <v>1137</v>
      </c>
      <c r="P140" s="29">
        <v>149</v>
      </c>
    </row>
    <row r="141" spans="1:16" x14ac:dyDescent="0.25">
      <c r="G141" s="22" t="s">
        <v>457</v>
      </c>
      <c r="H141" s="33">
        <v>-0.96</v>
      </c>
      <c r="I141" s="33">
        <v>-0.08</v>
      </c>
      <c r="J141" s="33">
        <v>0.02</v>
      </c>
      <c r="K141" s="33">
        <v>0.04</v>
      </c>
      <c r="L141" s="33">
        <v>-0.96</v>
      </c>
      <c r="M141" s="33">
        <v>-0.08</v>
      </c>
      <c r="N141" s="33">
        <v>0.02</v>
      </c>
      <c r="O141" s="33">
        <v>0.04</v>
      </c>
      <c r="P141" s="29">
        <v>4</v>
      </c>
    </row>
    <row r="142" spans="1:16" x14ac:dyDescent="0.25">
      <c r="G142" s="22" t="s">
        <v>458</v>
      </c>
      <c r="H142" s="29">
        <v>-0.05</v>
      </c>
      <c r="I142" s="29">
        <v>-0.12</v>
      </c>
      <c r="J142" s="29">
        <v>0.21</v>
      </c>
      <c r="K142" s="29">
        <v>0.57999999999999996</v>
      </c>
      <c r="L142" s="29">
        <v>0.02</v>
      </c>
      <c r="M142" s="29">
        <v>0.04</v>
      </c>
      <c r="N142" s="29">
        <v>0.2</v>
      </c>
      <c r="O142" s="29">
        <v>0.85</v>
      </c>
      <c r="P142" s="29">
        <v>113</v>
      </c>
    </row>
    <row r="145" spans="1:16" x14ac:dyDescent="0.25">
      <c r="A145" s="34"/>
      <c r="D145" s="22" t="s">
        <v>1001</v>
      </c>
    </row>
    <row r="146" spans="1:16" ht="60" x14ac:dyDescent="0.25">
      <c r="H146" s="23" t="s">
        <v>1198</v>
      </c>
      <c r="I146" s="23" t="s">
        <v>1002</v>
      </c>
      <c r="J146" s="23" t="s">
        <v>1005</v>
      </c>
      <c r="K146" s="23" t="s">
        <v>1004</v>
      </c>
      <c r="L146" s="23" t="s">
        <v>1199</v>
      </c>
      <c r="M146" s="23" t="s">
        <v>1138</v>
      </c>
      <c r="N146" s="23" t="s">
        <v>1139</v>
      </c>
      <c r="O146" s="23" t="s">
        <v>1140</v>
      </c>
      <c r="P146" s="23" t="s">
        <v>1006</v>
      </c>
    </row>
    <row r="147" spans="1:16" x14ac:dyDescent="0.25">
      <c r="G147" s="22" t="s">
        <v>455</v>
      </c>
      <c r="H147" s="29">
        <v>0.27</v>
      </c>
      <c r="I147" s="29">
        <v>2.96</v>
      </c>
      <c r="J147" s="29">
        <v>4.28</v>
      </c>
      <c r="K147" s="29">
        <v>0.52</v>
      </c>
      <c r="L147" s="33">
        <v>0.79</v>
      </c>
      <c r="M147" s="33">
        <v>6.94</v>
      </c>
      <c r="N147" s="33">
        <v>2.19</v>
      </c>
      <c r="O147" s="33">
        <v>0.02</v>
      </c>
      <c r="P147" s="29">
        <v>8</v>
      </c>
    </row>
    <row r="148" spans="1:16" x14ac:dyDescent="0.25">
      <c r="G148" s="22" t="s">
        <v>456</v>
      </c>
      <c r="H148" s="29">
        <v>0.05</v>
      </c>
      <c r="I148" s="29">
        <v>0.17</v>
      </c>
      <c r="J148" s="29">
        <v>0.61</v>
      </c>
      <c r="K148" s="29">
        <v>0.78</v>
      </c>
      <c r="L148" s="29">
        <v>7.0000000000000007E-2</v>
      </c>
      <c r="M148" s="29">
        <v>0.28000000000000003</v>
      </c>
      <c r="N148" s="29">
        <v>0.74</v>
      </c>
      <c r="O148" s="29">
        <v>0.7</v>
      </c>
      <c r="P148" s="29">
        <v>36</v>
      </c>
    </row>
    <row r="149" spans="1:16" x14ac:dyDescent="0.25">
      <c r="G149" s="22" t="s">
        <v>457</v>
      </c>
      <c r="H149" s="33">
        <v>0.84</v>
      </c>
      <c r="I149" s="33">
        <v>1.02</v>
      </c>
      <c r="J149" s="33">
        <v>0.11</v>
      </c>
      <c r="K149" s="33" t="s">
        <v>1137</v>
      </c>
      <c r="L149" s="33">
        <v>0.83</v>
      </c>
      <c r="M149" s="33">
        <v>1.02</v>
      </c>
      <c r="N149" s="33">
        <v>0.11</v>
      </c>
      <c r="O149" s="33" t="s">
        <v>1137</v>
      </c>
      <c r="P149" s="29">
        <v>36</v>
      </c>
    </row>
    <row r="150" spans="1:16" x14ac:dyDescent="0.25">
      <c r="G150" s="22" t="s">
        <v>458</v>
      </c>
      <c r="H150" s="33">
        <v>0.82</v>
      </c>
      <c r="I150" s="33">
        <v>1.8</v>
      </c>
      <c r="J150" s="33">
        <v>0.26</v>
      </c>
      <c r="K150" s="33" t="s">
        <v>1137</v>
      </c>
      <c r="L150" s="33">
        <v>0.8</v>
      </c>
      <c r="M150" s="33">
        <v>1.58</v>
      </c>
      <c r="N150" s="33">
        <v>0.24</v>
      </c>
      <c r="O150" s="33" t="s">
        <v>1137</v>
      </c>
      <c r="P150" s="29">
        <v>26</v>
      </c>
    </row>
    <row r="153" spans="1:16" x14ac:dyDescent="0.25">
      <c r="A153" s="34"/>
      <c r="D153" s="22" t="s">
        <v>1003</v>
      </c>
    </row>
    <row r="154" spans="1:16" ht="60" x14ac:dyDescent="0.25">
      <c r="H154" s="23" t="s">
        <v>1198</v>
      </c>
      <c r="I154" s="23" t="s">
        <v>1002</v>
      </c>
      <c r="J154" s="23" t="s">
        <v>1005</v>
      </c>
      <c r="K154" s="23" t="s">
        <v>1004</v>
      </c>
      <c r="L154" s="23" t="s">
        <v>1199</v>
      </c>
      <c r="M154" s="23" t="s">
        <v>1138</v>
      </c>
      <c r="N154" s="23" t="s">
        <v>1139</v>
      </c>
      <c r="O154" s="23" t="s">
        <v>1140</v>
      </c>
      <c r="P154" s="23" t="s">
        <v>1006</v>
      </c>
    </row>
    <row r="155" spans="1:16" ht="15.75" x14ac:dyDescent="0.25">
      <c r="G155" s="22" t="s">
        <v>455</v>
      </c>
      <c r="H155" s="35" t="s">
        <v>1260</v>
      </c>
      <c r="I155" s="35" t="s">
        <v>1260</v>
      </c>
      <c r="J155" s="35" t="s">
        <v>1260</v>
      </c>
      <c r="K155" s="35" t="s">
        <v>1260</v>
      </c>
      <c r="L155" s="35" t="s">
        <v>1260</v>
      </c>
      <c r="M155" s="35" t="s">
        <v>1260</v>
      </c>
      <c r="N155" s="35" t="s">
        <v>1260</v>
      </c>
      <c r="O155" s="35" t="s">
        <v>1260</v>
      </c>
      <c r="P155" s="29">
        <v>3</v>
      </c>
    </row>
    <row r="156" spans="1:16" x14ac:dyDescent="0.25">
      <c r="G156" s="22" t="s">
        <v>456</v>
      </c>
      <c r="H156" s="33">
        <v>0.88</v>
      </c>
      <c r="I156" s="33">
        <v>1.08</v>
      </c>
      <c r="J156" s="33">
        <v>0.12</v>
      </c>
      <c r="K156" s="33" t="s">
        <v>1137</v>
      </c>
      <c r="L156" s="33">
        <v>0.85</v>
      </c>
      <c r="M156" s="33">
        <v>1.1200000000000001</v>
      </c>
      <c r="N156" s="33">
        <v>0.14000000000000001</v>
      </c>
      <c r="O156" s="33" t="s">
        <v>1137</v>
      </c>
      <c r="P156" s="29">
        <v>27</v>
      </c>
    </row>
    <row r="157" spans="1:16" x14ac:dyDescent="0.25">
      <c r="G157" s="22" t="s">
        <v>457</v>
      </c>
      <c r="H157" s="33">
        <v>0.69</v>
      </c>
      <c r="I157" s="33">
        <v>0.56999999999999995</v>
      </c>
      <c r="J157" s="33">
        <v>0.08</v>
      </c>
      <c r="K157" s="33" t="s">
        <v>1137</v>
      </c>
      <c r="L157" s="33">
        <v>0.61</v>
      </c>
      <c r="M157" s="33">
        <v>0.56000000000000005</v>
      </c>
      <c r="N157" s="33">
        <v>0.1</v>
      </c>
      <c r="O157" s="33" t="s">
        <v>1137</v>
      </c>
      <c r="P157" s="29">
        <v>55</v>
      </c>
    </row>
    <row r="158" spans="1:16" x14ac:dyDescent="0.25">
      <c r="G158" s="22" t="s">
        <v>458</v>
      </c>
      <c r="H158" s="33">
        <v>0.9</v>
      </c>
      <c r="I158" s="33">
        <v>0.96</v>
      </c>
      <c r="J158" s="33">
        <v>0.09</v>
      </c>
      <c r="K158" s="33" t="s">
        <v>1137</v>
      </c>
      <c r="L158" s="33">
        <v>0.89</v>
      </c>
      <c r="M158" s="33">
        <v>0.95</v>
      </c>
      <c r="N158" s="33">
        <v>0.1</v>
      </c>
      <c r="O158" s="33" t="s">
        <v>1137</v>
      </c>
      <c r="P158" s="29">
        <v>26</v>
      </c>
    </row>
    <row r="161" spans="1:16" x14ac:dyDescent="0.25">
      <c r="A161" s="34"/>
      <c r="D161" s="22" t="s">
        <v>1143</v>
      </c>
    </row>
    <row r="162" spans="1:16" ht="60" x14ac:dyDescent="0.25">
      <c r="H162" s="23" t="s">
        <v>1198</v>
      </c>
      <c r="I162" s="23" t="s">
        <v>1002</v>
      </c>
      <c r="J162" s="23" t="s">
        <v>1005</v>
      </c>
      <c r="K162" s="23" t="s">
        <v>1004</v>
      </c>
      <c r="L162" s="23" t="s">
        <v>1199</v>
      </c>
      <c r="M162" s="23" t="s">
        <v>1138</v>
      </c>
      <c r="N162" s="23" t="s">
        <v>1139</v>
      </c>
      <c r="O162" s="23" t="s">
        <v>1140</v>
      </c>
      <c r="P162" s="23" t="s">
        <v>1006</v>
      </c>
    </row>
    <row r="163" spans="1:16" x14ac:dyDescent="0.25">
      <c r="G163" s="22" t="s">
        <v>455</v>
      </c>
      <c r="H163" s="29">
        <v>0.7</v>
      </c>
      <c r="I163" s="29">
        <v>1.2</v>
      </c>
      <c r="J163" s="29">
        <v>0.62</v>
      </c>
      <c r="K163" s="29">
        <v>0.12</v>
      </c>
      <c r="L163" s="29">
        <v>0.66</v>
      </c>
      <c r="M163" s="29">
        <v>1.62</v>
      </c>
      <c r="N163" s="29">
        <v>0.93</v>
      </c>
      <c r="O163" s="29">
        <v>0.16</v>
      </c>
      <c r="P163" s="29">
        <v>6</v>
      </c>
    </row>
    <row r="164" spans="1:16" x14ac:dyDescent="0.25">
      <c r="G164" s="22" t="s">
        <v>456</v>
      </c>
      <c r="H164" s="33">
        <v>0.84</v>
      </c>
      <c r="I164" s="33">
        <v>1.01</v>
      </c>
      <c r="J164" s="33">
        <v>0.11</v>
      </c>
      <c r="K164" s="33" t="s">
        <v>1137</v>
      </c>
      <c r="L164" s="33">
        <v>0.85</v>
      </c>
      <c r="M164" s="33">
        <v>0.98</v>
      </c>
      <c r="N164" s="33">
        <v>0.1</v>
      </c>
      <c r="O164" s="33" t="s">
        <v>1137</v>
      </c>
      <c r="P164" s="29">
        <v>37</v>
      </c>
    </row>
    <row r="165" spans="1:16" x14ac:dyDescent="0.25">
      <c r="G165" s="22" t="s">
        <v>457</v>
      </c>
      <c r="H165" s="29">
        <v>0.18</v>
      </c>
      <c r="I165" s="29">
        <v>0.31</v>
      </c>
      <c r="J165" s="29">
        <v>0.31</v>
      </c>
      <c r="K165" s="29">
        <v>0.34</v>
      </c>
      <c r="L165" s="29">
        <v>0.21</v>
      </c>
      <c r="M165" s="29">
        <v>0.34</v>
      </c>
      <c r="N165" s="29">
        <v>0.3</v>
      </c>
      <c r="O165" s="29">
        <v>0.27</v>
      </c>
      <c r="P165" s="29">
        <v>29</v>
      </c>
    </row>
    <row r="166" spans="1:16" x14ac:dyDescent="0.25">
      <c r="G166" s="22" t="s">
        <v>458</v>
      </c>
      <c r="H166" s="33">
        <v>0.85</v>
      </c>
      <c r="I166" s="33">
        <v>0.56000000000000005</v>
      </c>
      <c r="J166" s="33">
        <v>0.08</v>
      </c>
      <c r="K166" s="33" t="s">
        <v>1137</v>
      </c>
      <c r="L166" s="33">
        <v>0.84</v>
      </c>
      <c r="M166" s="33">
        <v>0.51</v>
      </c>
      <c r="N166" s="33">
        <v>7.0000000000000007E-2</v>
      </c>
      <c r="O166" s="33" t="s">
        <v>1137</v>
      </c>
      <c r="P166" s="29">
        <v>24</v>
      </c>
    </row>
    <row r="169" spans="1:16" x14ac:dyDescent="0.25">
      <c r="A169" s="34"/>
      <c r="D169" s="22" t="s">
        <v>1145</v>
      </c>
    </row>
    <row r="170" spans="1:16" ht="60" x14ac:dyDescent="0.25">
      <c r="H170" s="23" t="s">
        <v>1198</v>
      </c>
      <c r="I170" s="23" t="s">
        <v>1002</v>
      </c>
      <c r="J170" s="23" t="s">
        <v>1005</v>
      </c>
      <c r="K170" s="23" t="s">
        <v>1004</v>
      </c>
      <c r="L170" s="23" t="s">
        <v>1199</v>
      </c>
      <c r="M170" s="23" t="s">
        <v>1138</v>
      </c>
      <c r="N170" s="23" t="s">
        <v>1139</v>
      </c>
      <c r="O170" s="23" t="s">
        <v>1140</v>
      </c>
      <c r="P170" s="23" t="s">
        <v>1006</v>
      </c>
    </row>
    <row r="171" spans="1:16" x14ac:dyDescent="0.25">
      <c r="G171" s="22" t="s">
        <v>1146</v>
      </c>
      <c r="H171" s="33">
        <v>-0.92</v>
      </c>
      <c r="I171" s="33">
        <v>-0.98</v>
      </c>
      <c r="J171" s="33">
        <v>0.05</v>
      </c>
      <c r="K171" s="33" t="s">
        <v>1137</v>
      </c>
      <c r="L171" s="33">
        <v>-0.93</v>
      </c>
      <c r="M171" s="33">
        <v>-1</v>
      </c>
      <c r="N171" s="33">
        <v>0.04</v>
      </c>
      <c r="O171" s="33" t="s">
        <v>1137</v>
      </c>
      <c r="P171" s="29">
        <v>91</v>
      </c>
    </row>
    <row r="172" spans="1:16" x14ac:dyDescent="0.25">
      <c r="G172" s="22" t="s">
        <v>1147</v>
      </c>
      <c r="H172" s="33">
        <v>-0.89</v>
      </c>
      <c r="I172" s="33">
        <v>-0.91</v>
      </c>
      <c r="J172" s="33">
        <v>7.0000000000000007E-2</v>
      </c>
      <c r="K172" s="33" t="s">
        <v>1137</v>
      </c>
      <c r="L172" s="33">
        <v>-0.93</v>
      </c>
      <c r="M172" s="33">
        <v>-0.96</v>
      </c>
      <c r="N172" s="33">
        <v>0.05</v>
      </c>
      <c r="O172" s="33" t="s">
        <v>1137</v>
      </c>
      <c r="P172" s="29">
        <v>52</v>
      </c>
    </row>
    <row r="173" spans="1:16" x14ac:dyDescent="0.25">
      <c r="G173" s="22" t="s">
        <v>1148</v>
      </c>
      <c r="H173" s="33">
        <v>-0.93</v>
      </c>
      <c r="I173" s="33">
        <v>-1.1000000000000001</v>
      </c>
      <c r="J173" s="33">
        <v>7.0000000000000007E-2</v>
      </c>
      <c r="K173" s="33" t="s">
        <v>1137</v>
      </c>
      <c r="L173" s="33">
        <v>-0.94</v>
      </c>
      <c r="M173" s="33">
        <v>-1.18</v>
      </c>
      <c r="N173" s="33">
        <v>7.0000000000000007E-2</v>
      </c>
      <c r="O173" s="33" t="s">
        <v>1137</v>
      </c>
      <c r="P173" s="29">
        <v>39</v>
      </c>
    </row>
    <row r="174" spans="1:16" x14ac:dyDescent="0.25">
      <c r="G174" s="22" t="s">
        <v>1275</v>
      </c>
      <c r="H174" s="33">
        <v>-0.87</v>
      </c>
      <c r="I174" s="33">
        <v>-0.83</v>
      </c>
      <c r="J174" s="33">
        <v>0.06</v>
      </c>
      <c r="K174" s="33" t="s">
        <v>1137</v>
      </c>
      <c r="L174" s="33">
        <v>-0.92</v>
      </c>
      <c r="M174" s="33">
        <v>-0.9</v>
      </c>
      <c r="N174" s="33">
        <v>0.05</v>
      </c>
      <c r="O174" s="33" t="s">
        <v>1137</v>
      </c>
      <c r="P174" s="29">
        <v>61</v>
      </c>
    </row>
    <row r="175" spans="1:16" x14ac:dyDescent="0.25">
      <c r="G175" s="22" t="s">
        <v>1149</v>
      </c>
      <c r="H175" s="33">
        <v>-0.86</v>
      </c>
      <c r="I175" s="33">
        <v>-0.87</v>
      </c>
      <c r="J175" s="33">
        <v>0.11</v>
      </c>
      <c r="K175" s="33" t="s">
        <v>1137</v>
      </c>
      <c r="L175" s="33">
        <v>-0.93</v>
      </c>
      <c r="M175" s="33">
        <v>-0.89</v>
      </c>
      <c r="N175" s="33">
        <v>7.0000000000000007E-2</v>
      </c>
      <c r="O175" s="33" t="s">
        <v>1137</v>
      </c>
      <c r="P175" s="29">
        <v>23</v>
      </c>
    </row>
    <row r="176" spans="1:16" x14ac:dyDescent="0.25">
      <c r="G176" s="22" t="s">
        <v>1276</v>
      </c>
      <c r="H176" s="33">
        <v>-0.96</v>
      </c>
      <c r="I176" s="33">
        <v>-1.1399999999999999</v>
      </c>
      <c r="J176" s="33">
        <v>7.0000000000000007E-2</v>
      </c>
      <c r="K176" s="33" t="s">
        <v>1137</v>
      </c>
      <c r="L176" s="33">
        <v>-0.93</v>
      </c>
      <c r="M176" s="33">
        <v>-1.05</v>
      </c>
      <c r="N176" s="33">
        <v>0.08</v>
      </c>
      <c r="O176" s="33" t="s">
        <v>1277</v>
      </c>
      <c r="P176" s="29">
        <v>30</v>
      </c>
    </row>
    <row r="177" spans="1:16" x14ac:dyDescent="0.25">
      <c r="G177" s="22" t="s">
        <v>1150</v>
      </c>
      <c r="H177" s="33">
        <v>-0.98</v>
      </c>
      <c r="I177" s="33">
        <v>-1.2</v>
      </c>
      <c r="J177" s="33">
        <v>0.05</v>
      </c>
      <c r="K177" s="33" t="s">
        <v>1137</v>
      </c>
      <c r="L177" s="33">
        <v>-0.97</v>
      </c>
      <c r="M177" s="33">
        <v>-1.1499999999999999</v>
      </c>
      <c r="N177" s="33">
        <v>0.06</v>
      </c>
      <c r="O177" s="33" t="s">
        <v>1137</v>
      </c>
      <c r="P177" s="29">
        <v>24</v>
      </c>
    </row>
    <row r="182" spans="1:16" ht="60" x14ac:dyDescent="0.25">
      <c r="A182" s="34"/>
      <c r="D182" s="22" t="s">
        <v>1151</v>
      </c>
      <c r="H182" s="23" t="s">
        <v>1198</v>
      </c>
      <c r="I182" s="23" t="s">
        <v>1002</v>
      </c>
      <c r="J182" s="23" t="s">
        <v>1005</v>
      </c>
      <c r="K182" s="23" t="s">
        <v>1004</v>
      </c>
      <c r="L182" s="23" t="s">
        <v>1199</v>
      </c>
      <c r="M182" s="23" t="s">
        <v>1138</v>
      </c>
      <c r="N182" s="23" t="s">
        <v>1139</v>
      </c>
      <c r="O182" s="23" t="s">
        <v>1140</v>
      </c>
      <c r="P182" s="23" t="s">
        <v>1006</v>
      </c>
    </row>
    <row r="183" spans="1:16" x14ac:dyDescent="0.25">
      <c r="G183" s="22" t="s">
        <v>1279</v>
      </c>
      <c r="H183" s="33">
        <v>0.78</v>
      </c>
      <c r="I183" s="33">
        <v>0.51</v>
      </c>
      <c r="J183" s="33">
        <v>7.0000000000000007E-2</v>
      </c>
      <c r="K183" s="33" t="s">
        <v>1277</v>
      </c>
      <c r="L183" s="33">
        <v>0.75</v>
      </c>
      <c r="M183" s="33">
        <v>0.56000000000000005</v>
      </c>
      <c r="N183" s="33">
        <v>0.08</v>
      </c>
      <c r="O183" s="33" t="s">
        <v>1277</v>
      </c>
      <c r="P183" s="29">
        <v>42</v>
      </c>
    </row>
    <row r="184" spans="1:16" x14ac:dyDescent="0.25">
      <c r="G184" s="22" t="s">
        <v>1278</v>
      </c>
      <c r="H184" s="33">
        <v>0.8</v>
      </c>
      <c r="I184" s="33">
        <v>0.88</v>
      </c>
      <c r="J184" s="33">
        <v>0.12</v>
      </c>
      <c r="K184" s="33" t="s">
        <v>1277</v>
      </c>
      <c r="L184" s="36">
        <v>0.78</v>
      </c>
      <c r="M184" s="36">
        <v>0.85</v>
      </c>
      <c r="N184" s="36">
        <v>0.12</v>
      </c>
      <c r="O184" s="36" t="s">
        <v>1277</v>
      </c>
      <c r="P184" s="29">
        <v>34</v>
      </c>
    </row>
    <row r="188" spans="1:16" ht="60" x14ac:dyDescent="0.25">
      <c r="A188" s="34"/>
      <c r="D188" s="22" t="s">
        <v>999</v>
      </c>
      <c r="H188" s="23" t="s">
        <v>1198</v>
      </c>
      <c r="I188" s="23" t="s">
        <v>1002</v>
      </c>
      <c r="J188" s="23" t="s">
        <v>1005</v>
      </c>
      <c r="K188" s="23" t="s">
        <v>1004</v>
      </c>
      <c r="L188" s="23" t="s">
        <v>1199</v>
      </c>
      <c r="M188" s="23" t="s">
        <v>1138</v>
      </c>
      <c r="N188" s="23" t="s">
        <v>1139</v>
      </c>
      <c r="O188" s="23" t="s">
        <v>1140</v>
      </c>
      <c r="P188" s="23" t="s">
        <v>1006</v>
      </c>
    </row>
    <row r="189" spans="1:16" x14ac:dyDescent="0.25">
      <c r="G189" s="22" t="s">
        <v>1201</v>
      </c>
      <c r="H189" s="33">
        <v>-0.34</v>
      </c>
      <c r="I189" s="33">
        <v>-0.63</v>
      </c>
      <c r="J189" s="33">
        <v>0.09</v>
      </c>
      <c r="K189" s="33" t="s">
        <v>1137</v>
      </c>
      <c r="L189" s="33">
        <v>-0.39</v>
      </c>
      <c r="M189" s="33">
        <v>-0.73</v>
      </c>
      <c r="N189" s="33">
        <v>0.08</v>
      </c>
      <c r="O189" s="33" t="s">
        <v>1137</v>
      </c>
      <c r="P189" s="29">
        <v>408</v>
      </c>
    </row>
    <row r="195" spans="1:16" ht="60" x14ac:dyDescent="0.25">
      <c r="A195" s="34"/>
      <c r="D195" s="22" t="s">
        <v>1202</v>
      </c>
      <c r="H195" s="23" t="s">
        <v>1198</v>
      </c>
      <c r="I195" s="23" t="s">
        <v>1002</v>
      </c>
      <c r="J195" s="23" t="s">
        <v>1005</v>
      </c>
      <c r="K195" s="23" t="s">
        <v>1004</v>
      </c>
      <c r="L195" s="23" t="s">
        <v>1199</v>
      </c>
      <c r="M195" s="23" t="s">
        <v>1138</v>
      </c>
      <c r="N195" s="23" t="s">
        <v>1139</v>
      </c>
      <c r="O195" s="23" t="s">
        <v>1140</v>
      </c>
      <c r="P195" s="23" t="s">
        <v>1006</v>
      </c>
    </row>
    <row r="196" spans="1:16" x14ac:dyDescent="0.25">
      <c r="G196" s="22" t="s">
        <v>1201</v>
      </c>
      <c r="H196" s="33">
        <v>-0.21</v>
      </c>
      <c r="I196" s="33">
        <v>-0.26</v>
      </c>
      <c r="J196" s="33">
        <v>7.0000000000000007E-2</v>
      </c>
      <c r="K196" s="33" t="s">
        <v>1137</v>
      </c>
      <c r="L196" s="33">
        <v>-0.32</v>
      </c>
      <c r="M196" s="33">
        <v>-0.46</v>
      </c>
      <c r="N196" s="33">
        <v>0.08</v>
      </c>
      <c r="O196" s="33" t="s">
        <v>1137</v>
      </c>
      <c r="P196" s="29">
        <v>271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EV228"/>
  <sheetViews>
    <sheetView topLeftCell="C1" workbookViewId="0">
      <selection activeCell="DX15" sqref="DX15"/>
    </sheetView>
  </sheetViews>
  <sheetFormatPr defaultRowHeight="15" x14ac:dyDescent="0.25"/>
  <cols>
    <col min="22" max="22" width="13.28515625" customWidth="1"/>
  </cols>
  <sheetData>
    <row r="1" spans="4:152" x14ac:dyDescent="0.25">
      <c r="D1" t="s">
        <v>539</v>
      </c>
      <c r="M1" t="s">
        <v>541</v>
      </c>
      <c r="U1" t="s">
        <v>542</v>
      </c>
      <c r="AC1" t="s">
        <v>545</v>
      </c>
      <c r="AK1" t="s">
        <v>547</v>
      </c>
      <c r="AT1" t="s">
        <v>548</v>
      </c>
      <c r="BB1" t="s">
        <v>550</v>
      </c>
      <c r="BJ1" t="s">
        <v>551</v>
      </c>
      <c r="BQ1" t="s">
        <v>553</v>
      </c>
      <c r="CA1" t="s">
        <v>554</v>
      </c>
      <c r="CK1" t="s">
        <v>556</v>
      </c>
      <c r="CT1" t="s">
        <v>557</v>
      </c>
      <c r="DC1" t="s">
        <v>559</v>
      </c>
      <c r="DM1" t="s">
        <v>561</v>
      </c>
      <c r="DU1" t="s">
        <v>562</v>
      </c>
      <c r="EC1" t="s">
        <v>369</v>
      </c>
      <c r="EL1" t="s">
        <v>564</v>
      </c>
      <c r="ET1" t="s">
        <v>565</v>
      </c>
    </row>
    <row r="2" spans="4:152" x14ac:dyDescent="0.25">
      <c r="D2" t="s">
        <v>538</v>
      </c>
      <c r="M2" t="s">
        <v>540</v>
      </c>
      <c r="U2" t="s">
        <v>543</v>
      </c>
      <c r="AC2" t="s">
        <v>543</v>
      </c>
      <c r="AK2" t="s">
        <v>543</v>
      </c>
      <c r="AT2" t="s">
        <v>549</v>
      </c>
      <c r="BB2" t="s">
        <v>549</v>
      </c>
      <c r="BJ2" t="s">
        <v>549</v>
      </c>
      <c r="BQ2" t="s">
        <v>552</v>
      </c>
      <c r="CA2" t="s">
        <v>552</v>
      </c>
      <c r="CK2" t="s">
        <v>555</v>
      </c>
      <c r="CT2" t="s">
        <v>555</v>
      </c>
      <c r="DC2" t="s">
        <v>558</v>
      </c>
      <c r="DM2" t="s">
        <v>560</v>
      </c>
      <c r="DU2" t="s">
        <v>346</v>
      </c>
      <c r="EC2" t="s">
        <v>346</v>
      </c>
      <c r="EL2" t="s">
        <v>563</v>
      </c>
      <c r="ET2" t="s">
        <v>563</v>
      </c>
    </row>
    <row r="3" spans="4:152" x14ac:dyDescent="0.25">
      <c r="D3" t="s">
        <v>536</v>
      </c>
      <c r="F3" t="s">
        <v>537</v>
      </c>
      <c r="M3" t="s">
        <v>536</v>
      </c>
      <c r="N3" t="s">
        <v>537</v>
      </c>
      <c r="U3" t="s">
        <v>536</v>
      </c>
      <c r="V3" t="s">
        <v>544</v>
      </c>
      <c r="X3" t="s">
        <v>537</v>
      </c>
      <c r="AC3" t="s">
        <v>536</v>
      </c>
      <c r="AD3" t="s">
        <v>544</v>
      </c>
      <c r="AF3" t="s">
        <v>537</v>
      </c>
      <c r="AK3" t="s">
        <v>536</v>
      </c>
      <c r="AL3" t="s">
        <v>544</v>
      </c>
      <c r="AN3" t="s">
        <v>537</v>
      </c>
      <c r="AT3" t="s">
        <v>536</v>
      </c>
      <c r="AV3" t="s">
        <v>537</v>
      </c>
      <c r="BB3" t="s">
        <v>536</v>
      </c>
      <c r="BD3" t="s">
        <v>537</v>
      </c>
      <c r="BJ3" t="s">
        <v>536</v>
      </c>
      <c r="BL3" t="s">
        <v>537</v>
      </c>
      <c r="BQ3" t="s">
        <v>536</v>
      </c>
      <c r="BS3" t="s">
        <v>537</v>
      </c>
      <c r="CA3" t="s">
        <v>536</v>
      </c>
      <c r="CC3" t="s">
        <v>537</v>
      </c>
      <c r="CK3" t="s">
        <v>536</v>
      </c>
      <c r="CM3" t="s">
        <v>537</v>
      </c>
      <c r="CT3" t="s">
        <v>536</v>
      </c>
      <c r="CV3" t="s">
        <v>537</v>
      </c>
      <c r="DC3" t="s">
        <v>536</v>
      </c>
      <c r="DF3" t="s">
        <v>537</v>
      </c>
      <c r="DM3" t="s">
        <v>536</v>
      </c>
      <c r="DO3" t="s">
        <v>537</v>
      </c>
      <c r="DU3" t="s">
        <v>536</v>
      </c>
      <c r="DW3" t="s">
        <v>537</v>
      </c>
      <c r="EC3" t="s">
        <v>536</v>
      </c>
      <c r="EE3" t="s">
        <v>537</v>
      </c>
      <c r="EL3" t="s">
        <v>536</v>
      </c>
      <c r="EN3" t="s">
        <v>537</v>
      </c>
      <c r="ET3" t="s">
        <v>536</v>
      </c>
      <c r="EV3" t="s">
        <v>537</v>
      </c>
    </row>
    <row r="4" spans="4:152" x14ac:dyDescent="0.25">
      <c r="D4">
        <v>5.1299445601066598</v>
      </c>
      <c r="E4">
        <v>1.0279187817258899</v>
      </c>
      <c r="F4">
        <f>E4/10.9264</f>
        <v>9.4076620087667484E-2</v>
      </c>
      <c r="M4">
        <v>287.43830446143397</v>
      </c>
      <c r="N4">
        <v>0.99932901061324497</v>
      </c>
      <c r="U4">
        <v>3.4906490531169001</v>
      </c>
      <c r="V4">
        <v>7.1434385370017299</v>
      </c>
      <c r="W4">
        <f>1/V4</f>
        <v>0.13998860560221515</v>
      </c>
      <c r="X4">
        <f>W4/0.182326</f>
        <v>0.76779288528358636</v>
      </c>
      <c r="AC4">
        <v>3.5836762688614598</v>
      </c>
      <c r="AD4">
        <v>3.2342434047950399</v>
      </c>
      <c r="AE4">
        <f>1/AD4</f>
        <v>0.30919132385565518</v>
      </c>
      <c r="AF4">
        <f>AE4/0.334673</f>
        <v>0.92386097431120884</v>
      </c>
      <c r="AK4">
        <v>4.1821121101710403</v>
      </c>
      <c r="AL4">
        <v>0.20819020494219201</v>
      </c>
      <c r="AM4">
        <f>1/AL4</f>
        <v>4.8032999452479963</v>
      </c>
      <c r="AN4">
        <f>AM4/2.10683679047045</f>
        <v>2.2798633320692274</v>
      </c>
      <c r="AT4">
        <v>301.24328781934599</v>
      </c>
      <c r="AU4">
        <v>0.64125413460991698</v>
      </c>
      <c r="AV4">
        <f>AU4/0.641254</f>
        <v>1.0000002099166898</v>
      </c>
      <c r="BB4">
        <v>299.94996800625103</v>
      </c>
      <c r="BC4">
        <v>0.71206028822559198</v>
      </c>
      <c r="BD4">
        <f>BC4/0.71206</f>
        <v>1.0000004047771143</v>
      </c>
      <c r="BJ4">
        <v>300.900396743736</v>
      </c>
      <c r="BK4">
        <v>8.6910979723574808</v>
      </c>
      <c r="BL4">
        <f>BK4/8.691098</f>
        <v>0.99999999681944451</v>
      </c>
      <c r="BQ4">
        <v>2.9926425986626901</v>
      </c>
      <c r="BR4">
        <v>1.60337541158709</v>
      </c>
      <c r="BS4">
        <f>BR4/0.952144141948153</f>
        <v>1.6839629011490556</v>
      </c>
      <c r="CA4">
        <v>4.4774051345422397</v>
      </c>
      <c r="CB4">
        <v>96717.986429754601</v>
      </c>
      <c r="CC4">
        <f>CB4/1.62235139865101</f>
        <v>59615.929391237856</v>
      </c>
      <c r="CK4">
        <v>299.54233409610902</v>
      </c>
      <c r="CL4">
        <v>1.0009237875288599</v>
      </c>
      <c r="CM4">
        <f>CL4/1.00092378752886</f>
        <v>1</v>
      </c>
      <c r="CT4">
        <v>299.084668192219</v>
      </c>
      <c r="CU4">
        <v>1.0009237875288599</v>
      </c>
      <c r="CV4">
        <f>CU4/1.00092378752886</f>
        <v>1</v>
      </c>
      <c r="DC4">
        <v>270.977011494252</v>
      </c>
      <c r="DD4">
        <v>17.2370936902485</v>
      </c>
      <c r="DE4">
        <f>1/DD4</f>
        <v>5.8014420410427286E-2</v>
      </c>
      <c r="DF4">
        <f>DE4/0.057518</f>
        <v>1.0086306966589118</v>
      </c>
      <c r="DM4">
        <v>286.15384615384602</v>
      </c>
      <c r="DN4">
        <v>0.84486486486486401</v>
      </c>
      <c r="DO4">
        <f>DN4/0.83189</f>
        <v>1.0155968515847815</v>
      </c>
      <c r="DU4">
        <v>4.1553776730226204</v>
      </c>
      <c r="DV4">
        <v>0.54981774659328897</v>
      </c>
      <c r="DW4">
        <f>DV4/2.61033210332103</f>
        <v>0.21063133916706459</v>
      </c>
      <c r="EC4">
        <v>0.95144335227931198</v>
      </c>
      <c r="ED4">
        <v>1.56219767472019</v>
      </c>
      <c r="EE4">
        <f>ED4/44.3532395932958</f>
        <v>3.522172650848087E-2</v>
      </c>
      <c r="EL4">
        <v>18.334736251402902</v>
      </c>
      <c r="EM4">
        <v>6.0818352829788997</v>
      </c>
      <c r="EN4">
        <f t="shared" ref="EN4:EN67" si="0">EM4/3.67382022325848</f>
        <v>1.6554526115555652</v>
      </c>
      <c r="ET4">
        <v>6.1187405606130003</v>
      </c>
      <c r="EU4">
        <v>0.34001904774428299</v>
      </c>
      <c r="EV4">
        <f t="shared" ref="EV4:EV67" si="1">EU4/0.745859272502718</f>
        <v>0.45587560586778642</v>
      </c>
    </row>
    <row r="5" spans="4:152" x14ac:dyDescent="0.25">
      <c r="D5">
        <v>10.0454591530406</v>
      </c>
      <c r="E5">
        <v>1.0279187817258899</v>
      </c>
      <c r="F5">
        <f t="shared" ref="F5:F21" si="2">E5/10.9264</f>
        <v>9.4076620087667484E-2</v>
      </c>
      <c r="M5">
        <v>282.01877479918699</v>
      </c>
      <c r="N5">
        <v>0.99719023194296497</v>
      </c>
      <c r="U5">
        <v>3.9557851318396602</v>
      </c>
      <c r="V5">
        <v>7.1776397192607604</v>
      </c>
      <c r="W5">
        <f t="shared" ref="W5:W68" si="3">1/V5</f>
        <v>0.13932156518201391</v>
      </c>
      <c r="X5">
        <f t="shared" ref="X5:X68" si="4">W5/0.182326</f>
        <v>0.76413438117445631</v>
      </c>
      <c r="AC5">
        <v>4.2534722222222197</v>
      </c>
      <c r="AD5">
        <v>3.2711806816347901</v>
      </c>
      <c r="AE5">
        <f t="shared" ref="AE5:AE68" si="5">1/AD5</f>
        <v>0.3057000200613329</v>
      </c>
      <c r="AF5">
        <f t="shared" ref="AF5:AF68" si="6">AE5/0.334673</f>
        <v>0.91342898907689862</v>
      </c>
      <c r="AK5">
        <v>4.1912107958258602</v>
      </c>
      <c r="AL5">
        <v>0.215469153466051</v>
      </c>
      <c r="AM5">
        <f t="shared" ref="AM5:AM68" si="7">1/AL5</f>
        <v>4.6410355445962175</v>
      </c>
      <c r="AN5">
        <f t="shared" ref="AN5:AN68" si="8">AM5/2.10683679047045</f>
        <v>2.2028453108415147</v>
      </c>
      <c r="AT5">
        <v>283.27482322895997</v>
      </c>
      <c r="AU5">
        <v>0.63495578481931703</v>
      </c>
      <c r="AV5">
        <f t="shared" ref="AV5:AV68" si="9">AU5/0.641254</f>
        <v>0.99017828320652512</v>
      </c>
      <c r="BB5">
        <v>303.93000112912898</v>
      </c>
      <c r="BC5">
        <v>0.71206028822559198</v>
      </c>
      <c r="BD5">
        <f t="shared" ref="BD5:BD68" si="10">BC5/0.71206</f>
        <v>1.0000004047771143</v>
      </c>
      <c r="BJ5">
        <v>289.691315128442</v>
      </c>
      <c r="BK5">
        <v>8.8110646420779393</v>
      </c>
      <c r="BL5">
        <f t="shared" ref="BL5:BL68" si="11">BK5/8.691098</f>
        <v>1.0138033930900261</v>
      </c>
      <c r="BQ5">
        <v>3.4795938439512599</v>
      </c>
      <c r="BR5">
        <v>1.5591978762540699</v>
      </c>
      <c r="BS5">
        <f t="shared" ref="BS5:BS68" si="12">BR5/0.952144141948153</f>
        <v>1.6375649521550832</v>
      </c>
      <c r="CA5">
        <v>4.9882385468823296</v>
      </c>
      <c r="CB5">
        <v>41994.112349794297</v>
      </c>
      <c r="CC5">
        <f t="shared" ref="CC5:CC61" si="13">CB5/1.62235139865101</f>
        <v>25884.720403183012</v>
      </c>
      <c r="CK5">
        <v>296.33867276887798</v>
      </c>
      <c r="CL5">
        <v>1.00646651270207</v>
      </c>
      <c r="CM5">
        <f t="shared" ref="CM5:CM68" si="14">CL5/1.00092378752886</f>
        <v>1.0055376095985233</v>
      </c>
      <c r="CT5">
        <v>294.96567505720799</v>
      </c>
      <c r="CU5">
        <v>1.0027713625865999</v>
      </c>
      <c r="CV5">
        <f t="shared" ref="CV5:CV66" si="15">CU5/1.00092378752886</f>
        <v>1.0018458698661779</v>
      </c>
      <c r="DC5">
        <v>266.95402298850502</v>
      </c>
      <c r="DD5">
        <v>17.202676864244701</v>
      </c>
      <c r="DE5">
        <f t="shared" ref="DE5:DE59" si="16">1/DD5</f>
        <v>5.8130487940424726E-2</v>
      </c>
      <c r="DF5">
        <f t="shared" ref="DF5:DF59" si="17">DE5/0.057518</f>
        <v>1.0106486306969076</v>
      </c>
      <c r="DM5">
        <v>267.692307692307</v>
      </c>
      <c r="DN5">
        <v>0.86756756756756703</v>
      </c>
      <c r="DO5">
        <f t="shared" ref="DO5:DO27" si="18">DN5/0.83189</f>
        <v>1.0428873619920507</v>
      </c>
      <c r="DU5">
        <v>4.8205300234820498</v>
      </c>
      <c r="DV5">
        <v>0.54686346863468605</v>
      </c>
      <c r="DW5">
        <f t="shared" ref="DW5:DW32" si="19">DV5/2.61033210332103</f>
        <v>0.2094995759117898</v>
      </c>
      <c r="EC5">
        <v>3.2609923379196402</v>
      </c>
      <c r="ED5">
        <v>2.2882612388430901</v>
      </c>
      <c r="EE5">
        <f t="shared" ref="EE5:EE68" si="20">ED5/44.3532395932958</f>
        <v>5.1591749775792513E-2</v>
      </c>
      <c r="EL5">
        <v>18.627010849232999</v>
      </c>
      <c r="EM5">
        <v>5.9845087266883397</v>
      </c>
      <c r="EN5">
        <f t="shared" si="0"/>
        <v>1.6289606902376961</v>
      </c>
      <c r="ET5">
        <v>8.4867060522924795</v>
      </c>
      <c r="EU5">
        <v>0.34001904774428299</v>
      </c>
      <c r="EV5">
        <f t="shared" si="1"/>
        <v>0.45587560586778642</v>
      </c>
    </row>
    <row r="6" spans="4:152" x14ac:dyDescent="0.25">
      <c r="D6">
        <v>19.876488338908501</v>
      </c>
      <c r="E6">
        <v>1.0279187817258899</v>
      </c>
      <c r="F6">
        <f t="shared" si="2"/>
        <v>9.4076620087667484E-2</v>
      </c>
      <c r="M6">
        <v>275.68953837220499</v>
      </c>
      <c r="N6">
        <v>0.99433530113874602</v>
      </c>
      <c r="U6">
        <v>4.4209212105624198</v>
      </c>
      <c r="V6">
        <v>7.2161160493021601</v>
      </c>
      <c r="W6">
        <f t="shared" si="3"/>
        <v>0.13857870261062469</v>
      </c>
      <c r="X6">
        <f t="shared" si="4"/>
        <v>0.7600600167317042</v>
      </c>
      <c r="AC6">
        <v>5.2581661522633798</v>
      </c>
      <c r="AD6">
        <v>3.3142741712811601</v>
      </c>
      <c r="AE6">
        <f t="shared" si="5"/>
        <v>0.30172518878045679</v>
      </c>
      <c r="AF6">
        <f t="shared" si="6"/>
        <v>0.9015522279372904</v>
      </c>
      <c r="AK6">
        <v>4.2003094814806801</v>
      </c>
      <c r="AL6">
        <v>0.22274810198990899</v>
      </c>
      <c r="AM6">
        <f t="shared" si="7"/>
        <v>4.4893760757849348</v>
      </c>
      <c r="AN6">
        <f t="shared" si="8"/>
        <v>2.1308608697603346</v>
      </c>
      <c r="AT6">
        <v>260.97291803344001</v>
      </c>
      <c r="AU6">
        <v>0.64125413460991698</v>
      </c>
      <c r="AV6">
        <f t="shared" si="9"/>
        <v>1.0000002099166898</v>
      </c>
      <c r="BB6">
        <v>292.145577586098</v>
      </c>
      <c r="BC6">
        <v>0.708678886749606</v>
      </c>
      <c r="BD6">
        <f t="shared" si="10"/>
        <v>0.99525164557706647</v>
      </c>
      <c r="BJ6">
        <v>272.36019549009802</v>
      </c>
      <c r="BK6">
        <v>8.9941266789531902</v>
      </c>
      <c r="BL6">
        <f t="shared" si="11"/>
        <v>1.0348665587424271</v>
      </c>
      <c r="BQ6">
        <v>4.0002923027650104</v>
      </c>
      <c r="BR6">
        <v>1.5885122111802801</v>
      </c>
      <c r="BS6">
        <f t="shared" si="12"/>
        <v>1.6683526592203506</v>
      </c>
      <c r="CA6">
        <v>5.5199543212815696</v>
      </c>
      <c r="CB6">
        <v>22650.222040626901</v>
      </c>
      <c r="CC6">
        <f t="shared" si="13"/>
        <v>13961.353908567913</v>
      </c>
      <c r="CK6">
        <v>292.21967963386697</v>
      </c>
      <c r="CL6">
        <v>1.01016166281755</v>
      </c>
      <c r="CM6">
        <f t="shared" si="14"/>
        <v>1.0092293493308788</v>
      </c>
      <c r="CT6">
        <v>289.93135011441598</v>
      </c>
      <c r="CU6">
        <v>1.00646651270207</v>
      </c>
      <c r="CV6">
        <f t="shared" si="15"/>
        <v>1.0055376095985233</v>
      </c>
      <c r="DC6">
        <v>260.63218390804599</v>
      </c>
      <c r="DD6">
        <v>17.099426386233201</v>
      </c>
      <c r="DE6">
        <f t="shared" si="16"/>
        <v>5.8481493905848385E-2</v>
      </c>
      <c r="DF6">
        <f t="shared" si="17"/>
        <v>1.0167511719087656</v>
      </c>
      <c r="DM6">
        <v>243.58974358974299</v>
      </c>
      <c r="DN6">
        <v>0.89459459459459401</v>
      </c>
      <c r="DO6">
        <f t="shared" si="18"/>
        <v>1.0753760648578465</v>
      </c>
      <c r="DU6">
        <v>10.8833724700883</v>
      </c>
      <c r="DV6">
        <v>0.55129151291512901</v>
      </c>
      <c r="DW6">
        <f t="shared" si="19"/>
        <v>0.21119592875318086</v>
      </c>
      <c r="EC6">
        <v>5.1120807595156004</v>
      </c>
      <c r="ED6">
        <v>2.9242135886538199</v>
      </c>
      <c r="EE6">
        <f t="shared" si="20"/>
        <v>6.5930101509334357E-2</v>
      </c>
      <c r="EL6">
        <v>20.380658436213999</v>
      </c>
      <c r="EM6">
        <v>5.8287862366234302</v>
      </c>
      <c r="EN6">
        <f t="shared" si="0"/>
        <v>1.5865736161291017</v>
      </c>
      <c r="ET6">
        <v>12.038654289811699</v>
      </c>
      <c r="EU6">
        <v>0.34001904774428299</v>
      </c>
      <c r="EV6">
        <f t="shared" si="1"/>
        <v>0.45587560586778642</v>
      </c>
    </row>
    <row r="7" spans="4:152" x14ac:dyDescent="0.25">
      <c r="D7">
        <v>30.335992264926201</v>
      </c>
      <c r="E7">
        <v>1.2563451776649699</v>
      </c>
      <c r="F7">
        <f t="shared" si="2"/>
        <v>0.1149825356627041</v>
      </c>
      <c r="M7">
        <v>269.37320558727703</v>
      </c>
      <c r="N7">
        <v>0.99219974837897995</v>
      </c>
      <c r="U7">
        <v>4.8860572892851701</v>
      </c>
      <c r="V7">
        <v>7.2503172315611897</v>
      </c>
      <c r="W7">
        <f t="shared" si="3"/>
        <v>0.1379249994258076</v>
      </c>
      <c r="X7">
        <f t="shared" si="4"/>
        <v>0.75647466310788158</v>
      </c>
      <c r="AC7">
        <v>4.9232681755829999</v>
      </c>
      <c r="AD7">
        <v>3.3450552353142902</v>
      </c>
      <c r="AE7">
        <f t="shared" si="5"/>
        <v>0.29894872570199676</v>
      </c>
      <c r="AF7">
        <f t="shared" si="6"/>
        <v>0.89325618051649447</v>
      </c>
      <c r="AK7">
        <v>4.6112667835568697</v>
      </c>
      <c r="AL7">
        <v>0.230011886037676</v>
      </c>
      <c r="AM7">
        <f t="shared" si="7"/>
        <v>4.3476014097645361</v>
      </c>
      <c r="AN7">
        <f t="shared" si="8"/>
        <v>2.0635682030185789</v>
      </c>
      <c r="AT7">
        <v>238.78948268424901</v>
      </c>
      <c r="AU7">
        <v>0.63495578481931703</v>
      </c>
      <c r="AV7">
        <f t="shared" si="9"/>
        <v>0.99017828320652512</v>
      </c>
      <c r="BB7">
        <v>283.608096532844</v>
      </c>
      <c r="BC7">
        <v>0.708678886749606</v>
      </c>
      <c r="BD7">
        <f t="shared" si="10"/>
        <v>0.99525164557706647</v>
      </c>
      <c r="BJ7">
        <v>258.50778135408098</v>
      </c>
      <c r="BK7">
        <v>9.1809920824709899</v>
      </c>
      <c r="BL7">
        <f t="shared" si="11"/>
        <v>1.0563673407515357</v>
      </c>
      <c r="BQ7">
        <v>4.4623143303181401</v>
      </c>
      <c r="BR7">
        <v>1.5737867918101101</v>
      </c>
      <c r="BS7">
        <f t="shared" si="12"/>
        <v>1.65288712336142</v>
      </c>
      <c r="CA7">
        <v>6.0264096662633699</v>
      </c>
      <c r="CB7">
        <v>13961.3539085679</v>
      </c>
      <c r="CC7">
        <f t="shared" si="13"/>
        <v>8605.6287929833252</v>
      </c>
      <c r="CK7">
        <v>288.100686498855</v>
      </c>
      <c r="CL7">
        <v>1.0175519630484899</v>
      </c>
      <c r="CM7">
        <f t="shared" si="14"/>
        <v>1.0166128287955696</v>
      </c>
      <c r="CT7">
        <v>283.98169336384399</v>
      </c>
      <c r="CU7">
        <v>1.0120092378752801</v>
      </c>
      <c r="CV7">
        <f t="shared" si="15"/>
        <v>1.0110752191970465</v>
      </c>
      <c r="DC7">
        <v>257.18390804597698</v>
      </c>
      <c r="DD7">
        <v>17.099426386233201</v>
      </c>
      <c r="DE7">
        <f t="shared" si="16"/>
        <v>5.8481493905848385E-2</v>
      </c>
      <c r="DF7">
        <f t="shared" si="17"/>
        <v>1.0167511719087656</v>
      </c>
      <c r="DM7">
        <v>219.48717948717899</v>
      </c>
      <c r="DN7">
        <v>0.92270270270270205</v>
      </c>
      <c r="DO7">
        <f t="shared" si="18"/>
        <v>1.1091643158382742</v>
      </c>
      <c r="DU7">
        <v>16.950687688695002</v>
      </c>
      <c r="DV7">
        <v>0.56457564575645702</v>
      </c>
      <c r="DW7">
        <f t="shared" si="19"/>
        <v>0.21628498727735374</v>
      </c>
      <c r="EC7">
        <v>6.9631691811115903</v>
      </c>
      <c r="ED7">
        <v>3.5601659384645501</v>
      </c>
      <c r="EE7">
        <f t="shared" si="20"/>
        <v>8.0268453242876223E-2</v>
      </c>
      <c r="EL7">
        <v>21.549756827534601</v>
      </c>
      <c r="EM7">
        <v>5.7217270247038101</v>
      </c>
      <c r="EN7">
        <f t="shared" si="0"/>
        <v>1.5574325026794447</v>
      </c>
      <c r="ET7">
        <v>14.6509336814263</v>
      </c>
      <c r="EU7">
        <v>0.337124659094308</v>
      </c>
      <c r="EV7">
        <f t="shared" si="1"/>
        <v>0.45199499627200718</v>
      </c>
    </row>
    <row r="8" spans="4:152" x14ac:dyDescent="0.25">
      <c r="D8">
        <v>40.167021450794103</v>
      </c>
      <c r="E8">
        <v>1.2563451776649699</v>
      </c>
      <c r="F8">
        <f t="shared" si="2"/>
        <v>0.1149825356627041</v>
      </c>
      <c r="M8">
        <v>263.94077228297601</v>
      </c>
      <c r="N8">
        <v>0.98934159166424696</v>
      </c>
      <c r="U8">
        <v>5.3511933680079302</v>
      </c>
      <c r="V8">
        <v>7.2759681182554603</v>
      </c>
      <c r="W8">
        <f t="shared" si="3"/>
        <v>0.13743875505597561</v>
      </c>
      <c r="X8">
        <f t="shared" si="4"/>
        <v>0.75380776771264446</v>
      </c>
      <c r="AC8">
        <v>5.5930641289437597</v>
      </c>
      <c r="AD8">
        <v>3.3819925121540302</v>
      </c>
      <c r="AE8">
        <f t="shared" si="5"/>
        <v>0.29568368244644294</v>
      </c>
      <c r="AF8">
        <f t="shared" si="6"/>
        <v>0.88350025979521185</v>
      </c>
      <c r="AK8">
        <v>5.8259413184757198</v>
      </c>
      <c r="AL8">
        <v>0.23724534113326001</v>
      </c>
      <c r="AM8">
        <f t="shared" si="7"/>
        <v>4.2150458897243546</v>
      </c>
      <c r="AN8">
        <f t="shared" si="8"/>
        <v>2.0006513597966684</v>
      </c>
      <c r="AT8">
        <v>219.98985784005001</v>
      </c>
      <c r="AU8">
        <v>0.63495578481931703</v>
      </c>
      <c r="AV8">
        <f t="shared" si="9"/>
        <v>0.99017828320652512</v>
      </c>
      <c r="BB8">
        <v>276.22890484174002</v>
      </c>
      <c r="BC8">
        <v>0.708678886749606</v>
      </c>
      <c r="BD8">
        <f t="shared" si="10"/>
        <v>0.99525164557706647</v>
      </c>
      <c r="BJ8">
        <v>244.198331814786</v>
      </c>
      <c r="BK8">
        <v>9.24413935374014</v>
      </c>
      <c r="BL8">
        <f t="shared" si="11"/>
        <v>1.0636330822342746</v>
      </c>
      <c r="BQ8">
        <v>4.9964947380385798</v>
      </c>
      <c r="BR8">
        <v>1.5447441991294499</v>
      </c>
      <c r="BS8">
        <f t="shared" si="12"/>
        <v>1.6223848166190427</v>
      </c>
      <c r="CA8">
        <v>6.5350552985869097</v>
      </c>
      <c r="CB8">
        <v>9671.7986429754601</v>
      </c>
      <c r="CC8">
        <f t="shared" si="13"/>
        <v>5961.592939123786</v>
      </c>
      <c r="CK8">
        <v>284.43935926773401</v>
      </c>
      <c r="CL8">
        <v>1.02124711316397</v>
      </c>
      <c r="CM8">
        <f t="shared" si="14"/>
        <v>1.0203045685279251</v>
      </c>
      <c r="CT8">
        <v>278.48970251716202</v>
      </c>
      <c r="CU8">
        <v>1.01939953810623</v>
      </c>
      <c r="CV8">
        <f t="shared" si="15"/>
        <v>1.0184586986617474</v>
      </c>
      <c r="DC8">
        <v>250.86206896551701</v>
      </c>
      <c r="DD8">
        <v>17.019120458890999</v>
      </c>
      <c r="DE8">
        <f t="shared" si="16"/>
        <v>5.8757442983934441E-2</v>
      </c>
      <c r="DF8">
        <f t="shared" si="17"/>
        <v>1.0215487844489455</v>
      </c>
      <c r="DM8">
        <v>198.461538461538</v>
      </c>
      <c r="DN8">
        <v>0.944324324324324</v>
      </c>
      <c r="DO8">
        <f t="shared" si="18"/>
        <v>1.1351552781309115</v>
      </c>
      <c r="DU8">
        <v>21.810354467181</v>
      </c>
      <c r="DV8">
        <v>0.58671586715867097</v>
      </c>
      <c r="DW8">
        <f t="shared" si="19"/>
        <v>0.22476675148430877</v>
      </c>
      <c r="EC8">
        <v>8.8142576027076096</v>
      </c>
      <c r="ED8">
        <v>4.1961182882752901</v>
      </c>
      <c r="EE8">
        <f t="shared" si="20"/>
        <v>9.4606804976418296E-2</v>
      </c>
      <c r="EL8">
        <v>21.549756827534601</v>
      </c>
      <c r="EM8">
        <v>5.5903361737115498</v>
      </c>
      <c r="EN8">
        <f t="shared" si="0"/>
        <v>1.5216684089003201</v>
      </c>
      <c r="ET8">
        <v>17.704857430616201</v>
      </c>
      <c r="EU8">
        <v>0.33516899108756898</v>
      </c>
      <c r="EV8">
        <f t="shared" si="1"/>
        <v>0.44937296276134664</v>
      </c>
    </row>
    <row r="9" spans="4:152" x14ac:dyDescent="0.25">
      <c r="D9">
        <v>50.008967071354398</v>
      </c>
      <c r="E9">
        <v>1.4340101522842601</v>
      </c>
      <c r="F9">
        <f t="shared" si="2"/>
        <v>0.13124269222106644</v>
      </c>
      <c r="M9">
        <v>257.637343140101</v>
      </c>
      <c r="N9">
        <v>0.98792541694893299</v>
      </c>
      <c r="U9">
        <v>6.5140335648148202</v>
      </c>
      <c r="V9">
        <v>7.3571959261206397</v>
      </c>
      <c r="W9">
        <f t="shared" si="3"/>
        <v>0.13592134966117286</v>
      </c>
      <c r="X9">
        <f t="shared" si="4"/>
        <v>0.74548528274175307</v>
      </c>
      <c r="AC9">
        <v>6.2628600823045302</v>
      </c>
      <c r="AD9">
        <v>3.4066173633805299</v>
      </c>
      <c r="AE9">
        <f t="shared" si="5"/>
        <v>0.29354632273924003</v>
      </c>
      <c r="AF9">
        <f t="shared" si="6"/>
        <v>0.87711384766395861</v>
      </c>
      <c r="AK9">
        <v>5.8335235565214001</v>
      </c>
      <c r="AL9">
        <v>0.24331113156980899</v>
      </c>
      <c r="AM9">
        <f t="shared" si="7"/>
        <v>4.1099640347243529</v>
      </c>
      <c r="AN9">
        <f t="shared" si="8"/>
        <v>1.9507747602065613</v>
      </c>
      <c r="AT9">
        <v>205.45917790555399</v>
      </c>
      <c r="AU9">
        <v>0.63495578481931703</v>
      </c>
      <c r="AV9">
        <f t="shared" si="9"/>
        <v>0.99017828320652512</v>
      </c>
      <c r="BB9">
        <v>265.51854917632602</v>
      </c>
      <c r="BC9">
        <v>0.71206028822559198</v>
      </c>
      <c r="BD9">
        <f t="shared" si="10"/>
        <v>1.0000004047771143</v>
      </c>
      <c r="BJ9">
        <v>228.501967600651</v>
      </c>
      <c r="BK9">
        <v>9.4361991158684297</v>
      </c>
      <c r="BL9">
        <f t="shared" si="11"/>
        <v>1.0857315284982898</v>
      </c>
      <c r="BQ9">
        <v>5.4901789083028101</v>
      </c>
      <c r="BR9">
        <v>1.5591978762540699</v>
      </c>
      <c r="BS9">
        <f t="shared" si="12"/>
        <v>1.6375649521550832</v>
      </c>
      <c r="CA9">
        <v>6.9915711247724603</v>
      </c>
      <c r="CB9">
        <v>6700.1875035096</v>
      </c>
      <c r="CC9">
        <f t="shared" si="13"/>
        <v>4129.9237077003327</v>
      </c>
      <c r="CK9">
        <v>280.77803203661301</v>
      </c>
      <c r="CL9">
        <v>1.02494226327944</v>
      </c>
      <c r="CM9">
        <f t="shared" si="14"/>
        <v>1.0239963082602705</v>
      </c>
      <c r="CT9">
        <v>273.45537757437</v>
      </c>
      <c r="CU9">
        <v>1.02494226327944</v>
      </c>
      <c r="CV9">
        <f t="shared" si="15"/>
        <v>1.0239963082602705</v>
      </c>
      <c r="DC9">
        <v>245.68965517241301</v>
      </c>
      <c r="DD9">
        <v>16.984703632887101</v>
      </c>
      <c r="DE9">
        <f t="shared" si="16"/>
        <v>5.8876505685016629E-2</v>
      </c>
      <c r="DF9">
        <f t="shared" si="17"/>
        <v>1.0236187921175395</v>
      </c>
      <c r="DM9">
        <v>175.38461538461499</v>
      </c>
      <c r="DN9">
        <v>0.97243243243243205</v>
      </c>
      <c r="DO9">
        <f t="shared" si="18"/>
        <v>1.1689435291113393</v>
      </c>
      <c r="DU9">
        <v>29.0987364419098</v>
      </c>
      <c r="DV9">
        <v>0.61771217712177096</v>
      </c>
      <c r="DW9">
        <f t="shared" si="19"/>
        <v>0.236641221374046</v>
      </c>
      <c r="EC9">
        <v>10.6595973024973</v>
      </c>
      <c r="ED9">
        <v>4.7402348072320004</v>
      </c>
      <c r="EE9">
        <f t="shared" si="20"/>
        <v>0.10687460151047251</v>
      </c>
      <c r="EL9">
        <v>22.7188552188552</v>
      </c>
      <c r="EM9">
        <v>5.4978759452355099</v>
      </c>
      <c r="EN9">
        <f t="shared" si="0"/>
        <v>1.4965010836483423</v>
      </c>
      <c r="ET9">
        <v>21.346074208496301</v>
      </c>
      <c r="EU9">
        <v>0.337124659094308</v>
      </c>
      <c r="EV9">
        <f t="shared" si="1"/>
        <v>0.45199499627200718</v>
      </c>
    </row>
    <row r="10" spans="4:152" x14ac:dyDescent="0.25">
      <c r="D10">
        <v>59.852472182585103</v>
      </c>
      <c r="E10">
        <v>1.6370558375634501</v>
      </c>
      <c r="F10">
        <f t="shared" si="2"/>
        <v>0.14982572828776636</v>
      </c>
      <c r="M10">
        <v>253.11461660053499</v>
      </c>
      <c r="N10">
        <v>0.98578341236814004</v>
      </c>
      <c r="U10">
        <v>5.8163294467306903</v>
      </c>
      <c r="V10">
        <v>7.3101693005144801</v>
      </c>
      <c r="W10">
        <f t="shared" si="3"/>
        <v>0.13679573740236375</v>
      </c>
      <c r="X10">
        <f t="shared" si="4"/>
        <v>0.75028102082184533</v>
      </c>
      <c r="AC10">
        <v>6.5977580589849198</v>
      </c>
      <c r="AD10">
        <v>3.43739842741366</v>
      </c>
      <c r="AE10">
        <f t="shared" si="5"/>
        <v>0.29091768705800336</v>
      </c>
      <c r="AF10">
        <f t="shared" si="6"/>
        <v>0.86925950721451495</v>
      </c>
      <c r="AK10">
        <v>7.45005670786162</v>
      </c>
      <c r="AL10">
        <v>0.25052942218930202</v>
      </c>
      <c r="AM10">
        <f t="shared" si="7"/>
        <v>3.991547145486138</v>
      </c>
      <c r="AN10">
        <f t="shared" si="8"/>
        <v>1.8945687504321767</v>
      </c>
      <c r="AT10">
        <v>195.86262329479601</v>
      </c>
      <c r="AU10">
        <v>0.63495578481931703</v>
      </c>
      <c r="AV10">
        <f t="shared" si="9"/>
        <v>0.99017828320652512</v>
      </c>
      <c r="BB10">
        <v>258.61002894764198</v>
      </c>
      <c r="BC10">
        <v>0.70531354272848601</v>
      </c>
      <c r="BD10">
        <f t="shared" si="10"/>
        <v>0.99052543708182739</v>
      </c>
      <c r="BJ10">
        <v>213.81452039144199</v>
      </c>
      <c r="BK10">
        <v>9.7652069377058694</v>
      </c>
      <c r="BL10">
        <f t="shared" si="11"/>
        <v>1.1235872541888112</v>
      </c>
      <c r="BQ10">
        <v>5.9648157371236099</v>
      </c>
      <c r="BR10">
        <v>1.51623755718494</v>
      </c>
      <c r="BS10">
        <f t="shared" si="12"/>
        <v>1.5924453981123201</v>
      </c>
      <c r="CA10">
        <v>7.4799775303082701</v>
      </c>
      <c r="CB10">
        <v>4799.0958093238796</v>
      </c>
      <c r="CC10">
        <f t="shared" si="13"/>
        <v>2958.1111794364292</v>
      </c>
      <c r="CK10">
        <v>277.11670480549202</v>
      </c>
      <c r="CL10">
        <v>1.0304849884526499</v>
      </c>
      <c r="CM10">
        <f t="shared" si="14"/>
        <v>1.0295339178587937</v>
      </c>
      <c r="CT10">
        <v>269.33638443935899</v>
      </c>
      <c r="CU10">
        <v>1.0304849884526499</v>
      </c>
      <c r="CV10">
        <f t="shared" si="15"/>
        <v>1.0295339178587937</v>
      </c>
      <c r="DC10">
        <v>242.241379310344</v>
      </c>
      <c r="DD10">
        <v>16.9273422562141</v>
      </c>
      <c r="DE10">
        <f t="shared" si="16"/>
        <v>5.9076019428442504E-2</v>
      </c>
      <c r="DF10">
        <f t="shared" si="17"/>
        <v>1.0270875104913679</v>
      </c>
      <c r="DM10">
        <v>154.87179487179401</v>
      </c>
      <c r="DN10">
        <v>0.994054054054054</v>
      </c>
      <c r="DO10">
        <f t="shared" si="18"/>
        <v>1.1949344914039766</v>
      </c>
      <c r="DU10">
        <v>35.460136419545996</v>
      </c>
      <c r="DV10">
        <v>0.61328413284132799</v>
      </c>
      <c r="DW10">
        <f t="shared" si="19"/>
        <v>0.23494486853265492</v>
      </c>
      <c r="EC10">
        <v>12.5049370022871</v>
      </c>
      <c r="ED10">
        <v>5.2843513261887098</v>
      </c>
      <c r="EE10">
        <f t="shared" si="20"/>
        <v>0.11914239804452671</v>
      </c>
      <c r="EL10">
        <v>23.887953610175799</v>
      </c>
      <c r="EM10">
        <v>5.4151483723885301</v>
      </c>
      <c r="EN10">
        <f t="shared" si="0"/>
        <v>1.4739829505281525</v>
      </c>
      <c r="ET10">
        <v>24.3999979576861</v>
      </c>
      <c r="EU10">
        <v>0.337124659094308</v>
      </c>
      <c r="EV10">
        <f t="shared" si="1"/>
        <v>0.45199499627200718</v>
      </c>
    </row>
    <row r="11" spans="4:152" x14ac:dyDescent="0.25">
      <c r="D11">
        <v>69.697536784486203</v>
      </c>
      <c r="E11">
        <v>1.8654822335025301</v>
      </c>
      <c r="F11">
        <f t="shared" si="2"/>
        <v>0.17073164386280296</v>
      </c>
      <c r="M11">
        <v>248.61769734507499</v>
      </c>
      <c r="N11">
        <v>0.98508016387625397</v>
      </c>
      <c r="U11">
        <v>7.4443057222603297</v>
      </c>
      <c r="V11">
        <v>7.39567225616205</v>
      </c>
      <c r="W11">
        <f t="shared" si="3"/>
        <v>0.13521421249661289</v>
      </c>
      <c r="X11">
        <f t="shared" si="4"/>
        <v>0.74160686076924243</v>
      </c>
      <c r="AC11">
        <v>6.9326560356652998</v>
      </c>
      <c r="AD11">
        <v>3.4558670658335302</v>
      </c>
      <c r="AE11">
        <f t="shared" si="5"/>
        <v>0.28936298212582062</v>
      </c>
      <c r="AF11">
        <f t="shared" si="6"/>
        <v>0.86461406246043337</v>
      </c>
      <c r="AK11">
        <v>7.8655633527652</v>
      </c>
      <c r="AL11">
        <v>0.26143268049899798</v>
      </c>
      <c r="AM11">
        <f t="shared" si="7"/>
        <v>3.8250764904039332</v>
      </c>
      <c r="AN11">
        <f t="shared" si="8"/>
        <v>1.8155542506687505</v>
      </c>
      <c r="AT11">
        <v>181.679841630825</v>
      </c>
      <c r="AU11">
        <v>0.64761495994768603</v>
      </c>
      <c r="AV11">
        <f t="shared" si="9"/>
        <v>1.0099195637729916</v>
      </c>
      <c r="BB11">
        <v>251.05256995556999</v>
      </c>
      <c r="BC11">
        <v>0.70531354272848601</v>
      </c>
      <c r="BD11">
        <f t="shared" si="10"/>
        <v>0.99052543708182739</v>
      </c>
      <c r="BJ11">
        <v>200.07113991298601</v>
      </c>
      <c r="BK11">
        <v>9.9680925985359803</v>
      </c>
      <c r="BL11">
        <f t="shared" si="11"/>
        <v>1.1469313311777154</v>
      </c>
      <c r="BQ11">
        <v>6.4561070778490901</v>
      </c>
      <c r="BR11">
        <v>1.5447441991294499</v>
      </c>
      <c r="BS11">
        <f t="shared" si="12"/>
        <v>1.6223848166190427</v>
      </c>
      <c r="CA11">
        <v>8.0025022781610495</v>
      </c>
      <c r="CB11">
        <v>3674.6619407366902</v>
      </c>
      <c r="CC11">
        <f t="shared" si="13"/>
        <v>2265.022204062685</v>
      </c>
      <c r="CK11">
        <v>272.99771167047999</v>
      </c>
      <c r="CL11">
        <v>1.0378752886836</v>
      </c>
      <c r="CM11">
        <f t="shared" si="14"/>
        <v>1.0369173973234946</v>
      </c>
      <c r="CT11">
        <v>263.84439359267702</v>
      </c>
      <c r="CU11">
        <v>1.03602771362586</v>
      </c>
      <c r="CV11">
        <f t="shared" si="15"/>
        <v>1.035071527457317</v>
      </c>
      <c r="DC11">
        <v>234.19540229885001</v>
      </c>
      <c r="DD11">
        <v>16.847036328871798</v>
      </c>
      <c r="DE11">
        <f t="shared" si="16"/>
        <v>5.9357621155374296E-2</v>
      </c>
      <c r="DF11">
        <f t="shared" si="17"/>
        <v>1.0319833992032807</v>
      </c>
      <c r="DM11">
        <v>134.358974358974</v>
      </c>
      <c r="DN11">
        <v>1.01351351351351</v>
      </c>
      <c r="DO11">
        <f t="shared" si="18"/>
        <v>1.2183263574673455</v>
      </c>
      <c r="DU11">
        <v>41.222184949122202</v>
      </c>
      <c r="DV11">
        <v>0.62214022140221403</v>
      </c>
      <c r="DW11">
        <f t="shared" si="19"/>
        <v>0.23833757421543711</v>
      </c>
      <c r="EC11">
        <v>14.3445279802707</v>
      </c>
      <c r="ED11">
        <v>5.7366320142913896</v>
      </c>
      <c r="EE11">
        <f t="shared" si="20"/>
        <v>0.12933963937909304</v>
      </c>
      <c r="EL11">
        <v>24.764777403666301</v>
      </c>
      <c r="EM11">
        <v>5.3616187664287196</v>
      </c>
      <c r="EN11">
        <f t="shared" si="0"/>
        <v>1.4594123938033239</v>
      </c>
      <c r="ET11">
        <v>28.276131947042401</v>
      </c>
      <c r="EU11">
        <v>0.337124659094308</v>
      </c>
      <c r="EV11">
        <f t="shared" si="1"/>
        <v>0.45199499627200718</v>
      </c>
    </row>
    <row r="12" spans="4:152" x14ac:dyDescent="0.25">
      <c r="D12">
        <v>90.311664210468805</v>
      </c>
      <c r="E12">
        <v>2.36040609137055</v>
      </c>
      <c r="F12">
        <f t="shared" si="2"/>
        <v>0.21602779427538349</v>
      </c>
      <c r="M12">
        <v>243.185264040775</v>
      </c>
      <c r="N12">
        <v>0.98222200716152097</v>
      </c>
      <c r="U12">
        <v>8.1420098403444694</v>
      </c>
      <c r="V12">
        <v>7.4341485862034498</v>
      </c>
      <c r="W12">
        <f t="shared" si="3"/>
        <v>0.13451439507892465</v>
      </c>
      <c r="X12">
        <f t="shared" si="4"/>
        <v>0.73776858527541145</v>
      </c>
      <c r="AC12">
        <v>7.2675540123456903</v>
      </c>
      <c r="AD12">
        <v>3.4743357042534</v>
      </c>
      <c r="AE12">
        <f t="shared" si="5"/>
        <v>0.28782480598399457</v>
      </c>
      <c r="AF12">
        <f t="shared" si="6"/>
        <v>0.86001800558752739</v>
      </c>
      <c r="AK12">
        <v>8.2780371024505097</v>
      </c>
      <c r="AL12">
        <v>0.26990962263407497</v>
      </c>
      <c r="AM12">
        <f t="shared" si="7"/>
        <v>3.7049438632120637</v>
      </c>
      <c r="AN12">
        <f t="shared" si="8"/>
        <v>1.7585338740855962</v>
      </c>
      <c r="AT12">
        <v>170.84305975673999</v>
      </c>
      <c r="AU12">
        <v>0.64761495994768603</v>
      </c>
      <c r="AV12">
        <f t="shared" si="9"/>
        <v>1.0099195637729916</v>
      </c>
      <c r="BB12">
        <v>244.52043966417699</v>
      </c>
      <c r="BC12">
        <v>0.70531354272848601</v>
      </c>
      <c r="BD12">
        <f t="shared" si="10"/>
        <v>0.99052543708182739</v>
      </c>
      <c r="BJ12">
        <v>185.442757498248</v>
      </c>
      <c r="BK12">
        <v>10.3865971868427</v>
      </c>
      <c r="BL12">
        <f t="shared" si="11"/>
        <v>1.1950845781330159</v>
      </c>
      <c r="BQ12">
        <v>6.9615760987892497</v>
      </c>
      <c r="BR12">
        <v>1.53042450678354</v>
      </c>
      <c r="BS12">
        <f t="shared" si="12"/>
        <v>1.6073454000905631</v>
      </c>
      <c r="CA12">
        <v>8.5039122143492207</v>
      </c>
      <c r="CB12">
        <v>2767.1263216781799</v>
      </c>
      <c r="CC12">
        <f t="shared" si="13"/>
        <v>1705.6269831425261</v>
      </c>
      <c r="CK12">
        <v>269.33638443935899</v>
      </c>
      <c r="CL12">
        <v>1.0434180138568101</v>
      </c>
      <c r="CM12">
        <f t="shared" si="14"/>
        <v>1.042455006922018</v>
      </c>
      <c r="CT12">
        <v>258.81006864988501</v>
      </c>
      <c r="CU12">
        <v>1.0434180138568101</v>
      </c>
      <c r="CV12">
        <f t="shared" si="15"/>
        <v>1.042455006922018</v>
      </c>
      <c r="DC12">
        <v>230.747126436781</v>
      </c>
      <c r="DD12">
        <v>16.789674952198801</v>
      </c>
      <c r="DE12">
        <f t="shared" si="16"/>
        <v>5.9560414531374742E-2</v>
      </c>
      <c r="DF12">
        <f t="shared" si="17"/>
        <v>1.0355091368158618</v>
      </c>
      <c r="DM12">
        <v>120</v>
      </c>
      <c r="DN12">
        <v>1.0308108108108101</v>
      </c>
      <c r="DO12">
        <f t="shared" si="18"/>
        <v>1.2391191273014581</v>
      </c>
      <c r="DU12">
        <v>46.079615341607898</v>
      </c>
      <c r="DV12">
        <v>0.63985239852398501</v>
      </c>
      <c r="DW12">
        <f t="shared" si="19"/>
        <v>0.24512298558100107</v>
      </c>
      <c r="EC12">
        <v>16.2013651236729</v>
      </c>
      <c r="ED12">
        <v>6.4644201949561397</v>
      </c>
      <c r="EE12">
        <f t="shared" si="20"/>
        <v>0.14574854631212256</v>
      </c>
      <c r="EL12">
        <v>25.9338757949869</v>
      </c>
      <c r="EM12">
        <v>5.3178218160979602</v>
      </c>
      <c r="EN12">
        <f t="shared" si="0"/>
        <v>1.4474910292102807</v>
      </c>
      <c r="ET12">
        <v>31.564972907708398</v>
      </c>
      <c r="EU12">
        <v>0.337124659094308</v>
      </c>
      <c r="EV12">
        <f t="shared" si="1"/>
        <v>0.45199499627200718</v>
      </c>
    </row>
    <row r="13" spans="4:152" x14ac:dyDescent="0.25">
      <c r="D13">
        <v>110.31369154834</v>
      </c>
      <c r="E13">
        <v>2.8934010152284202</v>
      </c>
      <c r="F13">
        <f t="shared" si="2"/>
        <v>0.26480826395047047</v>
      </c>
      <c r="M13">
        <v>236.856027613794</v>
      </c>
      <c r="N13">
        <v>0.97936707635730103</v>
      </c>
      <c r="U13">
        <v>9.07228199778997</v>
      </c>
      <c r="V13">
        <v>7.4640746206801003</v>
      </c>
      <c r="W13">
        <f t="shared" si="3"/>
        <v>0.13397508074602871</v>
      </c>
      <c r="X13">
        <f t="shared" si="4"/>
        <v>0.7348106180469528</v>
      </c>
      <c r="AC13">
        <v>7.9373499657064501</v>
      </c>
      <c r="AD13">
        <v>3.4989605554799001</v>
      </c>
      <c r="AE13">
        <f t="shared" si="5"/>
        <v>0.28579916353553891</v>
      </c>
      <c r="AF13">
        <f t="shared" si="6"/>
        <v>0.85396540364935003</v>
      </c>
      <c r="AK13">
        <v>9.09085302094803</v>
      </c>
      <c r="AL13">
        <v>0.27715824220575003</v>
      </c>
      <c r="AM13">
        <f t="shared" si="7"/>
        <v>3.6080471287505289</v>
      </c>
      <c r="AN13">
        <f t="shared" si="8"/>
        <v>1.7125423027878983</v>
      </c>
      <c r="AT13">
        <v>154.19904052809599</v>
      </c>
      <c r="AU13">
        <v>0.64761495994768603</v>
      </c>
      <c r="AV13">
        <f t="shared" si="9"/>
        <v>1.0099195637729916</v>
      </c>
      <c r="BB13">
        <v>235.815365957138</v>
      </c>
      <c r="BC13">
        <v>0.71206028822559198</v>
      </c>
      <c r="BD13">
        <f t="shared" si="10"/>
        <v>1.0000004047771143</v>
      </c>
      <c r="BJ13">
        <v>174.34842898915301</v>
      </c>
      <c r="BK13">
        <v>10.6023930882989</v>
      </c>
      <c r="BL13">
        <f t="shared" si="11"/>
        <v>1.2199141107716078</v>
      </c>
      <c r="BQ13">
        <v>7.4222212728194004</v>
      </c>
      <c r="BR13">
        <v>1.5021821198158101</v>
      </c>
      <c r="BS13">
        <f t="shared" si="12"/>
        <v>1.5776835183192339</v>
      </c>
      <c r="CA13">
        <v>9.0367388143969407</v>
      </c>
      <c r="CB13">
        <v>2227.54295199956</v>
      </c>
      <c r="CC13">
        <f t="shared" si="13"/>
        <v>1373.0335819057254</v>
      </c>
      <c r="CK13">
        <v>266.13272311212802</v>
      </c>
      <c r="CL13">
        <v>1.05080831408775</v>
      </c>
      <c r="CM13">
        <f t="shared" si="14"/>
        <v>1.0498384863867087</v>
      </c>
      <c r="CT13">
        <v>254.23340961098401</v>
      </c>
      <c r="CU13">
        <v>1.05080831408775</v>
      </c>
      <c r="CV13">
        <f t="shared" si="15"/>
        <v>1.0498384863867087</v>
      </c>
      <c r="DC13">
        <v>227.29885057471199</v>
      </c>
      <c r="DD13">
        <v>16.709369024856599</v>
      </c>
      <c r="DE13">
        <f t="shared" si="16"/>
        <v>5.9846664378075287E-2</v>
      </c>
      <c r="DF13">
        <f t="shared" si="17"/>
        <v>1.0404858370957837</v>
      </c>
      <c r="DM13">
        <v>103.58974358974299</v>
      </c>
      <c r="DN13">
        <v>1.0470270270270201</v>
      </c>
      <c r="DO13">
        <f t="shared" si="18"/>
        <v>1.2586123490209284</v>
      </c>
      <c r="DU13">
        <v>50.333221514033298</v>
      </c>
      <c r="DV13">
        <v>0.66199261992619896</v>
      </c>
      <c r="DW13">
        <f t="shared" si="19"/>
        <v>0.25360474978795611</v>
      </c>
      <c r="EC13">
        <v>18.0524535452689</v>
      </c>
      <c r="ED13">
        <v>7.1003725447668904</v>
      </c>
      <c r="EE13">
        <f t="shared" si="20"/>
        <v>0.16008689804566487</v>
      </c>
      <c r="EL13">
        <v>27.102974186307499</v>
      </c>
      <c r="EM13">
        <v>5.2399605710655104</v>
      </c>
      <c r="EN13">
        <f t="shared" si="0"/>
        <v>1.426297492155985</v>
      </c>
      <c r="ET13">
        <v>34.618896656898201</v>
      </c>
      <c r="EU13">
        <v>0.337124659094308</v>
      </c>
      <c r="EV13">
        <f t="shared" si="1"/>
        <v>0.45199499627200718</v>
      </c>
    </row>
    <row r="14" spans="4:152" x14ac:dyDescent="0.25">
      <c r="D14">
        <v>130.317278376882</v>
      </c>
      <c r="E14">
        <v>3.4517766497461899</v>
      </c>
      <c r="F14">
        <f t="shared" si="2"/>
        <v>0.31591161313389499</v>
      </c>
      <c r="M14">
        <v>227.82347817671501</v>
      </c>
      <c r="N14">
        <v>0.97580244524016901</v>
      </c>
      <c r="U14">
        <v>9.5374180765127292</v>
      </c>
      <c r="V14">
        <v>7.4982758029391299</v>
      </c>
      <c r="W14">
        <f t="shared" si="3"/>
        <v>0.13336399277391556</v>
      </c>
      <c r="X14">
        <f t="shared" si="4"/>
        <v>0.73145899528271097</v>
      </c>
      <c r="AC14">
        <v>8.27224794238683</v>
      </c>
      <c r="AD14">
        <v>3.5174291938997801</v>
      </c>
      <c r="AE14">
        <f t="shared" si="5"/>
        <v>0.28429854444100355</v>
      </c>
      <c r="AF14">
        <f t="shared" si="6"/>
        <v>0.84948156690561694</v>
      </c>
      <c r="AK14">
        <v>10.304011108257701</v>
      </c>
      <c r="AL14">
        <v>0.28317853921402503</v>
      </c>
      <c r="AM14">
        <f t="shared" si="7"/>
        <v>3.5313410499805022</v>
      </c>
      <c r="AN14">
        <f t="shared" si="8"/>
        <v>1.6761341295886356</v>
      </c>
      <c r="AT14">
        <v>143.03319740900201</v>
      </c>
      <c r="AU14">
        <v>0.65403888054955395</v>
      </c>
      <c r="AV14">
        <f t="shared" si="9"/>
        <v>1.019937311189566</v>
      </c>
      <c r="BB14">
        <v>230.437834405405</v>
      </c>
      <c r="BC14">
        <v>0.70531354272848601</v>
      </c>
      <c r="BD14">
        <f t="shared" si="10"/>
        <v>0.99052543708182739</v>
      </c>
      <c r="BJ14">
        <v>163.917831578152</v>
      </c>
      <c r="BK14">
        <v>10.8971112693705</v>
      </c>
      <c r="BL14">
        <f t="shared" si="11"/>
        <v>1.2538244614628093</v>
      </c>
      <c r="BQ14">
        <v>7.9732228938029204</v>
      </c>
      <c r="BR14">
        <v>1.48825697556512</v>
      </c>
      <c r="BS14">
        <f t="shared" si="12"/>
        <v>1.5630584803263536</v>
      </c>
      <c r="CA14">
        <v>9.5383255417548902</v>
      </c>
      <c r="CB14">
        <v>1763.5054720471401</v>
      </c>
      <c r="CC14">
        <f t="shared" si="13"/>
        <v>1087.0058567542765</v>
      </c>
      <c r="CK14">
        <v>262.471395881006</v>
      </c>
      <c r="CL14">
        <v>1.05450346420323</v>
      </c>
      <c r="CM14">
        <f t="shared" si="14"/>
        <v>1.0535302261190642</v>
      </c>
      <c r="CT14">
        <v>248.74141876430201</v>
      </c>
      <c r="CU14">
        <v>1.05265588914549</v>
      </c>
      <c r="CV14">
        <f t="shared" si="15"/>
        <v>1.0516843562528866</v>
      </c>
      <c r="DC14">
        <v>223.85057471264301</v>
      </c>
      <c r="DD14">
        <v>16.674952198852701</v>
      </c>
      <c r="DE14">
        <f t="shared" si="16"/>
        <v>5.9970186905171682E-2</v>
      </c>
      <c r="DF14">
        <f t="shared" si="17"/>
        <v>1.0426333826831893</v>
      </c>
      <c r="DM14">
        <v>94.358974358974393</v>
      </c>
      <c r="DN14">
        <v>1.05567567567567</v>
      </c>
      <c r="DO14">
        <f t="shared" si="18"/>
        <v>1.2690087339379845</v>
      </c>
      <c r="DU14">
        <v>74.018785642401795</v>
      </c>
      <c r="DV14">
        <v>0.759409594095942</v>
      </c>
      <c r="DW14">
        <f t="shared" si="19"/>
        <v>0.29092451229855887</v>
      </c>
      <c r="EC14">
        <v>20.367751252715401</v>
      </c>
      <c r="ED14">
        <v>7.9182719397438097</v>
      </c>
      <c r="EE14">
        <f t="shared" si="20"/>
        <v>0.17852747651246414</v>
      </c>
      <c r="EL14">
        <v>27.6875233819678</v>
      </c>
      <c r="EM14">
        <v>5.1475003425894696</v>
      </c>
      <c r="EN14">
        <f t="shared" si="0"/>
        <v>1.4011301669040068</v>
      </c>
      <c r="ET14">
        <v>37.907737617564102</v>
      </c>
      <c r="EU14">
        <v>0.337124659094308</v>
      </c>
      <c r="EV14">
        <f t="shared" si="1"/>
        <v>0.45199499627200718</v>
      </c>
    </row>
    <row r="15" spans="4:152" x14ac:dyDescent="0.25">
      <c r="D15">
        <v>150.937643765546</v>
      </c>
      <c r="E15">
        <v>4.0482233502538003</v>
      </c>
      <c r="F15">
        <f t="shared" si="2"/>
        <v>0.37049928157982509</v>
      </c>
      <c r="M15">
        <v>220.636149553211</v>
      </c>
      <c r="N15">
        <v>0.97510887447982098</v>
      </c>
      <c r="U15">
        <v>10.4676902339582</v>
      </c>
      <c r="V15">
        <v>7.5324769851981497</v>
      </c>
      <c r="W15">
        <f t="shared" si="3"/>
        <v>0.1327584540868921</v>
      </c>
      <c r="X15">
        <f t="shared" si="4"/>
        <v>0.72813780857854671</v>
      </c>
      <c r="AC15">
        <v>8.6071459190672197</v>
      </c>
      <c r="AD15">
        <v>3.5358978323196499</v>
      </c>
      <c r="AE15">
        <f t="shared" si="5"/>
        <v>0.28281360136018735</v>
      </c>
      <c r="AF15">
        <f t="shared" si="6"/>
        <v>0.8450445699539173</v>
      </c>
      <c r="AK15">
        <v>11.521718538394801</v>
      </c>
      <c r="AL15">
        <v>0.29283831048422798</v>
      </c>
      <c r="AM15">
        <f t="shared" si="7"/>
        <v>3.4148537407774011</v>
      </c>
      <c r="AN15">
        <f t="shared" si="8"/>
        <v>1.620843985743611</v>
      </c>
      <c r="AT15">
        <v>131.77235618045</v>
      </c>
      <c r="AU15">
        <v>0.66707851721023304</v>
      </c>
      <c r="AV15">
        <f t="shared" si="9"/>
        <v>1.04027190038617</v>
      </c>
      <c r="BB15">
        <v>223.70366214291599</v>
      </c>
      <c r="BC15">
        <v>0.70531354272848601</v>
      </c>
      <c r="BD15">
        <f t="shared" si="10"/>
        <v>0.99052543708182739</v>
      </c>
      <c r="BJ15">
        <v>151.93283101303899</v>
      </c>
      <c r="BK15">
        <v>11.3546201679326</v>
      </c>
      <c r="BL15">
        <f t="shared" si="11"/>
        <v>1.3064655545171162</v>
      </c>
      <c r="BQ15">
        <v>8.4369707348286394</v>
      </c>
      <c r="BR15">
        <v>1.48825697556512</v>
      </c>
      <c r="BS15">
        <f t="shared" si="12"/>
        <v>1.5630584803263536</v>
      </c>
      <c r="CA15">
        <v>9.9999999999999893</v>
      </c>
      <c r="CB15">
        <v>1443.5116387279199</v>
      </c>
      <c r="CC15">
        <f t="shared" si="13"/>
        <v>889.76509030546902</v>
      </c>
      <c r="CK15">
        <v>258.81006864988501</v>
      </c>
      <c r="CL15">
        <v>1.0600461893764399</v>
      </c>
      <c r="CM15">
        <f t="shared" si="14"/>
        <v>1.0590678357175873</v>
      </c>
      <c r="CT15">
        <v>243.24942791762001</v>
      </c>
      <c r="CU15">
        <v>1.0600461893764399</v>
      </c>
      <c r="CV15">
        <f t="shared" si="15"/>
        <v>1.0590678357175873</v>
      </c>
      <c r="DC15">
        <v>219.252873563218</v>
      </c>
      <c r="DD15">
        <v>16.6175908221797</v>
      </c>
      <c r="DE15">
        <f t="shared" si="16"/>
        <v>6.0177194799217695E-2</v>
      </c>
      <c r="DF15">
        <f t="shared" si="17"/>
        <v>1.0462323933241366</v>
      </c>
      <c r="DM15">
        <v>85.128205128205195</v>
      </c>
      <c r="DN15">
        <v>1.0654054054054001</v>
      </c>
      <c r="DO15">
        <f t="shared" si="18"/>
        <v>1.2807046669696716</v>
      </c>
      <c r="DU15">
        <v>77.055797830705501</v>
      </c>
      <c r="DV15">
        <v>0.77269372693727001</v>
      </c>
      <c r="DW15">
        <f t="shared" si="19"/>
        <v>0.29601357082273172</v>
      </c>
      <c r="EC15">
        <v>21.760379110267099</v>
      </c>
      <c r="ED15">
        <v>8.4641130752423805</v>
      </c>
      <c r="EE15">
        <f t="shared" si="20"/>
        <v>0.19083415671223644</v>
      </c>
      <c r="EL15">
        <v>28.839933254585201</v>
      </c>
      <c r="EM15">
        <v>5.1077811947329304</v>
      </c>
      <c r="EN15">
        <f t="shared" si="0"/>
        <v>1.3903187647550714</v>
      </c>
      <c r="ET15">
        <v>41.314037183968203</v>
      </c>
      <c r="EU15">
        <v>0.337124659094308</v>
      </c>
      <c r="EV15">
        <f t="shared" si="1"/>
        <v>0.45199499627200718</v>
      </c>
    </row>
    <row r="16" spans="4:152" x14ac:dyDescent="0.25">
      <c r="D16">
        <v>175.56200145032599</v>
      </c>
      <c r="E16">
        <v>4.8096446700507602</v>
      </c>
      <c r="F16">
        <f t="shared" si="2"/>
        <v>0.44018566682994953</v>
      </c>
      <c r="M16">
        <v>214.30691312622901</v>
      </c>
      <c r="N16">
        <v>0.97225394367560203</v>
      </c>
      <c r="U16">
        <v>11.1653943520423</v>
      </c>
      <c r="V16">
        <v>7.5581278718924203</v>
      </c>
      <c r="W16">
        <f t="shared" si="3"/>
        <v>0.13230789647246571</v>
      </c>
      <c r="X16">
        <f t="shared" si="4"/>
        <v>0.72566664366281119</v>
      </c>
      <c r="AC16">
        <v>8.9420438957476094</v>
      </c>
      <c r="AD16">
        <v>3.5543664707395299</v>
      </c>
      <c r="AE16">
        <f t="shared" si="5"/>
        <v>0.28134408993339893</v>
      </c>
      <c r="AF16">
        <f t="shared" si="6"/>
        <v>0.84065368264962792</v>
      </c>
      <c r="AK16">
        <v>13.141284584953301</v>
      </c>
      <c r="AL16">
        <v>0.30248291727834098</v>
      </c>
      <c r="AM16">
        <f t="shared" si="7"/>
        <v>3.305971818169859</v>
      </c>
      <c r="AN16">
        <f t="shared" si="8"/>
        <v>1.569163702249402</v>
      </c>
      <c r="AT16">
        <v>126.47888947148201</v>
      </c>
      <c r="AU16">
        <v>0.66707851721023304</v>
      </c>
      <c r="AV16">
        <f t="shared" si="9"/>
        <v>1.04027190038617</v>
      </c>
      <c r="BB16">
        <v>218.60232577949</v>
      </c>
      <c r="BC16">
        <v>0.71206028822559198</v>
      </c>
      <c r="BD16">
        <f t="shared" si="10"/>
        <v>1.0000004047771143</v>
      </c>
      <c r="BJ16">
        <v>143.52273531937999</v>
      </c>
      <c r="BK16">
        <v>11.670248250647701</v>
      </c>
      <c r="BL16">
        <f t="shared" si="11"/>
        <v>1.3427818039386623</v>
      </c>
      <c r="BQ16">
        <v>8.9276916158559292</v>
      </c>
      <c r="BR16">
        <v>1.4744609166229701</v>
      </c>
      <c r="BS16">
        <f t="shared" si="12"/>
        <v>1.5485690156178671</v>
      </c>
      <c r="CA16">
        <v>10.484020445962001</v>
      </c>
      <c r="CB16">
        <v>1181.5817326181</v>
      </c>
      <c r="CC16">
        <f t="shared" si="13"/>
        <v>728.31430576667219</v>
      </c>
      <c r="CK16">
        <v>254.691075514874</v>
      </c>
      <c r="CL16">
        <v>1.06558891454965</v>
      </c>
      <c r="CM16">
        <f t="shared" si="14"/>
        <v>1.0646054453161107</v>
      </c>
      <c r="CT16">
        <v>238.215102974828</v>
      </c>
      <c r="CU16">
        <v>1.06743648960739</v>
      </c>
      <c r="CV16">
        <f t="shared" si="15"/>
        <v>1.0664513151822883</v>
      </c>
      <c r="DC16">
        <v>211.20689655172399</v>
      </c>
      <c r="DD16">
        <v>16.5602294455066</v>
      </c>
      <c r="DE16">
        <f t="shared" si="16"/>
        <v>6.038563676249889E-2</v>
      </c>
      <c r="DF16">
        <f t="shared" si="17"/>
        <v>1.0498563364946432</v>
      </c>
      <c r="DM16">
        <v>76.923076923077005</v>
      </c>
      <c r="DN16">
        <v>1.06864864864864</v>
      </c>
      <c r="DO16">
        <f t="shared" si="18"/>
        <v>1.2846033113135631</v>
      </c>
      <c r="DU16">
        <v>90.121883037012196</v>
      </c>
      <c r="DV16">
        <v>0.84354243542435503</v>
      </c>
      <c r="DW16">
        <f t="shared" si="19"/>
        <v>0.32315521628498795</v>
      </c>
      <c r="EC16">
        <v>23.611467531863099</v>
      </c>
      <c r="ED16">
        <v>9.1000654250531099</v>
      </c>
      <c r="EE16">
        <f t="shared" si="20"/>
        <v>0.20517250844577828</v>
      </c>
      <c r="EL16">
        <v>28.839933254585201</v>
      </c>
      <c r="EM16">
        <v>5.1077811947329304</v>
      </c>
      <c r="EN16">
        <f t="shared" si="0"/>
        <v>1.3903187647550714</v>
      </c>
      <c r="ET16">
        <v>44.367960933158002</v>
      </c>
      <c r="EU16">
        <v>0.337124659094308</v>
      </c>
      <c r="EV16">
        <f t="shared" si="1"/>
        <v>0.45199499627200718</v>
      </c>
    </row>
    <row r="17" spans="4:152" x14ac:dyDescent="0.25">
      <c r="D17">
        <v>200.19025786178199</v>
      </c>
      <c r="E17">
        <v>5.6345177664974599</v>
      </c>
      <c r="F17">
        <f t="shared" si="2"/>
        <v>0.51567925085091704</v>
      </c>
      <c r="M17">
        <v>205.28726733120399</v>
      </c>
      <c r="N17">
        <v>0.96940869060292201</v>
      </c>
      <c r="U17">
        <v>12.095666509487801</v>
      </c>
      <c r="V17">
        <v>7.58805390636907</v>
      </c>
      <c r="W17">
        <f t="shared" si="3"/>
        <v>0.13178609592647267</v>
      </c>
      <c r="X17">
        <f t="shared" si="4"/>
        <v>0.72280473397361145</v>
      </c>
      <c r="AC17">
        <v>9.6118398491083692</v>
      </c>
      <c r="AD17">
        <v>3.5789913219660199</v>
      </c>
      <c r="AE17">
        <f t="shared" si="5"/>
        <v>0.27940833325370501</v>
      </c>
      <c r="AF17">
        <f t="shared" si="6"/>
        <v>0.83486965860318885</v>
      </c>
      <c r="AK17">
        <v>14.7593341839027</v>
      </c>
      <c r="AL17">
        <v>0.31091436598514299</v>
      </c>
      <c r="AM17">
        <f t="shared" si="7"/>
        <v>3.2163196989353167</v>
      </c>
      <c r="AN17">
        <f t="shared" si="8"/>
        <v>1.5266107528989574</v>
      </c>
      <c r="AT17">
        <v>117.320314730166</v>
      </c>
      <c r="AU17">
        <v>0.66707851721023304</v>
      </c>
      <c r="AV17">
        <f t="shared" si="9"/>
        <v>1.04027190038617</v>
      </c>
      <c r="BB17">
        <v>213.61732024607099</v>
      </c>
      <c r="BC17">
        <v>0.71206028822559198</v>
      </c>
      <c r="BD17">
        <f t="shared" si="10"/>
        <v>1.0000004047771143</v>
      </c>
      <c r="BJ17">
        <v>133.028940670265</v>
      </c>
      <c r="BK17">
        <v>12.1602168571084</v>
      </c>
      <c r="BL17">
        <f t="shared" si="11"/>
        <v>1.3991577194398683</v>
      </c>
      <c r="BQ17">
        <v>9.4469543741333304</v>
      </c>
      <c r="BR17">
        <v>1.4744609166229701</v>
      </c>
      <c r="BS17">
        <f t="shared" si="12"/>
        <v>1.5485690156178671</v>
      </c>
      <c r="CA17">
        <v>11.0659389469887</v>
      </c>
      <c r="CB17">
        <v>1016.82537794815</v>
      </c>
      <c r="CC17">
        <f t="shared" si="13"/>
        <v>626.7602560047369</v>
      </c>
      <c r="CK17">
        <v>251.02974828375201</v>
      </c>
      <c r="CL17">
        <v>1.0711316397228601</v>
      </c>
      <c r="CM17">
        <f t="shared" si="14"/>
        <v>1.0701430549146338</v>
      </c>
      <c r="CT17">
        <v>233.18077803203599</v>
      </c>
      <c r="CU17">
        <v>1.0729792147806001</v>
      </c>
      <c r="CV17">
        <f t="shared" si="15"/>
        <v>1.0719889247808116</v>
      </c>
      <c r="DC17">
        <v>207.18390804597701</v>
      </c>
      <c r="DD17">
        <v>16.5028680688336</v>
      </c>
      <c r="DE17">
        <f t="shared" si="16"/>
        <v>6.0595527748812612E-2</v>
      </c>
      <c r="DF17">
        <f t="shared" si="17"/>
        <v>1.0535054721793633</v>
      </c>
      <c r="DM17">
        <v>70.769230769230802</v>
      </c>
      <c r="DN17">
        <v>1.0772972972972901</v>
      </c>
      <c r="DO17">
        <f t="shared" si="18"/>
        <v>1.2949996962306194</v>
      </c>
      <c r="DU17">
        <v>108.05658056580501</v>
      </c>
      <c r="DV17">
        <v>0.95424354243542497</v>
      </c>
      <c r="DW17">
        <f t="shared" si="19"/>
        <v>0.36556403731976317</v>
      </c>
      <c r="EC17">
        <v>25.456807231652899</v>
      </c>
      <c r="ED17">
        <v>9.6441819440098193</v>
      </c>
      <c r="EE17">
        <f t="shared" si="20"/>
        <v>0.21744030497983249</v>
      </c>
      <c r="EL17">
        <v>29.967535869670598</v>
      </c>
      <c r="EM17">
        <v>5.0702323690035396</v>
      </c>
      <c r="EN17">
        <f t="shared" si="0"/>
        <v>1.380098116098484</v>
      </c>
      <c r="ET17">
        <v>47.069508865133599</v>
      </c>
      <c r="EU17">
        <v>0.337124659094308</v>
      </c>
      <c r="EV17">
        <f t="shared" si="1"/>
        <v>0.45199499627200718</v>
      </c>
    </row>
    <row r="18" spans="4:152" x14ac:dyDescent="0.25">
      <c r="D18">
        <v>225.44153079604101</v>
      </c>
      <c r="E18">
        <v>6.5989847715736003</v>
      </c>
      <c r="F18">
        <f t="shared" si="2"/>
        <v>0.60394867216774062</v>
      </c>
      <c r="M18">
        <v>195.31920384528499</v>
      </c>
      <c r="N18">
        <v>0.96368915126294397</v>
      </c>
      <c r="U18">
        <v>12.560802588210599</v>
      </c>
      <c r="V18">
        <v>7.6051544974985799</v>
      </c>
      <c r="W18">
        <f t="shared" si="3"/>
        <v>0.13148976793685271</v>
      </c>
      <c r="X18">
        <f t="shared" si="4"/>
        <v>0.7211794693946707</v>
      </c>
      <c r="AC18">
        <v>10.616533779149499</v>
      </c>
      <c r="AD18">
        <v>3.5974599603858999</v>
      </c>
      <c r="AE18">
        <f t="shared" si="5"/>
        <v>0.2779739068708717</v>
      </c>
      <c r="AF18">
        <f t="shared" si="6"/>
        <v>0.83058360510370333</v>
      </c>
      <c r="AK18">
        <v>16.378900230461198</v>
      </c>
      <c r="AL18">
        <v>0.32055897277925499</v>
      </c>
      <c r="AM18">
        <f t="shared" si="7"/>
        <v>3.1195508000601975</v>
      </c>
      <c r="AN18">
        <f t="shared" si="8"/>
        <v>1.4806798581505745</v>
      </c>
      <c r="AT18">
        <v>110.322429611391</v>
      </c>
      <c r="AU18">
        <v>0.66707851721023304</v>
      </c>
      <c r="AV18">
        <f t="shared" si="9"/>
        <v>1.04027190038617</v>
      </c>
      <c r="BB18">
        <v>206.01241604912099</v>
      </c>
      <c r="BC18">
        <v>0.71887157037490201</v>
      </c>
      <c r="BD18">
        <f t="shared" si="10"/>
        <v>1.0095660062001826</v>
      </c>
      <c r="BJ18">
        <v>125.070329673949</v>
      </c>
      <c r="BK18">
        <v>12.3280691496571</v>
      </c>
      <c r="BL18">
        <f t="shared" si="11"/>
        <v>1.4184708479477621</v>
      </c>
      <c r="BQ18">
        <v>9.9964190954416701</v>
      </c>
      <c r="BR18">
        <v>1.4744609166229701</v>
      </c>
      <c r="BS18">
        <f t="shared" si="12"/>
        <v>1.5485690156178671</v>
      </c>
      <c r="CA18">
        <v>11.6015530173997</v>
      </c>
      <c r="CB18">
        <v>846.32317206211599</v>
      </c>
      <c r="CC18">
        <f t="shared" si="13"/>
        <v>521.66452518599624</v>
      </c>
      <c r="CK18">
        <v>247.36842105263099</v>
      </c>
      <c r="CL18">
        <v>1.0766743648960699</v>
      </c>
      <c r="CM18">
        <f t="shared" si="14"/>
        <v>1.0756806645131569</v>
      </c>
      <c r="CT18">
        <v>228.60411899313499</v>
      </c>
      <c r="CU18">
        <v>1.07852193995381</v>
      </c>
      <c r="CV18">
        <f t="shared" si="15"/>
        <v>1.0775265343793348</v>
      </c>
      <c r="DC18">
        <v>203.735632183908</v>
      </c>
      <c r="DD18">
        <v>16.4569789674952</v>
      </c>
      <c r="DE18">
        <f t="shared" si="16"/>
        <v>6.076449401649827E-2</v>
      </c>
      <c r="DF18">
        <f t="shared" si="17"/>
        <v>1.0564430963611091</v>
      </c>
      <c r="DM18">
        <v>66.153846153846203</v>
      </c>
      <c r="DN18">
        <v>1.0816216216216199</v>
      </c>
      <c r="DO18">
        <f t="shared" si="18"/>
        <v>1.3001978886891534</v>
      </c>
      <c r="DU18">
        <v>125.690484177569</v>
      </c>
      <c r="DV18">
        <v>1.0693726937269299</v>
      </c>
      <c r="DW18">
        <f t="shared" si="19"/>
        <v>0.40966921119592642</v>
      </c>
      <c r="EC18">
        <v>27.3021469314426</v>
      </c>
      <c r="ED18">
        <v>10.1882984629665</v>
      </c>
      <c r="EE18">
        <f t="shared" si="20"/>
        <v>0.22970810151388604</v>
      </c>
      <c r="EL18">
        <v>30.531337177213398</v>
      </c>
      <c r="EM18">
        <v>5.0232963368418098</v>
      </c>
      <c r="EN18">
        <f t="shared" si="0"/>
        <v>1.3673223052777519</v>
      </c>
      <c r="ET18">
        <v>48.831387951204597</v>
      </c>
      <c r="EU18">
        <v>0.337124659094308</v>
      </c>
      <c r="EV18">
        <f t="shared" si="1"/>
        <v>0.45199499627200718</v>
      </c>
    </row>
    <row r="19" spans="4:152" x14ac:dyDescent="0.25">
      <c r="D19">
        <v>250.70605940099901</v>
      </c>
      <c r="E19">
        <v>7.7791878172588804</v>
      </c>
      <c r="F19">
        <f t="shared" si="2"/>
        <v>0.71196256930543278</v>
      </c>
      <c r="M19">
        <v>185.41565856963101</v>
      </c>
      <c r="N19">
        <v>0.96156650214522998</v>
      </c>
      <c r="U19">
        <v>14.1887788637402</v>
      </c>
      <c r="V19">
        <v>7.6436308275399902</v>
      </c>
      <c r="W19">
        <f t="shared" si="3"/>
        <v>0.13082787781913818</v>
      </c>
      <c r="X19">
        <f t="shared" si="4"/>
        <v>0.71754921305320241</v>
      </c>
      <c r="AC19">
        <v>10.616533779149499</v>
      </c>
      <c r="AD19">
        <v>3.6220848116124</v>
      </c>
      <c r="AE19">
        <f t="shared" si="5"/>
        <v>0.27608409300466985</v>
      </c>
      <c r="AF19">
        <f t="shared" si="6"/>
        <v>0.82493685778258141</v>
      </c>
      <c r="AK19">
        <v>17.190199701349499</v>
      </c>
      <c r="AL19">
        <v>0.326594434263622</v>
      </c>
      <c r="AM19">
        <f t="shared" si="7"/>
        <v>3.0619015362423947</v>
      </c>
      <c r="AN19">
        <f t="shared" si="8"/>
        <v>1.453316910969018</v>
      </c>
      <c r="AT19">
        <v>103.741952136366</v>
      </c>
      <c r="AU19">
        <v>0.67369550368336295</v>
      </c>
      <c r="AV19">
        <f t="shared" si="9"/>
        <v>1.0505907233067755</v>
      </c>
      <c r="BB19">
        <v>198.67825098408301</v>
      </c>
      <c r="BC19">
        <v>0.71887157037490201</v>
      </c>
      <c r="BD19">
        <f t="shared" si="10"/>
        <v>1.0095660062001826</v>
      </c>
      <c r="BJ19">
        <v>118.709172531826</v>
      </c>
      <c r="BK19">
        <v>12.845655985161899</v>
      </c>
      <c r="BL19">
        <f t="shared" si="11"/>
        <v>1.4780245240776135</v>
      </c>
      <c r="BQ19">
        <v>10.458913362989</v>
      </c>
      <c r="BR19">
        <v>1.46079274637575</v>
      </c>
      <c r="BS19">
        <f t="shared" si="12"/>
        <v>1.5342138674369898</v>
      </c>
      <c r="CA19">
        <v>12.081237915195301</v>
      </c>
      <c r="CB19">
        <v>740.56846922624595</v>
      </c>
      <c r="CC19">
        <f t="shared" si="13"/>
        <v>456.47846073423477</v>
      </c>
      <c r="CK19">
        <v>243.70709382151</v>
      </c>
      <c r="CL19">
        <v>1.08036951501154</v>
      </c>
      <c r="CM19">
        <f t="shared" si="14"/>
        <v>1.0793724042455024</v>
      </c>
      <c r="CT19">
        <v>223.84947876938699</v>
      </c>
      <c r="CU19">
        <v>1.08586091865537</v>
      </c>
      <c r="CV19">
        <f t="shared" si="15"/>
        <v>1.084858739681078</v>
      </c>
      <c r="DC19">
        <v>199.13793103448199</v>
      </c>
      <c r="DD19">
        <v>16.411089866156701</v>
      </c>
      <c r="DE19">
        <f t="shared" si="16"/>
        <v>6.0934405219620506E-2</v>
      </c>
      <c r="DF19">
        <f t="shared" si="17"/>
        <v>1.0593971490597813</v>
      </c>
      <c r="DM19">
        <v>54.3589743589744</v>
      </c>
      <c r="DN19">
        <v>1.0870270270270199</v>
      </c>
      <c r="DO19">
        <f t="shared" si="18"/>
        <v>1.3066956292623062</v>
      </c>
      <c r="DU19">
        <v>145.12915129151199</v>
      </c>
      <c r="DV19">
        <v>1.1579335793357901</v>
      </c>
      <c r="DW19">
        <f t="shared" si="19"/>
        <v>0.44359626802374824</v>
      </c>
      <c r="EC19">
        <v>28.694774788994302</v>
      </c>
      <c r="ED19">
        <v>10.734139598464999</v>
      </c>
      <c r="EE19">
        <f t="shared" si="20"/>
        <v>0.24201478171365673</v>
      </c>
      <c r="EL19">
        <v>31.658939792298799</v>
      </c>
      <c r="EM19">
        <v>4.9388114789506998</v>
      </c>
      <c r="EN19">
        <f t="shared" si="0"/>
        <v>1.3443258458004352</v>
      </c>
      <c r="ET19">
        <v>52.002770306132497</v>
      </c>
      <c r="EU19">
        <v>0.337124659094308</v>
      </c>
      <c r="EV19">
        <f t="shared" si="1"/>
        <v>0.45199499627200718</v>
      </c>
    </row>
    <row r="20" spans="4:152" x14ac:dyDescent="0.25">
      <c r="D20">
        <v>275.983843676655</v>
      </c>
      <c r="E20">
        <v>9.1751269035532896</v>
      </c>
      <c r="F20">
        <f t="shared" si="2"/>
        <v>0.83972094226399274</v>
      </c>
      <c r="M20">
        <v>178.176715377915</v>
      </c>
      <c r="N20">
        <v>0.95799541920707099</v>
      </c>
      <c r="U20">
        <v>15.584187099908499</v>
      </c>
      <c r="V20">
        <v>7.6863823053637699</v>
      </c>
      <c r="W20">
        <f t="shared" si="3"/>
        <v>0.13010021623594917</v>
      </c>
      <c r="X20">
        <f t="shared" si="4"/>
        <v>0.71355822118594814</v>
      </c>
      <c r="AC20">
        <v>10.951431755829899</v>
      </c>
      <c r="AD20">
        <v>3.6343972372256501</v>
      </c>
      <c r="AE20">
        <f t="shared" si="5"/>
        <v>0.27514878939412774</v>
      </c>
      <c r="AF20">
        <f t="shared" si="6"/>
        <v>0.82214217876592299</v>
      </c>
      <c r="AK20">
        <v>18.8082493002989</v>
      </c>
      <c r="AL20">
        <v>0.33502588297042402</v>
      </c>
      <c r="AM20">
        <f t="shared" si="7"/>
        <v>2.984844010061992</v>
      </c>
      <c r="AN20">
        <f t="shared" si="8"/>
        <v>1.4167419249383271</v>
      </c>
      <c r="AT20">
        <v>98.222893928380103</v>
      </c>
      <c r="AU20">
        <v>0.67369550368336295</v>
      </c>
      <c r="AV20">
        <f t="shared" si="9"/>
        <v>1.0505907233067755</v>
      </c>
      <c r="BB20">
        <v>194.147593878794</v>
      </c>
      <c r="BC20">
        <v>0.71545782377323797</v>
      </c>
      <c r="BD20">
        <f t="shared" si="10"/>
        <v>1.00477182228076</v>
      </c>
      <c r="BJ20">
        <v>110.029643976693</v>
      </c>
      <c r="BK20">
        <v>13.2027308771309</v>
      </c>
      <c r="BL20">
        <f t="shared" si="11"/>
        <v>1.5191096541692315</v>
      </c>
      <c r="BQ20">
        <v>10.9841263032919</v>
      </c>
      <c r="BR20">
        <v>1.4472512793024099</v>
      </c>
      <c r="BS20">
        <f t="shared" si="12"/>
        <v>1.5199917906770222</v>
      </c>
      <c r="CA20">
        <v>12.5807561577878</v>
      </c>
      <c r="CB20">
        <v>637.30573419489997</v>
      </c>
      <c r="CC20">
        <f t="shared" si="13"/>
        <v>392.82841850712583</v>
      </c>
      <c r="CK20">
        <v>240.04576659038901</v>
      </c>
      <c r="CL20">
        <v>1.0914549653579599</v>
      </c>
      <c r="CM20">
        <f t="shared" si="14"/>
        <v>1.0904476234425489</v>
      </c>
      <c r="CT20">
        <v>218.764302059496</v>
      </c>
      <c r="CU20">
        <v>1.09227610982807</v>
      </c>
      <c r="CV20">
        <f t="shared" si="15"/>
        <v>1.0912680100497423</v>
      </c>
      <c r="DC20">
        <v>192.241379310344</v>
      </c>
      <c r="DD20">
        <v>16.3537284894837</v>
      </c>
      <c r="DE20">
        <f t="shared" si="16"/>
        <v>6.1148135157254944E-2</v>
      </c>
      <c r="DF20">
        <f t="shared" si="17"/>
        <v>1.0631130282216861</v>
      </c>
      <c r="DM20">
        <v>44.615384615384698</v>
      </c>
      <c r="DN20">
        <v>1.09675675675675</v>
      </c>
      <c r="DO20">
        <f t="shared" si="18"/>
        <v>1.3183915622939932</v>
      </c>
      <c r="DU20">
        <v>163.97517611539701</v>
      </c>
      <c r="DV20">
        <v>1.2730627306272999</v>
      </c>
      <c r="DW20">
        <f t="shared" si="19"/>
        <v>0.48770144189991332</v>
      </c>
      <c r="EC20">
        <v>30.992826331022201</v>
      </c>
      <c r="ED20">
        <v>11.2765315008799</v>
      </c>
      <c r="EE20">
        <f t="shared" si="20"/>
        <v>0.25424369458199397</v>
      </c>
      <c r="EL20">
        <v>32.645592080498602</v>
      </c>
      <c r="EM20">
        <v>4.9012626532213099</v>
      </c>
      <c r="EN20">
        <f t="shared" si="0"/>
        <v>1.334105197143848</v>
      </c>
      <c r="ET20">
        <v>54.469401026631999</v>
      </c>
      <c r="EU20">
        <v>0.337124659094308</v>
      </c>
      <c r="EV20">
        <f t="shared" si="1"/>
        <v>0.45199499627200718</v>
      </c>
    </row>
    <row r="21" spans="4:152" x14ac:dyDescent="0.25">
      <c r="D21">
        <v>300.05458217346199</v>
      </c>
      <c r="E21">
        <v>10.9263959390862</v>
      </c>
      <c r="F21">
        <f t="shared" si="2"/>
        <v>0.99999962833927014</v>
      </c>
      <c r="M21">
        <v>170.053872705571</v>
      </c>
      <c r="N21">
        <v>0.95514694022387803</v>
      </c>
      <c r="U21">
        <v>16.747027296715402</v>
      </c>
      <c r="V21">
        <v>7.7120331920580396</v>
      </c>
      <c r="W21">
        <f t="shared" si="3"/>
        <v>0.12966749171020348</v>
      </c>
      <c r="X21">
        <f t="shared" si="4"/>
        <v>0.71118486507795642</v>
      </c>
      <c r="AC21">
        <v>11.2863297325102</v>
      </c>
      <c r="AD21">
        <v>3.6528658756455199</v>
      </c>
      <c r="AE21">
        <f t="shared" si="5"/>
        <v>0.27375765605499652</v>
      </c>
      <c r="AF21">
        <f t="shared" si="6"/>
        <v>0.81798548450277297</v>
      </c>
      <c r="AK21">
        <v>21.226983236872599</v>
      </c>
      <c r="AL21">
        <v>0.34100068655042498</v>
      </c>
      <c r="AM21">
        <f t="shared" si="7"/>
        <v>2.9325454154243364</v>
      </c>
      <c r="AN21">
        <f t="shared" si="8"/>
        <v>1.3919186472766638</v>
      </c>
      <c r="AT21">
        <v>95.574466035869094</v>
      </c>
      <c r="AU21">
        <v>0.68712703634787498</v>
      </c>
      <c r="AV21">
        <f t="shared" si="9"/>
        <v>1.0715364525568261</v>
      </c>
      <c r="BB21">
        <v>186.00583551420101</v>
      </c>
      <c r="BC21">
        <v>0.71887157037490201</v>
      </c>
      <c r="BD21">
        <f t="shared" si="10"/>
        <v>1.0095660062001826</v>
      </c>
      <c r="BJ21">
        <v>102.95725591664799</v>
      </c>
      <c r="BK21">
        <v>13.663064712275</v>
      </c>
      <c r="BL21">
        <f t="shared" si="11"/>
        <v>1.5720757851625882</v>
      </c>
      <c r="BQ21">
        <v>11.4923178267551</v>
      </c>
      <c r="BR21">
        <v>1.46079274637575</v>
      </c>
      <c r="BS21">
        <f t="shared" si="12"/>
        <v>1.5342138674369898</v>
      </c>
      <c r="CA21">
        <v>13.100927786766199</v>
      </c>
      <c r="CB21">
        <v>557.66939578393703</v>
      </c>
      <c r="CC21">
        <f t="shared" si="13"/>
        <v>343.74143372862426</v>
      </c>
      <c r="CK21">
        <v>235.926773455377</v>
      </c>
      <c r="CL21">
        <v>1.09515011547344</v>
      </c>
      <c r="CM21">
        <f t="shared" si="14"/>
        <v>1.0941393631749043</v>
      </c>
      <c r="CT21">
        <v>213.67912534960499</v>
      </c>
      <c r="CU21">
        <v>1.09740826276623</v>
      </c>
      <c r="CV21">
        <f t="shared" si="15"/>
        <v>1.0963954263446738</v>
      </c>
      <c r="DC21">
        <v>186.494252873563</v>
      </c>
      <c r="DD21">
        <v>16.296367112810699</v>
      </c>
      <c r="DE21">
        <f t="shared" si="16"/>
        <v>6.1363369705502789E-2</v>
      </c>
      <c r="DF21">
        <f t="shared" si="17"/>
        <v>1.0668550663358043</v>
      </c>
      <c r="DM21">
        <v>33.3333333333334</v>
      </c>
      <c r="DN21">
        <v>1.10864864864864</v>
      </c>
      <c r="DO21">
        <f t="shared" si="18"/>
        <v>1.3326865915549411</v>
      </c>
      <c r="DU21">
        <v>171.88080062618801</v>
      </c>
      <c r="DV21">
        <v>1.3261992619926199</v>
      </c>
      <c r="DW21">
        <f t="shared" si="19"/>
        <v>0.50805767599660789</v>
      </c>
      <c r="EC21">
        <v>32.385454188573902</v>
      </c>
      <c r="ED21">
        <v>11.8223726363785</v>
      </c>
      <c r="EE21">
        <f t="shared" si="20"/>
        <v>0.26655037478176696</v>
      </c>
      <c r="EL21">
        <v>33.914145022469803</v>
      </c>
      <c r="EM21">
        <v>4.82147139854637</v>
      </c>
      <c r="EN21">
        <f t="shared" si="0"/>
        <v>1.3123863187486038</v>
      </c>
      <c r="ET21">
        <v>57.523324775821798</v>
      </c>
      <c r="EU21">
        <v>0.33516899108756898</v>
      </c>
      <c r="EV21">
        <f t="shared" si="1"/>
        <v>0.44937296276134664</v>
      </c>
    </row>
    <row r="22" spans="4:152" x14ac:dyDescent="0.25">
      <c r="M22">
        <v>161.91812639117299</v>
      </c>
      <c r="N22">
        <v>0.95157908319623197</v>
      </c>
      <c r="U22">
        <v>17.909867493522299</v>
      </c>
      <c r="V22">
        <v>7.7462343743170701</v>
      </c>
      <c r="W22">
        <f t="shared" si="3"/>
        <v>0.12909498366271197</v>
      </c>
      <c r="X22">
        <f t="shared" si="4"/>
        <v>0.70804484090427022</v>
      </c>
      <c r="AC22">
        <v>12.2910236625514</v>
      </c>
      <c r="AD22">
        <v>3.6774907268720201</v>
      </c>
      <c r="AE22">
        <f t="shared" si="5"/>
        <v>0.27192454699962615</v>
      </c>
      <c r="AF22">
        <f t="shared" si="6"/>
        <v>0.8125081706609919</v>
      </c>
      <c r="AK22">
        <v>22.846549283431099</v>
      </c>
      <c r="AL22">
        <v>0.35064529334453698</v>
      </c>
      <c r="AM22">
        <f t="shared" si="7"/>
        <v>2.8518848505330432</v>
      </c>
      <c r="AN22">
        <f t="shared" si="8"/>
        <v>1.3536334961647534</v>
      </c>
      <c r="AT22">
        <v>89.873670439253601</v>
      </c>
      <c r="AU22">
        <v>0.68712703634787498</v>
      </c>
      <c r="AV22">
        <f t="shared" si="9"/>
        <v>1.0715364525568261</v>
      </c>
      <c r="BB22">
        <v>181.764160060932</v>
      </c>
      <c r="BC22">
        <v>0.71887157037490201</v>
      </c>
      <c r="BD22">
        <f t="shared" si="10"/>
        <v>1.0095660062001826</v>
      </c>
      <c r="BJ22">
        <v>96.3394605560256</v>
      </c>
      <c r="BK22">
        <v>14.1394488056384</v>
      </c>
      <c r="BL22">
        <f t="shared" si="11"/>
        <v>1.626888663047914</v>
      </c>
      <c r="BQ22">
        <v>11.9787884649554</v>
      </c>
      <c r="BR22">
        <v>1.4472512793024099</v>
      </c>
      <c r="BS22">
        <f t="shared" si="12"/>
        <v>1.5199917906770222</v>
      </c>
      <c r="CA22">
        <v>13.642606749660001</v>
      </c>
      <c r="CB22">
        <v>487.98424101251402</v>
      </c>
      <c r="CC22">
        <f t="shared" si="13"/>
        <v>300.78825180430971</v>
      </c>
      <c r="CK22">
        <v>231.80778032036599</v>
      </c>
      <c r="CL22">
        <v>1.1025404157043801</v>
      </c>
      <c r="CM22">
        <f t="shared" si="14"/>
        <v>1.1015228426395953</v>
      </c>
      <c r="CT22">
        <v>208.59394863971499</v>
      </c>
      <c r="CU22">
        <v>1.10382345393892</v>
      </c>
      <c r="CV22">
        <f t="shared" si="15"/>
        <v>1.102804696713328</v>
      </c>
      <c r="DC22">
        <v>181.321839080459</v>
      </c>
      <c r="DD22">
        <v>16.2504780114722</v>
      </c>
      <c r="DE22">
        <f t="shared" si="16"/>
        <v>6.1536651370749783E-2</v>
      </c>
      <c r="DF22">
        <f t="shared" si="17"/>
        <v>1.0698677174232376</v>
      </c>
      <c r="DM22">
        <v>24.615384615384698</v>
      </c>
      <c r="DN22">
        <v>1.1216216216216199</v>
      </c>
      <c r="DO22">
        <f t="shared" si="18"/>
        <v>1.3482811689305316</v>
      </c>
      <c r="DU22">
        <v>191.965783294196</v>
      </c>
      <c r="DV22">
        <v>1.49446494464944</v>
      </c>
      <c r="DW22">
        <f t="shared" si="19"/>
        <v>0.57251908396946383</v>
      </c>
      <c r="EC22">
        <v>34.2250451665575</v>
      </c>
      <c r="ED22">
        <v>12.2746533244812</v>
      </c>
      <c r="EE22">
        <f t="shared" si="20"/>
        <v>0.27674761611633375</v>
      </c>
      <c r="EL22">
        <v>35.4645986182123</v>
      </c>
      <c r="EM22">
        <v>4.7745353663846402</v>
      </c>
      <c r="EN22">
        <f t="shared" si="0"/>
        <v>1.2996105079278717</v>
      </c>
      <c r="ET22">
        <v>59.520121073368998</v>
      </c>
      <c r="EU22">
        <v>0.33125765507409199</v>
      </c>
      <c r="EV22">
        <f t="shared" si="1"/>
        <v>0.44412889574002695</v>
      </c>
    </row>
    <row r="23" spans="4:152" x14ac:dyDescent="0.25">
      <c r="M23">
        <v>154.69208684151101</v>
      </c>
      <c r="N23">
        <v>0.94872737830252496</v>
      </c>
      <c r="U23">
        <v>18.840139650967799</v>
      </c>
      <c r="V23">
        <v>7.77616040879371</v>
      </c>
      <c r="W23">
        <f t="shared" si="3"/>
        <v>0.12859817023182096</v>
      </c>
      <c r="X23">
        <f t="shared" si="4"/>
        <v>0.70531997757764098</v>
      </c>
      <c r="AC23">
        <v>12.9608196159122</v>
      </c>
      <c r="AD23">
        <v>3.6959593652918898</v>
      </c>
      <c r="AE23">
        <f t="shared" si="5"/>
        <v>0.27056574522729487</v>
      </c>
      <c r="AF23">
        <f t="shared" si="6"/>
        <v>0.8084480828369629</v>
      </c>
      <c r="AK23">
        <v>25.266799667613999</v>
      </c>
      <c r="AL23">
        <v>0.35783325501184698</v>
      </c>
      <c r="AM23">
        <f t="shared" si="7"/>
        <v>2.7945977239228155</v>
      </c>
      <c r="AN23">
        <f t="shared" si="8"/>
        <v>1.3264424356757083</v>
      </c>
      <c r="AT23">
        <v>86.263328359375706</v>
      </c>
      <c r="AU23">
        <v>0.68712703634787498</v>
      </c>
      <c r="AV23">
        <f t="shared" si="9"/>
        <v>1.0715364525568261</v>
      </c>
      <c r="BB23">
        <v>178.205509293798</v>
      </c>
      <c r="BC23">
        <v>0.72574800650806004</v>
      </c>
      <c r="BD23">
        <f t="shared" si="10"/>
        <v>1.0192231083167991</v>
      </c>
      <c r="BJ23">
        <v>88.033285052653497</v>
      </c>
      <c r="BK23">
        <v>14.834420181211099</v>
      </c>
      <c r="BL23">
        <f t="shared" si="11"/>
        <v>1.7068522505684667</v>
      </c>
      <c r="BQ23">
        <v>12.4388812214984</v>
      </c>
      <c r="BR23">
        <v>1.4472512793024099</v>
      </c>
      <c r="BS23">
        <f t="shared" si="12"/>
        <v>1.5199917906770222</v>
      </c>
      <c r="CA23">
        <v>14.111075557898401</v>
      </c>
      <c r="CB23">
        <v>434.19134227214602</v>
      </c>
      <c r="CC23">
        <f t="shared" si="13"/>
        <v>267.63088602948619</v>
      </c>
      <c r="CK23">
        <v>227.68878718535399</v>
      </c>
      <c r="CL23">
        <v>1.10993071593533</v>
      </c>
      <c r="CM23">
        <f t="shared" si="14"/>
        <v>1.1089063221042961</v>
      </c>
      <c r="CT23">
        <v>203.50877192982401</v>
      </c>
      <c r="CU23">
        <v>1.11023864511162</v>
      </c>
      <c r="CV23">
        <f t="shared" si="15"/>
        <v>1.1092139670819925</v>
      </c>
      <c r="DC23">
        <v>176.72413793103399</v>
      </c>
      <c r="DD23">
        <v>16.181644359464599</v>
      </c>
      <c r="DE23">
        <f t="shared" si="16"/>
        <v>6.1798416637126423E-2</v>
      </c>
      <c r="DF23">
        <f t="shared" si="17"/>
        <v>1.0744187321729968</v>
      </c>
      <c r="DM23">
        <v>17.435897435897498</v>
      </c>
      <c r="DN23">
        <v>1.1281081081080999</v>
      </c>
      <c r="DO23">
        <f t="shared" si="18"/>
        <v>1.3560784576183147</v>
      </c>
      <c r="DU23">
        <v>212.67248127026701</v>
      </c>
      <c r="DV23">
        <v>1.69372693726937</v>
      </c>
      <c r="DW23">
        <f t="shared" si="19"/>
        <v>0.64885496183206082</v>
      </c>
      <c r="EC23">
        <v>36.5173479867792</v>
      </c>
      <c r="ED23">
        <v>12.725209396042001</v>
      </c>
      <c r="EE23">
        <f t="shared" si="20"/>
        <v>0.28690597378518157</v>
      </c>
      <c r="EL23">
        <v>36.874101887069102</v>
      </c>
      <c r="EM23">
        <v>4.7064781197501304</v>
      </c>
      <c r="EN23">
        <f t="shared" si="0"/>
        <v>1.28108558223781</v>
      </c>
      <c r="ET23">
        <v>61.399458765178103</v>
      </c>
      <c r="EU23">
        <v>0.337124659094308</v>
      </c>
      <c r="EV23">
        <f t="shared" si="1"/>
        <v>0.45199499627200718</v>
      </c>
    </row>
    <row r="24" spans="4:152" x14ac:dyDescent="0.25">
      <c r="M24">
        <v>148.34994677247599</v>
      </c>
      <c r="N24">
        <v>0.94515306945385302</v>
      </c>
      <c r="U24">
        <v>20.2355478871361</v>
      </c>
      <c r="V24">
        <v>7.7932609999232296</v>
      </c>
      <c r="W24">
        <f t="shared" si="3"/>
        <v>0.12831598993153839</v>
      </c>
      <c r="X24">
        <f t="shared" si="4"/>
        <v>0.70377230856563744</v>
      </c>
      <c r="AC24">
        <v>13.6306155692729</v>
      </c>
      <c r="AD24">
        <v>3.7082717909051399</v>
      </c>
      <c r="AE24">
        <f t="shared" si="5"/>
        <v>0.26966739667048872</v>
      </c>
      <c r="AF24">
        <f t="shared" si="6"/>
        <v>0.80576382519799539</v>
      </c>
      <c r="AK24">
        <v>26.883332818954202</v>
      </c>
      <c r="AL24">
        <v>0.36505154563134001</v>
      </c>
      <c r="AM24">
        <f t="shared" si="7"/>
        <v>2.7393391754321859</v>
      </c>
      <c r="AN24">
        <f t="shared" si="8"/>
        <v>1.3002142300830526</v>
      </c>
      <c r="AT24">
        <v>80.016838186071695</v>
      </c>
      <c r="AU24">
        <v>0.68712703634787498</v>
      </c>
      <c r="AV24">
        <f t="shared" si="9"/>
        <v>1.0715364525568261</v>
      </c>
      <c r="BB24">
        <v>174.71653120184101</v>
      </c>
      <c r="BC24">
        <v>0.72574800650806004</v>
      </c>
      <c r="BD24">
        <f t="shared" si="10"/>
        <v>1.0192231083167991</v>
      </c>
      <c r="BJ24">
        <v>82.766591452510397</v>
      </c>
      <c r="BK24">
        <v>15.3516454126959</v>
      </c>
      <c r="BL24">
        <f t="shared" si="11"/>
        <v>1.7663643204455755</v>
      </c>
      <c r="BQ24">
        <v>12.8680548474843</v>
      </c>
      <c r="BR24">
        <v>1.43383534087163</v>
      </c>
      <c r="BS24">
        <f t="shared" si="12"/>
        <v>1.5059015517733516</v>
      </c>
      <c r="CA24">
        <v>14.4974067037263</v>
      </c>
      <c r="CB24">
        <v>392.828418507126</v>
      </c>
      <c r="CC24">
        <f t="shared" si="13"/>
        <v>242.13522349952297</v>
      </c>
      <c r="CK24">
        <v>224.027459954233</v>
      </c>
      <c r="CL24">
        <v>1.1173210161662801</v>
      </c>
      <c r="CM24">
        <f t="shared" si="14"/>
        <v>1.1162898015689973</v>
      </c>
      <c r="CT24">
        <v>198.42359521993299</v>
      </c>
      <c r="CU24">
        <v>1.11793687451886</v>
      </c>
      <c r="CV24">
        <f t="shared" si="15"/>
        <v>1.1169050915243897</v>
      </c>
      <c r="DC24">
        <v>171.55172413793099</v>
      </c>
      <c r="DD24">
        <v>16.1472275334608</v>
      </c>
      <c r="DE24">
        <f t="shared" si="16"/>
        <v>6.1930136175251643E-2</v>
      </c>
      <c r="DF24">
        <f t="shared" si="17"/>
        <v>1.0767087898614633</v>
      </c>
      <c r="DM24">
        <v>11.7948717948719</v>
      </c>
      <c r="DN24">
        <v>1.1345945945945899</v>
      </c>
      <c r="DO24">
        <f t="shared" si="18"/>
        <v>1.36387574630611</v>
      </c>
      <c r="DU24">
        <v>218.133735882813</v>
      </c>
      <c r="DV24">
        <v>1.7070110701107</v>
      </c>
      <c r="DW24">
        <f t="shared" si="19"/>
        <v>0.65394402035623445</v>
      </c>
      <c r="EC24">
        <v>37.4572640020927</v>
      </c>
      <c r="ED24">
        <v>13.272775148082401</v>
      </c>
      <c r="EE24">
        <f t="shared" si="20"/>
        <v>0.29925153765067125</v>
      </c>
      <c r="EL24">
        <v>38.565505809697299</v>
      </c>
      <c r="EM24">
        <v>4.66658249241266</v>
      </c>
      <c r="EN24">
        <f t="shared" si="0"/>
        <v>1.2702261430401878</v>
      </c>
      <c r="ET24">
        <v>63.866089485677499</v>
      </c>
      <c r="EU24">
        <v>0.33908032710104802</v>
      </c>
      <c r="EV24">
        <f t="shared" si="1"/>
        <v>0.45461702978266905</v>
      </c>
    </row>
    <row r="25" spans="4:152" x14ac:dyDescent="0.25">
      <c r="M25">
        <v>141.11100358076001</v>
      </c>
      <c r="N25">
        <v>0.94158198651569402</v>
      </c>
      <c r="U25">
        <v>21.398388083942901</v>
      </c>
      <c r="V25">
        <v>7.8231870343998704</v>
      </c>
      <c r="W25">
        <f t="shared" si="3"/>
        <v>0.12782514282259028</v>
      </c>
      <c r="X25">
        <f t="shared" si="4"/>
        <v>0.70108016861330957</v>
      </c>
      <c r="AC25">
        <v>13.6306155692729</v>
      </c>
      <c r="AD25">
        <v>3.73905285493827</v>
      </c>
      <c r="AE25">
        <f t="shared" si="5"/>
        <v>0.26744740949015272</v>
      </c>
      <c r="AF25">
        <f t="shared" si="6"/>
        <v>0.79913052289892739</v>
      </c>
      <c r="AK25">
        <v>29.3005503079189</v>
      </c>
      <c r="AL25">
        <v>0.36981319112402999</v>
      </c>
      <c r="AM25">
        <f t="shared" si="7"/>
        <v>2.704067956474312</v>
      </c>
      <c r="AN25">
        <f t="shared" si="8"/>
        <v>1.2834729148006296</v>
      </c>
      <c r="AT25">
        <v>77.329077630359606</v>
      </c>
      <c r="AU25">
        <v>0.69394289113488095</v>
      </c>
      <c r="AV25">
        <f t="shared" si="9"/>
        <v>1.0821653995684719</v>
      </c>
      <c r="BB25">
        <v>170.17058631837401</v>
      </c>
      <c r="BC25">
        <v>0.72574800650806004</v>
      </c>
      <c r="BD25">
        <f t="shared" si="10"/>
        <v>1.0192231083167991</v>
      </c>
      <c r="BJ25">
        <v>78.557029554658101</v>
      </c>
      <c r="BK25">
        <v>15.7783801106839</v>
      </c>
      <c r="BL25">
        <f t="shared" si="11"/>
        <v>1.8154645259648319</v>
      </c>
      <c r="BQ25">
        <v>13.312036075372699</v>
      </c>
      <c r="BR25">
        <v>1.4205437674399</v>
      </c>
      <c r="BS25">
        <f t="shared" si="12"/>
        <v>1.4919419285964086</v>
      </c>
      <c r="CA25">
        <v>15.096825336951399</v>
      </c>
      <c r="CB25">
        <v>355.40590371810703</v>
      </c>
      <c r="CC25">
        <f t="shared" si="13"/>
        <v>219.06838679562767</v>
      </c>
      <c r="CK25">
        <v>219.90846681922201</v>
      </c>
      <c r="CL25">
        <v>1.12286374133949</v>
      </c>
      <c r="CM25">
        <f t="shared" si="14"/>
        <v>1.1218274111675202</v>
      </c>
      <c r="CT25">
        <v>193.338418510043</v>
      </c>
      <c r="CU25">
        <v>1.12435206569155</v>
      </c>
      <c r="CV25">
        <f t="shared" si="15"/>
        <v>1.1233143618930439</v>
      </c>
      <c r="DC25">
        <v>167.52873563218299</v>
      </c>
      <c r="DD25">
        <v>16.066921606118498</v>
      </c>
      <c r="DE25">
        <f t="shared" si="16"/>
        <v>6.2239676306081348E-2</v>
      </c>
      <c r="DF25">
        <f t="shared" si="17"/>
        <v>1.0820904118029373</v>
      </c>
      <c r="DM25">
        <v>5.1282051282052796</v>
      </c>
      <c r="DN25">
        <v>1.14972972972972</v>
      </c>
      <c r="DO25">
        <f t="shared" si="18"/>
        <v>1.3820694199109498</v>
      </c>
      <c r="DU25">
        <v>220.878899698087</v>
      </c>
      <c r="DV25">
        <v>1.7424354243542399</v>
      </c>
      <c r="DW25">
        <f t="shared" si="19"/>
        <v>0.66751484308736164</v>
      </c>
      <c r="EC25">
        <v>39.761064265926898</v>
      </c>
      <c r="ED25">
        <v>13.9070028813513</v>
      </c>
      <c r="EE25">
        <f t="shared" si="20"/>
        <v>0.3135510057184957</v>
      </c>
      <c r="EL25">
        <v>40.115959405439803</v>
      </c>
      <c r="EM25">
        <v>4.6196464602509302</v>
      </c>
      <c r="EN25">
        <f t="shared" si="0"/>
        <v>1.2574503322194557</v>
      </c>
      <c r="ET25">
        <v>66.215261600438893</v>
      </c>
      <c r="EU25">
        <v>0.33908032710104802</v>
      </c>
      <c r="EV25">
        <f t="shared" si="1"/>
        <v>0.45461702978266905</v>
      </c>
    </row>
    <row r="26" spans="4:152" x14ac:dyDescent="0.25">
      <c r="M26">
        <v>133.89786767314999</v>
      </c>
      <c r="N26">
        <v>0.93944965966644001</v>
      </c>
      <c r="U26">
        <v>23.026364359472598</v>
      </c>
      <c r="V26">
        <v>7.8488379210941499</v>
      </c>
      <c r="W26">
        <f t="shared" si="3"/>
        <v>0.1274073958531427</v>
      </c>
      <c r="X26">
        <f t="shared" si="4"/>
        <v>0.69878895962804377</v>
      </c>
      <c r="AC26">
        <v>14.970207475994499</v>
      </c>
      <c r="AD26">
        <v>3.73905285493827</v>
      </c>
      <c r="AE26">
        <f t="shared" si="5"/>
        <v>0.26744740949015272</v>
      </c>
      <c r="AF26">
        <f t="shared" si="6"/>
        <v>0.79913052289892739</v>
      </c>
      <c r="AK26">
        <v>31.7208006921018</v>
      </c>
      <c r="AL26">
        <v>0.377001152791341</v>
      </c>
      <c r="AM26">
        <f t="shared" si="7"/>
        <v>2.6525117830434604</v>
      </c>
      <c r="AN26">
        <f t="shared" si="8"/>
        <v>1.2590020238118032</v>
      </c>
      <c r="AT26">
        <v>73.717203368795197</v>
      </c>
      <c r="AU26">
        <v>0.70082635478315902</v>
      </c>
      <c r="AV26">
        <f t="shared" si="9"/>
        <v>1.0928997788445125</v>
      </c>
      <c r="BB26">
        <v>164.65412519407801</v>
      </c>
      <c r="BC26">
        <v>0.722301605380262</v>
      </c>
      <c r="BD26">
        <f t="shared" si="10"/>
        <v>1.014383065163416</v>
      </c>
      <c r="BJ26">
        <v>74.208580759495703</v>
      </c>
      <c r="BK26">
        <v>16.216976892348999</v>
      </c>
      <c r="BL26">
        <f t="shared" si="11"/>
        <v>1.8659295859221698</v>
      </c>
      <c r="BQ26">
        <v>13.8755355176049</v>
      </c>
      <c r="BR26">
        <v>1.4205437674399</v>
      </c>
      <c r="BS26">
        <f t="shared" si="12"/>
        <v>1.4919419285964086</v>
      </c>
      <c r="CA26">
        <v>15.615230060004899</v>
      </c>
      <c r="CB26">
        <v>316.22776601683802</v>
      </c>
      <c r="CC26">
        <f t="shared" si="13"/>
        <v>194.91940296028488</v>
      </c>
      <c r="CK26">
        <v>214.87414187643</v>
      </c>
      <c r="CL26">
        <v>1.1321016166281701</v>
      </c>
      <c r="CM26">
        <f t="shared" si="14"/>
        <v>1.131056760498389</v>
      </c>
      <c r="CT26">
        <v>188.25324180015201</v>
      </c>
      <c r="CU26">
        <v>1.1307672568642499</v>
      </c>
      <c r="CV26">
        <f t="shared" si="15"/>
        <v>1.1297236322617084</v>
      </c>
      <c r="DC26">
        <v>162.35632183908001</v>
      </c>
      <c r="DD26">
        <v>15.9980879541109</v>
      </c>
      <c r="DE26">
        <f t="shared" si="16"/>
        <v>6.2507469821919445E-2</v>
      </c>
      <c r="DF26">
        <f t="shared" si="17"/>
        <v>1.0867462328648327</v>
      </c>
      <c r="DM26">
        <v>2.56410256410271</v>
      </c>
      <c r="DN26">
        <v>1.1508108108108099</v>
      </c>
      <c r="DO26">
        <f t="shared" si="18"/>
        <v>1.3833689680255923</v>
      </c>
      <c r="DU26">
        <v>223.015766521301</v>
      </c>
      <c r="DV26">
        <v>1.77343173431734</v>
      </c>
      <c r="DW26">
        <f t="shared" si="19"/>
        <v>0.67938931297709881</v>
      </c>
      <c r="EC26">
        <v>42.059115807954797</v>
      </c>
      <c r="ED26">
        <v>14.449394783766101</v>
      </c>
      <c r="EE26">
        <f t="shared" si="20"/>
        <v>0.3257799185868307</v>
      </c>
      <c r="EL26">
        <v>40.961661366754001</v>
      </c>
      <c r="EM26">
        <v>4.5891380393457997</v>
      </c>
      <c r="EN26">
        <f t="shared" si="0"/>
        <v>1.2491460551859781</v>
      </c>
      <c r="ET26">
        <v>68.799350926676496</v>
      </c>
      <c r="EU26">
        <v>0.337124659094308</v>
      </c>
      <c r="EV26">
        <f t="shared" si="1"/>
        <v>0.45199499627200718</v>
      </c>
    </row>
    <row r="27" spans="4:152" x14ac:dyDescent="0.25">
      <c r="M27">
        <v>125.76212135875301</v>
      </c>
      <c r="N27">
        <v>0.93588180263879395</v>
      </c>
      <c r="U27">
        <v>24.8869086743636</v>
      </c>
      <c r="V27">
        <v>7.8659385122236598</v>
      </c>
      <c r="W27">
        <f t="shared" si="3"/>
        <v>0.12713041151364216</v>
      </c>
      <c r="X27">
        <f t="shared" si="4"/>
        <v>0.69726978880489976</v>
      </c>
      <c r="AC27">
        <v>15.974901406035601</v>
      </c>
      <c r="AD27">
        <v>3.77599013177801</v>
      </c>
      <c r="AE27">
        <f t="shared" si="5"/>
        <v>0.26483120058609039</v>
      </c>
      <c r="AF27">
        <f t="shared" si="6"/>
        <v>0.79131331355110923</v>
      </c>
      <c r="AK27">
        <v>32.929409436584102</v>
      </c>
      <c r="AL27">
        <v>0.37938197553768599</v>
      </c>
      <c r="AM27">
        <f t="shared" si="7"/>
        <v>2.6358658673299695</v>
      </c>
      <c r="AN27">
        <f t="shared" si="8"/>
        <v>1.2511011195800266</v>
      </c>
      <c r="AT27">
        <v>69.320142879836496</v>
      </c>
      <c r="AU27">
        <v>0.70777809792878899</v>
      </c>
      <c r="AV27">
        <f t="shared" si="9"/>
        <v>1.1037406362046693</v>
      </c>
      <c r="BB27">
        <v>159.316492526535</v>
      </c>
      <c r="BC27">
        <v>0.722301605380262</v>
      </c>
      <c r="BD27">
        <f t="shared" si="10"/>
        <v>1.014383065163416</v>
      </c>
      <c r="BJ27">
        <v>69.768966162267304</v>
      </c>
      <c r="BK27">
        <v>16.8978372646644</v>
      </c>
      <c r="BL27">
        <f t="shared" si="11"/>
        <v>1.9442695577318769</v>
      </c>
      <c r="BQ27">
        <v>14.354277438565999</v>
      </c>
      <c r="BR27">
        <v>1.43383534087163</v>
      </c>
      <c r="BS27">
        <f t="shared" si="12"/>
        <v>1.5059015517733516</v>
      </c>
      <c r="CA27">
        <v>16.151436105580601</v>
      </c>
      <c r="CB27">
        <v>286.10255691043801</v>
      </c>
      <c r="CC27">
        <f t="shared" si="13"/>
        <v>176.35054720471356</v>
      </c>
      <c r="CK27">
        <v>210.29748283752801</v>
      </c>
      <c r="CL27">
        <v>1.13949191685912</v>
      </c>
      <c r="CM27">
        <f t="shared" si="14"/>
        <v>1.1384402399630897</v>
      </c>
      <c r="CT27">
        <v>183.48588863462999</v>
      </c>
      <c r="CU27">
        <v>1.1371824480369499</v>
      </c>
      <c r="CV27">
        <f t="shared" si="15"/>
        <v>1.1361329026303726</v>
      </c>
      <c r="DC27">
        <v>157.18390804597701</v>
      </c>
      <c r="DD27">
        <v>15.9292543021032</v>
      </c>
      <c r="DE27">
        <f t="shared" si="16"/>
        <v>6.277757772176229E-2</v>
      </c>
      <c r="DF27">
        <f t="shared" si="17"/>
        <v>1.0914422914872264</v>
      </c>
      <c r="DM27" s="8">
        <v>1.4210854715202001E-13</v>
      </c>
      <c r="DN27">
        <v>1.16054054054054</v>
      </c>
      <c r="DO27">
        <f t="shared" si="18"/>
        <v>1.3950649010572791</v>
      </c>
      <c r="DU27">
        <v>225.44000894554301</v>
      </c>
      <c r="DV27">
        <v>1.77343173431734</v>
      </c>
      <c r="DW27">
        <f t="shared" si="19"/>
        <v>0.67938931297709881</v>
      </c>
      <c r="EC27">
        <v>43.892958064132202</v>
      </c>
      <c r="ED27">
        <v>14.809839641014801</v>
      </c>
      <c r="EE27">
        <f t="shared" si="20"/>
        <v>0.33390660472191031</v>
      </c>
      <c r="EL27">
        <v>42.371164635610803</v>
      </c>
      <c r="EM27">
        <v>4.5492424120083301</v>
      </c>
      <c r="EN27">
        <f t="shared" si="0"/>
        <v>1.2382866159883561</v>
      </c>
      <c r="ET27">
        <v>71.148523041437898</v>
      </c>
      <c r="EU27">
        <v>0.337124659094308</v>
      </c>
      <c r="EV27">
        <f t="shared" si="1"/>
        <v>0.45199499627200718</v>
      </c>
    </row>
    <row r="28" spans="4:152" x14ac:dyDescent="0.25">
      <c r="M28">
        <v>118.53608180909001</v>
      </c>
      <c r="N28">
        <v>0.93303009774508805</v>
      </c>
      <c r="U28">
        <v>26.5148849498933</v>
      </c>
      <c r="V28">
        <v>7.8830391033531697</v>
      </c>
      <c r="W28">
        <f t="shared" si="3"/>
        <v>0.12685462889238172</v>
      </c>
      <c r="X28">
        <f t="shared" si="4"/>
        <v>0.69575720902329741</v>
      </c>
      <c r="AC28">
        <v>16.6446973593964</v>
      </c>
      <c r="AD28">
        <v>3.7883025573912601</v>
      </c>
      <c r="AE28">
        <f t="shared" si="5"/>
        <v>0.26397046826392617</v>
      </c>
      <c r="AF28">
        <f t="shared" si="6"/>
        <v>0.78874145289260311</v>
      </c>
      <c r="AK28">
        <v>34.944768309127397</v>
      </c>
      <c r="AL28">
        <v>0.38415878550646798</v>
      </c>
      <c r="AM28">
        <f t="shared" si="7"/>
        <v>2.6030902786242884</v>
      </c>
      <c r="AN28">
        <f t="shared" si="8"/>
        <v>1.2355443432535782</v>
      </c>
      <c r="AT28">
        <v>64.300540697238105</v>
      </c>
      <c r="AU28">
        <v>0.70777809792878899</v>
      </c>
      <c r="AV28">
        <f t="shared" si="9"/>
        <v>1.1037406362046693</v>
      </c>
      <c r="BB28">
        <v>155.17124084902599</v>
      </c>
      <c r="BC28">
        <v>0.72921085184786705</v>
      </c>
      <c r="BD28">
        <f t="shared" si="10"/>
        <v>1.0240862453274542</v>
      </c>
      <c r="BJ28">
        <v>65.284418313032802</v>
      </c>
      <c r="BK28">
        <v>17.8503234724996</v>
      </c>
      <c r="BL28">
        <f t="shared" si="11"/>
        <v>2.0538628689378027</v>
      </c>
      <c r="BQ28">
        <v>14.354277438565999</v>
      </c>
      <c r="BR28">
        <v>1.43383534087163</v>
      </c>
      <c r="BS28">
        <f t="shared" si="12"/>
        <v>1.5059015517733516</v>
      </c>
      <c r="CA28">
        <v>16.593627970533198</v>
      </c>
      <c r="CB28">
        <v>263.202406070488</v>
      </c>
      <c r="CC28">
        <f t="shared" si="13"/>
        <v>162.23513986510048</v>
      </c>
      <c r="CK28">
        <v>206.178489702517</v>
      </c>
      <c r="CL28">
        <v>1.1487297921477999</v>
      </c>
      <c r="CM28">
        <f t="shared" si="14"/>
        <v>1.1476695892939583</v>
      </c>
      <c r="CT28">
        <v>178.400711924739</v>
      </c>
      <c r="CU28">
        <v>1.1461637156787201</v>
      </c>
      <c r="CV28">
        <f t="shared" si="15"/>
        <v>1.1451058811464929</v>
      </c>
      <c r="DC28">
        <v>150.86206896551701</v>
      </c>
      <c r="DD28">
        <v>15.8260038240917</v>
      </c>
      <c r="DE28">
        <f t="shared" si="16"/>
        <v>6.3187145100882275E-2</v>
      </c>
      <c r="DF28">
        <f t="shared" si="17"/>
        <v>1.0985629733454272</v>
      </c>
      <c r="DU28">
        <v>231.83495471318301</v>
      </c>
      <c r="DV28">
        <v>1.83542435424354</v>
      </c>
      <c r="DW28">
        <f t="shared" si="19"/>
        <v>0.70313825275657327</v>
      </c>
      <c r="EC28">
        <v>44.821376635833303</v>
      </c>
      <c r="ED28">
        <v>15.1737337313472</v>
      </c>
      <c r="EE28">
        <f t="shared" si="20"/>
        <v>0.34211105818842558</v>
      </c>
      <c r="EL28">
        <v>43.780667904467599</v>
      </c>
      <c r="EM28">
        <v>4.5069999830627703</v>
      </c>
      <c r="EN28">
        <f t="shared" si="0"/>
        <v>1.2267883862496964</v>
      </c>
      <c r="ET28">
        <v>73.497695156199299</v>
      </c>
      <c r="EU28">
        <v>0.337124659094308</v>
      </c>
      <c r="EV28">
        <f t="shared" si="1"/>
        <v>0.45199499627200718</v>
      </c>
    </row>
    <row r="29" spans="4:152" x14ac:dyDescent="0.25">
      <c r="M29">
        <v>110.400335494693</v>
      </c>
      <c r="N29">
        <v>0.92946224071744199</v>
      </c>
      <c r="U29">
        <v>27.677725146700201</v>
      </c>
      <c r="V29">
        <v>7.9001396944826796</v>
      </c>
      <c r="W29">
        <f t="shared" si="3"/>
        <v>0.12658004018566693</v>
      </c>
      <c r="X29">
        <f t="shared" si="4"/>
        <v>0.69425117748245968</v>
      </c>
      <c r="AC29">
        <v>16.979595336076802</v>
      </c>
      <c r="AD29">
        <v>3.8067711958111401</v>
      </c>
      <c r="AE29">
        <f t="shared" si="5"/>
        <v>0.26268980943755454</v>
      </c>
      <c r="AF29">
        <f t="shared" si="6"/>
        <v>0.78491485550837548</v>
      </c>
      <c r="AK29">
        <v>38.967903816168302</v>
      </c>
      <c r="AL29">
        <v>0.38764661500748299</v>
      </c>
      <c r="AM29">
        <f t="shared" si="7"/>
        <v>2.5796691143058128</v>
      </c>
      <c r="AN29">
        <f t="shared" si="8"/>
        <v>1.2244275996954568</v>
      </c>
      <c r="AT29">
        <v>61.717504456439997</v>
      </c>
      <c r="AU29">
        <v>0.71479879786012401</v>
      </c>
      <c r="AV29">
        <f t="shared" si="9"/>
        <v>1.1146890278425148</v>
      </c>
      <c r="BB29">
        <v>150.63661280603301</v>
      </c>
      <c r="BC29">
        <v>0.73269021986185301</v>
      </c>
      <c r="BD29">
        <f t="shared" si="10"/>
        <v>1.0289725863857722</v>
      </c>
      <c r="BJ29">
        <v>59.939504384688398</v>
      </c>
      <c r="BK29">
        <v>18.727688922074499</v>
      </c>
      <c r="BL29">
        <f t="shared" si="11"/>
        <v>2.1548127661285719</v>
      </c>
      <c r="BQ29">
        <v>14.7936750857956</v>
      </c>
      <c r="BR29">
        <v>1.4073754061506301</v>
      </c>
      <c r="BS29">
        <f t="shared" si="12"/>
        <v>1.4781117103457071</v>
      </c>
      <c r="CA29">
        <v>17.0479261054269</v>
      </c>
      <c r="CB29">
        <v>238.12861947655901</v>
      </c>
      <c r="CC29">
        <f t="shared" si="13"/>
        <v>146.7799267622068</v>
      </c>
      <c r="CK29">
        <v>201.601830663615</v>
      </c>
      <c r="CL29">
        <v>1.15427251732101</v>
      </c>
      <c r="CM29">
        <f t="shared" si="14"/>
        <v>1.1532071988924817</v>
      </c>
      <c r="CT29">
        <v>173.31553521484801</v>
      </c>
      <c r="CU29">
        <v>1.1512958686168799</v>
      </c>
      <c r="CV29">
        <f t="shared" si="15"/>
        <v>1.1502332974414242</v>
      </c>
      <c r="DC29">
        <v>143.96551724137899</v>
      </c>
      <c r="DD29">
        <v>15.7571701720841</v>
      </c>
      <c r="DE29">
        <f t="shared" si="16"/>
        <v>6.3463171945152413E-2</v>
      </c>
      <c r="DF29">
        <f t="shared" si="17"/>
        <v>1.1033619379177373</v>
      </c>
      <c r="DU29">
        <v>237.93134294979299</v>
      </c>
      <c r="DV29">
        <v>1.9062730627306299</v>
      </c>
      <c r="DW29">
        <f t="shared" si="19"/>
        <v>0.73027989821883144</v>
      </c>
      <c r="EC29">
        <v>47.125176899667402</v>
      </c>
      <c r="ED29">
        <v>15.807961464616</v>
      </c>
      <c r="EE29">
        <f t="shared" si="20"/>
        <v>0.35641052625624775</v>
      </c>
      <c r="EL29">
        <v>44.767320192667398</v>
      </c>
      <c r="EM29">
        <v>4.4694511573333902</v>
      </c>
      <c r="EN29">
        <f t="shared" si="0"/>
        <v>1.2165677375931119</v>
      </c>
      <c r="ET29">
        <v>75.142115636532196</v>
      </c>
      <c r="EU29">
        <v>0.337124659094308</v>
      </c>
      <c r="EV29">
        <f t="shared" si="1"/>
        <v>0.45199499627200718</v>
      </c>
    </row>
    <row r="30" spans="4:152" x14ac:dyDescent="0.25">
      <c r="M30">
        <v>102.264589180296</v>
      </c>
      <c r="N30">
        <v>0.92589438368979604</v>
      </c>
      <c r="U30">
        <v>29.538269461591199</v>
      </c>
      <c r="V30">
        <v>7.9215154333945801</v>
      </c>
      <c r="W30">
        <f t="shared" si="3"/>
        <v>0.12623847146523495</v>
      </c>
      <c r="X30">
        <f t="shared" si="4"/>
        <v>0.69237778191390675</v>
      </c>
      <c r="AC30">
        <v>17.984289266117901</v>
      </c>
      <c r="AD30">
        <v>3.8252398342310099</v>
      </c>
      <c r="AE30">
        <f t="shared" si="5"/>
        <v>0.26142151690758775</v>
      </c>
      <c r="AF30">
        <f t="shared" si="6"/>
        <v>0.78112520850976253</v>
      </c>
      <c r="AK30">
        <v>42.994072218427398</v>
      </c>
      <c r="AL30">
        <v>0.39356076068311802</v>
      </c>
      <c r="AM30">
        <f t="shared" si="7"/>
        <v>2.5409037178001763</v>
      </c>
      <c r="AN30">
        <f t="shared" si="8"/>
        <v>1.2060277897619212</v>
      </c>
      <c r="AT30">
        <v>58.434141337351797</v>
      </c>
      <c r="AU30">
        <v>0.72904981089126497</v>
      </c>
      <c r="AV30">
        <f t="shared" si="9"/>
        <v>1.1369126912132557</v>
      </c>
      <c r="BB30">
        <v>147.20149679939399</v>
      </c>
      <c r="BC30">
        <v>0.73269021986185301</v>
      </c>
      <c r="BD30">
        <f t="shared" si="10"/>
        <v>1.0289725863857722</v>
      </c>
      <c r="BJ30">
        <v>56.6216107843088</v>
      </c>
      <c r="BK30">
        <v>19.380659049627202</v>
      </c>
      <c r="BL30">
        <f t="shared" si="11"/>
        <v>2.2299436791101885</v>
      </c>
      <c r="BQ30">
        <v>15.246523099525101</v>
      </c>
      <c r="BR30">
        <v>1.4073754061506301</v>
      </c>
      <c r="BS30">
        <f t="shared" si="12"/>
        <v>1.4781117103457071</v>
      </c>
      <c r="CA30">
        <v>17.752800071804</v>
      </c>
      <c r="CB30">
        <v>215.443469003188</v>
      </c>
      <c r="CC30">
        <f t="shared" si="13"/>
        <v>132.79704334235473</v>
      </c>
      <c r="CK30">
        <v>197.48283752860399</v>
      </c>
      <c r="CL30">
        <v>1.1635103926096899</v>
      </c>
      <c r="CM30">
        <f t="shared" si="14"/>
        <v>1.1624365482233503</v>
      </c>
      <c r="CT30">
        <v>167.912534960589</v>
      </c>
      <c r="CU30">
        <v>1.15899409802412</v>
      </c>
      <c r="CV30">
        <f t="shared" si="15"/>
        <v>1.1579244218838214</v>
      </c>
      <c r="DC30">
        <v>130.747126436781</v>
      </c>
      <c r="DD30">
        <v>15.608030592734201</v>
      </c>
      <c r="DE30">
        <f t="shared" si="16"/>
        <v>6.4069582261423605E-2</v>
      </c>
      <c r="DF30">
        <f t="shared" si="17"/>
        <v>1.1139049038809348</v>
      </c>
      <c r="DU30">
        <v>275.10455104550999</v>
      </c>
      <c r="DV30">
        <v>2.3092250922509199</v>
      </c>
      <c r="DW30">
        <f t="shared" si="19"/>
        <v>0.88464800678541144</v>
      </c>
      <c r="EC30">
        <v>49.4289771635016</v>
      </c>
      <c r="ED30">
        <v>16.4421891978849</v>
      </c>
      <c r="EE30">
        <f t="shared" si="20"/>
        <v>0.3707099943240722</v>
      </c>
      <c r="EL30">
        <v>45.753972480867198</v>
      </c>
      <c r="EM30">
        <v>4.4342491332120897</v>
      </c>
      <c r="EN30">
        <f t="shared" si="0"/>
        <v>1.2069858794775621</v>
      </c>
      <c r="ET30">
        <v>76.434160299650998</v>
      </c>
      <c r="EU30">
        <v>0.34103599510778698</v>
      </c>
      <c r="EV30">
        <f t="shared" si="1"/>
        <v>0.45723906329332953</v>
      </c>
    </row>
    <row r="31" spans="4:152" x14ac:dyDescent="0.25">
      <c r="M31">
        <v>93.232039743217499</v>
      </c>
      <c r="N31">
        <v>0.92232975257266303</v>
      </c>
      <c r="U31">
        <v>31.3988137764822</v>
      </c>
      <c r="V31">
        <v>7.9257905811769502</v>
      </c>
      <c r="W31">
        <f t="shared" si="3"/>
        <v>0.12617037881052665</v>
      </c>
      <c r="X31">
        <f t="shared" si="4"/>
        <v>0.69200431540497054</v>
      </c>
      <c r="AC31">
        <v>18.988983196159101</v>
      </c>
      <c r="AD31">
        <v>3.8313960470376398</v>
      </c>
      <c r="AE31">
        <f t="shared" si="5"/>
        <v>0.26100146988802692</v>
      </c>
      <c r="AF31">
        <f t="shared" si="6"/>
        <v>0.77987011168521791</v>
      </c>
      <c r="AK31">
        <v>40.584436967508402</v>
      </c>
      <c r="AL31">
        <v>0.39486490562697601</v>
      </c>
      <c r="AM31">
        <f t="shared" si="7"/>
        <v>2.5325117166646551</v>
      </c>
      <c r="AN31">
        <f t="shared" si="8"/>
        <v>1.2020445665841792</v>
      </c>
      <c r="AT31">
        <v>56.086765978799299</v>
      </c>
      <c r="AU31">
        <v>0.72904981089126497</v>
      </c>
      <c r="AV31">
        <f t="shared" si="9"/>
        <v>1.1369126912132557</v>
      </c>
      <c r="BB31">
        <v>144.31952755236199</v>
      </c>
      <c r="BC31">
        <v>0.72574800650806004</v>
      </c>
      <c r="BD31">
        <f t="shared" si="10"/>
        <v>1.0192231083167991</v>
      </c>
      <c r="BJ31">
        <v>53.997432949671797</v>
      </c>
      <c r="BK31">
        <v>20.056396000638401</v>
      </c>
      <c r="BL31">
        <f t="shared" si="11"/>
        <v>2.3076941487299303</v>
      </c>
      <c r="BQ31">
        <v>15.772567643707401</v>
      </c>
      <c r="BR31">
        <v>1.4073754061506301</v>
      </c>
      <c r="BS31">
        <f t="shared" si="12"/>
        <v>1.4781117103457071</v>
      </c>
      <c r="CA31">
        <v>18.362407403096501</v>
      </c>
      <c r="CB31">
        <v>194.919402960285</v>
      </c>
      <c r="CC31">
        <f t="shared" si="13"/>
        <v>120.1462291846027</v>
      </c>
      <c r="CK31">
        <v>192.44851258581201</v>
      </c>
      <c r="CL31">
        <v>1.17274826789838</v>
      </c>
      <c r="CM31">
        <f t="shared" si="14"/>
        <v>1.1716658975542289</v>
      </c>
      <c r="CT31">
        <v>163.145181795067</v>
      </c>
      <c r="CU31">
        <v>1.1666923274313501</v>
      </c>
      <c r="CV31">
        <f t="shared" si="15"/>
        <v>1.1656155463262088</v>
      </c>
      <c r="DC31">
        <v>118.67816091954001</v>
      </c>
      <c r="DD31">
        <v>15.4933078393881</v>
      </c>
      <c r="DE31">
        <f t="shared" si="16"/>
        <v>6.4543996050845556E-2</v>
      </c>
      <c r="DF31">
        <f t="shared" si="17"/>
        <v>1.1221529964679848</v>
      </c>
      <c r="DU31">
        <v>293.68109135636797</v>
      </c>
      <c r="DV31">
        <v>2.4907749077490799</v>
      </c>
      <c r="DW31">
        <f t="shared" si="19"/>
        <v>0.95419847328244489</v>
      </c>
      <c r="EC31">
        <v>50.815856299247002</v>
      </c>
      <c r="ED31">
        <v>16.8961945025295</v>
      </c>
      <c r="EE31">
        <f t="shared" si="20"/>
        <v>0.38094611932435801</v>
      </c>
      <c r="EL31">
        <v>46.881575095952698</v>
      </c>
      <c r="EM31">
        <v>4.3990471090907901</v>
      </c>
      <c r="EN31">
        <f t="shared" si="0"/>
        <v>1.1974040213620125</v>
      </c>
      <c r="ET31">
        <v>77.491287751293598</v>
      </c>
      <c r="EU31">
        <v>0.342991663114524</v>
      </c>
      <c r="EV31">
        <f t="shared" si="1"/>
        <v>0.4598610968039874</v>
      </c>
    </row>
    <row r="32" spans="4:152" x14ac:dyDescent="0.25">
      <c r="M32">
        <v>82.392980418723198</v>
      </c>
      <c r="N32">
        <v>0.91805219523210402</v>
      </c>
      <c r="U32">
        <v>33.957062209457398</v>
      </c>
      <c r="V32">
        <v>7.9343408767417101</v>
      </c>
      <c r="W32">
        <f t="shared" si="3"/>
        <v>0.12603441363747617</v>
      </c>
      <c r="X32">
        <f t="shared" si="4"/>
        <v>0.69125858976490562</v>
      </c>
      <c r="AC32">
        <v>19.658779149519901</v>
      </c>
      <c r="AD32">
        <v>3.84986468545751</v>
      </c>
      <c r="AE32">
        <f t="shared" si="5"/>
        <v>0.2597493890570759</v>
      </c>
      <c r="AF32">
        <f t="shared" si="6"/>
        <v>0.77612890510162424</v>
      </c>
      <c r="AK32">
        <v>36.562817908076703</v>
      </c>
      <c r="AL32">
        <v>0.39259023421327099</v>
      </c>
      <c r="AM32">
        <f t="shared" si="7"/>
        <v>2.5471851127523446</v>
      </c>
      <c r="AN32">
        <f t="shared" si="8"/>
        <v>1.2090092238153702</v>
      </c>
      <c r="AT32">
        <v>53.102957406084002</v>
      </c>
      <c r="AU32">
        <v>0.72904981089126497</v>
      </c>
      <c r="AV32">
        <f t="shared" si="9"/>
        <v>1.1369126912132557</v>
      </c>
      <c r="BB32">
        <v>140.56448151666001</v>
      </c>
      <c r="BC32">
        <v>0.72574800650806004</v>
      </c>
      <c r="BD32">
        <f t="shared" si="10"/>
        <v>1.0192231083167991</v>
      </c>
      <c r="BJ32">
        <v>50.526633751709802</v>
      </c>
      <c r="BK32">
        <v>21.042192640181799</v>
      </c>
      <c r="BL32">
        <f t="shared" si="11"/>
        <v>2.4211201668859101</v>
      </c>
      <c r="BQ32">
        <v>16.133309066094402</v>
      </c>
      <c r="BR32">
        <v>1.4073754061506301</v>
      </c>
      <c r="BS32">
        <f t="shared" si="12"/>
        <v>1.4781117103457071</v>
      </c>
      <c r="CA32">
        <v>18.992947832089801</v>
      </c>
      <c r="CB32">
        <v>176.35054720471399</v>
      </c>
      <c r="CC32">
        <f t="shared" si="13"/>
        <v>108.70058567542765</v>
      </c>
      <c r="CK32">
        <v>186.49885583523999</v>
      </c>
      <c r="CL32">
        <v>1.1838337182448</v>
      </c>
      <c r="CM32">
        <f t="shared" si="14"/>
        <v>1.1827411167512754</v>
      </c>
      <c r="CT32">
        <v>158.06000508517599</v>
      </c>
      <c r="CU32">
        <v>1.1756735950731301</v>
      </c>
      <c r="CV32">
        <f t="shared" si="15"/>
        <v>1.1745885248423387</v>
      </c>
      <c r="DC32">
        <v>112.93103448275799</v>
      </c>
      <c r="DD32">
        <v>15.4130019120458</v>
      </c>
      <c r="DE32">
        <f t="shared" si="16"/>
        <v>6.4880287805483564E-2</v>
      </c>
      <c r="DF32">
        <f t="shared" si="17"/>
        <v>1.1279997184443751</v>
      </c>
      <c r="DU32">
        <v>300.40814044503998</v>
      </c>
      <c r="DV32">
        <v>2.6103321033210301</v>
      </c>
      <c r="DW32">
        <f t="shared" si="19"/>
        <v>1</v>
      </c>
      <c r="EC32">
        <v>53.102410397662503</v>
      </c>
      <c r="ED32">
        <v>17.254914743236299</v>
      </c>
      <c r="EE32">
        <f t="shared" si="20"/>
        <v>0.38903392179371854</v>
      </c>
      <c r="EL32">
        <v>48.009177711038099</v>
      </c>
      <c r="EM32">
        <v>4.3591514817533197</v>
      </c>
      <c r="EN32">
        <f t="shared" si="0"/>
        <v>1.1865445821643903</v>
      </c>
      <c r="ET32">
        <v>79.370625443102696</v>
      </c>
      <c r="EU32">
        <v>0.34103599510778698</v>
      </c>
      <c r="EV32">
        <f t="shared" si="1"/>
        <v>0.45723906329332953</v>
      </c>
    </row>
    <row r="33" spans="13:152" x14ac:dyDescent="0.25">
      <c r="M33">
        <v>67.966708603503307</v>
      </c>
      <c r="N33">
        <v>0.91378754153359698</v>
      </c>
      <c r="U33">
        <v>34.887334366902898</v>
      </c>
      <c r="V33">
        <v>7.9343408767417101</v>
      </c>
      <c r="W33">
        <f t="shared" si="3"/>
        <v>0.12603441363747617</v>
      </c>
      <c r="X33">
        <f t="shared" si="4"/>
        <v>0.69125858976490562</v>
      </c>
      <c r="AC33">
        <v>20.9983710562414</v>
      </c>
      <c r="AD33">
        <v>3.85602089826414</v>
      </c>
      <c r="AE33">
        <f t="shared" si="5"/>
        <v>0.25933469407548304</v>
      </c>
      <c r="AF33">
        <f t="shared" si="6"/>
        <v>0.77488980011976782</v>
      </c>
      <c r="AK33">
        <v>43.806888136924897</v>
      </c>
      <c r="AL33">
        <v>0.40080938025479401</v>
      </c>
      <c r="AM33">
        <f t="shared" si="7"/>
        <v>2.4949515886187625</v>
      </c>
      <c r="AN33">
        <f t="shared" si="8"/>
        <v>1.1842168315570605</v>
      </c>
      <c r="AT33">
        <v>48.922221863924598</v>
      </c>
      <c r="AU33">
        <v>0.72904981089126497</v>
      </c>
      <c r="AV33">
        <f t="shared" si="9"/>
        <v>1.1369126912132557</v>
      </c>
      <c r="BB33">
        <v>137.35905030423299</v>
      </c>
      <c r="BC33">
        <v>0.73269021986185301</v>
      </c>
      <c r="BD33">
        <f t="shared" si="10"/>
        <v>1.0289725863857722</v>
      </c>
      <c r="BJ33">
        <v>47.729780549561198</v>
      </c>
      <c r="BK33">
        <v>22.0764424023352</v>
      </c>
      <c r="BL33">
        <f t="shared" si="11"/>
        <v>2.5401212139519309</v>
      </c>
      <c r="BQ33">
        <v>16.627164509254801</v>
      </c>
      <c r="BR33">
        <v>1.3943291148341499</v>
      </c>
      <c r="BS33">
        <f t="shared" si="12"/>
        <v>1.4644096974448173</v>
      </c>
      <c r="CA33">
        <v>19.645140173268</v>
      </c>
      <c r="CB33">
        <v>159.550640044483</v>
      </c>
      <c r="CC33">
        <f t="shared" si="13"/>
        <v>98.345303105819013</v>
      </c>
      <c r="CK33">
        <v>181.922196796338</v>
      </c>
      <c r="CL33">
        <v>1.1949191685912199</v>
      </c>
      <c r="CM33">
        <f t="shared" si="14"/>
        <v>1.1938163359483216</v>
      </c>
      <c r="CT33">
        <v>152.97482837528599</v>
      </c>
      <c r="CU33">
        <v>1.18208878624583</v>
      </c>
      <c r="CV33">
        <f t="shared" si="15"/>
        <v>1.1809977952110031</v>
      </c>
      <c r="DC33">
        <v>107.758620689655</v>
      </c>
      <c r="DD33">
        <v>15.3326959847036</v>
      </c>
      <c r="DE33">
        <f t="shared" si="16"/>
        <v>6.5220102257139437E-2</v>
      </c>
      <c r="DF33">
        <f t="shared" si="17"/>
        <v>1.1339076855443415</v>
      </c>
      <c r="EC33">
        <v>54.959247541064698</v>
      </c>
      <c r="ED33">
        <v>17.982702923901002</v>
      </c>
      <c r="EE33">
        <f t="shared" si="20"/>
        <v>0.40544282872674703</v>
      </c>
      <c r="EL33">
        <v>48.713929345466497</v>
      </c>
      <c r="EM33">
        <v>4.3309898624562804</v>
      </c>
      <c r="EN33">
        <f t="shared" si="0"/>
        <v>1.1788790956719506</v>
      </c>
      <c r="ET33">
        <v>81.484880346387996</v>
      </c>
      <c r="EU33">
        <v>0.34103599510778698</v>
      </c>
      <c r="EV33">
        <f t="shared" si="1"/>
        <v>0.45723906329332953</v>
      </c>
    </row>
    <row r="34" spans="13:152" x14ac:dyDescent="0.25">
      <c r="M34">
        <v>49.966127939610899</v>
      </c>
      <c r="N34">
        <v>0.91025516952159702</v>
      </c>
      <c r="U34">
        <v>36.050174563709803</v>
      </c>
      <c r="V34">
        <v>7.9599917634359798</v>
      </c>
      <c r="W34">
        <f t="shared" si="3"/>
        <v>0.12562827069664501</v>
      </c>
      <c r="X34">
        <f t="shared" si="4"/>
        <v>0.68903102517822479</v>
      </c>
      <c r="AC34">
        <v>22.6728609396433</v>
      </c>
      <c r="AD34">
        <v>3.8868019622972598</v>
      </c>
      <c r="AE34">
        <f t="shared" si="5"/>
        <v>0.25728092393185858</v>
      </c>
      <c r="AF34">
        <f t="shared" si="6"/>
        <v>0.76875315287417445</v>
      </c>
      <c r="AK34">
        <v>47.024789963514003</v>
      </c>
      <c r="AL34">
        <v>0.403114380620682</v>
      </c>
      <c r="AM34">
        <f t="shared" si="7"/>
        <v>2.4806855028597172</v>
      </c>
      <c r="AN34">
        <f t="shared" si="8"/>
        <v>1.177445502224113</v>
      </c>
      <c r="AT34">
        <v>47.603110078819903</v>
      </c>
      <c r="AU34">
        <v>0.74358494775280704</v>
      </c>
      <c r="AV34">
        <f t="shared" si="9"/>
        <v>1.1595794299182649</v>
      </c>
      <c r="BB34">
        <v>133.785108745109</v>
      </c>
      <c r="BC34">
        <v>0.74677450104368903</v>
      </c>
      <c r="BD34">
        <f t="shared" si="10"/>
        <v>1.0487522133579881</v>
      </c>
      <c r="BJ34">
        <v>44.8742909514364</v>
      </c>
      <c r="BK34">
        <v>22.846172050843499</v>
      </c>
      <c r="BL34">
        <f t="shared" si="11"/>
        <v>2.6286865078317492</v>
      </c>
      <c r="BQ34">
        <v>17.0716733069608</v>
      </c>
      <c r="BR34">
        <v>1.3943291148341499</v>
      </c>
      <c r="BS34">
        <f t="shared" si="12"/>
        <v>1.4644096974448173</v>
      </c>
      <c r="CA34">
        <v>20.319727924239999</v>
      </c>
      <c r="CB34">
        <v>146.779926762207</v>
      </c>
      <c r="CC34">
        <f t="shared" si="13"/>
        <v>90.473572423492797</v>
      </c>
      <c r="CK34">
        <v>178.26086956521701</v>
      </c>
      <c r="CL34">
        <v>1.20230946882217</v>
      </c>
      <c r="CM34">
        <f t="shared" si="14"/>
        <v>1.2011998154130226</v>
      </c>
      <c r="CT34">
        <v>147.88965166539501</v>
      </c>
      <c r="CU34">
        <v>1.18850397741852</v>
      </c>
      <c r="CV34">
        <f t="shared" si="15"/>
        <v>1.1874070655796574</v>
      </c>
      <c r="DC34">
        <v>103.735632183908</v>
      </c>
      <c r="DD34">
        <v>15.2753346080305</v>
      </c>
      <c r="DE34">
        <f t="shared" si="16"/>
        <v>6.5465014394793242E-2</v>
      </c>
      <c r="DF34">
        <f t="shared" si="17"/>
        <v>1.1381656941269385</v>
      </c>
      <c r="EC34">
        <v>56.793089797242096</v>
      </c>
      <c r="ED34">
        <v>18.3431477811497</v>
      </c>
      <c r="EE34">
        <f t="shared" si="20"/>
        <v>0.41356951486182653</v>
      </c>
      <c r="EL34">
        <v>50.546283594980402</v>
      </c>
      <c r="EM34">
        <v>4.2605858142136803</v>
      </c>
      <c r="EN34">
        <f t="shared" si="0"/>
        <v>1.1597153794408512</v>
      </c>
      <c r="ET34">
        <v>83.951511066887406</v>
      </c>
      <c r="EU34">
        <v>0.34690299912800299</v>
      </c>
      <c r="EV34">
        <f t="shared" si="1"/>
        <v>0.46510516382530975</v>
      </c>
    </row>
    <row r="35" spans="13:152" x14ac:dyDescent="0.25">
      <c r="M35">
        <v>40.972289428691198</v>
      </c>
      <c r="N35">
        <v>0.90884867253782298</v>
      </c>
      <c r="U35">
        <v>34.654766327541502</v>
      </c>
      <c r="V35">
        <v>7.9642669112183597</v>
      </c>
      <c r="W35">
        <f t="shared" si="3"/>
        <v>0.12556083455608619</v>
      </c>
      <c r="X35">
        <f t="shared" si="4"/>
        <v>0.68866115944015771</v>
      </c>
      <c r="AC35">
        <v>23.342656893004101</v>
      </c>
      <c r="AD35">
        <v>3.8991143879105099</v>
      </c>
      <c r="AE35">
        <f t="shared" si="5"/>
        <v>0.25646849528205001</v>
      </c>
      <c r="AF35">
        <f t="shared" si="6"/>
        <v>0.76632562316664332</v>
      </c>
      <c r="AK35">
        <v>49.842349621290801</v>
      </c>
      <c r="AL35">
        <v>0.40664770354997198</v>
      </c>
      <c r="AM35">
        <f t="shared" si="7"/>
        <v>2.4591310642360784</v>
      </c>
      <c r="AN35">
        <f t="shared" si="8"/>
        <v>1.1672147910835382</v>
      </c>
      <c r="AT35">
        <v>44.763694787494103</v>
      </c>
      <c r="AU35">
        <v>0.74358494775280704</v>
      </c>
      <c r="AV35">
        <f t="shared" si="9"/>
        <v>1.1595794299182649</v>
      </c>
      <c r="BB35">
        <v>129.875455754444</v>
      </c>
      <c r="BC35">
        <v>0.74322825019693695</v>
      </c>
      <c r="BD35">
        <f t="shared" si="10"/>
        <v>1.0437719436521318</v>
      </c>
      <c r="BJ35">
        <v>41.593266567243099</v>
      </c>
      <c r="BK35">
        <v>24.299944472980599</v>
      </c>
      <c r="BL35">
        <f t="shared" si="11"/>
        <v>2.7959579414454421</v>
      </c>
      <c r="BQ35">
        <v>17.528065554254901</v>
      </c>
      <c r="BR35">
        <v>1.3943291148341499</v>
      </c>
      <c r="BS35">
        <f t="shared" si="12"/>
        <v>1.4644096974448173</v>
      </c>
      <c r="CA35">
        <v>30.264842378853299</v>
      </c>
      <c r="CB35">
        <v>55.766939578393703</v>
      </c>
      <c r="CC35">
        <f t="shared" si="13"/>
        <v>34.374143372862427</v>
      </c>
      <c r="CK35">
        <v>174.59954233409599</v>
      </c>
      <c r="CL35">
        <v>1.2096997690531099</v>
      </c>
      <c r="CM35">
        <f t="shared" si="14"/>
        <v>1.2085832948777135</v>
      </c>
      <c r="CT35">
        <v>142.80447495550399</v>
      </c>
      <c r="CU35">
        <v>1.1974852450603</v>
      </c>
      <c r="CV35">
        <f t="shared" si="15"/>
        <v>1.1963800440957875</v>
      </c>
      <c r="DC35">
        <v>102.01149425287301</v>
      </c>
      <c r="DD35">
        <v>15.217973231357499</v>
      </c>
      <c r="DE35">
        <f t="shared" si="16"/>
        <v>6.5711772835783624E-2</v>
      </c>
      <c r="DF35">
        <f t="shared" si="17"/>
        <v>1.1424558022842175</v>
      </c>
      <c r="EC35">
        <v>59.073895173851497</v>
      </c>
      <c r="ED35">
        <v>18.6100321910025</v>
      </c>
      <c r="EE35">
        <f t="shared" si="20"/>
        <v>0.41958676213169993</v>
      </c>
      <c r="EL35">
        <v>51.955786863837297</v>
      </c>
      <c r="EM35">
        <v>4.2206901868762099</v>
      </c>
      <c r="EN35">
        <f t="shared" si="0"/>
        <v>1.1488559402432288</v>
      </c>
      <c r="ET35">
        <v>85.713390152958496</v>
      </c>
      <c r="EU35">
        <v>0.34690299912800299</v>
      </c>
      <c r="EV35">
        <f t="shared" si="1"/>
        <v>0.46510516382530975</v>
      </c>
    </row>
    <row r="36" spans="13:152" x14ac:dyDescent="0.25">
      <c r="M36">
        <v>36.488273815284302</v>
      </c>
      <c r="N36">
        <v>0.90886480209039</v>
      </c>
      <c r="U36">
        <v>38.608422996684901</v>
      </c>
      <c r="V36">
        <v>7.9770923545654897</v>
      </c>
      <c r="W36">
        <f t="shared" si="3"/>
        <v>0.1253589598254651</v>
      </c>
      <c r="X36">
        <f t="shared" si="4"/>
        <v>0.68755394088317145</v>
      </c>
      <c r="AC36">
        <v>25.686942729766798</v>
      </c>
      <c r="AD36">
        <v>3.9175830263303801</v>
      </c>
      <c r="AE36">
        <f t="shared" si="5"/>
        <v>0.25525942737624763</v>
      </c>
      <c r="AF36">
        <f t="shared" si="6"/>
        <v>0.76271293882759483</v>
      </c>
      <c r="AK36">
        <v>53.865485128331699</v>
      </c>
      <c r="AL36">
        <v>0.41013553305098699</v>
      </c>
      <c r="AM36">
        <f t="shared" si="7"/>
        <v>2.438218392249575</v>
      </c>
      <c r="AN36">
        <f t="shared" si="8"/>
        <v>1.1572886914060052</v>
      </c>
      <c r="AT36">
        <v>42.672879249407302</v>
      </c>
      <c r="AU36">
        <v>0.74358494775280704</v>
      </c>
      <c r="AV36">
        <f t="shared" si="9"/>
        <v>1.1595794299182649</v>
      </c>
      <c r="BB36">
        <v>127.33270260609299</v>
      </c>
      <c r="BC36">
        <v>0.73969883963470295</v>
      </c>
      <c r="BD36">
        <f t="shared" si="10"/>
        <v>1.0388153240382874</v>
      </c>
      <c r="BJ36">
        <v>38.735518178844998</v>
      </c>
      <c r="BK36">
        <v>25.6696678049762</v>
      </c>
      <c r="BL36">
        <f t="shared" si="11"/>
        <v>2.9535586648518057</v>
      </c>
      <c r="BQ36">
        <v>17.928957751554002</v>
      </c>
      <c r="BR36">
        <v>1.3814037619086601</v>
      </c>
      <c r="BS36">
        <f t="shared" si="12"/>
        <v>1.4508347014373393</v>
      </c>
      <c r="CA36">
        <v>40.188849331102503</v>
      </c>
      <c r="CB36">
        <v>30.5849127823281</v>
      </c>
      <c r="CC36">
        <f t="shared" si="13"/>
        <v>18.85221217040867</v>
      </c>
      <c r="CK36">
        <v>170.938215102974</v>
      </c>
      <c r="CL36">
        <v>1.21709006928406</v>
      </c>
      <c r="CM36">
        <f t="shared" si="14"/>
        <v>1.2159667743424145</v>
      </c>
      <c r="CT36">
        <v>137.719298245614</v>
      </c>
      <c r="CU36">
        <v>1.2039004362329899</v>
      </c>
      <c r="CV36">
        <f t="shared" si="15"/>
        <v>1.2027893144644417</v>
      </c>
      <c r="DC36">
        <v>97.413793103448299</v>
      </c>
      <c r="DD36">
        <v>15.1491395793499</v>
      </c>
      <c r="DE36">
        <f t="shared" si="16"/>
        <v>6.601034961504483E-2</v>
      </c>
      <c r="DF36">
        <f t="shared" si="17"/>
        <v>1.1476468169102687</v>
      </c>
      <c r="EC36">
        <v>61.366197994073197</v>
      </c>
      <c r="ED36">
        <v>19.0605882625633</v>
      </c>
      <c r="EE36">
        <f t="shared" si="20"/>
        <v>0.42974511980054775</v>
      </c>
      <c r="EL36">
        <v>53.788141113351202</v>
      </c>
      <c r="EM36">
        <v>4.1878349643629997</v>
      </c>
      <c r="EN36">
        <f t="shared" si="0"/>
        <v>1.1399128726687167</v>
      </c>
      <c r="ET36">
        <v>87.240352027553399</v>
      </c>
      <c r="EU36">
        <v>0.34690299912800299</v>
      </c>
      <c r="EV36">
        <f t="shared" si="1"/>
        <v>0.46510516382530975</v>
      </c>
    </row>
    <row r="37" spans="13:152" x14ac:dyDescent="0.25">
      <c r="M37">
        <v>29.300945191780301</v>
      </c>
      <c r="N37">
        <v>0.90817123133004296</v>
      </c>
      <c r="U37">
        <v>40.468967311575902</v>
      </c>
      <c r="V37">
        <v>7.9770923545654897</v>
      </c>
      <c r="W37">
        <f t="shared" si="3"/>
        <v>0.1253589598254651</v>
      </c>
      <c r="X37">
        <f t="shared" si="4"/>
        <v>0.68755394088317145</v>
      </c>
      <c r="AC37">
        <v>26.356738683127499</v>
      </c>
      <c r="AD37">
        <v>3.9360516647502601</v>
      </c>
      <c r="AE37">
        <f t="shared" si="5"/>
        <v>0.25406170578389736</v>
      </c>
      <c r="AF37">
        <f t="shared" si="6"/>
        <v>0.75913415717400978</v>
      </c>
      <c r="AK37">
        <v>55.879327553265803</v>
      </c>
      <c r="AL37">
        <v>0.41369918493246</v>
      </c>
      <c r="AM37">
        <f t="shared" si="7"/>
        <v>2.4172153014109967</v>
      </c>
      <c r="AN37">
        <f t="shared" si="8"/>
        <v>1.1473196748530485</v>
      </c>
      <c r="AT37">
        <v>40.958654261480397</v>
      </c>
      <c r="AU37">
        <v>0.74358494775280704</v>
      </c>
      <c r="AV37">
        <f t="shared" si="9"/>
        <v>1.1595794299182649</v>
      </c>
      <c r="BB37">
        <v>124.019636327085</v>
      </c>
      <c r="BC37">
        <v>0.74677450104368903</v>
      </c>
      <c r="BD37">
        <f t="shared" si="10"/>
        <v>1.0487522133579881</v>
      </c>
      <c r="BJ37">
        <v>35.903335720147297</v>
      </c>
      <c r="BK37">
        <v>26.747393924642399</v>
      </c>
      <c r="BL37">
        <f t="shared" si="11"/>
        <v>3.0775621129392854</v>
      </c>
      <c r="BQ37">
        <v>18.3390189329238</v>
      </c>
      <c r="BR37">
        <v>1.3814037619086601</v>
      </c>
      <c r="BS37">
        <f t="shared" si="12"/>
        <v>1.4508347014373393</v>
      </c>
      <c r="CA37">
        <v>50.220353502152101</v>
      </c>
      <c r="CB37">
        <v>20.4924650420086</v>
      </c>
      <c r="CC37">
        <f t="shared" si="13"/>
        <v>12.631335639768391</v>
      </c>
      <c r="CK37">
        <v>165.90389016018301</v>
      </c>
      <c r="CL37">
        <v>1.2244803695150099</v>
      </c>
      <c r="CM37">
        <f t="shared" si="14"/>
        <v>1.2233502538071153</v>
      </c>
      <c r="CT37">
        <v>132.63412153572301</v>
      </c>
      <c r="CU37">
        <v>1.2128817038747699</v>
      </c>
      <c r="CV37">
        <f t="shared" si="15"/>
        <v>1.2117622929805718</v>
      </c>
      <c r="DC37">
        <v>94.540229885057499</v>
      </c>
      <c r="DD37">
        <v>15.0803059273422</v>
      </c>
      <c r="DE37">
        <f t="shared" si="16"/>
        <v>6.6311652085710909E-2</v>
      </c>
      <c r="DF37">
        <f t="shared" si="17"/>
        <v>1.1528852200304411</v>
      </c>
      <c r="EC37">
        <v>62.770323295237297</v>
      </c>
      <c r="ED37">
        <v>19.790101059769899</v>
      </c>
      <c r="EE37">
        <f t="shared" si="20"/>
        <v>0.4461929103992951</v>
      </c>
      <c r="EL37">
        <v>55.902396016636402</v>
      </c>
      <c r="EM37">
        <v>4.1502861386336098</v>
      </c>
      <c r="EN37">
        <f t="shared" si="0"/>
        <v>1.1296922240121294</v>
      </c>
      <c r="ET37">
        <v>89.119689719362498</v>
      </c>
      <c r="EU37">
        <v>0.34494733112126402</v>
      </c>
      <c r="EV37">
        <f t="shared" si="1"/>
        <v>0.46248313031464927</v>
      </c>
    </row>
    <row r="38" spans="13:152" x14ac:dyDescent="0.25">
      <c r="M38">
        <v>25.713732701054798</v>
      </c>
      <c r="N38">
        <v>0.90818413497209505</v>
      </c>
      <c r="U38">
        <v>43.0272157445511</v>
      </c>
      <c r="V38">
        <v>7.9856426501302504</v>
      </c>
      <c r="W38">
        <f t="shared" si="3"/>
        <v>0.12522473692003855</v>
      </c>
      <c r="X38">
        <f t="shared" si="4"/>
        <v>0.68681777102573716</v>
      </c>
      <c r="AC38">
        <v>28.366126543209798</v>
      </c>
      <c r="AD38">
        <v>3.9422078775568798</v>
      </c>
      <c r="AE38">
        <f t="shared" si="5"/>
        <v>0.25366495909387049</v>
      </c>
      <c r="AF38">
        <f t="shared" si="6"/>
        <v>0.75794868153054018</v>
      </c>
      <c r="AK38">
        <v>59.100262275073199</v>
      </c>
      <c r="AL38">
        <v>0.41843050147296701</v>
      </c>
      <c r="AM38">
        <f t="shared" si="7"/>
        <v>2.3898831382506316</v>
      </c>
      <c r="AN38">
        <f t="shared" si="8"/>
        <v>1.1343465944113205</v>
      </c>
      <c r="AT38">
        <v>39.8542677172913</v>
      </c>
      <c r="AU38">
        <v>0.75840987304914198</v>
      </c>
      <c r="AV38">
        <f t="shared" si="9"/>
        <v>1.1826980775934997</v>
      </c>
      <c r="BB38">
        <v>121.591530732412</v>
      </c>
      <c r="BC38">
        <v>0.74677450104368903</v>
      </c>
      <c r="BD38">
        <f t="shared" si="10"/>
        <v>1.0487522133579881</v>
      </c>
      <c r="BJ38">
        <v>34.077269049997497</v>
      </c>
      <c r="BK38">
        <v>27.6799835941605</v>
      </c>
      <c r="BL38">
        <f t="shared" si="11"/>
        <v>3.1848661232631943</v>
      </c>
      <c r="BQ38">
        <v>18.758458806284199</v>
      </c>
      <c r="BR38">
        <v>1.3814037619086601</v>
      </c>
      <c r="BS38">
        <f t="shared" si="12"/>
        <v>1.4508347014373393</v>
      </c>
      <c r="CA38">
        <v>60.264096662633499</v>
      </c>
      <c r="CB38">
        <v>14.924955450518301</v>
      </c>
      <c r="CC38">
        <f t="shared" si="13"/>
        <v>9.1995824473837455</v>
      </c>
      <c r="CK38">
        <v>162.24256292906099</v>
      </c>
      <c r="CL38">
        <v>1.2318706697459501</v>
      </c>
      <c r="CM38">
        <f t="shared" si="14"/>
        <v>1.2307337332718065</v>
      </c>
      <c r="CT38">
        <v>127.548944825832</v>
      </c>
      <c r="CU38">
        <v>1.2192968950474701</v>
      </c>
      <c r="CV38">
        <f t="shared" si="15"/>
        <v>1.2181715633492363</v>
      </c>
      <c r="DC38">
        <v>91.091954022988503</v>
      </c>
      <c r="DD38">
        <v>15.0229445506692</v>
      </c>
      <c r="DE38">
        <f t="shared" si="16"/>
        <v>6.6564846633575231E-2</v>
      </c>
      <c r="DF38">
        <f t="shared" si="17"/>
        <v>1.1572872254524711</v>
      </c>
      <c r="EC38">
        <v>65.521086679503298</v>
      </c>
      <c r="ED38">
        <v>20.330768345642898</v>
      </c>
      <c r="EE38">
        <f t="shared" si="20"/>
        <v>0.45838293960191334</v>
      </c>
      <c r="EL38">
        <v>57.593799939264599</v>
      </c>
      <c r="EM38">
        <v>4.11508411451232</v>
      </c>
      <c r="EN38">
        <f t="shared" si="0"/>
        <v>1.1201103658965825</v>
      </c>
      <c r="ET38">
        <v>90.999027411171596</v>
      </c>
      <c r="EU38">
        <v>0.34494733112126402</v>
      </c>
      <c r="EV38">
        <f t="shared" si="1"/>
        <v>0.46248313031464927</v>
      </c>
    </row>
    <row r="39" spans="13:152" x14ac:dyDescent="0.25">
      <c r="M39">
        <v>18.5651150037097</v>
      </c>
      <c r="N39">
        <v>0.90964869834510698</v>
      </c>
      <c r="U39">
        <v>44.887760059442101</v>
      </c>
      <c r="V39">
        <v>7.9856426501302504</v>
      </c>
      <c r="W39">
        <f t="shared" si="3"/>
        <v>0.12522473692003855</v>
      </c>
      <c r="X39">
        <f t="shared" si="4"/>
        <v>0.68681777102573716</v>
      </c>
      <c r="AC39">
        <v>29.370820473251001</v>
      </c>
      <c r="AD39">
        <v>3.96683272878338</v>
      </c>
      <c r="AE39">
        <f t="shared" si="5"/>
        <v>0.25209028672774364</v>
      </c>
      <c r="AF39">
        <f t="shared" si="6"/>
        <v>0.75324357425828692</v>
      </c>
      <c r="AK39">
        <v>60.710729635976797</v>
      </c>
      <c r="AL39">
        <v>0.42079615974322199</v>
      </c>
      <c r="AM39">
        <f t="shared" si="7"/>
        <v>2.3764475431767713</v>
      </c>
      <c r="AN39">
        <f t="shared" si="8"/>
        <v>1.1279694535076532</v>
      </c>
      <c r="AT39">
        <v>37.992760918132603</v>
      </c>
      <c r="AU39">
        <v>0.75840987304914198</v>
      </c>
      <c r="AV39">
        <f t="shared" si="9"/>
        <v>1.1826980775934997</v>
      </c>
      <c r="BB39">
        <v>118.427843855139</v>
      </c>
      <c r="BC39">
        <v>0.74677450104368903</v>
      </c>
      <c r="BD39">
        <f t="shared" si="10"/>
        <v>1.0487522133579881</v>
      </c>
      <c r="BJ39">
        <v>32.190954605791298</v>
      </c>
      <c r="BK39">
        <v>29.240230754409598</v>
      </c>
      <c r="BL39">
        <f t="shared" si="11"/>
        <v>3.3643885679818126</v>
      </c>
      <c r="BQ39">
        <v>19.043401500311798</v>
      </c>
      <c r="BR39">
        <v>1.3814037619086601</v>
      </c>
      <c r="BS39">
        <f t="shared" si="12"/>
        <v>1.4508347014373393</v>
      </c>
      <c r="CA39">
        <v>70.389411035878197</v>
      </c>
      <c r="CB39">
        <v>11.815817326181</v>
      </c>
      <c r="CC39">
        <f t="shared" si="13"/>
        <v>7.2831430576667211</v>
      </c>
      <c r="CK39">
        <v>158.58123569794</v>
      </c>
      <c r="CL39">
        <v>1.24110854503464</v>
      </c>
      <c r="CM39">
        <f t="shared" si="14"/>
        <v>1.2399630826026848</v>
      </c>
      <c r="CT39">
        <v>123.099415204678</v>
      </c>
      <c r="CU39">
        <v>1.2282781626892401</v>
      </c>
      <c r="CV39">
        <f t="shared" si="15"/>
        <v>1.2271445418653564</v>
      </c>
      <c r="DC39">
        <v>86.494252873563198</v>
      </c>
      <c r="DD39">
        <v>14.954110898661501</v>
      </c>
      <c r="DE39">
        <f t="shared" si="16"/>
        <v>6.6871244086434259E-2</v>
      </c>
      <c r="DF39">
        <f t="shared" si="17"/>
        <v>1.162614209229011</v>
      </c>
      <c r="EC39">
        <v>67.819138221531304</v>
      </c>
      <c r="ED39">
        <v>20.873160248057701</v>
      </c>
      <c r="EE39">
        <f t="shared" si="20"/>
        <v>0.47061185247024839</v>
      </c>
      <c r="EL39">
        <v>58.721402554350099</v>
      </c>
      <c r="EM39">
        <v>4.0939629000395401</v>
      </c>
      <c r="EN39">
        <f t="shared" si="0"/>
        <v>1.1143612510272527</v>
      </c>
      <c r="ET39">
        <v>93.348199525932998</v>
      </c>
      <c r="EU39">
        <v>0.34885866713474201</v>
      </c>
      <c r="EV39">
        <f t="shared" si="1"/>
        <v>0.46772719733597029</v>
      </c>
    </row>
    <row r="40" spans="13:152" x14ac:dyDescent="0.25">
      <c r="M40">
        <v>14.106906674408799</v>
      </c>
      <c r="N40">
        <v>0.91110358398657998</v>
      </c>
      <c r="U40">
        <v>47.213440453055902</v>
      </c>
      <c r="V40">
        <v>7.9856426501302504</v>
      </c>
      <c r="W40">
        <f t="shared" si="3"/>
        <v>0.12522473692003855</v>
      </c>
      <c r="X40">
        <f t="shared" si="4"/>
        <v>0.68681777102573716</v>
      </c>
      <c r="AC40">
        <v>30.7104123799725</v>
      </c>
      <c r="AD40">
        <v>3.9729889415900099</v>
      </c>
      <c r="AE40">
        <f t="shared" si="5"/>
        <v>0.25169966861266796</v>
      </c>
      <c r="AF40">
        <f t="shared" si="6"/>
        <v>0.75207641074322684</v>
      </c>
      <c r="AK40">
        <v>64.332006526596302</v>
      </c>
      <c r="AL40">
        <v>0.424299153720328</v>
      </c>
      <c r="AM40">
        <f t="shared" si="7"/>
        <v>2.3568277033593583</v>
      </c>
      <c r="AN40">
        <f t="shared" si="8"/>
        <v>1.1186569904321284</v>
      </c>
      <c r="AT40">
        <v>36.716586471437999</v>
      </c>
      <c r="AU40">
        <v>0.75840987304914198</v>
      </c>
      <c r="AV40">
        <f t="shared" si="9"/>
        <v>1.1826980775934997</v>
      </c>
      <c r="BB40">
        <v>115.727216335173</v>
      </c>
      <c r="BC40">
        <v>0.74677450104368903</v>
      </c>
      <c r="BD40">
        <f t="shared" si="10"/>
        <v>1.0487522133579881</v>
      </c>
      <c r="BJ40">
        <v>29.979210825172999</v>
      </c>
      <c r="BK40">
        <v>31.314790073708799</v>
      </c>
      <c r="BL40">
        <f t="shared" si="11"/>
        <v>3.6030879037043189</v>
      </c>
      <c r="BQ40">
        <v>19.924463403019999</v>
      </c>
      <c r="BR40">
        <v>1.3814037619086601</v>
      </c>
      <c r="BS40">
        <f t="shared" si="12"/>
        <v>1.4508347014373393</v>
      </c>
      <c r="CA40">
        <v>80.025022781610303</v>
      </c>
      <c r="CB40">
        <v>9.8345303105819397</v>
      </c>
      <c r="CC40">
        <f t="shared" si="13"/>
        <v>6.0618989934975742</v>
      </c>
      <c r="CK40">
        <v>155.377574370709</v>
      </c>
      <c r="CL40">
        <v>1.2484988452655801</v>
      </c>
      <c r="CM40">
        <f t="shared" si="14"/>
        <v>1.247346562067376</v>
      </c>
      <c r="CT40">
        <v>117.378591406051</v>
      </c>
      <c r="CU40">
        <v>1.23725943033102</v>
      </c>
      <c r="CV40">
        <f t="shared" si="15"/>
        <v>1.2361175203814865</v>
      </c>
      <c r="DC40">
        <v>82.471264367816104</v>
      </c>
      <c r="DD40">
        <v>14.850860420649999</v>
      </c>
      <c r="DE40">
        <f t="shared" si="16"/>
        <v>6.7336165829793154E-2</v>
      </c>
      <c r="DF40">
        <f t="shared" si="17"/>
        <v>1.1706972744148467</v>
      </c>
      <c r="EC40">
        <v>70.569901605797398</v>
      </c>
      <c r="ED40">
        <v>21.4138275339307</v>
      </c>
      <c r="EE40">
        <f t="shared" si="20"/>
        <v>0.48280188167286664</v>
      </c>
      <c r="EL40">
        <v>59.426154188778497</v>
      </c>
      <c r="EM40">
        <v>4.0540672727020697</v>
      </c>
      <c r="EN40">
        <f t="shared" si="0"/>
        <v>1.1035018118296305</v>
      </c>
      <c r="ET40">
        <v>95.227537217742196</v>
      </c>
      <c r="EU40">
        <v>0.34885866713474201</v>
      </c>
      <c r="EV40">
        <f t="shared" si="1"/>
        <v>0.46772719733597029</v>
      </c>
    </row>
    <row r="41" spans="13:152" x14ac:dyDescent="0.25">
      <c r="M41">
        <v>8.7389915803735398</v>
      </c>
      <c r="N41">
        <v>0.91184231749411204</v>
      </c>
      <c r="U41">
        <v>49.3065528073083</v>
      </c>
      <c r="V41">
        <v>7.9856426501302504</v>
      </c>
      <c r="W41">
        <f t="shared" si="3"/>
        <v>0.12522473692003855</v>
      </c>
      <c r="X41">
        <f t="shared" si="4"/>
        <v>0.68681777102573716</v>
      </c>
      <c r="AC41">
        <v>32.050004286694097</v>
      </c>
      <c r="AD41">
        <v>3.9791451543966301</v>
      </c>
      <c r="AE41">
        <f t="shared" si="5"/>
        <v>0.25131025916334865</v>
      </c>
      <c r="AF41">
        <f t="shared" si="6"/>
        <v>0.75091285871088687</v>
      </c>
      <c r="AK41">
        <v>67.554457696012804</v>
      </c>
      <c r="AL41">
        <v>0.430243628348146</v>
      </c>
      <c r="AM41">
        <f t="shared" si="7"/>
        <v>2.3242645192430755</v>
      </c>
      <c r="AN41">
        <f t="shared" si="8"/>
        <v>1.1032010309275426</v>
      </c>
      <c r="AT41">
        <v>35.241633501125101</v>
      </c>
      <c r="AU41">
        <v>0.77353036432042899</v>
      </c>
      <c r="AV41">
        <f t="shared" si="9"/>
        <v>1.2062776439919736</v>
      </c>
      <c r="BB41">
        <v>112.716112901755</v>
      </c>
      <c r="BC41">
        <v>0.75391784538212303</v>
      </c>
      <c r="BD41">
        <f t="shared" si="10"/>
        <v>1.0587841549618333</v>
      </c>
      <c r="BJ41">
        <v>27.787253701154899</v>
      </c>
      <c r="BK41">
        <v>33.536536889763397</v>
      </c>
      <c r="BL41">
        <f t="shared" si="11"/>
        <v>3.8587226711473508</v>
      </c>
      <c r="BQ41">
        <v>30.0470934103706</v>
      </c>
      <c r="BR41">
        <v>1.3063292915096001</v>
      </c>
      <c r="BS41">
        <f t="shared" si="12"/>
        <v>1.3719869019377251</v>
      </c>
      <c r="CA41">
        <v>90.367388143969393</v>
      </c>
      <c r="CB41">
        <v>8.3231908881927303</v>
      </c>
      <c r="CC41">
        <f t="shared" si="13"/>
        <v>5.1303255848970126</v>
      </c>
      <c r="CK41">
        <v>151.25858123569699</v>
      </c>
      <c r="CL41">
        <v>1.25773672055427</v>
      </c>
      <c r="CM41">
        <f t="shared" si="14"/>
        <v>1.2565759113982544</v>
      </c>
      <c r="CT41">
        <v>112.29341469616</v>
      </c>
      <c r="CU41">
        <v>1.2475237362073299</v>
      </c>
      <c r="CV41">
        <f t="shared" si="15"/>
        <v>1.2463723529713393</v>
      </c>
      <c r="DC41">
        <v>77.8735632183908</v>
      </c>
      <c r="DD41">
        <v>14.747609942638601</v>
      </c>
      <c r="DE41">
        <f t="shared" si="16"/>
        <v>6.7807597562556832E-2</v>
      </c>
      <c r="DF41">
        <f t="shared" si="17"/>
        <v>1.1788935213769052</v>
      </c>
      <c r="EC41">
        <v>73.309167546451107</v>
      </c>
      <c r="ED41">
        <v>21.770823158095698</v>
      </c>
      <c r="EE41">
        <f t="shared" si="20"/>
        <v>0.49085080047651042</v>
      </c>
      <c r="EL41">
        <v>61.822309745835099</v>
      </c>
      <c r="EM41">
        <v>4.0540672727020697</v>
      </c>
      <c r="EN41">
        <f t="shared" si="0"/>
        <v>1.1035018118296305</v>
      </c>
      <c r="ET41">
        <v>96.637040486599005</v>
      </c>
      <c r="EU41">
        <v>0.35472567115495801</v>
      </c>
      <c r="EV41">
        <f t="shared" si="1"/>
        <v>0.47559329786795046</v>
      </c>
    </row>
    <row r="42" spans="13:152" x14ac:dyDescent="0.25">
      <c r="U42">
        <v>51.864801240283398</v>
      </c>
      <c r="V42">
        <v>7.9813675023478696</v>
      </c>
      <c r="W42">
        <f t="shared" si="3"/>
        <v>0.12529181242510523</v>
      </c>
      <c r="X42">
        <f t="shared" si="4"/>
        <v>0.68718565879306981</v>
      </c>
      <c r="AC42">
        <v>33.724494170096001</v>
      </c>
      <c r="AD42">
        <v>3.9976137928164999</v>
      </c>
      <c r="AE42">
        <f t="shared" si="5"/>
        <v>0.25014922697058606</v>
      </c>
      <c r="AF42">
        <f t="shared" si="6"/>
        <v>0.7474437046627187</v>
      </c>
      <c r="AK42">
        <v>70.7753924178201</v>
      </c>
      <c r="AL42">
        <v>0.43497494488865401</v>
      </c>
      <c r="AM42">
        <f t="shared" si="7"/>
        <v>2.2989829914363975</v>
      </c>
      <c r="AN42">
        <f t="shared" si="8"/>
        <v>1.0912012747428061</v>
      </c>
      <c r="AT42">
        <v>32.467099709810697</v>
      </c>
      <c r="AU42">
        <v>0.77353036432042899</v>
      </c>
      <c r="AV42">
        <f t="shared" si="9"/>
        <v>1.2062776439919736</v>
      </c>
      <c r="BB42">
        <v>110.145735644711</v>
      </c>
      <c r="BC42">
        <v>0.75751510072980299</v>
      </c>
      <c r="BD42">
        <f t="shared" si="10"/>
        <v>1.0638360541665071</v>
      </c>
      <c r="BJ42">
        <v>25.755563505494202</v>
      </c>
      <c r="BK42">
        <v>35.670570212974702</v>
      </c>
      <c r="BL42">
        <f t="shared" si="11"/>
        <v>4.1042651012535698</v>
      </c>
      <c r="BQ42">
        <v>39.862603058912697</v>
      </c>
      <c r="BR42">
        <v>1.2703362183869999</v>
      </c>
      <c r="BS42">
        <f t="shared" si="12"/>
        <v>1.3341847756242073</v>
      </c>
      <c r="CA42">
        <v>100.677529813685</v>
      </c>
      <c r="CB42">
        <v>7.1626291156928001</v>
      </c>
      <c r="CC42">
        <f t="shared" si="13"/>
        <v>4.4149677570768864</v>
      </c>
      <c r="CK42">
        <v>147.597254004576</v>
      </c>
      <c r="CL42">
        <v>1.2669745958429499</v>
      </c>
      <c r="CM42">
        <f t="shared" si="14"/>
        <v>1.265805260729123</v>
      </c>
      <c r="CT42">
        <v>107.526061530638</v>
      </c>
      <c r="CU42">
        <v>1.2539389273800301</v>
      </c>
      <c r="CV42">
        <f t="shared" si="15"/>
        <v>1.2527816233400038</v>
      </c>
      <c r="DC42">
        <v>73.275862068965495</v>
      </c>
      <c r="DD42">
        <v>14.621414913957899</v>
      </c>
      <c r="DE42">
        <f t="shared" si="16"/>
        <v>6.8392833791029325E-2</v>
      </c>
      <c r="DF42">
        <f t="shared" si="17"/>
        <v>1.1890683575755299</v>
      </c>
      <c r="EC42">
        <v>75.154507246240897</v>
      </c>
      <c r="ED42">
        <v>22.314939677052401</v>
      </c>
      <c r="EE42">
        <f t="shared" si="20"/>
        <v>0.50311859701056449</v>
      </c>
      <c r="EL42">
        <v>63.795614322234698</v>
      </c>
      <c r="EM42">
        <v>4.0188652485807701</v>
      </c>
      <c r="EN42">
        <f t="shared" si="0"/>
        <v>1.0939199537140807</v>
      </c>
      <c r="ET42">
        <v>98.516378178408104</v>
      </c>
      <c r="EU42">
        <v>0.35277000314821899</v>
      </c>
      <c r="EV42">
        <f t="shared" si="1"/>
        <v>0.47297126435728992</v>
      </c>
    </row>
    <row r="43" spans="13:152" x14ac:dyDescent="0.25">
      <c r="U43">
        <v>52.795073397728999</v>
      </c>
      <c r="V43">
        <v>7.9599917634359798</v>
      </c>
      <c r="W43">
        <f t="shared" si="3"/>
        <v>0.12562827069664501</v>
      </c>
      <c r="X43">
        <f t="shared" si="4"/>
        <v>0.68903102517822479</v>
      </c>
      <c r="AC43">
        <v>35.064086076817503</v>
      </c>
      <c r="AD43">
        <v>4.0037700056231298</v>
      </c>
      <c r="AE43">
        <f t="shared" si="5"/>
        <v>0.24976459651666835</v>
      </c>
      <c r="AF43">
        <f t="shared" si="6"/>
        <v>0.74629443222688518</v>
      </c>
      <c r="AK43">
        <v>72.384343331114593</v>
      </c>
      <c r="AL43">
        <v>0.43612744507159801</v>
      </c>
      <c r="AM43">
        <f t="shared" si="7"/>
        <v>2.2929077527689925</v>
      </c>
      <c r="AN43">
        <f t="shared" si="8"/>
        <v>1.0883176917833268</v>
      </c>
      <c r="AT43">
        <v>30.530512389604301</v>
      </c>
      <c r="AU43">
        <v>0.77353036432042899</v>
      </c>
      <c r="AV43">
        <f t="shared" si="9"/>
        <v>1.2062776439919736</v>
      </c>
      <c r="BB43">
        <v>106.224481664389</v>
      </c>
      <c r="BC43">
        <v>0.75751510072980299</v>
      </c>
      <c r="BD43">
        <f t="shared" si="10"/>
        <v>1.0638360541665071</v>
      </c>
      <c r="BJ43">
        <v>24.2147069828582</v>
      </c>
      <c r="BK43">
        <v>37.423822803591001</v>
      </c>
      <c r="BL43">
        <f t="shared" si="11"/>
        <v>4.3059948010701294</v>
      </c>
      <c r="BQ43">
        <v>49.977693050804</v>
      </c>
      <c r="BR43">
        <v>1.2353348564058699</v>
      </c>
      <c r="BS43">
        <f t="shared" si="12"/>
        <v>1.2974242049930476</v>
      </c>
      <c r="CA43">
        <v>110.659389469887</v>
      </c>
      <c r="CB43">
        <v>6.373057341949</v>
      </c>
      <c r="CC43">
        <f t="shared" si="13"/>
        <v>3.9282841850712589</v>
      </c>
      <c r="CK43">
        <v>143.47826086956499</v>
      </c>
      <c r="CL43">
        <v>1.2743648960739</v>
      </c>
      <c r="CM43">
        <f t="shared" si="14"/>
        <v>1.273188740193824</v>
      </c>
      <c r="CT43">
        <v>102.440884820747</v>
      </c>
      <c r="CU43">
        <v>1.2629201950218101</v>
      </c>
      <c r="CV43">
        <f t="shared" si="15"/>
        <v>1.2617546018561339</v>
      </c>
      <c r="DC43">
        <v>68.103448275861993</v>
      </c>
      <c r="DD43">
        <v>14.460803059273401</v>
      </c>
      <c r="DE43">
        <f t="shared" si="16"/>
        <v>6.9152452730398092E-2</v>
      </c>
      <c r="DF43">
        <f t="shared" si="17"/>
        <v>1.2022749874891008</v>
      </c>
      <c r="EC43">
        <v>78.810694314983294</v>
      </c>
      <c r="ED43">
        <v>22.8521577298417</v>
      </c>
      <c r="EE43">
        <f t="shared" si="20"/>
        <v>0.51523085888174702</v>
      </c>
      <c r="EL43">
        <v>65.909869225519898</v>
      </c>
      <c r="EM43">
        <v>3.9813164228513802</v>
      </c>
      <c r="EN43">
        <f t="shared" si="0"/>
        <v>1.0836993050574935</v>
      </c>
      <c r="ET43">
        <v>101.100467504645</v>
      </c>
      <c r="EU43">
        <v>0.35472567115495801</v>
      </c>
      <c r="EV43">
        <f t="shared" si="1"/>
        <v>0.47559329786795046</v>
      </c>
    </row>
    <row r="44" spans="13:152" x14ac:dyDescent="0.25">
      <c r="U44">
        <v>55.353321830704097</v>
      </c>
      <c r="V44">
        <v>7.95144146787122</v>
      </c>
      <c r="W44">
        <f t="shared" si="3"/>
        <v>0.12576336052282133</v>
      </c>
      <c r="X44">
        <f t="shared" si="4"/>
        <v>0.68977194981967105</v>
      </c>
      <c r="AC44">
        <v>36.7385759602194</v>
      </c>
      <c r="AD44">
        <v>4.0160824312363799</v>
      </c>
      <c r="AE44">
        <f t="shared" si="5"/>
        <v>0.24899887318601246</v>
      </c>
      <c r="AF44">
        <f t="shared" si="6"/>
        <v>0.74400645760492323</v>
      </c>
      <c r="AK44">
        <v>74.800044372470197</v>
      </c>
      <c r="AL44">
        <v>0.439675932476979</v>
      </c>
      <c r="AM44">
        <f t="shared" si="7"/>
        <v>2.2744024089887134</v>
      </c>
      <c r="AN44">
        <f t="shared" si="8"/>
        <v>1.0795342189182326</v>
      </c>
      <c r="AT44">
        <v>28.709438018885301</v>
      </c>
      <c r="AU44">
        <v>0.78120328411204398</v>
      </c>
      <c r="AV44">
        <f t="shared" si="9"/>
        <v>1.2182431362799202</v>
      </c>
      <c r="BB44">
        <v>102.780976907029</v>
      </c>
      <c r="BC44">
        <v>0.75751510072980299</v>
      </c>
      <c r="BD44">
        <f t="shared" si="10"/>
        <v>1.0638360541665071</v>
      </c>
      <c r="BJ44">
        <v>23.423556886845901</v>
      </c>
      <c r="BK44">
        <v>38.728662842917203</v>
      </c>
      <c r="BL44">
        <f t="shared" si="11"/>
        <v>4.4561300359191902</v>
      </c>
      <c r="BQ44">
        <v>59.8886668622212</v>
      </c>
      <c r="BR44">
        <v>1.2012978811145001</v>
      </c>
      <c r="BS44">
        <f t="shared" si="12"/>
        <v>1.2616764922342127</v>
      </c>
      <c r="CA44">
        <v>120.812379151953</v>
      </c>
      <c r="CB44">
        <v>5.6705239413811803</v>
      </c>
      <c r="CC44">
        <f t="shared" si="13"/>
        <v>3.4952501326754719</v>
      </c>
      <c r="CK44">
        <v>139.35926773455299</v>
      </c>
      <c r="CL44">
        <v>1.2817551963048399</v>
      </c>
      <c r="CM44">
        <f t="shared" si="14"/>
        <v>1.280572219658515</v>
      </c>
      <c r="CT44">
        <v>97.355708110856796</v>
      </c>
      <c r="CU44">
        <v>1.2719014626635801</v>
      </c>
      <c r="CV44">
        <f t="shared" si="15"/>
        <v>1.2707275803722538</v>
      </c>
      <c r="DC44">
        <v>62.356321839080401</v>
      </c>
      <c r="DD44">
        <v>14.2887189292543</v>
      </c>
      <c r="DE44">
        <f t="shared" si="16"/>
        <v>6.9985280342566583E-2</v>
      </c>
      <c r="DF44">
        <f t="shared" si="17"/>
        <v>1.216754413271786</v>
      </c>
      <c r="EC44">
        <v>80.656034014773098</v>
      </c>
      <c r="ED44">
        <v>23.396274248798399</v>
      </c>
      <c r="EE44">
        <f t="shared" si="20"/>
        <v>0.52749865541580099</v>
      </c>
      <c r="EL44">
        <v>68.869826090119304</v>
      </c>
      <c r="EM44">
        <v>3.9484612003381701</v>
      </c>
      <c r="EN44">
        <f t="shared" si="0"/>
        <v>1.0747562374829813</v>
      </c>
      <c r="ET44">
        <v>102.74488798497801</v>
      </c>
      <c r="EU44">
        <v>0.35472567115495801</v>
      </c>
      <c r="EV44">
        <f t="shared" si="1"/>
        <v>0.47559329786795046</v>
      </c>
    </row>
    <row r="45" spans="13:152" x14ac:dyDescent="0.25">
      <c r="U45">
        <v>56.516162027511001</v>
      </c>
      <c r="V45">
        <v>7.9428911723064699</v>
      </c>
      <c r="W45">
        <f t="shared" si="3"/>
        <v>0.12589874118967923</v>
      </c>
      <c r="X45">
        <f t="shared" si="4"/>
        <v>0.69051446962956042</v>
      </c>
      <c r="AC45">
        <v>39.082861796982101</v>
      </c>
      <c r="AD45">
        <v>4.022238644043</v>
      </c>
      <c r="AE45">
        <f t="shared" si="5"/>
        <v>0.24861776948043995</v>
      </c>
      <c r="AF45">
        <f t="shared" si="6"/>
        <v>0.7428677230623324</v>
      </c>
      <c r="AK45">
        <v>77.214228966216496</v>
      </c>
      <c r="AL45">
        <v>0.44201126179505101</v>
      </c>
      <c r="AM45">
        <f t="shared" si="7"/>
        <v>2.2623857951919644</v>
      </c>
      <c r="AN45">
        <f t="shared" si="8"/>
        <v>1.0738305906869896</v>
      </c>
      <c r="AT45">
        <v>27.368482153097499</v>
      </c>
      <c r="AU45">
        <v>0.78120328411204398</v>
      </c>
      <c r="AV45">
        <f t="shared" si="9"/>
        <v>1.2182431362799202</v>
      </c>
      <c r="BB45">
        <v>100.768690204335</v>
      </c>
      <c r="BC45">
        <v>0.77207658304381099</v>
      </c>
      <c r="BD45">
        <f t="shared" si="10"/>
        <v>1.0842858509729671</v>
      </c>
      <c r="BJ45">
        <v>22.232219768177401</v>
      </c>
      <c r="BK45">
        <v>40.6322244640251</v>
      </c>
      <c r="BL45">
        <f t="shared" si="11"/>
        <v>4.6751543319411537</v>
      </c>
      <c r="BQ45">
        <v>69.896461213643505</v>
      </c>
      <c r="BR45">
        <v>1.1791291825138399</v>
      </c>
      <c r="BS45">
        <f t="shared" si="12"/>
        <v>1.2383935693825305</v>
      </c>
      <c r="CA45">
        <v>130.12762441639899</v>
      </c>
      <c r="CB45">
        <v>5.21664525185997</v>
      </c>
      <c r="CC45">
        <f t="shared" si="13"/>
        <v>3.2154841769777041</v>
      </c>
      <c r="CK45">
        <v>135.69794050343199</v>
      </c>
      <c r="CL45">
        <v>1.2946882217090001</v>
      </c>
      <c r="CM45">
        <f t="shared" si="14"/>
        <v>1.2934933087217393</v>
      </c>
      <c r="CT45">
        <v>92.270531400966107</v>
      </c>
      <c r="CU45">
        <v>1.28088273030536</v>
      </c>
      <c r="CV45">
        <f t="shared" si="15"/>
        <v>1.2797005588883839</v>
      </c>
      <c r="DC45">
        <v>58.3333333333333</v>
      </c>
      <c r="DD45">
        <v>14.1625239005736</v>
      </c>
      <c r="DE45">
        <f t="shared" si="16"/>
        <v>7.0608883488591942E-2</v>
      </c>
      <c r="DF45">
        <f t="shared" si="17"/>
        <v>1.2275962913973355</v>
      </c>
      <c r="EC45">
        <v>82.489876270950404</v>
      </c>
      <c r="ED45">
        <v>23.756719106047001</v>
      </c>
      <c r="EE45">
        <f t="shared" si="20"/>
        <v>0.53562534155087838</v>
      </c>
      <c r="EL45">
        <v>70.984080993404604</v>
      </c>
      <c r="EM45">
        <v>3.9226463826492202</v>
      </c>
      <c r="EN45">
        <f t="shared" si="0"/>
        <v>1.0677295415315791</v>
      </c>
      <c r="ET45">
        <v>103.80201543662101</v>
      </c>
      <c r="EU45">
        <v>0.35277000314821899</v>
      </c>
      <c r="EV45">
        <f t="shared" si="1"/>
        <v>0.47297126435728992</v>
      </c>
    </row>
    <row r="46" spans="13:152" x14ac:dyDescent="0.25">
      <c r="U46">
        <v>58.376706342402002</v>
      </c>
      <c r="V46">
        <v>7.9428911723064699</v>
      </c>
      <c r="W46">
        <f t="shared" si="3"/>
        <v>0.12589874118967923</v>
      </c>
      <c r="X46">
        <f t="shared" si="4"/>
        <v>0.69051446962956042</v>
      </c>
      <c r="AC46">
        <v>40.757351680384097</v>
      </c>
      <c r="AD46">
        <v>4.0345510696562501</v>
      </c>
      <c r="AE46">
        <f t="shared" si="5"/>
        <v>0.24785905116457022</v>
      </c>
      <c r="AF46">
        <f t="shared" si="6"/>
        <v>0.74060067936334939</v>
      </c>
      <c r="AK46">
        <v>80.429097897587297</v>
      </c>
      <c r="AL46">
        <v>0.44188994598631998</v>
      </c>
      <c r="AM46">
        <f t="shared" si="7"/>
        <v>2.2630069072242662</v>
      </c>
      <c r="AN46">
        <f t="shared" si="8"/>
        <v>1.0741253985406929</v>
      </c>
      <c r="AT46">
        <v>25.9124825024582</v>
      </c>
      <c r="AU46">
        <v>0.79677820983265402</v>
      </c>
      <c r="AV46">
        <f t="shared" si="9"/>
        <v>1.2425313679644165</v>
      </c>
      <c r="BB46">
        <v>98.470761870440796</v>
      </c>
      <c r="BC46">
        <v>0.77207658304381099</v>
      </c>
      <c r="BD46">
        <f t="shared" si="10"/>
        <v>1.0842858509729671</v>
      </c>
      <c r="BJ46">
        <v>21.101474819057401</v>
      </c>
      <c r="BK46">
        <v>42.922555042399097</v>
      </c>
      <c r="BL46">
        <f t="shared" si="11"/>
        <v>4.9386803649434281</v>
      </c>
      <c r="BQ46">
        <v>79.752568011020202</v>
      </c>
      <c r="BR46">
        <v>1.15736958410837</v>
      </c>
      <c r="BS46">
        <f t="shared" si="12"/>
        <v>1.2155403085716743</v>
      </c>
      <c r="CA46">
        <v>140.16112218895699</v>
      </c>
      <c r="CB46">
        <v>4.7196853200182503</v>
      </c>
      <c r="CC46">
        <f t="shared" si="13"/>
        <v>2.9091634056238878</v>
      </c>
      <c r="CK46">
        <v>131.12128146453</v>
      </c>
      <c r="CL46">
        <v>1.30392609699769</v>
      </c>
      <c r="CM46">
        <f t="shared" si="14"/>
        <v>1.3027226580526179</v>
      </c>
      <c r="CT46">
        <v>87.185354691075503</v>
      </c>
      <c r="CU46">
        <v>1.28986399794713</v>
      </c>
      <c r="CV46">
        <f t="shared" si="15"/>
        <v>1.288673537404504</v>
      </c>
      <c r="DC46">
        <v>54.3103448275861</v>
      </c>
      <c r="DD46">
        <v>14.047801147227499</v>
      </c>
      <c r="DE46">
        <f t="shared" si="16"/>
        <v>7.1185517898462128E-2</v>
      </c>
      <c r="DF46">
        <f t="shared" si="17"/>
        <v>1.2376215775663642</v>
      </c>
      <c r="EC46">
        <v>84.323718527127795</v>
      </c>
      <c r="ED46">
        <v>24.117163963295699</v>
      </c>
      <c r="EE46">
        <f t="shared" si="20"/>
        <v>0.54375202768595787</v>
      </c>
      <c r="EL46">
        <v>72.816435242918502</v>
      </c>
      <c r="EM46">
        <v>3.8874443585279201</v>
      </c>
      <c r="EN46">
        <f t="shared" si="0"/>
        <v>1.0581476834160293</v>
      </c>
      <c r="ET46">
        <v>106.26864615712</v>
      </c>
      <c r="EU46">
        <v>0.35277000314821899</v>
      </c>
      <c r="EV46">
        <f t="shared" si="1"/>
        <v>0.47297126435728992</v>
      </c>
    </row>
    <row r="47" spans="13:152" x14ac:dyDescent="0.25">
      <c r="U47">
        <v>53.725345555174499</v>
      </c>
      <c r="V47">
        <v>7.9300657289593302</v>
      </c>
      <c r="W47">
        <f t="shared" si="3"/>
        <v>0.12610235957416596</v>
      </c>
      <c r="X47">
        <f t="shared" si="4"/>
        <v>0.69163125157227145</v>
      </c>
      <c r="AC47">
        <v>42.766739540466297</v>
      </c>
      <c r="AD47">
        <v>4.0468634952695002</v>
      </c>
      <c r="AE47">
        <f t="shared" si="5"/>
        <v>0.24710494959094367</v>
      </c>
      <c r="AF47">
        <f t="shared" si="6"/>
        <v>0.73834743044985307</v>
      </c>
      <c r="AK47">
        <v>81.237364473257401</v>
      </c>
      <c r="AL47">
        <v>0.44549909129606602</v>
      </c>
      <c r="AM47">
        <f t="shared" si="7"/>
        <v>2.244673489884693</v>
      </c>
      <c r="AN47">
        <f t="shared" si="8"/>
        <v>1.0654235297378989</v>
      </c>
      <c r="AT47">
        <v>24.702166390176998</v>
      </c>
      <c r="AU47">
        <v>0.78895231429420698</v>
      </c>
      <c r="AV47">
        <f t="shared" si="9"/>
        <v>1.2303273184950223</v>
      </c>
      <c r="BB47">
        <v>96.225235474261098</v>
      </c>
      <c r="BC47">
        <v>0.77207658304381099</v>
      </c>
      <c r="BD47">
        <f t="shared" si="10"/>
        <v>1.0842858509729671</v>
      </c>
      <c r="BJ47">
        <v>19.6516558787851</v>
      </c>
      <c r="BK47">
        <v>46.284027842492698</v>
      </c>
      <c r="BL47">
        <f t="shared" si="11"/>
        <v>5.3254523010202739</v>
      </c>
      <c r="BQ47">
        <v>89.299690007206493</v>
      </c>
      <c r="BR47">
        <v>1.13601153638096</v>
      </c>
      <c r="BS47">
        <f t="shared" si="12"/>
        <v>1.193108780837113</v>
      </c>
      <c r="CA47">
        <v>149.95228195298</v>
      </c>
      <c r="CB47">
        <v>4.3419134227214604</v>
      </c>
      <c r="CC47">
        <f t="shared" si="13"/>
        <v>2.6763088602948621</v>
      </c>
      <c r="CK47">
        <v>126.086956521739</v>
      </c>
      <c r="CL47">
        <v>1.31685912240184</v>
      </c>
      <c r="CM47">
        <f t="shared" si="14"/>
        <v>1.3156437471158318</v>
      </c>
      <c r="CT47">
        <v>82.418001525552995</v>
      </c>
      <c r="CU47">
        <v>1.29884526558891</v>
      </c>
      <c r="CV47">
        <f t="shared" si="15"/>
        <v>1.2976465159206341</v>
      </c>
      <c r="DC47">
        <v>52.011494252873497</v>
      </c>
      <c r="DD47">
        <v>13.9789674952198</v>
      </c>
      <c r="DE47">
        <f t="shared" si="16"/>
        <v>7.1536041581179474E-2</v>
      </c>
      <c r="DF47">
        <f t="shared" si="17"/>
        <v>1.2437157338777334</v>
      </c>
      <c r="EC47">
        <v>85.704848941067098</v>
      </c>
      <c r="ED47">
        <v>24.479333437086201</v>
      </c>
      <c r="EE47">
        <f t="shared" si="20"/>
        <v>0.55191759748675429</v>
      </c>
      <c r="EL47">
        <v>74.6487894924323</v>
      </c>
      <c r="EM47">
        <v>3.8616295408389698</v>
      </c>
      <c r="EN47">
        <f t="shared" si="0"/>
        <v>1.051120987464627</v>
      </c>
      <c r="ET47">
        <v>108.73527687762</v>
      </c>
      <c r="EU47">
        <v>0.35081433514148003</v>
      </c>
      <c r="EV47">
        <f t="shared" si="1"/>
        <v>0.4703492308466295</v>
      </c>
    </row>
    <row r="48" spans="13:152" x14ac:dyDescent="0.25">
      <c r="U48">
        <v>60.237250657293004</v>
      </c>
      <c r="V48">
        <v>7.9428911723064699</v>
      </c>
      <c r="W48">
        <f t="shared" si="3"/>
        <v>0.12589874118967923</v>
      </c>
      <c r="X48">
        <f t="shared" si="4"/>
        <v>0.69051446962956042</v>
      </c>
      <c r="AC48">
        <v>44.776127400548702</v>
      </c>
      <c r="AD48">
        <v>4.0468634952695002</v>
      </c>
      <c r="AE48">
        <f t="shared" si="5"/>
        <v>0.24710494959094367</v>
      </c>
      <c r="AF48">
        <f t="shared" si="6"/>
        <v>0.73834743044985307</v>
      </c>
      <c r="AK48">
        <v>85.260499980298206</v>
      </c>
      <c r="AL48">
        <v>0.44898692079708102</v>
      </c>
      <c r="AM48">
        <f t="shared" si="7"/>
        <v>2.2272363707715854</v>
      </c>
      <c r="AN48">
        <f t="shared" si="8"/>
        <v>1.0571470845989217</v>
      </c>
      <c r="AT48">
        <v>24.036110811312799</v>
      </c>
      <c r="AU48">
        <v>0.80468173318189096</v>
      </c>
      <c r="AV48">
        <f t="shared" si="9"/>
        <v>1.2548564736935612</v>
      </c>
      <c r="BB48">
        <v>92.494248318851106</v>
      </c>
      <c r="BC48">
        <v>0.77207658304381099</v>
      </c>
      <c r="BD48">
        <f t="shared" si="10"/>
        <v>1.0842858509729671</v>
      </c>
      <c r="BJ48">
        <v>18.1285750959618</v>
      </c>
      <c r="BK48">
        <v>49.567824133357099</v>
      </c>
      <c r="BL48">
        <f t="shared" si="11"/>
        <v>5.703286757709682</v>
      </c>
      <c r="BQ48">
        <v>99.989691043946095</v>
      </c>
      <c r="BR48">
        <v>1.1150476291329601</v>
      </c>
      <c r="BS48">
        <f t="shared" si="12"/>
        <v>1.1710912035351027</v>
      </c>
      <c r="CA48">
        <v>159.347788697227</v>
      </c>
      <c r="CB48">
        <v>3.9943790511728299</v>
      </c>
      <c r="CC48">
        <f t="shared" si="13"/>
        <v>2.4620924014946253</v>
      </c>
      <c r="CK48">
        <v>121.96796338672701</v>
      </c>
      <c r="CL48">
        <v>1.3242494226327901</v>
      </c>
      <c r="CM48">
        <f t="shared" si="14"/>
        <v>1.323027226580533</v>
      </c>
      <c r="CT48">
        <v>77.332824815662306</v>
      </c>
      <c r="CU48">
        <v>1.3091095714652199</v>
      </c>
      <c r="CV48">
        <f t="shared" si="15"/>
        <v>1.3079013485104869</v>
      </c>
      <c r="DC48">
        <v>50.287356321839098</v>
      </c>
      <c r="DD48">
        <v>13.887189292543001</v>
      </c>
      <c r="DE48">
        <f t="shared" si="16"/>
        <v>7.2008811785763557E-2</v>
      </c>
      <c r="DF48">
        <f t="shared" si="17"/>
        <v>1.2519352513259077</v>
      </c>
      <c r="EC48">
        <v>88.002900483095004</v>
      </c>
      <c r="ED48">
        <v>25.021725339501099</v>
      </c>
      <c r="EE48">
        <f t="shared" si="20"/>
        <v>0.56414651035509145</v>
      </c>
      <c r="EL48">
        <v>76.8256889854446</v>
      </c>
      <c r="EM48">
        <v>3.8221250471028401</v>
      </c>
      <c r="EN48">
        <f t="shared" si="0"/>
        <v>1.0403680133571755</v>
      </c>
      <c r="ET48">
        <v>110.37969735795301</v>
      </c>
      <c r="EU48">
        <v>0.35277000314821899</v>
      </c>
      <c r="EV48">
        <f t="shared" si="1"/>
        <v>0.47297126435728992</v>
      </c>
    </row>
    <row r="49" spans="21:152" x14ac:dyDescent="0.25">
      <c r="U49">
        <v>61.400090854099901</v>
      </c>
      <c r="V49">
        <v>7.9257905811769502</v>
      </c>
      <c r="W49">
        <f t="shared" si="3"/>
        <v>0.12617037881052665</v>
      </c>
      <c r="X49">
        <f t="shared" si="4"/>
        <v>0.69200431540497054</v>
      </c>
      <c r="AC49">
        <v>46.785515260631001</v>
      </c>
      <c r="AD49">
        <v>4.0530197080761301</v>
      </c>
      <c r="AE49">
        <f t="shared" si="5"/>
        <v>0.24672961693410458</v>
      </c>
      <c r="AF49">
        <f t="shared" si="6"/>
        <v>0.73722593975045669</v>
      </c>
      <c r="AK49">
        <v>88.075026742856807</v>
      </c>
      <c r="AL49">
        <v>0.45009392755175098</v>
      </c>
      <c r="AM49">
        <f t="shared" si="7"/>
        <v>2.221758479256581</v>
      </c>
      <c r="AN49">
        <f t="shared" si="8"/>
        <v>1.054547029606631</v>
      </c>
      <c r="AT49">
        <v>23.070549019137601</v>
      </c>
      <c r="AU49">
        <v>0.80468173318189096</v>
      </c>
      <c r="AV49">
        <f t="shared" si="9"/>
        <v>1.2548564736935612</v>
      </c>
      <c r="BB49">
        <v>89.791253808093998</v>
      </c>
      <c r="BC49">
        <v>0.77207658304381099</v>
      </c>
      <c r="BD49">
        <f t="shared" si="10"/>
        <v>1.0842858509729671</v>
      </c>
      <c r="BJ49">
        <v>17.044012019842299</v>
      </c>
      <c r="BK49">
        <v>52.721977730294199</v>
      </c>
      <c r="BL49">
        <f t="shared" si="11"/>
        <v>6.0662044922625658</v>
      </c>
      <c r="BQ49">
        <v>109.86928268690301</v>
      </c>
      <c r="BR49">
        <v>1.0944705889131701</v>
      </c>
      <c r="BS49">
        <f t="shared" si="12"/>
        <v>1.1494799376424323</v>
      </c>
      <c r="CA49">
        <v>170.47926105426899</v>
      </c>
      <c r="CB49">
        <v>3.6746619407367098</v>
      </c>
      <c r="CC49">
        <f t="shared" si="13"/>
        <v>2.2650222040626971</v>
      </c>
      <c r="CK49">
        <v>118.764302059496</v>
      </c>
      <c r="CL49">
        <v>1.33348729792147</v>
      </c>
      <c r="CM49">
        <f t="shared" si="14"/>
        <v>1.3322565759114016</v>
      </c>
      <c r="CT49">
        <v>71.612001017035297</v>
      </c>
      <c r="CU49">
        <v>1.3180908391070001</v>
      </c>
      <c r="CV49">
        <f t="shared" si="15"/>
        <v>1.3168743270266172</v>
      </c>
      <c r="DC49">
        <v>47.988505747126403</v>
      </c>
      <c r="DD49">
        <v>13.783938814531499</v>
      </c>
      <c r="DE49">
        <f t="shared" si="16"/>
        <v>7.254820363434622E-2</v>
      </c>
      <c r="DF49">
        <f t="shared" si="17"/>
        <v>1.2613130434706739</v>
      </c>
      <c r="EC49">
        <v>89.813747852047598</v>
      </c>
      <c r="ED49">
        <v>25.0148268733336</v>
      </c>
      <c r="EE49">
        <f t="shared" si="20"/>
        <v>0.56399097569221779</v>
      </c>
      <c r="EL49">
        <v>77.706628528480095</v>
      </c>
      <c r="EM49">
        <v>3.79279002700176</v>
      </c>
      <c r="EN49">
        <f t="shared" si="0"/>
        <v>1.0323831315942185</v>
      </c>
      <c r="ET49">
        <v>111.90665923254799</v>
      </c>
      <c r="EU49">
        <v>0.34885866713474201</v>
      </c>
      <c r="EV49">
        <f t="shared" si="1"/>
        <v>0.46772719733597029</v>
      </c>
    </row>
    <row r="50" spans="21:152" x14ac:dyDescent="0.25">
      <c r="U50">
        <v>63.028067129629598</v>
      </c>
      <c r="V50">
        <v>7.9257905811769502</v>
      </c>
      <c r="W50">
        <f t="shared" si="3"/>
        <v>0.12617037881052665</v>
      </c>
      <c r="X50">
        <f t="shared" si="4"/>
        <v>0.69200431540497054</v>
      </c>
      <c r="AC50">
        <v>48.125107167352503</v>
      </c>
      <c r="AD50">
        <v>4.0591759208827503</v>
      </c>
      <c r="AE50">
        <f t="shared" si="5"/>
        <v>0.24635542274859812</v>
      </c>
      <c r="AF50">
        <f t="shared" si="6"/>
        <v>0.73610785079345542</v>
      </c>
      <c r="AK50">
        <v>90.892586400633704</v>
      </c>
      <c r="AL50">
        <v>0.45362725048104102</v>
      </c>
      <c r="AM50">
        <f t="shared" si="7"/>
        <v>2.2044531031580834</v>
      </c>
      <c r="AN50">
        <f t="shared" si="8"/>
        <v>1.0463331156590616</v>
      </c>
      <c r="AT50">
        <v>21.2542308897374</v>
      </c>
      <c r="AU50">
        <v>0.81266365435948595</v>
      </c>
      <c r="AV50">
        <f t="shared" si="9"/>
        <v>1.2673038364820897</v>
      </c>
      <c r="BB50">
        <v>87.454977509445598</v>
      </c>
      <c r="BC50">
        <v>0.76841017875101603</v>
      </c>
      <c r="BD50">
        <f t="shared" si="10"/>
        <v>1.079136840646878</v>
      </c>
      <c r="BJ50">
        <v>16.177142642644</v>
      </c>
      <c r="BK50">
        <v>55.313328064369699</v>
      </c>
      <c r="BL50">
        <f t="shared" si="11"/>
        <v>6.3643659367745826</v>
      </c>
      <c r="BQ50">
        <v>120.270885708311</v>
      </c>
      <c r="BR50">
        <v>1.0843249077552699</v>
      </c>
      <c r="BS50">
        <f t="shared" si="12"/>
        <v>1.1388243228978607</v>
      </c>
      <c r="CA50">
        <v>181.16091942003999</v>
      </c>
      <c r="CB50">
        <v>3.43741433728625</v>
      </c>
      <c r="CC50">
        <f t="shared" si="13"/>
        <v>2.1187853261287724</v>
      </c>
      <c r="CK50">
        <v>114.64530892448499</v>
      </c>
      <c r="CL50">
        <v>1.3390300230946801</v>
      </c>
      <c r="CM50">
        <f t="shared" si="14"/>
        <v>1.3377941855099247</v>
      </c>
      <c r="CT50">
        <v>66.844647851512804</v>
      </c>
      <c r="CU50">
        <v>1.32835514498332</v>
      </c>
      <c r="CV50">
        <f t="shared" si="15"/>
        <v>1.32712915961648</v>
      </c>
      <c r="DC50">
        <v>43.390804597701099</v>
      </c>
      <c r="DD50">
        <v>13.6577437858508</v>
      </c>
      <c r="DE50">
        <f t="shared" si="16"/>
        <v>7.3218535629287734E-2</v>
      </c>
      <c r="DF50">
        <f t="shared" si="17"/>
        <v>1.272967342906355</v>
      </c>
      <c r="EC50">
        <v>91.647590108225003</v>
      </c>
      <c r="ED50">
        <v>25.375271730582298</v>
      </c>
      <c r="EE50">
        <f t="shared" si="20"/>
        <v>0.57211766182729729</v>
      </c>
      <c r="EL50">
        <v>81.230386700622205</v>
      </c>
      <c r="EM50">
        <v>3.7569361135448802</v>
      </c>
      <c r="EN50">
        <f t="shared" si="0"/>
        <v>1.022623831661714</v>
      </c>
      <c r="ET50">
        <v>113.198703895666</v>
      </c>
      <c r="EU50">
        <v>0.36059267517517402</v>
      </c>
      <c r="EV50">
        <f t="shared" si="1"/>
        <v>0.48345939839993068</v>
      </c>
    </row>
    <row r="51" spans="21:152" x14ac:dyDescent="0.25">
      <c r="U51">
        <v>63.958339287075098</v>
      </c>
      <c r="V51">
        <v>7.9172402856122002</v>
      </c>
      <c r="W51">
        <f t="shared" si="3"/>
        <v>0.12630663765722441</v>
      </c>
      <c r="X51">
        <f t="shared" si="4"/>
        <v>0.69275165175139264</v>
      </c>
      <c r="AC51">
        <v>49.464699074073998</v>
      </c>
      <c r="AD51">
        <v>4.0714883464960003</v>
      </c>
      <c r="AE51">
        <f t="shared" si="5"/>
        <v>0.24561042913474598</v>
      </c>
      <c r="AF51">
        <f t="shared" si="6"/>
        <v>0.73388181638418992</v>
      </c>
      <c r="AK51">
        <v>95.317580524095902</v>
      </c>
      <c r="AL51">
        <v>0.45709991550596502</v>
      </c>
      <c r="AM51">
        <f t="shared" si="7"/>
        <v>2.1877055017459313</v>
      </c>
      <c r="AN51">
        <f t="shared" si="8"/>
        <v>1.0383839467970482</v>
      </c>
      <c r="AT51">
        <v>19.9864652312801</v>
      </c>
      <c r="AU51">
        <v>0.82072475102107501</v>
      </c>
      <c r="AV51">
        <f t="shared" si="9"/>
        <v>1.2798746690407778</v>
      </c>
      <c r="BB51">
        <v>84.899247521441097</v>
      </c>
      <c r="BC51">
        <v>0.77576048127514297</v>
      </c>
      <c r="BD51">
        <f t="shared" si="10"/>
        <v>1.089459429367108</v>
      </c>
      <c r="BJ51">
        <v>15.574514948742699</v>
      </c>
      <c r="BK51">
        <v>58.032046468517599</v>
      </c>
      <c r="BL51">
        <f t="shared" si="11"/>
        <v>6.6771823846098153</v>
      </c>
      <c r="BQ51">
        <v>129.68727334152899</v>
      </c>
      <c r="BR51">
        <v>1.0742732764943801</v>
      </c>
      <c r="BS51">
        <f t="shared" si="12"/>
        <v>1.1282674851061336</v>
      </c>
      <c r="CA51">
        <v>191.2163071615</v>
      </c>
      <c r="CB51">
        <v>3.1099515499402002</v>
      </c>
      <c r="CC51">
        <f t="shared" si="13"/>
        <v>1.9169407765334525</v>
      </c>
      <c r="CK51">
        <v>110.526315789473</v>
      </c>
      <c r="CL51">
        <v>1.3501154734411001</v>
      </c>
      <c r="CM51">
        <f t="shared" si="14"/>
        <v>1.3488694047069711</v>
      </c>
      <c r="CT51">
        <v>62.077294685990303</v>
      </c>
      <c r="CU51">
        <v>1.3386194508596301</v>
      </c>
      <c r="CV51">
        <f t="shared" si="15"/>
        <v>1.3373839922063331</v>
      </c>
      <c r="DC51">
        <v>40.517241379310299</v>
      </c>
      <c r="DD51">
        <v>13.565965583173901</v>
      </c>
      <c r="DE51">
        <f t="shared" si="16"/>
        <v>7.3713883016209111E-2</v>
      </c>
      <c r="DF51">
        <f t="shared" si="17"/>
        <v>1.2815793841268666</v>
      </c>
      <c r="EC51">
        <v>93.628982890761506</v>
      </c>
      <c r="ED51">
        <v>25.6815708143188</v>
      </c>
      <c r="EE51">
        <f t="shared" si="20"/>
        <v>0.57902356287410162</v>
      </c>
      <c r="EL51">
        <v>85.047791387109399</v>
      </c>
      <c r="EM51">
        <v>3.7292308167827501</v>
      </c>
      <c r="EN51">
        <f t="shared" si="0"/>
        <v>1.0150825544411437</v>
      </c>
      <c r="ET51">
        <v>115.312958798952</v>
      </c>
      <c r="EU51">
        <v>0.36645967919539102</v>
      </c>
      <c r="EV51">
        <f t="shared" si="1"/>
        <v>0.49132549893191224</v>
      </c>
    </row>
    <row r="52" spans="21:152" x14ac:dyDescent="0.25">
      <c r="U52">
        <v>66.516587720050296</v>
      </c>
      <c r="V52">
        <v>7.9086899900474403</v>
      </c>
      <c r="W52">
        <f t="shared" si="3"/>
        <v>0.12644319113006494</v>
      </c>
      <c r="X52">
        <f t="shared" si="4"/>
        <v>0.69350060402830616</v>
      </c>
      <c r="AC52">
        <v>51.139188957476001</v>
      </c>
      <c r="AD52">
        <v>4.0714883464960003</v>
      </c>
      <c r="AE52">
        <f t="shared" si="5"/>
        <v>0.24561042913474598</v>
      </c>
      <c r="AF52">
        <f t="shared" si="6"/>
        <v>0.73388181638418992</v>
      </c>
      <c r="AK52">
        <v>99.739541752339804</v>
      </c>
      <c r="AL52">
        <v>0.45814626435626898</v>
      </c>
      <c r="AM52">
        <f t="shared" si="7"/>
        <v>2.1827090556005677</v>
      </c>
      <c r="AN52">
        <f t="shared" si="8"/>
        <v>1.0360124075454253</v>
      </c>
      <c r="AT52">
        <v>18.794318858841699</v>
      </c>
      <c r="AU52">
        <v>0.82072475102107501</v>
      </c>
      <c r="AV52">
        <f t="shared" si="9"/>
        <v>1.2798746690407778</v>
      </c>
      <c r="BB52">
        <v>82.690256207193997</v>
      </c>
      <c r="BC52">
        <v>0.786917976302138</v>
      </c>
      <c r="BD52">
        <f t="shared" si="10"/>
        <v>1.1051287480017666</v>
      </c>
      <c r="BJ52">
        <v>14.8527004975537</v>
      </c>
      <c r="BK52">
        <v>60.468488292851497</v>
      </c>
      <c r="BL52">
        <f t="shared" si="11"/>
        <v>6.9575200156357111</v>
      </c>
      <c r="BQ52">
        <v>139.84089971325599</v>
      </c>
      <c r="BR52">
        <v>1.0544486843963199</v>
      </c>
      <c r="BS52">
        <f t="shared" si="12"/>
        <v>1.1074464862419304</v>
      </c>
      <c r="CA52">
        <v>201.82982202527</v>
      </c>
      <c r="CB52">
        <v>2.90916340562389</v>
      </c>
      <c r="CC52">
        <f t="shared" si="13"/>
        <v>1.7931771181279641</v>
      </c>
      <c r="CK52">
        <v>106.40732265446201</v>
      </c>
      <c r="CL52">
        <v>1.36120092378752</v>
      </c>
      <c r="CM52">
        <f t="shared" si="14"/>
        <v>1.3599446239040174</v>
      </c>
      <c r="CT52">
        <v>56.9921179760996</v>
      </c>
      <c r="CU52">
        <v>1.35144983320502</v>
      </c>
      <c r="CV52">
        <f t="shared" si="15"/>
        <v>1.3502025329436516</v>
      </c>
      <c r="DC52">
        <v>38.793103448275801</v>
      </c>
      <c r="DD52">
        <v>13.520076481835501</v>
      </c>
      <c r="DE52">
        <f t="shared" si="16"/>
        <v>7.3964078631028496E-2</v>
      </c>
      <c r="DF52">
        <f t="shared" si="17"/>
        <v>1.2859292505133784</v>
      </c>
      <c r="EC52">
        <v>95.845634128880803</v>
      </c>
      <c r="ED52">
        <v>25.9282867918348</v>
      </c>
      <c r="EE52">
        <f t="shared" si="20"/>
        <v>0.58458608727543737</v>
      </c>
      <c r="EL52">
        <v>85.047791387109399</v>
      </c>
      <c r="EM52">
        <v>3.7243416467658998</v>
      </c>
      <c r="EN52">
        <f t="shared" si="0"/>
        <v>1.0137517408139831</v>
      </c>
      <c r="ET52">
        <v>116.839920673547</v>
      </c>
      <c r="EU52">
        <v>0.364504011188651</v>
      </c>
      <c r="EV52">
        <f t="shared" si="1"/>
        <v>0.48870346542125037</v>
      </c>
    </row>
    <row r="53" spans="21:152" x14ac:dyDescent="0.25">
      <c r="U53">
        <v>67.2142918381344</v>
      </c>
      <c r="V53">
        <v>7.8915893989179304</v>
      </c>
      <c r="W53">
        <f t="shared" si="3"/>
        <v>0.12671718578479474</v>
      </c>
      <c r="X53">
        <f t="shared" si="4"/>
        <v>0.69500337738333939</v>
      </c>
      <c r="AC53">
        <v>52.478780864197503</v>
      </c>
      <c r="AD53">
        <v>4.0653321336893802</v>
      </c>
      <c r="AE53">
        <f t="shared" si="5"/>
        <v>0.24598236186239414</v>
      </c>
      <c r="AF53">
        <f t="shared" si="6"/>
        <v>0.7349931481248686</v>
      </c>
      <c r="AK53">
        <v>101.756417072492</v>
      </c>
      <c r="AL53">
        <v>0.46413623241236102</v>
      </c>
      <c r="AM53">
        <f t="shared" si="7"/>
        <v>2.1545398315543522</v>
      </c>
      <c r="AN53">
        <f t="shared" si="8"/>
        <v>1.0226420201601143</v>
      </c>
      <c r="AT53">
        <v>17.314663474623298</v>
      </c>
      <c r="AU53">
        <v>0.83708762006450099</v>
      </c>
      <c r="AV53">
        <f t="shared" si="9"/>
        <v>1.3053916545775948</v>
      </c>
      <c r="BB53">
        <v>82.690256207193997</v>
      </c>
      <c r="BC53">
        <v>0.786917976302138</v>
      </c>
      <c r="BD53">
        <f t="shared" si="10"/>
        <v>1.1051287480017666</v>
      </c>
      <c r="BJ53">
        <v>14.2317146694229</v>
      </c>
      <c r="BK53">
        <v>64.316284785534407</v>
      </c>
      <c r="BL53">
        <f t="shared" si="11"/>
        <v>7.4002484824741828</v>
      </c>
      <c r="BQ53">
        <v>149.09412551598001</v>
      </c>
      <c r="BR53">
        <v>1.04467400405532</v>
      </c>
      <c r="BS53">
        <f t="shared" si="12"/>
        <v>1.0971805192413875</v>
      </c>
      <c r="CA53">
        <v>211.59879807178001</v>
      </c>
      <c r="CB53">
        <v>2.7671263216781798</v>
      </c>
      <c r="CC53">
        <f t="shared" si="13"/>
        <v>1.7056269831425259</v>
      </c>
      <c r="CK53">
        <v>102.74599542334001</v>
      </c>
      <c r="CL53">
        <v>1.3704387990762099</v>
      </c>
      <c r="CM53">
        <f t="shared" si="14"/>
        <v>1.369173973234896</v>
      </c>
      <c r="CT53">
        <v>51.906941266209003</v>
      </c>
      <c r="CU53">
        <v>1.3617141390813401</v>
      </c>
      <c r="CV53">
        <f t="shared" si="15"/>
        <v>1.3604573655335146</v>
      </c>
      <c r="DC53">
        <v>36.494252873563198</v>
      </c>
      <c r="DD53">
        <v>13.451242829827899</v>
      </c>
      <c r="DE53">
        <f t="shared" si="16"/>
        <v>7.4342572850035621E-2</v>
      </c>
      <c r="DF53">
        <f t="shared" si="17"/>
        <v>1.292509698703634</v>
      </c>
      <c r="EC53">
        <v>97.445495423210104</v>
      </c>
      <c r="ED53">
        <v>26.368722717716</v>
      </c>
      <c r="EE53">
        <f t="shared" si="20"/>
        <v>0.59451627343364921</v>
      </c>
      <c r="EL53">
        <v>85.928730930144994</v>
      </c>
      <c r="EM53">
        <v>3.7015255200206201</v>
      </c>
      <c r="EN53">
        <f t="shared" si="0"/>
        <v>1.0075412772205732</v>
      </c>
      <c r="ET53">
        <v>118.719258365356</v>
      </c>
      <c r="EU53">
        <v>0.36059267517517402</v>
      </c>
      <c r="EV53">
        <f t="shared" si="1"/>
        <v>0.48345939839993068</v>
      </c>
    </row>
    <row r="54" spans="21:152" x14ac:dyDescent="0.25">
      <c r="U54">
        <v>69.074836153025402</v>
      </c>
      <c r="V54">
        <v>7.8873142511355496</v>
      </c>
      <c r="W54">
        <f t="shared" si="3"/>
        <v>0.12678587008955911</v>
      </c>
      <c r="X54">
        <f t="shared" si="4"/>
        <v>0.6953800889042655</v>
      </c>
      <c r="AC54">
        <v>53.818372770918998</v>
      </c>
      <c r="AD54">
        <v>4.0714883464960003</v>
      </c>
      <c r="AE54">
        <f t="shared" si="5"/>
        <v>0.24561042913474598</v>
      </c>
      <c r="AF54">
        <f t="shared" si="6"/>
        <v>0.73388181638418992</v>
      </c>
      <c r="AK54">
        <v>104.569427387441</v>
      </c>
      <c r="AL54">
        <v>0.46403008107972199</v>
      </c>
      <c r="AM54">
        <f t="shared" si="7"/>
        <v>2.1550327032100243</v>
      </c>
      <c r="AN54">
        <f t="shared" si="8"/>
        <v>1.0228759593327645</v>
      </c>
      <c r="AT54">
        <v>16.393525655252699</v>
      </c>
      <c r="AU54">
        <v>0.83708762006450099</v>
      </c>
      <c r="AV54">
        <f t="shared" si="9"/>
        <v>1.3053916545775948</v>
      </c>
      <c r="BB54">
        <v>80.009666138169905</v>
      </c>
      <c r="BC54">
        <v>0.79067268898837895</v>
      </c>
      <c r="BD54">
        <f t="shared" si="10"/>
        <v>1.1104017765193648</v>
      </c>
      <c r="BJ54">
        <v>13.572133465937799</v>
      </c>
      <c r="BK54">
        <v>67.016566712043101</v>
      </c>
      <c r="BL54">
        <f t="shared" si="11"/>
        <v>7.7109436243893574</v>
      </c>
      <c r="BQ54">
        <v>158.95963419111001</v>
      </c>
      <c r="BR54">
        <v>1.0349899344544999</v>
      </c>
      <c r="BS54">
        <f t="shared" si="12"/>
        <v>1.0870097171808868</v>
      </c>
      <c r="CA54">
        <v>224.85686862906201</v>
      </c>
      <c r="CB54">
        <v>2.54564067386042</v>
      </c>
      <c r="CC54">
        <f t="shared" si="13"/>
        <v>1.5691056055902117</v>
      </c>
      <c r="CK54">
        <v>99.084668192219596</v>
      </c>
      <c r="CL54">
        <v>1.3796766743648901</v>
      </c>
      <c r="CM54">
        <f t="shared" si="14"/>
        <v>1.3784033225657648</v>
      </c>
      <c r="CT54">
        <v>46.8217645563183</v>
      </c>
      <c r="CU54">
        <v>1.37454452142673</v>
      </c>
      <c r="CV54">
        <f t="shared" si="15"/>
        <v>1.3732759062708333</v>
      </c>
      <c r="DC54">
        <v>31.8965517241379</v>
      </c>
      <c r="DD54">
        <v>13.3824091778202</v>
      </c>
      <c r="DE54">
        <f t="shared" si="16"/>
        <v>7.4724960708673044E-2</v>
      </c>
      <c r="DF54">
        <f t="shared" si="17"/>
        <v>1.299157841174468</v>
      </c>
      <c r="EC54">
        <v>99.033380213776496</v>
      </c>
      <c r="ED54">
        <v>26.617833995984601</v>
      </c>
      <c r="EE54">
        <f t="shared" si="20"/>
        <v>0.60013280292626048</v>
      </c>
      <c r="EL54">
        <v>91.116486016909704</v>
      </c>
      <c r="EM54">
        <v>3.6721904999195401</v>
      </c>
      <c r="EN54">
        <f t="shared" si="0"/>
        <v>0.99955639545761599</v>
      </c>
      <c r="ET54">
        <v>120.481137451427</v>
      </c>
      <c r="EU54">
        <v>0.36059267517517402</v>
      </c>
      <c r="EV54">
        <f t="shared" si="1"/>
        <v>0.48345939839993068</v>
      </c>
    </row>
    <row r="55" spans="21:152" x14ac:dyDescent="0.25">
      <c r="U55">
        <v>70.702812428555006</v>
      </c>
      <c r="V55">
        <v>7.8830391033531697</v>
      </c>
      <c r="W55">
        <f t="shared" si="3"/>
        <v>0.12685462889238172</v>
      </c>
      <c r="X55">
        <f t="shared" si="4"/>
        <v>0.69575720902329741</v>
      </c>
      <c r="AC55">
        <v>56.497556584362101</v>
      </c>
      <c r="AD55">
        <v>4.0776445593026303</v>
      </c>
      <c r="AE55">
        <f t="shared" si="5"/>
        <v>0.24523961945594952</v>
      </c>
      <c r="AF55">
        <f t="shared" si="6"/>
        <v>0.7327738403036681</v>
      </c>
      <c r="AK55">
        <v>107.78732921403</v>
      </c>
      <c r="AL55">
        <v>0.46633508144560998</v>
      </c>
      <c r="AM55">
        <f t="shared" si="7"/>
        <v>2.1443808106824425</v>
      </c>
      <c r="AN55">
        <f t="shared" si="8"/>
        <v>1.0178200895208447</v>
      </c>
      <c r="AT55">
        <v>15.521392246711001</v>
      </c>
      <c r="AU55">
        <v>0.83708762006450099</v>
      </c>
      <c r="AV55">
        <f t="shared" si="9"/>
        <v>1.3053916545775948</v>
      </c>
      <c r="BB55">
        <v>78.185126408304001</v>
      </c>
      <c r="BC55">
        <v>0.79067268898837895</v>
      </c>
      <c r="BD55">
        <f t="shared" si="10"/>
        <v>1.1104017765193648</v>
      </c>
      <c r="BJ55">
        <v>13.066547054754301</v>
      </c>
      <c r="BK55">
        <v>71.281037639402598</v>
      </c>
      <c r="BL55">
        <f t="shared" si="11"/>
        <v>8.2016147602296741</v>
      </c>
      <c r="BQ55">
        <v>168.840385380551</v>
      </c>
      <c r="BR55">
        <v>1.0253956356373499</v>
      </c>
      <c r="BS55">
        <f t="shared" si="12"/>
        <v>1.0769331978867394</v>
      </c>
      <c r="CA55">
        <v>234.153938071852</v>
      </c>
      <c r="CB55">
        <v>2.3812861947655901</v>
      </c>
      <c r="CC55">
        <f t="shared" si="13"/>
        <v>1.4677992676220679</v>
      </c>
      <c r="CK55">
        <v>95.423340961098404</v>
      </c>
      <c r="CL55">
        <v>1.38891454965357</v>
      </c>
      <c r="CM55">
        <f t="shared" si="14"/>
        <v>1.3876326718966334</v>
      </c>
      <c r="CT55">
        <v>41.736587846427597</v>
      </c>
      <c r="CU55">
        <v>1.38865794200667</v>
      </c>
      <c r="CV55">
        <f t="shared" si="15"/>
        <v>1.3873763010818947</v>
      </c>
      <c r="DC55">
        <v>25.574712643678101</v>
      </c>
      <c r="DD55">
        <v>13.302103250478</v>
      </c>
      <c r="DE55">
        <f t="shared" si="16"/>
        <v>7.5176081644387008E-2</v>
      </c>
      <c r="DF55">
        <f t="shared" si="17"/>
        <v>1.3070009674256233</v>
      </c>
      <c r="EC55">
        <v>100.93564822811901</v>
      </c>
      <c r="ED55">
        <v>26.865747623876899</v>
      </c>
      <c r="EE55">
        <f t="shared" si="20"/>
        <v>0.60572232987323404</v>
      </c>
      <c r="EL55">
        <v>94.052951160361403</v>
      </c>
      <c r="EM55">
        <v>3.6412257564794999</v>
      </c>
      <c r="EN55">
        <f t="shared" si="0"/>
        <v>0.99112790915226923</v>
      </c>
      <c r="ET55">
        <v>122.00809932602201</v>
      </c>
      <c r="EU55">
        <v>0.36059267517517402</v>
      </c>
      <c r="EV55">
        <f t="shared" si="1"/>
        <v>0.48345939839993068</v>
      </c>
    </row>
    <row r="56" spans="21:152" x14ac:dyDescent="0.25">
      <c r="U56">
        <v>71.865652625362003</v>
      </c>
      <c r="V56">
        <v>7.8616633644412799</v>
      </c>
      <c r="W56">
        <f t="shared" si="3"/>
        <v>0.12719954463110861</v>
      </c>
      <c r="X56">
        <f t="shared" si="4"/>
        <v>0.69764896192045356</v>
      </c>
      <c r="AC56">
        <v>57.837148491083603</v>
      </c>
      <c r="AD56">
        <v>4.0776445593026303</v>
      </c>
      <c r="AE56">
        <f t="shared" si="5"/>
        <v>0.24523961945594952</v>
      </c>
      <c r="AF56">
        <f t="shared" si="6"/>
        <v>0.7327738403036681</v>
      </c>
      <c r="AK56">
        <v>110.603372424198</v>
      </c>
      <c r="AL56">
        <v>0.46865524628758998</v>
      </c>
      <c r="AM56">
        <f t="shared" si="7"/>
        <v>2.1337646551946432</v>
      </c>
      <c r="AN56">
        <f t="shared" si="8"/>
        <v>1.0127811821238324</v>
      </c>
      <c r="AT56">
        <v>14.897877759178501</v>
      </c>
      <c r="AU56">
        <v>0.84539098663363499</v>
      </c>
      <c r="AV56">
        <f t="shared" si="9"/>
        <v>1.3183402936022777</v>
      </c>
      <c r="BB56">
        <v>75.900292795991405</v>
      </c>
      <c r="BC56">
        <v>0.79067268898837895</v>
      </c>
      <c r="BD56">
        <f t="shared" si="10"/>
        <v>1.1104017765193648</v>
      </c>
      <c r="BJ56">
        <v>12.4019740953888</v>
      </c>
      <c r="BK56">
        <v>75.298960416638295</v>
      </c>
      <c r="BL56">
        <f t="shared" si="11"/>
        <v>8.6639180016884279</v>
      </c>
      <c r="BQ56">
        <v>179.33531289572699</v>
      </c>
      <c r="BR56">
        <v>1.00647302938769</v>
      </c>
      <c r="BS56">
        <f t="shared" si="12"/>
        <v>1.057059519715551</v>
      </c>
      <c r="CA56">
        <v>247.150718205446</v>
      </c>
      <c r="CB56">
        <v>2.2275429519995602</v>
      </c>
      <c r="CC56">
        <f t="shared" si="13"/>
        <v>1.3730335819057256</v>
      </c>
      <c r="CK56">
        <v>90.846681922196794</v>
      </c>
      <c r="CL56">
        <v>1.3981524249422601</v>
      </c>
      <c r="CM56">
        <f t="shared" si="14"/>
        <v>1.396862021227512</v>
      </c>
      <c r="CT56">
        <v>36.6514111365369</v>
      </c>
      <c r="CU56">
        <v>1.4053374390556801</v>
      </c>
      <c r="CV56">
        <f t="shared" si="15"/>
        <v>1.4040404040404122</v>
      </c>
      <c r="DC56">
        <v>21.551724137931</v>
      </c>
      <c r="DD56">
        <v>13.2217973231357</v>
      </c>
      <c r="DE56">
        <f t="shared" si="16"/>
        <v>7.5632682574114554E-2</v>
      </c>
      <c r="DF56">
        <f t="shared" si="17"/>
        <v>1.314939368095458</v>
      </c>
      <c r="EC56">
        <v>102.21314196282999</v>
      </c>
      <c r="ED56">
        <v>27.179831435059299</v>
      </c>
      <c r="EE56">
        <f t="shared" si="20"/>
        <v>0.61280374746668242</v>
      </c>
      <c r="EL56">
        <v>96.891534132364797</v>
      </c>
      <c r="EM56">
        <v>3.6102610130394699</v>
      </c>
      <c r="EN56">
        <f t="shared" si="0"/>
        <v>0.98269942284692513</v>
      </c>
      <c r="ET56">
        <v>123.41760259487801</v>
      </c>
      <c r="EU56">
        <v>0.36645967919539102</v>
      </c>
      <c r="EV56">
        <f t="shared" si="1"/>
        <v>0.49132549893191224</v>
      </c>
    </row>
    <row r="57" spans="21:152" x14ac:dyDescent="0.25">
      <c r="U57">
        <v>73.261060861530197</v>
      </c>
      <c r="V57">
        <v>7.8573882166589</v>
      </c>
      <c r="W57">
        <f t="shared" si="3"/>
        <v>0.12726875297822787</v>
      </c>
      <c r="X57">
        <f t="shared" si="4"/>
        <v>0.69802854764667621</v>
      </c>
      <c r="AC57">
        <v>59.846536351166002</v>
      </c>
      <c r="AD57">
        <v>4.0776445593026303</v>
      </c>
      <c r="AE57">
        <f t="shared" si="5"/>
        <v>0.24523961945594952</v>
      </c>
      <c r="AF57">
        <f t="shared" si="6"/>
        <v>0.7327738403036681</v>
      </c>
      <c r="AK57">
        <v>113.82279069839601</v>
      </c>
      <c r="AL57">
        <v>0.47217340474078801</v>
      </c>
      <c r="AM57">
        <f t="shared" si="7"/>
        <v>2.1178659999899323</v>
      </c>
      <c r="AN57">
        <f t="shared" si="8"/>
        <v>1.005234961516416</v>
      </c>
      <c r="AT57">
        <v>14.202030053771701</v>
      </c>
      <c r="AU57">
        <v>0.84539098663363499</v>
      </c>
      <c r="AV57">
        <f t="shared" si="9"/>
        <v>1.3183402936022777</v>
      </c>
      <c r="BB57">
        <v>73.925445050811902</v>
      </c>
      <c r="BC57">
        <v>0.79067268898837895</v>
      </c>
      <c r="BD57">
        <f t="shared" si="10"/>
        <v>1.1104017765193648</v>
      </c>
      <c r="BJ57">
        <v>11.8271938113938</v>
      </c>
      <c r="BK57">
        <v>78.460343611826801</v>
      </c>
      <c r="BL57">
        <f t="shared" si="11"/>
        <v>9.0276675756995033</v>
      </c>
      <c r="BQ57">
        <v>189.05214529389301</v>
      </c>
      <c r="BR57">
        <v>0.99714308068589097</v>
      </c>
      <c r="BS57">
        <f t="shared" si="12"/>
        <v>1.0472606370771416</v>
      </c>
      <c r="CA57">
        <v>260.86888827265398</v>
      </c>
      <c r="CB57">
        <v>2.0837258511429599</v>
      </c>
      <c r="CC57">
        <f t="shared" si="13"/>
        <v>1.2843862635897403</v>
      </c>
      <c r="CK57">
        <v>86.727688787185301</v>
      </c>
      <c r="CL57">
        <v>1.4110854503464201</v>
      </c>
      <c r="CM57">
        <f t="shared" si="14"/>
        <v>1.4097831102907361</v>
      </c>
      <c r="CT57">
        <v>31.248410882278101</v>
      </c>
      <c r="CU57">
        <v>1.4232999743392301</v>
      </c>
      <c r="CV57">
        <f t="shared" si="15"/>
        <v>1.4219863610726622</v>
      </c>
      <c r="DC57">
        <v>18.103448275862</v>
      </c>
      <c r="DD57">
        <v>13.1759082217973</v>
      </c>
      <c r="DE57">
        <f t="shared" si="16"/>
        <v>7.5896096357567971E-2</v>
      </c>
      <c r="DF57">
        <f t="shared" si="17"/>
        <v>1.3195190437353173</v>
      </c>
      <c r="EC57">
        <v>104.748168592646</v>
      </c>
      <c r="ED57">
        <v>27.489124644736599</v>
      </c>
      <c r="EE57">
        <f t="shared" si="20"/>
        <v>0.61977715487758211</v>
      </c>
      <c r="EL57">
        <v>99.240706247126198</v>
      </c>
      <c r="EM57">
        <v>3.5825557162773398</v>
      </c>
      <c r="EN57">
        <f t="shared" si="0"/>
        <v>0.97515814562635472</v>
      </c>
      <c r="ET57">
        <v>125.179481680949</v>
      </c>
      <c r="EU57">
        <v>0.36841534720212898</v>
      </c>
      <c r="EV57">
        <f t="shared" si="1"/>
        <v>0.49394753244257139</v>
      </c>
    </row>
    <row r="58" spans="21:152" x14ac:dyDescent="0.25">
      <c r="U58">
        <v>74.191333018975698</v>
      </c>
      <c r="V58">
        <v>7.8402876255293901</v>
      </c>
      <c r="W58">
        <f t="shared" si="3"/>
        <v>0.12754634112450411</v>
      </c>
      <c r="X58">
        <f t="shared" si="4"/>
        <v>0.69955103015754261</v>
      </c>
      <c r="AC58">
        <v>61.855924211248201</v>
      </c>
      <c r="AD58">
        <v>4.0899569849158697</v>
      </c>
      <c r="AE58">
        <f t="shared" si="5"/>
        <v>0.24450134895992554</v>
      </c>
      <c r="AF58">
        <f t="shared" si="6"/>
        <v>0.73056789451173398</v>
      </c>
      <c r="AK58">
        <v>117.439518246188</v>
      </c>
      <c r="AL58">
        <v>0.47203692445596601</v>
      </c>
      <c r="AM58">
        <f t="shared" si="7"/>
        <v>2.1184783397030311</v>
      </c>
      <c r="AN58">
        <f t="shared" si="8"/>
        <v>1.0055256056307911</v>
      </c>
      <c r="AT58">
        <v>13.631516059270099</v>
      </c>
      <c r="AU58">
        <v>0.84539098663363499</v>
      </c>
      <c r="AV58">
        <f t="shared" si="9"/>
        <v>1.3183402936022777</v>
      </c>
      <c r="BB58">
        <v>73.925445050811902</v>
      </c>
      <c r="BC58">
        <v>0.79067268898837895</v>
      </c>
      <c r="BD58">
        <f t="shared" si="10"/>
        <v>1.1104017765193648</v>
      </c>
      <c r="BJ58">
        <v>11.279052219943001</v>
      </c>
      <c r="BK58">
        <v>84.027010934066894</v>
      </c>
      <c r="BL58">
        <f t="shared" si="11"/>
        <v>9.6681697679702712</v>
      </c>
      <c r="BQ58">
        <v>200.048015519654</v>
      </c>
      <c r="BR58">
        <v>0.99714308068589097</v>
      </c>
      <c r="BS58">
        <f t="shared" si="12"/>
        <v>1.0472606370771416</v>
      </c>
      <c r="CA58">
        <v>271.65493267735201</v>
      </c>
      <c r="CB58">
        <v>1.94919402960285</v>
      </c>
      <c r="CC58">
        <f t="shared" si="13"/>
        <v>1.2014622918460272</v>
      </c>
      <c r="CK58">
        <v>83.524027459954198</v>
      </c>
      <c r="CL58">
        <v>1.4203233256351</v>
      </c>
      <c r="CM58">
        <f t="shared" si="14"/>
        <v>1.4190124596216047</v>
      </c>
      <c r="CT58">
        <v>26.4810577167556</v>
      </c>
      <c r="CU58">
        <v>1.4451116243263999</v>
      </c>
      <c r="CV58">
        <f t="shared" si="15"/>
        <v>1.443777880326111</v>
      </c>
      <c r="DC58">
        <v>8.9080459770114899</v>
      </c>
      <c r="DD58">
        <v>13.1185468451242</v>
      </c>
      <c r="DE58">
        <f t="shared" si="16"/>
        <v>7.6227955108585238E-2</v>
      </c>
      <c r="DF58">
        <f t="shared" si="17"/>
        <v>1.325288694123322</v>
      </c>
      <c r="EC58">
        <v>106.336053383213</v>
      </c>
      <c r="ED58">
        <v>27.738235923005199</v>
      </c>
      <c r="EE58">
        <f t="shared" si="20"/>
        <v>0.62539368437019349</v>
      </c>
      <c r="EL58">
        <v>101.39411401899</v>
      </c>
      <c r="EM58">
        <v>3.57766654626049</v>
      </c>
      <c r="EN58">
        <f t="shared" si="0"/>
        <v>0.97382733199919436</v>
      </c>
      <c r="ET58">
        <v>126.82390216128201</v>
      </c>
      <c r="EU58">
        <v>0.36841534720212898</v>
      </c>
      <c r="EV58">
        <f t="shared" si="1"/>
        <v>0.49394753244257139</v>
      </c>
    </row>
    <row r="59" spans="21:152" x14ac:dyDescent="0.25">
      <c r="U59">
        <v>75.354173215782595</v>
      </c>
      <c r="V59">
        <v>7.8231870343998802</v>
      </c>
      <c r="W59">
        <f t="shared" si="3"/>
        <v>0.12782514282259014</v>
      </c>
      <c r="X59">
        <f t="shared" si="4"/>
        <v>0.7010801686133088</v>
      </c>
      <c r="AC59">
        <v>63.195516117969802</v>
      </c>
      <c r="AD59">
        <v>4.0838007721092504</v>
      </c>
      <c r="AE59">
        <f t="shared" si="5"/>
        <v>0.24486992774711389</v>
      </c>
      <c r="AF59">
        <f t="shared" si="6"/>
        <v>0.73166920470762176</v>
      </c>
      <c r="AK59">
        <v>120.254045008747</v>
      </c>
      <c r="AL59">
        <v>0.47314393121063603</v>
      </c>
      <c r="AM59">
        <f t="shared" si="7"/>
        <v>2.113521772204273</v>
      </c>
      <c r="AN59">
        <f t="shared" si="8"/>
        <v>1.003172994587934</v>
      </c>
      <c r="AT59">
        <v>12.9948173747736</v>
      </c>
      <c r="AU59">
        <v>0.84539098663363499</v>
      </c>
      <c r="AV59">
        <f t="shared" si="9"/>
        <v>1.3183402936022777</v>
      </c>
      <c r="BB59">
        <v>72.001980817776698</v>
      </c>
      <c r="BC59">
        <v>0.80587154953357598</v>
      </c>
      <c r="BD59">
        <f t="shared" si="10"/>
        <v>1.131746692039401</v>
      </c>
      <c r="BJ59">
        <v>10.8074792837968</v>
      </c>
      <c r="BK59">
        <v>88.763390374037101</v>
      </c>
      <c r="BL59">
        <f t="shared" si="11"/>
        <v>10.213138820208574</v>
      </c>
      <c r="BQ59">
        <v>208.516062370393</v>
      </c>
      <c r="BR59">
        <v>0.98789962008683596</v>
      </c>
      <c r="BS59">
        <f t="shared" si="12"/>
        <v>1.0375525895328461</v>
      </c>
      <c r="CA59">
        <v>280.98319852116703</v>
      </c>
      <c r="CB59">
        <v>1.85402652011406</v>
      </c>
      <c r="CC59">
        <f t="shared" si="13"/>
        <v>1.1428020598100315</v>
      </c>
      <c r="CK59">
        <v>80.320366132723095</v>
      </c>
      <c r="CL59">
        <v>1.4277136258660501</v>
      </c>
      <c r="CM59">
        <f t="shared" si="14"/>
        <v>1.4263959390863057</v>
      </c>
      <c r="CT59">
        <v>21.7137045512331</v>
      </c>
      <c r="CU59">
        <v>1.4694893507826501</v>
      </c>
      <c r="CV59">
        <f t="shared" si="15"/>
        <v>1.4681331077270254</v>
      </c>
      <c r="DC59">
        <v>5.4597701149425202</v>
      </c>
      <c r="DD59">
        <v>13.049713193116601</v>
      </c>
      <c r="DE59">
        <f t="shared" si="16"/>
        <v>7.6630036630036827E-2</v>
      </c>
      <c r="DF59">
        <f t="shared" si="17"/>
        <v>1.332279227894517</v>
      </c>
      <c r="EC59">
        <v>107.91994600585799</v>
      </c>
      <c r="ED59">
        <v>27.923572318736301</v>
      </c>
      <c r="EE59">
        <f t="shared" si="20"/>
        <v>0.62957232830760534</v>
      </c>
      <c r="EL59">
        <v>102.568700076371</v>
      </c>
      <c r="EM59">
        <v>3.5499612494983599</v>
      </c>
      <c r="EN59">
        <f t="shared" si="0"/>
        <v>0.96628605477862395</v>
      </c>
      <c r="ET59">
        <v>127.998488218663</v>
      </c>
      <c r="EU59">
        <v>0.36841534720212898</v>
      </c>
      <c r="EV59">
        <f t="shared" si="1"/>
        <v>0.49394753244257139</v>
      </c>
    </row>
    <row r="60" spans="21:152" x14ac:dyDescent="0.25">
      <c r="U60">
        <v>76.982149491312299</v>
      </c>
      <c r="V60">
        <v>7.8103615910527404</v>
      </c>
      <c r="W60">
        <f t="shared" si="3"/>
        <v>0.12803504528465914</v>
      </c>
      <c r="X60">
        <f t="shared" si="4"/>
        <v>0.70223141671872991</v>
      </c>
      <c r="AC60">
        <v>64.535108024691297</v>
      </c>
      <c r="AD60">
        <v>4.0899569849158697</v>
      </c>
      <c r="AE60">
        <f t="shared" si="5"/>
        <v>0.24450134895992554</v>
      </c>
      <c r="AF60">
        <f t="shared" si="6"/>
        <v>0.73056789451173398</v>
      </c>
      <c r="AK60">
        <v>123.468913940118</v>
      </c>
      <c r="AL60">
        <v>0.47302261540190499</v>
      </c>
      <c r="AM60">
        <f t="shared" si="7"/>
        <v>2.1140638257863151</v>
      </c>
      <c r="AN60">
        <f t="shared" si="8"/>
        <v>1.0034302777265682</v>
      </c>
      <c r="AT60">
        <v>12.818427690074101</v>
      </c>
      <c r="AU60">
        <v>0.87079854651908495</v>
      </c>
      <c r="AV60">
        <f t="shared" si="9"/>
        <v>1.3579619721967973</v>
      </c>
      <c r="BB60">
        <v>70.592297499644104</v>
      </c>
      <c r="BC60">
        <v>0.80587154953357598</v>
      </c>
      <c r="BD60">
        <f t="shared" si="10"/>
        <v>1.131746692039401</v>
      </c>
      <c r="BJ60">
        <v>10.257803959411801</v>
      </c>
      <c r="BK60">
        <v>93.766746943742305</v>
      </c>
      <c r="BL60">
        <f t="shared" si="11"/>
        <v>10.788826330544461</v>
      </c>
      <c r="BQ60">
        <v>224.84144369163499</v>
      </c>
      <c r="BR60">
        <v>0.96966896366954602</v>
      </c>
      <c r="BS60">
        <f t="shared" si="12"/>
        <v>1.0184056393872634</v>
      </c>
      <c r="CA60">
        <v>292.60090148410399</v>
      </c>
      <c r="CB60">
        <v>1.7343248017724699</v>
      </c>
      <c r="CC60">
        <f t="shared" si="13"/>
        <v>1.0690192046030016</v>
      </c>
      <c r="CK60">
        <v>76.201372997711601</v>
      </c>
      <c r="CL60">
        <v>1.4387990762124701</v>
      </c>
      <c r="CM60">
        <f t="shared" si="14"/>
        <v>1.4374711582833521</v>
      </c>
      <c r="CT60">
        <v>16.6285278413424</v>
      </c>
      <c r="CU60">
        <v>1.50284834488067</v>
      </c>
      <c r="CV60">
        <f t="shared" si="15"/>
        <v>1.50146131364406</v>
      </c>
      <c r="EC60">
        <v>109.826206188122</v>
      </c>
      <c r="ED60">
        <v>28.235260829166101</v>
      </c>
      <c r="EE60">
        <f t="shared" si="20"/>
        <v>0.63659974080977833</v>
      </c>
      <c r="EL60">
        <v>104.72210784823601</v>
      </c>
      <c r="EM60">
        <v>3.54670180282046</v>
      </c>
      <c r="EN60">
        <f t="shared" si="0"/>
        <v>0.96539884569385037</v>
      </c>
      <c r="ET60">
        <v>129.525450093258</v>
      </c>
      <c r="EU60">
        <v>0.36645967919539102</v>
      </c>
      <c r="EV60">
        <f t="shared" si="1"/>
        <v>0.49132549893191224</v>
      </c>
    </row>
    <row r="61" spans="21:152" x14ac:dyDescent="0.25">
      <c r="U61">
        <v>79.307829884926093</v>
      </c>
      <c r="V61">
        <v>7.8018112954879797</v>
      </c>
      <c r="W61">
        <f t="shared" si="3"/>
        <v>0.12817536365924792</v>
      </c>
      <c r="X61">
        <f t="shared" si="4"/>
        <v>0.7030010182818025</v>
      </c>
      <c r="AC61">
        <v>66.209597908093201</v>
      </c>
      <c r="AD61">
        <v>4.0899569849158697</v>
      </c>
      <c r="AE61">
        <f t="shared" si="5"/>
        <v>0.24450134895992554</v>
      </c>
      <c r="AF61">
        <f t="shared" si="6"/>
        <v>0.73056789451173398</v>
      </c>
      <c r="AK61">
        <v>126.68833221431601</v>
      </c>
      <c r="AL61">
        <v>0.47654077385510302</v>
      </c>
      <c r="AM61">
        <f t="shared" si="7"/>
        <v>2.0984563228666349</v>
      </c>
      <c r="AN61">
        <f t="shared" si="8"/>
        <v>0.9960222511578869</v>
      </c>
      <c r="AT61">
        <v>12.3034947997052</v>
      </c>
      <c r="AU61">
        <v>0.87079854651908495</v>
      </c>
      <c r="AV61">
        <f t="shared" si="9"/>
        <v>1.3579619721967973</v>
      </c>
      <c r="BB61">
        <v>68.982511362201706</v>
      </c>
      <c r="BC61">
        <v>0.80587154953357598</v>
      </c>
      <c r="BD61">
        <f t="shared" si="10"/>
        <v>1.131746692039401</v>
      </c>
      <c r="BJ61">
        <v>10.0649298508018</v>
      </c>
      <c r="BK61">
        <v>98.375498388174904</v>
      </c>
      <c r="BL61">
        <f t="shared" si="11"/>
        <v>11.319110472367807</v>
      </c>
      <c r="BQ61">
        <v>237.02391121148</v>
      </c>
      <c r="BR61">
        <v>0.96966896366954602</v>
      </c>
      <c r="BS61">
        <f t="shared" si="12"/>
        <v>1.0184056393872634</v>
      </c>
      <c r="CA61">
        <v>302.648423788532</v>
      </c>
      <c r="CB61">
        <v>1.6223513986510101</v>
      </c>
      <c r="CC61">
        <f t="shared" si="13"/>
        <v>1</v>
      </c>
      <c r="CK61">
        <v>72.082379862700193</v>
      </c>
      <c r="CL61">
        <v>1.4461893764434099</v>
      </c>
      <c r="CM61">
        <f t="shared" si="14"/>
        <v>1.4448546377480429</v>
      </c>
      <c r="CT61">
        <v>11.225527587083601</v>
      </c>
      <c r="CU61">
        <v>1.54390556838593</v>
      </c>
      <c r="CV61">
        <f t="shared" si="15"/>
        <v>1.5424806440034917</v>
      </c>
      <c r="EC61">
        <v>112.046849594162</v>
      </c>
      <c r="ED61">
        <v>28.545751689219699</v>
      </c>
      <c r="EE61">
        <f t="shared" si="20"/>
        <v>0.64360015076631572</v>
      </c>
      <c r="EL61">
        <v>106.973397791549</v>
      </c>
      <c r="EM61">
        <v>3.5206262293972799</v>
      </c>
      <c r="EN61">
        <f t="shared" si="0"/>
        <v>0.95830117301566675</v>
      </c>
      <c r="ET61">
        <v>130.112743121948</v>
      </c>
      <c r="EU61">
        <v>0.36645967919539102</v>
      </c>
      <c r="EV61">
        <f t="shared" si="1"/>
        <v>0.49132549893191224</v>
      </c>
    </row>
    <row r="62" spans="21:152" x14ac:dyDescent="0.25">
      <c r="U62">
        <v>77.9124216487578</v>
      </c>
      <c r="V62">
        <v>7.7975361477056104</v>
      </c>
      <c r="W62">
        <f t="shared" si="3"/>
        <v>0.12824563824487628</v>
      </c>
      <c r="X62">
        <f t="shared" si="4"/>
        <v>0.70338645198642147</v>
      </c>
      <c r="AC62">
        <v>68.2189857681755</v>
      </c>
      <c r="AD62">
        <v>4.0899569849158697</v>
      </c>
      <c r="AE62">
        <f t="shared" si="5"/>
        <v>0.24450134895992554</v>
      </c>
      <c r="AF62">
        <f t="shared" si="6"/>
        <v>0.73056789451173398</v>
      </c>
      <c r="AK62">
        <v>129.90320114568701</v>
      </c>
      <c r="AL62">
        <v>0.47641945804637198</v>
      </c>
      <c r="AM62">
        <f t="shared" si="7"/>
        <v>2.0989906753612604</v>
      </c>
      <c r="AN62">
        <f t="shared" si="8"/>
        <v>0.99627587901223358</v>
      </c>
      <c r="AT62">
        <v>11.8092474323969</v>
      </c>
      <c r="AU62">
        <v>0.87079854651908495</v>
      </c>
      <c r="AV62">
        <f t="shared" si="9"/>
        <v>1.3579619721967973</v>
      </c>
      <c r="BB62">
        <v>67.187657192315697</v>
      </c>
      <c r="BC62">
        <v>0.81746212165390197</v>
      </c>
      <c r="BD62">
        <f t="shared" si="10"/>
        <v>1.1480242137655563</v>
      </c>
      <c r="BJ62">
        <v>9.6899930897648403</v>
      </c>
      <c r="BK62">
        <v>101.805513805339</v>
      </c>
      <c r="BL62">
        <f t="shared" si="11"/>
        <v>11.713768939820838</v>
      </c>
      <c r="BQ62">
        <v>244.279431342621</v>
      </c>
      <c r="BR62">
        <v>0.96966896366954602</v>
      </c>
      <c r="BS62">
        <f t="shared" si="12"/>
        <v>1.0184056393872634</v>
      </c>
      <c r="CK62">
        <v>68.421052631578902</v>
      </c>
      <c r="CL62">
        <v>1.4554272517321001</v>
      </c>
      <c r="CM62">
        <f t="shared" si="14"/>
        <v>1.4540839870789217</v>
      </c>
      <c r="CT62">
        <v>6.4581744215611501</v>
      </c>
      <c r="CU62">
        <v>1.6003592507056701</v>
      </c>
      <c r="CV62">
        <f t="shared" si="15"/>
        <v>1.598882223247718</v>
      </c>
      <c r="EC62">
        <v>113.957101944347</v>
      </c>
      <c r="ED62">
        <v>28.921215082187</v>
      </c>
      <c r="EE62">
        <f t="shared" si="20"/>
        <v>0.65206544882368822</v>
      </c>
      <c r="EL62">
        <v>110.399273792242</v>
      </c>
      <c r="EM62">
        <v>3.50921816602464</v>
      </c>
      <c r="EN62">
        <f t="shared" si="0"/>
        <v>0.95519594121896179</v>
      </c>
      <c r="ET62">
        <v>131.99208081375701</v>
      </c>
      <c r="EU62">
        <v>0.37623801922908401</v>
      </c>
      <c r="EV62">
        <f t="shared" si="1"/>
        <v>0.5044356664852121</v>
      </c>
    </row>
    <row r="63" spans="21:152" x14ac:dyDescent="0.25">
      <c r="U63">
        <v>80.703238121094302</v>
      </c>
      <c r="V63">
        <v>7.7889858521408497</v>
      </c>
      <c r="W63">
        <f t="shared" si="3"/>
        <v>0.12838641884618959</v>
      </c>
      <c r="X63">
        <f t="shared" si="4"/>
        <v>0.70415858871575965</v>
      </c>
      <c r="AC63">
        <v>71.233067558298998</v>
      </c>
      <c r="AD63">
        <v>4.1022694105291198</v>
      </c>
      <c r="AE63">
        <f t="shared" si="5"/>
        <v>0.24376751010875655</v>
      </c>
      <c r="AF63">
        <f t="shared" si="6"/>
        <v>0.7283751904359077</v>
      </c>
      <c r="AK63">
        <v>133.12110297227599</v>
      </c>
      <c r="AL63">
        <v>0.47872445841226102</v>
      </c>
      <c r="AM63">
        <f t="shared" si="7"/>
        <v>2.088884289130752</v>
      </c>
      <c r="AN63">
        <f t="shared" si="8"/>
        <v>0.99147893115361385</v>
      </c>
      <c r="AT63">
        <v>11.180997022319399</v>
      </c>
      <c r="AU63">
        <v>0.87079854651908495</v>
      </c>
      <c r="AV63">
        <f t="shared" si="9"/>
        <v>1.3579619721967973</v>
      </c>
      <c r="BB63">
        <v>67.187657192315697</v>
      </c>
      <c r="BC63">
        <v>0.81746212165390197</v>
      </c>
      <c r="BD63">
        <f t="shared" si="10"/>
        <v>1.1480242137655563</v>
      </c>
      <c r="BJ63">
        <v>9.3290233982316106</v>
      </c>
      <c r="BK63">
        <v>109.028492966988</v>
      </c>
      <c r="BL63">
        <f t="shared" si="11"/>
        <v>12.544846803820183</v>
      </c>
      <c r="BQ63">
        <v>251.757049624552</v>
      </c>
      <c r="BR63">
        <v>0.96966896366954602</v>
      </c>
      <c r="BS63">
        <f t="shared" si="12"/>
        <v>1.0184056393872634</v>
      </c>
      <c r="CK63">
        <v>66.590389016018307</v>
      </c>
      <c r="CL63">
        <v>1.46466512702078</v>
      </c>
      <c r="CM63">
        <f t="shared" si="14"/>
        <v>1.4633133364097903</v>
      </c>
      <c r="CT63">
        <v>2.9621154335113098</v>
      </c>
      <c r="CU63">
        <v>1.63885039774185</v>
      </c>
      <c r="CV63">
        <f t="shared" si="15"/>
        <v>1.6373378454596841</v>
      </c>
      <c r="EC63">
        <v>115.85936995869</v>
      </c>
      <c r="ED63">
        <v>29.169128710079399</v>
      </c>
      <c r="EE63">
        <f t="shared" si="20"/>
        <v>0.6576549757706639</v>
      </c>
      <c r="EL63">
        <v>113.531503278591</v>
      </c>
      <c r="EM63">
        <v>3.51736678271938</v>
      </c>
      <c r="EN63">
        <f t="shared" si="0"/>
        <v>0.95741396393089317</v>
      </c>
      <c r="ET63">
        <v>133.284125476876</v>
      </c>
      <c r="EU63">
        <v>0.37428235122234599</v>
      </c>
      <c r="EV63">
        <f t="shared" si="1"/>
        <v>0.50181363297455295</v>
      </c>
    </row>
    <row r="64" spans="21:152" x14ac:dyDescent="0.25">
      <c r="U64">
        <v>82.098646357262595</v>
      </c>
      <c r="V64">
        <v>7.7847107043584698</v>
      </c>
      <c r="W64">
        <f t="shared" si="3"/>
        <v>0.1284569251160643</v>
      </c>
      <c r="X64">
        <f t="shared" si="4"/>
        <v>0.70454529313462866</v>
      </c>
      <c r="AC64">
        <v>72.572659465020493</v>
      </c>
      <c r="AD64">
        <v>4.0838007721092504</v>
      </c>
      <c r="AE64">
        <f t="shared" si="5"/>
        <v>0.24486992774711389</v>
      </c>
      <c r="AF64">
        <f t="shared" si="6"/>
        <v>0.73166920470762176</v>
      </c>
      <c r="AK64">
        <v>136.33900479886501</v>
      </c>
      <c r="AL64">
        <v>0.48102945877814901</v>
      </c>
      <c r="AM64">
        <f t="shared" si="7"/>
        <v>2.0788747586064171</v>
      </c>
      <c r="AN64">
        <f t="shared" si="8"/>
        <v>0.98672795539241132</v>
      </c>
      <c r="AT64">
        <v>10.300729821935001</v>
      </c>
      <c r="AU64">
        <v>0.87079854651908495</v>
      </c>
      <c r="AV64">
        <f t="shared" si="9"/>
        <v>1.3579619721967973</v>
      </c>
      <c r="BB64">
        <v>65.872230610259294</v>
      </c>
      <c r="BC64">
        <v>0.82136257315091399</v>
      </c>
      <c r="BD64">
        <f t="shared" si="10"/>
        <v>1.1535019143764766</v>
      </c>
      <c r="BJ64">
        <v>8.6059873167941099</v>
      </c>
      <c r="BK64">
        <v>119.189865829251</v>
      </c>
      <c r="BL64">
        <f t="shared" si="11"/>
        <v>13.714017012493819</v>
      </c>
      <c r="BQ64">
        <v>259.51789871723798</v>
      </c>
      <c r="BR64">
        <v>0.96142605807980097</v>
      </c>
      <c r="BS64">
        <f t="shared" si="12"/>
        <v>1.0097484358961202</v>
      </c>
      <c r="CK64">
        <v>62.471395881006799</v>
      </c>
      <c r="CL64">
        <v>1.4757505773671999</v>
      </c>
      <c r="CM64">
        <f t="shared" si="14"/>
        <v>1.4743885556068366</v>
      </c>
      <c r="CT64">
        <v>2.3264683447749799</v>
      </c>
      <c r="CU64">
        <v>1.6696433153707899</v>
      </c>
      <c r="CV64">
        <f t="shared" si="15"/>
        <v>1.6681023432292528</v>
      </c>
      <c r="EC64">
        <v>117.761637973033</v>
      </c>
      <c r="ED64">
        <v>29.417042337971701</v>
      </c>
      <c r="EE64">
        <f t="shared" si="20"/>
        <v>0.66324450271763746</v>
      </c>
      <c r="EL64">
        <v>115.88067539335201</v>
      </c>
      <c r="EM64">
        <v>3.4847723159404</v>
      </c>
      <c r="EN64">
        <f t="shared" si="0"/>
        <v>0.94854187308316229</v>
      </c>
      <c r="ET64">
        <v>134.45871153425699</v>
      </c>
      <c r="EU64">
        <v>0.37428235122234599</v>
      </c>
      <c r="EV64">
        <f t="shared" si="1"/>
        <v>0.50181363297455295</v>
      </c>
    </row>
    <row r="65" spans="21:152" x14ac:dyDescent="0.25">
      <c r="U65">
        <v>82.563782435985303</v>
      </c>
      <c r="V65">
        <v>7.76333496544658</v>
      </c>
      <c r="W65">
        <f t="shared" si="3"/>
        <v>0.12881062126661383</v>
      </c>
      <c r="X65">
        <f t="shared" si="4"/>
        <v>0.70648520379218449</v>
      </c>
      <c r="AC65">
        <v>73.912251371742101</v>
      </c>
      <c r="AD65">
        <v>4.0838007721092504</v>
      </c>
      <c r="AE65">
        <f t="shared" si="5"/>
        <v>0.24486992774711389</v>
      </c>
      <c r="AF65">
        <f t="shared" si="6"/>
        <v>0.73166920470762176</v>
      </c>
      <c r="AK65">
        <v>138.349814328581</v>
      </c>
      <c r="AL65">
        <v>0.48216679448500199</v>
      </c>
      <c r="AM65">
        <f t="shared" si="7"/>
        <v>2.073971105928377</v>
      </c>
      <c r="AN65">
        <f t="shared" si="8"/>
        <v>0.98440046011597593</v>
      </c>
      <c r="AT65">
        <v>9.9547289558914898</v>
      </c>
      <c r="AU65">
        <v>0.88815974168490397</v>
      </c>
      <c r="AV65">
        <f t="shared" si="9"/>
        <v>1.3850357918779517</v>
      </c>
      <c r="BB65">
        <v>64.582557971190099</v>
      </c>
      <c r="BC65">
        <v>0.82136257315091399</v>
      </c>
      <c r="BD65">
        <f t="shared" si="10"/>
        <v>1.1535019143764766</v>
      </c>
      <c r="BJ65">
        <v>8.4041955402055901</v>
      </c>
      <c r="BK65">
        <v>125.048194972651</v>
      </c>
      <c r="BL65">
        <f t="shared" si="11"/>
        <v>14.388077889888136</v>
      </c>
      <c r="BQ65">
        <v>269.20372359387198</v>
      </c>
      <c r="BR65">
        <v>0.95522811429396404</v>
      </c>
      <c r="BS65">
        <f t="shared" si="12"/>
        <v>1.0032389763376595</v>
      </c>
      <c r="CK65">
        <v>59.267734553775703</v>
      </c>
      <c r="CL65">
        <v>1.4831408775981501</v>
      </c>
      <c r="CM65">
        <f t="shared" si="14"/>
        <v>1.4817720350715375</v>
      </c>
      <c r="CT65">
        <v>1.69082125603866</v>
      </c>
      <c r="CU65">
        <v>1.7196818065178301</v>
      </c>
      <c r="CV65">
        <f t="shared" si="15"/>
        <v>1.7180946521048148</v>
      </c>
      <c r="EC65">
        <v>120.300656770771</v>
      </c>
      <c r="ED65">
        <v>29.790110430186498</v>
      </c>
      <c r="EE65">
        <f t="shared" si="20"/>
        <v>0.67165579568373657</v>
      </c>
      <c r="EL65">
        <v>115.88067539335201</v>
      </c>
      <c r="EM65">
        <v>3.4847723159404</v>
      </c>
      <c r="EN65">
        <f t="shared" si="0"/>
        <v>0.94854187308316229</v>
      </c>
      <c r="ET65">
        <v>135.63329759163801</v>
      </c>
      <c r="EU65">
        <v>0.37428235122234599</v>
      </c>
      <c r="EV65">
        <f t="shared" si="1"/>
        <v>0.50181363297455295</v>
      </c>
    </row>
    <row r="66" spans="21:152" x14ac:dyDescent="0.25">
      <c r="U66">
        <v>84.191758711515007</v>
      </c>
      <c r="V66">
        <v>7.7547846698818201</v>
      </c>
      <c r="W66">
        <f t="shared" si="3"/>
        <v>0.12895264569805773</v>
      </c>
      <c r="X66">
        <f t="shared" si="4"/>
        <v>0.70726416253336188</v>
      </c>
      <c r="AC66">
        <v>75.9216392318244</v>
      </c>
      <c r="AD66">
        <v>4.0838007721092504</v>
      </c>
      <c r="AE66">
        <f t="shared" si="5"/>
        <v>0.24486992774711389</v>
      </c>
      <c r="AF66">
        <f t="shared" si="6"/>
        <v>0.73166920470762176</v>
      </c>
      <c r="AK66">
        <v>139.958765241875</v>
      </c>
      <c r="AL66">
        <v>0.48331929466794599</v>
      </c>
      <c r="AM66">
        <f t="shared" si="7"/>
        <v>2.0690256131550226</v>
      </c>
      <c r="AN66">
        <f t="shared" si="8"/>
        <v>0.9820531056385321</v>
      </c>
      <c r="AT66">
        <v>9.4251386848305003</v>
      </c>
      <c r="AU66">
        <v>0.88815974168490397</v>
      </c>
      <c r="AV66">
        <f t="shared" si="9"/>
        <v>1.3850357918779517</v>
      </c>
      <c r="BB66">
        <v>63.109817881620003</v>
      </c>
      <c r="BC66">
        <v>0.82136257315091399</v>
      </c>
      <c r="BD66">
        <f t="shared" si="10"/>
        <v>1.1535019143764766</v>
      </c>
      <c r="BJ66">
        <v>8.0528192818499296</v>
      </c>
      <c r="BK66">
        <v>130.29827093635299</v>
      </c>
      <c r="BL66">
        <f t="shared" si="11"/>
        <v>14.992152997970221</v>
      </c>
      <c r="BQ66">
        <v>277.06694795002198</v>
      </c>
      <c r="BR66">
        <v>0.95522811429396404</v>
      </c>
      <c r="BS66">
        <f t="shared" si="12"/>
        <v>1.0032389763376595</v>
      </c>
      <c r="CK66">
        <v>55.606407322654398</v>
      </c>
      <c r="CL66">
        <v>1.4905311778290899</v>
      </c>
      <c r="CM66">
        <f t="shared" si="14"/>
        <v>1.4891555145362285</v>
      </c>
      <c r="CT66">
        <v>0.10170353419781</v>
      </c>
      <c r="CU66">
        <v>1.80821144470105</v>
      </c>
      <c r="CV66">
        <f t="shared" si="15"/>
        <v>1.8065425831923425</v>
      </c>
      <c r="EC66">
        <v>122.831691232666</v>
      </c>
      <c r="ED66">
        <v>30.035628757326201</v>
      </c>
      <c r="EE66">
        <f t="shared" si="20"/>
        <v>0.67719131753943473</v>
      </c>
      <c r="EL66">
        <v>116.85949710783601</v>
      </c>
      <c r="EM66">
        <v>3.4521778491614201</v>
      </c>
      <c r="EN66">
        <f t="shared" si="0"/>
        <v>0.93966978223543152</v>
      </c>
      <c r="ET66">
        <v>137.04280086049499</v>
      </c>
      <c r="EU66">
        <v>0.37232668321560702</v>
      </c>
      <c r="EV66">
        <f t="shared" si="1"/>
        <v>0.49919159946389247</v>
      </c>
    </row>
    <row r="67" spans="21:152" x14ac:dyDescent="0.25">
      <c r="U67">
        <v>85.122030868960493</v>
      </c>
      <c r="V67">
        <v>7.7547846698818201</v>
      </c>
      <c r="W67">
        <f t="shared" si="3"/>
        <v>0.12895264569805773</v>
      </c>
      <c r="X67">
        <f t="shared" si="4"/>
        <v>0.70726416253336188</v>
      </c>
      <c r="AC67">
        <v>77.596129115226304</v>
      </c>
      <c r="AD67">
        <v>4.0838007721092504</v>
      </c>
      <c r="AE67">
        <f t="shared" si="5"/>
        <v>0.24486992774711389</v>
      </c>
      <c r="AF67">
        <f t="shared" si="6"/>
        <v>0.73166920470762176</v>
      </c>
      <c r="AK67">
        <v>143.57852568488499</v>
      </c>
      <c r="AL67">
        <v>0.48560913055774302</v>
      </c>
      <c r="AM67">
        <f t="shared" si="7"/>
        <v>2.059269352805325</v>
      </c>
      <c r="AN67">
        <f t="shared" si="8"/>
        <v>0.97742234335365707</v>
      </c>
      <c r="AT67">
        <v>9.0465186213990503</v>
      </c>
      <c r="AU67">
        <v>0.88815974168490397</v>
      </c>
      <c r="AV67">
        <f t="shared" si="9"/>
        <v>1.3850357918779517</v>
      </c>
      <c r="BB67">
        <v>61.4677651707404</v>
      </c>
      <c r="BC67">
        <v>0.82528163532293897</v>
      </c>
      <c r="BD67">
        <f t="shared" si="10"/>
        <v>1.159005751373394</v>
      </c>
      <c r="BJ67">
        <v>7.7528372627489501</v>
      </c>
      <c r="BK67">
        <v>136.702591913227</v>
      </c>
      <c r="BL67">
        <f t="shared" si="11"/>
        <v>15.729035837960518</v>
      </c>
      <c r="BQ67">
        <v>285.159850768453</v>
      </c>
      <c r="BR67">
        <v>0.95522811429396404</v>
      </c>
      <c r="BS67">
        <f t="shared" si="12"/>
        <v>1.0032389763376595</v>
      </c>
      <c r="CK67">
        <v>53.3180778032036</v>
      </c>
      <c r="CL67">
        <v>1.5016166281755099</v>
      </c>
      <c r="CM67">
        <f t="shared" si="14"/>
        <v>1.5002307337332748</v>
      </c>
      <c r="EC67">
        <v>124.74194358285099</v>
      </c>
      <c r="ED67">
        <v>30.411092150293499</v>
      </c>
      <c r="EE67">
        <f t="shared" si="20"/>
        <v>0.68565661559680702</v>
      </c>
      <c r="EL67">
        <v>119.69808007984</v>
      </c>
      <c r="EM67">
        <v>3.4505481258224702</v>
      </c>
      <c r="EN67">
        <f t="shared" si="0"/>
        <v>0.93922617769304473</v>
      </c>
      <c r="ET67">
        <v>138.569762735089</v>
      </c>
      <c r="EU67">
        <v>0.37232668321560702</v>
      </c>
      <c r="EV67">
        <f t="shared" si="1"/>
        <v>0.49919159946389247</v>
      </c>
    </row>
    <row r="68" spans="21:152" x14ac:dyDescent="0.25">
      <c r="U68">
        <v>86.284871065767405</v>
      </c>
      <c r="V68">
        <v>7.7462343743170701</v>
      </c>
      <c r="W68">
        <f t="shared" si="3"/>
        <v>0.12909498366271197</v>
      </c>
      <c r="X68">
        <f t="shared" si="4"/>
        <v>0.70804484090427022</v>
      </c>
      <c r="AC68">
        <v>79.940414951988998</v>
      </c>
      <c r="AD68">
        <v>4.0838007721092504</v>
      </c>
      <c r="AE68">
        <f t="shared" si="5"/>
        <v>0.24486992774711389</v>
      </c>
      <c r="AF68">
        <f t="shared" si="6"/>
        <v>0.73166920470762176</v>
      </c>
      <c r="AK68">
        <v>147.19676968028699</v>
      </c>
      <c r="AL68">
        <v>0.48668580836023101</v>
      </c>
      <c r="AM68">
        <f t="shared" si="7"/>
        <v>2.0547137040409207</v>
      </c>
      <c r="AN68">
        <f t="shared" si="8"/>
        <v>0.97526002646940191</v>
      </c>
      <c r="AT68">
        <v>8.4489816808343399</v>
      </c>
      <c r="AU68">
        <v>0.88815974168490397</v>
      </c>
      <c r="AV68">
        <f t="shared" si="9"/>
        <v>1.3850357918779517</v>
      </c>
      <c r="BB68">
        <v>59.868436986658999</v>
      </c>
      <c r="BC68">
        <v>0.82528163532293897</v>
      </c>
      <c r="BD68">
        <f t="shared" si="10"/>
        <v>1.159005751373394</v>
      </c>
      <c r="BJ68">
        <v>7.5352072922053797</v>
      </c>
      <c r="BK68">
        <v>144.40815395251599</v>
      </c>
      <c r="BL68">
        <f t="shared" si="11"/>
        <v>16.615639813578905</v>
      </c>
      <c r="BQ68">
        <v>293.48914077241199</v>
      </c>
      <c r="BR68">
        <v>0.95522811429396404</v>
      </c>
      <c r="BS68">
        <f t="shared" si="12"/>
        <v>1.0032389763376595</v>
      </c>
      <c r="CK68">
        <v>49.656750572082302</v>
      </c>
      <c r="CL68">
        <v>1.5163972286374101</v>
      </c>
      <c r="CM68">
        <f t="shared" si="14"/>
        <v>1.5149976926626767</v>
      </c>
      <c r="EC68">
        <v>127.90972882814199</v>
      </c>
      <c r="ED68">
        <v>30.7817649417557</v>
      </c>
      <c r="EE68">
        <f t="shared" si="20"/>
        <v>0.69401390347163072</v>
      </c>
      <c r="EL68">
        <v>121.26419482301399</v>
      </c>
      <c r="EM68">
        <v>3.4472886791445698</v>
      </c>
      <c r="EN68">
        <f t="shared" ref="EN68:EN131" si="21">EM68/3.67382022325848</f>
        <v>0.93833896860827104</v>
      </c>
      <c r="ET68">
        <v>140.44910042689901</v>
      </c>
      <c r="EU68">
        <v>0.37232668321560702</v>
      </c>
      <c r="EV68">
        <f t="shared" ref="EV68:EV131" si="22">EU68/0.745859272502718</f>
        <v>0.49919159946389247</v>
      </c>
    </row>
    <row r="69" spans="21:152" x14ac:dyDescent="0.25">
      <c r="U69">
        <v>87.680279301935599</v>
      </c>
      <c r="V69">
        <v>7.7334089309699303</v>
      </c>
      <c r="W69">
        <f t="shared" ref="W69:W132" si="23">1/V69</f>
        <v>0.1293090807593669</v>
      </c>
      <c r="X69">
        <f t="shared" ref="X69:X132" si="24">W69/0.182326</f>
        <v>0.70921909524350291</v>
      </c>
      <c r="AC69">
        <v>82.284700788751707</v>
      </c>
      <c r="AD69">
        <v>4.0714883464960003</v>
      </c>
      <c r="AE69">
        <f t="shared" ref="AE69:AE132" si="25">1/AD69</f>
        <v>0.24561042913474598</v>
      </c>
      <c r="AF69">
        <f t="shared" ref="AF69:AF132" si="26">AE69/0.334673</f>
        <v>0.73388181638418992</v>
      </c>
      <c r="AK69">
        <v>150.41163861165799</v>
      </c>
      <c r="AL69">
        <v>0.48656449255150003</v>
      </c>
      <c r="AM69">
        <f t="shared" ref="AM69:AM128" si="27">1/AL69</f>
        <v>2.0552260086963821</v>
      </c>
      <c r="AN69">
        <f t="shared" ref="AN69:AN129" si="28">AM69/2.10683679047045</f>
        <v>0.97550318942240266</v>
      </c>
      <c r="AT69">
        <v>7.8909130053870999</v>
      </c>
      <c r="AU69">
        <v>0.905867068684303</v>
      </c>
      <c r="AV69">
        <f t="shared" ref="AV69:AV104" si="29">AU69/0.641254</f>
        <v>1.412649384930625</v>
      </c>
      <c r="BB69">
        <v>58.310721681023601</v>
      </c>
      <c r="BC69">
        <v>0.833175947312781</v>
      </c>
      <c r="BD69">
        <f t="shared" ref="BD69:BD132" si="30">BC69/0.71206</f>
        <v>1.170092333950483</v>
      </c>
      <c r="BJ69">
        <v>7.18598155168511</v>
      </c>
      <c r="BK69">
        <v>152.54805805884499</v>
      </c>
      <c r="BL69">
        <f t="shared" ref="BL69:BL127" si="31">BK69/8.691098</f>
        <v>17.552219300581466</v>
      </c>
      <c r="BQ69">
        <v>300.09167967151598</v>
      </c>
      <c r="BR69">
        <v>0.952144141948153</v>
      </c>
      <c r="BS69">
        <f t="shared" ref="BS69" si="32">BR69/0.952144141948153</f>
        <v>1</v>
      </c>
      <c r="CK69">
        <v>45.995423340961104</v>
      </c>
      <c r="CL69">
        <v>1.5200923787528799</v>
      </c>
      <c r="CM69">
        <f t="shared" ref="CM69:CM97" si="33">CL69/1.00092378752886</f>
        <v>1.5186894323950222</v>
      </c>
      <c r="EC69">
        <v>129.80800467456399</v>
      </c>
      <c r="ED69">
        <v>30.965903687110501</v>
      </c>
      <c r="EE69">
        <f t="shared" ref="EE69:EE132" si="34">ED69/44.3532395932958</f>
        <v>0.69816554486340487</v>
      </c>
      <c r="EL69">
        <v>124.004895623569</v>
      </c>
      <c r="EM69">
        <v>3.4505481258224702</v>
      </c>
      <c r="EN69">
        <f t="shared" si="21"/>
        <v>0.93922617769304473</v>
      </c>
      <c r="ET69">
        <v>141.741145090017</v>
      </c>
      <c r="EU69">
        <v>0.37819368723582297</v>
      </c>
      <c r="EV69">
        <f t="shared" si="22"/>
        <v>0.50705769999587258</v>
      </c>
    </row>
    <row r="70" spans="21:152" x14ac:dyDescent="0.25">
      <c r="U70">
        <v>88.610551459381099</v>
      </c>
      <c r="V70">
        <v>7.7248586354051803</v>
      </c>
      <c r="W70">
        <f t="shared" si="23"/>
        <v>0.12945220711440872</v>
      </c>
      <c r="X70">
        <f t="shared" si="24"/>
        <v>0.71000409768441541</v>
      </c>
      <c r="AC70">
        <v>84.294088648834006</v>
      </c>
      <c r="AD70">
        <v>4.0714883464960003</v>
      </c>
      <c r="AE70">
        <f t="shared" si="25"/>
        <v>0.24561042913474598</v>
      </c>
      <c r="AF70">
        <f t="shared" si="26"/>
        <v>0.73388181638418992</v>
      </c>
      <c r="AK70">
        <v>152.82582320540399</v>
      </c>
      <c r="AL70">
        <v>0.48889982186957098</v>
      </c>
      <c r="AM70">
        <f t="shared" si="27"/>
        <v>2.0454088041512533</v>
      </c>
      <c r="AN70">
        <f t="shared" si="28"/>
        <v>0.9708435002668242</v>
      </c>
      <c r="AT70">
        <v>7.42023831600401</v>
      </c>
      <c r="AU70">
        <v>0.905867068684303</v>
      </c>
      <c r="AV70">
        <f t="shared" si="29"/>
        <v>1.412649384930625</v>
      </c>
      <c r="BB70">
        <v>58.310721681023601</v>
      </c>
      <c r="BC70">
        <v>0.833175947312781</v>
      </c>
      <c r="BD70">
        <f t="shared" si="30"/>
        <v>1.170092333950483</v>
      </c>
      <c r="BJ70">
        <v>6.9511990288743801</v>
      </c>
      <c r="BK70">
        <v>160.04598355844499</v>
      </c>
      <c r="BL70">
        <f t="shared" si="31"/>
        <v>18.414932561851792</v>
      </c>
      <c r="CK70">
        <v>42.791762013729901</v>
      </c>
      <c r="CL70">
        <v>1.5311778290992999</v>
      </c>
      <c r="CM70">
        <f t="shared" si="33"/>
        <v>1.5297646515920684</v>
      </c>
      <c r="EC70">
        <v>132.03264024852501</v>
      </c>
      <c r="ED70">
        <v>31.3401694297016</v>
      </c>
      <c r="EE70">
        <f t="shared" si="34"/>
        <v>0.70660384037514179</v>
      </c>
      <c r="EL70">
        <v>124.49430648081101</v>
      </c>
      <c r="EM70">
        <v>3.43262116909403</v>
      </c>
      <c r="EN70">
        <f t="shared" si="21"/>
        <v>0.9343465277267925</v>
      </c>
      <c r="ET70">
        <v>143.38556557035</v>
      </c>
      <c r="EU70">
        <v>0.38406069125603898</v>
      </c>
      <c r="EV70">
        <f t="shared" si="22"/>
        <v>0.5149238005278528</v>
      </c>
    </row>
    <row r="71" spans="21:152" x14ac:dyDescent="0.25">
      <c r="U71">
        <v>90.238527734910804</v>
      </c>
      <c r="V71">
        <v>7.7291337831875504</v>
      </c>
      <c r="W71">
        <f t="shared" si="23"/>
        <v>0.12938060435377699</v>
      </c>
      <c r="X71">
        <f t="shared" si="24"/>
        <v>0.70961137936321206</v>
      </c>
      <c r="AC71">
        <v>86.303476508916305</v>
      </c>
      <c r="AD71">
        <v>4.0714883464960003</v>
      </c>
      <c r="AE71">
        <f t="shared" si="25"/>
        <v>0.24561042913474598</v>
      </c>
      <c r="AF71">
        <f t="shared" si="26"/>
        <v>0.73388181638418992</v>
      </c>
      <c r="AK71">
        <v>155.63883352035299</v>
      </c>
      <c r="AL71">
        <v>0.48879367053693101</v>
      </c>
      <c r="AM71">
        <f t="shared" si="27"/>
        <v>2.0458530056281581</v>
      </c>
      <c r="AN71">
        <f t="shared" si="28"/>
        <v>0.97105433837204147</v>
      </c>
      <c r="AT71">
        <v>7.2201631060482496</v>
      </c>
      <c r="AU71">
        <v>0.905867068684303</v>
      </c>
      <c r="AV71">
        <f t="shared" si="29"/>
        <v>1.412649384930625</v>
      </c>
      <c r="BB71">
        <v>56.793536529431698</v>
      </c>
      <c r="BC71">
        <v>0.83715137600224199</v>
      </c>
      <c r="BD71">
        <f t="shared" si="30"/>
        <v>1.1756753307337049</v>
      </c>
      <c r="BJ71">
        <v>6.6605720088143903</v>
      </c>
      <c r="BK71">
        <v>172.579958294211</v>
      </c>
      <c r="BL71">
        <f t="shared" si="31"/>
        <v>19.857094960177758</v>
      </c>
      <c r="CK71">
        <v>40.503432494279103</v>
      </c>
      <c r="CL71">
        <v>1.53856812933025</v>
      </c>
      <c r="CM71">
        <f t="shared" si="33"/>
        <v>1.5371481310567694</v>
      </c>
      <c r="EC71">
        <v>133.938900430789</v>
      </c>
      <c r="ED71">
        <v>31.6518579401314</v>
      </c>
      <c r="EE71">
        <f t="shared" si="34"/>
        <v>0.71363125287731466</v>
      </c>
      <c r="EL71">
        <v>126.549832081227</v>
      </c>
      <c r="EM71">
        <v>3.4309914457550801</v>
      </c>
      <c r="EN71">
        <f t="shared" si="21"/>
        <v>0.93390292318440571</v>
      </c>
      <c r="ET71">
        <v>144.67761023346901</v>
      </c>
      <c r="EU71">
        <v>0.38210502324930101</v>
      </c>
      <c r="EV71">
        <f t="shared" si="22"/>
        <v>0.51230176701719365</v>
      </c>
    </row>
    <row r="72" spans="21:152" x14ac:dyDescent="0.25">
      <c r="U72">
        <v>90.4710957742722</v>
      </c>
      <c r="V72">
        <v>7.7034828964932798</v>
      </c>
      <c r="W72">
        <f t="shared" si="23"/>
        <v>0.12981141302399885</v>
      </c>
      <c r="X72">
        <f t="shared" si="24"/>
        <v>0.7119742276142671</v>
      </c>
      <c r="AC72">
        <v>87.643068415637799</v>
      </c>
      <c r="AD72">
        <v>4.0591759208827503</v>
      </c>
      <c r="AE72">
        <f t="shared" si="25"/>
        <v>0.24635542274859812</v>
      </c>
      <c r="AF72">
        <f t="shared" si="26"/>
        <v>0.73610785079345542</v>
      </c>
      <c r="AK72">
        <v>157.24626798603899</v>
      </c>
      <c r="AL72">
        <v>0.48873301263256602</v>
      </c>
      <c r="AM72">
        <f t="shared" si="27"/>
        <v>2.0461069216779291</v>
      </c>
      <c r="AN72">
        <f t="shared" si="28"/>
        <v>0.97117485840991036</v>
      </c>
      <c r="AT72">
        <v>6.8360513785085804</v>
      </c>
      <c r="AU72">
        <v>0.92392742838125597</v>
      </c>
      <c r="AV72">
        <f t="shared" si="29"/>
        <v>1.440813512868935</v>
      </c>
      <c r="BB72">
        <v>55.498417216990198</v>
      </c>
      <c r="BC72">
        <v>0.83715137600224199</v>
      </c>
      <c r="BD72">
        <f t="shared" si="30"/>
        <v>1.1756753307337049</v>
      </c>
      <c r="BJ72">
        <v>6.5043960107238998</v>
      </c>
      <c r="BK72">
        <v>179.82562778232599</v>
      </c>
      <c r="BL72">
        <f t="shared" si="31"/>
        <v>20.690783579051345</v>
      </c>
      <c r="CK72">
        <v>37.757437070938202</v>
      </c>
      <c r="CL72">
        <v>1.5478060046189299</v>
      </c>
      <c r="CM72">
        <f t="shared" si="33"/>
        <v>1.546377480387638</v>
      </c>
      <c r="EC72">
        <v>136.473927060606</v>
      </c>
      <c r="ED72">
        <v>31.9611511498087</v>
      </c>
      <c r="EE72">
        <f t="shared" si="34"/>
        <v>0.72060466028821446</v>
      </c>
      <c r="EL72">
        <v>128.605357681643</v>
      </c>
      <c r="EM72">
        <v>3.4293617224161301</v>
      </c>
      <c r="EN72">
        <f t="shared" si="21"/>
        <v>0.93345931864201881</v>
      </c>
      <c r="ET72">
        <v>146.08711350232599</v>
      </c>
      <c r="EU72">
        <v>0.38210502324930101</v>
      </c>
      <c r="EV72">
        <f t="shared" si="22"/>
        <v>0.51230176701719365</v>
      </c>
    </row>
    <row r="73" spans="21:152" x14ac:dyDescent="0.25">
      <c r="U73">
        <v>90.4710957742722</v>
      </c>
      <c r="V73">
        <v>7.7034828964932798</v>
      </c>
      <c r="W73">
        <f t="shared" si="23"/>
        <v>0.12981141302399885</v>
      </c>
      <c r="X73">
        <f t="shared" si="24"/>
        <v>0.7119742276142671</v>
      </c>
      <c r="AC73">
        <v>88.647762345678998</v>
      </c>
      <c r="AD73">
        <v>4.0591759208827503</v>
      </c>
      <c r="AE73">
        <f t="shared" si="25"/>
        <v>0.24635542274859812</v>
      </c>
      <c r="AF73">
        <f t="shared" si="26"/>
        <v>0.73610785079345542</v>
      </c>
      <c r="AK73">
        <v>159.66045257978499</v>
      </c>
      <c r="AL73">
        <v>0.49106834195063698</v>
      </c>
      <c r="AM73">
        <f t="shared" si="27"/>
        <v>2.0363764359717607</v>
      </c>
      <c r="AN73">
        <f t="shared" si="28"/>
        <v>0.96655632993623786</v>
      </c>
      <c r="AT73">
        <v>6.5614383151785596</v>
      </c>
      <c r="AU73">
        <v>0.92392742838125597</v>
      </c>
      <c r="AV73">
        <f t="shared" si="29"/>
        <v>1.440813512868935</v>
      </c>
      <c r="BB73">
        <v>55.498417216990198</v>
      </c>
      <c r="BC73">
        <v>0.83715137600224199</v>
      </c>
      <c r="BD73">
        <f t="shared" si="30"/>
        <v>1.1756753307337049</v>
      </c>
      <c r="BJ73">
        <v>6.2324496570035599</v>
      </c>
      <c r="BK73">
        <v>191.268487351169</v>
      </c>
      <c r="BL73">
        <f t="shared" si="31"/>
        <v>22.007401982024479</v>
      </c>
      <c r="CK73">
        <v>35.011441647597202</v>
      </c>
      <c r="CL73">
        <v>1.55334872979214</v>
      </c>
      <c r="CM73">
        <f t="shared" si="33"/>
        <v>1.5519150899861613</v>
      </c>
      <c r="EC73">
        <v>138.38018724286999</v>
      </c>
      <c r="ED73">
        <v>32.272839660238503</v>
      </c>
      <c r="EE73">
        <f t="shared" si="34"/>
        <v>0.72763207279038744</v>
      </c>
      <c r="EL73">
        <v>130.95452979640501</v>
      </c>
      <c r="EM73">
        <v>3.4309914457550801</v>
      </c>
      <c r="EN73">
        <f t="shared" si="21"/>
        <v>0.93390292318440571</v>
      </c>
      <c r="ET73">
        <v>147.37915816544501</v>
      </c>
      <c r="EU73">
        <v>0.38406069125603898</v>
      </c>
      <c r="EV73">
        <f t="shared" si="22"/>
        <v>0.5149238005278528</v>
      </c>
    </row>
    <row r="74" spans="21:152" x14ac:dyDescent="0.25">
      <c r="U74">
        <v>91.866504010440394</v>
      </c>
      <c r="V74">
        <v>7.6863823053637699</v>
      </c>
      <c r="W74">
        <f t="shared" si="23"/>
        <v>0.13010021623594917</v>
      </c>
      <c r="X74">
        <f t="shared" si="24"/>
        <v>0.71355822118594814</v>
      </c>
      <c r="AC74">
        <v>90.322252229080902</v>
      </c>
      <c r="AD74">
        <v>4.0591759208827503</v>
      </c>
      <c r="AE74">
        <f t="shared" si="25"/>
        <v>0.24635542274859812</v>
      </c>
      <c r="AF74">
        <f t="shared" si="26"/>
        <v>0.73610785079345542</v>
      </c>
      <c r="AK74">
        <v>162.87532151115599</v>
      </c>
      <c r="AL74">
        <v>0.490947026141906</v>
      </c>
      <c r="AM74">
        <f t="shared" si="27"/>
        <v>2.0368796361971535</v>
      </c>
      <c r="AN74">
        <f t="shared" si="28"/>
        <v>0.96679517151507721</v>
      </c>
      <c r="AT74">
        <v>6.1280448805725003</v>
      </c>
      <c r="AU74">
        <v>0.92392742838125597</v>
      </c>
      <c r="AV74">
        <f t="shared" si="29"/>
        <v>1.440813512868935</v>
      </c>
      <c r="BB74">
        <v>53.876565914668099</v>
      </c>
      <c r="BC74">
        <v>0.84114577311405903</v>
      </c>
      <c r="BD74">
        <f t="shared" si="30"/>
        <v>1.1812849663147194</v>
      </c>
      <c r="BJ74">
        <v>6.0574985017942096</v>
      </c>
      <c r="BK74">
        <v>200.66956978269499</v>
      </c>
      <c r="BL74">
        <f t="shared" si="31"/>
        <v>23.089092975674074</v>
      </c>
      <c r="CK74">
        <v>31.3501144164759</v>
      </c>
      <c r="CL74">
        <v>1.5625866050808299</v>
      </c>
      <c r="CM74">
        <f t="shared" si="33"/>
        <v>1.5611444393170399</v>
      </c>
      <c r="EC74">
        <v>140.907229536844</v>
      </c>
      <c r="ED74">
        <v>32.454583104840701</v>
      </c>
      <c r="EE74">
        <f t="shared" si="34"/>
        <v>0.73172970909088597</v>
      </c>
      <c r="EL74">
        <v>133.69523059695999</v>
      </c>
      <c r="EM74">
        <v>3.4309914457550801</v>
      </c>
      <c r="EN74">
        <f t="shared" si="21"/>
        <v>0.93390292318440571</v>
      </c>
      <c r="ET74">
        <v>148.553744222825</v>
      </c>
      <c r="EU74">
        <v>0.38406069125603898</v>
      </c>
      <c r="EV74">
        <f t="shared" si="22"/>
        <v>0.5149238005278528</v>
      </c>
    </row>
    <row r="75" spans="21:152" x14ac:dyDescent="0.25">
      <c r="U75">
        <v>93.029344207247306</v>
      </c>
      <c r="V75">
        <v>7.6906574531461498</v>
      </c>
      <c r="W75">
        <f t="shared" si="23"/>
        <v>0.13002789502618048</v>
      </c>
      <c r="X75">
        <f t="shared" si="24"/>
        <v>0.71316156240020889</v>
      </c>
      <c r="AC75">
        <v>92.666538065843596</v>
      </c>
      <c r="AD75">
        <v>4.0591759208827503</v>
      </c>
      <c r="AE75">
        <f t="shared" si="25"/>
        <v>0.24635542274859812</v>
      </c>
      <c r="AF75">
        <f t="shared" si="26"/>
        <v>0.73610785079345542</v>
      </c>
      <c r="AK75">
        <v>165.286473209684</v>
      </c>
      <c r="AL75">
        <v>0.49085603928535798</v>
      </c>
      <c r="AM75">
        <f t="shared" si="27"/>
        <v>2.037257199597482</v>
      </c>
      <c r="AN75">
        <f t="shared" si="28"/>
        <v>0.96697438017615445</v>
      </c>
      <c r="AT75">
        <v>5.7232777714970897</v>
      </c>
      <c r="AU75">
        <v>0.92392742838125597</v>
      </c>
      <c r="AV75">
        <f t="shared" si="29"/>
        <v>1.440813512868935</v>
      </c>
      <c r="BB75">
        <v>52.474752946692099</v>
      </c>
      <c r="BC75">
        <v>0.85324368220717495</v>
      </c>
      <c r="BD75">
        <f t="shared" si="30"/>
        <v>1.198274979927499</v>
      </c>
      <c r="BJ75">
        <v>5.6145990181430898</v>
      </c>
      <c r="BK75">
        <v>223.92957407336601</v>
      </c>
      <c r="BL75">
        <f t="shared" si="31"/>
        <v>25.765395128827912</v>
      </c>
      <c r="CK75">
        <v>28.604118993135</v>
      </c>
      <c r="CL75">
        <v>1.56812933025404</v>
      </c>
      <c r="CM75">
        <f t="shared" si="33"/>
        <v>1.5666820489155631</v>
      </c>
      <c r="EC75">
        <v>143.44624833458201</v>
      </c>
      <c r="ED75">
        <v>32.827651197055502</v>
      </c>
      <c r="EE75">
        <f t="shared" si="34"/>
        <v>0.74014100205698519</v>
      </c>
      <c r="EL75">
        <v>136.24016705461801</v>
      </c>
      <c r="EM75">
        <v>3.4293617224161301</v>
      </c>
      <c r="EN75">
        <f t="shared" si="21"/>
        <v>0.93345931864201881</v>
      </c>
      <c r="ET75">
        <v>149.72833028020599</v>
      </c>
      <c r="EU75">
        <v>0.38406069125603898</v>
      </c>
      <c r="EV75">
        <f t="shared" si="22"/>
        <v>0.5149238005278528</v>
      </c>
    </row>
    <row r="76" spans="21:152" x14ac:dyDescent="0.25">
      <c r="U76">
        <v>94.192184404054203</v>
      </c>
      <c r="V76">
        <v>7.6735568620166399</v>
      </c>
      <c r="W76">
        <f t="shared" si="23"/>
        <v>0.13031766337067269</v>
      </c>
      <c r="X76">
        <f t="shared" si="24"/>
        <v>0.7147508494162802</v>
      </c>
      <c r="AC76">
        <v>94.675925925925895</v>
      </c>
      <c r="AD76">
        <v>4.0530197080761301</v>
      </c>
      <c r="AE76">
        <f t="shared" si="25"/>
        <v>0.24672961693410458</v>
      </c>
      <c r="AF76">
        <f t="shared" si="26"/>
        <v>0.73722593975045669</v>
      </c>
      <c r="AK76">
        <v>168.906233652694</v>
      </c>
      <c r="AL76">
        <v>0.49314587517515501</v>
      </c>
      <c r="AM76">
        <f t="shared" si="27"/>
        <v>2.0277975551246801</v>
      </c>
      <c r="AN76">
        <f t="shared" si="28"/>
        <v>0.96248440519774636</v>
      </c>
      <c r="AT76">
        <v>5.3452461736299499</v>
      </c>
      <c r="AU76">
        <v>0.92392742838125597</v>
      </c>
      <c r="AV76">
        <f t="shared" si="29"/>
        <v>1.440813512868935</v>
      </c>
      <c r="BB76">
        <v>51.278119137462099</v>
      </c>
      <c r="BC76">
        <v>0.85324368220717495</v>
      </c>
      <c r="BD76">
        <f t="shared" si="30"/>
        <v>1.198274979927499</v>
      </c>
      <c r="BJ76">
        <v>5.5090295624280303</v>
      </c>
      <c r="BK76">
        <v>236.55188943187099</v>
      </c>
      <c r="BL76">
        <f t="shared" si="31"/>
        <v>27.21772202221986</v>
      </c>
      <c r="CK76">
        <v>25.858123569794</v>
      </c>
      <c r="CL76">
        <v>1.58106235565819</v>
      </c>
      <c r="CM76">
        <f t="shared" si="33"/>
        <v>1.5796031379787772</v>
      </c>
      <c r="EC76">
        <v>145.66689174062299</v>
      </c>
      <c r="ED76">
        <v>33.1381420571091</v>
      </c>
      <c r="EE76">
        <f t="shared" si="34"/>
        <v>0.74714141201352258</v>
      </c>
      <c r="EL76">
        <v>138.68722134082799</v>
      </c>
      <c r="EM76">
        <v>3.4130644890266399</v>
      </c>
      <c r="EN76">
        <f t="shared" si="21"/>
        <v>0.92902327321815337</v>
      </c>
      <c r="ET76">
        <v>151.49020936627701</v>
      </c>
      <c r="EU76">
        <v>0.38406069125603898</v>
      </c>
      <c r="EV76">
        <f t="shared" si="22"/>
        <v>0.5149238005278528</v>
      </c>
    </row>
    <row r="77" spans="21:152" x14ac:dyDescent="0.25">
      <c r="U77">
        <v>95.587592640222496</v>
      </c>
      <c r="V77">
        <v>7.6607314186695001</v>
      </c>
      <c r="W77">
        <f t="shared" si="23"/>
        <v>0.13053583859668558</v>
      </c>
      <c r="X77">
        <f t="shared" si="24"/>
        <v>0.71594747099528089</v>
      </c>
      <c r="AC77">
        <v>96.015517832647404</v>
      </c>
      <c r="AD77">
        <v>4.0468634952695002</v>
      </c>
      <c r="AE77">
        <f t="shared" si="25"/>
        <v>0.24710494959094367</v>
      </c>
      <c r="AF77">
        <f t="shared" si="26"/>
        <v>0.73834743044985307</v>
      </c>
      <c r="AK77">
        <v>171.71924396764399</v>
      </c>
      <c r="AL77">
        <v>0.49303972384251499</v>
      </c>
      <c r="AM77">
        <f t="shared" si="27"/>
        <v>2.0282341394451544</v>
      </c>
      <c r="AN77">
        <f t="shared" si="28"/>
        <v>0.96269162785611706</v>
      </c>
      <c r="AT77">
        <v>5.2011199063983904</v>
      </c>
      <c r="AU77">
        <v>0.94234785922292696</v>
      </c>
      <c r="AV77">
        <f t="shared" si="29"/>
        <v>1.4695391517603429</v>
      </c>
      <c r="BB77">
        <v>50.108773355197101</v>
      </c>
      <c r="BC77">
        <v>0.85324368220717495</v>
      </c>
      <c r="BD77">
        <f t="shared" si="30"/>
        <v>1.198274979927499</v>
      </c>
      <c r="BJ77">
        <v>5.2786991059844501</v>
      </c>
      <c r="BK77">
        <v>249.88569118367201</v>
      </c>
      <c r="BL77">
        <f t="shared" si="31"/>
        <v>28.751912725373941</v>
      </c>
      <c r="CK77">
        <v>24.0274599542334</v>
      </c>
      <c r="CL77">
        <v>1.5903002309468799</v>
      </c>
      <c r="CM77">
        <f t="shared" si="33"/>
        <v>1.5888324873096558</v>
      </c>
      <c r="EC77">
        <v>148.20191837043899</v>
      </c>
      <c r="ED77">
        <v>33.4474352667863</v>
      </c>
      <c r="EE77">
        <f t="shared" si="34"/>
        <v>0.75411481942442016</v>
      </c>
      <c r="EL77">
        <v>141.33003996993401</v>
      </c>
      <c r="EM77">
        <v>3.4098050423487498</v>
      </c>
      <c r="EN77">
        <f t="shared" si="21"/>
        <v>0.92813606413338245</v>
      </c>
      <c r="ET77">
        <v>153.60446426956199</v>
      </c>
      <c r="EU77">
        <v>0.38014935524256199</v>
      </c>
      <c r="EV77">
        <f t="shared" si="22"/>
        <v>0.50967973350653317</v>
      </c>
    </row>
    <row r="78" spans="21:152" x14ac:dyDescent="0.25">
      <c r="U78">
        <v>96.983000876390804</v>
      </c>
      <c r="V78">
        <v>7.6479059753223702</v>
      </c>
      <c r="W78">
        <f t="shared" si="23"/>
        <v>0.13075474557698763</v>
      </c>
      <c r="X78">
        <f t="shared" si="24"/>
        <v>0.71714810601333678</v>
      </c>
      <c r="AC78">
        <v>98.024905692729703</v>
      </c>
      <c r="AD78">
        <v>4.0345510696562501</v>
      </c>
      <c r="AE78">
        <f t="shared" si="25"/>
        <v>0.24785905116457022</v>
      </c>
      <c r="AF78">
        <f t="shared" si="26"/>
        <v>0.74060067936334939</v>
      </c>
      <c r="AK78">
        <v>174.13039566617201</v>
      </c>
      <c r="AL78">
        <v>0.49294873698596697</v>
      </c>
      <c r="AM78">
        <f t="shared" si="27"/>
        <v>2.0286085042316833</v>
      </c>
      <c r="AN78">
        <f t="shared" si="28"/>
        <v>0.96286931831046174</v>
      </c>
      <c r="AT78">
        <v>5.0608797802782703</v>
      </c>
      <c r="AU78">
        <v>0.94234785922292696</v>
      </c>
      <c r="AV78">
        <f t="shared" si="29"/>
        <v>1.4695391517603429</v>
      </c>
      <c r="BB78">
        <v>48.804994483879597</v>
      </c>
      <c r="BC78">
        <v>0.85731486239941201</v>
      </c>
      <c r="BD78">
        <f t="shared" si="30"/>
        <v>1.2039924478266044</v>
      </c>
      <c r="BJ78">
        <v>5.0820580588410298</v>
      </c>
      <c r="BK78">
        <v>265.78668876528099</v>
      </c>
      <c r="BL78">
        <f t="shared" si="31"/>
        <v>30.581485649486517</v>
      </c>
      <c r="CK78">
        <v>22.196796338672701</v>
      </c>
      <c r="CL78">
        <v>1.59584295612009</v>
      </c>
      <c r="CM78">
        <f t="shared" si="33"/>
        <v>1.5943700969081791</v>
      </c>
      <c r="EC78">
        <v>150.732952832335</v>
      </c>
      <c r="ED78">
        <v>33.692953593926099</v>
      </c>
      <c r="EE78">
        <f t="shared" si="34"/>
        <v>0.75965034128012032</v>
      </c>
      <c r="EL78">
        <v>143.874976427592</v>
      </c>
      <c r="EM78">
        <v>3.4098050423487498</v>
      </c>
      <c r="EN78">
        <f t="shared" si="21"/>
        <v>0.92813606413338245</v>
      </c>
      <c r="ET78">
        <v>154.77905032694301</v>
      </c>
      <c r="EU78">
        <v>0.391883363282994</v>
      </c>
      <c r="EV78">
        <f t="shared" si="22"/>
        <v>0.52541193457049362</v>
      </c>
    </row>
    <row r="79" spans="21:152" x14ac:dyDescent="0.25">
      <c r="U79">
        <v>98.378409112558998</v>
      </c>
      <c r="V79">
        <v>7.6350805319752304</v>
      </c>
      <c r="W79">
        <f t="shared" si="23"/>
        <v>0.13097438799919187</v>
      </c>
      <c r="X79">
        <f t="shared" si="24"/>
        <v>0.71835277469582981</v>
      </c>
      <c r="AC79">
        <v>99.699395576131707</v>
      </c>
      <c r="AD79">
        <v>4.0283948568496299</v>
      </c>
      <c r="AE79">
        <f t="shared" si="25"/>
        <v>0.24823783058397633</v>
      </c>
      <c r="AF79">
        <f t="shared" si="26"/>
        <v>0.7417324689591821</v>
      </c>
      <c r="AK79">
        <v>177.744090318746</v>
      </c>
      <c r="AL79">
        <v>0.49038594052652501</v>
      </c>
      <c r="AM79">
        <f t="shared" si="27"/>
        <v>2.0392101758184684</v>
      </c>
      <c r="AN79">
        <f t="shared" si="28"/>
        <v>0.96790135099317276</v>
      </c>
      <c r="AT79">
        <v>4.7266006230652398</v>
      </c>
      <c r="AU79">
        <v>0.94234785922292696</v>
      </c>
      <c r="AV79">
        <f t="shared" si="29"/>
        <v>1.4695391517603429</v>
      </c>
      <c r="BB79">
        <v>47.692045814678202</v>
      </c>
      <c r="BC79">
        <v>0.86964532591834198</v>
      </c>
      <c r="BD79">
        <f t="shared" si="30"/>
        <v>1.2213090553019998</v>
      </c>
      <c r="BJ79">
        <v>4.8695791205632402</v>
      </c>
      <c r="BK79">
        <v>286.60172934310498</v>
      </c>
      <c r="BL79">
        <f t="shared" si="31"/>
        <v>32.976469640902103</v>
      </c>
      <c r="CK79">
        <v>19.450800915331801</v>
      </c>
      <c r="CL79">
        <v>1.60877598152424</v>
      </c>
      <c r="CM79">
        <f t="shared" si="33"/>
        <v>1.6072911859713932</v>
      </c>
      <c r="EC79">
        <v>152.957588406296</v>
      </c>
      <c r="ED79">
        <v>34.067219336517098</v>
      </c>
      <c r="EE79">
        <f t="shared" si="34"/>
        <v>0.76808863679185502</v>
      </c>
      <c r="EL79">
        <v>146.81144157104401</v>
      </c>
      <c r="EM79">
        <v>3.4098050423487498</v>
      </c>
      <c r="EN79">
        <f t="shared" si="21"/>
        <v>0.92813606413338245</v>
      </c>
      <c r="ET79">
        <v>156.30601220153801</v>
      </c>
      <c r="EU79">
        <v>0.391883363282994</v>
      </c>
      <c r="EV79">
        <f t="shared" si="22"/>
        <v>0.52541193457049362</v>
      </c>
    </row>
    <row r="80" spans="21:152" x14ac:dyDescent="0.25">
      <c r="U80">
        <v>100.00638538808801</v>
      </c>
      <c r="V80">
        <v>7.6179799408457196</v>
      </c>
      <c r="W80">
        <f t="shared" si="23"/>
        <v>0.13126839500301751</v>
      </c>
      <c r="X80">
        <f t="shared" si="24"/>
        <v>0.71996530940742143</v>
      </c>
      <c r="AC80">
        <v>101.373885459533</v>
      </c>
      <c r="AD80">
        <v>4.022238644043</v>
      </c>
      <c r="AE80">
        <f t="shared" si="25"/>
        <v>0.24861776948043995</v>
      </c>
      <c r="AF80">
        <f t="shared" si="26"/>
        <v>0.7428677230623324</v>
      </c>
      <c r="AK80">
        <v>180.15524201727399</v>
      </c>
      <c r="AL80">
        <v>0.490294953669977</v>
      </c>
      <c r="AM80">
        <f t="shared" si="27"/>
        <v>2.0395886037878967</v>
      </c>
      <c r="AN80">
        <f t="shared" si="28"/>
        <v>0.96808097001783566</v>
      </c>
      <c r="AT80">
        <v>4.4446698403306799</v>
      </c>
      <c r="AU80">
        <v>0.94234785922292696</v>
      </c>
      <c r="AV80">
        <f t="shared" si="29"/>
        <v>1.4695391517603429</v>
      </c>
      <c r="BB80">
        <v>46.451147714413104</v>
      </c>
      <c r="BC80">
        <v>0.86964532591834198</v>
      </c>
      <c r="BD80">
        <f t="shared" si="30"/>
        <v>1.2213090553019998</v>
      </c>
      <c r="BJ80">
        <v>4.6659838468734796</v>
      </c>
      <c r="BK80">
        <v>309.04689638162301</v>
      </c>
      <c r="BL80">
        <f t="shared" si="31"/>
        <v>35.55901640754977</v>
      </c>
      <c r="CK80">
        <v>17.162471395880999</v>
      </c>
      <c r="CL80">
        <v>1.6198614318706599</v>
      </c>
      <c r="CM80">
        <f t="shared" si="33"/>
        <v>1.6183664051684394</v>
      </c>
      <c r="EC80">
        <v>155.80699825989001</v>
      </c>
      <c r="ED80">
        <v>34.3753148958181</v>
      </c>
      <c r="EE80">
        <f t="shared" si="34"/>
        <v>0.77503504165711701</v>
      </c>
      <c r="EL80">
        <v>147.88814545697599</v>
      </c>
      <c r="EM80">
        <v>3.3755808522308199</v>
      </c>
      <c r="EN80">
        <f t="shared" si="21"/>
        <v>0.91882036874326478</v>
      </c>
      <c r="ET80">
        <v>157.24568104744299</v>
      </c>
      <c r="EU80">
        <v>0.391883363282994</v>
      </c>
      <c r="EV80">
        <f t="shared" si="22"/>
        <v>0.52541193457049362</v>
      </c>
    </row>
    <row r="81" spans="21:152" x14ac:dyDescent="0.25">
      <c r="U81">
        <v>101.169225584895</v>
      </c>
      <c r="V81">
        <v>7.6094296452809598</v>
      </c>
      <c r="W81">
        <f t="shared" si="23"/>
        <v>0.13141589404406373</v>
      </c>
      <c r="X81">
        <f t="shared" si="24"/>
        <v>0.72077429463742826</v>
      </c>
      <c r="AC81">
        <v>102.71347736625501</v>
      </c>
      <c r="AD81">
        <v>4.022238644043</v>
      </c>
      <c r="AE81">
        <f t="shared" si="25"/>
        <v>0.24861776948043995</v>
      </c>
      <c r="AF81">
        <f t="shared" si="26"/>
        <v>0.7428677230623324</v>
      </c>
      <c r="AK81">
        <v>184.17382818148701</v>
      </c>
      <c r="AL81">
        <v>0.49014330890906299</v>
      </c>
      <c r="AM81">
        <f t="shared" si="27"/>
        <v>2.040219629287098</v>
      </c>
      <c r="AN81">
        <f t="shared" si="28"/>
        <v>0.96838048325116033</v>
      </c>
      <c r="AT81">
        <v>4.20821398945347</v>
      </c>
      <c r="AU81">
        <v>0.94234785922292696</v>
      </c>
      <c r="AV81">
        <f t="shared" si="29"/>
        <v>1.4695391517603429</v>
      </c>
      <c r="BB81">
        <v>45.093688201280997</v>
      </c>
      <c r="BC81">
        <v>0.86964532591834198</v>
      </c>
      <c r="BD81">
        <f t="shared" si="30"/>
        <v>1.2213090553019998</v>
      </c>
      <c r="BJ81">
        <v>4.5135354372743404</v>
      </c>
      <c r="BK81">
        <v>328.71250399881097</v>
      </c>
      <c r="BL81">
        <f t="shared" si="31"/>
        <v>37.821746343075517</v>
      </c>
      <c r="CK81">
        <v>14.874141876430199</v>
      </c>
      <c r="CL81">
        <v>1.6327944572748201</v>
      </c>
      <c r="CM81">
        <f t="shared" si="33"/>
        <v>1.6312874942316637</v>
      </c>
      <c r="EC81">
        <v>158.34202488970701</v>
      </c>
      <c r="ED81">
        <v>34.6846081054953</v>
      </c>
      <c r="EE81">
        <f t="shared" si="34"/>
        <v>0.78200844906801448</v>
      </c>
      <c r="EL81">
        <v>151.411903629118</v>
      </c>
      <c r="EM81">
        <v>3.3772105755697699</v>
      </c>
      <c r="EN81">
        <f t="shared" si="21"/>
        <v>0.91926397328565168</v>
      </c>
      <c r="ET81">
        <v>158.77264292203699</v>
      </c>
      <c r="EU81">
        <v>0.391883363282994</v>
      </c>
      <c r="EV81">
        <f t="shared" si="22"/>
        <v>0.52541193457049362</v>
      </c>
    </row>
    <row r="82" spans="21:152" x14ac:dyDescent="0.25">
      <c r="U82">
        <v>102.564633821063</v>
      </c>
      <c r="V82">
        <v>7.6008793497162097</v>
      </c>
      <c r="W82">
        <f t="shared" si="23"/>
        <v>0.13156372493102875</v>
      </c>
      <c r="X82">
        <f t="shared" si="24"/>
        <v>0.72158509993653541</v>
      </c>
      <c r="AC82">
        <v>105.392661179698</v>
      </c>
      <c r="AD82">
        <v>4.0283948568496299</v>
      </c>
      <c r="AE82">
        <f t="shared" si="25"/>
        <v>0.24823783058397633</v>
      </c>
      <c r="AF82">
        <f t="shared" si="26"/>
        <v>0.7417324689591821</v>
      </c>
      <c r="AK82">
        <v>176.13968874827799</v>
      </c>
      <c r="AL82">
        <v>0.49287291460551003</v>
      </c>
      <c r="AM82">
        <f t="shared" si="27"/>
        <v>2.0289205804713144</v>
      </c>
      <c r="AN82">
        <f t="shared" si="28"/>
        <v>0.96301744380411303</v>
      </c>
      <c r="AT82">
        <v>3.9302547636191698</v>
      </c>
      <c r="AU82">
        <v>0.94234785922292696</v>
      </c>
      <c r="AV82">
        <f t="shared" si="29"/>
        <v>1.4695391517603429</v>
      </c>
      <c r="BB82">
        <v>44.065372128228802</v>
      </c>
      <c r="BC82">
        <v>0.86964532591834198</v>
      </c>
      <c r="BD82">
        <f t="shared" si="30"/>
        <v>1.2213090553019998</v>
      </c>
      <c r="BJ82">
        <v>4.3043517089013896</v>
      </c>
      <c r="BK82">
        <v>359.34826009085799</v>
      </c>
      <c r="BL82">
        <f t="shared" si="31"/>
        <v>41.346704419954534</v>
      </c>
      <c r="CK82">
        <v>13.043478260869501</v>
      </c>
      <c r="CL82">
        <v>1.6494226327944499</v>
      </c>
      <c r="CM82">
        <f t="shared" si="33"/>
        <v>1.6479003230272331</v>
      </c>
      <c r="EC82">
        <v>160.86906718368101</v>
      </c>
      <c r="ED82">
        <v>34.866351550097598</v>
      </c>
      <c r="EE82">
        <f t="shared" si="34"/>
        <v>0.78610608536851523</v>
      </c>
      <c r="EL82">
        <v>154.83777962981199</v>
      </c>
      <c r="EM82">
        <v>3.3755808522308199</v>
      </c>
      <c r="EN82">
        <f t="shared" si="21"/>
        <v>0.91882036874326478</v>
      </c>
      <c r="ET82">
        <v>160.182146190894</v>
      </c>
      <c r="EU82">
        <v>0.391883363282994</v>
      </c>
      <c r="EV82">
        <f t="shared" si="22"/>
        <v>0.52541193457049362</v>
      </c>
    </row>
    <row r="83" spans="21:152" x14ac:dyDescent="0.25">
      <c r="U83">
        <v>103.960042057232</v>
      </c>
      <c r="V83">
        <v>7.5923290541514499</v>
      </c>
      <c r="W83">
        <f t="shared" si="23"/>
        <v>0.13171188878506321</v>
      </c>
      <c r="X83">
        <f t="shared" si="24"/>
        <v>0.72239773145389696</v>
      </c>
      <c r="AC83">
        <v>107.40204903978</v>
      </c>
      <c r="AD83">
        <v>4.0099262184297597</v>
      </c>
      <c r="AE83">
        <f t="shared" si="25"/>
        <v>0.24938114706549097</v>
      </c>
      <c r="AF83">
        <f t="shared" si="26"/>
        <v>0.74514868861692152</v>
      </c>
      <c r="AK83">
        <v>181.76267648295899</v>
      </c>
      <c r="AL83">
        <v>0.490234295765612</v>
      </c>
      <c r="AM83">
        <f t="shared" si="27"/>
        <v>2.0398409671405653</v>
      </c>
      <c r="AN83">
        <f t="shared" si="28"/>
        <v>0.9682007530754555</v>
      </c>
      <c r="AT83">
        <v>3.6456576094582398</v>
      </c>
      <c r="AU83">
        <v>0.95169533913209603</v>
      </c>
      <c r="AV83">
        <f t="shared" si="29"/>
        <v>1.4841160275524146</v>
      </c>
      <c r="BB83">
        <v>43.060505765951497</v>
      </c>
      <c r="BC83">
        <v>0.87796400311830303</v>
      </c>
      <c r="BD83">
        <f t="shared" si="30"/>
        <v>1.2329916062105764</v>
      </c>
      <c r="BJ83">
        <v>4.1835242100296801</v>
      </c>
      <c r="BK83">
        <v>387.49055965487901</v>
      </c>
      <c r="BL83">
        <f t="shared" si="31"/>
        <v>44.584764739147921</v>
      </c>
      <c r="CK83">
        <v>11.670480549199</v>
      </c>
      <c r="CL83">
        <v>1.6642032332563499</v>
      </c>
      <c r="CM83">
        <f t="shared" si="33"/>
        <v>1.662667281956635</v>
      </c>
      <c r="EC83">
        <v>162.77133519802399</v>
      </c>
      <c r="ED83">
        <v>35.1142651779899</v>
      </c>
      <c r="EE83">
        <f t="shared" si="34"/>
        <v>0.79169561231548891</v>
      </c>
      <c r="EL83">
        <v>158.16577345905699</v>
      </c>
      <c r="EM83">
        <v>3.3755808522308199</v>
      </c>
      <c r="EN83">
        <f t="shared" si="21"/>
        <v>0.91882036874326478</v>
      </c>
      <c r="ET83">
        <v>162.296401094179</v>
      </c>
      <c r="EU83">
        <v>0.391883363282994</v>
      </c>
      <c r="EV83">
        <f t="shared" si="22"/>
        <v>0.52541193457049362</v>
      </c>
    </row>
    <row r="84" spans="21:152" x14ac:dyDescent="0.25">
      <c r="U84">
        <v>105.122882254039</v>
      </c>
      <c r="V84">
        <v>7.5709533152395601</v>
      </c>
      <c r="W84">
        <f t="shared" si="23"/>
        <v>0.13208376255432741</v>
      </c>
      <c r="X84">
        <f t="shared" si="24"/>
        <v>0.72443734055662612</v>
      </c>
      <c r="AC84">
        <v>108.741640946502</v>
      </c>
      <c r="AD84">
        <v>4.0037700056231298</v>
      </c>
      <c r="AE84">
        <f t="shared" si="25"/>
        <v>0.24976459651666835</v>
      </c>
      <c r="AF84">
        <f t="shared" si="26"/>
        <v>0.74629443222688518</v>
      </c>
      <c r="AK84">
        <v>186.584979880015</v>
      </c>
      <c r="AL84">
        <v>0.49005232205251498</v>
      </c>
      <c r="AM84">
        <f t="shared" si="27"/>
        <v>2.0405984320442379</v>
      </c>
      <c r="AN84">
        <f t="shared" si="28"/>
        <v>0.96856028016701701</v>
      </c>
      <c r="AT84">
        <v>3.4753768135457199</v>
      </c>
      <c r="AU84">
        <v>0.96113553998268197</v>
      </c>
      <c r="AV84">
        <f t="shared" si="29"/>
        <v>1.4988374965032296</v>
      </c>
      <c r="BB84">
        <v>41.940115585814198</v>
      </c>
      <c r="BC84">
        <v>0.88636225343651398</v>
      </c>
      <c r="BD84">
        <f t="shared" si="30"/>
        <v>1.2447859076995111</v>
      </c>
      <c r="BJ84">
        <v>4.0276803998610999</v>
      </c>
      <c r="BK84">
        <v>412.147779613262</v>
      </c>
      <c r="BL84">
        <f t="shared" si="31"/>
        <v>47.421830891017684</v>
      </c>
      <c r="CK84">
        <v>10.2974828375286</v>
      </c>
      <c r="CL84">
        <v>1.6789838337182399</v>
      </c>
      <c r="CM84">
        <f t="shared" si="33"/>
        <v>1.6774342408860268</v>
      </c>
      <c r="EC84">
        <v>165.62473721953799</v>
      </c>
      <c r="ED84">
        <v>35.486135619828403</v>
      </c>
      <c r="EE84">
        <f t="shared" si="34"/>
        <v>0.80007990273595031</v>
      </c>
      <c r="EL84">
        <v>160.319181230922</v>
      </c>
      <c r="EM84">
        <v>3.38209974558661</v>
      </c>
      <c r="EN84">
        <f t="shared" si="21"/>
        <v>0.92059478691280938</v>
      </c>
      <c r="ET84">
        <v>163.82336296877401</v>
      </c>
      <c r="EU84">
        <v>0.391883363282994</v>
      </c>
      <c r="EV84">
        <f t="shared" si="22"/>
        <v>0.52541193457049362</v>
      </c>
    </row>
    <row r="85" spans="21:152" x14ac:dyDescent="0.25">
      <c r="U85">
        <v>106.98342656893</v>
      </c>
      <c r="V85">
        <v>7.5666781674571801</v>
      </c>
      <c r="W85">
        <f t="shared" si="23"/>
        <v>0.13215838943709893</v>
      </c>
      <c r="X85">
        <f t="shared" si="24"/>
        <v>0.72484664522393372</v>
      </c>
      <c r="AC85">
        <v>111.085926783264</v>
      </c>
      <c r="AD85">
        <v>4.0037700056231298</v>
      </c>
      <c r="AE85">
        <f t="shared" si="25"/>
        <v>0.24976459651666835</v>
      </c>
      <c r="AF85">
        <f t="shared" si="26"/>
        <v>0.74629443222688518</v>
      </c>
      <c r="AK85">
        <v>189.39799019496499</v>
      </c>
      <c r="AL85">
        <v>0.48994617071987601</v>
      </c>
      <c r="AM85">
        <f t="shared" si="27"/>
        <v>2.0410405464149335</v>
      </c>
      <c r="AN85">
        <f t="shared" si="28"/>
        <v>0.96877012763726023</v>
      </c>
      <c r="AT85">
        <v>3.2680786338435599</v>
      </c>
      <c r="AU85">
        <v>0.96113553998268197</v>
      </c>
      <c r="AV85">
        <f t="shared" si="29"/>
        <v>1.4988374965032296</v>
      </c>
      <c r="BB85">
        <v>40.848876808648498</v>
      </c>
      <c r="BC85">
        <v>0.89059145609524704</v>
      </c>
      <c r="BD85">
        <f t="shared" si="30"/>
        <v>1.2507252985636701</v>
      </c>
      <c r="BJ85">
        <v>3.8410140460800402</v>
      </c>
      <c r="BK85">
        <v>450.55964011904899</v>
      </c>
      <c r="BL85">
        <f t="shared" si="31"/>
        <v>51.841509567496416</v>
      </c>
      <c r="CK85">
        <v>8.9244851258581193</v>
      </c>
      <c r="CL85">
        <v>1.6937644341801299</v>
      </c>
      <c r="CM85">
        <f t="shared" si="33"/>
        <v>1.6922011998154187</v>
      </c>
      <c r="EC85">
        <v>168.47015490521099</v>
      </c>
      <c r="ED85">
        <v>35.730456296591797</v>
      </c>
      <c r="EE85">
        <f t="shared" si="34"/>
        <v>0.80558842204601044</v>
      </c>
      <c r="EL85">
        <v>161.983178145545</v>
      </c>
      <c r="EM85">
        <v>3.3690619588750201</v>
      </c>
      <c r="EN85">
        <f t="shared" si="21"/>
        <v>0.91704595057371763</v>
      </c>
      <c r="ET85">
        <v>164.997949026155</v>
      </c>
      <c r="EU85">
        <v>0.40166170331668899</v>
      </c>
      <c r="EV85">
        <f t="shared" si="22"/>
        <v>0.53852210212379614</v>
      </c>
    </row>
    <row r="86" spans="21:152" x14ac:dyDescent="0.25">
      <c r="U86">
        <v>108.37883480509799</v>
      </c>
      <c r="V86">
        <v>7.5495775763276702</v>
      </c>
      <c r="W86">
        <f t="shared" si="23"/>
        <v>0.13245774215706893</v>
      </c>
      <c r="X86">
        <f t="shared" si="24"/>
        <v>0.72648849948481808</v>
      </c>
      <c r="AC86">
        <v>112.42551868998601</v>
      </c>
      <c r="AD86">
        <v>3.9976137928164999</v>
      </c>
      <c r="AE86">
        <f t="shared" si="25"/>
        <v>0.25014922697058606</v>
      </c>
      <c r="AF86">
        <f t="shared" si="26"/>
        <v>0.7474437046627187</v>
      </c>
      <c r="AK86">
        <v>191.00845755586801</v>
      </c>
      <c r="AL86">
        <v>0.49231182899012899</v>
      </c>
      <c r="AM86">
        <f t="shared" si="27"/>
        <v>2.0312329322886336</v>
      </c>
      <c r="AN86">
        <f t="shared" si="28"/>
        <v>0.96411499052808247</v>
      </c>
      <c r="AT86">
        <v>3.1799599655512099</v>
      </c>
      <c r="AU86">
        <v>0.98029779255780203</v>
      </c>
      <c r="AV86">
        <f t="shared" si="29"/>
        <v>1.528719965189772</v>
      </c>
      <c r="BB86">
        <v>39.917359377628699</v>
      </c>
      <c r="BC86">
        <v>0.88636225343651398</v>
      </c>
      <c r="BD86">
        <f t="shared" si="30"/>
        <v>1.2447859076995111</v>
      </c>
      <c r="BJ86">
        <v>3.7155192947501101</v>
      </c>
      <c r="BK86">
        <v>489.18680830198002</v>
      </c>
      <c r="BL86">
        <f t="shared" si="31"/>
        <v>56.285961601397204</v>
      </c>
      <c r="CK86">
        <v>7.55148741418766</v>
      </c>
      <c r="CL86">
        <v>1.7085450346420299</v>
      </c>
      <c r="CM86">
        <f t="shared" si="33"/>
        <v>1.7069681587448204</v>
      </c>
      <c r="EC86">
        <v>170.372422919554</v>
      </c>
      <c r="ED86">
        <v>35.978369924484099</v>
      </c>
      <c r="EE86">
        <f t="shared" si="34"/>
        <v>0.81117794899298401</v>
      </c>
      <c r="EL86">
        <v>164.7238789461</v>
      </c>
      <c r="EM86">
        <v>3.3658025121971198</v>
      </c>
      <c r="EN86">
        <f t="shared" si="21"/>
        <v>0.91615874148894394</v>
      </c>
      <c r="ET86">
        <v>166.75982811222599</v>
      </c>
      <c r="EU86">
        <v>0.40361737132342701</v>
      </c>
      <c r="EV86">
        <f t="shared" si="22"/>
        <v>0.54114413563445529</v>
      </c>
    </row>
    <row r="87" spans="21:152" x14ac:dyDescent="0.25">
      <c r="U87">
        <v>110.006811080627</v>
      </c>
      <c r="V87">
        <v>7.5324769851981497</v>
      </c>
      <c r="W87">
        <f t="shared" si="23"/>
        <v>0.1327584540868921</v>
      </c>
      <c r="X87">
        <f t="shared" si="24"/>
        <v>0.72813780857854671</v>
      </c>
      <c r="AC87">
        <v>114.769804526748</v>
      </c>
      <c r="AD87">
        <v>3.9976137928164999</v>
      </c>
      <c r="AE87">
        <f t="shared" si="25"/>
        <v>0.25014922697058606</v>
      </c>
      <c r="AF87">
        <f t="shared" si="26"/>
        <v>0.7474437046627187</v>
      </c>
      <c r="AK87">
        <v>193.01623419036599</v>
      </c>
      <c r="AL87">
        <v>0.491022848522363</v>
      </c>
      <c r="AM87">
        <f t="shared" si="27"/>
        <v>2.0365651069177413</v>
      </c>
      <c r="AN87">
        <f t="shared" si="28"/>
        <v>0.96664588169783328</v>
      </c>
      <c r="AT87">
        <v>3.01078651365901</v>
      </c>
      <c r="AU87">
        <v>0.98029779255780203</v>
      </c>
      <c r="AV87">
        <f t="shared" si="29"/>
        <v>1.528719965189772</v>
      </c>
      <c r="BB87">
        <v>39.007084261994002</v>
      </c>
      <c r="BC87">
        <v>0.88636225343651398</v>
      </c>
      <c r="BD87">
        <f t="shared" si="30"/>
        <v>1.2447859076995111</v>
      </c>
      <c r="BJ87">
        <v>3.5941247451956602</v>
      </c>
      <c r="BK87">
        <v>516.76096946027997</v>
      </c>
      <c r="BL87">
        <f t="shared" si="31"/>
        <v>59.458651767622449</v>
      </c>
      <c r="CK87">
        <v>7.55148741418766</v>
      </c>
      <c r="CL87">
        <v>1.7085450346420299</v>
      </c>
      <c r="CM87">
        <f t="shared" si="33"/>
        <v>1.7069681587448204</v>
      </c>
      <c r="EC87">
        <v>172.27069876597599</v>
      </c>
      <c r="ED87">
        <v>36.1625086698389</v>
      </c>
      <c r="EE87">
        <f t="shared" si="34"/>
        <v>0.81532959038475816</v>
      </c>
      <c r="EL87">
        <v>166.192111517825</v>
      </c>
      <c r="EM87">
        <v>3.3560241721634299</v>
      </c>
      <c r="EN87">
        <f t="shared" si="21"/>
        <v>0.91349711423462576</v>
      </c>
      <c r="ET87">
        <v>167.69949695813099</v>
      </c>
      <c r="EU87">
        <v>0.40557303933016597</v>
      </c>
      <c r="EV87">
        <f t="shared" si="22"/>
        <v>0.54376616914511577</v>
      </c>
    </row>
    <row r="88" spans="21:152" x14ac:dyDescent="0.25">
      <c r="U88">
        <v>111.40221931679601</v>
      </c>
      <c r="V88">
        <v>7.5196515418510197</v>
      </c>
      <c r="W88">
        <f t="shared" si="23"/>
        <v>0.13298488559402613</v>
      </c>
      <c r="X88">
        <f t="shared" si="24"/>
        <v>0.72937971322809769</v>
      </c>
      <c r="AC88">
        <v>116.10939643347</v>
      </c>
      <c r="AD88">
        <v>3.9729889415900099</v>
      </c>
      <c r="AE88">
        <f t="shared" si="25"/>
        <v>0.25169966861266796</v>
      </c>
      <c r="AF88">
        <f t="shared" si="26"/>
        <v>0.75207641074322684</v>
      </c>
      <c r="AK88">
        <v>195.82924450531499</v>
      </c>
      <c r="AL88">
        <v>0.49091669718972297</v>
      </c>
      <c r="AM88">
        <f t="shared" si="27"/>
        <v>2.0370054751132924</v>
      </c>
      <c r="AN88">
        <f t="shared" si="28"/>
        <v>0.9668549003544008</v>
      </c>
      <c r="AT88">
        <v>2.8506130671553001</v>
      </c>
      <c r="AU88">
        <v>0.96113553998268197</v>
      </c>
      <c r="AV88">
        <f t="shared" si="29"/>
        <v>1.4988374965032296</v>
      </c>
      <c r="BB88">
        <v>37.742582161138401</v>
      </c>
      <c r="BC88">
        <v>0.894840838037404</v>
      </c>
      <c r="BD88">
        <f t="shared" si="30"/>
        <v>1.2566930287298879</v>
      </c>
      <c r="BJ88">
        <v>3.4602371264340399</v>
      </c>
      <c r="BK88">
        <v>557.23101932741497</v>
      </c>
      <c r="BL88">
        <f t="shared" si="31"/>
        <v>64.115146248197291</v>
      </c>
      <c r="CK88">
        <v>7.09382151029748</v>
      </c>
      <c r="CL88">
        <v>1.7251732101616599</v>
      </c>
      <c r="CM88">
        <f t="shared" si="33"/>
        <v>1.72358098754039</v>
      </c>
      <c r="EC88">
        <v>174.79774105995</v>
      </c>
      <c r="ED88">
        <v>36.344252114441097</v>
      </c>
      <c r="EE88">
        <f t="shared" si="34"/>
        <v>0.81942722668525669</v>
      </c>
      <c r="EL88">
        <v>168.149754946793</v>
      </c>
      <c r="EM88">
        <v>3.35276472548553</v>
      </c>
      <c r="EN88">
        <f t="shared" si="21"/>
        <v>0.91260990514985219</v>
      </c>
      <c r="ET88">
        <v>169.93121046715399</v>
      </c>
      <c r="EU88">
        <v>0.40557303933016597</v>
      </c>
      <c r="EV88">
        <f t="shared" si="22"/>
        <v>0.54376616914511577</v>
      </c>
    </row>
    <row r="89" spans="21:152" x14ac:dyDescent="0.25">
      <c r="U89">
        <v>113.26276363168699</v>
      </c>
      <c r="V89">
        <v>7.5111012462862599</v>
      </c>
      <c r="W89">
        <f t="shared" si="23"/>
        <v>0.13313626953097371</v>
      </c>
      <c r="X89">
        <f t="shared" si="24"/>
        <v>0.73021000587394946</v>
      </c>
      <c r="AC89">
        <v>118.118784293552</v>
      </c>
      <c r="AD89">
        <v>3.9729889415900099</v>
      </c>
      <c r="AE89">
        <f t="shared" si="25"/>
        <v>0.25169966861266796</v>
      </c>
      <c r="AF89">
        <f t="shared" si="26"/>
        <v>0.75207641074322684</v>
      </c>
      <c r="AK89">
        <v>198.64225482026501</v>
      </c>
      <c r="AL89">
        <v>0.490810545857084</v>
      </c>
      <c r="AM89">
        <f t="shared" si="27"/>
        <v>2.0374460337924027</v>
      </c>
      <c r="AN89">
        <f t="shared" si="28"/>
        <v>0.96706400942307802</v>
      </c>
      <c r="AT89">
        <v>2.73610023754124</v>
      </c>
      <c r="AU89">
        <v>0.96113553998268197</v>
      </c>
      <c r="AV89">
        <f t="shared" si="29"/>
        <v>1.4988374965032296</v>
      </c>
      <c r="BB89">
        <v>37.742582161138401</v>
      </c>
      <c r="BC89">
        <v>0.894840838037404</v>
      </c>
      <c r="BD89">
        <f t="shared" si="30"/>
        <v>1.2566930287298879</v>
      </c>
      <c r="BJ89">
        <v>3.3631047762533002</v>
      </c>
      <c r="BK89">
        <v>584.619612287226</v>
      </c>
      <c r="BL89">
        <f t="shared" si="31"/>
        <v>67.266484889161987</v>
      </c>
      <c r="CK89">
        <v>5.7208237986270003</v>
      </c>
      <c r="CL89">
        <v>1.7381062355658099</v>
      </c>
      <c r="CM89">
        <f t="shared" si="33"/>
        <v>1.7365020766036041</v>
      </c>
      <c r="EC89">
        <v>177.01439229806999</v>
      </c>
      <c r="ED89">
        <v>36.590968091957201</v>
      </c>
      <c r="EE89">
        <f t="shared" si="34"/>
        <v>0.82498975108659478</v>
      </c>
      <c r="EL89">
        <v>169.61798751851899</v>
      </c>
      <c r="EM89">
        <v>3.3543944488244799</v>
      </c>
      <c r="EN89">
        <f t="shared" si="21"/>
        <v>0.91305350969223897</v>
      </c>
      <c r="ET89">
        <v>171.69308955322501</v>
      </c>
      <c r="EU89">
        <v>0.40361737132342701</v>
      </c>
      <c r="EV89">
        <f t="shared" si="22"/>
        <v>0.54114413563445529</v>
      </c>
    </row>
    <row r="90" spans="21:152" x14ac:dyDescent="0.25">
      <c r="U90">
        <v>114.193035789132</v>
      </c>
      <c r="V90">
        <v>7.49400065515675</v>
      </c>
      <c r="W90">
        <f t="shared" si="23"/>
        <v>0.13344007373576661</v>
      </c>
      <c r="X90">
        <f t="shared" si="24"/>
        <v>0.73187627511033326</v>
      </c>
      <c r="AC90">
        <v>120.12817215363501</v>
      </c>
      <c r="AD90">
        <v>3.9729889415900099</v>
      </c>
      <c r="AE90">
        <f t="shared" si="25"/>
        <v>0.25169966861266796</v>
      </c>
      <c r="AF90">
        <f t="shared" si="26"/>
        <v>0.75207641074322684</v>
      </c>
      <c r="AK90">
        <v>202.25898236805699</v>
      </c>
      <c r="AL90">
        <v>0.49067406557226101</v>
      </c>
      <c r="AM90">
        <f t="shared" si="27"/>
        <v>2.0380127464730071</v>
      </c>
      <c r="AN90">
        <f t="shared" si="28"/>
        <v>0.96733299688483487</v>
      </c>
      <c r="AT90">
        <v>2.6261875370353001</v>
      </c>
      <c r="AU90">
        <v>0.99002171120552196</v>
      </c>
      <c r="AV90">
        <f t="shared" si="29"/>
        <v>1.5438838762885252</v>
      </c>
      <c r="BB90">
        <v>36.760558897031601</v>
      </c>
      <c r="BC90">
        <v>0.90340052536638804</v>
      </c>
      <c r="BD90">
        <f t="shared" si="30"/>
        <v>1.2687140484880319</v>
      </c>
      <c r="BJ90">
        <v>3.3631047762533002</v>
      </c>
      <c r="BK90">
        <v>584.619612287226</v>
      </c>
      <c r="BL90">
        <f t="shared" si="31"/>
        <v>67.266484889161987</v>
      </c>
      <c r="CK90">
        <v>4.34782608695651</v>
      </c>
      <c r="CL90">
        <v>1.75658198614318</v>
      </c>
      <c r="CM90">
        <f t="shared" si="33"/>
        <v>1.7549607752653515</v>
      </c>
      <c r="EC90">
        <v>179.54542675996501</v>
      </c>
      <c r="ED90">
        <v>36.8364864190969</v>
      </c>
      <c r="EE90">
        <f t="shared" si="34"/>
        <v>0.83052527294229284</v>
      </c>
      <c r="EL90">
        <v>171.86927746183201</v>
      </c>
      <c r="EM90">
        <v>3.3576538955023798</v>
      </c>
      <c r="EN90">
        <f t="shared" si="21"/>
        <v>0.91394071877701255</v>
      </c>
      <c r="ET90">
        <v>172.63275839913001</v>
      </c>
      <c r="EU90">
        <v>0.40948437534364501</v>
      </c>
      <c r="EV90">
        <f t="shared" si="22"/>
        <v>0.54901023616643818</v>
      </c>
    </row>
    <row r="91" spans="21:152" x14ac:dyDescent="0.25">
      <c r="U91">
        <v>116.053580104023</v>
      </c>
      <c r="V91">
        <v>7.4811752118096102</v>
      </c>
      <c r="W91">
        <f t="shared" si="23"/>
        <v>0.13366883834259397</v>
      </c>
      <c r="X91">
        <f t="shared" si="24"/>
        <v>0.73313097606810862</v>
      </c>
      <c r="AC91">
        <v>122.807355967078</v>
      </c>
      <c r="AD91">
        <v>3.96683272878338</v>
      </c>
      <c r="AE91">
        <f t="shared" si="25"/>
        <v>0.25209028672774364</v>
      </c>
      <c r="AF91">
        <f t="shared" si="26"/>
        <v>0.75324357425828692</v>
      </c>
      <c r="AK91">
        <v>205.070476235397</v>
      </c>
      <c r="AL91">
        <v>0.489354756152312</v>
      </c>
      <c r="AM91">
        <f t="shared" si="27"/>
        <v>2.0435072663087581</v>
      </c>
      <c r="AN91">
        <f t="shared" si="28"/>
        <v>0.96994094442999046</v>
      </c>
      <c r="AT91">
        <v>2.5206901724760402</v>
      </c>
      <c r="AU91">
        <v>0.98029779255780203</v>
      </c>
      <c r="AV91">
        <f t="shared" si="29"/>
        <v>1.528719965189772</v>
      </c>
      <c r="BB91">
        <v>35.686291137500199</v>
      </c>
      <c r="BC91">
        <v>0.90340052536638804</v>
      </c>
      <c r="BD91">
        <f t="shared" si="30"/>
        <v>1.2687140484880319</v>
      </c>
      <c r="BJ91">
        <v>3.2842472480381302</v>
      </c>
      <c r="BK91">
        <v>621.82076212940501</v>
      </c>
      <c r="BL91">
        <f t="shared" si="31"/>
        <v>71.54685888128347</v>
      </c>
      <c r="CK91">
        <v>3.8901601830663699</v>
      </c>
      <c r="CL91">
        <v>1.7695150115473399</v>
      </c>
      <c r="CM91">
        <f t="shared" si="33"/>
        <v>1.7678818643285756</v>
      </c>
      <c r="EC91">
        <v>181.762077998085</v>
      </c>
      <c r="ED91">
        <v>37.083202396612897</v>
      </c>
      <c r="EE91">
        <f t="shared" si="34"/>
        <v>0.83608779734362848</v>
      </c>
      <c r="EL91">
        <v>173.53327437645501</v>
      </c>
      <c r="EM91">
        <v>3.3576538955023798</v>
      </c>
      <c r="EN91">
        <f t="shared" si="21"/>
        <v>0.91394071877701255</v>
      </c>
      <c r="ET91">
        <v>174.512096090939</v>
      </c>
      <c r="EU91">
        <v>0.41535137936386102</v>
      </c>
      <c r="EV91">
        <f t="shared" si="22"/>
        <v>0.55687633669841841</v>
      </c>
    </row>
    <row r="92" spans="21:152" x14ac:dyDescent="0.25">
      <c r="U92">
        <v>117.448988340192</v>
      </c>
      <c r="V92">
        <v>7.4640746206801003</v>
      </c>
      <c r="W92">
        <f t="shared" si="23"/>
        <v>0.13397508074602871</v>
      </c>
      <c r="X92">
        <f t="shared" si="24"/>
        <v>0.7348106180469528</v>
      </c>
      <c r="AC92">
        <v>124.48184585048</v>
      </c>
      <c r="AD92">
        <v>3.9483640903635102</v>
      </c>
      <c r="AE92">
        <f t="shared" si="25"/>
        <v>0.25326944960335052</v>
      </c>
      <c r="AF92">
        <f t="shared" si="26"/>
        <v>0.75676690262838808</v>
      </c>
      <c r="AK92">
        <v>208.28231227155001</v>
      </c>
      <c r="AL92">
        <v>0.48680712416896199</v>
      </c>
      <c r="AM92">
        <f t="shared" si="27"/>
        <v>2.0542016547254103</v>
      </c>
      <c r="AN92">
        <f t="shared" si="28"/>
        <v>0.97501698471228693</v>
      </c>
      <c r="AT92">
        <v>2.3541945782250102</v>
      </c>
      <c r="AU92">
        <v>0.98029779255780203</v>
      </c>
      <c r="AV92">
        <f t="shared" si="29"/>
        <v>1.528719965189772</v>
      </c>
      <c r="BB92">
        <v>34.643417112280602</v>
      </c>
      <c r="BC92">
        <v>0.90771102470113196</v>
      </c>
      <c r="BD92">
        <f t="shared" si="30"/>
        <v>1.2747676104557648</v>
      </c>
      <c r="BJ92">
        <v>3.2072387581877799</v>
      </c>
      <c r="BK92">
        <v>665.93819977359101</v>
      </c>
      <c r="BL92">
        <f t="shared" si="31"/>
        <v>76.623022749667641</v>
      </c>
      <c r="CK92">
        <v>3.8901601830663699</v>
      </c>
      <c r="CL92">
        <v>1.7824480369514999</v>
      </c>
      <c r="CM92">
        <f t="shared" si="33"/>
        <v>1.7808029533917997</v>
      </c>
      <c r="EC92">
        <v>184.60749568375701</v>
      </c>
      <c r="ED92">
        <v>37.327523073376398</v>
      </c>
      <c r="EE92">
        <f t="shared" si="34"/>
        <v>0.84159631665369106</v>
      </c>
      <c r="EL92">
        <v>175.099389119629</v>
      </c>
      <c r="EM92">
        <v>3.3625430655192301</v>
      </c>
      <c r="EN92">
        <f t="shared" si="21"/>
        <v>0.91527153240417314</v>
      </c>
      <c r="ET92">
        <v>175.92159935979601</v>
      </c>
      <c r="EU92">
        <v>0.41535137936386102</v>
      </c>
      <c r="EV92">
        <f t="shared" si="22"/>
        <v>0.55687633669841841</v>
      </c>
    </row>
    <row r="93" spans="21:152" x14ac:dyDescent="0.25">
      <c r="U93">
        <v>118.84439657636</v>
      </c>
      <c r="V93">
        <v>7.4469740295505904</v>
      </c>
      <c r="W93">
        <f t="shared" si="23"/>
        <v>0.13428272960693377</v>
      </c>
      <c r="X93">
        <f t="shared" si="24"/>
        <v>0.73649797399676287</v>
      </c>
      <c r="AC93">
        <v>126.491233710562</v>
      </c>
      <c r="AD93">
        <v>3.9422078775568798</v>
      </c>
      <c r="AE93">
        <f t="shared" si="25"/>
        <v>0.25366495909387049</v>
      </c>
      <c r="AF93">
        <f t="shared" si="26"/>
        <v>0.75794868153054018</v>
      </c>
      <c r="AK93">
        <v>211.09380613888999</v>
      </c>
      <c r="AL93">
        <v>0.48548781474901198</v>
      </c>
      <c r="AM93">
        <f t="shared" si="27"/>
        <v>2.059783931996277</v>
      </c>
      <c r="AN93">
        <f t="shared" si="28"/>
        <v>0.97766658590404332</v>
      </c>
      <c r="AT93">
        <v>2.2289517363217501</v>
      </c>
      <c r="AU93">
        <v>0.98029779255780203</v>
      </c>
      <c r="AV93">
        <f t="shared" si="29"/>
        <v>1.528719965189772</v>
      </c>
      <c r="BB93">
        <v>33.853408930137697</v>
      </c>
      <c r="BC93">
        <v>0.91204209121952495</v>
      </c>
      <c r="BD93">
        <f t="shared" si="30"/>
        <v>1.2808500564833369</v>
      </c>
      <c r="BJ93">
        <v>3.1024509012349499</v>
      </c>
      <c r="BK93">
        <v>703.47536743713499</v>
      </c>
      <c r="BL93">
        <f t="shared" si="31"/>
        <v>80.942059039851458</v>
      </c>
      <c r="CK93">
        <v>2.9748283752860498</v>
      </c>
      <c r="CL93">
        <v>1.7935334872979201</v>
      </c>
      <c r="CM93">
        <f t="shared" si="33"/>
        <v>1.7918781725888462</v>
      </c>
      <c r="EC93">
        <v>187.13453797773201</v>
      </c>
      <c r="ED93">
        <v>37.509266517978602</v>
      </c>
      <c r="EE93">
        <f t="shared" si="34"/>
        <v>0.84569395295418981</v>
      </c>
      <c r="EL93">
        <v>176.76338603425199</v>
      </c>
      <c r="EM93">
        <v>3.3592836188413302</v>
      </c>
      <c r="EN93">
        <f t="shared" si="21"/>
        <v>0.91438432331939945</v>
      </c>
      <c r="ET93">
        <v>177.44856123439001</v>
      </c>
      <c r="EU93">
        <v>0.41535137936386102</v>
      </c>
      <c r="EV93">
        <f t="shared" si="22"/>
        <v>0.55687633669841841</v>
      </c>
    </row>
    <row r="94" spans="21:152" x14ac:dyDescent="0.25">
      <c r="U94">
        <v>120.47237285188901</v>
      </c>
      <c r="V94">
        <v>7.4384237339858297</v>
      </c>
      <c r="W94">
        <f t="shared" si="23"/>
        <v>0.13443708449023201</v>
      </c>
      <c r="X94">
        <f t="shared" si="24"/>
        <v>0.73734456133646331</v>
      </c>
      <c r="AC94">
        <v>127.830825617283</v>
      </c>
      <c r="AD94">
        <v>3.9360516647502601</v>
      </c>
      <c r="AE94">
        <f t="shared" si="25"/>
        <v>0.25406170578389736</v>
      </c>
      <c r="AF94">
        <f t="shared" si="26"/>
        <v>0.75913415717400978</v>
      </c>
      <c r="AK94">
        <v>211.90207271456001</v>
      </c>
      <c r="AL94">
        <v>0.48909696005875902</v>
      </c>
      <c r="AM94">
        <f t="shared" si="27"/>
        <v>2.0445843701008943</v>
      </c>
      <c r="AN94">
        <f t="shared" si="28"/>
        <v>0.97045218659027932</v>
      </c>
      <c r="AT94">
        <v>2.21377232276522</v>
      </c>
      <c r="AU94">
        <v>0.99002171120552196</v>
      </c>
      <c r="AV94">
        <f t="shared" si="29"/>
        <v>1.5438838762885252</v>
      </c>
      <c r="BB94">
        <v>32.972577963226698</v>
      </c>
      <c r="BC94">
        <v>0.92076631881382498</v>
      </c>
      <c r="BD94">
        <f t="shared" si="30"/>
        <v>1.293102152647003</v>
      </c>
      <c r="BJ94">
        <v>3.0585964863936099</v>
      </c>
      <c r="BK94">
        <v>743.128405547336</v>
      </c>
      <c r="BL94">
        <f t="shared" si="31"/>
        <v>85.504547934833553</v>
      </c>
      <c r="CK94">
        <v>2.9748283752860498</v>
      </c>
      <c r="CL94">
        <v>1.8027713625866</v>
      </c>
      <c r="CM94">
        <f t="shared" si="33"/>
        <v>1.8011075219197148</v>
      </c>
      <c r="EC94">
        <v>189.66557243962799</v>
      </c>
      <c r="ED94">
        <v>37.754784845118301</v>
      </c>
      <c r="EE94">
        <f t="shared" si="34"/>
        <v>0.85122947480988775</v>
      </c>
      <c r="EL94">
        <v>177.546443405839</v>
      </c>
      <c r="EM94">
        <v>3.3478755554686801</v>
      </c>
      <c r="EN94">
        <f t="shared" si="21"/>
        <v>0.91127909152269182</v>
      </c>
      <c r="ET94">
        <v>179.09298171472301</v>
      </c>
      <c r="EU94">
        <v>0.41535137936386102</v>
      </c>
      <c r="EV94">
        <f t="shared" si="22"/>
        <v>0.55687633669841841</v>
      </c>
    </row>
    <row r="95" spans="21:152" x14ac:dyDescent="0.25">
      <c r="U95">
        <v>122.565485206142</v>
      </c>
      <c r="V95">
        <v>7.4042225517268099</v>
      </c>
      <c r="W95">
        <f t="shared" si="23"/>
        <v>0.13505806896184941</v>
      </c>
      <c r="X95">
        <f t="shared" si="24"/>
        <v>0.74075046324632476</v>
      </c>
      <c r="AC95">
        <v>130.510009430727</v>
      </c>
      <c r="AD95">
        <v>3.9237392391370101</v>
      </c>
      <c r="AE95">
        <f t="shared" si="25"/>
        <v>0.2548589340559595</v>
      </c>
      <c r="AF95">
        <f t="shared" si="26"/>
        <v>0.76151626828563856</v>
      </c>
      <c r="AK95">
        <v>214.71508302951</v>
      </c>
      <c r="AL95">
        <v>0.488990808726119</v>
      </c>
      <c r="AM95">
        <f t="shared" si="27"/>
        <v>2.0450282135263902</v>
      </c>
      <c r="AN95">
        <f t="shared" si="28"/>
        <v>0.97066285474810887</v>
      </c>
      <c r="AT95">
        <v>2.0959999263820199</v>
      </c>
      <c r="AU95">
        <v>0.99002171120552196</v>
      </c>
      <c r="AV95">
        <f t="shared" si="29"/>
        <v>1.5438838762885252</v>
      </c>
      <c r="BB95">
        <v>32.009007807676298</v>
      </c>
      <c r="BC95">
        <v>0.92076631881382498</v>
      </c>
      <c r="BD95">
        <f t="shared" si="30"/>
        <v>1.293102152647003</v>
      </c>
      <c r="BJ95">
        <v>2.94465825960744</v>
      </c>
      <c r="BK95">
        <v>785.01658010175504</v>
      </c>
      <c r="BL95">
        <f t="shared" si="31"/>
        <v>90.324212211363289</v>
      </c>
      <c r="CK95">
        <v>2.5171624713958902</v>
      </c>
      <c r="CL95">
        <v>1.8120092378752799</v>
      </c>
      <c r="CM95">
        <f t="shared" si="33"/>
        <v>1.8103368712505834</v>
      </c>
      <c r="EC95">
        <v>192.5109901253</v>
      </c>
      <c r="ED95">
        <v>37.999105521881802</v>
      </c>
      <c r="EE95">
        <f t="shared" si="34"/>
        <v>0.85673799411995033</v>
      </c>
      <c r="EL95">
        <v>178.916793806116</v>
      </c>
      <c r="EM95">
        <v>3.34950527880763</v>
      </c>
      <c r="EN95">
        <f t="shared" si="21"/>
        <v>0.91172269606507861</v>
      </c>
      <c r="ET95">
        <v>180.50248498357999</v>
      </c>
      <c r="EU95">
        <v>0.41535137936386102</v>
      </c>
      <c r="EV95">
        <f t="shared" si="22"/>
        <v>0.55687633669841841</v>
      </c>
    </row>
    <row r="96" spans="21:152" x14ac:dyDescent="0.25">
      <c r="U96">
        <v>121.402645009335</v>
      </c>
      <c r="V96">
        <v>7.4170479950739399</v>
      </c>
      <c r="W96">
        <f t="shared" si="23"/>
        <v>0.1348245286620976</v>
      </c>
      <c r="X96">
        <f t="shared" si="24"/>
        <v>0.73946956913494299</v>
      </c>
      <c r="AC96">
        <v>130.510009430727</v>
      </c>
      <c r="AD96">
        <v>3.9237392391370101</v>
      </c>
      <c r="AE96">
        <f t="shared" si="25"/>
        <v>0.2548589340559595</v>
      </c>
      <c r="AF96">
        <f t="shared" si="26"/>
        <v>0.76151626828563856</v>
      </c>
      <c r="AK96">
        <v>217.52809334445899</v>
      </c>
      <c r="AL96">
        <v>0.48888465739347903</v>
      </c>
      <c r="AM96">
        <f t="shared" si="27"/>
        <v>2.0454722496949818</v>
      </c>
      <c r="AN96">
        <f t="shared" si="28"/>
        <v>0.97087361439052633</v>
      </c>
      <c r="AT96">
        <v>1.99810029511359</v>
      </c>
      <c r="AU96">
        <v>0.98029779255780203</v>
      </c>
      <c r="AV96">
        <f t="shared" si="29"/>
        <v>1.528719965189772</v>
      </c>
      <c r="BB96">
        <v>31.382322766182</v>
      </c>
      <c r="BC96">
        <v>0.92957399885823899</v>
      </c>
      <c r="BD96">
        <f t="shared" si="30"/>
        <v>1.3054714474317317</v>
      </c>
      <c r="BJ96">
        <v>2.8756123965612899</v>
      </c>
      <c r="BK96">
        <v>829.26587980548095</v>
      </c>
      <c r="BL96">
        <f t="shared" si="31"/>
        <v>95.415548162669538</v>
      </c>
      <c r="CK96">
        <v>2.0594965675057302</v>
      </c>
      <c r="CL96">
        <v>1.8267898383371799</v>
      </c>
      <c r="CM96">
        <f t="shared" si="33"/>
        <v>1.8251038301799851</v>
      </c>
      <c r="EC96">
        <v>195.038032419275</v>
      </c>
      <c r="ED96">
        <v>38.180848966484</v>
      </c>
      <c r="EE96">
        <f t="shared" si="34"/>
        <v>0.86083563042044886</v>
      </c>
      <c r="EL96">
        <v>180.97231940653299</v>
      </c>
      <c r="EM96">
        <v>3.34950527880763</v>
      </c>
      <c r="EN96">
        <f t="shared" si="21"/>
        <v>0.91172269606507861</v>
      </c>
      <c r="ET96">
        <v>181.911988252437</v>
      </c>
      <c r="EU96">
        <v>0.41730704737059998</v>
      </c>
      <c r="EV96">
        <f t="shared" si="22"/>
        <v>0.55949837020907889</v>
      </c>
    </row>
    <row r="97" spans="21:152" x14ac:dyDescent="0.25">
      <c r="U97">
        <v>124.426029521033</v>
      </c>
      <c r="V97">
        <v>7.3828468128149103</v>
      </c>
      <c r="W97">
        <f t="shared" si="23"/>
        <v>0.13544910592811324</v>
      </c>
      <c r="X97">
        <f t="shared" si="24"/>
        <v>0.74289517637700186</v>
      </c>
      <c r="AC97">
        <v>132.519397290809</v>
      </c>
      <c r="AD97">
        <v>3.9175830263303801</v>
      </c>
      <c r="AE97">
        <f t="shared" si="25"/>
        <v>0.25525942737624763</v>
      </c>
      <c r="AF97">
        <f t="shared" si="26"/>
        <v>0.76271293882759483</v>
      </c>
      <c r="AK97">
        <v>219.537386426566</v>
      </c>
      <c r="AL97">
        <v>0.48880883501302302</v>
      </c>
      <c r="AM97">
        <f t="shared" si="27"/>
        <v>2.0457895364623631</v>
      </c>
      <c r="AN97">
        <f t="shared" si="28"/>
        <v>0.97102421303623843</v>
      </c>
      <c r="AT97">
        <v>1.8918016222331</v>
      </c>
      <c r="AU97">
        <v>0.99002171120552196</v>
      </c>
      <c r="AV97">
        <f t="shared" si="29"/>
        <v>1.5438838762885252</v>
      </c>
      <c r="BB97">
        <v>30.565786925933399</v>
      </c>
      <c r="BC97">
        <v>0.93846592962531405</v>
      </c>
      <c r="BD97">
        <f t="shared" si="30"/>
        <v>1.3179590619123585</v>
      </c>
      <c r="BJ97">
        <v>2.8215432039846702</v>
      </c>
      <c r="BK97">
        <v>888.10129986686002</v>
      </c>
      <c r="BL97">
        <f t="shared" si="31"/>
        <v>102.18516692216105</v>
      </c>
      <c r="CK97">
        <v>0.68649885583523895</v>
      </c>
      <c r="CL97">
        <v>1.8545034642032301</v>
      </c>
      <c r="CM97">
        <f t="shared" si="33"/>
        <v>1.8527918781726014</v>
      </c>
      <c r="EC97">
        <v>197.573059049092</v>
      </c>
      <c r="ED97">
        <v>38.490142176161299</v>
      </c>
      <c r="EE97">
        <f t="shared" si="34"/>
        <v>0.86780903783134855</v>
      </c>
      <c r="EL97">
        <v>182.34266980680999</v>
      </c>
      <c r="EM97">
        <v>3.3478755554686801</v>
      </c>
      <c r="EN97">
        <f t="shared" si="21"/>
        <v>0.91127909152269182</v>
      </c>
      <c r="ET97">
        <v>183.08657430981799</v>
      </c>
      <c r="EU97">
        <v>0.42121838338407702</v>
      </c>
      <c r="EV97">
        <f t="shared" si="22"/>
        <v>0.56474243723039863</v>
      </c>
    </row>
    <row r="98" spans="21:152" x14ac:dyDescent="0.25">
      <c r="U98">
        <v>125.821437757201</v>
      </c>
      <c r="V98">
        <v>7.3657462216854004</v>
      </c>
      <c r="W98">
        <f t="shared" si="23"/>
        <v>0.13576356962393202</v>
      </c>
      <c r="X98">
        <f t="shared" si="24"/>
        <v>0.74461990952432466</v>
      </c>
      <c r="AC98">
        <v>134.86368312757199</v>
      </c>
      <c r="AD98">
        <v>3.9052706007171398</v>
      </c>
      <c r="AE98">
        <f t="shared" si="25"/>
        <v>0.2560642020085282</v>
      </c>
      <c r="AF98">
        <f t="shared" si="26"/>
        <v>0.7651175983976245</v>
      </c>
      <c r="AK98">
        <v>223.14956463153001</v>
      </c>
      <c r="AL98">
        <v>0.48503288046627102</v>
      </c>
      <c r="AM98">
        <f t="shared" si="27"/>
        <v>2.0617158965360898</v>
      </c>
      <c r="AN98">
        <f t="shared" si="28"/>
        <v>0.97858358362714715</v>
      </c>
      <c r="AT98">
        <v>1.7668451167735799</v>
      </c>
      <c r="AU98">
        <v>0.99984208482293202</v>
      </c>
      <c r="AV98">
        <f t="shared" si="29"/>
        <v>1.5591982035557392</v>
      </c>
      <c r="BB98">
        <v>29.770496510485799</v>
      </c>
      <c r="BC98">
        <v>0.94294374057598795</v>
      </c>
      <c r="BD98">
        <f t="shared" si="30"/>
        <v>1.3242475923040025</v>
      </c>
      <c r="BJ98">
        <v>2.7423396371407001</v>
      </c>
      <c r="BK98">
        <v>938.16121144220904</v>
      </c>
      <c r="BL98">
        <f t="shared" si="31"/>
        <v>107.94507338914013</v>
      </c>
      <c r="EC98">
        <v>200.100101343067</v>
      </c>
      <c r="ED98">
        <v>38.671885620763497</v>
      </c>
      <c r="EE98">
        <f t="shared" si="34"/>
        <v>0.87190667413184708</v>
      </c>
      <c r="EL98">
        <v>184.10454889288101</v>
      </c>
      <c r="EM98">
        <v>3.3478755554686801</v>
      </c>
      <c r="EN98">
        <f t="shared" si="21"/>
        <v>0.91127909152269182</v>
      </c>
      <c r="ET98">
        <v>184.37861897293701</v>
      </c>
      <c r="EU98">
        <v>0.42512971939755401</v>
      </c>
      <c r="EV98">
        <f t="shared" si="22"/>
        <v>0.56998650425171837</v>
      </c>
    </row>
    <row r="99" spans="21:152" x14ac:dyDescent="0.25">
      <c r="U99">
        <v>127.21684599336901</v>
      </c>
      <c r="V99">
        <v>7.3529207783382704</v>
      </c>
      <c r="W99">
        <f t="shared" si="23"/>
        <v>0.136000377284902</v>
      </c>
      <c r="X99">
        <f t="shared" si="24"/>
        <v>0.74591872407063176</v>
      </c>
      <c r="AC99">
        <v>136.538173010973</v>
      </c>
      <c r="AD99">
        <v>3.89295817510388</v>
      </c>
      <c r="AE99">
        <f t="shared" si="25"/>
        <v>0.25687406723122985</v>
      </c>
      <c r="AF99">
        <f t="shared" si="26"/>
        <v>0.76753746860735661</v>
      </c>
      <c r="AK99">
        <v>221.144820892251</v>
      </c>
      <c r="AL99">
        <v>0.48874817710865698</v>
      </c>
      <c r="AM99">
        <f t="shared" si="27"/>
        <v>2.0460434367567637</v>
      </c>
      <c r="AN99">
        <f t="shared" si="28"/>
        <v>0.97114472559589615</v>
      </c>
      <c r="AT99">
        <v>1.6614568966832399</v>
      </c>
      <c r="AU99">
        <v>0.99984208482293202</v>
      </c>
      <c r="AV99">
        <f t="shared" si="29"/>
        <v>1.5591982035557392</v>
      </c>
      <c r="BB99">
        <v>28.9958987356836</v>
      </c>
      <c r="BC99">
        <v>0.95196356091169798</v>
      </c>
      <c r="BD99">
        <f t="shared" si="30"/>
        <v>1.3369148118300396</v>
      </c>
      <c r="BJ99">
        <v>2.6780377079119799</v>
      </c>
      <c r="BK99">
        <v>991.04286727951103</v>
      </c>
      <c r="BL99">
        <f t="shared" si="31"/>
        <v>114.02965048599279</v>
      </c>
      <c r="EC99">
        <v>202.63113580496301</v>
      </c>
      <c r="ED99">
        <v>38.917403947903203</v>
      </c>
      <c r="EE99">
        <f t="shared" si="34"/>
        <v>0.87744219598754525</v>
      </c>
      <c r="EL99">
        <v>186.160074493297</v>
      </c>
      <c r="EM99">
        <v>3.34950527880763</v>
      </c>
      <c r="EN99">
        <f t="shared" si="21"/>
        <v>0.91172269606507861</v>
      </c>
      <c r="ET99">
        <v>185.31828781884099</v>
      </c>
      <c r="EU99">
        <v>0.43099672341777101</v>
      </c>
      <c r="EV99">
        <f t="shared" si="22"/>
        <v>0.57785260478369993</v>
      </c>
    </row>
    <row r="100" spans="21:152" x14ac:dyDescent="0.25">
      <c r="U100">
        <v>128.37968619017599</v>
      </c>
      <c r="V100">
        <v>7.3400953349911298</v>
      </c>
      <c r="W100">
        <f t="shared" si="23"/>
        <v>0.13623801250003906</v>
      </c>
      <c r="X100">
        <f t="shared" si="24"/>
        <v>0.74722207748779146</v>
      </c>
      <c r="AC100">
        <v>138.88245884773599</v>
      </c>
      <c r="AD100">
        <v>3.8868019622972598</v>
      </c>
      <c r="AE100">
        <f t="shared" si="25"/>
        <v>0.25728092393185858</v>
      </c>
      <c r="AF100">
        <f t="shared" si="26"/>
        <v>0.76875315287417445</v>
      </c>
      <c r="AK100">
        <v>226.36291711529199</v>
      </c>
      <c r="AL100">
        <v>0.48369840657023</v>
      </c>
      <c r="AM100">
        <f t="shared" si="27"/>
        <v>2.0674039575418908</v>
      </c>
      <c r="AN100">
        <f t="shared" si="28"/>
        <v>0.98128339456244551</v>
      </c>
      <c r="AT100">
        <v>1.5306522816669501</v>
      </c>
      <c r="AU100">
        <v>0.99984208482293202</v>
      </c>
      <c r="AV100">
        <f t="shared" si="29"/>
        <v>1.5591982035557392</v>
      </c>
      <c r="BB100">
        <v>27.871626862414601</v>
      </c>
      <c r="BC100">
        <v>0.95650577467048004</v>
      </c>
      <c r="BD100">
        <f t="shared" si="30"/>
        <v>1.3432937879820239</v>
      </c>
      <c r="BJ100">
        <v>2.5418309933621099</v>
      </c>
      <c r="BK100">
        <v>1160.2737608882401</v>
      </c>
      <c r="BL100">
        <f t="shared" si="31"/>
        <v>133.50140119099336</v>
      </c>
      <c r="EC100">
        <v>205.78694454648999</v>
      </c>
      <c r="ED100">
        <v>39.096752091752897</v>
      </c>
      <c r="EE100">
        <f t="shared" si="34"/>
        <v>0.88148582719677049</v>
      </c>
      <c r="EL100">
        <v>187.92195357936799</v>
      </c>
      <c r="EM100">
        <v>3.34950527880763</v>
      </c>
      <c r="EN100">
        <f t="shared" si="21"/>
        <v>0.91172269606507861</v>
      </c>
      <c r="ET100">
        <v>186.72779108769799</v>
      </c>
      <c r="EU100">
        <v>0.43099672341777101</v>
      </c>
      <c r="EV100">
        <f t="shared" si="22"/>
        <v>0.57785260478369993</v>
      </c>
    </row>
    <row r="101" spans="21:152" x14ac:dyDescent="0.25">
      <c r="U101">
        <v>129.77509442634499</v>
      </c>
      <c r="V101">
        <v>7.3272698916439998</v>
      </c>
      <c r="W101">
        <f t="shared" si="23"/>
        <v>0.13647647961492418</v>
      </c>
      <c r="X101">
        <f t="shared" si="24"/>
        <v>0.74852999360993044</v>
      </c>
      <c r="AC101">
        <v>140.89184670781799</v>
      </c>
      <c r="AD101">
        <v>3.8744895366840102</v>
      </c>
      <c r="AE101">
        <f t="shared" si="25"/>
        <v>0.25809851608370893</v>
      </c>
      <c r="AF101">
        <f t="shared" si="26"/>
        <v>0.77119611108069352</v>
      </c>
      <c r="AK101">
        <v>225.157341266028</v>
      </c>
      <c r="AL101">
        <v>0.48374389999850398</v>
      </c>
      <c r="AM101">
        <f t="shared" si="27"/>
        <v>2.0672095296769482</v>
      </c>
      <c r="AN101">
        <f t="shared" si="28"/>
        <v>0.98119111030681538</v>
      </c>
      <c r="AT101">
        <v>1.4295502644454099</v>
      </c>
      <c r="AU101">
        <v>0.99984208482293202</v>
      </c>
      <c r="AV101">
        <f t="shared" si="29"/>
        <v>1.5591982035557392</v>
      </c>
      <c r="BB101">
        <v>26.9681055818936</v>
      </c>
      <c r="BC101">
        <v>0.95650577467048004</v>
      </c>
      <c r="BD101">
        <f t="shared" si="30"/>
        <v>1.3432937879820239</v>
      </c>
      <c r="BJ101">
        <v>2.3784494307359898</v>
      </c>
      <c r="BK101">
        <v>1386.62528246018</v>
      </c>
      <c r="BL101">
        <f t="shared" si="31"/>
        <v>159.54546622994931</v>
      </c>
      <c r="EC101">
        <v>207.68522039291199</v>
      </c>
      <c r="ED101">
        <v>39.280890837107698</v>
      </c>
      <c r="EE101">
        <f t="shared" si="34"/>
        <v>0.88563746858854453</v>
      </c>
      <c r="EL101">
        <v>189.39018615109401</v>
      </c>
      <c r="EM101">
        <v>3.35276472548553</v>
      </c>
      <c r="EN101">
        <f t="shared" si="21"/>
        <v>0.91260990514985219</v>
      </c>
      <c r="ET101">
        <v>188.37221156803099</v>
      </c>
      <c r="EU101">
        <v>0.43099672341777101</v>
      </c>
      <c r="EV101">
        <f t="shared" si="22"/>
        <v>0.57785260478369993</v>
      </c>
    </row>
    <row r="102" spans="21:152" x14ac:dyDescent="0.25">
      <c r="U102">
        <v>131.40307070187399</v>
      </c>
      <c r="V102">
        <v>7.3187195960792399</v>
      </c>
      <c r="W102">
        <f t="shared" si="23"/>
        <v>0.1366359220177962</v>
      </c>
      <c r="X102">
        <f t="shared" si="24"/>
        <v>0.74940448437302531</v>
      </c>
      <c r="AC102">
        <v>142.90123456790101</v>
      </c>
      <c r="AD102">
        <v>3.8744895366840102</v>
      </c>
      <c r="AE102">
        <f t="shared" si="25"/>
        <v>0.25809851608370893</v>
      </c>
      <c r="AF102">
        <f t="shared" si="26"/>
        <v>0.77119611108069352</v>
      </c>
      <c r="AK102">
        <v>229.97812821547501</v>
      </c>
      <c r="AL102">
        <v>0.48234876819809802</v>
      </c>
      <c r="AM102">
        <f t="shared" si="27"/>
        <v>2.0731886674774413</v>
      </c>
      <c r="AN102">
        <f t="shared" si="28"/>
        <v>0.98402907944972096</v>
      </c>
      <c r="AT102">
        <v>1.4101457654720699</v>
      </c>
      <c r="AU102">
        <v>1.01977603354046</v>
      </c>
      <c r="AV102">
        <f t="shared" si="29"/>
        <v>1.5902840895190673</v>
      </c>
      <c r="BB102">
        <v>26.2664231438124</v>
      </c>
      <c r="BC102">
        <v>0.96565532396631204</v>
      </c>
      <c r="BD102">
        <f t="shared" si="30"/>
        <v>1.3561431957507963</v>
      </c>
      <c r="BJ102">
        <v>2.2255695635710899</v>
      </c>
      <c r="BK102">
        <v>1612.3164104995999</v>
      </c>
      <c r="BL102">
        <f t="shared" si="31"/>
        <v>185.51354621701421</v>
      </c>
      <c r="EC102">
        <v>209.26512084763701</v>
      </c>
      <c r="ED102">
        <v>39.402452350301203</v>
      </c>
      <c r="EE102">
        <f t="shared" si="34"/>
        <v>0.88837822697075486</v>
      </c>
      <c r="EL102">
        <v>190.95630089426899</v>
      </c>
      <c r="EM102">
        <v>3.35113500214658</v>
      </c>
      <c r="EN102">
        <f t="shared" si="21"/>
        <v>0.9121663006074654</v>
      </c>
      <c r="ET102">
        <v>189.781714836888</v>
      </c>
      <c r="EU102">
        <v>0.43099672341777101</v>
      </c>
      <c r="EV102">
        <f t="shared" si="22"/>
        <v>0.57785260478369993</v>
      </c>
    </row>
    <row r="103" spans="21:152" x14ac:dyDescent="0.25">
      <c r="U103">
        <v>132.79847893804299</v>
      </c>
      <c r="V103">
        <v>7.2930687093849702</v>
      </c>
      <c r="W103">
        <f t="shared" si="23"/>
        <v>0.13711649236392984</v>
      </c>
      <c r="X103">
        <f t="shared" si="24"/>
        <v>0.75204025955667242</v>
      </c>
      <c r="AC103">
        <v>144.91062242798299</v>
      </c>
      <c r="AD103">
        <v>3.84986468545751</v>
      </c>
      <c r="AE103">
        <f t="shared" si="25"/>
        <v>0.2597493890570759</v>
      </c>
      <c r="AF103">
        <f t="shared" si="26"/>
        <v>0.77612890510162424</v>
      </c>
      <c r="AK103">
        <v>232.389279914003</v>
      </c>
      <c r="AL103">
        <v>0.48225778134155001</v>
      </c>
      <c r="AM103">
        <f t="shared" si="27"/>
        <v>2.0735798128921612</v>
      </c>
      <c r="AN103">
        <f t="shared" si="28"/>
        <v>0.98421473474893018</v>
      </c>
      <c r="AT103">
        <v>1.3534983784123999</v>
      </c>
      <c r="AU103">
        <v>1.0298915507479101</v>
      </c>
      <c r="AV103">
        <f t="shared" si="29"/>
        <v>1.606058676823708</v>
      </c>
      <c r="BB103">
        <v>25.4149381411337</v>
      </c>
      <c r="BC103">
        <v>0.97489239416848505</v>
      </c>
      <c r="BD103">
        <f t="shared" si="30"/>
        <v>1.369115515783059</v>
      </c>
      <c r="BJ103">
        <v>2.1733847741189898</v>
      </c>
      <c r="BK103">
        <v>1726.7083270051301</v>
      </c>
      <c r="BL103">
        <f t="shared" si="31"/>
        <v>198.67550993040581</v>
      </c>
      <c r="EC103">
        <v>211.47777991783499</v>
      </c>
      <c r="ED103">
        <v>39.585393445279699</v>
      </c>
      <c r="EE103">
        <f t="shared" si="34"/>
        <v>0.89250286581689109</v>
      </c>
      <c r="EL103">
        <v>192.71817998034001</v>
      </c>
      <c r="EM103">
        <v>3.35113500214658</v>
      </c>
      <c r="EN103">
        <f t="shared" si="21"/>
        <v>0.9121663006074654</v>
      </c>
      <c r="ET103">
        <v>191.426135317221</v>
      </c>
      <c r="EU103">
        <v>0.43490805943124899</v>
      </c>
      <c r="EV103">
        <f t="shared" si="22"/>
        <v>0.58309667180502089</v>
      </c>
    </row>
    <row r="104" spans="21:152" x14ac:dyDescent="0.25">
      <c r="U104">
        <v>134.42645521357201</v>
      </c>
      <c r="V104">
        <v>7.2887935616025903</v>
      </c>
      <c r="W104">
        <f t="shared" si="23"/>
        <v>0.13719691627267455</v>
      </c>
      <c r="X104">
        <f t="shared" si="24"/>
        <v>0.75248135906384472</v>
      </c>
      <c r="AC104">
        <v>147.25490826474601</v>
      </c>
      <c r="AD104">
        <v>3.83755225984426</v>
      </c>
      <c r="AE104">
        <f t="shared" si="25"/>
        <v>0.26058277054983564</v>
      </c>
      <c r="AF104">
        <f t="shared" si="26"/>
        <v>0.77861904172083085</v>
      </c>
      <c r="AK104">
        <v>228.77710170903799</v>
      </c>
      <c r="AL104">
        <v>0.48603373588830201</v>
      </c>
      <c r="AM104">
        <f t="shared" si="27"/>
        <v>2.0574703485805257</v>
      </c>
      <c r="AN104">
        <f t="shared" si="28"/>
        <v>0.97656845460777209</v>
      </c>
      <c r="AT104">
        <v>1.29912659047111</v>
      </c>
      <c r="AU104">
        <v>1.0298915507479101</v>
      </c>
      <c r="AV104">
        <f t="shared" si="29"/>
        <v>1.606058676823708</v>
      </c>
      <c r="BB104">
        <v>24.753667526318001</v>
      </c>
      <c r="BC104">
        <v>0.97954401091932297</v>
      </c>
      <c r="BD104">
        <f t="shared" si="30"/>
        <v>1.3756481348753236</v>
      </c>
      <c r="BJ104">
        <v>2.13251933619159</v>
      </c>
      <c r="BK104">
        <v>1824.0382894534</v>
      </c>
      <c r="BL104">
        <f t="shared" si="31"/>
        <v>209.87432076515532</v>
      </c>
      <c r="EC104">
        <v>214.00482221180999</v>
      </c>
      <c r="ED104">
        <v>39.767136889882003</v>
      </c>
      <c r="EE104">
        <f t="shared" si="34"/>
        <v>0.89660050211739206</v>
      </c>
      <c r="EL104">
        <v>197.12287769551699</v>
      </c>
      <c r="EM104">
        <v>3.3592836188413302</v>
      </c>
      <c r="EN104">
        <f t="shared" si="21"/>
        <v>0.91438432331939945</v>
      </c>
      <c r="ET104">
        <v>192.953097191816</v>
      </c>
      <c r="EU104">
        <v>0.43686372743798702</v>
      </c>
      <c r="EV104">
        <f t="shared" si="22"/>
        <v>0.58571870531568004</v>
      </c>
    </row>
    <row r="105" spans="21:152" x14ac:dyDescent="0.25">
      <c r="U105">
        <v>135.356727371018</v>
      </c>
      <c r="V105">
        <v>7.2716929704730804</v>
      </c>
      <c r="W105">
        <f t="shared" si="23"/>
        <v>0.13751955755840201</v>
      </c>
      <c r="X105">
        <f t="shared" si="24"/>
        <v>0.7542509436854975</v>
      </c>
      <c r="AC105">
        <v>150.26899005486899</v>
      </c>
      <c r="AD105">
        <v>3.8252398342310099</v>
      </c>
      <c r="AE105">
        <f t="shared" si="25"/>
        <v>0.26142151690758775</v>
      </c>
      <c r="AF105">
        <f t="shared" si="26"/>
        <v>0.78112520850976253</v>
      </c>
      <c r="AK105">
        <v>234.80498095535901</v>
      </c>
      <c r="AL105">
        <v>0.485806268746931</v>
      </c>
      <c r="AM105">
        <f t="shared" si="27"/>
        <v>2.0584337097571002</v>
      </c>
      <c r="AN105">
        <f t="shared" si="28"/>
        <v>0.97702570937991762</v>
      </c>
      <c r="BB105">
        <v>24.189185107610399</v>
      </c>
      <c r="BC105">
        <v>0.97954401091932297</v>
      </c>
      <c r="BD105">
        <f t="shared" si="30"/>
        <v>1.3756481348753236</v>
      </c>
      <c r="BJ105">
        <v>2.09242227763121</v>
      </c>
      <c r="BK105">
        <v>1900.6194794691901</v>
      </c>
      <c r="BL105">
        <f t="shared" si="31"/>
        <v>218.68577243855609</v>
      </c>
      <c r="EC105">
        <v>215.89910589031101</v>
      </c>
      <c r="ED105">
        <v>39.887500752699196</v>
      </c>
      <c r="EE105">
        <f t="shared" si="34"/>
        <v>0.89931425795396425</v>
      </c>
      <c r="EL105">
        <v>198.49322809579499</v>
      </c>
      <c r="EM105">
        <v>3.3592836188413302</v>
      </c>
      <c r="EN105">
        <f t="shared" si="21"/>
        <v>0.91438432331939945</v>
      </c>
      <c r="ET105">
        <v>194.94989348936301</v>
      </c>
      <c r="EU105">
        <v>0.43490805943124899</v>
      </c>
      <c r="EV105">
        <f t="shared" si="22"/>
        <v>0.58309667180502089</v>
      </c>
    </row>
    <row r="106" spans="21:152" x14ac:dyDescent="0.25">
      <c r="U106">
        <v>136.75213560718601</v>
      </c>
      <c r="V106">
        <v>7.2631426749083197</v>
      </c>
      <c r="W106">
        <f t="shared" si="23"/>
        <v>0.13768144792951112</v>
      </c>
      <c r="X106">
        <f t="shared" si="24"/>
        <v>0.75513886077416892</v>
      </c>
      <c r="AC106">
        <v>152.61327589163199</v>
      </c>
      <c r="AD106">
        <v>3.8129274086177598</v>
      </c>
      <c r="AE106">
        <f t="shared" si="25"/>
        <v>0.26226568010181817</v>
      </c>
      <c r="AF106">
        <f t="shared" si="26"/>
        <v>0.78364756075876507</v>
      </c>
      <c r="AK106">
        <v>237.61495837509</v>
      </c>
      <c r="AL106">
        <v>0.48327380123967201</v>
      </c>
      <c r="AM106">
        <f t="shared" si="27"/>
        <v>2.0692203828033828</v>
      </c>
      <c r="AN106">
        <f t="shared" si="28"/>
        <v>0.98214555212002563</v>
      </c>
      <c r="BB106">
        <v>23.793881716132201</v>
      </c>
      <c r="BC106">
        <v>0.99363245405913203</v>
      </c>
      <c r="BD106">
        <f t="shared" si="30"/>
        <v>1.3954336068015785</v>
      </c>
      <c r="BJ106">
        <v>2.0628450312838198</v>
      </c>
      <c r="BK106">
        <v>2007.7523516931999</v>
      </c>
      <c r="BL106">
        <f t="shared" si="31"/>
        <v>231.01250862586062</v>
      </c>
      <c r="EC106">
        <v>219.377282191457</v>
      </c>
      <c r="ED106">
        <v>40.193201011247602</v>
      </c>
      <c r="EE106">
        <f t="shared" si="34"/>
        <v>0.90620665772795084</v>
      </c>
      <c r="EL106">
        <v>200.352989353314</v>
      </c>
      <c r="EM106">
        <v>3.3625430655192301</v>
      </c>
      <c r="EN106">
        <f t="shared" si="21"/>
        <v>0.91527153240417314</v>
      </c>
      <c r="ET106">
        <v>196.124479546744</v>
      </c>
      <c r="EU106">
        <v>0.44273073145820402</v>
      </c>
      <c r="EV106">
        <f t="shared" si="22"/>
        <v>0.5935848058476616</v>
      </c>
    </row>
    <row r="107" spans="21:152" x14ac:dyDescent="0.25">
      <c r="U107">
        <v>137.68240776463099</v>
      </c>
      <c r="V107">
        <v>7.2417669359964298</v>
      </c>
      <c r="W107">
        <f t="shared" si="23"/>
        <v>0.13808784635547031</v>
      </c>
      <c r="X107">
        <f t="shared" si="24"/>
        <v>0.75736782661535007</v>
      </c>
      <c r="AC107">
        <v>154.28776577503399</v>
      </c>
      <c r="AD107">
        <v>3.8006149830045199</v>
      </c>
      <c r="AE107">
        <f t="shared" si="25"/>
        <v>0.26311531277747707</v>
      </c>
      <c r="AF107">
        <f t="shared" si="26"/>
        <v>0.78618625577048962</v>
      </c>
      <c r="AK107">
        <v>242.437261772146</v>
      </c>
      <c r="AL107">
        <v>0.48309182752657498</v>
      </c>
      <c r="AM107">
        <f t="shared" si="27"/>
        <v>2.0699998282313929</v>
      </c>
      <c r="AN107">
        <f t="shared" si="28"/>
        <v>0.98251551216227273</v>
      </c>
      <c r="BB107">
        <v>23.022549687942799</v>
      </c>
      <c r="BC107">
        <v>0.99837348742355703</v>
      </c>
      <c r="BD107">
        <f t="shared" si="30"/>
        <v>1.4020918004431606</v>
      </c>
      <c r="BJ107">
        <v>2.04335950386292</v>
      </c>
      <c r="BK107">
        <v>2092.04667009578</v>
      </c>
      <c r="BL107">
        <f t="shared" si="31"/>
        <v>240.71143486079433</v>
      </c>
      <c r="EC107">
        <v>221.58195692581299</v>
      </c>
      <c r="ED107">
        <v>40.248592341151102</v>
      </c>
      <c r="EE107">
        <f t="shared" si="34"/>
        <v>0.90745552546368835</v>
      </c>
      <c r="EL107">
        <v>201.723339753592</v>
      </c>
      <c r="EM107">
        <v>3.3625430655192301</v>
      </c>
      <c r="EN107">
        <f t="shared" si="21"/>
        <v>0.91527153240417314</v>
      </c>
      <c r="ET107">
        <v>198.12127584429101</v>
      </c>
      <c r="EU107">
        <v>0.44468639946494198</v>
      </c>
      <c r="EV107">
        <f t="shared" si="22"/>
        <v>0.59620683935832075</v>
      </c>
    </row>
    <row r="108" spans="21:152" x14ac:dyDescent="0.25">
      <c r="U108">
        <v>139.0778160008</v>
      </c>
      <c r="V108">
        <v>7.2374917882140499</v>
      </c>
      <c r="W108">
        <f t="shared" si="23"/>
        <v>0.13816941410952036</v>
      </c>
      <c r="X108">
        <f t="shared" si="24"/>
        <v>0.75781519974946177</v>
      </c>
      <c r="AC108">
        <v>155.96225565843599</v>
      </c>
      <c r="AD108">
        <v>3.79445877019789</v>
      </c>
      <c r="AE108">
        <f t="shared" si="25"/>
        <v>0.26354219680922969</v>
      </c>
      <c r="AF108">
        <f t="shared" si="26"/>
        <v>0.78746178152772917</v>
      </c>
      <c r="AK108">
        <v>246.45129859353199</v>
      </c>
      <c r="AL108">
        <v>0.47930070850373202</v>
      </c>
      <c r="AM108">
        <f t="shared" si="27"/>
        <v>2.0863728808617306</v>
      </c>
      <c r="AN108">
        <f t="shared" si="28"/>
        <v>0.99028690323745971</v>
      </c>
      <c r="BB108">
        <v>22.2762221169836</v>
      </c>
      <c r="BC108">
        <v>1.0031371422283999</v>
      </c>
      <c r="BD108">
        <f t="shared" si="30"/>
        <v>1.4087817630935593</v>
      </c>
      <c r="BJ108">
        <v>1.9860003392674901</v>
      </c>
      <c r="BK108">
        <v>2225.1700549692</v>
      </c>
      <c r="BL108">
        <f t="shared" si="31"/>
        <v>256.02864620433456</v>
      </c>
      <c r="EC108">
        <v>224.112991387709</v>
      </c>
      <c r="ED108">
        <v>40.494110668290901</v>
      </c>
      <c r="EE108">
        <f t="shared" si="34"/>
        <v>0.91299104731938852</v>
      </c>
      <c r="EL108">
        <v>203.191572325317</v>
      </c>
      <c r="EM108">
        <v>3.3592836188413302</v>
      </c>
      <c r="EN108">
        <f t="shared" si="21"/>
        <v>0.91438432331939945</v>
      </c>
      <c r="ET108">
        <v>200.00061353609999</v>
      </c>
      <c r="EU108">
        <v>0.446642067471681</v>
      </c>
      <c r="EV108">
        <f t="shared" si="22"/>
        <v>0.59882887286898134</v>
      </c>
    </row>
    <row r="109" spans="21:152" x14ac:dyDescent="0.25">
      <c r="U109">
        <v>140.70579227632899</v>
      </c>
      <c r="V109">
        <v>7.22039119708454</v>
      </c>
      <c r="W109">
        <f t="shared" si="23"/>
        <v>0.13849665104070558</v>
      </c>
      <c r="X109">
        <f t="shared" si="24"/>
        <v>0.75960999002175</v>
      </c>
      <c r="AC109">
        <v>158.30654149519799</v>
      </c>
      <c r="AD109">
        <v>3.7821463445846399</v>
      </c>
      <c r="AE109">
        <f t="shared" si="25"/>
        <v>0.26440013391650535</v>
      </c>
      <c r="AF109">
        <f t="shared" si="26"/>
        <v>0.7900252901085697</v>
      </c>
      <c r="AK109">
        <v>240.02611007361801</v>
      </c>
      <c r="AL109">
        <v>0.48318281438312399</v>
      </c>
      <c r="AM109">
        <f t="shared" si="27"/>
        <v>2.0696100321297495</v>
      </c>
      <c r="AN109">
        <f t="shared" si="28"/>
        <v>0.98233049730805777</v>
      </c>
      <c r="BB109">
        <v>21.6966176728072</v>
      </c>
      <c r="BC109">
        <v>1.00792352640997</v>
      </c>
      <c r="BD109">
        <f t="shared" si="30"/>
        <v>1.4155036463359407</v>
      </c>
      <c r="BJ109">
        <v>1.9302513043417799</v>
      </c>
      <c r="BK109">
        <v>2415.9372926343499</v>
      </c>
      <c r="BL109">
        <f t="shared" si="31"/>
        <v>277.97837426690506</v>
      </c>
      <c r="EC109">
        <v>226.63604151376299</v>
      </c>
      <c r="ED109">
        <v>40.612079230355597</v>
      </c>
      <c r="EE109">
        <f t="shared" si="34"/>
        <v>0.91565079806468763</v>
      </c>
      <c r="EL109">
        <v>204.95345141138799</v>
      </c>
      <c r="EM109">
        <v>3.3592836188413302</v>
      </c>
      <c r="EN109">
        <f t="shared" si="21"/>
        <v>0.91438432331939945</v>
      </c>
      <c r="ET109">
        <v>201.64503401643299</v>
      </c>
      <c r="EU109">
        <v>0.45250907149189701</v>
      </c>
      <c r="EV109">
        <f t="shared" si="22"/>
        <v>0.60669497340096157</v>
      </c>
    </row>
    <row r="110" spans="21:152" x14ac:dyDescent="0.25">
      <c r="U110">
        <v>141.86863247313599</v>
      </c>
      <c r="V110">
        <v>7.2032906059550301</v>
      </c>
      <c r="W110">
        <f t="shared" si="23"/>
        <v>0.13882544169095307</v>
      </c>
      <c r="X110">
        <f t="shared" si="24"/>
        <v>0.76141330194790147</v>
      </c>
      <c r="AC110">
        <v>160.31592935528101</v>
      </c>
      <c r="AD110">
        <v>3.7698339189713899</v>
      </c>
      <c r="AE110">
        <f t="shared" si="25"/>
        <v>0.26526367513634469</v>
      </c>
      <c r="AF110">
        <f t="shared" si="26"/>
        <v>0.79260554372878811</v>
      </c>
      <c r="AK110">
        <v>249.66768397251201</v>
      </c>
      <c r="AL110">
        <v>0.48039255078231102</v>
      </c>
      <c r="AM110">
        <f t="shared" si="27"/>
        <v>2.0816309461325266</v>
      </c>
      <c r="AN110">
        <f t="shared" si="28"/>
        <v>0.98803616661151294</v>
      </c>
      <c r="BB110">
        <v>21.1320939415967</v>
      </c>
      <c r="BC110">
        <v>1.0127327484195501</v>
      </c>
      <c r="BD110">
        <f t="shared" si="30"/>
        <v>1.4222576024766873</v>
      </c>
      <c r="BJ110">
        <v>1.8939574249508999</v>
      </c>
      <c r="BK110">
        <v>2587.34514735935</v>
      </c>
      <c r="BL110">
        <f t="shared" si="31"/>
        <v>297.70060668506443</v>
      </c>
      <c r="EC110">
        <v>228.848700583962</v>
      </c>
      <c r="ED110">
        <v>40.7950203253341</v>
      </c>
      <c r="EE110">
        <f t="shared" si="34"/>
        <v>0.91977543691082397</v>
      </c>
      <c r="EL110">
        <v>206.32380181166599</v>
      </c>
      <c r="EM110">
        <v>3.3592836188413302</v>
      </c>
      <c r="EN110">
        <f t="shared" si="21"/>
        <v>0.91438432331939945</v>
      </c>
      <c r="ET110">
        <v>203.40691310250401</v>
      </c>
      <c r="EU110">
        <v>0.45250907149189701</v>
      </c>
      <c r="EV110">
        <f t="shared" si="22"/>
        <v>0.60669497340096157</v>
      </c>
    </row>
    <row r="111" spans="21:152" x14ac:dyDescent="0.25">
      <c r="U111">
        <v>143.49660874866601</v>
      </c>
      <c r="V111">
        <v>7.1904651626078904</v>
      </c>
      <c r="W111">
        <f t="shared" si="23"/>
        <v>0.13907306097528085</v>
      </c>
      <c r="X111">
        <f t="shared" si="24"/>
        <v>0.76277141480250132</v>
      </c>
      <c r="AC111">
        <v>162.32531721536299</v>
      </c>
      <c r="AD111">
        <v>3.7575214933581398</v>
      </c>
      <c r="AE111">
        <f t="shared" si="25"/>
        <v>0.26613287555842791</v>
      </c>
      <c r="AF111">
        <f t="shared" si="26"/>
        <v>0.79520270699586737</v>
      </c>
      <c r="AK111">
        <v>253.68475368911601</v>
      </c>
      <c r="AL111">
        <v>0.47902774793408798</v>
      </c>
      <c r="AM111">
        <f t="shared" si="27"/>
        <v>2.0875617421176935</v>
      </c>
      <c r="AN111">
        <f t="shared" si="28"/>
        <v>0.9908511905431211</v>
      </c>
      <c r="BB111">
        <v>20.6501978553773</v>
      </c>
      <c r="BC111">
        <v>1.01756491722592</v>
      </c>
      <c r="BD111">
        <f t="shared" si="30"/>
        <v>1.4290437845489425</v>
      </c>
      <c r="BJ111">
        <v>1.8407921275721799</v>
      </c>
      <c r="BK111">
        <v>2789.9726547086102</v>
      </c>
      <c r="BL111">
        <f t="shared" si="31"/>
        <v>321.01498046721025</v>
      </c>
      <c r="EC111">
        <v>231.05337531831799</v>
      </c>
      <c r="ED111">
        <v>40.850411655237501</v>
      </c>
      <c r="EE111">
        <f t="shared" si="34"/>
        <v>0.92102430464655927</v>
      </c>
      <c r="EL111">
        <v>208.28144524063401</v>
      </c>
      <c r="EM111">
        <v>3.3592836188413302</v>
      </c>
      <c r="EN111">
        <f t="shared" si="21"/>
        <v>0.91438432331939945</v>
      </c>
      <c r="ET111">
        <v>204.93387497709901</v>
      </c>
      <c r="EU111">
        <v>0.45446473949863597</v>
      </c>
      <c r="EV111">
        <f t="shared" si="22"/>
        <v>0.60931700691162194</v>
      </c>
    </row>
    <row r="112" spans="21:152" x14ac:dyDescent="0.25">
      <c r="U112">
        <v>144.89201698483399</v>
      </c>
      <c r="V112">
        <v>7.1733645714783796</v>
      </c>
      <c r="W112">
        <f t="shared" si="23"/>
        <v>0.13940459738740243</v>
      </c>
      <c r="X112">
        <f t="shared" si="24"/>
        <v>0.76458978635741714</v>
      </c>
      <c r="AC112">
        <v>163.99980709876499</v>
      </c>
      <c r="AD112">
        <v>3.7513652805515201</v>
      </c>
      <c r="AE112">
        <f t="shared" si="25"/>
        <v>0.26656961538359747</v>
      </c>
      <c r="AF112">
        <f t="shared" si="26"/>
        <v>0.79650768177772768</v>
      </c>
      <c r="AK112">
        <v>257.299964789299</v>
      </c>
      <c r="AL112">
        <v>0.477678109561956</v>
      </c>
      <c r="AM112">
        <f t="shared" si="27"/>
        <v>2.0934599680881916</v>
      </c>
      <c r="AN112">
        <f t="shared" si="28"/>
        <v>0.99365075527313562</v>
      </c>
      <c r="BB112">
        <v>20.112900894194102</v>
      </c>
      <c r="BC112">
        <v>1.0322002019273699</v>
      </c>
      <c r="BD112">
        <f t="shared" si="30"/>
        <v>1.4495972276597056</v>
      </c>
      <c r="BJ112">
        <v>1.7806492206397</v>
      </c>
      <c r="BK112">
        <v>3092.0962937510499</v>
      </c>
      <c r="BL112">
        <f t="shared" si="31"/>
        <v>355.77740508173417</v>
      </c>
      <c r="EC112">
        <v>233.584409780214</v>
      </c>
      <c r="ED112">
        <v>41.095929982377299</v>
      </c>
      <c r="EE112">
        <f t="shared" si="34"/>
        <v>0.92655982650225943</v>
      </c>
      <c r="EL112">
        <v>209.553913469463</v>
      </c>
      <c r="EM112">
        <v>3.3592836188413302</v>
      </c>
      <c r="EN112">
        <f t="shared" si="21"/>
        <v>0.91438432331939945</v>
      </c>
      <c r="ET112">
        <v>206.46083685169401</v>
      </c>
      <c r="EU112">
        <v>0.46424307953233002</v>
      </c>
      <c r="EV112">
        <f t="shared" si="22"/>
        <v>0.62242717446492324</v>
      </c>
    </row>
    <row r="113" spans="21:152" x14ac:dyDescent="0.25">
      <c r="U113">
        <v>146.75256129972499</v>
      </c>
      <c r="V113">
        <v>7.1519888325664898</v>
      </c>
      <c r="W113">
        <f t="shared" si="23"/>
        <v>0.13982124740554863</v>
      </c>
      <c r="X113">
        <f t="shared" si="24"/>
        <v>0.76687497891440959</v>
      </c>
      <c r="AC113">
        <v>166.34409293552801</v>
      </c>
      <c r="AD113">
        <v>3.7328966421316401</v>
      </c>
      <c r="AE113">
        <f t="shared" si="25"/>
        <v>0.26788847800215498</v>
      </c>
      <c r="AF113">
        <f t="shared" si="26"/>
        <v>0.80044843175922464</v>
      </c>
      <c r="AK113">
        <v>260.51483372067003</v>
      </c>
      <c r="AL113">
        <v>0.47755679375322502</v>
      </c>
      <c r="AM113">
        <f t="shared" si="27"/>
        <v>2.0939917787385616</v>
      </c>
      <c r="AN113">
        <f t="shared" si="28"/>
        <v>0.99390317665327077</v>
      </c>
      <c r="BB113">
        <v>19.589583848676501</v>
      </c>
      <c r="BC113">
        <v>1.0322002019273699</v>
      </c>
      <c r="BD113">
        <f t="shared" si="30"/>
        <v>1.4495972276597056</v>
      </c>
      <c r="BJ113">
        <v>1.7224713206192499</v>
      </c>
      <c r="BK113">
        <v>3266.3895495664101</v>
      </c>
      <c r="BL113">
        <f t="shared" si="31"/>
        <v>375.83163250102689</v>
      </c>
      <c r="EC113">
        <v>236.42184313004401</v>
      </c>
      <c r="ED113">
        <v>41.212700894065698</v>
      </c>
      <c r="EE113">
        <f t="shared" si="34"/>
        <v>0.92919257470192085</v>
      </c>
      <c r="EL113">
        <v>210.630617355395</v>
      </c>
      <c r="EM113">
        <v>3.3592836188413302</v>
      </c>
      <c r="EN113">
        <f t="shared" si="21"/>
        <v>0.91438432331939945</v>
      </c>
      <c r="ET113">
        <v>208.45763314924099</v>
      </c>
      <c r="EU113">
        <v>0.46619874753906898</v>
      </c>
      <c r="EV113">
        <f t="shared" si="22"/>
        <v>0.62504920797558372</v>
      </c>
    </row>
    <row r="114" spans="21:152" x14ac:dyDescent="0.25">
      <c r="U114">
        <v>148.61310561461599</v>
      </c>
      <c r="V114">
        <v>7.13916338921935</v>
      </c>
      <c r="W114">
        <f t="shared" si="23"/>
        <v>0.14007243502930217</v>
      </c>
      <c r="X114">
        <f t="shared" si="24"/>
        <v>0.76825266297347705</v>
      </c>
      <c r="AC114">
        <v>168.68837877229001</v>
      </c>
      <c r="AD114">
        <v>3.7267404293250199</v>
      </c>
      <c r="AE114">
        <f t="shared" si="25"/>
        <v>0.26833100371874252</v>
      </c>
      <c r="AF114">
        <f t="shared" si="26"/>
        <v>0.80177069473409124</v>
      </c>
      <c r="AK114">
        <v>263.32632758800997</v>
      </c>
      <c r="AL114">
        <v>0.47623748433327501</v>
      </c>
      <c r="AM114">
        <f t="shared" si="27"/>
        <v>2.0997927145528754</v>
      </c>
      <c r="AN114">
        <f t="shared" si="28"/>
        <v>0.99665656307624972</v>
      </c>
      <c r="BB114">
        <v>19.017110007617202</v>
      </c>
      <c r="BC114">
        <v>1.0322002019273699</v>
      </c>
      <c r="BD114">
        <f t="shared" si="30"/>
        <v>1.4495972276597056</v>
      </c>
      <c r="BJ114">
        <v>1.6820830961058</v>
      </c>
      <c r="BK114">
        <v>3474.2399954331599</v>
      </c>
      <c r="BL114">
        <f t="shared" si="31"/>
        <v>399.74695894962406</v>
      </c>
      <c r="EC114">
        <v>239.25927647987501</v>
      </c>
      <c r="ED114">
        <v>41.329471805754103</v>
      </c>
      <c r="EE114">
        <f t="shared" si="34"/>
        <v>0.93182532290158238</v>
      </c>
      <c r="EL114">
        <v>213.66496467029501</v>
      </c>
      <c r="EM114">
        <v>3.3690619588750201</v>
      </c>
      <c r="EN114">
        <f t="shared" si="21"/>
        <v>0.91704595057371763</v>
      </c>
      <c r="ET114">
        <v>210.80680526400201</v>
      </c>
      <c r="EU114">
        <v>0.47011008355254802</v>
      </c>
      <c r="EV114">
        <f t="shared" si="22"/>
        <v>0.63029327499690613</v>
      </c>
    </row>
    <row r="115" spans="21:152" x14ac:dyDescent="0.25">
      <c r="U115">
        <v>150.008513850784</v>
      </c>
      <c r="V115">
        <v>7.1177876503074602</v>
      </c>
      <c r="W115">
        <f t="shared" si="23"/>
        <v>0.14049309267561585</v>
      </c>
      <c r="X115">
        <f t="shared" si="24"/>
        <v>0.77055983609367762</v>
      </c>
      <c r="AC115">
        <v>171.032664609053</v>
      </c>
      <c r="AD115">
        <v>3.7082717909051399</v>
      </c>
      <c r="AE115">
        <f t="shared" si="25"/>
        <v>0.26966739667048872</v>
      </c>
      <c r="AF115">
        <f t="shared" si="26"/>
        <v>0.80576382519799539</v>
      </c>
      <c r="AK115">
        <v>266.53968007177201</v>
      </c>
      <c r="AL115">
        <v>0.47490301043723399</v>
      </c>
      <c r="AM115">
        <f t="shared" si="27"/>
        <v>2.1056931163256247</v>
      </c>
      <c r="AN115">
        <f t="shared" si="28"/>
        <v>0.99945716054039013</v>
      </c>
      <c r="BB115">
        <v>18.583443996610299</v>
      </c>
      <c r="BC115">
        <v>1.05204187237117</v>
      </c>
      <c r="BD115">
        <f t="shared" si="30"/>
        <v>1.4774623941397775</v>
      </c>
      <c r="BJ115">
        <v>1.6661942262215701</v>
      </c>
      <c r="BK115">
        <v>3746.32452614457</v>
      </c>
      <c r="BL115">
        <f t="shared" si="31"/>
        <v>431.05307593408452</v>
      </c>
      <c r="EC115">
        <v>241.16952883005899</v>
      </c>
      <c r="ED115">
        <v>41.7049351987215</v>
      </c>
      <c r="EE115">
        <f t="shared" si="34"/>
        <v>0.94029062095895699</v>
      </c>
      <c r="EL115">
        <v>214.93743289912399</v>
      </c>
      <c r="EM115">
        <v>3.3690619588750201</v>
      </c>
      <c r="EN115">
        <f t="shared" si="21"/>
        <v>0.91704595057371763</v>
      </c>
      <c r="ET115">
        <v>212.921060167288</v>
      </c>
      <c r="EU115">
        <v>0.47011008355254802</v>
      </c>
      <c r="EV115">
        <f t="shared" si="22"/>
        <v>0.63029327499690613</v>
      </c>
    </row>
    <row r="116" spans="21:152" x14ac:dyDescent="0.25">
      <c r="U116">
        <v>151.63649012631399</v>
      </c>
      <c r="V116">
        <v>7.1006870591779503</v>
      </c>
      <c r="W116">
        <f t="shared" si="23"/>
        <v>0.14083144231901559</v>
      </c>
      <c r="X116">
        <f t="shared" si="24"/>
        <v>0.77241557605067623</v>
      </c>
      <c r="AC116">
        <v>173.042052469135</v>
      </c>
      <c r="AD116">
        <v>3.7021155780985202</v>
      </c>
      <c r="AE116">
        <f t="shared" si="25"/>
        <v>0.27011582402125323</v>
      </c>
      <c r="AF116">
        <f t="shared" si="26"/>
        <v>0.80710372220422089</v>
      </c>
      <c r="AK116">
        <v>269.75454900314298</v>
      </c>
      <c r="AL116">
        <v>0.474781694628503</v>
      </c>
      <c r="AM116">
        <f t="shared" si="27"/>
        <v>2.106231161212857</v>
      </c>
      <c r="AN116">
        <f t="shared" si="28"/>
        <v>0.99971254097121698</v>
      </c>
      <c r="BB116">
        <v>18.583443996610299</v>
      </c>
      <c r="BC116">
        <v>1.05204187237117</v>
      </c>
      <c r="BD116">
        <f t="shared" si="30"/>
        <v>1.4774623941397775</v>
      </c>
      <c r="BJ116">
        <v>1.6661942262215701</v>
      </c>
      <c r="BK116">
        <v>3746.32452614457</v>
      </c>
      <c r="BL116">
        <f t="shared" si="31"/>
        <v>431.05307593408452</v>
      </c>
      <c r="EC116">
        <v>243.68459462027101</v>
      </c>
      <c r="ED116">
        <v>41.695353995711102</v>
      </c>
      <c r="EE116">
        <f t="shared" si="34"/>
        <v>0.94007460059385495</v>
      </c>
      <c r="EL116">
        <v>217.18872284243699</v>
      </c>
      <c r="EM116">
        <v>3.3690619588750201</v>
      </c>
      <c r="EN116">
        <f t="shared" si="21"/>
        <v>0.91704595057371763</v>
      </c>
      <c r="ET116">
        <v>215.03531507057301</v>
      </c>
      <c r="EU116">
        <v>0.47597708757276402</v>
      </c>
      <c r="EV116">
        <f t="shared" si="22"/>
        <v>0.63815937552888635</v>
      </c>
    </row>
    <row r="117" spans="21:152" x14ac:dyDescent="0.25">
      <c r="U117">
        <v>153.264466401844</v>
      </c>
      <c r="V117">
        <v>7.0793113202660596</v>
      </c>
      <c r="W117">
        <f t="shared" si="23"/>
        <v>0.14125667805246589</v>
      </c>
      <c r="X117">
        <f t="shared" si="24"/>
        <v>0.77474785851971684</v>
      </c>
      <c r="AC117">
        <v>175.38633830589799</v>
      </c>
      <c r="AD117">
        <v>3.6713345140653999</v>
      </c>
      <c r="AE117">
        <f t="shared" si="25"/>
        <v>0.27238051890092257</v>
      </c>
      <c r="AF117">
        <f t="shared" si="26"/>
        <v>0.81387061071829092</v>
      </c>
      <c r="AK117">
        <v>271.76080919003101</v>
      </c>
      <c r="AL117">
        <v>0.47227955607342698</v>
      </c>
      <c r="AM117">
        <f t="shared" si="27"/>
        <v>2.1173899804473568</v>
      </c>
      <c r="AN117">
        <f t="shared" si="28"/>
        <v>1.0050090211185985</v>
      </c>
      <c r="BB117">
        <v>18.159667301542001</v>
      </c>
      <c r="BC117">
        <v>1.05204187237117</v>
      </c>
      <c r="BD117">
        <f t="shared" si="30"/>
        <v>1.4774623941397775</v>
      </c>
      <c r="BJ117">
        <v>1.59653127155771</v>
      </c>
      <c r="BK117">
        <v>4209.3225010189599</v>
      </c>
      <c r="BL117">
        <f t="shared" si="31"/>
        <v>484.32574353884399</v>
      </c>
      <c r="EC117">
        <v>245.89725369047</v>
      </c>
      <c r="ED117">
        <v>41.878295090689598</v>
      </c>
      <c r="EE117">
        <f t="shared" si="34"/>
        <v>0.94419923943999129</v>
      </c>
      <c r="EL117">
        <v>219.92942364299199</v>
      </c>
      <c r="EM117">
        <v>3.38047002224766</v>
      </c>
      <c r="EN117">
        <f t="shared" si="21"/>
        <v>0.92015118237042259</v>
      </c>
      <c r="ET117">
        <v>217.14956997385801</v>
      </c>
      <c r="EU117">
        <v>0.47793275557950299</v>
      </c>
      <c r="EV117">
        <f t="shared" si="22"/>
        <v>0.64078140903954683</v>
      </c>
    </row>
    <row r="118" spans="21:152" x14ac:dyDescent="0.25">
      <c r="U118">
        <v>154.65987463801201</v>
      </c>
      <c r="V118">
        <v>7.0579355813541698</v>
      </c>
      <c r="W118">
        <f t="shared" si="23"/>
        <v>0.14168448953286353</v>
      </c>
      <c r="X118">
        <f t="shared" si="24"/>
        <v>0.77709426813983484</v>
      </c>
      <c r="AC118">
        <v>177.0608281893</v>
      </c>
      <c r="AD118">
        <v>3.6713345140653999</v>
      </c>
      <c r="AE118">
        <f t="shared" si="25"/>
        <v>0.27238051890092257</v>
      </c>
      <c r="AF118">
        <f t="shared" si="26"/>
        <v>0.81387061071829092</v>
      </c>
      <c r="AK118">
        <v>276.18125397066598</v>
      </c>
      <c r="AL118">
        <v>0.47211274683642201</v>
      </c>
      <c r="AM118">
        <f t="shared" si="27"/>
        <v>2.1181381072654681</v>
      </c>
      <c r="AN118">
        <f t="shared" si="28"/>
        <v>1.0053641159325373</v>
      </c>
      <c r="BB118">
        <v>17.398124908990599</v>
      </c>
      <c r="BC118">
        <v>1.05204187237117</v>
      </c>
      <c r="BD118">
        <f t="shared" si="30"/>
        <v>1.4774623941397775</v>
      </c>
      <c r="BJ118">
        <v>1.5814505197811699</v>
      </c>
      <c r="BK118">
        <v>4326.3304124133201</v>
      </c>
      <c r="BL118">
        <f t="shared" si="31"/>
        <v>497.78870430563779</v>
      </c>
      <c r="EC118">
        <v>248.42828815236501</v>
      </c>
      <c r="ED118">
        <v>42.123813417829403</v>
      </c>
      <c r="EE118">
        <f t="shared" si="34"/>
        <v>0.94973476129569168</v>
      </c>
      <c r="EL118">
        <v>219.92942364299199</v>
      </c>
      <c r="EM118">
        <v>3.38047002224766</v>
      </c>
      <c r="EN118">
        <f t="shared" si="21"/>
        <v>0.92015118237042259</v>
      </c>
      <c r="ET118">
        <v>218.911449059929</v>
      </c>
      <c r="EU118">
        <v>0.48575542760645701</v>
      </c>
      <c r="EV118">
        <f t="shared" si="22"/>
        <v>0.65126954308218632</v>
      </c>
    </row>
    <row r="119" spans="21:152" x14ac:dyDescent="0.25">
      <c r="U119">
        <v>156.05528287417999</v>
      </c>
      <c r="V119">
        <v>7.0493852857894099</v>
      </c>
      <c r="W119">
        <f t="shared" si="23"/>
        <v>0.1418563405827544</v>
      </c>
      <c r="X119">
        <f t="shared" si="24"/>
        <v>0.77803681637700828</v>
      </c>
      <c r="AC119">
        <v>178.40042009602101</v>
      </c>
      <c r="AD119">
        <v>3.66517830125877</v>
      </c>
      <c r="AE119">
        <f t="shared" si="25"/>
        <v>0.2728380225476506</v>
      </c>
      <c r="AF119">
        <f t="shared" si="26"/>
        <v>0.8152376276175568</v>
      </c>
      <c r="AK119">
        <v>277.38682981993003</v>
      </c>
      <c r="AL119">
        <v>0.47206725340814798</v>
      </c>
      <c r="AM119">
        <f t="shared" si="27"/>
        <v>2.1183422336126392</v>
      </c>
      <c r="AN119">
        <f t="shared" si="28"/>
        <v>1.0054610035263434</v>
      </c>
      <c r="BB119">
        <v>17.398124908990599</v>
      </c>
      <c r="BC119">
        <v>1.05204187237117</v>
      </c>
      <c r="BD119">
        <f t="shared" si="30"/>
        <v>1.4774623941397775</v>
      </c>
      <c r="BJ119">
        <v>1.5153306676481599</v>
      </c>
      <c r="BK119">
        <v>4861.0097242577403</v>
      </c>
      <c r="BL119">
        <f t="shared" si="31"/>
        <v>559.30904521589105</v>
      </c>
      <c r="EC119">
        <v>251.560143886367</v>
      </c>
      <c r="ED119">
        <v>41.920512266453898</v>
      </c>
      <c r="EE119">
        <f t="shared" si="34"/>
        <v>0.94515107917371566</v>
      </c>
      <c r="EL119">
        <v>221.495538386167</v>
      </c>
      <c r="EM119">
        <v>3.38047002224766</v>
      </c>
      <c r="EN119">
        <f t="shared" si="21"/>
        <v>0.92015118237042259</v>
      </c>
      <c r="ET119">
        <v>221.378079780429</v>
      </c>
      <c r="EU119">
        <v>0.489666763619935</v>
      </c>
      <c r="EV119">
        <f t="shared" si="22"/>
        <v>0.65651361010350728</v>
      </c>
    </row>
    <row r="120" spans="21:152" x14ac:dyDescent="0.25">
      <c r="U120">
        <v>157.21812307098699</v>
      </c>
      <c r="V120">
        <v>7.0365598424422799</v>
      </c>
      <c r="W120">
        <f t="shared" si="23"/>
        <v>0.14211490023410583</v>
      </c>
      <c r="X120">
        <f t="shared" si="24"/>
        <v>0.77945493365787566</v>
      </c>
      <c r="AC120">
        <v>180.744705932784</v>
      </c>
      <c r="AD120">
        <v>3.6528658756455199</v>
      </c>
      <c r="AE120">
        <f t="shared" si="25"/>
        <v>0.27375765605499652</v>
      </c>
      <c r="AF120">
        <f t="shared" si="26"/>
        <v>0.81798548450277297</v>
      </c>
      <c r="AK120">
        <v>281.00204092011302</v>
      </c>
      <c r="AL120">
        <v>0.470717615036016</v>
      </c>
      <c r="AM120">
        <f t="shared" si="27"/>
        <v>2.1244159301824452</v>
      </c>
      <c r="AN120">
        <f t="shared" si="28"/>
        <v>1.0083438545365775</v>
      </c>
      <c r="BB120">
        <v>17.804130137604702</v>
      </c>
      <c r="BC120">
        <v>1.05204187237117</v>
      </c>
      <c r="BD120">
        <f t="shared" si="30"/>
        <v>1.4774623941397775</v>
      </c>
      <c r="BJ120">
        <v>1.5081568189644701</v>
      </c>
      <c r="BK120">
        <v>5387.4041119715102</v>
      </c>
      <c r="BL120">
        <f t="shared" si="31"/>
        <v>619.87612059736409</v>
      </c>
      <c r="EC120">
        <v>254.71994479581599</v>
      </c>
      <c r="ED120">
        <v>42.1636352928411</v>
      </c>
      <c r="EE120">
        <f t="shared" si="34"/>
        <v>0.95063259593814053</v>
      </c>
      <c r="EL120">
        <v>223.64894615803101</v>
      </c>
      <c r="EM120">
        <v>3.38047002224766</v>
      </c>
      <c r="EN120">
        <f t="shared" si="21"/>
        <v>0.92015118237042259</v>
      </c>
      <c r="ET120">
        <v>223.49233468371401</v>
      </c>
      <c r="EU120">
        <v>0.49357809963341198</v>
      </c>
      <c r="EV120">
        <f t="shared" si="22"/>
        <v>0.66175767712482692</v>
      </c>
    </row>
    <row r="121" spans="21:152" x14ac:dyDescent="0.25">
      <c r="U121">
        <v>158.84609934651701</v>
      </c>
      <c r="V121">
        <v>7.0194592513127603</v>
      </c>
      <c r="W121">
        <f t="shared" si="23"/>
        <v>0.14246111619110585</v>
      </c>
      <c r="X121">
        <f t="shared" si="24"/>
        <v>0.78135381783786106</v>
      </c>
      <c r="AC121">
        <v>182.419195816186</v>
      </c>
      <c r="AD121">
        <v>3.6467096628389002</v>
      </c>
      <c r="AE121">
        <f t="shared" si="25"/>
        <v>0.27421980153515085</v>
      </c>
      <c r="AF121">
        <f t="shared" si="26"/>
        <v>0.81936637115976152</v>
      </c>
      <c r="AK121">
        <v>283.01133400222</v>
      </c>
      <c r="AL121">
        <v>0.470641792655559</v>
      </c>
      <c r="AM121">
        <f t="shared" si="27"/>
        <v>2.1247581825608375</v>
      </c>
      <c r="AN121">
        <f t="shared" si="28"/>
        <v>1.0085063029900792</v>
      </c>
      <c r="BB121">
        <v>16.889692903960899</v>
      </c>
      <c r="BC121">
        <v>1.06210528152921</v>
      </c>
      <c r="BD121">
        <f t="shared" si="30"/>
        <v>1.4915952047990477</v>
      </c>
      <c r="BJ121">
        <v>1.45888187159591</v>
      </c>
      <c r="BK121">
        <v>5691.0777734180001</v>
      </c>
      <c r="BL121">
        <f t="shared" si="31"/>
        <v>654.81689119349471</v>
      </c>
      <c r="EC121">
        <v>257.56536248148899</v>
      </c>
      <c r="ED121">
        <v>42.407955969604501</v>
      </c>
      <c r="EE121">
        <f t="shared" si="34"/>
        <v>0.95614111524820089</v>
      </c>
      <c r="EL121">
        <v>226.87905781582799</v>
      </c>
      <c r="EM121">
        <v>3.3918780856203101</v>
      </c>
      <c r="EN121">
        <f t="shared" si="21"/>
        <v>0.92325641416713033</v>
      </c>
      <c r="ET121">
        <v>225.724048192737</v>
      </c>
      <c r="EU121">
        <v>0.495533767640151</v>
      </c>
      <c r="EV121">
        <f t="shared" si="22"/>
        <v>0.66437971063548751</v>
      </c>
    </row>
    <row r="122" spans="21:152" x14ac:dyDescent="0.25">
      <c r="U122">
        <v>160.008939543324</v>
      </c>
      <c r="V122">
        <v>6.9980835124008696</v>
      </c>
      <c r="W122">
        <f t="shared" si="23"/>
        <v>0.14289626556012971</v>
      </c>
      <c r="X122">
        <f t="shared" si="24"/>
        <v>0.78374047343840003</v>
      </c>
      <c r="AC122">
        <v>185.09837962962899</v>
      </c>
      <c r="AD122">
        <v>3.6405534500322698</v>
      </c>
      <c r="AE122">
        <f t="shared" si="25"/>
        <v>0.27468351000069396</v>
      </c>
      <c r="AF122">
        <f t="shared" si="26"/>
        <v>0.8207519280034361</v>
      </c>
      <c r="AK122">
        <v>284.61725202029601</v>
      </c>
      <c r="AL122">
        <v>0.46936797666388402</v>
      </c>
      <c r="AM122">
        <f t="shared" si="27"/>
        <v>2.1305245558243597</v>
      </c>
      <c r="AN122">
        <f t="shared" si="28"/>
        <v>1.0112432844637294</v>
      </c>
      <c r="BB122">
        <v>16.450240423351701</v>
      </c>
      <c r="BC122">
        <v>1.06210528152921</v>
      </c>
      <c r="BD122">
        <f t="shared" si="30"/>
        <v>1.4915952047990477</v>
      </c>
      <c r="BJ122">
        <v>1.41121684993776</v>
      </c>
      <c r="BK122">
        <v>6264.2735348899896</v>
      </c>
      <c r="BL122">
        <f t="shared" si="31"/>
        <v>720.76894483182559</v>
      </c>
      <c r="EC122">
        <v>260.721171223017</v>
      </c>
      <c r="ED122">
        <v>42.587304113454103</v>
      </c>
      <c r="EE122">
        <f t="shared" si="34"/>
        <v>0.96018474645742391</v>
      </c>
      <c r="EL122">
        <v>228.445172559002</v>
      </c>
      <c r="EM122">
        <v>3.3918780856203101</v>
      </c>
      <c r="EN122">
        <f t="shared" si="21"/>
        <v>0.92325641416713033</v>
      </c>
      <c r="ET122">
        <v>228.07322030749799</v>
      </c>
      <c r="EU122">
        <v>0.50335643966710697</v>
      </c>
      <c r="EV122">
        <f t="shared" si="22"/>
        <v>0.67486784467812955</v>
      </c>
    </row>
    <row r="123" spans="21:152" x14ac:dyDescent="0.25">
      <c r="U123">
        <v>161.636915818853</v>
      </c>
      <c r="V123">
        <v>6.9852580690537396</v>
      </c>
      <c r="W123">
        <f t="shared" si="23"/>
        <v>0.14315863352711683</v>
      </c>
      <c r="X123">
        <f t="shared" si="24"/>
        <v>0.78517947811676247</v>
      </c>
      <c r="AC123">
        <v>187.44266546639199</v>
      </c>
      <c r="AD123">
        <v>3.6282410244190202</v>
      </c>
      <c r="AE123">
        <f t="shared" si="25"/>
        <v>0.27561564771186259</v>
      </c>
      <c r="AF123">
        <f t="shared" si="26"/>
        <v>0.8235371473404266</v>
      </c>
      <c r="AK123">
        <v>287.83060450405799</v>
      </c>
      <c r="AL123">
        <v>0.468033502767843</v>
      </c>
      <c r="AM123">
        <f t="shared" si="27"/>
        <v>2.1365991837896838</v>
      </c>
      <c r="AN123">
        <f t="shared" si="28"/>
        <v>1.0141265775563888</v>
      </c>
      <c r="BB123">
        <v>16.075109283991399</v>
      </c>
      <c r="BC123">
        <v>1.0876869696329201</v>
      </c>
      <c r="BD123">
        <f t="shared" si="30"/>
        <v>1.5275215145253491</v>
      </c>
      <c r="BJ123">
        <v>1.39788656859851</v>
      </c>
      <c r="BK123">
        <v>6617.37399683887</v>
      </c>
      <c r="BL123">
        <f t="shared" si="31"/>
        <v>761.39677596994875</v>
      </c>
      <c r="EC123">
        <v>263.24422134907002</v>
      </c>
      <c r="ED123">
        <v>42.705272675518898</v>
      </c>
      <c r="EE123">
        <f t="shared" si="34"/>
        <v>0.96284449720272525</v>
      </c>
      <c r="EL123">
        <v>229.71764078783099</v>
      </c>
      <c r="EM123">
        <v>3.3918780856203101</v>
      </c>
      <c r="EN123">
        <f t="shared" si="21"/>
        <v>0.92325641416713033</v>
      </c>
      <c r="ET123">
        <v>230.77476823947401</v>
      </c>
      <c r="EU123">
        <v>0.51704611571427805</v>
      </c>
      <c r="EV123">
        <f t="shared" si="22"/>
        <v>0.69322207925275059</v>
      </c>
    </row>
    <row r="124" spans="21:152" x14ac:dyDescent="0.25">
      <c r="U124">
        <v>163.497460133744</v>
      </c>
      <c r="V124">
        <v>6.9681574779242199</v>
      </c>
      <c r="W124">
        <f t="shared" si="23"/>
        <v>0.14350995986644882</v>
      </c>
      <c r="X124">
        <f t="shared" si="24"/>
        <v>0.78710639111508418</v>
      </c>
      <c r="AC124">
        <v>189.78695130315501</v>
      </c>
      <c r="AD124">
        <v>3.6220848116124</v>
      </c>
      <c r="AE124">
        <f t="shared" si="25"/>
        <v>0.27608409300466985</v>
      </c>
      <c r="AF124">
        <f t="shared" si="26"/>
        <v>0.82493685778258141</v>
      </c>
      <c r="AK124">
        <v>290.64361481900698</v>
      </c>
      <c r="AL124">
        <v>0.46792735143520398</v>
      </c>
      <c r="AM124">
        <f t="shared" si="27"/>
        <v>2.1370838805059136</v>
      </c>
      <c r="AN124">
        <f t="shared" si="28"/>
        <v>1.0143566365331553</v>
      </c>
      <c r="BB124">
        <v>15.7085326318663</v>
      </c>
      <c r="BC124">
        <v>1.0928767761775999</v>
      </c>
      <c r="BD124">
        <f t="shared" si="30"/>
        <v>1.5348099544667582</v>
      </c>
      <c r="BJ124">
        <v>1.36510915401921</v>
      </c>
      <c r="BK124">
        <v>7184.6916070840098</v>
      </c>
      <c r="BL124">
        <f t="shared" si="31"/>
        <v>826.67248799679965</v>
      </c>
      <c r="EC124">
        <v>266.39603792267701</v>
      </c>
      <c r="ED124">
        <v>42.820845936830999</v>
      </c>
      <c r="EE124">
        <f t="shared" si="34"/>
        <v>0.96545024285674896</v>
      </c>
      <c r="EL124">
        <v>231.87104855969599</v>
      </c>
      <c r="EM124">
        <v>3.3918780856203101</v>
      </c>
      <c r="EN124">
        <f t="shared" si="21"/>
        <v>0.92325641416713033</v>
      </c>
      <c r="ET124">
        <v>233.35885756571199</v>
      </c>
      <c r="EU124">
        <v>0.51704611571427805</v>
      </c>
      <c r="EV124">
        <f t="shared" si="22"/>
        <v>0.69322207925275059</v>
      </c>
    </row>
    <row r="125" spans="21:152" x14ac:dyDescent="0.25">
      <c r="U125">
        <v>164.660300330551</v>
      </c>
      <c r="V125">
        <v>6.9425065912299502</v>
      </c>
      <c r="W125">
        <f t="shared" si="23"/>
        <v>0.14404019454057698</v>
      </c>
      <c r="X125">
        <f t="shared" si="24"/>
        <v>0.79001455930902331</v>
      </c>
      <c r="AC125">
        <v>191.12654320987599</v>
      </c>
      <c r="AD125">
        <v>3.60361617319252</v>
      </c>
      <c r="AE125">
        <f t="shared" si="25"/>
        <v>0.2774990320664697</v>
      </c>
      <c r="AF125">
        <f t="shared" si="26"/>
        <v>0.82916468333707738</v>
      </c>
      <c r="AK125">
        <v>293.45510868634699</v>
      </c>
      <c r="AL125">
        <v>0.46660804201525402</v>
      </c>
      <c r="AM125">
        <f t="shared" si="27"/>
        <v>2.1431263715067059</v>
      </c>
      <c r="AN125">
        <f t="shared" si="28"/>
        <v>1.0172246759693961</v>
      </c>
      <c r="BB125">
        <v>15.2998127296717</v>
      </c>
      <c r="BC125">
        <v>1.0928767761775999</v>
      </c>
      <c r="BD125">
        <f t="shared" si="30"/>
        <v>1.5348099544667582</v>
      </c>
      <c r="BJ125">
        <v>1.3458127767195001</v>
      </c>
      <c r="BK125">
        <v>7641.8757032509002</v>
      </c>
      <c r="BL125">
        <f t="shared" si="31"/>
        <v>879.27620920289928</v>
      </c>
      <c r="EC125">
        <v>269.55583883212603</v>
      </c>
      <c r="ED125">
        <v>43.063968963218102</v>
      </c>
      <c r="EE125">
        <f t="shared" si="34"/>
        <v>0.97093175962117151</v>
      </c>
      <c r="EL125">
        <v>234.41598501735399</v>
      </c>
      <c r="EM125">
        <v>3.4016564256540001</v>
      </c>
      <c r="EN125">
        <f t="shared" si="21"/>
        <v>0.9259180414214484</v>
      </c>
      <c r="ET125">
        <v>235.47311246899699</v>
      </c>
      <c r="EU125">
        <v>0.51704611571427805</v>
      </c>
      <c r="EV125">
        <f t="shared" si="22"/>
        <v>0.69322207925275059</v>
      </c>
    </row>
    <row r="126" spans="21:152" x14ac:dyDescent="0.25">
      <c r="U126">
        <v>165.82314052735799</v>
      </c>
      <c r="V126">
        <v>6.9339562956652001</v>
      </c>
      <c r="W126">
        <f t="shared" si="23"/>
        <v>0.1442178112119275</v>
      </c>
      <c r="X126">
        <f t="shared" si="24"/>
        <v>0.79098873014231386</v>
      </c>
      <c r="AC126">
        <v>192.80103309327799</v>
      </c>
      <c r="AD126">
        <v>3.5913037475792802</v>
      </c>
      <c r="AE126">
        <f t="shared" si="25"/>
        <v>0.27845040973603263</v>
      </c>
      <c r="AF126">
        <f t="shared" si="26"/>
        <v>0.83200739150165282</v>
      </c>
      <c r="AK126">
        <v>296.66846117010903</v>
      </c>
      <c r="AL126">
        <v>0.465273568119214</v>
      </c>
      <c r="AM126">
        <f t="shared" si="27"/>
        <v>2.1492731771596718</v>
      </c>
      <c r="AN126">
        <f t="shared" si="28"/>
        <v>1.020142227856077</v>
      </c>
      <c r="BB126">
        <v>14.8527004975537</v>
      </c>
      <c r="BC126">
        <v>1.0928767761775999</v>
      </c>
      <c r="BD126">
        <f t="shared" si="30"/>
        <v>1.5348099544667582</v>
      </c>
      <c r="BJ126">
        <v>1.32050790243132</v>
      </c>
      <c r="BK126">
        <v>8240.3479352231006</v>
      </c>
      <c r="BL126">
        <f t="shared" si="31"/>
        <v>948.1365801217637</v>
      </c>
      <c r="EC126">
        <v>269.55583883212603</v>
      </c>
      <c r="ED126">
        <v>43.063968963218102</v>
      </c>
      <c r="EE126">
        <f t="shared" si="34"/>
        <v>0.97093175962117151</v>
      </c>
      <c r="EL126">
        <v>235.982099760529</v>
      </c>
      <c r="EM126">
        <v>3.4016564256540001</v>
      </c>
      <c r="EN126">
        <f t="shared" si="21"/>
        <v>0.9259180414214484</v>
      </c>
      <c r="ET126">
        <v>236.882615737854</v>
      </c>
      <c r="EU126">
        <v>0.52291311973449395</v>
      </c>
      <c r="EV126">
        <f t="shared" si="22"/>
        <v>0.70108817978473059</v>
      </c>
    </row>
    <row r="127" spans="21:152" x14ac:dyDescent="0.25">
      <c r="U127">
        <v>167.45111680288801</v>
      </c>
      <c r="V127">
        <v>6.9168557045356804</v>
      </c>
      <c r="W127">
        <f t="shared" si="23"/>
        <v>0.14457436192347584</v>
      </c>
      <c r="X127">
        <f t="shared" si="24"/>
        <v>0.7929442971571572</v>
      </c>
      <c r="AC127">
        <v>194.47552297668</v>
      </c>
      <c r="AD127">
        <v>3.5789913219660301</v>
      </c>
      <c r="AE127">
        <f t="shared" si="25"/>
        <v>0.27940833325370423</v>
      </c>
      <c r="AF127">
        <f t="shared" si="26"/>
        <v>0.83486965860318652</v>
      </c>
      <c r="AK127">
        <v>298.679270699825</v>
      </c>
      <c r="AL127">
        <v>0.46641090382606598</v>
      </c>
      <c r="AM127">
        <f t="shared" si="27"/>
        <v>2.1440322080740208</v>
      </c>
      <c r="AN127">
        <f t="shared" si="28"/>
        <v>1.0176546269610496</v>
      </c>
      <c r="BB127">
        <v>14.418654395828399</v>
      </c>
      <c r="BC127">
        <v>1.1138848139478901</v>
      </c>
      <c r="BD127">
        <f t="shared" si="30"/>
        <v>1.5643131392690082</v>
      </c>
      <c r="BJ127">
        <v>1.2956788273581701</v>
      </c>
      <c r="BK127">
        <v>8764.7067009008297</v>
      </c>
      <c r="BL127">
        <f t="shared" si="31"/>
        <v>1008.4694363014695</v>
      </c>
      <c r="EC127">
        <v>271.76450573440297</v>
      </c>
      <c r="ED127">
        <v>43.183135175659103</v>
      </c>
      <c r="EE127">
        <f t="shared" si="34"/>
        <v>0.97361851291210844</v>
      </c>
      <c r="EL127">
        <v>237.45033233225399</v>
      </c>
      <c r="EM127">
        <v>3.4049158723319</v>
      </c>
      <c r="EN127">
        <f t="shared" si="21"/>
        <v>0.92680525050622209</v>
      </c>
      <c r="ET127">
        <v>238.879412035401</v>
      </c>
      <c r="EU127">
        <v>0.53073579176145003</v>
      </c>
      <c r="EV127">
        <f t="shared" si="22"/>
        <v>0.71157631382737274</v>
      </c>
    </row>
    <row r="128" spans="21:152" x14ac:dyDescent="0.25">
      <c r="U128">
        <v>168.84652503905599</v>
      </c>
      <c r="V128">
        <v>6.9083054089709304</v>
      </c>
      <c r="W128">
        <f t="shared" si="23"/>
        <v>0.14475329922464461</v>
      </c>
      <c r="X128">
        <f t="shared" si="24"/>
        <v>0.7939257112240965</v>
      </c>
      <c r="AC128">
        <v>195.81511488340101</v>
      </c>
      <c r="AD128">
        <v>3.5789913219660301</v>
      </c>
      <c r="AE128">
        <f t="shared" si="25"/>
        <v>0.27940833325370423</v>
      </c>
      <c r="AF128">
        <f t="shared" si="26"/>
        <v>0.83486965860318652</v>
      </c>
      <c r="AK128">
        <v>273.37127655093502</v>
      </c>
      <c r="AL128">
        <v>0.47464521434368101</v>
      </c>
      <c r="AM128">
        <f t="shared" si="27"/>
        <v>2.1068367904704508</v>
      </c>
      <c r="AN128">
        <f t="shared" si="28"/>
        <v>1.0000000000000004</v>
      </c>
      <c r="BB128">
        <v>14.183022523242901</v>
      </c>
      <c r="BC128">
        <v>1.1138848139478901</v>
      </c>
      <c r="BD128">
        <f t="shared" si="30"/>
        <v>1.5643131392690082</v>
      </c>
      <c r="EC128">
        <v>275.23070553178701</v>
      </c>
      <c r="ED128">
        <v>43.297510786594898</v>
      </c>
      <c r="EE128">
        <f t="shared" si="34"/>
        <v>0.97619725602049423</v>
      </c>
      <c r="EL128">
        <v>240.093150961361</v>
      </c>
      <c r="EM128">
        <v>3.4098050423487498</v>
      </c>
      <c r="EN128">
        <f t="shared" si="21"/>
        <v>0.92813606413338245</v>
      </c>
      <c r="ET128">
        <v>240.28891530425801</v>
      </c>
      <c r="EU128">
        <v>0.53660279578166503</v>
      </c>
      <c r="EV128">
        <f t="shared" si="22"/>
        <v>0.71944241435935163</v>
      </c>
    </row>
    <row r="129" spans="21:152" x14ac:dyDescent="0.25">
      <c r="U129">
        <v>170.47450131458601</v>
      </c>
      <c r="V129">
        <v>6.8826545222766597</v>
      </c>
      <c r="W129">
        <f t="shared" si="23"/>
        <v>0.14529277864570453</v>
      </c>
      <c r="X129">
        <f t="shared" si="24"/>
        <v>0.79688458390851846</v>
      </c>
      <c r="AC129">
        <v>198.159400720164</v>
      </c>
      <c r="AD129">
        <v>3.5789913219660301</v>
      </c>
      <c r="AE129">
        <f t="shared" si="25"/>
        <v>0.27940833325370423</v>
      </c>
      <c r="AF129">
        <f t="shared" si="26"/>
        <v>0.83486965860318652</v>
      </c>
      <c r="AK129">
        <v>273.37127655093502</v>
      </c>
      <c r="AL129">
        <v>0.47464521434368101</v>
      </c>
      <c r="AM129">
        <f>1/AL129</f>
        <v>2.1068367904704508</v>
      </c>
      <c r="AN129">
        <f t="shared" si="28"/>
        <v>1.0000000000000004</v>
      </c>
      <c r="BB129">
        <v>13.8139948289079</v>
      </c>
      <c r="BC129">
        <v>1.12453978779644</v>
      </c>
      <c r="BD129">
        <f t="shared" si="30"/>
        <v>1.5792767292032133</v>
      </c>
      <c r="EC129">
        <v>277.753755657841</v>
      </c>
      <c r="ED129">
        <v>43.415479348659602</v>
      </c>
      <c r="EE129">
        <f t="shared" si="34"/>
        <v>0.97885700676579346</v>
      </c>
      <c r="EL129">
        <v>241.36561919018999</v>
      </c>
      <c r="EM129">
        <v>3.4114347656877002</v>
      </c>
      <c r="EN129">
        <f t="shared" si="21"/>
        <v>0.92857966867576935</v>
      </c>
      <c r="ET129">
        <v>242.050794390329</v>
      </c>
      <c r="EU129">
        <v>0.54051413179514296</v>
      </c>
      <c r="EV129">
        <f t="shared" si="22"/>
        <v>0.7246864813806726</v>
      </c>
    </row>
    <row r="130" spans="21:152" x14ac:dyDescent="0.25">
      <c r="U130">
        <v>171.86990955075399</v>
      </c>
      <c r="V130">
        <v>6.86982907892952</v>
      </c>
      <c r="W130">
        <f t="shared" si="23"/>
        <v>0.14556402910621224</v>
      </c>
      <c r="X130">
        <f t="shared" si="24"/>
        <v>0.79837230623285904</v>
      </c>
      <c r="AC130">
        <v>199.833890603566</v>
      </c>
      <c r="AD130">
        <v>3.5543664707395299</v>
      </c>
      <c r="AE130">
        <f t="shared" si="25"/>
        <v>0.28134408993339893</v>
      </c>
      <c r="AF130">
        <f t="shared" si="26"/>
        <v>0.84065368264962792</v>
      </c>
      <c r="BB130">
        <v>13.498980611125999</v>
      </c>
      <c r="BC130">
        <v>1.12453978779644</v>
      </c>
      <c r="BD130">
        <f t="shared" si="30"/>
        <v>1.5792767292032133</v>
      </c>
      <c r="EC130">
        <v>280.280797951816</v>
      </c>
      <c r="ED130">
        <v>43.597222793261899</v>
      </c>
      <c r="EE130">
        <f t="shared" si="34"/>
        <v>0.98295464306629421</v>
      </c>
      <c r="EL130">
        <v>244.595730847987</v>
      </c>
      <c r="EM130">
        <v>3.4228428290603401</v>
      </c>
      <c r="EN130">
        <f t="shared" si="21"/>
        <v>0.93168490047247432</v>
      </c>
      <c r="ET130">
        <v>243.34283905344799</v>
      </c>
      <c r="EU130">
        <v>0.54638113581536096</v>
      </c>
      <c r="EV130">
        <f t="shared" si="22"/>
        <v>0.73255258191265549</v>
      </c>
    </row>
    <row r="131" spans="21:152" x14ac:dyDescent="0.25">
      <c r="U131">
        <v>173.497885826284</v>
      </c>
      <c r="V131">
        <v>6.8527284878000101</v>
      </c>
      <c r="W131">
        <f t="shared" si="23"/>
        <v>0.14592727579683207</v>
      </c>
      <c r="X131">
        <f t="shared" si="24"/>
        <v>0.80036459855880171</v>
      </c>
      <c r="AC131">
        <v>201.50838048696801</v>
      </c>
      <c r="AD131">
        <v>3.5543664707395299</v>
      </c>
      <c r="AE131">
        <f t="shared" si="25"/>
        <v>0.28134408993339893</v>
      </c>
      <c r="AF131">
        <f t="shared" si="26"/>
        <v>0.84065368264962792</v>
      </c>
      <c r="BB131">
        <v>13.1477509855203</v>
      </c>
      <c r="BC131">
        <v>1.1352966828367399</v>
      </c>
      <c r="BD131">
        <f t="shared" si="30"/>
        <v>1.5943834548166445</v>
      </c>
      <c r="EC131">
        <v>282.795863742027</v>
      </c>
      <c r="ED131">
        <v>43.587641590251501</v>
      </c>
      <c r="EE131">
        <f t="shared" si="34"/>
        <v>0.98273862270119228</v>
      </c>
      <c r="EL131">
        <v>246.16184559116101</v>
      </c>
      <c r="EM131">
        <v>3.42447255239929</v>
      </c>
      <c r="EN131">
        <f t="shared" si="21"/>
        <v>0.93212850501486111</v>
      </c>
      <c r="ET131">
        <v>245.809469773947</v>
      </c>
      <c r="EU131">
        <v>0.550292471828837</v>
      </c>
      <c r="EV131">
        <f t="shared" si="22"/>
        <v>0.7377966489339739</v>
      </c>
    </row>
    <row r="132" spans="21:152" x14ac:dyDescent="0.25">
      <c r="U132">
        <v>174.89329406245199</v>
      </c>
      <c r="V132">
        <v>6.8313527488881203</v>
      </c>
      <c r="W132">
        <f t="shared" si="23"/>
        <v>0.14638389155980289</v>
      </c>
      <c r="X132">
        <f t="shared" si="24"/>
        <v>0.80286899048848159</v>
      </c>
      <c r="AC132">
        <v>203.852666323731</v>
      </c>
      <c r="AD132">
        <v>3.5420540451262799</v>
      </c>
      <c r="AE132">
        <f t="shared" si="25"/>
        <v>0.2823220615100322</v>
      </c>
      <c r="AF132">
        <f t="shared" si="26"/>
        <v>0.84357585317618156</v>
      </c>
      <c r="BB132">
        <v>12.5963879249573</v>
      </c>
      <c r="BC132">
        <v>1.15712014556686</v>
      </c>
      <c r="BD132">
        <f t="shared" si="30"/>
        <v>1.6250318028914137</v>
      </c>
      <c r="EC132">
        <v>285.00852281222598</v>
      </c>
      <c r="ED132">
        <v>43.770582685230004</v>
      </c>
      <c r="EE132">
        <f t="shared" si="34"/>
        <v>0.98686326154732862</v>
      </c>
      <c r="EL132">
        <v>249.8813681062</v>
      </c>
      <c r="EM132">
        <v>3.4293617224161301</v>
      </c>
      <c r="EN132">
        <f t="shared" ref="EN132:EN156" si="35">EM132/3.67382022325848</f>
        <v>0.93345931864201881</v>
      </c>
      <c r="ET132">
        <v>247.21897304280401</v>
      </c>
      <c r="EU132">
        <v>0.55811514385579297</v>
      </c>
      <c r="EV132">
        <f t="shared" ref="EV132:EV160" si="36">EU132/0.745859272502718</f>
        <v>0.74828478297661594</v>
      </c>
    </row>
    <row r="133" spans="21:152" x14ac:dyDescent="0.25">
      <c r="U133">
        <v>176.521270337982</v>
      </c>
      <c r="V133">
        <v>6.8228024533233604</v>
      </c>
      <c r="W133">
        <f t="shared" ref="W133:W196" si="37">1/V133</f>
        <v>0.14656733898442331</v>
      </c>
      <c r="X133">
        <f t="shared" ref="X133:X196" si="38">W133/0.182326</f>
        <v>0.80387514114510994</v>
      </c>
      <c r="AC133">
        <v>205.527156207133</v>
      </c>
      <c r="AD133">
        <v>3.5297416195130298</v>
      </c>
      <c r="AE133">
        <f t="shared" ref="AE133:AE178" si="39">1/AD133</f>
        <v>0.28330685579698661</v>
      </c>
      <c r="AF133">
        <f t="shared" ref="AF133:AF178" si="40">AE133/0.334673</f>
        <v>0.84651840990156546</v>
      </c>
      <c r="BB133">
        <v>12.847929786541201</v>
      </c>
      <c r="BC133">
        <v>1.14615647400589</v>
      </c>
      <c r="BD133">
        <f t="shared" ref="BD133:BD196" si="41">BC133/0.71206</f>
        <v>1.6096346852876022</v>
      </c>
      <c r="EC133">
        <v>287.849948329977</v>
      </c>
      <c r="ED133">
        <v>43.951128479456003</v>
      </c>
      <c r="EE133">
        <f t="shared" ref="EE133:EE139" si="42">ED133/44.3532395932958</f>
        <v>0.99093389530219178</v>
      </c>
      <c r="EL133">
        <v>252.719951078203</v>
      </c>
      <c r="EM133">
        <v>3.4391400624498298</v>
      </c>
      <c r="EN133">
        <f t="shared" si="35"/>
        <v>0.93612094589633965</v>
      </c>
      <c r="ET133">
        <v>249.21576934035099</v>
      </c>
      <c r="EU133">
        <v>0.56202647986927001</v>
      </c>
      <c r="EV133">
        <f t="shared" si="36"/>
        <v>0.75352884999793568</v>
      </c>
    </row>
    <row r="134" spans="21:152" x14ac:dyDescent="0.25">
      <c r="U134">
        <v>177.91667857415001</v>
      </c>
      <c r="V134">
        <v>6.8014267144114697</v>
      </c>
      <c r="W134">
        <f t="shared" si="37"/>
        <v>0.14702797545125507</v>
      </c>
      <c r="X134">
        <f t="shared" si="38"/>
        <v>0.80640158535400919</v>
      </c>
      <c r="AC134">
        <v>207.871442043895</v>
      </c>
      <c r="AD134">
        <v>3.5112729810931498</v>
      </c>
      <c r="AE134">
        <f t="shared" si="39"/>
        <v>0.28479699681130294</v>
      </c>
      <c r="AF134">
        <f t="shared" si="40"/>
        <v>0.85097093823314984</v>
      </c>
      <c r="BB134">
        <v>11.9101116307237</v>
      </c>
      <c r="BC134">
        <v>1.15712014556686</v>
      </c>
      <c r="BD134">
        <f t="shared" si="41"/>
        <v>1.6250318028914137</v>
      </c>
      <c r="EC134">
        <v>290.36900628810997</v>
      </c>
      <c r="ED134">
        <v>44.005322158983198</v>
      </c>
      <c r="EE134">
        <f t="shared" si="42"/>
        <v>0.99215576049229137</v>
      </c>
      <c r="EL134">
        <v>254.77547667862001</v>
      </c>
      <c r="EM134">
        <v>3.4391400624498298</v>
      </c>
      <c r="EN134">
        <f t="shared" si="35"/>
        <v>0.93612094589633965</v>
      </c>
      <c r="ET134">
        <v>251.44748284937401</v>
      </c>
      <c r="EU134">
        <v>0.56593781588274805</v>
      </c>
      <c r="EV134">
        <f t="shared" si="36"/>
        <v>0.75877291701925675</v>
      </c>
    </row>
    <row r="135" spans="21:152" x14ac:dyDescent="0.25">
      <c r="U135">
        <v>179.31208681031799</v>
      </c>
      <c r="V135">
        <v>6.7800509754995799</v>
      </c>
      <c r="W135">
        <f t="shared" si="37"/>
        <v>0.14749151645225148</v>
      </c>
      <c r="X135">
        <f t="shared" si="38"/>
        <v>0.80894396000708335</v>
      </c>
      <c r="AC135">
        <v>209.21103395061701</v>
      </c>
      <c r="AD135">
        <v>3.5112729810931498</v>
      </c>
      <c r="AE135">
        <f t="shared" si="39"/>
        <v>0.28479699681130294</v>
      </c>
      <c r="AF135">
        <f t="shared" si="40"/>
        <v>0.85097093823314984</v>
      </c>
      <c r="BB135">
        <v>11.9101116307237</v>
      </c>
      <c r="BC135">
        <v>1.15712014556686</v>
      </c>
      <c r="BD135">
        <f t="shared" si="41"/>
        <v>1.6250318028914137</v>
      </c>
      <c r="EC135">
        <v>292.89604858208497</v>
      </c>
      <c r="ED135">
        <v>44.187065603585403</v>
      </c>
      <c r="EE135">
        <f t="shared" si="42"/>
        <v>0.99625339679279001</v>
      </c>
      <c r="EL135">
        <v>257.32041313627798</v>
      </c>
      <c r="EM135">
        <v>3.4505481258224702</v>
      </c>
      <c r="EN135">
        <f t="shared" si="35"/>
        <v>0.93922617769304473</v>
      </c>
      <c r="ET135">
        <v>253.209361935445</v>
      </c>
      <c r="EU135">
        <v>0.57571615591644199</v>
      </c>
      <c r="EV135">
        <f t="shared" si="36"/>
        <v>0.77188308457255794</v>
      </c>
    </row>
    <row r="136" spans="21:152" x14ac:dyDescent="0.25">
      <c r="U136">
        <v>181.17263112520899</v>
      </c>
      <c r="V136">
        <v>6.76295038437007</v>
      </c>
      <c r="W136">
        <f t="shared" si="37"/>
        <v>0.14786445902532586</v>
      </c>
      <c r="X136">
        <f t="shared" si="38"/>
        <v>0.81098943115806776</v>
      </c>
      <c r="AC136">
        <v>210.88552383401901</v>
      </c>
      <c r="AD136">
        <v>3.4989605554799001</v>
      </c>
      <c r="AE136">
        <f t="shared" si="39"/>
        <v>0.28579916353553891</v>
      </c>
      <c r="AF136">
        <f t="shared" si="40"/>
        <v>0.85396540364935003</v>
      </c>
      <c r="BB136">
        <v>12.1079821411632</v>
      </c>
      <c r="BC136">
        <v>1.15712014556686</v>
      </c>
      <c r="BD136">
        <f t="shared" si="41"/>
        <v>1.6250318028914137</v>
      </c>
      <c r="EC136">
        <v>295.09673114852001</v>
      </c>
      <c r="ED136">
        <v>44.178682050951302</v>
      </c>
      <c r="EE136">
        <f t="shared" si="42"/>
        <v>0.99606437897332578</v>
      </c>
      <c r="EL136">
        <v>259.96323176538402</v>
      </c>
      <c r="EM136">
        <v>3.4505481258224702</v>
      </c>
      <c r="EN136">
        <f t="shared" si="35"/>
        <v>0.93922617769304473</v>
      </c>
      <c r="ET136">
        <v>255.793451261683</v>
      </c>
      <c r="EU136">
        <v>0.58745016395687499</v>
      </c>
      <c r="EV136">
        <f t="shared" si="36"/>
        <v>0.78761528563651961</v>
      </c>
    </row>
    <row r="137" spans="21:152" x14ac:dyDescent="0.25">
      <c r="U137">
        <v>182.568039361377</v>
      </c>
      <c r="V137">
        <v>6.7501249410229303</v>
      </c>
      <c r="W137">
        <f t="shared" si="37"/>
        <v>0.14814540600910087</v>
      </c>
      <c r="X137">
        <f t="shared" si="38"/>
        <v>0.81253033582210366</v>
      </c>
      <c r="AC137">
        <v>212.89491169410101</v>
      </c>
      <c r="AD137">
        <v>3.4804919170600299</v>
      </c>
      <c r="AE137">
        <f t="shared" si="39"/>
        <v>0.28731570819009389</v>
      </c>
      <c r="AF137">
        <f t="shared" si="40"/>
        <v>0.85849682582728182</v>
      </c>
      <c r="BB137">
        <v>12.309140004409899</v>
      </c>
      <c r="BC137">
        <v>1.15712014556686</v>
      </c>
      <c r="BD137">
        <f t="shared" si="41"/>
        <v>1.6250318028914137</v>
      </c>
      <c r="EC137">
        <v>297.30539805079798</v>
      </c>
      <c r="ED137">
        <v>44.297848263392297</v>
      </c>
      <c r="EE137">
        <f t="shared" si="42"/>
        <v>0.9987511322642626</v>
      </c>
      <c r="EL137">
        <v>262.80181473738799</v>
      </c>
      <c r="EM137">
        <v>3.4538075725003701</v>
      </c>
      <c r="EN137">
        <f t="shared" si="35"/>
        <v>0.94011338677781831</v>
      </c>
      <c r="ET137">
        <v>257.67278895349199</v>
      </c>
      <c r="EU137">
        <v>0.59527283598382996</v>
      </c>
      <c r="EV137">
        <f t="shared" si="36"/>
        <v>0.79810341967916032</v>
      </c>
    </row>
    <row r="138" spans="21:152" x14ac:dyDescent="0.25">
      <c r="U138">
        <v>183.96344759754601</v>
      </c>
      <c r="V138">
        <v>6.7287492021110404</v>
      </c>
      <c r="W138">
        <f t="shared" si="37"/>
        <v>0.14861603099819287</v>
      </c>
      <c r="X138">
        <f t="shared" si="38"/>
        <v>0.81511156389211015</v>
      </c>
      <c r="AC138">
        <v>214.56940157750299</v>
      </c>
      <c r="AD138">
        <v>3.4681794914467798</v>
      </c>
      <c r="AE138">
        <f t="shared" si="39"/>
        <v>0.28833571113207918</v>
      </c>
      <c r="AF138">
        <f t="shared" si="40"/>
        <v>0.86154458570628401</v>
      </c>
      <c r="BB138">
        <v>11.5620579198662</v>
      </c>
      <c r="BC138">
        <v>1.15712014556686</v>
      </c>
      <c r="BD138">
        <f t="shared" si="41"/>
        <v>1.6250318028914137</v>
      </c>
      <c r="EC138">
        <v>299.51007278515402</v>
      </c>
      <c r="ED138">
        <v>44.353239593295797</v>
      </c>
      <c r="EE138">
        <f t="shared" si="42"/>
        <v>1</v>
      </c>
      <c r="EL138">
        <v>264.563693823459</v>
      </c>
      <c r="EM138">
        <v>3.4603264658561699</v>
      </c>
      <c r="EN138">
        <f t="shared" si="35"/>
        <v>0.94188780494736557</v>
      </c>
      <c r="ET138">
        <v>259.43466803956301</v>
      </c>
      <c r="EU138">
        <v>0.60113984000404597</v>
      </c>
      <c r="EV138">
        <f t="shared" si="36"/>
        <v>0.80596952021114054</v>
      </c>
    </row>
    <row r="139" spans="21:152" x14ac:dyDescent="0.25">
      <c r="U139">
        <v>186.28912799115901</v>
      </c>
      <c r="V139">
        <v>6.7116486109815297</v>
      </c>
      <c r="W139">
        <f t="shared" si="37"/>
        <v>0.14899468937688579</v>
      </c>
      <c r="X139">
        <f t="shared" si="38"/>
        <v>0.81718838441520025</v>
      </c>
      <c r="AC139">
        <v>217.248585390946</v>
      </c>
      <c r="AD139">
        <v>3.4620232786401601</v>
      </c>
      <c r="AE139">
        <f t="shared" si="39"/>
        <v>0.28884843327592746</v>
      </c>
      <c r="AF139">
        <f t="shared" si="40"/>
        <v>0.86307659499250755</v>
      </c>
      <c r="BB139">
        <v>11.335691367338001</v>
      </c>
      <c r="BC139">
        <v>1.1737626049102099</v>
      </c>
      <c r="BD139">
        <f t="shared" si="41"/>
        <v>1.6484040739687804</v>
      </c>
      <c r="EC139">
        <v>301.40435646365501</v>
      </c>
      <c r="ED139">
        <v>44.473603456113104</v>
      </c>
      <c r="EE139">
        <f t="shared" si="42"/>
        <v>1.0027137558365748</v>
      </c>
      <c r="EL139">
        <v>266.71710159532302</v>
      </c>
      <c r="EM139">
        <v>3.4749939759067101</v>
      </c>
      <c r="EN139">
        <f t="shared" si="35"/>
        <v>0.94588024582884422</v>
      </c>
      <c r="ET139">
        <v>261.079088519896</v>
      </c>
      <c r="EU139">
        <v>0.60700684402426397</v>
      </c>
      <c r="EV139">
        <f t="shared" si="36"/>
        <v>0.81383562074312343</v>
      </c>
    </row>
    <row r="140" spans="21:152" x14ac:dyDescent="0.25">
      <c r="U140">
        <v>185.126287794353</v>
      </c>
      <c r="V140">
        <v>6.7116486109815297</v>
      </c>
      <c r="W140">
        <f t="shared" si="37"/>
        <v>0.14899468937688579</v>
      </c>
      <c r="X140">
        <f t="shared" si="38"/>
        <v>0.81718838441520025</v>
      </c>
      <c r="AC140">
        <v>219.92776920438899</v>
      </c>
      <c r="AD140">
        <v>3.4497108530269101</v>
      </c>
      <c r="AE140">
        <f t="shared" si="39"/>
        <v>0.28987936746135151</v>
      </c>
      <c r="AF140">
        <f t="shared" si="40"/>
        <v>0.8661570173313996</v>
      </c>
      <c r="BB140">
        <v>11.040748308330199</v>
      </c>
      <c r="BC140">
        <v>1.18499034560935</v>
      </c>
      <c r="BD140">
        <f t="shared" si="41"/>
        <v>1.6641720439420133</v>
      </c>
      <c r="EL140">
        <v>268.77262719573997</v>
      </c>
      <c r="EM140">
        <v>3.4831425926014501</v>
      </c>
      <c r="EN140">
        <f t="shared" si="35"/>
        <v>0.9480982685407755</v>
      </c>
      <c r="ET140">
        <v>263.19334342318098</v>
      </c>
      <c r="EU140">
        <v>0.61091818003774001</v>
      </c>
      <c r="EV140">
        <f t="shared" si="36"/>
        <v>0.81907968776444184</v>
      </c>
    </row>
    <row r="141" spans="21:152" x14ac:dyDescent="0.25">
      <c r="U141">
        <v>188.14967230605001</v>
      </c>
      <c r="V141">
        <v>6.6902728720696398</v>
      </c>
      <c r="W141">
        <f t="shared" si="37"/>
        <v>0.14947073447105147</v>
      </c>
      <c r="X141">
        <f t="shared" si="38"/>
        <v>0.81979934003406796</v>
      </c>
      <c r="AC141">
        <v>222.60695301783201</v>
      </c>
      <c r="AD141">
        <v>3.43739842741366</v>
      </c>
      <c r="AE141">
        <f t="shared" si="39"/>
        <v>0.29091768705800336</v>
      </c>
      <c r="AF141">
        <f t="shared" si="40"/>
        <v>0.86925950721451495</v>
      </c>
      <c r="BB141">
        <v>10.682837695551999</v>
      </c>
      <c r="BC141">
        <v>1.1906444269973899</v>
      </c>
      <c r="BD141">
        <f t="shared" si="41"/>
        <v>1.6721125003474284</v>
      </c>
      <c r="EL141">
        <v>271.61121016774302</v>
      </c>
      <c r="EM141">
        <v>3.4912912092961998</v>
      </c>
      <c r="EN141">
        <f t="shared" si="35"/>
        <v>0.95031629125270956</v>
      </c>
      <c r="ET141">
        <v>264.955222509252</v>
      </c>
      <c r="EU141">
        <v>0.61874085206469598</v>
      </c>
      <c r="EV141">
        <f t="shared" si="36"/>
        <v>0.82956782180708388</v>
      </c>
    </row>
    <row r="142" spans="21:152" x14ac:dyDescent="0.25">
      <c r="U142">
        <v>189.54508054221901</v>
      </c>
      <c r="V142">
        <v>6.6646219853753701</v>
      </c>
      <c r="W142">
        <f t="shared" si="37"/>
        <v>0.15004601944331838</v>
      </c>
      <c r="X142">
        <f t="shared" si="38"/>
        <v>0.82295459475510013</v>
      </c>
      <c r="AC142">
        <v>224.951238854595</v>
      </c>
      <c r="AD142">
        <v>3.43124221460703</v>
      </c>
      <c r="AE142">
        <f t="shared" si="39"/>
        <v>0.29143964123049443</v>
      </c>
      <c r="AF142">
        <f t="shared" si="40"/>
        <v>0.87081910172166388</v>
      </c>
      <c r="BB142">
        <v>10.2348430465962</v>
      </c>
      <c r="BC142">
        <v>1.2020336524125499</v>
      </c>
      <c r="BD142">
        <f t="shared" si="41"/>
        <v>1.6881072555859757</v>
      </c>
      <c r="EL142">
        <v>273.37308925381399</v>
      </c>
      <c r="EM142">
        <v>3.5010695493298898</v>
      </c>
      <c r="EN142">
        <f t="shared" si="35"/>
        <v>0.95297791850702773</v>
      </c>
      <c r="ET142">
        <v>266.95201880680003</v>
      </c>
      <c r="EU142">
        <v>0.62656352409165095</v>
      </c>
      <c r="EV142">
        <f t="shared" si="36"/>
        <v>0.84005595584972459</v>
      </c>
    </row>
    <row r="143" spans="21:152" x14ac:dyDescent="0.25">
      <c r="U143">
        <v>190.70792073902601</v>
      </c>
      <c r="V143">
        <v>6.6432462464634696</v>
      </c>
      <c r="W143">
        <f t="shared" si="37"/>
        <v>0.15052881722280725</v>
      </c>
      <c r="X143">
        <f t="shared" si="38"/>
        <v>0.82560258670078468</v>
      </c>
      <c r="AC143">
        <v>227.295524691358</v>
      </c>
      <c r="AD143">
        <v>3.41892978899378</v>
      </c>
      <c r="AE143">
        <f t="shared" si="39"/>
        <v>0.29248918864002427</v>
      </c>
      <c r="AF143">
        <f t="shared" si="40"/>
        <v>0.87395514021156251</v>
      </c>
      <c r="BB143">
        <v>10.034461232892999</v>
      </c>
      <c r="BC143">
        <v>1.22513997960469</v>
      </c>
      <c r="BD143">
        <f t="shared" si="41"/>
        <v>1.7205572277682919</v>
      </c>
      <c r="EL143">
        <v>275.13496833988501</v>
      </c>
      <c r="EM143">
        <v>3.5141073360414801</v>
      </c>
      <c r="EN143">
        <f t="shared" si="35"/>
        <v>0.9565267548461196</v>
      </c>
      <c r="ET143">
        <v>268.83135649860901</v>
      </c>
      <c r="EU143">
        <v>0.63243052811186695</v>
      </c>
      <c r="EV143">
        <f t="shared" si="36"/>
        <v>0.84792205638170481</v>
      </c>
    </row>
    <row r="144" spans="21:152" x14ac:dyDescent="0.25">
      <c r="U144">
        <v>192.335897014555</v>
      </c>
      <c r="V144">
        <v>6.6261456553339597</v>
      </c>
      <c r="W144">
        <f t="shared" si="37"/>
        <v>0.15091729823279892</v>
      </c>
      <c r="X144">
        <f t="shared" si="38"/>
        <v>0.82773328122593015</v>
      </c>
      <c r="AC144">
        <v>228.97001457475901</v>
      </c>
      <c r="AD144">
        <v>3.4066173633805299</v>
      </c>
      <c r="AE144">
        <f t="shared" si="39"/>
        <v>0.29354632273924003</v>
      </c>
      <c r="AF144">
        <f t="shared" si="40"/>
        <v>0.87711384766395861</v>
      </c>
      <c r="BB144">
        <v>9.7412203652293599</v>
      </c>
      <c r="BC144">
        <v>1.2309856315816099</v>
      </c>
      <c r="BD144">
        <f t="shared" si="41"/>
        <v>1.7287667213178803</v>
      </c>
      <c r="EL144">
        <v>277.190493940301</v>
      </c>
      <c r="EM144">
        <v>3.5255153994141302</v>
      </c>
      <c r="EN144">
        <f t="shared" si="35"/>
        <v>0.95963198664282723</v>
      </c>
      <c r="ET144">
        <v>270.82815279615602</v>
      </c>
      <c r="EU144">
        <v>0.63829753213208296</v>
      </c>
      <c r="EV144">
        <f t="shared" si="36"/>
        <v>0.85578815691368504</v>
      </c>
    </row>
    <row r="145" spans="21:152" x14ac:dyDescent="0.25">
      <c r="U145">
        <v>193.498737211362</v>
      </c>
      <c r="V145">
        <v>6.6261456553339597</v>
      </c>
      <c r="W145">
        <f t="shared" si="37"/>
        <v>0.15091729823279892</v>
      </c>
      <c r="X145">
        <f t="shared" si="38"/>
        <v>0.82773328122593015</v>
      </c>
      <c r="AC145">
        <v>231.98409636488299</v>
      </c>
      <c r="AD145">
        <v>3.3943049377672798</v>
      </c>
      <c r="AE145">
        <f t="shared" si="39"/>
        <v>0.29461112608750589</v>
      </c>
      <c r="AF145">
        <f t="shared" si="40"/>
        <v>0.88029547076551107</v>
      </c>
      <c r="BB145">
        <v>9.5190816608502402</v>
      </c>
      <c r="BC145">
        <v>1.23685917559339</v>
      </c>
      <c r="BD145">
        <f t="shared" si="41"/>
        <v>1.7370153857728139</v>
      </c>
      <c r="EL145">
        <v>279.44178388361399</v>
      </c>
      <c r="EM145">
        <v>3.5336640161088702</v>
      </c>
      <c r="EN145">
        <f t="shared" si="35"/>
        <v>0.96185000935475862</v>
      </c>
      <c r="ET145">
        <v>272.35511467075099</v>
      </c>
      <c r="EU145">
        <v>0.642208868145561</v>
      </c>
      <c r="EV145">
        <f t="shared" si="36"/>
        <v>0.86103222393500611</v>
      </c>
    </row>
    <row r="146" spans="21:152" x14ac:dyDescent="0.25">
      <c r="U146">
        <v>195.12671348689199</v>
      </c>
      <c r="V146">
        <v>6.5962196208573101</v>
      </c>
      <c r="W146">
        <f t="shared" si="37"/>
        <v>0.1516019868165078</v>
      </c>
      <c r="X146">
        <f t="shared" si="38"/>
        <v>0.83148857988716807</v>
      </c>
      <c r="AC146">
        <v>233.323688271604</v>
      </c>
      <c r="AD146">
        <v>3.38199251215404</v>
      </c>
      <c r="AE146">
        <f t="shared" si="39"/>
        <v>0.29568368244644205</v>
      </c>
      <c r="AF146">
        <f t="shared" si="40"/>
        <v>0.88350025979520919</v>
      </c>
      <c r="BB146">
        <v>9.2714049225715307</v>
      </c>
      <c r="BC146">
        <v>1.23685917559339</v>
      </c>
      <c r="BD146">
        <f t="shared" si="41"/>
        <v>1.7370153857728139</v>
      </c>
      <c r="EL146">
        <v>281.69307382692699</v>
      </c>
      <c r="EM146">
        <v>3.5515909728373098</v>
      </c>
      <c r="EN146">
        <f t="shared" si="35"/>
        <v>0.96672965932101074</v>
      </c>
      <c r="ET146">
        <v>274.70428678551201</v>
      </c>
      <c r="EU146">
        <v>0.65198720817925504</v>
      </c>
      <c r="EV146">
        <f t="shared" si="36"/>
        <v>0.87414239148830741</v>
      </c>
    </row>
    <row r="147" spans="21:152" x14ac:dyDescent="0.25">
      <c r="U147">
        <v>196.98725780178299</v>
      </c>
      <c r="V147">
        <v>6.5748438819454202</v>
      </c>
      <c r="W147">
        <f t="shared" si="37"/>
        <v>0.15209486612237424</v>
      </c>
      <c r="X147">
        <f t="shared" si="38"/>
        <v>0.83419186579190163</v>
      </c>
      <c r="AC147">
        <v>234.663280178326</v>
      </c>
      <c r="AD147">
        <v>3.3696800865407899</v>
      </c>
      <c r="AE147">
        <f t="shared" si="39"/>
        <v>0.29676407680189287</v>
      </c>
      <c r="AF147">
        <f t="shared" si="40"/>
        <v>0.88672846869001343</v>
      </c>
      <c r="BB147">
        <v>9.0898856823150993</v>
      </c>
      <c r="BC147">
        <v>1.24869047269455</v>
      </c>
      <c r="BD147">
        <f t="shared" si="41"/>
        <v>1.7536309758932533</v>
      </c>
      <c r="EL147">
        <v>283.94436377023999</v>
      </c>
      <c r="EM147">
        <v>3.5678882062268</v>
      </c>
      <c r="EN147">
        <f t="shared" si="35"/>
        <v>0.97116570474487618</v>
      </c>
      <c r="ET147">
        <v>276.23124866010698</v>
      </c>
      <c r="EU147">
        <v>0.65589854419273297</v>
      </c>
      <c r="EV147">
        <f t="shared" si="36"/>
        <v>0.87938645850962827</v>
      </c>
    </row>
    <row r="148" spans="21:152" x14ac:dyDescent="0.25">
      <c r="U148">
        <v>198.84780211667399</v>
      </c>
      <c r="V148">
        <v>6.5577432908159103</v>
      </c>
      <c r="W148">
        <f t="shared" si="37"/>
        <v>0.15249148306864885</v>
      </c>
      <c r="X148">
        <f t="shared" si="38"/>
        <v>0.83636718333451543</v>
      </c>
      <c r="AC148">
        <v>236.67266803840801</v>
      </c>
      <c r="AD148">
        <v>3.3573676609275398</v>
      </c>
      <c r="AE148">
        <f t="shared" si="39"/>
        <v>0.29785239538636948</v>
      </c>
      <c r="AF148">
        <f t="shared" si="40"/>
        <v>0.88998035511191365</v>
      </c>
      <c r="BB148">
        <v>8.8533761830446593</v>
      </c>
      <c r="BC148">
        <v>1.26664995642134</v>
      </c>
      <c r="BD148">
        <f t="shared" si="41"/>
        <v>1.7788528444531921</v>
      </c>
      <c r="EL148">
        <v>285.60836068486299</v>
      </c>
      <c r="EM148">
        <v>3.5809259929383899</v>
      </c>
      <c r="EN148">
        <f t="shared" si="35"/>
        <v>0.97471454108396793</v>
      </c>
      <c r="ET148">
        <v>277.87566914043998</v>
      </c>
      <c r="EU148">
        <v>0.66567688422642601</v>
      </c>
      <c r="EV148">
        <f t="shared" si="36"/>
        <v>0.89249662606292823</v>
      </c>
    </row>
    <row r="149" spans="21:152" x14ac:dyDescent="0.25">
      <c r="U149">
        <v>200.70834643156499</v>
      </c>
      <c r="V149">
        <v>6.5320924041216397</v>
      </c>
      <c r="W149">
        <f t="shared" si="37"/>
        <v>0.15309030217775502</v>
      </c>
      <c r="X149">
        <f t="shared" si="38"/>
        <v>0.83965151529543247</v>
      </c>
      <c r="AC149">
        <v>239.016953875171</v>
      </c>
      <c r="AD149">
        <v>3.3573676609275398</v>
      </c>
      <c r="AE149">
        <f t="shared" si="39"/>
        <v>0.29785239538636948</v>
      </c>
      <c r="AF149">
        <f t="shared" si="40"/>
        <v>0.88998035511191365</v>
      </c>
      <c r="BB149">
        <v>8.6230204182875099</v>
      </c>
      <c r="BC149">
        <v>1.27269366974804</v>
      </c>
      <c r="BD149">
        <f t="shared" si="41"/>
        <v>1.7873404906160155</v>
      </c>
      <c r="EL149">
        <v>287.85965062817598</v>
      </c>
      <c r="EM149">
        <v>3.5923340563110302</v>
      </c>
      <c r="EN149">
        <f t="shared" si="35"/>
        <v>0.97781977288067301</v>
      </c>
      <c r="ET149">
        <v>280.10738264946298</v>
      </c>
      <c r="EU149">
        <v>0.66763255223316498</v>
      </c>
      <c r="EV149">
        <f t="shared" si="36"/>
        <v>0.89511865957358872</v>
      </c>
    </row>
    <row r="150" spans="21:152" x14ac:dyDescent="0.25">
      <c r="U150">
        <v>202.56889074645599</v>
      </c>
      <c r="V150">
        <v>6.50644151742737</v>
      </c>
      <c r="W150">
        <f t="shared" si="37"/>
        <v>0.15369384283582976</v>
      </c>
      <c r="X150">
        <f t="shared" si="38"/>
        <v>0.84296174344761454</v>
      </c>
      <c r="AC150">
        <v>241.36123971193399</v>
      </c>
      <c r="AD150">
        <v>3.3388990225076598</v>
      </c>
      <c r="AE150">
        <f t="shared" si="39"/>
        <v>0.2994999229563271</v>
      </c>
      <c r="AF150">
        <f t="shared" si="40"/>
        <v>0.89490315309668578</v>
      </c>
      <c r="BB150">
        <v>8.3710266210469602</v>
      </c>
      <c r="BC150">
        <v>1.28486774519872</v>
      </c>
      <c r="BD150">
        <f t="shared" si="41"/>
        <v>1.8044374704360868</v>
      </c>
      <c r="EL150">
        <v>289.42576537135</v>
      </c>
      <c r="EM150">
        <v>3.6053718430226298</v>
      </c>
      <c r="EN150">
        <f t="shared" si="35"/>
        <v>0.98136860921976743</v>
      </c>
      <c r="ET150">
        <v>281.04705149536801</v>
      </c>
      <c r="EU150">
        <v>0.67154388824664302</v>
      </c>
      <c r="EV150">
        <f t="shared" si="36"/>
        <v>0.90036272659490979</v>
      </c>
    </row>
    <row r="151" spans="21:152" x14ac:dyDescent="0.25">
      <c r="U151">
        <v>204.42943506134699</v>
      </c>
      <c r="V151">
        <v>6.4893409262978601</v>
      </c>
      <c r="W151">
        <f t="shared" si="37"/>
        <v>0.15409885400650317</v>
      </c>
      <c r="X151">
        <f t="shared" si="38"/>
        <v>0.84518310063569202</v>
      </c>
      <c r="AC151">
        <v>243.37062757201599</v>
      </c>
      <c r="AD151">
        <v>3.3265865968944102</v>
      </c>
      <c r="AE151">
        <f t="shared" si="39"/>
        <v>0.30060843777028579</v>
      </c>
      <c r="AF151">
        <f t="shared" si="40"/>
        <v>0.89821538567582626</v>
      </c>
      <c r="BB151">
        <v>8.0730130732230005</v>
      </c>
      <c r="BC151">
        <v>1.30956636695495</v>
      </c>
      <c r="BD151">
        <f t="shared" si="41"/>
        <v>1.8391236229460297</v>
      </c>
      <c r="EL151">
        <v>290.60035142873102</v>
      </c>
      <c r="EM151">
        <v>3.6167799063952701</v>
      </c>
      <c r="EN151">
        <f t="shared" si="35"/>
        <v>0.98447384101647251</v>
      </c>
      <c r="ET151">
        <v>282.80893058143897</v>
      </c>
      <c r="EU151">
        <v>0.67936656027359799</v>
      </c>
      <c r="EV151">
        <f t="shared" si="36"/>
        <v>0.9108508606375505</v>
      </c>
    </row>
    <row r="152" spans="21:152" x14ac:dyDescent="0.25">
      <c r="U152">
        <v>206.05741133687701</v>
      </c>
      <c r="V152">
        <v>6.4722403351683404</v>
      </c>
      <c r="W152">
        <f t="shared" si="37"/>
        <v>0.15450600537286605</v>
      </c>
      <c r="X152">
        <f t="shared" si="38"/>
        <v>0.84741619611501406</v>
      </c>
      <c r="AC152">
        <v>245.71491340877901</v>
      </c>
      <c r="AD152">
        <v>3.3081179584745399</v>
      </c>
      <c r="AE152">
        <f t="shared" si="39"/>
        <v>0.30228668159738969</v>
      </c>
      <c r="AF152">
        <f t="shared" si="40"/>
        <v>0.90322996356858698</v>
      </c>
      <c r="BB152">
        <v>7.9410826492299602</v>
      </c>
      <c r="BC152">
        <v>1.30956636695495</v>
      </c>
      <c r="BD152">
        <f t="shared" si="41"/>
        <v>1.8391236229460297</v>
      </c>
      <c r="EL152">
        <v>292.26434834335402</v>
      </c>
      <c r="EM152">
        <v>3.6249285230900101</v>
      </c>
      <c r="EN152">
        <f t="shared" si="35"/>
        <v>0.9866918637284039</v>
      </c>
      <c r="ET152">
        <v>284.57080966750999</v>
      </c>
      <c r="EU152">
        <v>0.68523356429381499</v>
      </c>
      <c r="EV152">
        <f t="shared" si="36"/>
        <v>0.91871696116953205</v>
      </c>
    </row>
    <row r="153" spans="21:152" x14ac:dyDescent="0.25">
      <c r="U153">
        <v>208.150523691129</v>
      </c>
      <c r="V153">
        <v>6.4551397440388296</v>
      </c>
      <c r="W153">
        <f t="shared" si="37"/>
        <v>0.15491531394397412</v>
      </c>
      <c r="X153">
        <f t="shared" si="38"/>
        <v>0.84966112317483045</v>
      </c>
      <c r="AC153">
        <v>248.05919924554101</v>
      </c>
      <c r="AD153">
        <v>3.2958055328612899</v>
      </c>
      <c r="AE153">
        <f t="shared" si="39"/>
        <v>0.30341596008300858</v>
      </c>
      <c r="AF153">
        <f t="shared" si="40"/>
        <v>0.90660423781723831</v>
      </c>
      <c r="BB153">
        <v>7.7344638262134602</v>
      </c>
      <c r="BC153">
        <v>1.30956636695495</v>
      </c>
      <c r="BD153">
        <f t="shared" si="41"/>
        <v>1.8391236229460297</v>
      </c>
      <c r="EL153">
        <v>293.63469874363102</v>
      </c>
      <c r="EM153">
        <v>3.6265582464289601</v>
      </c>
      <c r="EN153">
        <f t="shared" si="35"/>
        <v>0.98713546827079068</v>
      </c>
      <c r="ET153">
        <v>286.33268875358101</v>
      </c>
      <c r="EU153">
        <v>0.69110056831403099</v>
      </c>
      <c r="EV153">
        <f t="shared" si="36"/>
        <v>0.92658306170151228</v>
      </c>
    </row>
    <row r="154" spans="21:152" x14ac:dyDescent="0.25">
      <c r="U154">
        <v>209.545931927297</v>
      </c>
      <c r="V154">
        <v>6.4294888573445599</v>
      </c>
      <c r="W154">
        <f t="shared" si="37"/>
        <v>0.15553335921216754</v>
      </c>
      <c r="X154">
        <f t="shared" si="38"/>
        <v>0.85305090449067911</v>
      </c>
      <c r="AC154">
        <v>250.738383058984</v>
      </c>
      <c r="AD154">
        <v>3.2834931072480402</v>
      </c>
      <c r="AE154">
        <f t="shared" si="39"/>
        <v>0.30455370769397461</v>
      </c>
      <c r="AF154">
        <f t="shared" si="40"/>
        <v>0.91000381773843309</v>
      </c>
      <c r="BB154">
        <v>7.4837338385130403</v>
      </c>
      <c r="BC154">
        <v>1.3158148523111799</v>
      </c>
      <c r="BD154">
        <f t="shared" si="41"/>
        <v>1.8478988460399122</v>
      </c>
      <c r="EL154">
        <v>294.80928480101198</v>
      </c>
      <c r="EM154">
        <v>3.6395960331405601</v>
      </c>
      <c r="EN154">
        <f t="shared" si="35"/>
        <v>0.99068430460988521</v>
      </c>
      <c r="ET154">
        <v>287.50727481096197</v>
      </c>
      <c r="EU154">
        <v>0.69110056831403099</v>
      </c>
      <c r="EV154">
        <f t="shared" si="36"/>
        <v>0.92658306170151228</v>
      </c>
    </row>
    <row r="155" spans="21:152" x14ac:dyDescent="0.25">
      <c r="U155">
        <v>211.40647624218801</v>
      </c>
      <c r="V155">
        <v>6.4081131184326701</v>
      </c>
      <c r="W155">
        <f t="shared" si="37"/>
        <v>0.15605217659525106</v>
      </c>
      <c r="X155">
        <f t="shared" si="38"/>
        <v>0.85589645248209834</v>
      </c>
      <c r="AC155">
        <v>252.74777091906699</v>
      </c>
      <c r="AD155">
        <v>3.26502446882817</v>
      </c>
      <c r="AE155">
        <f t="shared" si="39"/>
        <v>0.30627641830779417</v>
      </c>
      <c r="AF155">
        <f t="shared" si="40"/>
        <v>0.91515126200139896</v>
      </c>
      <c r="BB155">
        <v>7.3857326262292</v>
      </c>
      <c r="BC155">
        <v>1.3347397628028499</v>
      </c>
      <c r="BD155">
        <f t="shared" si="41"/>
        <v>1.8744765368126981</v>
      </c>
      <c r="EL155">
        <v>296.47328171563402</v>
      </c>
      <c r="EM155">
        <v>3.6542635431910999</v>
      </c>
      <c r="EN155">
        <f t="shared" si="35"/>
        <v>0.99467674549136376</v>
      </c>
      <c r="ET155">
        <v>288.91677807981898</v>
      </c>
      <c r="EU155">
        <v>0.70087890834772504</v>
      </c>
      <c r="EV155">
        <f t="shared" si="36"/>
        <v>0.93969322925481358</v>
      </c>
    </row>
    <row r="156" spans="21:152" x14ac:dyDescent="0.25">
      <c r="U156">
        <v>213.732156635802</v>
      </c>
      <c r="V156">
        <v>6.3952876750855401</v>
      </c>
      <c r="W156">
        <f t="shared" si="37"/>
        <v>0.15636513176659009</v>
      </c>
      <c r="X156">
        <f t="shared" si="38"/>
        <v>0.85761291185343891</v>
      </c>
      <c r="AC156">
        <v>254.75715877914899</v>
      </c>
      <c r="AD156">
        <v>3.2588682560215401</v>
      </c>
      <c r="AE156">
        <f t="shared" si="39"/>
        <v>0.30685499426135449</v>
      </c>
      <c r="AF156">
        <f t="shared" si="40"/>
        <v>0.91688004189568473</v>
      </c>
      <c r="BB156">
        <v>7.2173084437379202</v>
      </c>
      <c r="BC156">
        <v>1.3475073462093199</v>
      </c>
      <c r="BD156">
        <f t="shared" si="41"/>
        <v>1.8924070249828944</v>
      </c>
      <c r="EL156">
        <v>297.25633908722199</v>
      </c>
      <c r="EM156">
        <v>3.6656716065637398</v>
      </c>
      <c r="EN156">
        <f t="shared" si="35"/>
        <v>0.99778197728806861</v>
      </c>
      <c r="ET156">
        <v>291.26595019458</v>
      </c>
      <c r="EU156">
        <v>0.71261291638815805</v>
      </c>
      <c r="EV156">
        <f t="shared" si="36"/>
        <v>0.95542543031877536</v>
      </c>
    </row>
    <row r="157" spans="21:152" x14ac:dyDescent="0.25">
      <c r="U157">
        <v>215.12756487197001</v>
      </c>
      <c r="V157">
        <v>6.3696367883912703</v>
      </c>
      <c r="W157">
        <f t="shared" si="37"/>
        <v>0.15699482297366005</v>
      </c>
      <c r="X157">
        <f t="shared" si="38"/>
        <v>0.86106656743229193</v>
      </c>
      <c r="AC157">
        <v>257.10144461591199</v>
      </c>
      <c r="AD157">
        <v>3.24655583040829</v>
      </c>
      <c r="AE157">
        <f t="shared" si="39"/>
        <v>0.30801872884294096</v>
      </c>
      <c r="AF157">
        <f t="shared" si="40"/>
        <v>0.92035727065804818</v>
      </c>
      <c r="BB157">
        <v>7.07600511847658</v>
      </c>
      <c r="BC157">
        <v>1.3475073462093199</v>
      </c>
      <c r="BD157">
        <f t="shared" si="41"/>
        <v>1.8924070249828944</v>
      </c>
      <c r="EL157">
        <v>298.72457165894701</v>
      </c>
      <c r="EM157">
        <v>3.6738202232584798</v>
      </c>
      <c r="EN157">
        <f>EM157/3.67382022325848</f>
        <v>1</v>
      </c>
      <c r="ET157">
        <v>293.497663703603</v>
      </c>
      <c r="EU157">
        <v>0.72043558841511302</v>
      </c>
      <c r="EV157">
        <f t="shared" si="36"/>
        <v>0.96591356436141595</v>
      </c>
    </row>
    <row r="158" spans="21:152" x14ac:dyDescent="0.25">
      <c r="U158">
        <v>217.22067722622299</v>
      </c>
      <c r="V158">
        <v>6.3482610494793699</v>
      </c>
      <c r="W158">
        <f t="shared" si="37"/>
        <v>0.15752345283312058</v>
      </c>
      <c r="X158">
        <f t="shared" si="38"/>
        <v>0.86396593372925745</v>
      </c>
      <c r="AC158">
        <v>258.77593449931402</v>
      </c>
      <c r="AD158">
        <v>3.2280871919884202</v>
      </c>
      <c r="AE158">
        <f t="shared" si="39"/>
        <v>0.30978097570655311</v>
      </c>
      <c r="AF158">
        <f t="shared" si="40"/>
        <v>0.92562284888997048</v>
      </c>
      <c r="BB158">
        <v>6.8918947252444704</v>
      </c>
      <c r="BC158">
        <v>1.3475073462093199</v>
      </c>
      <c r="BD158">
        <f t="shared" si="41"/>
        <v>1.8924070249828944</v>
      </c>
      <c r="ET158">
        <v>294.90716697246</v>
      </c>
      <c r="EU158">
        <v>0.72630259243532902</v>
      </c>
      <c r="EV158">
        <f t="shared" si="36"/>
        <v>0.97377966489339618</v>
      </c>
    </row>
    <row r="159" spans="21:152" x14ac:dyDescent="0.25">
      <c r="U159">
        <v>219.08122154111399</v>
      </c>
      <c r="V159">
        <v>6.31833501500273</v>
      </c>
      <c r="W159">
        <f t="shared" si="37"/>
        <v>0.15826954373668456</v>
      </c>
      <c r="X159">
        <f t="shared" si="38"/>
        <v>0.86805800454507076</v>
      </c>
      <c r="AC159">
        <v>260.78532235939599</v>
      </c>
      <c r="AD159">
        <v>3.2219309791817898</v>
      </c>
      <c r="AE159">
        <f t="shared" si="39"/>
        <v>0.31037288087839493</v>
      </c>
      <c r="AF159">
        <f t="shared" si="40"/>
        <v>0.92739145637202558</v>
      </c>
      <c r="BB159">
        <v>6.7125746955477901</v>
      </c>
      <c r="BC159">
        <v>1.36688807889302</v>
      </c>
      <c r="BD159">
        <f t="shared" si="41"/>
        <v>1.9196248615187204</v>
      </c>
      <c r="ET159">
        <v>295.84683581836498</v>
      </c>
      <c r="EU159">
        <v>0.73216959645554602</v>
      </c>
      <c r="EV159">
        <f t="shared" si="36"/>
        <v>0.98164576542537774</v>
      </c>
    </row>
    <row r="160" spans="21:152" x14ac:dyDescent="0.25">
      <c r="U160">
        <v>220.94176585600499</v>
      </c>
      <c r="V160">
        <v>6.3055095716555902</v>
      </c>
      <c r="W160">
        <f t="shared" si="37"/>
        <v>0.15859146491429996</v>
      </c>
      <c r="X160">
        <f t="shared" si="38"/>
        <v>0.86982363960323794</v>
      </c>
      <c r="AC160">
        <v>262.79471021947802</v>
      </c>
      <c r="AD160">
        <v>3.20346234076192</v>
      </c>
      <c r="AE160">
        <f t="shared" si="39"/>
        <v>0.31216224622829725</v>
      </c>
      <c r="AF160">
        <f t="shared" si="40"/>
        <v>0.93273806440405183</v>
      </c>
      <c r="BB160">
        <v>6.5595012006457001</v>
      </c>
      <c r="BC160">
        <v>1.3539368637447899</v>
      </c>
      <c r="BD160">
        <f t="shared" si="41"/>
        <v>1.9014364853309973</v>
      </c>
      <c r="ET160">
        <v>297.25633908722199</v>
      </c>
      <c r="EU160">
        <v>0.73608093246902295</v>
      </c>
      <c r="EV160">
        <f t="shared" si="36"/>
        <v>0.98688983244669737</v>
      </c>
    </row>
    <row r="161" spans="21:152" x14ac:dyDescent="0.25">
      <c r="U161">
        <v>223.03487821025701</v>
      </c>
      <c r="V161">
        <v>6.2798586849613196</v>
      </c>
      <c r="W161">
        <f t="shared" si="37"/>
        <v>0.15923925205430947</v>
      </c>
      <c r="X161">
        <f t="shared" si="38"/>
        <v>0.87337654560682232</v>
      </c>
      <c r="AC161">
        <v>264.80409807956102</v>
      </c>
      <c r="AD161">
        <v>3.19114991514867</v>
      </c>
      <c r="AE161">
        <f t="shared" si="39"/>
        <v>0.3133666629865654</v>
      </c>
      <c r="AF161">
        <f t="shared" si="40"/>
        <v>0.93633685115490461</v>
      </c>
      <c r="BB161">
        <v>6.4310766863087601</v>
      </c>
      <c r="BC161">
        <v>1.3734100699582199</v>
      </c>
      <c r="BD161">
        <f t="shared" si="41"/>
        <v>1.9287841894759148</v>
      </c>
      <c r="ET161">
        <v>298.66584235607797</v>
      </c>
      <c r="EU161">
        <v>0.745859272502718</v>
      </c>
      <c r="EV161">
        <f>EU161/0.745859272502718</f>
        <v>1</v>
      </c>
    </row>
    <row r="162" spans="21:152" x14ac:dyDescent="0.25">
      <c r="U162">
        <v>225.12799056450899</v>
      </c>
      <c r="V162">
        <v>6.2542077982670499</v>
      </c>
      <c r="W162">
        <f t="shared" si="37"/>
        <v>0.1598923528375705</v>
      </c>
      <c r="X162">
        <f t="shared" si="38"/>
        <v>0.87695859525010422</v>
      </c>
      <c r="AC162">
        <v>266.81348593964299</v>
      </c>
      <c r="AD162">
        <v>3.18499370234204</v>
      </c>
      <c r="AE162">
        <f t="shared" si="39"/>
        <v>0.31397236335653167</v>
      </c>
      <c r="AF162">
        <f t="shared" si="40"/>
        <v>0.93814667856842848</v>
      </c>
      <c r="BB162">
        <v>6.2844224695579696</v>
      </c>
      <c r="BC162">
        <v>1.37996318015315</v>
      </c>
      <c r="BD162">
        <f t="shared" si="41"/>
        <v>1.937987220393155</v>
      </c>
    </row>
    <row r="163" spans="21:152" x14ac:dyDescent="0.25">
      <c r="U163">
        <v>226.75596684003901</v>
      </c>
      <c r="V163">
        <v>6.23283205935516</v>
      </c>
      <c r="W163">
        <f t="shared" si="37"/>
        <v>0.16044070985340467</v>
      </c>
      <c r="X163">
        <f t="shared" si="38"/>
        <v>0.87996615871244188</v>
      </c>
      <c r="AC163">
        <v>268.82287379972502</v>
      </c>
      <c r="AD163">
        <v>3.17268127672879</v>
      </c>
      <c r="AE163">
        <f t="shared" si="39"/>
        <v>0.315190815836079</v>
      </c>
      <c r="AF163">
        <f t="shared" si="40"/>
        <v>0.94178740393183491</v>
      </c>
      <c r="BB163">
        <v>6.1613835556445604</v>
      </c>
      <c r="BC163">
        <v>1.3998107138850699</v>
      </c>
      <c r="BD163">
        <f t="shared" si="41"/>
        <v>1.9658606211345531</v>
      </c>
    </row>
    <row r="164" spans="21:152" x14ac:dyDescent="0.25">
      <c r="U164">
        <v>228.84907919429199</v>
      </c>
      <c r="V164">
        <v>6.2157314682256501</v>
      </c>
      <c r="W164">
        <f t="shared" si="37"/>
        <v>0.16088211099722124</v>
      </c>
      <c r="X164">
        <f t="shared" si="38"/>
        <v>0.88238710330518555</v>
      </c>
      <c r="AC164">
        <v>270.49736368312699</v>
      </c>
      <c r="AD164">
        <v>3.1603688511155501</v>
      </c>
      <c r="AE164">
        <f t="shared" si="39"/>
        <v>0.31641876221094223</v>
      </c>
      <c r="AF164">
        <f t="shared" si="40"/>
        <v>0.94545649697149825</v>
      </c>
      <c r="BB164">
        <v>6.0010706770795696</v>
      </c>
      <c r="BC164">
        <v>1.3998107138850699</v>
      </c>
      <c r="BD164">
        <f t="shared" si="41"/>
        <v>1.9658606211345531</v>
      </c>
    </row>
    <row r="165" spans="21:152" x14ac:dyDescent="0.25">
      <c r="U165">
        <v>230.70962350918299</v>
      </c>
      <c r="V165">
        <v>6.1943557293137603</v>
      </c>
      <c r="W165">
        <f t="shared" si="37"/>
        <v>0.16143728963896373</v>
      </c>
      <c r="X165">
        <f t="shared" si="38"/>
        <v>0.88543208121147687</v>
      </c>
      <c r="AC165">
        <v>272.84164951988998</v>
      </c>
      <c r="AD165">
        <v>3.1480564255023</v>
      </c>
      <c r="AE165">
        <f t="shared" si="39"/>
        <v>0.31765631387640747</v>
      </c>
      <c r="AF165">
        <f t="shared" si="40"/>
        <v>0.94915429053556</v>
      </c>
      <c r="BB165">
        <v>5.8449289751345299</v>
      </c>
      <c r="BC165">
        <v>1.4199437078386099</v>
      </c>
      <c r="BD165">
        <f t="shared" si="41"/>
        <v>1.9941349153703478</v>
      </c>
    </row>
    <row r="166" spans="21:152" x14ac:dyDescent="0.25">
      <c r="U166">
        <v>233.03530390279599</v>
      </c>
      <c r="V166">
        <v>6.1687048426194897</v>
      </c>
      <c r="W166">
        <f t="shared" si="37"/>
        <v>0.1621085828407634</v>
      </c>
      <c r="X166">
        <f t="shared" si="38"/>
        <v>0.88911391047224975</v>
      </c>
      <c r="AC166">
        <v>274.85103737997201</v>
      </c>
      <c r="AD166">
        <v>3.1357439998890499</v>
      </c>
      <c r="AE166">
        <f t="shared" si="39"/>
        <v>0.3189035839773216</v>
      </c>
      <c r="AF166">
        <f t="shared" si="40"/>
        <v>0.95288112269983416</v>
      </c>
      <c r="BB166">
        <v>5.7304946390463298</v>
      </c>
      <c r="BC166">
        <v>1.4267188493579599</v>
      </c>
      <c r="BD166">
        <f t="shared" si="41"/>
        <v>2.0036497617587843</v>
      </c>
    </row>
    <row r="167" spans="21:152" x14ac:dyDescent="0.25">
      <c r="U167">
        <v>232.33759978471201</v>
      </c>
      <c r="V167">
        <v>6.1687048426194897</v>
      </c>
      <c r="W167">
        <f t="shared" si="37"/>
        <v>0.1621085828407634</v>
      </c>
      <c r="X167">
        <f t="shared" si="38"/>
        <v>0.88911391047224975</v>
      </c>
      <c r="AC167">
        <v>276.19062928669399</v>
      </c>
      <c r="AD167">
        <v>3.1234315742757999</v>
      </c>
      <c r="AE167">
        <f t="shared" si="39"/>
        <v>0.32016068744258003</v>
      </c>
      <c r="AF167">
        <f t="shared" si="40"/>
        <v>0.95663733687085617</v>
      </c>
      <c r="BB167">
        <v>5.5813930480010603</v>
      </c>
      <c r="BC167">
        <v>1.4267188493579599</v>
      </c>
      <c r="BD167">
        <f t="shared" si="41"/>
        <v>2.0036497617587843</v>
      </c>
    </row>
    <row r="168" spans="21:152" x14ac:dyDescent="0.25">
      <c r="U168">
        <v>235.128416257049</v>
      </c>
      <c r="V168">
        <v>6.1473291037075999</v>
      </c>
      <c r="W168">
        <f t="shared" si="37"/>
        <v>0.16267227329619888</v>
      </c>
      <c r="X168">
        <f t="shared" si="38"/>
        <v>0.89220557296380598</v>
      </c>
      <c r="AC168">
        <v>278.20001714677602</v>
      </c>
      <c r="AD168">
        <v>3.1172753614691699</v>
      </c>
      <c r="AE168">
        <f t="shared" si="39"/>
        <v>0.3207929630986146</v>
      </c>
      <c r="AF168">
        <f t="shared" si="40"/>
        <v>0.95852657100696681</v>
      </c>
      <c r="BB168">
        <v>5.4004596773472899</v>
      </c>
      <c r="BC168">
        <v>1.4267188493579599</v>
      </c>
      <c r="BD168">
        <f t="shared" si="41"/>
        <v>2.0036497617587843</v>
      </c>
    </row>
    <row r="169" spans="21:152" x14ac:dyDescent="0.25">
      <c r="U169">
        <v>237.45409665066299</v>
      </c>
      <c r="V169">
        <v>6.1174030692309502</v>
      </c>
      <c r="W169">
        <f t="shared" si="37"/>
        <v>0.16346805804406722</v>
      </c>
      <c r="X169">
        <f t="shared" si="38"/>
        <v>0.89657019867746357</v>
      </c>
      <c r="AC169">
        <v>280.20940500685799</v>
      </c>
      <c r="AD169">
        <v>3.0988067230493002</v>
      </c>
      <c r="AE169">
        <f t="shared" si="39"/>
        <v>0.32270486331460391</v>
      </c>
      <c r="AF169">
        <f t="shared" si="40"/>
        <v>0.96423931214828773</v>
      </c>
      <c r="BB169">
        <v>5.3122045328891598</v>
      </c>
      <c r="BC169">
        <v>1.45414423173248</v>
      </c>
      <c r="BD169">
        <f t="shared" si="41"/>
        <v>2.0421653115362188</v>
      </c>
    </row>
    <row r="170" spans="21:152" x14ac:dyDescent="0.25">
      <c r="U170">
        <v>236.98896057194</v>
      </c>
      <c r="V170">
        <v>6.1302285125780802</v>
      </c>
      <c r="W170">
        <f t="shared" si="37"/>
        <v>0.16312605605944172</v>
      </c>
      <c r="X170">
        <f t="shared" si="38"/>
        <v>0.89469442679289701</v>
      </c>
      <c r="AC170">
        <v>282.21879286694099</v>
      </c>
      <c r="AD170">
        <v>3.0864942974360501</v>
      </c>
      <c r="AE170">
        <f t="shared" si="39"/>
        <v>0.32399217482134979</v>
      </c>
      <c r="AF170">
        <f t="shared" si="40"/>
        <v>0.96808578768334996</v>
      </c>
      <c r="BB170">
        <v>5.1569639643846203</v>
      </c>
      <c r="BC170">
        <v>1.46108255816411</v>
      </c>
      <c r="BD170">
        <f t="shared" si="41"/>
        <v>2.0519093309048535</v>
      </c>
    </row>
    <row r="171" spans="21:152" x14ac:dyDescent="0.25">
      <c r="U171">
        <v>239.547209004915</v>
      </c>
      <c r="V171">
        <v>6.0960273303190604</v>
      </c>
      <c r="W171">
        <f t="shared" si="37"/>
        <v>0.16404125930118835</v>
      </c>
      <c r="X171">
        <f t="shared" si="38"/>
        <v>0.89971402488503205</v>
      </c>
      <c r="AC171">
        <v>284.56307870370301</v>
      </c>
      <c r="AD171">
        <v>3.0741818718228</v>
      </c>
      <c r="AE171">
        <f t="shared" si="39"/>
        <v>0.32528979796730823</v>
      </c>
      <c r="AF171">
        <f t="shared" si="40"/>
        <v>0.9719630743062877</v>
      </c>
      <c r="BB171">
        <v>5.0227850530540596</v>
      </c>
      <c r="BC171">
        <v>1.46108255816411</v>
      </c>
      <c r="BD171">
        <f t="shared" si="41"/>
        <v>2.0519093309048535</v>
      </c>
    </row>
    <row r="172" spans="21:152" x14ac:dyDescent="0.25">
      <c r="U172">
        <v>241.64032135916699</v>
      </c>
      <c r="V172">
        <v>6.0703764436247898</v>
      </c>
      <c r="W172">
        <f t="shared" si="37"/>
        <v>0.1647344294521004</v>
      </c>
      <c r="X172">
        <f t="shared" si="38"/>
        <v>0.90351584223917825</v>
      </c>
      <c r="AC172">
        <v>286.90736454046601</v>
      </c>
      <c r="AD172">
        <v>3.0557132334029302</v>
      </c>
      <c r="AE172">
        <f t="shared" si="39"/>
        <v>0.32725583967392491</v>
      </c>
      <c r="AF172">
        <f t="shared" si="40"/>
        <v>0.97783758974857515</v>
      </c>
      <c r="BB172">
        <v>4.9082455064441799</v>
      </c>
      <c r="BC172">
        <v>1.46805399023453</v>
      </c>
      <c r="BD172">
        <f t="shared" si="41"/>
        <v>2.0616998430392521</v>
      </c>
    </row>
    <row r="173" spans="21:152" x14ac:dyDescent="0.25">
      <c r="U173">
        <v>243.50086567405799</v>
      </c>
      <c r="V173">
        <v>6.0490007047129</v>
      </c>
      <c r="W173">
        <f t="shared" si="37"/>
        <v>0.16531656199359995</v>
      </c>
      <c r="X173">
        <f t="shared" si="38"/>
        <v>0.90670865369502962</v>
      </c>
      <c r="AC173">
        <v>288.58185442386798</v>
      </c>
      <c r="AD173">
        <v>3.0557132334029302</v>
      </c>
      <c r="AE173">
        <f t="shared" si="39"/>
        <v>0.32725583967392491</v>
      </c>
      <c r="AF173">
        <f t="shared" si="40"/>
        <v>0.97783758974857515</v>
      </c>
      <c r="BB173">
        <v>4.7963179186577403</v>
      </c>
      <c r="BC173">
        <v>1.4750586859044901</v>
      </c>
      <c r="BD173">
        <f t="shared" si="41"/>
        <v>2.0715370697757072</v>
      </c>
    </row>
    <row r="174" spans="21:152" x14ac:dyDescent="0.25">
      <c r="U174">
        <v>245.36140998894899</v>
      </c>
      <c r="V174">
        <v>6.0233498180186302</v>
      </c>
      <c r="W174">
        <f t="shared" si="37"/>
        <v>0.16602057496453829</v>
      </c>
      <c r="X174">
        <f t="shared" si="38"/>
        <v>0.91056994046125239</v>
      </c>
      <c r="AC174">
        <v>290.25634430727001</v>
      </c>
      <c r="AD174">
        <v>3.01877595656318</v>
      </c>
      <c r="AE174">
        <f t="shared" si="39"/>
        <v>0.33126009163610848</v>
      </c>
      <c r="AF174">
        <f t="shared" si="40"/>
        <v>0.98980225962688495</v>
      </c>
      <c r="BB174">
        <v>4.7179357519407397</v>
      </c>
      <c r="BC174">
        <v>1.4891685036581599</v>
      </c>
      <c r="BD174">
        <f t="shared" si="41"/>
        <v>2.0913525596974409</v>
      </c>
    </row>
    <row r="175" spans="21:152" x14ac:dyDescent="0.25">
      <c r="U175">
        <v>246.98938626447901</v>
      </c>
      <c r="V175">
        <v>6.0105243746714896</v>
      </c>
      <c r="W175">
        <f t="shared" si="37"/>
        <v>0.16637483481707965</v>
      </c>
      <c r="X175">
        <f t="shared" si="38"/>
        <v>0.91251294284457329</v>
      </c>
      <c r="AC175">
        <v>291.59593621399102</v>
      </c>
      <c r="AD175">
        <v>3.0126197437565501</v>
      </c>
      <c r="AE175">
        <f t="shared" si="39"/>
        <v>0.33193701331621162</v>
      </c>
      <c r="AF175">
        <f t="shared" si="40"/>
        <v>0.99182489569284527</v>
      </c>
      <c r="BB175">
        <v>4.5951799042569199</v>
      </c>
      <c r="BC175">
        <v>1.4962739454462699</v>
      </c>
      <c r="BD175">
        <f t="shared" si="41"/>
        <v>2.101331271867918</v>
      </c>
    </row>
    <row r="176" spans="21:152" x14ac:dyDescent="0.25">
      <c r="U176">
        <v>248.84993057937001</v>
      </c>
      <c r="V176">
        <v>5.9848734879772199</v>
      </c>
      <c r="W176">
        <f t="shared" si="37"/>
        <v>0.16708790954543337</v>
      </c>
      <c r="X176">
        <f t="shared" si="38"/>
        <v>0.91642393046210291</v>
      </c>
      <c r="AC176">
        <v>293.60532407407402</v>
      </c>
      <c r="AD176">
        <v>3.0126197437565501</v>
      </c>
      <c r="AE176">
        <f t="shared" si="39"/>
        <v>0.33193701331621162</v>
      </c>
      <c r="AF176">
        <f t="shared" si="40"/>
        <v>0.99182489569284527</v>
      </c>
      <c r="BB176">
        <v>4.4903914617364897</v>
      </c>
      <c r="BC176">
        <v>1.5177943367375299</v>
      </c>
      <c r="BD176">
        <f t="shared" si="41"/>
        <v>2.1315539936768388</v>
      </c>
    </row>
    <row r="177" spans="21:56" x14ac:dyDescent="0.25">
      <c r="U177">
        <v>250.01277077617701</v>
      </c>
      <c r="V177">
        <v>5.9720480446300899</v>
      </c>
      <c r="W177">
        <f t="shared" si="37"/>
        <v>0.1674467439857879</v>
      </c>
      <c r="X177">
        <f t="shared" si="38"/>
        <v>0.91839202300159006</v>
      </c>
      <c r="AC177">
        <v>294.94491598079497</v>
      </c>
      <c r="AD177">
        <v>3.0064635309499299</v>
      </c>
      <c r="AE177">
        <f t="shared" si="39"/>
        <v>0.3326167072061697</v>
      </c>
      <c r="AF177">
        <f t="shared" si="40"/>
        <v>0.99385581509763177</v>
      </c>
      <c r="BB177">
        <v>4.4024767979508503</v>
      </c>
      <c r="BC177">
        <v>1.5177943367375299</v>
      </c>
      <c r="BD177">
        <f t="shared" si="41"/>
        <v>2.1315539936768388</v>
      </c>
    </row>
    <row r="178" spans="21:56" x14ac:dyDescent="0.25">
      <c r="U178">
        <v>251.87331509106801</v>
      </c>
      <c r="V178">
        <v>5.96349774906533</v>
      </c>
      <c r="W178">
        <f t="shared" si="37"/>
        <v>0.16768682442392668</v>
      </c>
      <c r="X178">
        <f t="shared" si="38"/>
        <v>0.91970878768758535</v>
      </c>
      <c r="AC178">
        <v>295.27981395747599</v>
      </c>
      <c r="AD178">
        <v>2.9879948925300601</v>
      </c>
      <c r="AE178">
        <f t="shared" si="39"/>
        <v>0.33467259348400635</v>
      </c>
      <c r="AF178">
        <f t="shared" si="40"/>
        <v>0.99999878533376263</v>
      </c>
      <c r="BB178">
        <v>4.3162833622974102</v>
      </c>
      <c r="BC178">
        <v>1.53962424838284</v>
      </c>
      <c r="BD178">
        <f t="shared" si="41"/>
        <v>2.1622113984535569</v>
      </c>
    </row>
    <row r="179" spans="21:56" x14ac:dyDescent="0.25">
      <c r="U179">
        <v>253.501291366598</v>
      </c>
      <c r="V179">
        <v>5.9463971579358201</v>
      </c>
      <c r="W179">
        <f t="shared" si="37"/>
        <v>0.16816905656317299</v>
      </c>
      <c r="X179">
        <f t="shared" si="38"/>
        <v>0.92235367727681739</v>
      </c>
      <c r="BB179">
        <v>4.2317774558896</v>
      </c>
      <c r="BC179">
        <v>1.5469704354970399</v>
      </c>
      <c r="BD179">
        <f t="shared" si="41"/>
        <v>2.1725282075907084</v>
      </c>
    </row>
    <row r="180" spans="21:56" x14ac:dyDescent="0.25">
      <c r="U180">
        <v>255.361835681489</v>
      </c>
      <c r="V180">
        <v>5.9207462712415504</v>
      </c>
      <c r="W180">
        <f t="shared" si="37"/>
        <v>0.16889762779689343</v>
      </c>
      <c r="X180">
        <f t="shared" si="38"/>
        <v>0.92634965828731752</v>
      </c>
      <c r="BB180">
        <v>4.1352760396371204</v>
      </c>
      <c r="BC180">
        <v>1.5617681321065</v>
      </c>
      <c r="BD180">
        <f t="shared" si="41"/>
        <v>2.1933097380929976</v>
      </c>
    </row>
    <row r="181" spans="21:56" x14ac:dyDescent="0.25">
      <c r="U181">
        <v>257.22237999638003</v>
      </c>
      <c r="V181">
        <v>5.8993705323296597</v>
      </c>
      <c r="W181">
        <f t="shared" si="37"/>
        <v>0.16950961030839001</v>
      </c>
      <c r="X181">
        <f t="shared" si="38"/>
        <v>0.92970618731497445</v>
      </c>
      <c r="BB181">
        <v>4.0676967211981196</v>
      </c>
      <c r="BC181">
        <v>1.5543516743228301</v>
      </c>
      <c r="BD181">
        <f t="shared" si="41"/>
        <v>2.1828942425116282</v>
      </c>
    </row>
    <row r="182" spans="21:56" x14ac:dyDescent="0.25">
      <c r="U182">
        <v>258.38522019318702</v>
      </c>
      <c r="V182">
        <v>5.8865450889825199</v>
      </c>
      <c r="W182">
        <f t="shared" si="37"/>
        <v>0.16987893320848552</v>
      </c>
      <c r="X182">
        <f t="shared" si="38"/>
        <v>0.93173180571331315</v>
      </c>
      <c r="BB182">
        <v>3.9749370005906801</v>
      </c>
      <c r="BC182">
        <v>1.5617681321065</v>
      </c>
      <c r="BD182">
        <f t="shared" si="41"/>
        <v>2.1933097380929976</v>
      </c>
    </row>
    <row r="183" spans="21:56" x14ac:dyDescent="0.25">
      <c r="U183">
        <v>260.01319646871599</v>
      </c>
      <c r="V183">
        <v>5.86944449785301</v>
      </c>
      <c r="W183">
        <f t="shared" si="37"/>
        <v>0.17037387445537494</v>
      </c>
      <c r="X183">
        <f t="shared" si="38"/>
        <v>0.93444640070738649</v>
      </c>
      <c r="BB183">
        <v>3.8842925718441901</v>
      </c>
      <c r="BC183">
        <v>1.57670737752642</v>
      </c>
      <c r="BD183">
        <f t="shared" si="41"/>
        <v>2.2142900563525827</v>
      </c>
    </row>
    <row r="184" spans="21:56" x14ac:dyDescent="0.25">
      <c r="U184">
        <v>261.87374078360699</v>
      </c>
      <c r="V184">
        <v>5.8480687589411202</v>
      </c>
      <c r="W184">
        <f t="shared" si="37"/>
        <v>0.17099662148655462</v>
      </c>
      <c r="X184">
        <f t="shared" si="38"/>
        <v>0.93786196969469315</v>
      </c>
      <c r="BB184">
        <v>3.78322726439219</v>
      </c>
      <c r="BC184">
        <v>1.58423050366048</v>
      </c>
      <c r="BD184">
        <f t="shared" si="41"/>
        <v>2.2248553544090104</v>
      </c>
    </row>
    <row r="185" spans="21:56" x14ac:dyDescent="0.25">
      <c r="U185">
        <v>263.73428509849799</v>
      </c>
      <c r="V185">
        <v>5.8309681678115997</v>
      </c>
      <c r="W185">
        <f t="shared" si="37"/>
        <v>0.17149810652718869</v>
      </c>
      <c r="X185">
        <f t="shared" si="38"/>
        <v>0.94061245531185189</v>
      </c>
      <c r="BB185">
        <v>3.7091577415437098</v>
      </c>
      <c r="BC185">
        <v>1.5993846150867299</v>
      </c>
      <c r="BD185">
        <f t="shared" si="41"/>
        <v>2.2461374253387776</v>
      </c>
    </row>
    <row r="186" spans="21:56" x14ac:dyDescent="0.25">
      <c r="U186">
        <v>265.36226137402798</v>
      </c>
      <c r="V186">
        <v>5.8095924288997098</v>
      </c>
      <c r="W186">
        <f t="shared" si="37"/>
        <v>0.1721291144324546</v>
      </c>
      <c r="X186">
        <f t="shared" si="38"/>
        <v>0.9440733325606584</v>
      </c>
      <c r="BB186">
        <v>3.6245741407060401</v>
      </c>
      <c r="BC186">
        <v>1.60701594374523</v>
      </c>
      <c r="BD186">
        <f t="shared" si="41"/>
        <v>2.256854680427534</v>
      </c>
    </row>
    <row r="187" spans="21:56" x14ac:dyDescent="0.25">
      <c r="U187">
        <v>267.22280568891898</v>
      </c>
      <c r="V187">
        <v>5.8010421333349598</v>
      </c>
      <c r="W187">
        <f t="shared" si="37"/>
        <v>0.17238281967538654</v>
      </c>
      <c r="X187">
        <f t="shared" si="38"/>
        <v>0.94546482495851691</v>
      </c>
      <c r="BB187">
        <v>3.55361079159458</v>
      </c>
      <c r="BC187">
        <v>1.60701594374523</v>
      </c>
      <c r="BD187">
        <f t="shared" si="41"/>
        <v>2.256854680427534</v>
      </c>
    </row>
    <row r="188" spans="21:56" x14ac:dyDescent="0.25">
      <c r="U188">
        <v>269.08335000380998</v>
      </c>
      <c r="V188">
        <v>5.7796663944230602</v>
      </c>
      <c r="W188">
        <f t="shared" si="37"/>
        <v>0.1730203668787742</v>
      </c>
      <c r="X188">
        <f t="shared" si="38"/>
        <v>0.94896156817334998</v>
      </c>
      <c r="BB188">
        <v>3.472574282049</v>
      </c>
      <c r="BC188">
        <v>1.60701594374523</v>
      </c>
      <c r="BD188">
        <f t="shared" si="41"/>
        <v>2.256854680427534</v>
      </c>
    </row>
    <row r="189" spans="21:56" x14ac:dyDescent="0.25">
      <c r="U189">
        <v>270.94389431870098</v>
      </c>
      <c r="V189">
        <v>5.7540155077288002</v>
      </c>
      <c r="W189">
        <f t="shared" si="37"/>
        <v>0.17379167620539063</v>
      </c>
      <c r="X189">
        <f t="shared" si="38"/>
        <v>0.95319195400212053</v>
      </c>
      <c r="BB189">
        <v>3.4611494847866</v>
      </c>
      <c r="BC189">
        <v>1.66146457466034</v>
      </c>
      <c r="BD189">
        <f t="shared" si="41"/>
        <v>2.3333210328628766</v>
      </c>
    </row>
    <row r="190" spans="21:56" x14ac:dyDescent="0.25">
      <c r="U190">
        <v>272.80443863359199</v>
      </c>
      <c r="V190">
        <v>5.7326397688168997</v>
      </c>
      <c r="W190">
        <f t="shared" si="37"/>
        <v>0.17443970671933215</v>
      </c>
      <c r="X190">
        <f t="shared" si="38"/>
        <v>0.95674619483415513</v>
      </c>
      <c r="BB190">
        <v>3.3933857283614102</v>
      </c>
      <c r="BC190">
        <v>1.66146457466034</v>
      </c>
      <c r="BD190">
        <f t="shared" si="41"/>
        <v>2.3333210328628766</v>
      </c>
    </row>
    <row r="191" spans="21:56" x14ac:dyDescent="0.25">
      <c r="U191">
        <v>274.66498294848299</v>
      </c>
      <c r="V191">
        <v>5.7198143254697698</v>
      </c>
      <c r="W191">
        <f t="shared" si="37"/>
        <v>0.1748308499363517</v>
      </c>
      <c r="X191">
        <f t="shared" si="38"/>
        <v>0.95889149071636359</v>
      </c>
      <c r="BB191">
        <v>3.3379304957420599</v>
      </c>
      <c r="BC191">
        <v>1.66146457466034</v>
      </c>
      <c r="BD191">
        <f t="shared" si="41"/>
        <v>2.3333210328628766</v>
      </c>
    </row>
    <row r="192" spans="21:56" x14ac:dyDescent="0.25">
      <c r="U192">
        <v>276.99066334209698</v>
      </c>
      <c r="V192">
        <v>5.6984385865578799</v>
      </c>
      <c r="W192">
        <f t="shared" si="37"/>
        <v>0.17548666793723333</v>
      </c>
      <c r="X192">
        <f t="shared" si="38"/>
        <v>0.96248844343227702</v>
      </c>
      <c r="BB192">
        <v>3.2510809689451001</v>
      </c>
      <c r="BC192">
        <v>1.66146457466034</v>
      </c>
      <c r="BD192">
        <f t="shared" si="41"/>
        <v>2.3333210328628766</v>
      </c>
    </row>
    <row r="193" spans="21:56" x14ac:dyDescent="0.25">
      <c r="U193">
        <v>278.85120765698798</v>
      </c>
      <c r="V193">
        <v>5.6770628476459901</v>
      </c>
      <c r="W193">
        <f t="shared" si="37"/>
        <v>0.17614742461670171</v>
      </c>
      <c r="X193">
        <f t="shared" si="38"/>
        <v>0.96611248322620868</v>
      </c>
      <c r="BB193">
        <v>3.1874300171828298</v>
      </c>
      <c r="BC193">
        <v>1.66146457466034</v>
      </c>
      <c r="BD193">
        <f t="shared" si="41"/>
        <v>2.3333210328628766</v>
      </c>
    </row>
    <row r="194" spans="21:56" x14ac:dyDescent="0.25">
      <c r="U194">
        <v>280.71175197187898</v>
      </c>
      <c r="V194">
        <v>5.6685125520812303</v>
      </c>
      <c r="W194">
        <f t="shared" si="37"/>
        <v>0.17641312263352821</v>
      </c>
      <c r="X194">
        <f t="shared" si="38"/>
        <v>0.9675697521666039</v>
      </c>
      <c r="BB194">
        <v>3.11474389082812</v>
      </c>
      <c r="BC194">
        <v>1.68536084570889</v>
      </c>
      <c r="BD194">
        <f t="shared" si="41"/>
        <v>2.3668803832667051</v>
      </c>
    </row>
    <row r="195" spans="21:56" x14ac:dyDescent="0.25">
      <c r="U195">
        <v>282.10716020804699</v>
      </c>
      <c r="V195">
        <v>5.6514119609517204</v>
      </c>
      <c r="W195">
        <f t="shared" si="37"/>
        <v>0.17694693059176594</v>
      </c>
      <c r="X195">
        <f t="shared" si="38"/>
        <v>0.97049751868502543</v>
      </c>
      <c r="BB195">
        <v>3.0337014505025302</v>
      </c>
      <c r="BC195">
        <v>1.70148232928738</v>
      </c>
      <c r="BD195">
        <f t="shared" si="41"/>
        <v>2.3895210084647078</v>
      </c>
    </row>
    <row r="196" spans="21:56" x14ac:dyDescent="0.25">
      <c r="U196">
        <v>284.43284060166098</v>
      </c>
      <c r="V196">
        <v>5.6300362220398297</v>
      </c>
      <c r="W196">
        <f t="shared" si="37"/>
        <v>0.17761875067256458</v>
      </c>
      <c r="X196">
        <f t="shared" si="38"/>
        <v>0.97418223770918355</v>
      </c>
      <c r="BB196">
        <v>2.9353572155998799</v>
      </c>
      <c r="BC196">
        <v>1.70960080856931</v>
      </c>
      <c r="BD196">
        <f t="shared" si="41"/>
        <v>2.4009224062147991</v>
      </c>
    </row>
    <row r="197" spans="21:56" x14ac:dyDescent="0.25">
      <c r="U197">
        <v>286.06081687719097</v>
      </c>
      <c r="V197">
        <v>5.61293563091031</v>
      </c>
      <c r="W197">
        <f t="shared" ref="W197:W205" si="43">1/V197</f>
        <v>0.17815989096561566</v>
      </c>
      <c r="X197">
        <f t="shared" ref="X197:X205" si="44">W197/0.182326</f>
        <v>0.97715021974713245</v>
      </c>
      <c r="BB197">
        <v>2.8589822325137799</v>
      </c>
      <c r="BC197">
        <v>1.7341894064422001</v>
      </c>
      <c r="BD197">
        <f t="shared" ref="BD197:BD228" si="45">BC197/0.71206</f>
        <v>2.4354540438196222</v>
      </c>
    </row>
    <row r="198" spans="21:56" x14ac:dyDescent="0.25">
      <c r="U198">
        <v>287.45622511335898</v>
      </c>
      <c r="V198">
        <v>5.5915598919984202</v>
      </c>
      <c r="W198">
        <f t="shared" si="43"/>
        <v>0.17884097091243006</v>
      </c>
      <c r="X198">
        <f t="shared" si="44"/>
        <v>0.98088572618513037</v>
      </c>
      <c r="BB198">
        <v>2.7390881764467099</v>
      </c>
      <c r="BC198">
        <v>1.7591316536245301</v>
      </c>
      <c r="BD198">
        <f t="shared" si="45"/>
        <v>2.4704823380396737</v>
      </c>
    </row>
    <row r="199" spans="21:56" x14ac:dyDescent="0.25">
      <c r="U199">
        <v>289.084201388888</v>
      </c>
      <c r="V199">
        <v>5.5701841530865304</v>
      </c>
      <c r="W199">
        <f t="shared" si="43"/>
        <v>0.17952727818628467</v>
      </c>
      <c r="X199">
        <f t="shared" si="44"/>
        <v>0.98464990284591714</v>
      </c>
      <c r="BB199">
        <v>2.7390881764467099</v>
      </c>
      <c r="BC199">
        <v>1.7591316536245301</v>
      </c>
      <c r="BD199">
        <f t="shared" si="45"/>
        <v>2.4704823380396737</v>
      </c>
    </row>
    <row r="200" spans="21:56" x14ac:dyDescent="0.25">
      <c r="U200">
        <v>290.71217766441799</v>
      </c>
      <c r="V200">
        <v>5.5616338575217696</v>
      </c>
      <c r="W200">
        <f t="shared" si="43"/>
        <v>0.17980327824845233</v>
      </c>
      <c r="X200">
        <f t="shared" si="44"/>
        <v>0.98616367522159398</v>
      </c>
      <c r="BB200">
        <v>2.6678199123881901</v>
      </c>
      <c r="BC200">
        <v>1.77595879906257</v>
      </c>
      <c r="BD200">
        <f t="shared" si="45"/>
        <v>2.4941139778425554</v>
      </c>
    </row>
    <row r="201" spans="21:56" x14ac:dyDescent="0.25">
      <c r="U201">
        <v>292.57272197930899</v>
      </c>
      <c r="V201">
        <v>5.5445332663922597</v>
      </c>
      <c r="W201">
        <f t="shared" si="43"/>
        <v>0.18035783211211287</v>
      </c>
      <c r="X201">
        <f t="shared" si="44"/>
        <v>0.98920522641923192</v>
      </c>
      <c r="BB201">
        <v>2.79378602658044</v>
      </c>
      <c r="BC201">
        <v>1.7424639447813901</v>
      </c>
      <c r="BD201">
        <f t="shared" si="45"/>
        <v>2.4470746071698875</v>
      </c>
    </row>
    <row r="202" spans="21:56" x14ac:dyDescent="0.25">
      <c r="U202">
        <v>293.73556217611599</v>
      </c>
      <c r="V202">
        <v>5.5274326752627498</v>
      </c>
      <c r="W202">
        <f t="shared" si="43"/>
        <v>0.180915817297126</v>
      </c>
      <c r="X202">
        <f t="shared" si="44"/>
        <v>0.99226559732087583</v>
      </c>
      <c r="BB202">
        <v>2.5224717717891698</v>
      </c>
      <c r="BC202">
        <v>1.79294690620179</v>
      </c>
      <c r="BD202">
        <f t="shared" si="45"/>
        <v>2.5179716684012443</v>
      </c>
    </row>
    <row r="203" spans="21:56" x14ac:dyDescent="0.25">
      <c r="U203">
        <v>295.130970412284</v>
      </c>
      <c r="V203">
        <v>5.51888237969799</v>
      </c>
      <c r="W203">
        <f t="shared" si="43"/>
        <v>0.18119610660278704</v>
      </c>
      <c r="X203">
        <f t="shared" si="44"/>
        <v>0.99380289483006834</v>
      </c>
      <c r="BB203">
        <v>2.3850424872859102</v>
      </c>
      <c r="BC203">
        <v>1.82741217909135</v>
      </c>
      <c r="BD203">
        <f t="shared" si="45"/>
        <v>2.5663738717121451</v>
      </c>
    </row>
    <row r="204" spans="21:56" x14ac:dyDescent="0.25">
      <c r="U204">
        <v>296.75894668781399</v>
      </c>
      <c r="V204">
        <v>5.5017817885684801</v>
      </c>
      <c r="W204">
        <f t="shared" si="43"/>
        <v>0.18175929879258118</v>
      </c>
      <c r="X204">
        <f t="shared" si="44"/>
        <v>0.99689182449338654</v>
      </c>
      <c r="BB204">
        <v>2.24768132467727</v>
      </c>
      <c r="BC204">
        <v>1.84489246855658</v>
      </c>
      <c r="BD204">
        <f t="shared" si="45"/>
        <v>2.5909227713346907</v>
      </c>
    </row>
    <row r="205" spans="21:56" x14ac:dyDescent="0.25">
      <c r="U205">
        <v>298.61949100270499</v>
      </c>
      <c r="V205">
        <v>5.4846811974389604</v>
      </c>
      <c r="W205">
        <f t="shared" si="43"/>
        <v>0.18232600291644008</v>
      </c>
      <c r="X205">
        <f t="shared" si="44"/>
        <v>1.0000000159957443</v>
      </c>
      <c r="BB205">
        <v>2.18919896272048</v>
      </c>
      <c r="BC205">
        <v>1.86253996743591</v>
      </c>
      <c r="BD205">
        <f t="shared" si="45"/>
        <v>2.6157064958513465</v>
      </c>
    </row>
    <row r="206" spans="21:56" x14ac:dyDescent="0.25">
      <c r="BB206">
        <v>2.1322382518191598</v>
      </c>
      <c r="BC206">
        <v>1.8803562751873</v>
      </c>
      <c r="BD206">
        <f t="shared" si="45"/>
        <v>2.6407272915025417</v>
      </c>
    </row>
    <row r="207" spans="21:56" x14ac:dyDescent="0.25">
      <c r="BB207">
        <v>2.0699270444192699</v>
      </c>
      <c r="BC207">
        <v>1.8983430065684901</v>
      </c>
      <c r="BD207">
        <f t="shared" si="45"/>
        <v>2.66598742601535</v>
      </c>
    </row>
    <row r="208" spans="21:56" x14ac:dyDescent="0.25">
      <c r="BB208">
        <v>2.02272444612389</v>
      </c>
      <c r="BC208">
        <v>1.92564621827696</v>
      </c>
      <c r="BD208">
        <f t="shared" si="45"/>
        <v>2.704331402237115</v>
      </c>
    </row>
    <row r="209" spans="54:56" x14ac:dyDescent="0.25">
      <c r="BB209">
        <v>1.9700952313422799</v>
      </c>
      <c r="BC209">
        <v>1.92564621827696</v>
      </c>
      <c r="BD209">
        <f t="shared" si="45"/>
        <v>2.704331402237115</v>
      </c>
    </row>
    <row r="210" spans="54:56" x14ac:dyDescent="0.25">
      <c r="BB210">
        <v>1.90623017692843</v>
      </c>
      <c r="BC210">
        <v>1.94406617502686</v>
      </c>
      <c r="BD210">
        <f t="shared" si="45"/>
        <v>2.7301999480758079</v>
      </c>
    </row>
    <row r="211" spans="54:56" x14ac:dyDescent="0.25">
      <c r="BB211">
        <v>1.86890924699822</v>
      </c>
      <c r="BC211">
        <v>1.9720270072728701</v>
      </c>
      <c r="BD211">
        <f t="shared" si="45"/>
        <v>2.7694674708210965</v>
      </c>
    </row>
    <row r="212" spans="54:56" x14ac:dyDescent="0.25">
      <c r="BB212">
        <v>1.8083243631534001</v>
      </c>
      <c r="BC212">
        <v>1.9720270072728701</v>
      </c>
      <c r="BD212">
        <f t="shared" si="45"/>
        <v>2.7694674708210965</v>
      </c>
    </row>
    <row r="213" spans="54:56" x14ac:dyDescent="0.25">
      <c r="BB213">
        <v>1.7670873501235</v>
      </c>
      <c r="BC213">
        <v>1.9720270072728701</v>
      </c>
      <c r="BD213">
        <f t="shared" si="45"/>
        <v>2.7694674708210965</v>
      </c>
    </row>
    <row r="214" spans="54:56" x14ac:dyDescent="0.25">
      <c r="BB214">
        <v>1.72110955029727</v>
      </c>
      <c r="BC214">
        <v>2.0003899905104001</v>
      </c>
      <c r="BD214">
        <f t="shared" si="45"/>
        <v>2.8092997647816196</v>
      </c>
    </row>
    <row r="215" spans="54:56" x14ac:dyDescent="0.25">
      <c r="BB215">
        <v>1.6653159250281799</v>
      </c>
      <c r="BC215">
        <v>2.01952491610494</v>
      </c>
      <c r="BD215">
        <f t="shared" si="45"/>
        <v>2.8361723957320168</v>
      </c>
    </row>
    <row r="216" spans="54:56" x14ac:dyDescent="0.25">
      <c r="BB216">
        <v>1.61133097522668</v>
      </c>
      <c r="BC216">
        <v>2.0388428786968902</v>
      </c>
      <c r="BD216">
        <f t="shared" si="45"/>
        <v>2.8633020794552286</v>
      </c>
    </row>
    <row r="217" spans="54:56" x14ac:dyDescent="0.25">
      <c r="BB217">
        <v>1.61133097522668</v>
      </c>
      <c r="BC217">
        <v>2.0388428786968902</v>
      </c>
      <c r="BD217">
        <f t="shared" si="45"/>
        <v>2.8633020794552286</v>
      </c>
    </row>
    <row r="218" spans="54:56" x14ac:dyDescent="0.25">
      <c r="BB218">
        <v>1.56940579646989</v>
      </c>
      <c r="BC218">
        <v>2.0780349350540299</v>
      </c>
      <c r="BD218">
        <f t="shared" si="45"/>
        <v>2.9183424641940703</v>
      </c>
    </row>
    <row r="219" spans="54:56" x14ac:dyDescent="0.25">
      <c r="BB219">
        <v>1.5285714678493101</v>
      </c>
      <c r="BC219">
        <v>2.0780349350540299</v>
      </c>
      <c r="BD219">
        <f t="shared" si="45"/>
        <v>2.9183424641940703</v>
      </c>
    </row>
    <row r="220" spans="54:56" x14ac:dyDescent="0.25">
      <c r="BB220">
        <v>1.49864448980888</v>
      </c>
      <c r="BC220">
        <v>2.0879501033029002</v>
      </c>
      <c r="BD220">
        <f t="shared" si="45"/>
        <v>2.9322670888729885</v>
      </c>
    </row>
    <row r="221" spans="54:56" x14ac:dyDescent="0.25">
      <c r="BB221">
        <v>1.4693034340059701</v>
      </c>
      <c r="BC221">
        <v>2.11798036838668</v>
      </c>
      <c r="BD221">
        <f t="shared" si="45"/>
        <v>2.974440873503188</v>
      </c>
    </row>
    <row r="222" spans="54:56" x14ac:dyDescent="0.25">
      <c r="BB222">
        <v>1.4452918508133401</v>
      </c>
      <c r="BC222">
        <v>2.1280861328982001</v>
      </c>
      <c r="BD222">
        <f t="shared" si="45"/>
        <v>2.9886331670058706</v>
      </c>
    </row>
    <row r="223" spans="54:56" x14ac:dyDescent="0.25">
      <c r="BB223">
        <v>1.4123334280334401</v>
      </c>
      <c r="BC223">
        <v>2.1689936851793798</v>
      </c>
      <c r="BD223">
        <f t="shared" si="45"/>
        <v>3.0460827531098218</v>
      </c>
    </row>
    <row r="224" spans="54:56" x14ac:dyDescent="0.25">
      <c r="BB224">
        <v>1.3801265888396099</v>
      </c>
      <c r="BC224">
        <v>2.1689936851793798</v>
      </c>
      <c r="BD224">
        <f t="shared" si="45"/>
        <v>3.0460827531098218</v>
      </c>
    </row>
    <row r="225" spans="54:56" x14ac:dyDescent="0.25">
      <c r="BB225">
        <v>1.3575723473961501</v>
      </c>
      <c r="BC225">
        <v>2.1689936851793798</v>
      </c>
      <c r="BD225">
        <f t="shared" si="45"/>
        <v>3.0460827531098218</v>
      </c>
    </row>
    <row r="226" spans="54:56" x14ac:dyDescent="0.25">
      <c r="BB226">
        <v>1.33979462591664</v>
      </c>
      <c r="BC226">
        <v>2.1689936851793798</v>
      </c>
      <c r="BD226">
        <f t="shared" si="45"/>
        <v>3.0460827531098218</v>
      </c>
    </row>
    <row r="227" spans="54:56" x14ac:dyDescent="0.25">
      <c r="BB227">
        <v>1.31789949562792</v>
      </c>
      <c r="BC227">
        <v>2.2106875908922898</v>
      </c>
      <c r="BD227">
        <f t="shared" si="45"/>
        <v>3.1046366751289072</v>
      </c>
    </row>
    <row r="228" spans="54:56" x14ac:dyDescent="0.25">
      <c r="BB228">
        <v>1.2878461270063</v>
      </c>
      <c r="BC228">
        <v>2.22123570008893</v>
      </c>
      <c r="BD228">
        <f t="shared" si="45"/>
        <v>3.1194501869069038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728635A16157409451A38D57F9589E" ma:contentTypeVersion="13" ma:contentTypeDescription="Create a new document." ma:contentTypeScope="" ma:versionID="2d68044c8906c39d95e7c24967af3f9e">
  <xsd:schema xmlns:xsd="http://www.w3.org/2001/XMLSchema" xmlns:xs="http://www.w3.org/2001/XMLSchema" xmlns:p="http://schemas.microsoft.com/office/2006/metadata/properties" xmlns:ns3="1d120d0a-f3b7-4458-acbd-6ab3e1903215" xmlns:ns4="22c2e8d5-eae9-4633-b01f-9010f7f99efa" targetNamespace="http://schemas.microsoft.com/office/2006/metadata/properties" ma:root="true" ma:fieldsID="2903401e6ba794c12f598f83f43c0603" ns3:_="" ns4:_="">
    <xsd:import namespace="1d120d0a-f3b7-4458-acbd-6ab3e1903215"/>
    <xsd:import namespace="22c2e8d5-eae9-4633-b01f-9010f7f99ef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20d0a-f3b7-4458-acbd-6ab3e19032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2e8d5-eae9-4633-b01f-9010f7f99e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8C0FBC-705E-4AE9-AD75-32C5D1EA1A8E}">
  <ds:schemaRefs>
    <ds:schemaRef ds:uri="http://purl.org/dc/terms/"/>
    <ds:schemaRef ds:uri="1d120d0a-f3b7-4458-acbd-6ab3e1903215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2c2e8d5-eae9-4633-b01f-9010f7f99ef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8E9F8B7-8DB7-4AB0-A557-005E055EAB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959B26-09B3-4ACA-B80B-DF05B189A2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120d0a-f3b7-4458-acbd-6ab3e1903215"/>
    <ds:schemaRef ds:uri="22c2e8d5-eae9-4633-b01f-9010f7f99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Correlation Tables</vt:lpstr>
      <vt:lpstr>RvsT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E5440</cp:lastModifiedBy>
  <dcterms:created xsi:type="dcterms:W3CDTF">2019-12-29T19:26:55Z</dcterms:created>
  <dcterms:modified xsi:type="dcterms:W3CDTF">2021-04-20T02:43:46Z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0x010100AF728635A16157409451A38D57F9589E</vt:lpwstr>
  </property>
</Properties>
</file>