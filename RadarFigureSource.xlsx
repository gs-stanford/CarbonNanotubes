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boies_stanford_edu/Documents/1 - Stanford/Papers/00 - Boies et al/2026/0-CNT Science Review Stan/3 - Figures/0 - PubFigs/Fig. 2 Cont Mat Props/CNT Material Properties/"/>
    </mc:Choice>
  </mc:AlternateContent>
  <xr:revisionPtr revIDLastSave="636" documentId="11_49C8842577AB09A757017903C77AF67F489B765B" xr6:coauthVersionLast="47" xr6:coauthVersionMax="47" xr10:uidLastSave="{A8625949-AD44-472A-B61A-4747A30C3BF1}"/>
  <bookViews>
    <workbookView xWindow="-28920" yWindow="6150" windowWidth="29040" windowHeight="15720" xr2:uid="{00000000-000D-0000-FFFF-FFFF00000000}"/>
  </bookViews>
  <sheets>
    <sheet name="Radar" sheetId="3" r:id="rId1"/>
    <sheet name="Fibers With Error" sheetId="1" r:id="rId2"/>
    <sheet name="FibersStrengthY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A6odgRc3M+4TUDJbiF26nLvQONs4mDMbpR7re5wdJc="/>
    </ext>
  </extLst>
</workbook>
</file>

<file path=xl/calcChain.xml><?xml version="1.0" encoding="utf-8"?>
<calcChain xmlns="http://schemas.openxmlformats.org/spreadsheetml/2006/main">
  <c r="K46" i="3" l="1"/>
  <c r="C41" i="3"/>
  <c r="D41" i="3" s="1"/>
  <c r="F72" i="3"/>
  <c r="G73" i="3"/>
  <c r="K40" i="3"/>
  <c r="K39" i="3"/>
  <c r="G39" i="3"/>
  <c r="F65" i="3"/>
  <c r="G40" i="3"/>
  <c r="G83" i="3" s="1"/>
  <c r="H65" i="3"/>
  <c r="E65" i="3"/>
  <c r="D65" i="3"/>
  <c r="M26" i="2"/>
  <c r="C26" i="2"/>
  <c r="I26" i="2"/>
  <c r="I25" i="2"/>
  <c r="I24" i="2"/>
  <c r="G38" i="3"/>
  <c r="E83" i="3"/>
  <c r="F83" i="3"/>
  <c r="I83" i="3"/>
  <c r="J83" i="3"/>
  <c r="C83" i="3"/>
  <c r="I82" i="3"/>
  <c r="J82" i="3"/>
  <c r="C82" i="3"/>
  <c r="I77" i="3"/>
  <c r="I78" i="3"/>
  <c r="J78" i="3"/>
  <c r="I79" i="3"/>
  <c r="G79" i="3"/>
  <c r="C79" i="3"/>
  <c r="F64" i="3"/>
  <c r="D64" i="3"/>
  <c r="I74" i="3"/>
  <c r="G74" i="3"/>
  <c r="C74" i="3"/>
  <c r="J73" i="3"/>
  <c r="I73" i="3"/>
  <c r="E73" i="3"/>
  <c r="G5" i="3"/>
  <c r="E68" i="3"/>
  <c r="H38" i="3"/>
  <c r="C38" i="3"/>
  <c r="H3" i="3"/>
  <c r="H4" i="3"/>
  <c r="H5" i="3"/>
  <c r="H6" i="3"/>
  <c r="H83" i="3" s="1"/>
  <c r="H7" i="3"/>
  <c r="H8" i="3"/>
  <c r="H10" i="3"/>
  <c r="H11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35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70" i="3"/>
  <c r="H82" i="3" s="1"/>
  <c r="H2" i="3"/>
  <c r="I72" i="3"/>
  <c r="F70" i="3"/>
  <c r="E70" i="3"/>
  <c r="E78" i="3" s="1"/>
  <c r="D70" i="3"/>
  <c r="D82" i="3" s="1"/>
  <c r="J69" i="3"/>
  <c r="H69" i="3" s="1"/>
  <c r="J68" i="3"/>
  <c r="H68" i="3" s="1"/>
  <c r="J67" i="3"/>
  <c r="H67" i="3" s="1"/>
  <c r="F69" i="3"/>
  <c r="E69" i="3"/>
  <c r="D69" i="3"/>
  <c r="F68" i="3"/>
  <c r="E67" i="3"/>
  <c r="F67" i="3"/>
  <c r="D68" i="3"/>
  <c r="D67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K37" i="3"/>
  <c r="D37" i="3"/>
  <c r="K36" i="3"/>
  <c r="D36" i="3"/>
  <c r="K35" i="3"/>
  <c r="D35" i="3"/>
  <c r="K27" i="3"/>
  <c r="D27" i="3"/>
  <c r="K26" i="3"/>
  <c r="D26" i="3"/>
  <c r="K25" i="3"/>
  <c r="D25" i="3"/>
  <c r="K24" i="3"/>
  <c r="D24" i="3"/>
  <c r="K23" i="3"/>
  <c r="D23" i="3"/>
  <c r="K22" i="3"/>
  <c r="D22" i="3"/>
  <c r="K21" i="3"/>
  <c r="D21" i="3"/>
  <c r="K20" i="3"/>
  <c r="D20" i="3"/>
  <c r="K19" i="3"/>
  <c r="D19" i="3"/>
  <c r="K18" i="3"/>
  <c r="D18" i="3"/>
  <c r="K17" i="3"/>
  <c r="D17" i="3"/>
  <c r="K16" i="3"/>
  <c r="D16" i="3"/>
  <c r="K15" i="3"/>
  <c r="D15" i="3"/>
  <c r="K14" i="3"/>
  <c r="D14" i="3"/>
  <c r="K13" i="3"/>
  <c r="D13" i="3"/>
  <c r="K12" i="3"/>
  <c r="K11" i="3"/>
  <c r="F11" i="3"/>
  <c r="F73" i="3" s="1"/>
  <c r="D11" i="3"/>
  <c r="K10" i="3"/>
  <c r="D10" i="3"/>
  <c r="K9" i="3"/>
  <c r="D9" i="3"/>
  <c r="K8" i="3"/>
  <c r="D8" i="3"/>
  <c r="K7" i="3"/>
  <c r="D7" i="3"/>
  <c r="K6" i="3"/>
  <c r="D6" i="3"/>
  <c r="D83" i="3" s="1"/>
  <c r="K5" i="3"/>
  <c r="D5" i="3"/>
  <c r="K4" i="3"/>
  <c r="D4" i="3"/>
  <c r="K3" i="3"/>
  <c r="D3" i="3"/>
  <c r="K2" i="3"/>
  <c r="D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7" i="1"/>
  <c r="R38" i="1"/>
  <c r="R39" i="1"/>
  <c r="R2" i="1"/>
  <c r="H11" i="1"/>
  <c r="F40" i="1"/>
  <c r="E40" i="1"/>
  <c r="P97" i="1"/>
  <c r="N97" i="1"/>
  <c r="H97" i="1"/>
  <c r="F97" i="1"/>
  <c r="E97" i="1"/>
  <c r="E96" i="1"/>
  <c r="P95" i="1"/>
  <c r="N95" i="1"/>
  <c r="H95" i="1"/>
  <c r="F95" i="1"/>
  <c r="E95" i="1"/>
  <c r="E94" i="1"/>
  <c r="P93" i="1"/>
  <c r="N93" i="1"/>
  <c r="H93" i="1"/>
  <c r="F93" i="1"/>
  <c r="E93" i="1"/>
  <c r="E92" i="1"/>
  <c r="P91" i="1"/>
  <c r="N91" i="1"/>
  <c r="H91" i="1"/>
  <c r="F91" i="1"/>
  <c r="E91" i="1"/>
  <c r="E90" i="1"/>
  <c r="P89" i="1"/>
  <c r="N89" i="1"/>
  <c r="H89" i="1"/>
  <c r="F89" i="1"/>
  <c r="E88" i="1"/>
  <c r="E89" i="1" s="1"/>
  <c r="P87" i="1"/>
  <c r="N87" i="1"/>
  <c r="H87" i="1"/>
  <c r="F87" i="1"/>
  <c r="E86" i="1"/>
  <c r="E87" i="1" s="1"/>
  <c r="P79" i="1"/>
  <c r="N79" i="1"/>
  <c r="H79" i="1"/>
  <c r="F79" i="1"/>
  <c r="E78" i="1"/>
  <c r="E79" i="1" s="1"/>
  <c r="P77" i="1"/>
  <c r="N77" i="1"/>
  <c r="H77" i="1"/>
  <c r="F77" i="1"/>
  <c r="E76" i="1"/>
  <c r="E77" i="1" s="1"/>
  <c r="N75" i="1"/>
  <c r="H75" i="1"/>
  <c r="F75" i="1"/>
  <c r="E75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8" i="1"/>
  <c r="E37" i="1"/>
  <c r="E29" i="1"/>
  <c r="E28" i="1"/>
  <c r="E27" i="1"/>
  <c r="E26" i="1"/>
  <c r="E24" i="1"/>
  <c r="E23" i="1"/>
  <c r="E22" i="1"/>
  <c r="E21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  <c r="C72" i="3" l="1"/>
  <c r="G82" i="3"/>
  <c r="F78" i="3"/>
  <c r="D73" i="3"/>
  <c r="G77" i="3"/>
  <c r="G78" i="3"/>
  <c r="F74" i="3"/>
  <c r="D79" i="3"/>
  <c r="F82" i="3"/>
  <c r="H77" i="3"/>
  <c r="E82" i="3"/>
  <c r="C77" i="3"/>
  <c r="E79" i="3"/>
  <c r="H78" i="3"/>
  <c r="D77" i="3"/>
  <c r="D78" i="3"/>
  <c r="E74" i="3"/>
  <c r="F77" i="3"/>
  <c r="H79" i="3"/>
  <c r="D74" i="3"/>
  <c r="C78" i="3"/>
  <c r="F79" i="3"/>
  <c r="J77" i="3"/>
  <c r="J79" i="3"/>
  <c r="E77" i="3"/>
  <c r="H72" i="3"/>
  <c r="H74" i="3"/>
  <c r="C73" i="3"/>
  <c r="D72" i="3"/>
  <c r="H73" i="3"/>
  <c r="G72" i="3"/>
  <c r="J72" i="3"/>
  <c r="J74" i="3"/>
  <c r="E7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tc={BA7EACBC-AEBE-408B-9C2E-B3E5ABB0F4F5}</author>
  </authors>
  <commentList>
    <comment ref="H38" authorId="0" shapeId="0" xr:uid="{BA7EACBC-AEBE-408B-9C2E-B3E5ABB0F4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for the matt as fiber was not reported, normalized by matt density. It is a worse case.</t>
      </text>
    </comment>
  </commentList>
</comments>
</file>

<file path=xl/sharedStrings.xml><?xml version="1.0" encoding="utf-8"?>
<sst xmlns="http://schemas.openxmlformats.org/spreadsheetml/2006/main" count="527" uniqueCount="186">
  <si>
    <t>Name</t>
  </si>
  <si>
    <t>Comments</t>
  </si>
  <si>
    <t>Density [g cm−3]</t>
  </si>
  <si>
    <t>1/Density [cm3g-1]</t>
  </si>
  <si>
    <t>Tenacity [N tex−1]</t>
  </si>
  <si>
    <t>Initial Modulus [N tex−1]</t>
  </si>
  <si>
    <t>Elongation [%]</t>
  </si>
  <si>
    <t>Work of Rupture [J g−1]</t>
  </si>
  <si>
    <t>Electrical Conductivity [MS m−1]</t>
  </si>
  <si>
    <t>Thermal Conductivity [W m−1 K−1]</t>
  </si>
  <si>
    <t>F-CNTFs</t>
  </si>
  <si>
    <t>High-strength CNTs</t>
  </si>
  <si>
    <t>-</t>
  </si>
  <si>
    <t>CSA-CNTFs</t>
  </si>
  <si>
    <t>PBO-CNTFs</t>
  </si>
  <si>
    <t>D-PBO-CNTFs</t>
  </si>
  <si>
    <t>5.8±0.1</t>
  </si>
  <si>
    <t>122.4±5.9</t>
  </si>
  <si>
    <t>5.0±0.6</t>
  </si>
  <si>
    <t>This Work-Fully DD</t>
  </si>
  <si>
    <t>Fully Double-Drawn CNTF</t>
  </si>
  <si>
    <t>1.40±0.01</t>
  </si>
  <si>
    <t>3.22±0.07</t>
  </si>
  <si>
    <t>138±6</t>
  </si>
  <si>
    <t>3.9±0.2</t>
  </si>
  <si>
    <t>75±5</t>
  </si>
  <si>
    <t>This Work-Raw</t>
  </si>
  <si>
    <t>Raw Direct-spun CNTF</t>
  </si>
  <si>
    <t>SS-2017(58)</t>
  </si>
  <si>
    <t>Solution-spun CNTF</t>
  </si>
  <si>
    <t>SS-2004(59)</t>
  </si>
  <si>
    <t>SS-2013(20, 58)</t>
  </si>
  <si>
    <t>Solution-spun CNTF with CCNI DWCNT</t>
  </si>
  <si>
    <t>SS-2021(36)</t>
  </si>
  <si>
    <t>H-SS-2022(39)</t>
  </si>
  <si>
    <t>Heat Solution-Spun CNTF</t>
  </si>
  <si>
    <t>S·DW:1400℃</t>
  </si>
  <si>
    <t>S·DW:1700℃</t>
  </si>
  <si>
    <t>S·DW:2000℃</t>
  </si>
  <si>
    <t>S·DW:2400℃</t>
  </si>
  <si>
    <t>S·DW:2700℃</t>
  </si>
  <si>
    <t>SW:2700℃</t>
  </si>
  <si>
    <t>DW:2700℃</t>
  </si>
  <si>
    <t>1.24±0.11</t>
  </si>
  <si>
    <t>535±54</t>
  </si>
  <si>
    <t>0.33±0.01</t>
  </si>
  <si>
    <t>0.33±0.20</t>
  </si>
  <si>
    <t>496±5.82</t>
  </si>
  <si>
    <t>H-SS-2022-RAW(39)</t>
  </si>
  <si>
    <t>Raw Solution-Spun CNTF</t>
  </si>
  <si>
    <t>S·DWNT-Raw</t>
  </si>
  <si>
    <t>SWNT-Raw</t>
  </si>
  <si>
    <t>DWNT-Raw</t>
  </si>
  <si>
    <t>D-SS-2022(60)</t>
  </si>
  <si>
    <t>Densified Solution-Spun CNTF</t>
  </si>
  <si>
    <t>GO-SS-2022(40)</t>
  </si>
  <si>
    <t>GO interface hybrid Solution-Spun CNTF</t>
  </si>
  <si>
    <t>GO: 0%</t>
  </si>
  <si>
    <t>GO: 5%</t>
  </si>
  <si>
    <t>GO: 10%</t>
  </si>
  <si>
    <t>GO: 20%</t>
  </si>
  <si>
    <t>DS-IMDEA-2021(61)</t>
  </si>
  <si>
    <t>Direct-spun CNTF with optimized synthesis</t>
  </si>
  <si>
    <t>DS-IMDEA-DW(13)</t>
  </si>
  <si>
    <t>Direct-spun CNTF of collapsed DWCNT</t>
  </si>
  <si>
    <t>DS-IMDEA-MW(13)</t>
  </si>
  <si>
    <t>Direct-spun CNTF of few-layer MWCNT</t>
  </si>
  <si>
    <t>DS-PUST-CSA(62)</t>
  </si>
  <si>
    <t>CSA 13% stretched Direct-spun CNTF</t>
  </si>
  <si>
    <t>DS-PUST-Raw(62)</t>
  </si>
  <si>
    <t>DS-CAM-Den(14)</t>
  </si>
  <si>
    <t>Acetone Direct-spun CNTF</t>
  </si>
  <si>
    <t>DS-CAM-DogBone(50)</t>
  </si>
  <si>
    <t>Dog Bone Direct-spun CNTF</t>
  </si>
  <si>
    <t>VA-UT2004(19)</t>
  </si>
  <si>
    <t>Twisted VA-CNTF</t>
  </si>
  <si>
    <t>VA-UT2007(63)</t>
  </si>
  <si>
    <t>VA-MIT(37)</t>
  </si>
  <si>
    <t>Densified VA-CNTF</t>
  </si>
  <si>
    <t>Toray T300(1)</t>
  </si>
  <si>
    <t>PAN-based CF</t>
  </si>
  <si>
    <t>Toray T700SC</t>
  </si>
  <si>
    <t>Toray T800SC</t>
  </si>
  <si>
    <t>Toray T1000GB</t>
  </si>
  <si>
    <t>Toray T1100GC(1)</t>
  </si>
  <si>
    <t>Toray M35JB(1)</t>
  </si>
  <si>
    <t>Toray M40JB</t>
  </si>
  <si>
    <t>Toray M60JB(1)</t>
  </si>
  <si>
    <t>Toray 1200</t>
  </si>
  <si>
    <t>HexTow AS4(1, 64)</t>
  </si>
  <si>
    <t>HexTow IM7</t>
  </si>
  <si>
    <t>HexTow IM10</t>
  </si>
  <si>
    <t>HexTow HM63</t>
  </si>
  <si>
    <t>GRANOC YSH50A</t>
  </si>
  <si>
    <t>Pitch-based CF</t>
  </si>
  <si>
    <t>GRANOC YSH70A</t>
  </si>
  <si>
    <t>GRANOC YS80A</t>
  </si>
  <si>
    <t>GRANOC YS90A</t>
  </si>
  <si>
    <t>GRANOC YS95A</t>
  </si>
  <si>
    <t>DIALEAD K1352U</t>
  </si>
  <si>
    <t>DIALEAD K1392U</t>
  </si>
  <si>
    <t>DIALEAD K13C6U</t>
  </si>
  <si>
    <t>DIALEAD K13D2U</t>
  </si>
  <si>
    <t>Max 1/Density</t>
  </si>
  <si>
    <t>Max Strength (Tenacity) N/Tex</t>
  </si>
  <si>
    <t>Max Stiffness (Initial Modulues) N/Tex</t>
  </si>
  <si>
    <t>Max Toughness (Work of Rupture) J/g</t>
  </si>
  <si>
    <t>Max Elcond (MS/m)</t>
  </si>
  <si>
    <t>Max Tcond (W/m/K)</t>
  </si>
  <si>
    <t>Specific CNTf/CF Scores</t>
  </si>
  <si>
    <t>Data</t>
  </si>
  <si>
    <t>Score</t>
  </si>
  <si>
    <t>DD-CNTFs</t>
  </si>
  <si>
    <t>Label</t>
  </si>
  <si>
    <t>Xiao (DD-CNT)</t>
  </si>
  <si>
    <t>DD-CNTFs data</t>
  </si>
  <si>
    <t>Dynamic Strength paper</t>
  </si>
  <si>
    <t>D-PBO-CNTFs data</t>
  </si>
  <si>
    <t>Pasquali paper</t>
  </si>
  <si>
    <t>S-DWNT (1700C)</t>
  </si>
  <si>
    <t>Pristine S-DWNT</t>
  </si>
  <si>
    <t xml:space="preserve">  </t>
  </si>
  <si>
    <t xml:space="preserve">Pasqualli </t>
  </si>
  <si>
    <t>Best all around</t>
  </si>
  <si>
    <t>https://doi.org/10.1016/j.carbon.2020.07.058</t>
  </si>
  <si>
    <t>Tensile (Gpa)</t>
  </si>
  <si>
    <t>±</t>
  </si>
  <si>
    <t>Density [g cm−3] ±</t>
  </si>
  <si>
    <t>Copper</t>
  </si>
  <si>
    <t>https://www.matweb.com/search/datasheet.aspx?matguid=1980eb23287a4408adc404dd39293942&amp;ckck=1</t>
  </si>
  <si>
    <t>Aluminum 1199-H18</t>
  </si>
  <si>
    <t>https://www.matweb.com/search/DataSheet.aspx?MatGUID=7a321b89269943629bb6d7a0a4a357b2</t>
  </si>
  <si>
    <t>AERMet Steel</t>
  </si>
  <si>
    <t>Carpenter AerMet® 340 Datasheet</t>
  </si>
  <si>
    <t>Specific Volume [cm3g-1]</t>
  </si>
  <si>
    <t>ASTM A36 Steel</t>
  </si>
  <si>
    <t>Tensile [GPa]</t>
  </si>
  <si>
    <t>https://www.matweb.com/search/DataSheet.aspx?MatGUID=d1844977c5c8440cb9a3a967f8909c3a</t>
  </si>
  <si>
    <t>https://www.ngfworld.com/dcms_media/other/YSAfiber2014.pdf</t>
  </si>
  <si>
    <t>Elliott and Windle</t>
  </si>
  <si>
    <t>Best CNT Thermal Conductivity Fibre B</t>
  </si>
  <si>
    <t>https://www.sciencedirect.com/science/article/pii/S0008622316310752#appsec1</t>
  </si>
  <si>
    <t>Max Overall</t>
  </si>
  <si>
    <t>Max CNT</t>
  </si>
  <si>
    <t>Max Non-CNT</t>
  </si>
  <si>
    <t xml:space="preserve">Epsilon </t>
  </si>
  <si>
    <t>High-modulus Coal Tar Pitch</t>
  </si>
  <si>
    <t>Normalized by ASTM A36 Steel</t>
  </si>
  <si>
    <t>https://www.epsilon-composite.com/en/carbon-fiber-grades</t>
  </si>
  <si>
    <t>https://www.science.org/doi/full/10.1126/sciadv.abn0939</t>
  </si>
  <si>
    <t>Direct Spinning and Densification</t>
  </si>
  <si>
    <t>Year</t>
  </si>
  <si>
    <t>CNTF_SPSTR</t>
  </si>
  <si>
    <t>CNTSH_SPSTR</t>
  </si>
  <si>
    <t>GF_SPSTR</t>
  </si>
  <si>
    <t>GSH_SPSTR</t>
  </si>
  <si>
    <t>Ref</t>
  </si>
  <si>
    <t>Notes</t>
  </si>
  <si>
    <t xml:space="preserve">https://doi.org/10.1016/j.matlet.2024.136601 </t>
  </si>
  <si>
    <t>GO fibre, assumed density of 1g/cc</t>
  </si>
  <si>
    <t>https://doi.org/10.1016/j.carbon.2024.118947</t>
  </si>
  <si>
    <t>to be published in Nat Mater</t>
  </si>
  <si>
    <t>Strength, GPa</t>
  </si>
  <si>
    <t>Specific Strength, Gpa/SG</t>
  </si>
  <si>
    <t>Density, g/cc</t>
  </si>
  <si>
    <t>Graphene Fibers</t>
  </si>
  <si>
    <t>https://www.nature.com/articles/s41563-025-02384-7</t>
  </si>
  <si>
    <t>Solution Spun</t>
  </si>
  <si>
    <t>G:D Ratio</t>
  </si>
  <si>
    <t>Cho, Lee, Kim</t>
  </si>
  <si>
    <t>Direct Spinning and Stretching</t>
  </si>
  <si>
    <r>
      <t xml:space="preserve">Cho, Y. S. </t>
    </r>
    <r>
      <rPr>
        <i/>
        <sz val="12"/>
        <color theme="1"/>
        <rFont val="Aptos Narrow"/>
        <scheme val="minor"/>
      </rPr>
      <t>et al.</t>
    </r>
    <r>
      <rPr>
        <sz val="12"/>
        <color theme="1"/>
        <rFont val="Aptos Narrow"/>
        <scheme val="minor"/>
      </rPr>
      <t xml:space="preserve"> Superstrong Carbon Nanotube Yarns by Developing Multiscale Bundle Structures on the Direct Spin-Line without Post-Treatment. </t>
    </r>
    <r>
      <rPr>
        <i/>
        <sz val="12"/>
        <color theme="1"/>
        <rFont val="Aptos Narrow"/>
        <scheme val="minor"/>
      </rPr>
      <t>Adv. Sci.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10</t>
    </r>
    <r>
      <rPr>
        <sz val="12"/>
        <color theme="1"/>
        <rFont val="Aptos Narrow"/>
        <scheme val="minor"/>
      </rPr>
      <t>, 2204250 (2023).</t>
    </r>
  </si>
  <si>
    <t>https://onlinelibrary.wiley.com/doi/full/10.1002/advs.202204250</t>
  </si>
  <si>
    <t>Lee and Kim</t>
  </si>
  <si>
    <r>
      <t>Lee, J., Lee, DM., Jung, Y. </t>
    </r>
    <r>
      <rPr>
        <i/>
        <sz val="6"/>
        <color rgb="FF222222"/>
        <rFont val="Segoe UI"/>
        <family val="2"/>
      </rPr>
      <t>et al.</t>
    </r>
    <r>
      <rPr>
        <sz val="6"/>
        <color rgb="FF222222"/>
        <rFont val="Segoe UI"/>
        <family val="2"/>
      </rPr>
      <t> Direct spinning and densification method for high-performance carbon nanotube fibers. </t>
    </r>
    <r>
      <rPr>
        <i/>
        <sz val="6"/>
        <color rgb="FF222222"/>
        <rFont val="Segoe UI"/>
        <family val="2"/>
      </rPr>
      <t>Nat Commun</t>
    </r>
    <r>
      <rPr>
        <sz val="6"/>
        <color rgb="FF222222"/>
        <rFont val="Segoe UI"/>
        <family val="2"/>
      </rPr>
      <t> </t>
    </r>
    <r>
      <rPr>
        <b/>
        <sz val="6"/>
        <color rgb="FF222222"/>
        <rFont val="Segoe UI"/>
        <family val="2"/>
      </rPr>
      <t>10</t>
    </r>
    <r>
      <rPr>
        <sz val="6"/>
        <color rgb="FF222222"/>
        <rFont val="Segoe UI"/>
        <family val="2"/>
      </rPr>
      <t>, 2962 (2019). https://doi.org/10.1038/s41467-019-10998-0</t>
    </r>
  </si>
  <si>
    <t>Vilatela</t>
  </si>
  <si>
    <t>Liquid Spun and Doped</t>
  </si>
  <si>
    <t>https://www.science.org/doi/epdf/10.1126/science.aeb0673</t>
  </si>
  <si>
    <t>Xioa-Boies Fully DD</t>
  </si>
  <si>
    <t>Xiao-Boies Work-Raw</t>
  </si>
  <si>
    <t>E Cond [MS m^2/g]</t>
  </si>
  <si>
    <t>Publication</t>
  </si>
  <si>
    <t xml:space="preserve">https://doi.org/10.1080/02786826.2023.2206442 </t>
  </si>
  <si>
    <t>https://www.science.org/doi/10.1126/sciadv.abq3515</t>
  </si>
  <si>
    <t xml:space="preserve">Initial Modulus [N tex−1 = GPa/SG = GPa/(g/cm^3)] </t>
  </si>
  <si>
    <t xml:space="preserve">Tenacity  [N tex−1 = GPa/SG = GPa/(g/cm^3)]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</si>
</sst>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Aptos Narrow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6"/>
      <color rgb="FF222222"/>
      <name val="Segoe UI"/>
      <family val="2"/>
    </font>
    <font>
      <i/>
      <sz val="6"/>
      <color rgb="FF222222"/>
      <name val="Segoe UI"/>
      <family val="2"/>
    </font>
    <font>
      <b/>
      <sz val="6"/>
      <color rgb="FF222222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DBE9F7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C1F0C8"/>
      </patternFill>
    </fill>
    <fill>
      <patternFill patternType="solid">
        <fgColor theme="8" tint="0.79998168889431442"/>
        <bgColor rgb="FFC1E4F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1F0C8"/>
      </patternFill>
    </fill>
    <fill>
      <patternFill patternType="solid">
        <fgColor theme="5" tint="0.79998168889431442"/>
        <bgColor rgb="FFC1E4F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C1F0C8"/>
      </patternFill>
    </fill>
    <fill>
      <patternFill patternType="solid">
        <fgColor theme="6" tint="0.79998168889431442"/>
        <bgColor rgb="FFC1E4F5"/>
      </patternFill>
    </fill>
    <fill>
      <patternFill patternType="solid">
        <fgColor theme="2" tint="-0.14999847407452621"/>
        <bgColor rgb="FFC1F0C8"/>
      </patternFill>
    </fill>
    <fill>
      <patternFill patternType="solid">
        <fgColor theme="2" tint="-0.14999847407452621"/>
        <bgColor rgb="FFC1E4F5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C1E4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1" fillId="0" borderId="0" xfId="0" applyFont="1"/>
    <xf numFmtId="2" fontId="2" fillId="0" borderId="0" xfId="0" applyNumberFormat="1" applyFont="1"/>
    <xf numFmtId="0" fontId="4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2" fillId="4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5" fillId="0" borderId="0" xfId="0" applyFont="1"/>
    <xf numFmtId="0" fontId="7" fillId="0" borderId="0" xfId="1"/>
    <xf numFmtId="0" fontId="1" fillId="2" borderId="7" xfId="0" applyFont="1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1" fillId="0" borderId="7" xfId="0" applyFont="1" applyBorder="1"/>
    <xf numFmtId="0" fontId="2" fillId="4" borderId="7" xfId="0" applyFont="1" applyFill="1" applyBorder="1"/>
    <xf numFmtId="0" fontId="2" fillId="0" borderId="7" xfId="0" applyFont="1" applyBorder="1"/>
    <xf numFmtId="0" fontId="8" fillId="2" borderId="7" xfId="0" applyFont="1" applyFill="1" applyBorder="1"/>
    <xf numFmtId="0" fontId="6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2" fontId="2" fillId="2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64" fontId="2" fillId="2" borderId="1" xfId="0" applyNumberFormat="1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2" fontId="2" fillId="6" borderId="1" xfId="0" applyNumberFormat="1" applyFont="1" applyFill="1" applyBorder="1"/>
    <xf numFmtId="0" fontId="2" fillId="6" borderId="7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2" fontId="2" fillId="9" borderId="0" xfId="0" applyNumberFormat="1" applyFont="1" applyFill="1"/>
    <xf numFmtId="0" fontId="9" fillId="9" borderId="0" xfId="0" applyFont="1" applyFill="1"/>
    <xf numFmtId="0" fontId="7" fillId="9" borderId="0" xfId="1" applyFill="1"/>
    <xf numFmtId="0" fontId="1" fillId="12" borderId="7" xfId="0" applyFont="1" applyFill="1" applyBorder="1"/>
    <xf numFmtId="0" fontId="0" fillId="12" borderId="0" xfId="0" applyFill="1"/>
    <xf numFmtId="2" fontId="2" fillId="12" borderId="0" xfId="0" applyNumberFormat="1" applyFont="1" applyFill="1"/>
    <xf numFmtId="0" fontId="7" fillId="8" borderId="0" xfId="1" applyFill="1"/>
    <xf numFmtId="2" fontId="0" fillId="9" borderId="0" xfId="0" applyNumberFormat="1" applyFill="1"/>
    <xf numFmtId="0" fontId="1" fillId="5" borderId="0" xfId="0" applyFont="1" applyFill="1"/>
    <xf numFmtId="0" fontId="0" fillId="5" borderId="0" xfId="0" applyFill="1"/>
    <xf numFmtId="0" fontId="1" fillId="8" borderId="0" xfId="0" applyFont="1" applyFill="1"/>
    <xf numFmtId="2" fontId="0" fillId="8" borderId="0" xfId="0" applyNumberFormat="1" applyFill="1"/>
    <xf numFmtId="2" fontId="0" fillId="5" borderId="0" xfId="0" applyNumberFormat="1" applyFill="1"/>
    <xf numFmtId="0" fontId="1" fillId="6" borderId="7" xfId="0" applyFont="1" applyFill="1" applyBorder="1"/>
    <xf numFmtId="2" fontId="2" fillId="6" borderId="7" xfId="0" applyNumberFormat="1" applyFont="1" applyFill="1" applyBorder="1"/>
    <xf numFmtId="2" fontId="2" fillId="6" borderId="3" xfId="0" applyNumberFormat="1" applyFont="1" applyFill="1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" fontId="0" fillId="0" borderId="0" xfId="0" applyNumberFormat="1"/>
    <xf numFmtId="2" fontId="4" fillId="0" borderId="0" xfId="0" applyNumberFormat="1" applyFont="1" applyAlignment="1">
      <alignment vertical="center" wrapText="1"/>
    </xf>
    <xf numFmtId="0" fontId="1" fillId="15" borderId="7" xfId="0" applyFont="1" applyFill="1" applyBorder="1"/>
    <xf numFmtId="0" fontId="2" fillId="15" borderId="7" xfId="0" applyFont="1" applyFill="1" applyBorder="1"/>
    <xf numFmtId="2" fontId="2" fillId="15" borderId="7" xfId="0" applyNumberFormat="1" applyFont="1" applyFill="1" applyBorder="1"/>
    <xf numFmtId="2" fontId="2" fillId="15" borderId="3" xfId="0" applyNumberFormat="1" applyFont="1" applyFill="1" applyBorder="1"/>
    <xf numFmtId="0" fontId="0" fillId="17" borderId="0" xfId="0" applyFill="1"/>
    <xf numFmtId="2" fontId="0" fillId="12" borderId="0" xfId="0" applyNumberFormat="1" applyFill="1"/>
    <xf numFmtId="2" fontId="8" fillId="2" borderId="8" xfId="0" applyNumberFormat="1" applyFont="1" applyFill="1" applyBorder="1" applyAlignment="1">
      <alignment horizontal="center"/>
    </xf>
    <xf numFmtId="2" fontId="8" fillId="2" borderId="7" xfId="0" applyNumberFormat="1" applyFont="1" applyFill="1" applyBorder="1"/>
    <xf numFmtId="2" fontId="6" fillId="2" borderId="1" xfId="0" applyNumberFormat="1" applyFont="1" applyFill="1" applyBorder="1"/>
    <xf numFmtId="2" fontId="1" fillId="2" borderId="7" xfId="0" applyNumberFormat="1" applyFont="1" applyFill="1" applyBorder="1"/>
    <xf numFmtId="2" fontId="2" fillId="2" borderId="7" xfId="0" applyNumberFormat="1" applyFont="1" applyFill="1" applyBorder="1"/>
    <xf numFmtId="2" fontId="6" fillId="7" borderId="1" xfId="0" applyNumberFormat="1" applyFont="1" applyFill="1" applyBorder="1"/>
    <xf numFmtId="2" fontId="6" fillId="16" borderId="1" xfId="0" applyNumberFormat="1" applyFont="1" applyFill="1" applyBorder="1"/>
    <xf numFmtId="2" fontId="2" fillId="10" borderId="3" xfId="0" applyNumberFormat="1" applyFont="1" applyFill="1" applyBorder="1"/>
    <xf numFmtId="2" fontId="6" fillId="11" borderId="1" xfId="0" applyNumberFormat="1" applyFont="1" applyFill="1" applyBorder="1"/>
    <xf numFmtId="2" fontId="2" fillId="13" borderId="3" xfId="0" applyNumberFormat="1" applyFont="1" applyFill="1" applyBorder="1"/>
    <xf numFmtId="2" fontId="0" fillId="12" borderId="7" xfId="0" applyNumberFormat="1" applyFill="1" applyBorder="1"/>
    <xf numFmtId="2" fontId="6" fillId="14" borderId="1" xfId="0" applyNumberFormat="1" applyFont="1" applyFill="1" applyBorder="1"/>
    <xf numFmtId="1" fontId="1" fillId="2" borderId="1" xfId="0" applyNumberFormat="1" applyFont="1" applyFill="1" applyBorder="1"/>
    <xf numFmtId="1" fontId="2" fillId="2" borderId="1" xfId="0" applyNumberFormat="1" applyFont="1" applyFill="1" applyBorder="1"/>
    <xf numFmtId="1" fontId="2" fillId="6" borderId="1" xfId="0" applyNumberFormat="1" applyFont="1" applyFill="1" applyBorder="1"/>
    <xf numFmtId="1" fontId="2" fillId="6" borderId="3" xfId="0" applyNumberFormat="1" applyFont="1" applyFill="1" applyBorder="1"/>
    <xf numFmtId="1" fontId="2" fillId="15" borderId="3" xfId="0" applyNumberFormat="1" applyFont="1" applyFill="1" applyBorder="1"/>
    <xf numFmtId="1" fontId="2" fillId="10" borderId="3" xfId="0" applyNumberFormat="1" applyFont="1" applyFill="1" applyBorder="1"/>
    <xf numFmtId="1" fontId="2" fillId="13" borderId="3" xfId="0" applyNumberFormat="1" applyFont="1" applyFill="1" applyBorder="1"/>
    <xf numFmtId="1" fontId="0" fillId="0" borderId="0" xfId="0" applyNumberFormat="1"/>
    <xf numFmtId="1" fontId="0" fillId="9" borderId="0" xfId="0" applyNumberFormat="1" applyFill="1"/>
    <xf numFmtId="1" fontId="0" fillId="5" borderId="0" xfId="0" applyNumberFormat="1" applyFill="1"/>
    <xf numFmtId="1" fontId="0" fillId="8" borderId="0" xfId="0" applyNumberFormat="1" applyFill="1"/>
    <xf numFmtId="0" fontId="1" fillId="18" borderId="0" xfId="0" applyFont="1" applyFill="1"/>
    <xf numFmtId="0" fontId="0" fillId="18" borderId="0" xfId="0" applyFill="1"/>
    <xf numFmtId="2" fontId="0" fillId="18" borderId="0" xfId="0" applyNumberFormat="1" applyFill="1"/>
    <xf numFmtId="1" fontId="0" fillId="18" borderId="0" xfId="0" applyNumberFormat="1" applyFill="1"/>
    <xf numFmtId="0" fontId="9" fillId="18" borderId="0" xfId="0" applyFont="1" applyFill="1"/>
    <xf numFmtId="2" fontId="2" fillId="18" borderId="0" xfId="0" applyNumberFormat="1" applyFont="1" applyFill="1"/>
    <xf numFmtId="2" fontId="1" fillId="19" borderId="7" xfId="0" applyNumberFormat="1" applyFont="1" applyFill="1" applyBorder="1"/>
    <xf numFmtId="0" fontId="12" fillId="5" borderId="0" xfId="0" applyFont="1" applyFill="1"/>
    <xf numFmtId="0" fontId="0" fillId="5" borderId="0" xfId="0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5" borderId="3" xfId="0" applyFont="1" applyFill="1" applyBorder="1"/>
    <xf numFmtId="0" fontId="3" fillId="5" borderId="4" xfId="0" applyFont="1" applyFill="1" applyBorder="1"/>
    <xf numFmtId="0" fontId="7" fillId="5" borderId="0" xfId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7" fillId="5" borderId="7" xfId="1" applyFill="1" applyBorder="1" applyAlignment="1">
      <alignment horizontal="left" vertical="center"/>
    </xf>
    <xf numFmtId="0" fontId="7" fillId="5" borderId="7" xfId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60</xdr:row>
      <xdr:rowOff>0</xdr:rowOff>
    </xdr:from>
    <xdr:to>
      <xdr:col>34</xdr:col>
      <xdr:colOff>693758</xdr:colOff>
      <xdr:row>88</xdr:row>
      <xdr:rowOff>11679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2CF85-C289-992E-5D7F-33E4B4E4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31857" y="11634107"/>
          <a:ext cx="8326012" cy="57253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am Meyer Boies" id="{5F7E91FE-942D-438F-9ECD-D595607D92D9}" userId="S::aboies@stanford.edu::24ad3089-3c85-4207-9a1b-02eed3376c4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8" dT="2025-05-30T22:48:59.47" personId="{5F7E91FE-942D-438F-9ECD-D595607D92D9}" id="{BA7EACBC-AEBE-408B-9C2E-B3E5ABB0F4F5}">
    <text>This is for the matt as fiber was not reported, normalized by matt density. It is a worse case.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matweb.com/search/DataSheet.aspx?MatGUID=7a321b89269943629bb6d7a0a4a357b2" TargetMode="External"/><Relationship Id="rId7" Type="http://schemas.openxmlformats.org/officeDocument/2006/relationships/hyperlink" Target="https://www.science.org/doi/10.1126/sciadv.abq3515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www.lookpolymers.com/pdf/Carpenter-AerMet-340.pdf?utm_source=chatgpt.com" TargetMode="External"/><Relationship Id="rId1" Type="http://schemas.openxmlformats.org/officeDocument/2006/relationships/hyperlink" Target="https://doi.org/10.1016/j.carbon.2020.07.058" TargetMode="External"/><Relationship Id="rId6" Type="http://schemas.openxmlformats.org/officeDocument/2006/relationships/hyperlink" Target="https://doi.org/10.1080/02786826.2023.2206442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science.org/doi/full/10.1126/sciadv.abn0939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ngfworld.com/dcms_media/other/YSAfiber2014.pdf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16/j.carbon.2020.07.05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arbon.2024.118947" TargetMode="External"/><Relationship Id="rId1" Type="http://schemas.openxmlformats.org/officeDocument/2006/relationships/hyperlink" Target="https://doi.org/10.1016/j.matlet.2024.136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E157-E95E-44B0-8C51-61254EC8559F}">
  <dimension ref="A1:O972"/>
  <sheetViews>
    <sheetView tabSelected="1" zoomScale="43" zoomScaleNormal="70" workbookViewId="0">
      <pane ySplit="1" topLeftCell="A2" activePane="bottomLeft" state="frozen"/>
      <selection pane="bottomLeft" activeCell="G41" sqref="G41"/>
    </sheetView>
  </sheetViews>
  <sheetFormatPr defaultColWidth="11.1875" defaultRowHeight="15" customHeight="1" x14ac:dyDescent="0.5"/>
  <cols>
    <col min="1" max="1" width="33.6875" customWidth="1"/>
    <col min="2" max="2" width="36.3125" customWidth="1"/>
    <col min="3" max="3" width="16.8125" style="71" customWidth="1"/>
    <col min="4" max="4" width="20" style="71" customWidth="1"/>
    <col min="5" max="5" width="19" style="71" customWidth="1"/>
    <col min="6" max="6" width="27" style="71" customWidth="1"/>
    <col min="7" max="8" width="20.6875" style="71" customWidth="1"/>
    <col min="9" max="9" width="30.6875" style="98" customWidth="1"/>
    <col min="10" max="10" width="40.3125" style="71" customWidth="1"/>
    <col min="11" max="11" width="30.125" style="71" customWidth="1"/>
    <col min="12" max="12" width="10.5625" customWidth="1"/>
    <col min="13" max="13" width="50.3125" customWidth="1"/>
    <col min="14" max="27" width="10.5625" customWidth="1"/>
  </cols>
  <sheetData>
    <row r="1" spans="1:13" ht="15.75" customHeight="1" x14ac:dyDescent="0.5">
      <c r="A1" s="1" t="s">
        <v>0</v>
      </c>
      <c r="B1" s="1" t="s">
        <v>1</v>
      </c>
      <c r="C1" s="79" t="s">
        <v>127</v>
      </c>
      <c r="D1" s="2" t="s">
        <v>134</v>
      </c>
      <c r="E1" s="2" t="s">
        <v>185</v>
      </c>
      <c r="F1" s="2" t="s">
        <v>184</v>
      </c>
      <c r="G1" s="2" t="s">
        <v>7</v>
      </c>
      <c r="H1" s="2" t="s">
        <v>180</v>
      </c>
      <c r="I1" s="91" t="s">
        <v>9</v>
      </c>
      <c r="J1" s="2" t="s">
        <v>8</v>
      </c>
      <c r="K1" s="80" t="s">
        <v>136</v>
      </c>
      <c r="L1" s="82" t="s">
        <v>168</v>
      </c>
      <c r="M1" s="108" t="s">
        <v>181</v>
      </c>
    </row>
    <row r="2" spans="1:13" ht="15.75" customHeight="1" x14ac:dyDescent="0.5">
      <c r="A2" s="1" t="s">
        <v>10</v>
      </c>
      <c r="B2" s="111" t="s">
        <v>11</v>
      </c>
      <c r="C2" s="4">
        <v>1.05</v>
      </c>
      <c r="D2" s="4">
        <f>1/C2</f>
        <v>0.95238095238095233</v>
      </c>
      <c r="E2" s="4">
        <v>1.7</v>
      </c>
      <c r="F2" s="4">
        <v>94.4</v>
      </c>
      <c r="G2" s="2" t="s">
        <v>12</v>
      </c>
      <c r="H2" s="81">
        <f>J2/(C2)</f>
        <v>0.47619047619047616</v>
      </c>
      <c r="I2" s="91" t="s">
        <v>12</v>
      </c>
      <c r="J2" s="4">
        <v>0.5</v>
      </c>
      <c r="K2" s="82">
        <f t="shared" ref="K2:K27" si="0">E2*C2</f>
        <v>1.7849999999999999</v>
      </c>
      <c r="M2" s="116" t="s">
        <v>182</v>
      </c>
    </row>
    <row r="3" spans="1:13" ht="15.75" customHeight="1" x14ac:dyDescent="0.5">
      <c r="A3" s="1" t="s">
        <v>13</v>
      </c>
      <c r="B3" s="112"/>
      <c r="C3" s="4">
        <v>1.23</v>
      </c>
      <c r="D3" s="4">
        <f>1/C3</f>
        <v>0.81300813008130079</v>
      </c>
      <c r="E3" s="4">
        <v>3.8</v>
      </c>
      <c r="F3" s="4">
        <v>105.7</v>
      </c>
      <c r="G3" s="2" t="s">
        <v>12</v>
      </c>
      <c r="H3" s="81">
        <f t="shared" ref="H3:H70" si="1">J3/(C3)</f>
        <v>2.845528455284553</v>
      </c>
      <c r="I3" s="91" t="s">
        <v>12</v>
      </c>
      <c r="J3" s="4">
        <v>3.5</v>
      </c>
      <c r="K3" s="82">
        <f t="shared" si="0"/>
        <v>4.6739999999999995</v>
      </c>
      <c r="M3" s="117"/>
    </row>
    <row r="4" spans="1:13" ht="15.75" customHeight="1" x14ac:dyDescent="0.5">
      <c r="A4" s="1" t="s">
        <v>14</v>
      </c>
      <c r="B4" s="112"/>
      <c r="C4" s="4">
        <v>1.26</v>
      </c>
      <c r="D4" s="4">
        <f>1/C4</f>
        <v>0.79365079365079361</v>
      </c>
      <c r="E4" s="4">
        <v>4.5</v>
      </c>
      <c r="F4" s="4">
        <v>130.5</v>
      </c>
      <c r="G4" s="2" t="s">
        <v>12</v>
      </c>
      <c r="H4" s="81">
        <f t="shared" si="1"/>
        <v>1.7460317460317463</v>
      </c>
      <c r="I4" s="91" t="s">
        <v>12</v>
      </c>
      <c r="J4" s="4">
        <v>2.2000000000000002</v>
      </c>
      <c r="K4" s="82">
        <f t="shared" si="0"/>
        <v>5.67</v>
      </c>
      <c r="M4" s="117"/>
    </row>
    <row r="5" spans="1:13" ht="15.75" customHeight="1" x14ac:dyDescent="0.5">
      <c r="A5" s="1" t="s">
        <v>15</v>
      </c>
      <c r="B5" s="113"/>
      <c r="C5" s="4">
        <v>1.4</v>
      </c>
      <c r="D5" s="4">
        <f>1/C5</f>
        <v>0.7142857142857143</v>
      </c>
      <c r="E5" s="4">
        <v>5.8</v>
      </c>
      <c r="F5" s="4">
        <v>122.4</v>
      </c>
      <c r="G5" s="2">
        <f>170.3/C5</f>
        <v>121.64285714285715</v>
      </c>
      <c r="H5" s="81">
        <f t="shared" si="1"/>
        <v>2.0714285714285716</v>
      </c>
      <c r="I5" s="91" t="s">
        <v>12</v>
      </c>
      <c r="J5" s="4">
        <v>2.9</v>
      </c>
      <c r="K5" s="82">
        <f t="shared" si="0"/>
        <v>8.1199999999999992</v>
      </c>
      <c r="M5" s="117"/>
    </row>
    <row r="6" spans="1:13" ht="15.75" customHeight="1" x14ac:dyDescent="0.5">
      <c r="A6" s="1" t="s">
        <v>178</v>
      </c>
      <c r="B6" s="3" t="s">
        <v>20</v>
      </c>
      <c r="C6" s="4">
        <v>1.4</v>
      </c>
      <c r="D6" s="4">
        <f>1/1.4</f>
        <v>0.7142857142857143</v>
      </c>
      <c r="E6" s="4">
        <v>3.22</v>
      </c>
      <c r="F6" s="4">
        <v>138</v>
      </c>
      <c r="G6" s="4">
        <v>75</v>
      </c>
      <c r="H6" s="81">
        <f t="shared" si="1"/>
        <v>0.76428571428571435</v>
      </c>
      <c r="I6" s="92">
        <v>354</v>
      </c>
      <c r="J6" s="4">
        <v>1.07</v>
      </c>
      <c r="K6" s="82">
        <f t="shared" si="0"/>
        <v>4.508</v>
      </c>
      <c r="M6" s="116" t="s">
        <v>183</v>
      </c>
    </row>
    <row r="7" spans="1:13" ht="15.75" customHeight="1" x14ac:dyDescent="0.5">
      <c r="A7" s="1" t="s">
        <v>179</v>
      </c>
      <c r="B7" s="3" t="s">
        <v>27</v>
      </c>
      <c r="C7" s="4">
        <v>0.66</v>
      </c>
      <c r="D7" s="4">
        <f>1/0.66</f>
        <v>1.5151515151515151</v>
      </c>
      <c r="E7" s="4">
        <v>1.23</v>
      </c>
      <c r="F7" s="4">
        <v>53</v>
      </c>
      <c r="G7" s="81">
        <v>43</v>
      </c>
      <c r="H7" s="81">
        <f t="shared" si="1"/>
        <v>0.24242424242424243</v>
      </c>
      <c r="I7" s="92">
        <v>106</v>
      </c>
      <c r="J7" s="4">
        <v>0.16</v>
      </c>
      <c r="K7" s="82">
        <f t="shared" si="0"/>
        <v>0.81180000000000008</v>
      </c>
      <c r="M7" s="117"/>
    </row>
    <row r="8" spans="1:13" ht="15.75" customHeight="1" x14ac:dyDescent="0.5">
      <c r="A8" s="1" t="s">
        <v>28</v>
      </c>
      <c r="B8" s="3" t="s">
        <v>29</v>
      </c>
      <c r="C8" s="4">
        <v>1.5</v>
      </c>
      <c r="D8" s="4">
        <f>1/1.5</f>
        <v>0.66666666666666663</v>
      </c>
      <c r="E8" s="4">
        <v>1.54</v>
      </c>
      <c r="F8" s="4">
        <v>160</v>
      </c>
      <c r="G8" s="4">
        <v>17</v>
      </c>
      <c r="H8" s="81">
        <f t="shared" si="1"/>
        <v>5.666666666666667</v>
      </c>
      <c r="I8" s="92" t="s">
        <v>12</v>
      </c>
      <c r="J8" s="4">
        <v>8.5</v>
      </c>
      <c r="K8" s="82">
        <f t="shared" si="0"/>
        <v>2.31</v>
      </c>
      <c r="M8" s="118" t="s">
        <v>124</v>
      </c>
    </row>
    <row r="9" spans="1:13" ht="15.75" customHeight="1" x14ac:dyDescent="0.5">
      <c r="A9" s="1" t="s">
        <v>30</v>
      </c>
      <c r="B9" s="3" t="s">
        <v>29</v>
      </c>
      <c r="C9" s="4">
        <v>1.1100000000000001</v>
      </c>
      <c r="D9" s="4">
        <f>1/1.11</f>
        <v>0.9009009009009008</v>
      </c>
      <c r="E9" s="4">
        <v>0.1</v>
      </c>
      <c r="F9" s="4">
        <v>108</v>
      </c>
      <c r="G9" s="4" t="s">
        <v>12</v>
      </c>
      <c r="H9" s="81"/>
      <c r="I9" s="92">
        <v>21</v>
      </c>
      <c r="J9" s="4" t="s">
        <v>12</v>
      </c>
      <c r="K9" s="82">
        <f t="shared" si="0"/>
        <v>0.11100000000000002</v>
      </c>
      <c r="M9" s="118"/>
    </row>
    <row r="10" spans="1:13" ht="15.75" customHeight="1" x14ac:dyDescent="0.5">
      <c r="A10" s="1" t="s">
        <v>31</v>
      </c>
      <c r="B10" s="3" t="s">
        <v>32</v>
      </c>
      <c r="C10" s="4">
        <v>1.3</v>
      </c>
      <c r="D10" s="4">
        <f>1/1.3</f>
        <v>0.76923076923076916</v>
      </c>
      <c r="E10" s="4">
        <v>0.97</v>
      </c>
      <c r="F10" s="4">
        <v>92</v>
      </c>
      <c r="G10" s="4" t="s">
        <v>12</v>
      </c>
      <c r="H10" s="81">
        <f t="shared" si="1"/>
        <v>2.2307692307692308</v>
      </c>
      <c r="I10" s="92">
        <v>380</v>
      </c>
      <c r="J10" s="4">
        <v>2.9</v>
      </c>
      <c r="K10" s="82">
        <f t="shared" si="0"/>
        <v>1.2609999999999999</v>
      </c>
      <c r="M10" s="118"/>
    </row>
    <row r="11" spans="1:13" ht="15.75" customHeight="1" x14ac:dyDescent="0.5">
      <c r="A11" s="1" t="s">
        <v>33</v>
      </c>
      <c r="B11" s="3" t="s">
        <v>29</v>
      </c>
      <c r="C11" s="4">
        <v>1.93</v>
      </c>
      <c r="D11" s="4">
        <f>1/1.93</f>
        <v>0.5181347150259068</v>
      </c>
      <c r="E11" s="4">
        <v>2.1</v>
      </c>
      <c r="F11" s="4">
        <f>260/C11</f>
        <v>134.71502590673575</v>
      </c>
      <c r="G11" s="4">
        <v>50</v>
      </c>
      <c r="H11" s="81">
        <f t="shared" si="1"/>
        <v>5.6476683937823839</v>
      </c>
      <c r="I11" s="92">
        <v>391</v>
      </c>
      <c r="J11" s="81">
        <v>10.9</v>
      </c>
      <c r="K11" s="82">
        <f t="shared" si="0"/>
        <v>4.0529999999999999</v>
      </c>
      <c r="M11" s="118"/>
    </row>
    <row r="12" spans="1:13" ht="15.75" customHeight="1" x14ac:dyDescent="0.5">
      <c r="A12" s="1" t="s">
        <v>34</v>
      </c>
      <c r="B12" s="3" t="s">
        <v>35</v>
      </c>
      <c r="C12" s="4"/>
      <c r="D12" s="4"/>
      <c r="E12" s="4"/>
      <c r="F12" s="4"/>
      <c r="G12" s="4"/>
      <c r="H12" s="81"/>
      <c r="I12" s="92"/>
      <c r="J12" s="4"/>
      <c r="K12" s="82">
        <f t="shared" si="0"/>
        <v>0</v>
      </c>
      <c r="M12" s="119" t="s">
        <v>149</v>
      </c>
    </row>
    <row r="13" spans="1:13" ht="15.75" customHeight="1" x14ac:dyDescent="0.5">
      <c r="A13" s="1" t="s">
        <v>36</v>
      </c>
      <c r="B13" s="3" t="s">
        <v>35</v>
      </c>
      <c r="C13" s="4">
        <v>1.88</v>
      </c>
      <c r="D13" s="4">
        <f t="shared" ref="D13:D19" si="2">1/C13</f>
        <v>0.53191489361702127</v>
      </c>
      <c r="E13" s="4">
        <v>2.74</v>
      </c>
      <c r="F13" s="4">
        <v>252</v>
      </c>
      <c r="G13" s="4">
        <v>29.08</v>
      </c>
      <c r="H13" s="81">
        <f t="shared" si="1"/>
        <v>0.98936170212765973</v>
      </c>
      <c r="I13" s="92" t="s">
        <v>12</v>
      </c>
      <c r="J13" s="4">
        <v>1.86</v>
      </c>
      <c r="K13" s="82">
        <f t="shared" si="0"/>
        <v>5.1512000000000002</v>
      </c>
      <c r="M13" s="119"/>
    </row>
    <row r="14" spans="1:13" ht="15.75" customHeight="1" x14ac:dyDescent="0.5">
      <c r="A14" s="1" t="s">
        <v>37</v>
      </c>
      <c r="B14" s="3" t="s">
        <v>35</v>
      </c>
      <c r="C14" s="4">
        <v>1.71</v>
      </c>
      <c r="D14" s="4">
        <f t="shared" si="2"/>
        <v>0.58479532163742687</v>
      </c>
      <c r="E14" s="4">
        <v>3.84</v>
      </c>
      <c r="F14" s="4">
        <v>368</v>
      </c>
      <c r="G14" s="4">
        <v>33.76</v>
      </c>
      <c r="H14" s="81">
        <f t="shared" si="1"/>
        <v>1.2982456140350878</v>
      </c>
      <c r="I14" s="92">
        <v>482</v>
      </c>
      <c r="J14" s="4">
        <v>2.2200000000000002</v>
      </c>
      <c r="K14" s="82">
        <f t="shared" si="0"/>
        <v>6.5663999999999998</v>
      </c>
      <c r="M14" s="119"/>
    </row>
    <row r="15" spans="1:13" ht="15.75" customHeight="1" x14ac:dyDescent="0.5">
      <c r="A15" s="1" t="s">
        <v>38</v>
      </c>
      <c r="B15" s="3" t="s">
        <v>35</v>
      </c>
      <c r="C15" s="4">
        <v>1.58</v>
      </c>
      <c r="D15" s="4">
        <f t="shared" si="2"/>
        <v>0.63291139240506322</v>
      </c>
      <c r="E15" s="4">
        <v>2.93</v>
      </c>
      <c r="F15" s="4">
        <v>372</v>
      </c>
      <c r="G15" s="4">
        <v>17.55</v>
      </c>
      <c r="H15" s="81">
        <f t="shared" si="1"/>
        <v>0.77215189873417711</v>
      </c>
      <c r="I15" s="92" t="s">
        <v>12</v>
      </c>
      <c r="J15" s="4">
        <v>1.22</v>
      </c>
      <c r="K15" s="82">
        <f t="shared" si="0"/>
        <v>4.6294000000000004</v>
      </c>
      <c r="M15" s="119"/>
    </row>
    <row r="16" spans="1:13" ht="15.75" customHeight="1" x14ac:dyDescent="0.5">
      <c r="A16" s="1" t="s">
        <v>39</v>
      </c>
      <c r="B16" s="3" t="s">
        <v>35</v>
      </c>
      <c r="C16" s="4">
        <v>1.43</v>
      </c>
      <c r="D16" s="4">
        <f t="shared" si="2"/>
        <v>0.69930069930069938</v>
      </c>
      <c r="E16" s="4">
        <v>2.2200000000000002</v>
      </c>
      <c r="F16" s="4">
        <v>420</v>
      </c>
      <c r="G16" s="4">
        <v>5.59</v>
      </c>
      <c r="H16" s="81">
        <f t="shared" si="1"/>
        <v>0.23076923076923078</v>
      </c>
      <c r="I16" s="92" t="s">
        <v>12</v>
      </c>
      <c r="J16" s="4">
        <v>0.33</v>
      </c>
      <c r="K16" s="82">
        <f t="shared" si="0"/>
        <v>3.1746000000000003</v>
      </c>
      <c r="M16" s="119"/>
    </row>
    <row r="17" spans="1:13" ht="15.75" customHeight="1" x14ac:dyDescent="0.5">
      <c r="A17" s="1" t="s">
        <v>40</v>
      </c>
      <c r="B17" s="3" t="s">
        <v>35</v>
      </c>
      <c r="C17" s="4">
        <v>1.89</v>
      </c>
      <c r="D17" s="4">
        <f t="shared" si="2"/>
        <v>0.52910052910052918</v>
      </c>
      <c r="E17" s="4">
        <v>1.53</v>
      </c>
      <c r="F17" s="4">
        <v>445</v>
      </c>
      <c r="G17" s="4">
        <v>3.18</v>
      </c>
      <c r="H17" s="81">
        <f t="shared" si="1"/>
        <v>0.20105820105820107</v>
      </c>
      <c r="I17" s="92">
        <v>490</v>
      </c>
      <c r="J17" s="4">
        <v>0.38</v>
      </c>
      <c r="K17" s="82">
        <f t="shared" si="0"/>
        <v>2.8916999999999997</v>
      </c>
      <c r="M17" s="119"/>
    </row>
    <row r="18" spans="1:13" ht="15.75" customHeight="1" x14ac:dyDescent="0.5">
      <c r="A18" s="1" t="s">
        <v>41</v>
      </c>
      <c r="B18" s="3" t="s">
        <v>35</v>
      </c>
      <c r="C18" s="4">
        <v>1.8</v>
      </c>
      <c r="D18" s="4">
        <f t="shared" si="2"/>
        <v>0.55555555555555558</v>
      </c>
      <c r="E18" s="4">
        <v>0.34</v>
      </c>
      <c r="F18" s="4">
        <v>184</v>
      </c>
      <c r="G18" s="4" t="s">
        <v>12</v>
      </c>
      <c r="H18" s="81">
        <f t="shared" si="1"/>
        <v>0.12222222222222222</v>
      </c>
      <c r="I18" s="92">
        <v>305</v>
      </c>
      <c r="J18" s="4">
        <v>0.22</v>
      </c>
      <c r="K18" s="82">
        <f t="shared" si="0"/>
        <v>0.6120000000000001</v>
      </c>
      <c r="M18" s="119"/>
    </row>
    <row r="19" spans="1:13" ht="15.75" customHeight="1" x14ac:dyDescent="0.5">
      <c r="A19" s="1" t="s">
        <v>42</v>
      </c>
      <c r="B19" s="3" t="s">
        <v>35</v>
      </c>
      <c r="C19" s="4">
        <v>1.96</v>
      </c>
      <c r="D19" s="4">
        <f t="shared" si="2"/>
        <v>0.51020408163265307</v>
      </c>
      <c r="E19" s="4">
        <v>1.24</v>
      </c>
      <c r="F19" s="4">
        <v>535</v>
      </c>
      <c r="G19" s="4" t="s">
        <v>12</v>
      </c>
      <c r="H19" s="81">
        <f t="shared" si="1"/>
        <v>0.16836734693877553</v>
      </c>
      <c r="I19" s="92">
        <v>496</v>
      </c>
      <c r="J19" s="4">
        <v>0.33</v>
      </c>
      <c r="K19" s="82">
        <f t="shared" si="0"/>
        <v>2.4304000000000001</v>
      </c>
      <c r="M19" s="119"/>
    </row>
    <row r="20" spans="1:13" ht="15.75" customHeight="1" x14ac:dyDescent="0.5">
      <c r="A20" s="1" t="s">
        <v>50</v>
      </c>
      <c r="B20" s="3"/>
      <c r="C20" s="4">
        <v>1.92</v>
      </c>
      <c r="D20" s="4">
        <f t="shared" ref="D20:D23" si="3">1/C20</f>
        <v>0.52083333333333337</v>
      </c>
      <c r="E20" s="4">
        <v>2.1</v>
      </c>
      <c r="F20" s="4">
        <v>155</v>
      </c>
      <c r="G20" s="4">
        <v>39.380000000000003</v>
      </c>
      <c r="H20" s="81">
        <f t="shared" si="1"/>
        <v>5.666666666666667</v>
      </c>
      <c r="I20" s="92">
        <v>380</v>
      </c>
      <c r="J20" s="4">
        <v>10.88</v>
      </c>
      <c r="K20" s="82">
        <f t="shared" si="0"/>
        <v>4.032</v>
      </c>
      <c r="M20" s="61"/>
    </row>
    <row r="21" spans="1:13" ht="15.75" customHeight="1" x14ac:dyDescent="0.5">
      <c r="A21" s="1" t="s">
        <v>51</v>
      </c>
      <c r="B21" s="3"/>
      <c r="C21" s="4">
        <v>1.6</v>
      </c>
      <c r="D21" s="4">
        <f t="shared" si="3"/>
        <v>0.625</v>
      </c>
      <c r="E21" s="4">
        <v>0.62</v>
      </c>
      <c r="F21" s="4">
        <v>137</v>
      </c>
      <c r="G21" s="4" t="s">
        <v>12</v>
      </c>
      <c r="H21" s="81">
        <f t="shared" si="1"/>
        <v>2.1999999999999997</v>
      </c>
      <c r="I21" s="92">
        <v>213</v>
      </c>
      <c r="J21" s="4">
        <v>3.52</v>
      </c>
      <c r="K21" s="82">
        <f t="shared" si="0"/>
        <v>0.99199999999999999</v>
      </c>
      <c r="M21" s="61"/>
    </row>
    <row r="22" spans="1:13" ht="15.75" customHeight="1" x14ac:dyDescent="0.5">
      <c r="A22" s="1" t="s">
        <v>52</v>
      </c>
      <c r="B22" s="3"/>
      <c r="C22" s="4">
        <v>2.1</v>
      </c>
      <c r="D22" s="4">
        <f t="shared" si="3"/>
        <v>0.47619047619047616</v>
      </c>
      <c r="E22" s="4">
        <v>1.1000000000000001</v>
      </c>
      <c r="F22" s="4">
        <v>83</v>
      </c>
      <c r="G22" s="4" t="s">
        <v>12</v>
      </c>
      <c r="H22" s="81">
        <f t="shared" si="1"/>
        <v>3.8999999999999995</v>
      </c>
      <c r="I22" s="92">
        <v>406</v>
      </c>
      <c r="J22" s="4">
        <v>8.19</v>
      </c>
      <c r="K22" s="82">
        <f t="shared" si="0"/>
        <v>2.3100000000000005</v>
      </c>
      <c r="M22" s="61"/>
    </row>
    <row r="23" spans="1:13" ht="15.75" customHeight="1" x14ac:dyDescent="0.5">
      <c r="A23" s="1" t="s">
        <v>53</v>
      </c>
      <c r="B23" s="3" t="s">
        <v>54</v>
      </c>
      <c r="C23" s="4">
        <v>1.97</v>
      </c>
      <c r="D23" s="4">
        <f t="shared" si="3"/>
        <v>0.50761421319796951</v>
      </c>
      <c r="E23" s="4">
        <v>2.5499999999999998</v>
      </c>
      <c r="F23" s="4" t="s">
        <v>12</v>
      </c>
      <c r="G23" s="4" t="s">
        <v>12</v>
      </c>
      <c r="H23" s="81">
        <f t="shared" si="1"/>
        <v>5.6852791878172582</v>
      </c>
      <c r="I23" s="92">
        <v>398</v>
      </c>
      <c r="J23" s="4">
        <v>11.2</v>
      </c>
      <c r="K23" s="82">
        <f t="shared" si="0"/>
        <v>5.0234999999999994</v>
      </c>
      <c r="M23" s="61"/>
    </row>
    <row r="24" spans="1:13" ht="15.75" customHeight="1" x14ac:dyDescent="0.5">
      <c r="A24" s="1" t="s">
        <v>57</v>
      </c>
      <c r="B24" s="114" t="s">
        <v>56</v>
      </c>
      <c r="C24" s="4">
        <v>1.93</v>
      </c>
      <c r="D24" s="4">
        <f>1/1.93</f>
        <v>0.5181347150259068</v>
      </c>
      <c r="E24" s="4">
        <v>2.0499999999999998</v>
      </c>
      <c r="F24" s="4">
        <v>154</v>
      </c>
      <c r="G24" s="4">
        <v>38.4</v>
      </c>
      <c r="H24" s="81">
        <f t="shared" si="1"/>
        <v>5.3886010362694305</v>
      </c>
      <c r="I24" s="92" t="s">
        <v>12</v>
      </c>
      <c r="J24" s="4">
        <v>10.4</v>
      </c>
      <c r="K24" s="82">
        <f t="shared" si="0"/>
        <v>3.9564999999999997</v>
      </c>
      <c r="M24" s="110"/>
    </row>
    <row r="25" spans="1:13" ht="15.75" customHeight="1" x14ac:dyDescent="0.5">
      <c r="A25" s="1" t="s">
        <v>58</v>
      </c>
      <c r="B25" s="114"/>
      <c r="C25" s="4">
        <v>1.98</v>
      </c>
      <c r="D25" s="4">
        <f>1/1.98</f>
        <v>0.50505050505050508</v>
      </c>
      <c r="E25" s="4">
        <v>2.66</v>
      </c>
      <c r="F25" s="4">
        <v>190</v>
      </c>
      <c r="G25" s="4">
        <v>57.9</v>
      </c>
      <c r="H25" s="81">
        <f t="shared" si="1"/>
        <v>4.7525252525252526</v>
      </c>
      <c r="I25" s="92" t="s">
        <v>12</v>
      </c>
      <c r="J25" s="4">
        <v>9.41</v>
      </c>
      <c r="K25" s="82">
        <f t="shared" si="0"/>
        <v>5.2667999999999999</v>
      </c>
      <c r="M25" s="110"/>
    </row>
    <row r="26" spans="1:13" ht="15.75" customHeight="1" x14ac:dyDescent="0.5">
      <c r="A26" s="1" t="s">
        <v>59</v>
      </c>
      <c r="B26" s="114"/>
      <c r="C26" s="4">
        <v>2.0099999999999998</v>
      </c>
      <c r="D26" s="4">
        <f>1/2.01</f>
        <v>0.49751243781094534</v>
      </c>
      <c r="E26" s="4">
        <v>3.01</v>
      </c>
      <c r="F26" s="4">
        <v>210</v>
      </c>
      <c r="G26" s="4">
        <v>76.8</v>
      </c>
      <c r="H26" s="81">
        <f t="shared" si="1"/>
        <v>4.1940298507462686</v>
      </c>
      <c r="I26" s="92" t="s">
        <v>12</v>
      </c>
      <c r="J26" s="4">
        <v>8.43</v>
      </c>
      <c r="K26" s="82">
        <f t="shared" si="0"/>
        <v>6.0500999999999987</v>
      </c>
      <c r="M26" s="110"/>
    </row>
    <row r="27" spans="1:13" ht="15.75" customHeight="1" x14ac:dyDescent="0.5">
      <c r="A27" s="1" t="s">
        <v>60</v>
      </c>
      <c r="B27" s="115"/>
      <c r="C27" s="4">
        <v>1.99</v>
      </c>
      <c r="D27" s="4">
        <f>1/1.99</f>
        <v>0.50251256281407031</v>
      </c>
      <c r="E27" s="4">
        <v>2.41</v>
      </c>
      <c r="F27" s="4">
        <v>193</v>
      </c>
      <c r="G27" s="4">
        <v>51.8</v>
      </c>
      <c r="H27" s="81">
        <f t="shared" si="1"/>
        <v>3.7437185929648242</v>
      </c>
      <c r="I27" s="92" t="s">
        <v>12</v>
      </c>
      <c r="J27" s="4">
        <v>7.45</v>
      </c>
      <c r="K27" s="82">
        <f t="shared" si="0"/>
        <v>4.7959000000000005</v>
      </c>
      <c r="M27" s="110"/>
    </row>
    <row r="28" spans="1:13" ht="15.75" customHeight="1" x14ac:dyDescent="0.5">
      <c r="A28" s="1" t="s">
        <v>61</v>
      </c>
      <c r="B28" s="3" t="s">
        <v>62</v>
      </c>
      <c r="C28" s="4" t="s">
        <v>12</v>
      </c>
      <c r="D28" s="4"/>
      <c r="E28" s="4">
        <v>2.1</v>
      </c>
      <c r="F28" s="4">
        <v>107</v>
      </c>
      <c r="G28" s="4">
        <v>63</v>
      </c>
      <c r="H28" s="81"/>
      <c r="I28" s="92" t="s">
        <v>12</v>
      </c>
      <c r="J28" s="4">
        <v>0.33800000000000002</v>
      </c>
      <c r="K28" s="82"/>
      <c r="M28" s="110"/>
    </row>
    <row r="29" spans="1:13" ht="15.75" customHeight="1" x14ac:dyDescent="0.5">
      <c r="A29" s="1" t="s">
        <v>63</v>
      </c>
      <c r="B29" s="3" t="s">
        <v>64</v>
      </c>
      <c r="C29" s="4" t="s">
        <v>12</v>
      </c>
      <c r="D29" s="4"/>
      <c r="E29" s="4">
        <v>1.7</v>
      </c>
      <c r="F29" s="4">
        <v>61</v>
      </c>
      <c r="G29" s="4">
        <v>100</v>
      </c>
      <c r="H29" s="81"/>
      <c r="I29" s="92" t="s">
        <v>12</v>
      </c>
      <c r="J29" s="4" t="s">
        <v>12</v>
      </c>
      <c r="K29" s="82"/>
      <c r="M29" s="110"/>
    </row>
    <row r="30" spans="1:13" ht="15.75" customHeight="1" x14ac:dyDescent="0.5">
      <c r="A30" s="1" t="s">
        <v>65</v>
      </c>
      <c r="B30" s="3" t="s">
        <v>66</v>
      </c>
      <c r="C30" s="4" t="s">
        <v>12</v>
      </c>
      <c r="D30" s="4"/>
      <c r="E30" s="4">
        <v>1.1000000000000001</v>
      </c>
      <c r="F30" s="4">
        <v>64</v>
      </c>
      <c r="G30" s="4">
        <v>80</v>
      </c>
      <c r="H30" s="81"/>
      <c r="I30" s="92" t="s">
        <v>12</v>
      </c>
      <c r="J30" s="4" t="s">
        <v>12</v>
      </c>
      <c r="K30" s="82"/>
      <c r="M30" s="110"/>
    </row>
    <row r="31" spans="1:13" ht="15.75" customHeight="1" x14ac:dyDescent="0.5">
      <c r="A31" s="1" t="s">
        <v>67</v>
      </c>
      <c r="B31" s="3" t="s">
        <v>68</v>
      </c>
      <c r="C31" s="4" t="s">
        <v>12</v>
      </c>
      <c r="D31" s="4"/>
      <c r="E31" s="4">
        <v>2.19</v>
      </c>
      <c r="F31" s="4">
        <v>176</v>
      </c>
      <c r="G31" s="4">
        <v>39</v>
      </c>
      <c r="H31" s="81"/>
      <c r="I31" s="92" t="s">
        <v>12</v>
      </c>
      <c r="J31" s="4" t="s">
        <v>12</v>
      </c>
      <c r="K31" s="82"/>
      <c r="M31" s="110"/>
    </row>
    <row r="32" spans="1:13" ht="15.75" customHeight="1" x14ac:dyDescent="0.5">
      <c r="A32" s="1" t="s">
        <v>69</v>
      </c>
      <c r="B32" s="3" t="s">
        <v>27</v>
      </c>
      <c r="C32" s="4" t="s">
        <v>12</v>
      </c>
      <c r="D32" s="4"/>
      <c r="E32" s="4">
        <v>0.95</v>
      </c>
      <c r="F32" s="4">
        <v>76</v>
      </c>
      <c r="G32" s="4">
        <v>50</v>
      </c>
      <c r="H32" s="81"/>
      <c r="I32" s="92" t="s">
        <v>12</v>
      </c>
      <c r="J32" s="4" t="s">
        <v>12</v>
      </c>
      <c r="K32" s="82"/>
      <c r="M32" s="110"/>
    </row>
    <row r="33" spans="1:15" ht="15.75" customHeight="1" x14ac:dyDescent="0.5">
      <c r="A33" s="1" t="s">
        <v>70</v>
      </c>
      <c r="B33" s="3" t="s">
        <v>71</v>
      </c>
      <c r="C33" s="4" t="s">
        <v>12</v>
      </c>
      <c r="D33" s="4"/>
      <c r="E33" s="4">
        <v>1.1000000000000001</v>
      </c>
      <c r="F33" s="4">
        <v>50</v>
      </c>
      <c r="G33" s="4">
        <v>13</v>
      </c>
      <c r="H33" s="81"/>
      <c r="I33" s="92" t="s">
        <v>12</v>
      </c>
      <c r="J33" s="4" t="s">
        <v>12</v>
      </c>
      <c r="K33" s="82"/>
      <c r="M33" s="110"/>
    </row>
    <row r="34" spans="1:15" ht="15.75" customHeight="1" x14ac:dyDescent="0.5">
      <c r="A34" s="1" t="s">
        <v>72</v>
      </c>
      <c r="B34" s="3" t="s">
        <v>73</v>
      </c>
      <c r="C34" s="4" t="s">
        <v>12</v>
      </c>
      <c r="D34" s="4"/>
      <c r="E34" s="4">
        <v>2.2000000000000002</v>
      </c>
      <c r="F34" s="4">
        <v>160</v>
      </c>
      <c r="G34" s="4">
        <v>46</v>
      </c>
      <c r="H34" s="81"/>
      <c r="I34" s="92" t="s">
        <v>12</v>
      </c>
      <c r="J34" s="4" t="s">
        <v>12</v>
      </c>
      <c r="K34" s="82"/>
      <c r="M34" s="110"/>
    </row>
    <row r="35" spans="1:15" ht="15.75" customHeight="1" x14ac:dyDescent="0.5">
      <c r="A35" s="1" t="s">
        <v>74</v>
      </c>
      <c r="B35" s="3" t="s">
        <v>75</v>
      </c>
      <c r="C35" s="4">
        <v>0.8</v>
      </c>
      <c r="D35" s="4">
        <f t="shared" ref="D35:D70" si="4">1/C35</f>
        <v>1.25</v>
      </c>
      <c r="E35" s="4">
        <v>0.57999999999999996</v>
      </c>
      <c r="F35" s="4" t="s">
        <v>12</v>
      </c>
      <c r="G35" s="4">
        <v>14</v>
      </c>
      <c r="H35" s="81">
        <f t="shared" si="1"/>
        <v>3.7499999999999999E-2</v>
      </c>
      <c r="I35" s="92" t="s">
        <v>12</v>
      </c>
      <c r="J35" s="4">
        <v>0.03</v>
      </c>
      <c r="K35" s="82">
        <f>E35*C35</f>
        <v>0.46399999999999997</v>
      </c>
      <c r="M35" s="110"/>
    </row>
    <row r="36" spans="1:15" ht="15.75" customHeight="1" x14ac:dyDescent="0.5">
      <c r="A36" s="1" t="s">
        <v>76</v>
      </c>
      <c r="B36" s="3" t="s">
        <v>75</v>
      </c>
      <c r="C36" s="4">
        <v>0.8</v>
      </c>
      <c r="D36" s="4">
        <f t="shared" si="4"/>
        <v>1.25</v>
      </c>
      <c r="E36" s="4">
        <v>0.88</v>
      </c>
      <c r="F36" s="4" t="s">
        <v>12</v>
      </c>
      <c r="G36" s="4">
        <v>27</v>
      </c>
      <c r="H36" s="81"/>
      <c r="I36" s="92" t="s">
        <v>12</v>
      </c>
      <c r="J36" s="4" t="s">
        <v>12</v>
      </c>
      <c r="K36" s="82">
        <f>E36*C36</f>
        <v>0.70400000000000007</v>
      </c>
      <c r="M36" s="110"/>
    </row>
    <row r="37" spans="1:15" ht="15.75" customHeight="1" x14ac:dyDescent="0.5">
      <c r="A37" s="1" t="s">
        <v>77</v>
      </c>
      <c r="B37" s="3" t="s">
        <v>78</v>
      </c>
      <c r="C37" s="4">
        <v>0.8</v>
      </c>
      <c r="D37" s="4">
        <f t="shared" si="4"/>
        <v>1.25</v>
      </c>
      <c r="E37" s="4">
        <v>1.8</v>
      </c>
      <c r="F37" s="4">
        <v>89</v>
      </c>
      <c r="G37" s="4">
        <v>94</v>
      </c>
      <c r="H37" s="81"/>
      <c r="I37" s="92" t="s">
        <v>12</v>
      </c>
      <c r="J37" s="4" t="s">
        <v>12</v>
      </c>
      <c r="K37" s="82">
        <f>E37*C37</f>
        <v>1.4400000000000002</v>
      </c>
      <c r="M37" s="110"/>
    </row>
    <row r="38" spans="1:15" ht="15.75" customHeight="1" x14ac:dyDescent="0.5">
      <c r="A38" s="1" t="s">
        <v>139</v>
      </c>
      <c r="B38" s="3" t="s">
        <v>140</v>
      </c>
      <c r="C38" s="4">
        <f>+D38^-1</f>
        <v>0.625</v>
      </c>
      <c r="D38" s="4">
        <v>1.6</v>
      </c>
      <c r="E38" s="4">
        <v>1.7</v>
      </c>
      <c r="F38" s="4">
        <v>78</v>
      </c>
      <c r="G38" s="4">
        <f>4.2*1.72/2*10</f>
        <v>36.120000000000005</v>
      </c>
      <c r="H38" s="81">
        <f>J38/0.39</f>
        <v>0.24615384615384614</v>
      </c>
      <c r="I38" s="92">
        <v>770</v>
      </c>
      <c r="J38" s="4">
        <v>9.6000000000000002E-2</v>
      </c>
      <c r="K38" s="83">
        <v>4.2</v>
      </c>
      <c r="L38" s="83">
        <v>7</v>
      </c>
      <c r="M38" s="61" t="s">
        <v>141</v>
      </c>
    </row>
    <row r="39" spans="1:15" ht="15.75" customHeight="1" x14ac:dyDescent="0.5">
      <c r="A39" s="1" t="s">
        <v>169</v>
      </c>
      <c r="B39" s="3" t="s">
        <v>170</v>
      </c>
      <c r="C39" s="4">
        <v>0.36</v>
      </c>
      <c r="D39" s="4"/>
      <c r="E39" s="4">
        <v>5.5</v>
      </c>
      <c r="F39" s="4">
        <v>211</v>
      </c>
      <c r="G39" s="4">
        <f>0.5*E39*5.5*10</f>
        <v>151.25</v>
      </c>
      <c r="H39" s="81">
        <v>1.46</v>
      </c>
      <c r="I39" s="92"/>
      <c r="J39" s="4"/>
      <c r="K39" s="82">
        <f t="shared" ref="K39:K40" si="5">E39*C39</f>
        <v>1.98</v>
      </c>
      <c r="L39" s="83">
        <v>28</v>
      </c>
      <c r="M39" s="61" t="s">
        <v>171</v>
      </c>
      <c r="O39" t="s">
        <v>172</v>
      </c>
    </row>
    <row r="40" spans="1:15" ht="15.75" customHeight="1" x14ac:dyDescent="0.5">
      <c r="A40" s="1" t="s">
        <v>173</v>
      </c>
      <c r="B40" s="3" t="s">
        <v>150</v>
      </c>
      <c r="C40" s="4">
        <v>0.92</v>
      </c>
      <c r="D40" s="4"/>
      <c r="E40" s="4">
        <v>4.08</v>
      </c>
      <c r="F40" s="4">
        <v>187.5</v>
      </c>
      <c r="G40" s="4">
        <f>E40*3.1/2*10</f>
        <v>63.240000000000009</v>
      </c>
      <c r="H40" s="81">
        <v>2.27</v>
      </c>
      <c r="I40" s="92"/>
      <c r="J40" s="4"/>
      <c r="K40" s="83">
        <f t="shared" si="5"/>
        <v>3.7536</v>
      </c>
      <c r="L40">
        <v>17</v>
      </c>
      <c r="M40" s="109" t="s">
        <v>174</v>
      </c>
    </row>
    <row r="41" spans="1:15" ht="15.75" customHeight="1" x14ac:dyDescent="0.5">
      <c r="A41" s="1" t="s">
        <v>175</v>
      </c>
      <c r="B41" s="3" t="s">
        <v>176</v>
      </c>
      <c r="C41" s="4">
        <f>J41/H41</f>
        <v>1.4121037463976944</v>
      </c>
      <c r="D41" s="4">
        <f>1/C41</f>
        <v>0.7081632653061225</v>
      </c>
      <c r="E41" s="4">
        <v>0.97499999999999998</v>
      </c>
      <c r="F41" s="4">
        <v>2.2200000000000002</v>
      </c>
      <c r="G41" s="4">
        <v>23.46</v>
      </c>
      <c r="H41" s="81">
        <v>17.350000000000001</v>
      </c>
      <c r="I41" s="92"/>
      <c r="J41" s="4">
        <v>24.5</v>
      </c>
      <c r="K41" s="83">
        <v>1.5</v>
      </c>
      <c r="L41" s="83">
        <v>50</v>
      </c>
      <c r="M41" s="109" t="s">
        <v>177</v>
      </c>
    </row>
    <row r="42" spans="1:15" s="49" customFormat="1" ht="15.75" customHeight="1" x14ac:dyDescent="0.5">
      <c r="A42" s="45" t="s">
        <v>79</v>
      </c>
      <c r="B42" s="46" t="s">
        <v>80</v>
      </c>
      <c r="C42" s="47">
        <v>1.76</v>
      </c>
      <c r="D42" s="47">
        <f t="shared" si="4"/>
        <v>0.56818181818181823</v>
      </c>
      <c r="E42" s="47">
        <v>2.0099999999999998</v>
      </c>
      <c r="F42" s="47">
        <v>131</v>
      </c>
      <c r="G42" s="47">
        <v>16</v>
      </c>
      <c r="H42" s="84">
        <f t="shared" si="1"/>
        <v>3.4090909090909088E-2</v>
      </c>
      <c r="I42" s="93">
        <v>10.5</v>
      </c>
      <c r="J42" s="47">
        <v>0.06</v>
      </c>
      <c r="K42" s="66"/>
    </row>
    <row r="43" spans="1:15" s="49" customFormat="1" ht="15.75" customHeight="1" x14ac:dyDescent="0.5">
      <c r="A43" s="45" t="s">
        <v>81</v>
      </c>
      <c r="B43" s="46" t="s">
        <v>80</v>
      </c>
      <c r="C43" s="47">
        <v>1.8</v>
      </c>
      <c r="D43" s="47">
        <f t="shared" si="4"/>
        <v>0.55555555555555558</v>
      </c>
      <c r="E43" s="47">
        <v>2.72</v>
      </c>
      <c r="F43" s="47">
        <v>128</v>
      </c>
      <c r="G43" s="47" t="s">
        <v>12</v>
      </c>
      <c r="H43" s="84">
        <f t="shared" si="1"/>
        <v>3.3333333333333333E-2</v>
      </c>
      <c r="I43" s="93">
        <v>9.6</v>
      </c>
      <c r="J43" s="47">
        <v>0.06</v>
      </c>
      <c r="K43" s="66"/>
    </row>
    <row r="44" spans="1:15" s="49" customFormat="1" ht="15.75" customHeight="1" x14ac:dyDescent="0.5">
      <c r="A44" s="45" t="s">
        <v>82</v>
      </c>
      <c r="B44" s="46" t="s">
        <v>80</v>
      </c>
      <c r="C44" s="47">
        <v>1.8</v>
      </c>
      <c r="D44" s="47">
        <f t="shared" si="4"/>
        <v>0.55555555555555558</v>
      </c>
      <c r="E44" s="47">
        <v>3.27</v>
      </c>
      <c r="F44" s="47">
        <v>163</v>
      </c>
      <c r="G44" s="47" t="s">
        <v>12</v>
      </c>
      <c r="H44" s="84">
        <f t="shared" si="1"/>
        <v>4.4444444444444446E-2</v>
      </c>
      <c r="I44" s="93">
        <v>11.3</v>
      </c>
      <c r="J44" s="47">
        <v>0.08</v>
      </c>
      <c r="K44" s="66"/>
    </row>
    <row r="45" spans="1:15" s="49" customFormat="1" ht="15.75" customHeight="1" x14ac:dyDescent="0.5">
      <c r="A45" s="45" t="s">
        <v>83</v>
      </c>
      <c r="B45" s="46" t="s">
        <v>80</v>
      </c>
      <c r="C45" s="47">
        <v>1.8</v>
      </c>
      <c r="D45" s="47">
        <f t="shared" si="4"/>
        <v>0.55555555555555558</v>
      </c>
      <c r="E45" s="47">
        <v>3.54</v>
      </c>
      <c r="F45" s="47">
        <v>163</v>
      </c>
      <c r="G45" s="47" t="s">
        <v>12</v>
      </c>
      <c r="H45" s="84">
        <f t="shared" si="1"/>
        <v>3.888888888888889E-2</v>
      </c>
      <c r="I45" s="93">
        <v>10.5</v>
      </c>
      <c r="J45" s="47">
        <v>7.0000000000000007E-2</v>
      </c>
      <c r="K45" s="66"/>
    </row>
    <row r="46" spans="1:15" s="49" customFormat="1" ht="15.75" customHeight="1" x14ac:dyDescent="0.5">
      <c r="A46" s="45" t="s">
        <v>84</v>
      </c>
      <c r="B46" s="46" t="s">
        <v>80</v>
      </c>
      <c r="C46" s="47">
        <v>1.79</v>
      </c>
      <c r="D46" s="47">
        <f t="shared" si="4"/>
        <v>0.55865921787709494</v>
      </c>
      <c r="E46" s="47">
        <v>3.91</v>
      </c>
      <c r="F46" s="47">
        <v>181</v>
      </c>
      <c r="G46" s="47">
        <v>39</v>
      </c>
      <c r="H46" s="84">
        <f t="shared" si="1"/>
        <v>3.9106145251396648E-2</v>
      </c>
      <c r="I46" s="93">
        <v>13</v>
      </c>
      <c r="J46" s="47">
        <v>7.0000000000000007E-2</v>
      </c>
      <c r="K46" s="66">
        <f>E46*C46</f>
        <v>6.9989000000000008</v>
      </c>
    </row>
    <row r="47" spans="1:15" s="49" customFormat="1" ht="15.75" customHeight="1" x14ac:dyDescent="0.5">
      <c r="A47" s="45" t="s">
        <v>85</v>
      </c>
      <c r="B47" s="46" t="s">
        <v>80</v>
      </c>
      <c r="C47" s="47">
        <v>1.75</v>
      </c>
      <c r="D47" s="47">
        <f t="shared" si="4"/>
        <v>0.5714285714285714</v>
      </c>
      <c r="E47" s="47">
        <v>2.58</v>
      </c>
      <c r="F47" s="47">
        <v>196</v>
      </c>
      <c r="G47" s="47">
        <v>18</v>
      </c>
      <c r="H47" s="84">
        <f t="shared" si="1"/>
        <v>5.1428571428571428E-2</v>
      </c>
      <c r="I47" s="93">
        <v>38.9</v>
      </c>
      <c r="J47" s="47">
        <v>0.09</v>
      </c>
      <c r="K47" s="66"/>
    </row>
    <row r="48" spans="1:15" s="49" customFormat="1" ht="15.75" customHeight="1" x14ac:dyDescent="0.5">
      <c r="A48" s="45" t="s">
        <v>86</v>
      </c>
      <c r="B48" s="46" t="s">
        <v>80</v>
      </c>
      <c r="C48" s="47">
        <v>1.77</v>
      </c>
      <c r="D48" s="47">
        <f t="shared" si="4"/>
        <v>0.56497175141242939</v>
      </c>
      <c r="E48" s="47">
        <v>2.4900000000000002</v>
      </c>
      <c r="F48" s="47">
        <v>213</v>
      </c>
      <c r="G48" s="47" t="s">
        <v>12</v>
      </c>
      <c r="H48" s="84">
        <f t="shared" si="1"/>
        <v>5.6497175141242938E-2</v>
      </c>
      <c r="I48" s="93">
        <v>66.900000000000006</v>
      </c>
      <c r="J48" s="47">
        <v>0.1</v>
      </c>
      <c r="K48" s="66"/>
    </row>
    <row r="49" spans="1:13" s="49" customFormat="1" ht="15.75" customHeight="1" x14ac:dyDescent="0.5">
      <c r="A49" s="45" t="s">
        <v>87</v>
      </c>
      <c r="B49" s="46" t="s">
        <v>80</v>
      </c>
      <c r="C49" s="47">
        <v>1.93</v>
      </c>
      <c r="D49" s="47">
        <f t="shared" si="4"/>
        <v>0.5181347150259068</v>
      </c>
      <c r="E49" s="47">
        <v>1.98</v>
      </c>
      <c r="F49" s="47">
        <v>305</v>
      </c>
      <c r="G49" s="47">
        <v>7</v>
      </c>
      <c r="H49" s="84">
        <f t="shared" si="1"/>
        <v>7.2538860103626951E-2</v>
      </c>
      <c r="I49" s="93">
        <v>150.5</v>
      </c>
      <c r="J49" s="47">
        <v>0.14000000000000001</v>
      </c>
      <c r="K49" s="66"/>
    </row>
    <row r="50" spans="1:13" s="49" customFormat="1" ht="15.75" customHeight="1" x14ac:dyDescent="0.5">
      <c r="A50" s="45" t="s">
        <v>88</v>
      </c>
      <c r="B50" s="46" t="s">
        <v>80</v>
      </c>
      <c r="C50" s="47">
        <v>1.82</v>
      </c>
      <c r="D50" s="47">
        <f t="shared" si="4"/>
        <v>0.54945054945054939</v>
      </c>
      <c r="E50" s="47">
        <v>4.4000000000000004</v>
      </c>
      <c r="F50" s="47">
        <v>173</v>
      </c>
      <c r="G50" s="47"/>
      <c r="H50" s="84">
        <f t="shared" si="1"/>
        <v>0</v>
      </c>
      <c r="I50" s="93"/>
      <c r="J50" s="47"/>
      <c r="K50" s="66"/>
    </row>
    <row r="51" spans="1:13" s="49" customFormat="1" ht="15.75" customHeight="1" x14ac:dyDescent="0.5">
      <c r="A51" s="45" t="s">
        <v>89</v>
      </c>
      <c r="B51" s="46" t="s">
        <v>80</v>
      </c>
      <c r="C51" s="47">
        <v>1.79</v>
      </c>
      <c r="D51" s="47">
        <f t="shared" si="4"/>
        <v>0.55865921787709494</v>
      </c>
      <c r="E51" s="47">
        <v>2.48</v>
      </c>
      <c r="F51" s="47">
        <v>129</v>
      </c>
      <c r="G51" s="47">
        <v>23</v>
      </c>
      <c r="H51" s="84">
        <f t="shared" si="1"/>
        <v>3.3519553072625698E-2</v>
      </c>
      <c r="I51" s="93">
        <v>6.83</v>
      </c>
      <c r="J51" s="47">
        <v>0.06</v>
      </c>
      <c r="K51" s="66"/>
    </row>
    <row r="52" spans="1:13" s="49" customFormat="1" ht="15.75" customHeight="1" x14ac:dyDescent="0.5">
      <c r="A52" s="45" t="s">
        <v>90</v>
      </c>
      <c r="B52" s="46" t="s">
        <v>80</v>
      </c>
      <c r="C52" s="47">
        <v>1.78</v>
      </c>
      <c r="D52" s="47">
        <f t="shared" si="4"/>
        <v>0.5617977528089888</v>
      </c>
      <c r="E52" s="47">
        <v>3.2</v>
      </c>
      <c r="F52" s="47">
        <v>155</v>
      </c>
      <c r="G52" s="47" t="s">
        <v>12</v>
      </c>
      <c r="H52" s="84">
        <f t="shared" si="1"/>
        <v>3.9325842696629219E-2</v>
      </c>
      <c r="I52" s="93">
        <v>5.4</v>
      </c>
      <c r="J52" s="47">
        <v>7.0000000000000007E-2</v>
      </c>
      <c r="K52" s="66"/>
    </row>
    <row r="53" spans="1:13" s="49" customFormat="1" ht="15.75" customHeight="1" x14ac:dyDescent="0.5">
      <c r="A53" s="45" t="s">
        <v>91</v>
      </c>
      <c r="B53" s="46" t="s">
        <v>80</v>
      </c>
      <c r="C53" s="47">
        <v>1.79</v>
      </c>
      <c r="D53" s="47">
        <f t="shared" si="4"/>
        <v>0.55865921787709494</v>
      </c>
      <c r="E53" s="47">
        <v>3.81</v>
      </c>
      <c r="F53" s="47">
        <v>175</v>
      </c>
      <c r="G53" s="47" t="s">
        <v>12</v>
      </c>
      <c r="H53" s="84">
        <f t="shared" si="1"/>
        <v>4.4692737430167599E-2</v>
      </c>
      <c r="I53" s="93">
        <v>6.14</v>
      </c>
      <c r="J53" s="47">
        <v>0.08</v>
      </c>
      <c r="K53" s="66"/>
    </row>
    <row r="54" spans="1:13" s="49" customFormat="1" ht="15.75" customHeight="1" x14ac:dyDescent="0.5">
      <c r="A54" s="45" t="s">
        <v>92</v>
      </c>
      <c r="B54" s="46" t="s">
        <v>80</v>
      </c>
      <c r="C54" s="47">
        <v>1.83</v>
      </c>
      <c r="D54" s="47">
        <f t="shared" si="4"/>
        <v>0.54644808743169393</v>
      </c>
      <c r="E54" s="47">
        <v>2.64</v>
      </c>
      <c r="F54" s="47">
        <v>237</v>
      </c>
      <c r="G54" s="47" t="s">
        <v>12</v>
      </c>
      <c r="H54" s="84">
        <f t="shared" si="1"/>
        <v>6.0109289617486336E-2</v>
      </c>
      <c r="I54" s="93">
        <v>55</v>
      </c>
      <c r="J54" s="47">
        <v>0.11</v>
      </c>
      <c r="K54" s="66"/>
    </row>
    <row r="55" spans="1:13" s="49" customFormat="1" ht="15.75" customHeight="1" x14ac:dyDescent="0.5">
      <c r="A55" s="45" t="s">
        <v>93</v>
      </c>
      <c r="B55" s="46" t="s">
        <v>94</v>
      </c>
      <c r="C55" s="47">
        <v>2.1</v>
      </c>
      <c r="D55" s="47">
        <f t="shared" si="4"/>
        <v>0.47619047619047616</v>
      </c>
      <c r="E55" s="47">
        <v>1.82</v>
      </c>
      <c r="F55" s="47">
        <v>248</v>
      </c>
      <c r="G55" s="47" t="s">
        <v>12</v>
      </c>
      <c r="H55" s="84">
        <f t="shared" si="1"/>
        <v>6.6666666666666666E-2</v>
      </c>
      <c r="I55" s="93">
        <v>120</v>
      </c>
      <c r="J55" s="47">
        <v>0.14000000000000001</v>
      </c>
      <c r="K55" s="66"/>
    </row>
    <row r="56" spans="1:13" s="49" customFormat="1" ht="15.75" customHeight="1" x14ac:dyDescent="0.5">
      <c r="A56" s="45" t="s">
        <v>95</v>
      </c>
      <c r="B56" s="46" t="s">
        <v>94</v>
      </c>
      <c r="C56" s="47">
        <v>2.15</v>
      </c>
      <c r="D56" s="47">
        <f t="shared" si="4"/>
        <v>0.46511627906976744</v>
      </c>
      <c r="E56" s="47">
        <v>1.69</v>
      </c>
      <c r="F56" s="47">
        <v>335</v>
      </c>
      <c r="G56" s="47" t="s">
        <v>12</v>
      </c>
      <c r="H56" s="84">
        <f t="shared" si="1"/>
        <v>9.3023255813953501E-2</v>
      </c>
      <c r="I56" s="93">
        <v>250</v>
      </c>
      <c r="J56" s="47">
        <v>0.2</v>
      </c>
      <c r="K56" s="66"/>
    </row>
    <row r="57" spans="1:13" s="49" customFormat="1" ht="15.75" customHeight="1" x14ac:dyDescent="0.5">
      <c r="A57" s="45" t="s">
        <v>96</v>
      </c>
      <c r="B57" s="46" t="s">
        <v>94</v>
      </c>
      <c r="C57" s="47">
        <v>2.17</v>
      </c>
      <c r="D57" s="47">
        <f t="shared" si="4"/>
        <v>0.46082949308755761</v>
      </c>
      <c r="E57" s="47">
        <v>1.67</v>
      </c>
      <c r="F57" s="47">
        <v>362</v>
      </c>
      <c r="G57" s="47" t="s">
        <v>12</v>
      </c>
      <c r="H57" s="84">
        <f t="shared" si="1"/>
        <v>9.2165898617511524E-2</v>
      </c>
      <c r="I57" s="93">
        <v>320</v>
      </c>
      <c r="J57" s="47">
        <v>0.2</v>
      </c>
      <c r="K57" s="66"/>
    </row>
    <row r="58" spans="1:13" s="49" customFormat="1" ht="15.75" customHeight="1" x14ac:dyDescent="0.5">
      <c r="A58" s="45" t="s">
        <v>97</v>
      </c>
      <c r="B58" s="46" t="s">
        <v>94</v>
      </c>
      <c r="C58" s="47">
        <v>2.1800000000000002</v>
      </c>
      <c r="D58" s="47">
        <f t="shared" si="4"/>
        <v>0.4587155963302752</v>
      </c>
      <c r="E58" s="47">
        <v>1.62</v>
      </c>
      <c r="F58" s="47">
        <v>404</v>
      </c>
      <c r="G58" s="47" t="s">
        <v>12</v>
      </c>
      <c r="H58" s="84">
        <f t="shared" si="1"/>
        <v>0.15137614678899083</v>
      </c>
      <c r="I58" s="93">
        <v>500</v>
      </c>
      <c r="J58" s="47">
        <v>0.33</v>
      </c>
      <c r="K58" s="66"/>
    </row>
    <row r="59" spans="1:13" s="49" customFormat="1" ht="15.75" customHeight="1" x14ac:dyDescent="0.5">
      <c r="A59" s="45" t="s">
        <v>98</v>
      </c>
      <c r="B59" s="46" t="s">
        <v>94</v>
      </c>
      <c r="C59" s="47">
        <v>2.19</v>
      </c>
      <c r="D59" s="47">
        <f t="shared" si="4"/>
        <v>0.45662100456621008</v>
      </c>
      <c r="E59" s="47">
        <v>1.61</v>
      </c>
      <c r="F59" s="47">
        <v>420</v>
      </c>
      <c r="G59" s="47">
        <v>2.42</v>
      </c>
      <c r="H59" s="84">
        <f t="shared" si="1"/>
        <v>0.20547945205479454</v>
      </c>
      <c r="I59" s="93">
        <v>600</v>
      </c>
      <c r="J59" s="47">
        <v>0.45</v>
      </c>
      <c r="K59" s="66"/>
      <c r="L59" s="58" t="s">
        <v>138</v>
      </c>
    </row>
    <row r="60" spans="1:13" s="49" customFormat="1" ht="15.75" customHeight="1" x14ac:dyDescent="0.5">
      <c r="A60" s="45" t="s">
        <v>99</v>
      </c>
      <c r="B60" s="46" t="s">
        <v>94</v>
      </c>
      <c r="C60" s="47">
        <v>2.12</v>
      </c>
      <c r="D60" s="47">
        <f t="shared" si="4"/>
        <v>0.47169811320754712</v>
      </c>
      <c r="E60" s="47">
        <v>1.7</v>
      </c>
      <c r="F60" s="47">
        <v>292</v>
      </c>
      <c r="G60" s="47" t="s">
        <v>12</v>
      </c>
      <c r="H60" s="84">
        <f t="shared" si="1"/>
        <v>7.0754716981132074E-2</v>
      </c>
      <c r="I60" s="93">
        <v>140</v>
      </c>
      <c r="J60" s="47">
        <v>0.15</v>
      </c>
      <c r="K60" s="66"/>
    </row>
    <row r="61" spans="1:13" s="49" customFormat="1" ht="15.75" customHeight="1" x14ac:dyDescent="0.5">
      <c r="A61" s="45" t="s">
        <v>100</v>
      </c>
      <c r="B61" s="46" t="s">
        <v>94</v>
      </c>
      <c r="C61" s="47">
        <v>2.15</v>
      </c>
      <c r="D61" s="47">
        <f t="shared" si="4"/>
        <v>0.46511627906976744</v>
      </c>
      <c r="E61" s="47">
        <v>1.72</v>
      </c>
      <c r="F61" s="47">
        <v>353</v>
      </c>
      <c r="G61" s="47" t="s">
        <v>12</v>
      </c>
      <c r="H61" s="84">
        <f t="shared" si="1"/>
        <v>9.3023255813953501E-2</v>
      </c>
      <c r="I61" s="93">
        <v>210</v>
      </c>
      <c r="J61" s="47">
        <v>0.2</v>
      </c>
      <c r="K61" s="66"/>
    </row>
    <row r="62" spans="1:13" s="49" customFormat="1" ht="15.75" customHeight="1" x14ac:dyDescent="0.5">
      <c r="A62" s="45" t="s">
        <v>101</v>
      </c>
      <c r="B62" s="46" t="s">
        <v>94</v>
      </c>
      <c r="C62" s="47">
        <v>2.1800000000000002</v>
      </c>
      <c r="D62" s="47">
        <f t="shared" si="4"/>
        <v>0.4587155963302752</v>
      </c>
      <c r="E62" s="47">
        <v>1.65</v>
      </c>
      <c r="F62" s="47">
        <v>413</v>
      </c>
      <c r="G62" s="47" t="s">
        <v>12</v>
      </c>
      <c r="H62" s="84">
        <f t="shared" si="1"/>
        <v>0.1834862385321101</v>
      </c>
      <c r="I62" s="93">
        <v>580</v>
      </c>
      <c r="J62" s="47">
        <v>0.4</v>
      </c>
      <c r="K62" s="66"/>
    </row>
    <row r="63" spans="1:13" s="49" customFormat="1" ht="15.75" customHeight="1" x14ac:dyDescent="0.5">
      <c r="A63" s="45" t="s">
        <v>102</v>
      </c>
      <c r="B63" s="46" t="s">
        <v>94</v>
      </c>
      <c r="C63" s="47">
        <v>2.2000000000000002</v>
      </c>
      <c r="D63" s="47">
        <f t="shared" si="4"/>
        <v>0.45454545454545453</v>
      </c>
      <c r="E63" s="47">
        <v>1.68</v>
      </c>
      <c r="F63" s="47">
        <v>425</v>
      </c>
      <c r="G63" s="47" t="s">
        <v>12</v>
      </c>
      <c r="H63" s="84">
        <f t="shared" si="1"/>
        <v>0.30454545454545456</v>
      </c>
      <c r="I63" s="93">
        <v>800</v>
      </c>
      <c r="J63" s="47">
        <v>0.67</v>
      </c>
      <c r="K63" s="66"/>
    </row>
    <row r="64" spans="1:13" s="49" customFormat="1" ht="15.75" customHeight="1" x14ac:dyDescent="0.5">
      <c r="A64" s="65" t="s">
        <v>145</v>
      </c>
      <c r="B64" s="48" t="s">
        <v>146</v>
      </c>
      <c r="C64" s="67">
        <v>1.8</v>
      </c>
      <c r="D64" s="66">
        <f t="shared" si="4"/>
        <v>0.55555555555555558</v>
      </c>
      <c r="E64" s="66"/>
      <c r="F64" s="67">
        <f>930/C64</f>
        <v>516.66666666666663</v>
      </c>
      <c r="G64" s="66"/>
      <c r="H64" s="84"/>
      <c r="I64" s="94"/>
      <c r="J64" s="66"/>
      <c r="K64" s="66"/>
      <c r="M64" s="49" t="s">
        <v>148</v>
      </c>
    </row>
    <row r="65" spans="1:13" s="77" customFormat="1" ht="15.75" customHeight="1" x14ac:dyDescent="0.5">
      <c r="A65" s="73" t="s">
        <v>165</v>
      </c>
      <c r="B65" s="74" t="s">
        <v>167</v>
      </c>
      <c r="C65" s="76">
        <v>1.86</v>
      </c>
      <c r="D65" s="75">
        <f t="shared" si="4"/>
        <v>0.5376344086021505</v>
      </c>
      <c r="E65" s="75">
        <f>K65/C65</f>
        <v>2.7903225806451615</v>
      </c>
      <c r="F65" s="76">
        <f>529/C65</f>
        <v>284.4086021505376</v>
      </c>
      <c r="G65" s="75">
        <v>18.29</v>
      </c>
      <c r="H65" s="85">
        <f>J65/C65</f>
        <v>6.4516129032258064E-3</v>
      </c>
      <c r="I65" s="95">
        <v>232</v>
      </c>
      <c r="J65" s="75">
        <v>1.2E-2</v>
      </c>
      <c r="K65" s="75">
        <v>5.19</v>
      </c>
      <c r="M65" s="77" t="s">
        <v>166</v>
      </c>
    </row>
    <row r="66" spans="1:13" s="77" customFormat="1" ht="15.75" customHeight="1" x14ac:dyDescent="0.5">
      <c r="A66" s="73"/>
      <c r="B66" s="74"/>
      <c r="C66" s="76"/>
      <c r="D66" s="75"/>
      <c r="E66" s="75"/>
      <c r="F66" s="76"/>
      <c r="G66" s="75"/>
      <c r="H66" s="85"/>
      <c r="I66" s="95"/>
      <c r="J66" s="75"/>
      <c r="K66" s="75"/>
    </row>
    <row r="67" spans="1:13" s="51" customFormat="1" ht="15.75" customHeight="1" x14ac:dyDescent="0.5">
      <c r="A67" s="50" t="s">
        <v>128</v>
      </c>
      <c r="C67" s="86">
        <v>8.9600000000000009</v>
      </c>
      <c r="D67" s="52">
        <f t="shared" si="4"/>
        <v>0.11160714285714285</v>
      </c>
      <c r="E67" s="59">
        <f>K67/C67</f>
        <v>3.8392857142857138E-2</v>
      </c>
      <c r="F67" s="86">
        <f>110/C67</f>
        <v>12.276785714285714</v>
      </c>
      <c r="G67" s="59">
        <v>6.2</v>
      </c>
      <c r="H67" s="87">
        <f t="shared" si="1"/>
        <v>6.5651260504201669</v>
      </c>
      <c r="I67" s="96">
        <v>385</v>
      </c>
      <c r="J67" s="59">
        <f>1/(0.000000017)/10^6</f>
        <v>58.823529411764703</v>
      </c>
      <c r="K67" s="59">
        <v>0.34399999999999997</v>
      </c>
      <c r="L67" s="51">
        <v>0.14000000000000001</v>
      </c>
      <c r="M67" s="51" t="s">
        <v>129</v>
      </c>
    </row>
    <row r="68" spans="1:13" s="51" customFormat="1" ht="15.75" customHeight="1" x14ac:dyDescent="0.5">
      <c r="A68" s="53" t="s">
        <v>130</v>
      </c>
      <c r="C68" s="86">
        <v>2.7</v>
      </c>
      <c r="D68" s="52">
        <f t="shared" si="4"/>
        <v>0.37037037037037035</v>
      </c>
      <c r="E68" s="59">
        <f>K68/C68</f>
        <v>4.2592592592592592E-2</v>
      </c>
      <c r="F68" s="59">
        <f>68/C68</f>
        <v>25.185185185185183</v>
      </c>
      <c r="G68" s="59">
        <v>4.2</v>
      </c>
      <c r="H68" s="87">
        <f t="shared" si="1"/>
        <v>13.227513227513228</v>
      </c>
      <c r="I68" s="96">
        <v>210</v>
      </c>
      <c r="J68" s="59">
        <f>(0.000000028)^-1/10^6</f>
        <v>35.714285714285715</v>
      </c>
      <c r="K68" s="59">
        <v>0.115</v>
      </c>
      <c r="M68" s="54" t="s">
        <v>131</v>
      </c>
    </row>
    <row r="69" spans="1:13" s="51" customFormat="1" ht="15.75" customHeight="1" x14ac:dyDescent="0.5">
      <c r="A69" s="50" t="s">
        <v>132</v>
      </c>
      <c r="C69" s="86">
        <v>7.86</v>
      </c>
      <c r="D69" s="52">
        <f t="shared" si="4"/>
        <v>0.1272264631043257</v>
      </c>
      <c r="E69" s="59">
        <f>K69/C69</f>
        <v>0.30916030534351147</v>
      </c>
      <c r="F69" s="59">
        <f>192/C69</f>
        <v>24.427480916030532</v>
      </c>
      <c r="G69" s="59">
        <v>17.5</v>
      </c>
      <c r="H69" s="87">
        <f t="shared" si="1"/>
        <v>0.75063613231552162</v>
      </c>
      <c r="I69" s="96">
        <v>54</v>
      </c>
      <c r="J69" s="59">
        <f>5900000/10^6</f>
        <v>5.9</v>
      </c>
      <c r="K69" s="59">
        <v>2.4300000000000002</v>
      </c>
      <c r="M69" s="54" t="s">
        <v>133</v>
      </c>
    </row>
    <row r="70" spans="1:13" s="51" customFormat="1" ht="15.75" customHeight="1" x14ac:dyDescent="0.5">
      <c r="A70" s="55" t="s">
        <v>135</v>
      </c>
      <c r="B70" s="56"/>
      <c r="C70" s="88">
        <v>7.85</v>
      </c>
      <c r="D70" s="57">
        <f t="shared" si="4"/>
        <v>0.12738853503184713</v>
      </c>
      <c r="E70" s="78">
        <f>+K70/C70</f>
        <v>6.1146496815286625E-2</v>
      </c>
      <c r="F70" s="78">
        <f>200/C70</f>
        <v>25.477707006369428</v>
      </c>
      <c r="G70" s="89">
        <v>6</v>
      </c>
      <c r="H70" s="90">
        <f t="shared" si="1"/>
        <v>0.88662420382165608</v>
      </c>
      <c r="I70" s="97">
        <v>50.1</v>
      </c>
      <c r="J70" s="78">
        <v>6.96</v>
      </c>
      <c r="K70" s="89">
        <v>0.48</v>
      </c>
    </row>
    <row r="71" spans="1:13" ht="15.75" customHeight="1" x14ac:dyDescent="0.5">
      <c r="D71" s="9"/>
    </row>
    <row r="72" spans="1:13" ht="15.75" customHeight="1" x14ac:dyDescent="0.5">
      <c r="A72" s="50" t="s">
        <v>142</v>
      </c>
      <c r="B72" s="51"/>
      <c r="C72" s="59">
        <f>MAX(C2:C70)</f>
        <v>8.9600000000000009</v>
      </c>
      <c r="D72" s="59">
        <f>MAX(D2:D70)</f>
        <v>1.6</v>
      </c>
      <c r="E72" s="59">
        <f t="shared" ref="E72:J72" si="6">MAX(E2:E69)</f>
        <v>5.8</v>
      </c>
      <c r="F72" s="59">
        <f>MAX(F2:F69)</f>
        <v>535</v>
      </c>
      <c r="G72" s="59">
        <f>MAX(G2:G70)</f>
        <v>151.25</v>
      </c>
      <c r="H72" s="59">
        <f>MAX(H2:H70)</f>
        <v>17.350000000000001</v>
      </c>
      <c r="I72" s="99">
        <f>MAX(I2:I70)</f>
        <v>800</v>
      </c>
      <c r="J72" s="59">
        <f t="shared" si="6"/>
        <v>58.823529411764703</v>
      </c>
      <c r="M72" t="s">
        <v>137</v>
      </c>
    </row>
    <row r="73" spans="1:13" ht="15.75" customHeight="1" x14ac:dyDescent="0.5">
      <c r="A73" s="60" t="s">
        <v>143</v>
      </c>
      <c r="B73" s="61"/>
      <c r="C73" s="64">
        <f t="shared" ref="C73:J73" si="7">MAX(C2:C38)</f>
        <v>2.1</v>
      </c>
      <c r="D73" s="64">
        <f t="shared" si="7"/>
        <v>1.6</v>
      </c>
      <c r="E73" s="64">
        <f t="shared" si="7"/>
        <v>5.8</v>
      </c>
      <c r="F73" s="64">
        <f t="shared" si="7"/>
        <v>535</v>
      </c>
      <c r="G73" s="64">
        <f>MAX(G2:G40)</f>
        <v>151.25</v>
      </c>
      <c r="H73" s="64">
        <f t="shared" si="7"/>
        <v>5.6852791878172582</v>
      </c>
      <c r="I73" s="100">
        <f t="shared" si="7"/>
        <v>770</v>
      </c>
      <c r="J73" s="64">
        <f t="shared" si="7"/>
        <v>11.2</v>
      </c>
    </row>
    <row r="74" spans="1:13" ht="15.75" customHeight="1" x14ac:dyDescent="0.5">
      <c r="A74" s="62" t="s">
        <v>144</v>
      </c>
      <c r="B74" s="49"/>
      <c r="C74" s="63">
        <f t="shared" ref="C74:J74" si="8">MAX(C42:C70)</f>
        <v>8.9600000000000009</v>
      </c>
      <c r="D74" s="63">
        <f t="shared" si="8"/>
        <v>0.5714285714285714</v>
      </c>
      <c r="E74" s="63">
        <f t="shared" si="8"/>
        <v>4.4000000000000004</v>
      </c>
      <c r="F74" s="63">
        <f t="shared" si="8"/>
        <v>516.66666666666663</v>
      </c>
      <c r="G74" s="63">
        <f t="shared" si="8"/>
        <v>39</v>
      </c>
      <c r="H74" s="63">
        <f t="shared" si="8"/>
        <v>13.227513227513228</v>
      </c>
      <c r="I74" s="101">
        <f t="shared" si="8"/>
        <v>800</v>
      </c>
      <c r="J74" s="63">
        <f t="shared" si="8"/>
        <v>58.823529411764703</v>
      </c>
    </row>
    <row r="75" spans="1:13" s="103" customFormat="1" ht="15.75" customHeight="1" x14ac:dyDescent="0.5">
      <c r="A75" s="102"/>
      <c r="C75" s="104"/>
      <c r="D75" s="104"/>
      <c r="E75" s="104"/>
      <c r="F75" s="104"/>
      <c r="G75" s="104"/>
      <c r="H75" s="104"/>
      <c r="I75" s="105"/>
      <c r="J75" s="104"/>
      <c r="K75" s="104"/>
    </row>
    <row r="76" spans="1:13" s="103" customFormat="1" ht="15.75" customHeight="1" x14ac:dyDescent="0.5">
      <c r="A76" s="106" t="s">
        <v>147</v>
      </c>
      <c r="C76" s="104"/>
      <c r="D76" s="107"/>
      <c r="E76" s="104"/>
      <c r="F76" s="104"/>
      <c r="G76" s="104"/>
      <c r="H76" s="104"/>
      <c r="I76" s="105"/>
      <c r="J76" s="104"/>
      <c r="K76" s="104"/>
    </row>
    <row r="77" spans="1:13" ht="15.75" customHeight="1" x14ac:dyDescent="0.5">
      <c r="A77" s="50" t="s">
        <v>142</v>
      </c>
      <c r="B77" s="51"/>
      <c r="C77" s="59">
        <f t="shared" ref="C77:J77" si="9">MAX(C2:C70)/C70</f>
        <v>1.1414012738853505</v>
      </c>
      <c r="D77" s="59">
        <f t="shared" si="9"/>
        <v>12.56</v>
      </c>
      <c r="E77" s="59">
        <f t="shared" si="9"/>
        <v>94.854166666666657</v>
      </c>
      <c r="F77" s="59">
        <f t="shared" si="9"/>
        <v>20.998749999999998</v>
      </c>
      <c r="G77" s="59">
        <f t="shared" si="9"/>
        <v>25.208333333333332</v>
      </c>
      <c r="H77" s="59">
        <f t="shared" si="9"/>
        <v>19.568606321839081</v>
      </c>
      <c r="I77" s="99">
        <f t="shared" si="9"/>
        <v>15.968063872255488</v>
      </c>
      <c r="J77" s="59">
        <f t="shared" si="9"/>
        <v>8.4516565246788371</v>
      </c>
    </row>
    <row r="78" spans="1:13" ht="15.75" customHeight="1" x14ac:dyDescent="0.5">
      <c r="A78" s="60" t="s">
        <v>143</v>
      </c>
      <c r="B78" s="61"/>
      <c r="C78" s="64">
        <f t="shared" ref="C78:J78" si="10">MAX(C2:C38)/C70</f>
        <v>0.26751592356687898</v>
      </c>
      <c r="D78" s="64">
        <f t="shared" si="10"/>
        <v>12.56</v>
      </c>
      <c r="E78" s="64">
        <f t="shared" si="10"/>
        <v>94.854166666666657</v>
      </c>
      <c r="F78" s="64">
        <f t="shared" si="10"/>
        <v>20.998749999999998</v>
      </c>
      <c r="G78" s="64">
        <f t="shared" si="10"/>
        <v>20.273809523809526</v>
      </c>
      <c r="H78" s="64">
        <f t="shared" si="10"/>
        <v>6.4122760954548097</v>
      </c>
      <c r="I78" s="100">
        <f t="shared" si="10"/>
        <v>15.369261477045908</v>
      </c>
      <c r="J78" s="64">
        <f t="shared" si="10"/>
        <v>1.6091954022988504</v>
      </c>
    </row>
    <row r="79" spans="1:13" ht="15.75" customHeight="1" x14ac:dyDescent="0.5">
      <c r="A79" s="62" t="s">
        <v>144</v>
      </c>
      <c r="B79" s="49"/>
      <c r="C79" s="63">
        <f t="shared" ref="C79:J79" si="11">MAX(C42:C70)/C70</f>
        <v>1.1414012738853505</v>
      </c>
      <c r="D79" s="63">
        <f t="shared" si="11"/>
        <v>4.4857142857142858</v>
      </c>
      <c r="E79" s="63">
        <f t="shared" si="11"/>
        <v>71.958333333333343</v>
      </c>
      <c r="F79" s="63">
        <f t="shared" si="11"/>
        <v>20.279166666666665</v>
      </c>
      <c r="G79" s="63">
        <f t="shared" si="11"/>
        <v>6.5</v>
      </c>
      <c r="H79" s="63">
        <f t="shared" si="11"/>
        <v>14.918962476433741</v>
      </c>
      <c r="I79" s="101">
        <f t="shared" si="11"/>
        <v>15.968063872255488</v>
      </c>
      <c r="J79" s="63">
        <f t="shared" si="11"/>
        <v>8.4516565246788371</v>
      </c>
    </row>
    <row r="80" spans="1:13" ht="15.75" customHeight="1" x14ac:dyDescent="0.5">
      <c r="D80" s="9"/>
    </row>
    <row r="81" spans="1:10" ht="15.75" customHeight="1" x14ac:dyDescent="0.5">
      <c r="D81" s="9"/>
    </row>
    <row r="82" spans="1:10" ht="15.75" customHeight="1" x14ac:dyDescent="0.5">
      <c r="A82" t="s">
        <v>165</v>
      </c>
      <c r="C82" s="63">
        <f>C40/C70</f>
        <v>0.11719745222929938</v>
      </c>
      <c r="D82" s="63">
        <f t="shared" ref="D82:J82" si="12">D40/D70</f>
        <v>0</v>
      </c>
      <c r="E82" s="63">
        <f t="shared" si="12"/>
        <v>66.724999999999994</v>
      </c>
      <c r="F82" s="63">
        <f t="shared" si="12"/>
        <v>7.359375</v>
      </c>
      <c r="G82" s="63">
        <f t="shared" si="12"/>
        <v>10.540000000000001</v>
      </c>
      <c r="H82" s="63">
        <f t="shared" si="12"/>
        <v>2.5602729885057469</v>
      </c>
      <c r="I82" s="101">
        <f t="shared" si="12"/>
        <v>0</v>
      </c>
      <c r="J82" s="63">
        <f t="shared" si="12"/>
        <v>0</v>
      </c>
    </row>
    <row r="83" spans="1:10" ht="15.75" customHeight="1" x14ac:dyDescent="0.5">
      <c r="C83" s="63">
        <f>C40/C6</f>
        <v>0.65714285714285725</v>
      </c>
      <c r="D83" s="63">
        <f t="shared" ref="D83:J83" si="13">D40/D6</f>
        <v>0</v>
      </c>
      <c r="E83" s="63">
        <f t="shared" si="13"/>
        <v>1.2670807453416149</v>
      </c>
      <c r="F83" s="63">
        <f t="shared" si="13"/>
        <v>1.3586956521739131</v>
      </c>
      <c r="G83" s="63">
        <f t="shared" si="13"/>
        <v>0.84320000000000017</v>
      </c>
      <c r="H83" s="63">
        <f t="shared" si="13"/>
        <v>2.9700934579439249</v>
      </c>
      <c r="I83" s="101">
        <f t="shared" si="13"/>
        <v>0</v>
      </c>
      <c r="J83" s="63">
        <f t="shared" si="13"/>
        <v>0</v>
      </c>
    </row>
    <row r="84" spans="1:10" ht="15.75" customHeight="1" x14ac:dyDescent="0.5">
      <c r="D84" s="9"/>
    </row>
    <row r="85" spans="1:10" ht="15.75" customHeight="1" x14ac:dyDescent="0.5">
      <c r="D85" s="9"/>
    </row>
    <row r="86" spans="1:10" ht="15.75" customHeight="1" x14ac:dyDescent="0.5">
      <c r="D86" s="9"/>
    </row>
    <row r="87" spans="1:10" ht="15.75" customHeight="1" x14ac:dyDescent="0.5">
      <c r="D87" s="9"/>
    </row>
    <row r="88" spans="1:10" ht="15.75" customHeight="1" x14ac:dyDescent="0.5">
      <c r="D88" s="9"/>
    </row>
    <row r="89" spans="1:10" ht="15.75" customHeight="1" x14ac:dyDescent="0.5">
      <c r="D89" s="9"/>
    </row>
    <row r="90" spans="1:10" ht="15.75" customHeight="1" x14ac:dyDescent="0.5">
      <c r="D90" s="9"/>
    </row>
    <row r="91" spans="1:10" ht="15.75" customHeight="1" x14ac:dyDescent="0.5">
      <c r="D91" s="9"/>
    </row>
    <row r="92" spans="1:10" ht="15.75" customHeight="1" x14ac:dyDescent="0.5">
      <c r="D92" s="9"/>
    </row>
    <row r="93" spans="1:10" ht="15.75" customHeight="1" x14ac:dyDescent="0.5">
      <c r="D93" s="9"/>
    </row>
    <row r="94" spans="1:10" ht="15.75" customHeight="1" x14ac:dyDescent="0.5">
      <c r="D94" s="9"/>
    </row>
    <row r="95" spans="1:10" ht="15.75" customHeight="1" x14ac:dyDescent="0.5">
      <c r="D95" s="9"/>
    </row>
    <row r="96" spans="1:10" ht="15.75" customHeight="1" x14ac:dyDescent="0.5">
      <c r="D96" s="9"/>
    </row>
    <row r="97" spans="4:4" ht="15.75" customHeight="1" x14ac:dyDescent="0.5">
      <c r="D97" s="9"/>
    </row>
    <row r="98" spans="4:4" ht="15.75" customHeight="1" x14ac:dyDescent="0.5">
      <c r="D98" s="9"/>
    </row>
    <row r="99" spans="4:4" ht="15.75" customHeight="1" x14ac:dyDescent="0.5">
      <c r="D99" s="9"/>
    </row>
    <row r="100" spans="4:4" ht="15.75" customHeight="1" x14ac:dyDescent="0.5">
      <c r="D100" s="9"/>
    </row>
    <row r="101" spans="4:4" ht="15.75" customHeight="1" x14ac:dyDescent="0.5">
      <c r="D101" s="9"/>
    </row>
    <row r="102" spans="4:4" ht="15.75" customHeight="1" x14ac:dyDescent="0.5">
      <c r="D102" s="9"/>
    </row>
    <row r="103" spans="4:4" ht="15.75" customHeight="1" x14ac:dyDescent="0.5">
      <c r="D103" s="9"/>
    </row>
    <row r="104" spans="4:4" ht="15.75" customHeight="1" x14ac:dyDescent="0.5">
      <c r="D104" s="9"/>
    </row>
    <row r="105" spans="4:4" ht="15.75" customHeight="1" x14ac:dyDescent="0.5">
      <c r="D105" s="9"/>
    </row>
    <row r="106" spans="4:4" ht="15.75" customHeight="1" x14ac:dyDescent="0.5">
      <c r="D106" s="9"/>
    </row>
    <row r="107" spans="4:4" ht="15.75" customHeight="1" x14ac:dyDescent="0.5">
      <c r="D107" s="9"/>
    </row>
    <row r="108" spans="4:4" ht="15.75" customHeight="1" x14ac:dyDescent="0.5">
      <c r="D108" s="9"/>
    </row>
    <row r="109" spans="4:4" ht="15.75" customHeight="1" x14ac:dyDescent="0.5">
      <c r="D109" s="9"/>
    </row>
    <row r="110" spans="4:4" ht="15.75" customHeight="1" x14ac:dyDescent="0.5">
      <c r="D110" s="9"/>
    </row>
    <row r="111" spans="4:4" ht="15.75" customHeight="1" x14ac:dyDescent="0.5">
      <c r="D111" s="9"/>
    </row>
    <row r="112" spans="4:4" ht="15.75" customHeight="1" x14ac:dyDescent="0.5">
      <c r="D112" s="9"/>
    </row>
    <row r="113" spans="4:4" ht="15.75" customHeight="1" x14ac:dyDescent="0.5">
      <c r="D113" s="9"/>
    </row>
    <row r="114" spans="4:4" ht="15.75" customHeight="1" x14ac:dyDescent="0.5">
      <c r="D114" s="9"/>
    </row>
    <row r="115" spans="4:4" ht="15.75" customHeight="1" x14ac:dyDescent="0.5">
      <c r="D115" s="9"/>
    </row>
    <row r="116" spans="4:4" ht="15.75" customHeight="1" x14ac:dyDescent="0.5">
      <c r="D116" s="9"/>
    </row>
    <row r="117" spans="4:4" ht="15.75" customHeight="1" x14ac:dyDescent="0.5">
      <c r="D117" s="9"/>
    </row>
    <row r="118" spans="4:4" ht="15.75" customHeight="1" x14ac:dyDescent="0.5">
      <c r="D118" s="9"/>
    </row>
    <row r="119" spans="4:4" ht="15.75" customHeight="1" x14ac:dyDescent="0.5">
      <c r="D119" s="9"/>
    </row>
    <row r="120" spans="4:4" ht="15.75" customHeight="1" x14ac:dyDescent="0.5">
      <c r="D120" s="9"/>
    </row>
    <row r="121" spans="4:4" ht="15.75" customHeight="1" x14ac:dyDescent="0.5">
      <c r="D121" s="9"/>
    </row>
    <row r="122" spans="4:4" ht="15.75" customHeight="1" x14ac:dyDescent="0.5">
      <c r="D122" s="9"/>
    </row>
    <row r="123" spans="4:4" ht="15.75" customHeight="1" x14ac:dyDescent="0.5">
      <c r="D123" s="9"/>
    </row>
    <row r="124" spans="4:4" ht="15.75" customHeight="1" x14ac:dyDescent="0.5">
      <c r="D124" s="9"/>
    </row>
    <row r="125" spans="4:4" ht="15.75" customHeight="1" x14ac:dyDescent="0.5">
      <c r="D125" s="9"/>
    </row>
    <row r="126" spans="4:4" ht="15.75" customHeight="1" x14ac:dyDescent="0.5">
      <c r="D126" s="9"/>
    </row>
    <row r="127" spans="4:4" ht="15.75" customHeight="1" x14ac:dyDescent="0.5">
      <c r="D127" s="9"/>
    </row>
    <row r="128" spans="4:4" ht="15.75" customHeight="1" x14ac:dyDescent="0.5">
      <c r="D128" s="9"/>
    </row>
    <row r="129" spans="4:4" ht="15.75" customHeight="1" x14ac:dyDescent="0.5">
      <c r="D129" s="9"/>
    </row>
    <row r="130" spans="4:4" ht="15.75" customHeight="1" x14ac:dyDescent="0.5">
      <c r="D130" s="9"/>
    </row>
    <row r="131" spans="4:4" ht="15.75" customHeight="1" x14ac:dyDescent="0.5">
      <c r="D131" s="9"/>
    </row>
    <row r="132" spans="4:4" ht="15.75" customHeight="1" x14ac:dyDescent="0.5">
      <c r="D132" s="9"/>
    </row>
    <row r="133" spans="4:4" ht="15.75" customHeight="1" x14ac:dyDescent="0.5">
      <c r="D133" s="9"/>
    </row>
    <row r="134" spans="4:4" ht="15.75" customHeight="1" x14ac:dyDescent="0.5">
      <c r="D134" s="9"/>
    </row>
    <row r="135" spans="4:4" ht="15.75" customHeight="1" x14ac:dyDescent="0.5">
      <c r="D135" s="9"/>
    </row>
    <row r="136" spans="4:4" ht="15.75" customHeight="1" x14ac:dyDescent="0.5">
      <c r="D136" s="9"/>
    </row>
    <row r="137" spans="4:4" ht="15.75" customHeight="1" x14ac:dyDescent="0.5">
      <c r="D137" s="9"/>
    </row>
    <row r="138" spans="4:4" ht="15.75" customHeight="1" x14ac:dyDescent="0.5">
      <c r="D138" s="9"/>
    </row>
    <row r="139" spans="4:4" ht="15.75" customHeight="1" x14ac:dyDescent="0.5">
      <c r="D139" s="9"/>
    </row>
    <row r="140" spans="4:4" ht="15.75" customHeight="1" x14ac:dyDescent="0.5">
      <c r="D140" s="9"/>
    </row>
    <row r="141" spans="4:4" ht="15.75" customHeight="1" x14ac:dyDescent="0.5">
      <c r="D141" s="9"/>
    </row>
    <row r="142" spans="4:4" ht="15.75" customHeight="1" x14ac:dyDescent="0.5">
      <c r="D142" s="9"/>
    </row>
    <row r="143" spans="4:4" ht="15.75" customHeight="1" x14ac:dyDescent="0.5">
      <c r="D143" s="9"/>
    </row>
    <row r="144" spans="4:4" ht="15.75" customHeight="1" x14ac:dyDescent="0.5">
      <c r="D144" s="9"/>
    </row>
    <row r="145" spans="4:4" ht="15.75" customHeight="1" x14ac:dyDescent="0.5">
      <c r="D145" s="9"/>
    </row>
    <row r="146" spans="4:4" ht="15.75" customHeight="1" x14ac:dyDescent="0.5">
      <c r="D146" s="9"/>
    </row>
    <row r="147" spans="4:4" ht="15.75" customHeight="1" x14ac:dyDescent="0.5">
      <c r="D147" s="9"/>
    </row>
    <row r="148" spans="4:4" ht="15.75" customHeight="1" x14ac:dyDescent="0.5">
      <c r="D148" s="9"/>
    </row>
    <row r="149" spans="4:4" ht="15.75" customHeight="1" x14ac:dyDescent="0.5">
      <c r="D149" s="9"/>
    </row>
    <row r="150" spans="4:4" ht="15.75" customHeight="1" x14ac:dyDescent="0.5">
      <c r="D150" s="9"/>
    </row>
    <row r="151" spans="4:4" ht="15.75" customHeight="1" x14ac:dyDescent="0.5">
      <c r="D151" s="9"/>
    </row>
    <row r="152" spans="4:4" ht="15.75" customHeight="1" x14ac:dyDescent="0.5">
      <c r="D152" s="9"/>
    </row>
    <row r="153" spans="4:4" ht="15.75" customHeight="1" x14ac:dyDescent="0.5">
      <c r="D153" s="9"/>
    </row>
    <row r="154" spans="4:4" ht="15.75" customHeight="1" x14ac:dyDescent="0.5">
      <c r="D154" s="9"/>
    </row>
    <row r="155" spans="4:4" ht="15.75" customHeight="1" x14ac:dyDescent="0.5">
      <c r="D155" s="9"/>
    </row>
    <row r="156" spans="4:4" ht="15.75" customHeight="1" x14ac:dyDescent="0.5">
      <c r="D156" s="9"/>
    </row>
    <row r="157" spans="4:4" ht="15.75" customHeight="1" x14ac:dyDescent="0.5">
      <c r="D157" s="9"/>
    </row>
    <row r="158" spans="4:4" ht="15.75" customHeight="1" x14ac:dyDescent="0.5">
      <c r="D158" s="9"/>
    </row>
    <row r="159" spans="4:4" ht="15.75" customHeight="1" x14ac:dyDescent="0.5">
      <c r="D159" s="9"/>
    </row>
    <row r="160" spans="4:4" ht="15.75" customHeight="1" x14ac:dyDescent="0.5">
      <c r="D160" s="9"/>
    </row>
    <row r="161" spans="4:4" ht="15.75" customHeight="1" x14ac:dyDescent="0.5">
      <c r="D161" s="9"/>
    </row>
    <row r="162" spans="4:4" ht="15.75" customHeight="1" x14ac:dyDescent="0.5">
      <c r="D162" s="9"/>
    </row>
    <row r="163" spans="4:4" ht="15.75" customHeight="1" x14ac:dyDescent="0.5">
      <c r="D163" s="9"/>
    </row>
    <row r="164" spans="4:4" ht="15.75" customHeight="1" x14ac:dyDescent="0.5">
      <c r="D164" s="9"/>
    </row>
    <row r="165" spans="4:4" ht="15.75" customHeight="1" x14ac:dyDescent="0.5">
      <c r="D165" s="9"/>
    </row>
    <row r="166" spans="4:4" ht="15.75" customHeight="1" x14ac:dyDescent="0.5">
      <c r="D166" s="9"/>
    </row>
    <row r="167" spans="4:4" ht="15.75" customHeight="1" x14ac:dyDescent="0.5">
      <c r="D167" s="9"/>
    </row>
    <row r="168" spans="4:4" ht="15.75" customHeight="1" x14ac:dyDescent="0.5">
      <c r="D168" s="9"/>
    </row>
    <row r="169" spans="4:4" ht="15.75" customHeight="1" x14ac:dyDescent="0.5">
      <c r="D169" s="9"/>
    </row>
    <row r="170" spans="4:4" ht="15.75" customHeight="1" x14ac:dyDescent="0.5">
      <c r="D170" s="9"/>
    </row>
    <row r="171" spans="4:4" ht="15.75" customHeight="1" x14ac:dyDescent="0.5">
      <c r="D171" s="9"/>
    </row>
    <row r="172" spans="4:4" ht="15.75" customHeight="1" x14ac:dyDescent="0.5">
      <c r="D172" s="9"/>
    </row>
    <row r="173" spans="4:4" ht="15.75" customHeight="1" x14ac:dyDescent="0.5">
      <c r="D173" s="9"/>
    </row>
    <row r="174" spans="4:4" ht="15.75" customHeight="1" x14ac:dyDescent="0.5">
      <c r="D174" s="9"/>
    </row>
    <row r="175" spans="4:4" ht="15.75" customHeight="1" x14ac:dyDescent="0.5">
      <c r="D175" s="9"/>
    </row>
    <row r="176" spans="4:4" ht="15.75" customHeight="1" x14ac:dyDescent="0.5">
      <c r="D176" s="9"/>
    </row>
    <row r="177" spans="4:4" ht="15.75" customHeight="1" x14ac:dyDescent="0.5">
      <c r="D177" s="9"/>
    </row>
    <row r="178" spans="4:4" ht="15.75" customHeight="1" x14ac:dyDescent="0.5">
      <c r="D178" s="9"/>
    </row>
    <row r="179" spans="4:4" ht="15.75" customHeight="1" x14ac:dyDescent="0.5">
      <c r="D179" s="9"/>
    </row>
    <row r="180" spans="4:4" ht="15.75" customHeight="1" x14ac:dyDescent="0.5">
      <c r="D180" s="9"/>
    </row>
    <row r="181" spans="4:4" ht="15.75" customHeight="1" x14ac:dyDescent="0.5">
      <c r="D181" s="9"/>
    </row>
    <row r="182" spans="4:4" ht="15.75" customHeight="1" x14ac:dyDescent="0.5">
      <c r="D182" s="9"/>
    </row>
    <row r="183" spans="4:4" ht="15.75" customHeight="1" x14ac:dyDescent="0.5">
      <c r="D183" s="9"/>
    </row>
    <row r="184" spans="4:4" ht="15.75" customHeight="1" x14ac:dyDescent="0.5">
      <c r="D184" s="9"/>
    </row>
    <row r="185" spans="4:4" ht="15.75" customHeight="1" x14ac:dyDescent="0.5">
      <c r="D185" s="9"/>
    </row>
    <row r="186" spans="4:4" ht="15.75" customHeight="1" x14ac:dyDescent="0.5">
      <c r="D186" s="9"/>
    </row>
    <row r="187" spans="4:4" ht="15.75" customHeight="1" x14ac:dyDescent="0.5">
      <c r="D187" s="9"/>
    </row>
    <row r="188" spans="4:4" ht="15.75" customHeight="1" x14ac:dyDescent="0.5">
      <c r="D188" s="9"/>
    </row>
    <row r="189" spans="4:4" ht="15.75" customHeight="1" x14ac:dyDescent="0.5">
      <c r="D189" s="9"/>
    </row>
    <row r="190" spans="4:4" ht="15.75" customHeight="1" x14ac:dyDescent="0.5">
      <c r="D190" s="9"/>
    </row>
    <row r="191" spans="4:4" ht="15.75" customHeight="1" x14ac:dyDescent="0.5">
      <c r="D191" s="9"/>
    </row>
    <row r="192" spans="4:4" ht="15.75" customHeight="1" x14ac:dyDescent="0.5">
      <c r="D192" s="9"/>
    </row>
    <row r="193" spans="4:4" ht="15.75" customHeight="1" x14ac:dyDescent="0.5">
      <c r="D193" s="9"/>
    </row>
    <row r="194" spans="4:4" ht="15.75" customHeight="1" x14ac:dyDescent="0.5">
      <c r="D194" s="9"/>
    </row>
    <row r="195" spans="4:4" ht="15.75" customHeight="1" x14ac:dyDescent="0.5">
      <c r="D195" s="9"/>
    </row>
    <row r="196" spans="4:4" ht="15.75" customHeight="1" x14ac:dyDescent="0.5">
      <c r="D196" s="9"/>
    </row>
    <row r="197" spans="4:4" ht="15.75" customHeight="1" x14ac:dyDescent="0.5">
      <c r="D197" s="9"/>
    </row>
    <row r="198" spans="4:4" ht="15.75" customHeight="1" x14ac:dyDescent="0.5">
      <c r="D198" s="9"/>
    </row>
    <row r="199" spans="4:4" ht="15.75" customHeight="1" x14ac:dyDescent="0.5">
      <c r="D199" s="9"/>
    </row>
    <row r="200" spans="4:4" ht="15.75" customHeight="1" x14ac:dyDescent="0.5">
      <c r="D200" s="9"/>
    </row>
    <row r="201" spans="4:4" ht="15.75" customHeight="1" x14ac:dyDescent="0.5">
      <c r="D201" s="9"/>
    </row>
    <row r="202" spans="4:4" ht="15.75" customHeight="1" x14ac:dyDescent="0.5">
      <c r="D202" s="9"/>
    </row>
    <row r="203" spans="4:4" ht="15.75" customHeight="1" x14ac:dyDescent="0.5">
      <c r="D203" s="9"/>
    </row>
    <row r="204" spans="4:4" ht="15.75" customHeight="1" x14ac:dyDescent="0.5">
      <c r="D204" s="9"/>
    </row>
    <row r="205" spans="4:4" ht="15.75" customHeight="1" x14ac:dyDescent="0.5">
      <c r="D205" s="9"/>
    </row>
    <row r="206" spans="4:4" ht="15.75" customHeight="1" x14ac:dyDescent="0.5">
      <c r="D206" s="9"/>
    </row>
    <row r="207" spans="4:4" ht="15.75" customHeight="1" x14ac:dyDescent="0.5">
      <c r="D207" s="9"/>
    </row>
    <row r="208" spans="4:4" ht="15.75" customHeight="1" x14ac:dyDescent="0.5">
      <c r="D208" s="9"/>
    </row>
    <row r="209" spans="4:4" ht="15.75" customHeight="1" x14ac:dyDescent="0.5">
      <c r="D209" s="9"/>
    </row>
    <row r="210" spans="4:4" ht="15.75" customHeight="1" x14ac:dyDescent="0.5">
      <c r="D210" s="9"/>
    </row>
    <row r="211" spans="4:4" ht="15.75" customHeight="1" x14ac:dyDescent="0.5">
      <c r="D211" s="9"/>
    </row>
    <row r="212" spans="4:4" ht="15.75" customHeight="1" x14ac:dyDescent="0.5">
      <c r="D212" s="9"/>
    </row>
    <row r="213" spans="4:4" ht="15.75" customHeight="1" x14ac:dyDescent="0.5">
      <c r="D213" s="9"/>
    </row>
    <row r="214" spans="4:4" ht="15.75" customHeight="1" x14ac:dyDescent="0.5">
      <c r="D214" s="9"/>
    </row>
    <row r="215" spans="4:4" ht="15.75" customHeight="1" x14ac:dyDescent="0.5">
      <c r="D215" s="9"/>
    </row>
    <row r="216" spans="4:4" ht="15.75" customHeight="1" x14ac:dyDescent="0.5">
      <c r="D216" s="9"/>
    </row>
    <row r="217" spans="4:4" ht="15.75" customHeight="1" x14ac:dyDescent="0.5">
      <c r="D217" s="9"/>
    </row>
    <row r="218" spans="4:4" ht="15.75" customHeight="1" x14ac:dyDescent="0.5">
      <c r="D218" s="9"/>
    </row>
    <row r="219" spans="4:4" ht="15.75" customHeight="1" x14ac:dyDescent="0.5">
      <c r="D219" s="9"/>
    </row>
    <row r="220" spans="4:4" ht="15.75" customHeight="1" x14ac:dyDescent="0.5">
      <c r="D220" s="9"/>
    </row>
    <row r="221" spans="4:4" ht="15.75" customHeight="1" x14ac:dyDescent="0.5">
      <c r="D221" s="9"/>
    </row>
    <row r="222" spans="4:4" ht="15.75" customHeight="1" x14ac:dyDescent="0.5">
      <c r="D222" s="9"/>
    </row>
    <row r="223" spans="4:4" ht="15.75" customHeight="1" x14ac:dyDescent="0.5">
      <c r="D223" s="9"/>
    </row>
    <row r="224" spans="4:4" ht="15.75" customHeight="1" x14ac:dyDescent="0.5">
      <c r="D224" s="9"/>
    </row>
    <row r="225" spans="4:4" ht="15.75" customHeight="1" x14ac:dyDescent="0.5">
      <c r="D225" s="9"/>
    </row>
    <row r="226" spans="4:4" ht="15.75" customHeight="1" x14ac:dyDescent="0.5">
      <c r="D226" s="9"/>
    </row>
    <row r="227" spans="4:4" ht="15.75" customHeight="1" x14ac:dyDescent="0.5">
      <c r="D227" s="9"/>
    </row>
    <row r="228" spans="4:4" ht="15.75" customHeight="1" x14ac:dyDescent="0.5">
      <c r="D228" s="9"/>
    </row>
    <row r="229" spans="4:4" ht="15.75" customHeight="1" x14ac:dyDescent="0.5">
      <c r="D229" s="9"/>
    </row>
    <row r="230" spans="4:4" ht="15.75" customHeight="1" x14ac:dyDescent="0.5">
      <c r="D230" s="9"/>
    </row>
    <row r="231" spans="4:4" ht="15.75" customHeight="1" x14ac:dyDescent="0.5">
      <c r="D231" s="9"/>
    </row>
    <row r="232" spans="4:4" ht="15.75" customHeight="1" x14ac:dyDescent="0.5">
      <c r="D232" s="9"/>
    </row>
    <row r="233" spans="4:4" ht="15.75" customHeight="1" x14ac:dyDescent="0.5">
      <c r="D233" s="9"/>
    </row>
    <row r="234" spans="4:4" ht="15.75" customHeight="1" x14ac:dyDescent="0.5">
      <c r="D234" s="9"/>
    </row>
    <row r="235" spans="4:4" ht="15.75" customHeight="1" x14ac:dyDescent="0.5">
      <c r="D235" s="9"/>
    </row>
    <row r="236" spans="4:4" ht="15.75" customHeight="1" x14ac:dyDescent="0.5">
      <c r="D236" s="9"/>
    </row>
    <row r="237" spans="4:4" ht="15.75" customHeight="1" x14ac:dyDescent="0.5">
      <c r="D237" s="9"/>
    </row>
    <row r="238" spans="4:4" ht="15.75" customHeight="1" x14ac:dyDescent="0.5">
      <c r="D238" s="9"/>
    </row>
    <row r="239" spans="4:4" ht="15.75" customHeight="1" x14ac:dyDescent="0.5">
      <c r="D239" s="9"/>
    </row>
    <row r="240" spans="4:4" ht="15.75" customHeight="1" x14ac:dyDescent="0.5">
      <c r="D240" s="9"/>
    </row>
    <row r="241" spans="4:4" ht="15.75" customHeight="1" x14ac:dyDescent="0.5">
      <c r="D241" s="9"/>
    </row>
    <row r="242" spans="4:4" ht="15.75" customHeight="1" x14ac:dyDescent="0.5">
      <c r="D242" s="9"/>
    </row>
    <row r="243" spans="4:4" ht="15.75" customHeight="1" x14ac:dyDescent="0.5">
      <c r="D243" s="9"/>
    </row>
    <row r="244" spans="4:4" ht="15.75" customHeight="1" x14ac:dyDescent="0.5">
      <c r="D244" s="9"/>
    </row>
    <row r="245" spans="4:4" ht="15.75" customHeight="1" x14ac:dyDescent="0.5">
      <c r="D245" s="9"/>
    </row>
    <row r="246" spans="4:4" ht="15.75" customHeight="1" x14ac:dyDescent="0.5">
      <c r="D246" s="9"/>
    </row>
    <row r="247" spans="4:4" ht="15.75" customHeight="1" x14ac:dyDescent="0.5">
      <c r="D247" s="9"/>
    </row>
    <row r="248" spans="4:4" ht="15.75" customHeight="1" x14ac:dyDescent="0.5">
      <c r="D248" s="9"/>
    </row>
    <row r="249" spans="4:4" ht="15.75" customHeight="1" x14ac:dyDescent="0.5">
      <c r="D249" s="9"/>
    </row>
    <row r="250" spans="4:4" ht="15.75" customHeight="1" x14ac:dyDescent="0.5">
      <c r="D250" s="9"/>
    </row>
    <row r="251" spans="4:4" ht="15.75" customHeight="1" x14ac:dyDescent="0.5">
      <c r="D251" s="9"/>
    </row>
    <row r="252" spans="4:4" ht="15.75" customHeight="1" x14ac:dyDescent="0.5">
      <c r="D252" s="9"/>
    </row>
    <row r="253" spans="4:4" ht="15.75" customHeight="1" x14ac:dyDescent="0.5">
      <c r="D253" s="9"/>
    </row>
    <row r="254" spans="4:4" ht="15.75" customHeight="1" x14ac:dyDescent="0.5">
      <c r="D254" s="9"/>
    </row>
    <row r="255" spans="4:4" ht="15.75" customHeight="1" x14ac:dyDescent="0.5">
      <c r="D255" s="9"/>
    </row>
    <row r="256" spans="4:4" ht="15.75" customHeight="1" x14ac:dyDescent="0.5">
      <c r="D256" s="9"/>
    </row>
    <row r="257" spans="4:4" ht="15.75" customHeight="1" x14ac:dyDescent="0.5">
      <c r="D257" s="9"/>
    </row>
    <row r="258" spans="4:4" ht="15.75" customHeight="1" x14ac:dyDescent="0.5">
      <c r="D258" s="9"/>
    </row>
    <row r="259" spans="4:4" ht="15.75" customHeight="1" x14ac:dyDescent="0.5">
      <c r="D259" s="9"/>
    </row>
    <row r="260" spans="4:4" ht="15.75" customHeight="1" x14ac:dyDescent="0.5">
      <c r="D260" s="9"/>
    </row>
    <row r="261" spans="4:4" ht="15.75" customHeight="1" x14ac:dyDescent="0.5">
      <c r="D261" s="9"/>
    </row>
    <row r="262" spans="4:4" ht="15.75" customHeight="1" x14ac:dyDescent="0.5">
      <c r="D262" s="9"/>
    </row>
    <row r="263" spans="4:4" ht="15.75" customHeight="1" x14ac:dyDescent="0.5">
      <c r="D263" s="9"/>
    </row>
    <row r="264" spans="4:4" ht="15.75" customHeight="1" x14ac:dyDescent="0.5">
      <c r="D264" s="9"/>
    </row>
    <row r="265" spans="4:4" ht="15.75" customHeight="1" x14ac:dyDescent="0.5">
      <c r="D265" s="9"/>
    </row>
    <row r="266" spans="4:4" ht="15.75" customHeight="1" x14ac:dyDescent="0.5">
      <c r="D266" s="9"/>
    </row>
    <row r="267" spans="4:4" ht="15.75" customHeight="1" x14ac:dyDescent="0.5">
      <c r="D267" s="9"/>
    </row>
    <row r="268" spans="4:4" ht="15.75" customHeight="1" x14ac:dyDescent="0.5">
      <c r="D268" s="9"/>
    </row>
    <row r="269" spans="4:4" ht="15.75" customHeight="1" x14ac:dyDescent="0.5">
      <c r="D269" s="9"/>
    </row>
    <row r="270" spans="4:4" ht="15.75" customHeight="1" x14ac:dyDescent="0.5">
      <c r="D270" s="9"/>
    </row>
    <row r="271" spans="4:4" ht="15.75" customHeight="1" x14ac:dyDescent="0.5">
      <c r="D271" s="9"/>
    </row>
    <row r="272" spans="4:4" ht="15.75" customHeight="1" x14ac:dyDescent="0.5">
      <c r="D272" s="9"/>
    </row>
    <row r="273" spans="4:4" ht="15.75" customHeight="1" x14ac:dyDescent="0.5">
      <c r="D273" s="9"/>
    </row>
    <row r="274" spans="4:4" ht="15.75" customHeight="1" x14ac:dyDescent="0.5">
      <c r="D274" s="9"/>
    </row>
    <row r="275" spans="4:4" ht="15.75" customHeight="1" x14ac:dyDescent="0.5">
      <c r="D275" s="9"/>
    </row>
    <row r="276" spans="4:4" ht="15.75" customHeight="1" x14ac:dyDescent="0.5">
      <c r="D276" s="9"/>
    </row>
    <row r="277" spans="4:4" ht="15.75" customHeight="1" x14ac:dyDescent="0.5">
      <c r="D277" s="9"/>
    </row>
    <row r="278" spans="4:4" ht="15.75" customHeight="1" x14ac:dyDescent="0.5">
      <c r="D278" s="9"/>
    </row>
    <row r="279" spans="4:4" ht="15.75" customHeight="1" x14ac:dyDescent="0.5">
      <c r="D279" s="9"/>
    </row>
    <row r="280" spans="4:4" ht="15.75" customHeight="1" x14ac:dyDescent="0.5">
      <c r="D280" s="9"/>
    </row>
    <row r="281" spans="4:4" ht="15.75" customHeight="1" x14ac:dyDescent="0.5">
      <c r="D281" s="9"/>
    </row>
    <row r="282" spans="4:4" ht="15.75" customHeight="1" x14ac:dyDescent="0.5">
      <c r="D282" s="9"/>
    </row>
    <row r="283" spans="4:4" ht="15.75" customHeight="1" x14ac:dyDescent="0.5">
      <c r="D283" s="9"/>
    </row>
    <row r="284" spans="4:4" ht="15.75" customHeight="1" x14ac:dyDescent="0.5">
      <c r="D284" s="9"/>
    </row>
    <row r="285" spans="4:4" ht="15.75" customHeight="1" x14ac:dyDescent="0.5">
      <c r="D285" s="9"/>
    </row>
    <row r="286" spans="4:4" ht="15.75" customHeight="1" x14ac:dyDescent="0.5">
      <c r="D286" s="9"/>
    </row>
    <row r="287" spans="4:4" ht="15.75" customHeight="1" x14ac:dyDescent="0.5">
      <c r="D287" s="9"/>
    </row>
    <row r="288" spans="4:4" ht="15.75" customHeight="1" x14ac:dyDescent="0.5">
      <c r="D288" s="9"/>
    </row>
    <row r="289" spans="4:4" ht="15.75" customHeight="1" x14ac:dyDescent="0.5">
      <c r="D289" s="9"/>
    </row>
    <row r="290" spans="4:4" ht="15.75" customHeight="1" x14ac:dyDescent="0.5">
      <c r="D290" s="9"/>
    </row>
    <row r="291" spans="4:4" ht="15.75" customHeight="1" x14ac:dyDescent="0.5">
      <c r="D291" s="9"/>
    </row>
    <row r="292" spans="4:4" ht="15.75" customHeight="1" x14ac:dyDescent="0.5">
      <c r="D292" s="9"/>
    </row>
    <row r="293" spans="4:4" ht="15.75" customHeight="1" x14ac:dyDescent="0.5">
      <c r="D293" s="9"/>
    </row>
    <row r="294" spans="4:4" ht="15.75" customHeight="1" x14ac:dyDescent="0.5">
      <c r="D294" s="9"/>
    </row>
    <row r="295" spans="4:4" ht="15.75" customHeight="1" x14ac:dyDescent="0.5">
      <c r="D295" s="9"/>
    </row>
    <row r="296" spans="4:4" ht="15.75" customHeight="1" x14ac:dyDescent="0.5">
      <c r="D296" s="9"/>
    </row>
    <row r="297" spans="4:4" ht="15.75" customHeight="1" x14ac:dyDescent="0.5">
      <c r="D297" s="9"/>
    </row>
    <row r="298" spans="4:4" ht="15.75" customHeight="1" x14ac:dyDescent="0.5">
      <c r="D298" s="9"/>
    </row>
    <row r="299" spans="4:4" ht="15.75" customHeight="1" x14ac:dyDescent="0.5">
      <c r="D299" s="9"/>
    </row>
    <row r="300" spans="4:4" ht="15.75" customHeight="1" x14ac:dyDescent="0.5">
      <c r="D300" s="9"/>
    </row>
    <row r="301" spans="4:4" ht="15.75" customHeight="1" x14ac:dyDescent="0.5">
      <c r="D301" s="9"/>
    </row>
    <row r="302" spans="4:4" ht="15.75" customHeight="1" x14ac:dyDescent="0.5">
      <c r="D302" s="9"/>
    </row>
    <row r="303" spans="4:4" ht="15.75" customHeight="1" x14ac:dyDescent="0.5">
      <c r="D303" s="9"/>
    </row>
    <row r="304" spans="4:4" ht="15.75" customHeight="1" x14ac:dyDescent="0.5">
      <c r="D304" s="9"/>
    </row>
    <row r="305" spans="4:4" ht="15.75" customHeight="1" x14ac:dyDescent="0.5">
      <c r="D305" s="9"/>
    </row>
    <row r="306" spans="4:4" ht="15.75" customHeight="1" x14ac:dyDescent="0.5">
      <c r="D306" s="9"/>
    </row>
    <row r="307" spans="4:4" ht="15.75" customHeight="1" x14ac:dyDescent="0.5">
      <c r="D307" s="9"/>
    </row>
    <row r="308" spans="4:4" ht="15.75" customHeight="1" x14ac:dyDescent="0.5">
      <c r="D308" s="9"/>
    </row>
    <row r="309" spans="4:4" ht="15.75" customHeight="1" x14ac:dyDescent="0.5">
      <c r="D309" s="9"/>
    </row>
    <row r="310" spans="4:4" ht="15.75" customHeight="1" x14ac:dyDescent="0.5">
      <c r="D310" s="9"/>
    </row>
    <row r="311" spans="4:4" ht="15.75" customHeight="1" x14ac:dyDescent="0.5">
      <c r="D311" s="9"/>
    </row>
    <row r="312" spans="4:4" ht="15.75" customHeight="1" x14ac:dyDescent="0.5">
      <c r="D312" s="9"/>
    </row>
    <row r="313" spans="4:4" ht="15.75" customHeight="1" x14ac:dyDescent="0.5">
      <c r="D313" s="9"/>
    </row>
    <row r="314" spans="4:4" ht="15.75" customHeight="1" x14ac:dyDescent="0.5">
      <c r="D314" s="9"/>
    </row>
    <row r="315" spans="4:4" ht="15.75" customHeight="1" x14ac:dyDescent="0.5">
      <c r="D315" s="9"/>
    </row>
    <row r="316" spans="4:4" ht="15.75" customHeight="1" x14ac:dyDescent="0.5">
      <c r="D316" s="9"/>
    </row>
    <row r="317" spans="4:4" ht="15.75" customHeight="1" x14ac:dyDescent="0.5">
      <c r="D317" s="9"/>
    </row>
    <row r="318" spans="4:4" ht="15.75" customHeight="1" x14ac:dyDescent="0.5">
      <c r="D318" s="9"/>
    </row>
    <row r="319" spans="4:4" ht="15.75" customHeight="1" x14ac:dyDescent="0.5">
      <c r="D319" s="9"/>
    </row>
    <row r="320" spans="4:4" ht="15.75" customHeight="1" x14ac:dyDescent="0.5">
      <c r="D320" s="9"/>
    </row>
    <row r="321" spans="4:4" ht="15.75" customHeight="1" x14ac:dyDescent="0.5">
      <c r="D321" s="9"/>
    </row>
    <row r="322" spans="4:4" ht="15.75" customHeight="1" x14ac:dyDescent="0.5">
      <c r="D322" s="9"/>
    </row>
    <row r="323" spans="4:4" ht="15.75" customHeight="1" x14ac:dyDescent="0.5">
      <c r="D323" s="9"/>
    </row>
    <row r="324" spans="4:4" ht="15.75" customHeight="1" x14ac:dyDescent="0.5">
      <c r="D324" s="9"/>
    </row>
    <row r="325" spans="4:4" ht="15.75" customHeight="1" x14ac:dyDescent="0.5">
      <c r="D325" s="9"/>
    </row>
    <row r="326" spans="4:4" ht="15.75" customHeight="1" x14ac:dyDescent="0.5">
      <c r="D326" s="9"/>
    </row>
    <row r="327" spans="4:4" ht="15.75" customHeight="1" x14ac:dyDescent="0.5">
      <c r="D327" s="9"/>
    </row>
    <row r="328" spans="4:4" ht="15.75" customHeight="1" x14ac:dyDescent="0.5">
      <c r="D328" s="9"/>
    </row>
    <row r="329" spans="4:4" ht="15.75" customHeight="1" x14ac:dyDescent="0.5">
      <c r="D329" s="9"/>
    </row>
    <row r="330" spans="4:4" ht="15.75" customHeight="1" x14ac:dyDescent="0.5">
      <c r="D330" s="9"/>
    </row>
    <row r="331" spans="4:4" ht="15.75" customHeight="1" x14ac:dyDescent="0.5">
      <c r="D331" s="9"/>
    </row>
    <row r="332" spans="4:4" ht="15.75" customHeight="1" x14ac:dyDescent="0.5">
      <c r="D332" s="9"/>
    </row>
    <row r="333" spans="4:4" ht="15.75" customHeight="1" x14ac:dyDescent="0.5">
      <c r="D333" s="9"/>
    </row>
    <row r="334" spans="4:4" ht="15.75" customHeight="1" x14ac:dyDescent="0.5">
      <c r="D334" s="9"/>
    </row>
    <row r="335" spans="4:4" ht="15.75" customHeight="1" x14ac:dyDescent="0.5">
      <c r="D335" s="9"/>
    </row>
    <row r="336" spans="4:4" ht="15.75" customHeight="1" x14ac:dyDescent="0.5">
      <c r="D336" s="9"/>
    </row>
    <row r="337" spans="4:4" ht="15.75" customHeight="1" x14ac:dyDescent="0.5">
      <c r="D337" s="9"/>
    </row>
    <row r="338" spans="4:4" ht="15.75" customHeight="1" x14ac:dyDescent="0.5">
      <c r="D338" s="9"/>
    </row>
    <row r="339" spans="4:4" ht="15.75" customHeight="1" x14ac:dyDescent="0.5">
      <c r="D339" s="9"/>
    </row>
    <row r="340" spans="4:4" ht="15.75" customHeight="1" x14ac:dyDescent="0.5">
      <c r="D340" s="9"/>
    </row>
    <row r="341" spans="4:4" ht="15.75" customHeight="1" x14ac:dyDescent="0.5">
      <c r="D341" s="9"/>
    </row>
    <row r="342" spans="4:4" ht="15.75" customHeight="1" x14ac:dyDescent="0.5">
      <c r="D342" s="9"/>
    </row>
    <row r="343" spans="4:4" ht="15.75" customHeight="1" x14ac:dyDescent="0.5">
      <c r="D343" s="9"/>
    </row>
    <row r="344" spans="4:4" ht="15.75" customHeight="1" x14ac:dyDescent="0.5">
      <c r="D344" s="9"/>
    </row>
    <row r="345" spans="4:4" ht="15.75" customHeight="1" x14ac:dyDescent="0.5">
      <c r="D345" s="9"/>
    </row>
    <row r="346" spans="4:4" ht="15.75" customHeight="1" x14ac:dyDescent="0.5">
      <c r="D346" s="9"/>
    </row>
    <row r="347" spans="4:4" ht="15.75" customHeight="1" x14ac:dyDescent="0.5">
      <c r="D347" s="9"/>
    </row>
    <row r="348" spans="4:4" ht="15.75" customHeight="1" x14ac:dyDescent="0.5">
      <c r="D348" s="9"/>
    </row>
    <row r="349" spans="4:4" ht="15.75" customHeight="1" x14ac:dyDescent="0.5">
      <c r="D349" s="9"/>
    </row>
    <row r="350" spans="4:4" ht="15.75" customHeight="1" x14ac:dyDescent="0.5">
      <c r="D350" s="9"/>
    </row>
    <row r="351" spans="4:4" ht="15.75" customHeight="1" x14ac:dyDescent="0.5">
      <c r="D351" s="9"/>
    </row>
    <row r="352" spans="4:4" ht="15.75" customHeight="1" x14ac:dyDescent="0.5">
      <c r="D352" s="9"/>
    </row>
    <row r="353" spans="4:4" ht="15.75" customHeight="1" x14ac:dyDescent="0.5">
      <c r="D353" s="9"/>
    </row>
    <row r="354" spans="4:4" ht="15.75" customHeight="1" x14ac:dyDescent="0.5">
      <c r="D354" s="9"/>
    </row>
    <row r="355" spans="4:4" ht="15.75" customHeight="1" x14ac:dyDescent="0.5">
      <c r="D355" s="9"/>
    </row>
    <row r="356" spans="4:4" ht="15.75" customHeight="1" x14ac:dyDescent="0.5">
      <c r="D356" s="9"/>
    </row>
    <row r="357" spans="4:4" ht="15.75" customHeight="1" x14ac:dyDescent="0.5">
      <c r="D357" s="9"/>
    </row>
    <row r="358" spans="4:4" ht="15.75" customHeight="1" x14ac:dyDescent="0.5">
      <c r="D358" s="9"/>
    </row>
    <row r="359" spans="4:4" ht="15.75" customHeight="1" x14ac:dyDescent="0.5">
      <c r="D359" s="9"/>
    </row>
    <row r="360" spans="4:4" ht="15.75" customHeight="1" x14ac:dyDescent="0.5">
      <c r="D360" s="9"/>
    </row>
    <row r="361" spans="4:4" ht="15.75" customHeight="1" x14ac:dyDescent="0.5">
      <c r="D361" s="9"/>
    </row>
    <row r="362" spans="4:4" ht="15.75" customHeight="1" x14ac:dyDescent="0.5">
      <c r="D362" s="9"/>
    </row>
    <row r="363" spans="4:4" ht="15.75" customHeight="1" x14ac:dyDescent="0.5">
      <c r="D363" s="9"/>
    </row>
    <row r="364" spans="4:4" ht="15.75" customHeight="1" x14ac:dyDescent="0.5">
      <c r="D364" s="9"/>
    </row>
    <row r="365" spans="4:4" ht="15.75" customHeight="1" x14ac:dyDescent="0.5">
      <c r="D365" s="9"/>
    </row>
    <row r="366" spans="4:4" ht="15.75" customHeight="1" x14ac:dyDescent="0.5">
      <c r="D366" s="9"/>
    </row>
    <row r="367" spans="4:4" ht="15.75" customHeight="1" x14ac:dyDescent="0.5">
      <c r="D367" s="9"/>
    </row>
    <row r="368" spans="4:4" ht="15.75" customHeight="1" x14ac:dyDescent="0.5">
      <c r="D368" s="9"/>
    </row>
    <row r="369" spans="4:4" ht="15.75" customHeight="1" x14ac:dyDescent="0.5">
      <c r="D369" s="9"/>
    </row>
    <row r="370" spans="4:4" ht="15.75" customHeight="1" x14ac:dyDescent="0.5">
      <c r="D370" s="9"/>
    </row>
    <row r="371" spans="4:4" ht="15.75" customHeight="1" x14ac:dyDescent="0.5">
      <c r="D371" s="9"/>
    </row>
    <row r="372" spans="4:4" ht="15.75" customHeight="1" x14ac:dyDescent="0.5">
      <c r="D372" s="9"/>
    </row>
    <row r="373" spans="4:4" ht="15.75" customHeight="1" x14ac:dyDescent="0.5">
      <c r="D373" s="9"/>
    </row>
    <row r="374" spans="4:4" ht="15.75" customHeight="1" x14ac:dyDescent="0.5">
      <c r="D374" s="9"/>
    </row>
    <row r="375" spans="4:4" ht="15.75" customHeight="1" x14ac:dyDescent="0.5">
      <c r="D375" s="9"/>
    </row>
    <row r="376" spans="4:4" ht="15.75" customHeight="1" x14ac:dyDescent="0.5">
      <c r="D376" s="9"/>
    </row>
    <row r="377" spans="4:4" ht="15.75" customHeight="1" x14ac:dyDescent="0.5">
      <c r="D377" s="9"/>
    </row>
    <row r="378" spans="4:4" ht="15.75" customHeight="1" x14ac:dyDescent="0.5">
      <c r="D378" s="9"/>
    </row>
    <row r="379" spans="4:4" ht="15.75" customHeight="1" x14ac:dyDescent="0.5">
      <c r="D379" s="9"/>
    </row>
    <row r="380" spans="4:4" ht="15.75" customHeight="1" x14ac:dyDescent="0.5">
      <c r="D380" s="9"/>
    </row>
    <row r="381" spans="4:4" ht="15.75" customHeight="1" x14ac:dyDescent="0.5">
      <c r="D381" s="9"/>
    </row>
    <row r="382" spans="4:4" ht="15.75" customHeight="1" x14ac:dyDescent="0.5">
      <c r="D382" s="9"/>
    </row>
    <row r="383" spans="4:4" ht="15.75" customHeight="1" x14ac:dyDescent="0.5">
      <c r="D383" s="9"/>
    </row>
    <row r="384" spans="4:4" ht="15.75" customHeight="1" x14ac:dyDescent="0.5">
      <c r="D384" s="9"/>
    </row>
    <row r="385" spans="4:4" ht="15.75" customHeight="1" x14ac:dyDescent="0.5">
      <c r="D385" s="9"/>
    </row>
    <row r="386" spans="4:4" ht="15.75" customHeight="1" x14ac:dyDescent="0.5">
      <c r="D386" s="9"/>
    </row>
    <row r="387" spans="4:4" ht="15.75" customHeight="1" x14ac:dyDescent="0.5">
      <c r="D387" s="9"/>
    </row>
    <row r="388" spans="4:4" ht="15.75" customHeight="1" x14ac:dyDescent="0.5">
      <c r="D388" s="9"/>
    </row>
    <row r="389" spans="4:4" ht="15.75" customHeight="1" x14ac:dyDescent="0.5">
      <c r="D389" s="9"/>
    </row>
    <row r="390" spans="4:4" ht="15.75" customHeight="1" x14ac:dyDescent="0.5">
      <c r="D390" s="9"/>
    </row>
    <row r="391" spans="4:4" ht="15.75" customHeight="1" x14ac:dyDescent="0.5">
      <c r="D391" s="9"/>
    </row>
    <row r="392" spans="4:4" ht="15.75" customHeight="1" x14ac:dyDescent="0.5">
      <c r="D392" s="9"/>
    </row>
    <row r="393" spans="4:4" ht="15.75" customHeight="1" x14ac:dyDescent="0.5">
      <c r="D393" s="9"/>
    </row>
    <row r="394" spans="4:4" ht="15.75" customHeight="1" x14ac:dyDescent="0.5">
      <c r="D394" s="9"/>
    </row>
    <row r="395" spans="4:4" ht="15.75" customHeight="1" x14ac:dyDescent="0.5">
      <c r="D395" s="9"/>
    </row>
    <row r="396" spans="4:4" ht="15.75" customHeight="1" x14ac:dyDescent="0.5">
      <c r="D396" s="9"/>
    </row>
    <row r="397" spans="4:4" ht="15.75" customHeight="1" x14ac:dyDescent="0.5">
      <c r="D397" s="9"/>
    </row>
    <row r="398" spans="4:4" ht="15.75" customHeight="1" x14ac:dyDescent="0.5">
      <c r="D398" s="9"/>
    </row>
    <row r="399" spans="4:4" ht="15.75" customHeight="1" x14ac:dyDescent="0.5">
      <c r="D399" s="9"/>
    </row>
    <row r="400" spans="4:4" ht="15.75" customHeight="1" x14ac:dyDescent="0.5">
      <c r="D400" s="9"/>
    </row>
    <row r="401" spans="4:4" ht="15.75" customHeight="1" x14ac:dyDescent="0.5">
      <c r="D401" s="9"/>
    </row>
    <row r="402" spans="4:4" ht="15.75" customHeight="1" x14ac:dyDescent="0.5">
      <c r="D402" s="9"/>
    </row>
    <row r="403" spans="4:4" ht="15.75" customHeight="1" x14ac:dyDescent="0.5">
      <c r="D403" s="9"/>
    </row>
    <row r="404" spans="4:4" ht="15.75" customHeight="1" x14ac:dyDescent="0.5">
      <c r="D404" s="9"/>
    </row>
    <row r="405" spans="4:4" ht="15.75" customHeight="1" x14ac:dyDescent="0.5">
      <c r="D405" s="9"/>
    </row>
    <row r="406" spans="4:4" ht="15.75" customHeight="1" x14ac:dyDescent="0.5">
      <c r="D406" s="9"/>
    </row>
    <row r="407" spans="4:4" ht="15.75" customHeight="1" x14ac:dyDescent="0.5">
      <c r="D407" s="9"/>
    </row>
    <row r="408" spans="4:4" ht="15.75" customHeight="1" x14ac:dyDescent="0.5">
      <c r="D408" s="9"/>
    </row>
    <row r="409" spans="4:4" ht="15.75" customHeight="1" x14ac:dyDescent="0.5">
      <c r="D409" s="9"/>
    </row>
    <row r="410" spans="4:4" ht="15.75" customHeight="1" x14ac:dyDescent="0.5">
      <c r="D410" s="9"/>
    </row>
    <row r="411" spans="4:4" ht="15.75" customHeight="1" x14ac:dyDescent="0.5">
      <c r="D411" s="9"/>
    </row>
    <row r="412" spans="4:4" ht="15.75" customHeight="1" x14ac:dyDescent="0.5">
      <c r="D412" s="9"/>
    </row>
    <row r="413" spans="4:4" ht="15.75" customHeight="1" x14ac:dyDescent="0.5">
      <c r="D413" s="9"/>
    </row>
    <row r="414" spans="4:4" ht="15.75" customHeight="1" x14ac:dyDescent="0.5">
      <c r="D414" s="9"/>
    </row>
    <row r="415" spans="4:4" ht="15.75" customHeight="1" x14ac:dyDescent="0.5">
      <c r="D415" s="9"/>
    </row>
    <row r="416" spans="4:4" ht="15.75" customHeight="1" x14ac:dyDescent="0.5">
      <c r="D416" s="9"/>
    </row>
    <row r="417" spans="4:4" ht="15.75" customHeight="1" x14ac:dyDescent="0.5">
      <c r="D417" s="9"/>
    </row>
    <row r="418" spans="4:4" ht="15.75" customHeight="1" x14ac:dyDescent="0.5">
      <c r="D418" s="9"/>
    </row>
    <row r="419" spans="4:4" ht="15.75" customHeight="1" x14ac:dyDescent="0.5">
      <c r="D419" s="9"/>
    </row>
    <row r="420" spans="4:4" ht="15.75" customHeight="1" x14ac:dyDescent="0.5">
      <c r="D420" s="9"/>
    </row>
    <row r="421" spans="4:4" ht="15.75" customHeight="1" x14ac:dyDescent="0.5">
      <c r="D421" s="9"/>
    </row>
    <row r="422" spans="4:4" ht="15.75" customHeight="1" x14ac:dyDescent="0.5">
      <c r="D422" s="9"/>
    </row>
    <row r="423" spans="4:4" ht="15.75" customHeight="1" x14ac:dyDescent="0.5">
      <c r="D423" s="9"/>
    </row>
    <row r="424" spans="4:4" ht="15.75" customHeight="1" x14ac:dyDescent="0.5">
      <c r="D424" s="9"/>
    </row>
    <row r="425" spans="4:4" ht="15.75" customHeight="1" x14ac:dyDescent="0.5">
      <c r="D425" s="9"/>
    </row>
    <row r="426" spans="4:4" ht="15.75" customHeight="1" x14ac:dyDescent="0.5">
      <c r="D426" s="9"/>
    </row>
    <row r="427" spans="4:4" ht="15.75" customHeight="1" x14ac:dyDescent="0.5">
      <c r="D427" s="9"/>
    </row>
    <row r="428" spans="4:4" ht="15.75" customHeight="1" x14ac:dyDescent="0.5">
      <c r="D428" s="9"/>
    </row>
    <row r="429" spans="4:4" ht="15.75" customHeight="1" x14ac:dyDescent="0.5">
      <c r="D429" s="9"/>
    </row>
    <row r="430" spans="4:4" ht="15.75" customHeight="1" x14ac:dyDescent="0.5">
      <c r="D430" s="9"/>
    </row>
    <row r="431" spans="4:4" ht="15.75" customHeight="1" x14ac:dyDescent="0.5">
      <c r="D431" s="9"/>
    </row>
    <row r="432" spans="4:4" ht="15.75" customHeight="1" x14ac:dyDescent="0.5">
      <c r="D432" s="9"/>
    </row>
    <row r="433" spans="4:4" ht="15.75" customHeight="1" x14ac:dyDescent="0.5">
      <c r="D433" s="9"/>
    </row>
    <row r="434" spans="4:4" ht="15.75" customHeight="1" x14ac:dyDescent="0.5">
      <c r="D434" s="9"/>
    </row>
    <row r="435" spans="4:4" ht="15.75" customHeight="1" x14ac:dyDescent="0.5">
      <c r="D435" s="9"/>
    </row>
    <row r="436" spans="4:4" ht="15.75" customHeight="1" x14ac:dyDescent="0.5">
      <c r="D436" s="9"/>
    </row>
    <row r="437" spans="4:4" ht="15.75" customHeight="1" x14ac:dyDescent="0.5">
      <c r="D437" s="9"/>
    </row>
    <row r="438" spans="4:4" ht="15.75" customHeight="1" x14ac:dyDescent="0.5">
      <c r="D438" s="9"/>
    </row>
    <row r="439" spans="4:4" ht="15.75" customHeight="1" x14ac:dyDescent="0.5">
      <c r="D439" s="9"/>
    </row>
    <row r="440" spans="4:4" ht="15.75" customHeight="1" x14ac:dyDescent="0.5">
      <c r="D440" s="9"/>
    </row>
    <row r="441" spans="4:4" ht="15.75" customHeight="1" x14ac:dyDescent="0.5">
      <c r="D441" s="9"/>
    </row>
    <row r="442" spans="4:4" ht="15.75" customHeight="1" x14ac:dyDescent="0.5">
      <c r="D442" s="9"/>
    </row>
    <row r="443" spans="4:4" ht="15.75" customHeight="1" x14ac:dyDescent="0.5">
      <c r="D443" s="9"/>
    </row>
    <row r="444" spans="4:4" ht="15.75" customHeight="1" x14ac:dyDescent="0.5">
      <c r="D444" s="9"/>
    </row>
    <row r="445" spans="4:4" ht="15.75" customHeight="1" x14ac:dyDescent="0.5">
      <c r="D445" s="9"/>
    </row>
    <row r="446" spans="4:4" ht="15.75" customHeight="1" x14ac:dyDescent="0.5">
      <c r="D446" s="9"/>
    </row>
    <row r="447" spans="4:4" ht="15.75" customHeight="1" x14ac:dyDescent="0.5">
      <c r="D447" s="9"/>
    </row>
    <row r="448" spans="4:4" ht="15.75" customHeight="1" x14ac:dyDescent="0.5">
      <c r="D448" s="9"/>
    </row>
    <row r="449" spans="4:4" ht="15.75" customHeight="1" x14ac:dyDescent="0.5">
      <c r="D449" s="9"/>
    </row>
    <row r="450" spans="4:4" ht="15.75" customHeight="1" x14ac:dyDescent="0.5">
      <c r="D450" s="9"/>
    </row>
    <row r="451" spans="4:4" ht="15.75" customHeight="1" x14ac:dyDescent="0.5">
      <c r="D451" s="9"/>
    </row>
    <row r="452" spans="4:4" ht="15.75" customHeight="1" x14ac:dyDescent="0.5">
      <c r="D452" s="9"/>
    </row>
    <row r="453" spans="4:4" ht="15.75" customHeight="1" x14ac:dyDescent="0.5">
      <c r="D453" s="9"/>
    </row>
    <row r="454" spans="4:4" ht="15.75" customHeight="1" x14ac:dyDescent="0.5">
      <c r="D454" s="9"/>
    </row>
    <row r="455" spans="4:4" ht="15.75" customHeight="1" x14ac:dyDescent="0.5">
      <c r="D455" s="9"/>
    </row>
    <row r="456" spans="4:4" ht="15.75" customHeight="1" x14ac:dyDescent="0.5">
      <c r="D456" s="9"/>
    </row>
    <row r="457" spans="4:4" ht="15.75" customHeight="1" x14ac:dyDescent="0.5">
      <c r="D457" s="9"/>
    </row>
    <row r="458" spans="4:4" ht="15.75" customHeight="1" x14ac:dyDescent="0.5">
      <c r="D458" s="9"/>
    </row>
    <row r="459" spans="4:4" ht="15.75" customHeight="1" x14ac:dyDescent="0.5">
      <c r="D459" s="9"/>
    </row>
    <row r="460" spans="4:4" ht="15.75" customHeight="1" x14ac:dyDescent="0.5">
      <c r="D460" s="9"/>
    </row>
    <row r="461" spans="4:4" ht="15.75" customHeight="1" x14ac:dyDescent="0.5">
      <c r="D461" s="9"/>
    </row>
    <row r="462" spans="4:4" ht="15.75" customHeight="1" x14ac:dyDescent="0.5">
      <c r="D462" s="9"/>
    </row>
    <row r="463" spans="4:4" ht="15.75" customHeight="1" x14ac:dyDescent="0.5">
      <c r="D463" s="9"/>
    </row>
    <row r="464" spans="4:4" ht="15.75" customHeight="1" x14ac:dyDescent="0.5">
      <c r="D464" s="9"/>
    </row>
    <row r="465" spans="4:4" ht="15.75" customHeight="1" x14ac:dyDescent="0.5">
      <c r="D465" s="9"/>
    </row>
    <row r="466" spans="4:4" ht="15.75" customHeight="1" x14ac:dyDescent="0.5">
      <c r="D466" s="9"/>
    </row>
    <row r="467" spans="4:4" ht="15.75" customHeight="1" x14ac:dyDescent="0.5">
      <c r="D467" s="9"/>
    </row>
    <row r="468" spans="4:4" ht="15.75" customHeight="1" x14ac:dyDescent="0.5">
      <c r="D468" s="9"/>
    </row>
    <row r="469" spans="4:4" ht="15.75" customHeight="1" x14ac:dyDescent="0.5">
      <c r="D469" s="9"/>
    </row>
    <row r="470" spans="4:4" ht="15.75" customHeight="1" x14ac:dyDescent="0.5">
      <c r="D470" s="9"/>
    </row>
    <row r="471" spans="4:4" ht="15.75" customHeight="1" x14ac:dyDescent="0.5">
      <c r="D471" s="9"/>
    </row>
    <row r="472" spans="4:4" ht="15.75" customHeight="1" x14ac:dyDescent="0.5">
      <c r="D472" s="9"/>
    </row>
    <row r="473" spans="4:4" ht="15.75" customHeight="1" x14ac:dyDescent="0.5">
      <c r="D473" s="9"/>
    </row>
    <row r="474" spans="4:4" ht="15.75" customHeight="1" x14ac:dyDescent="0.5">
      <c r="D474" s="9"/>
    </row>
    <row r="475" spans="4:4" ht="15.75" customHeight="1" x14ac:dyDescent="0.5">
      <c r="D475" s="9"/>
    </row>
    <row r="476" spans="4:4" ht="15.75" customHeight="1" x14ac:dyDescent="0.5">
      <c r="D476" s="9"/>
    </row>
    <row r="477" spans="4:4" ht="15.75" customHeight="1" x14ac:dyDescent="0.5">
      <c r="D477" s="9"/>
    </row>
    <row r="478" spans="4:4" ht="15.75" customHeight="1" x14ac:dyDescent="0.5">
      <c r="D478" s="9"/>
    </row>
    <row r="479" spans="4:4" ht="15.75" customHeight="1" x14ac:dyDescent="0.5">
      <c r="D479" s="9"/>
    </row>
    <row r="480" spans="4:4" ht="15.75" customHeight="1" x14ac:dyDescent="0.5">
      <c r="D480" s="9"/>
    </row>
    <row r="481" spans="4:4" ht="15.75" customHeight="1" x14ac:dyDescent="0.5">
      <c r="D481" s="9"/>
    </row>
    <row r="482" spans="4:4" ht="15.75" customHeight="1" x14ac:dyDescent="0.5">
      <c r="D482" s="9"/>
    </row>
    <row r="483" spans="4:4" ht="15.75" customHeight="1" x14ac:dyDescent="0.5">
      <c r="D483" s="9"/>
    </row>
    <row r="484" spans="4:4" ht="15.75" customHeight="1" x14ac:dyDescent="0.5">
      <c r="D484" s="9"/>
    </row>
    <row r="485" spans="4:4" ht="15.75" customHeight="1" x14ac:dyDescent="0.5">
      <c r="D485" s="9"/>
    </row>
    <row r="486" spans="4:4" ht="15.75" customHeight="1" x14ac:dyDescent="0.5">
      <c r="D486" s="9"/>
    </row>
    <row r="487" spans="4:4" ht="15.75" customHeight="1" x14ac:dyDescent="0.5">
      <c r="D487" s="9"/>
    </row>
    <row r="488" spans="4:4" ht="15.75" customHeight="1" x14ac:dyDescent="0.5">
      <c r="D488" s="9"/>
    </row>
    <row r="489" spans="4:4" ht="15.75" customHeight="1" x14ac:dyDescent="0.5">
      <c r="D489" s="9"/>
    </row>
    <row r="490" spans="4:4" ht="15.75" customHeight="1" x14ac:dyDescent="0.5">
      <c r="D490" s="9"/>
    </row>
    <row r="491" spans="4:4" ht="15.75" customHeight="1" x14ac:dyDescent="0.5">
      <c r="D491" s="9"/>
    </row>
    <row r="492" spans="4:4" ht="15.75" customHeight="1" x14ac:dyDescent="0.5">
      <c r="D492" s="9"/>
    </row>
    <row r="493" spans="4:4" ht="15.75" customHeight="1" x14ac:dyDescent="0.5">
      <c r="D493" s="9"/>
    </row>
    <row r="494" spans="4:4" ht="15.75" customHeight="1" x14ac:dyDescent="0.5">
      <c r="D494" s="9"/>
    </row>
    <row r="495" spans="4:4" ht="15.75" customHeight="1" x14ac:dyDescent="0.5">
      <c r="D495" s="9"/>
    </row>
    <row r="496" spans="4:4" ht="15.75" customHeight="1" x14ac:dyDescent="0.5">
      <c r="D496" s="9"/>
    </row>
    <row r="497" spans="4:4" ht="15.75" customHeight="1" x14ac:dyDescent="0.5">
      <c r="D497" s="9"/>
    </row>
    <row r="498" spans="4:4" ht="15.75" customHeight="1" x14ac:dyDescent="0.5">
      <c r="D498" s="9"/>
    </row>
    <row r="499" spans="4:4" ht="15.75" customHeight="1" x14ac:dyDescent="0.5">
      <c r="D499" s="9"/>
    </row>
    <row r="500" spans="4:4" ht="15.75" customHeight="1" x14ac:dyDescent="0.5">
      <c r="D500" s="9"/>
    </row>
    <row r="501" spans="4:4" ht="15.75" customHeight="1" x14ac:dyDescent="0.5">
      <c r="D501" s="9"/>
    </row>
    <row r="502" spans="4:4" ht="15.75" customHeight="1" x14ac:dyDescent="0.5">
      <c r="D502" s="9"/>
    </row>
    <row r="503" spans="4:4" ht="15.75" customHeight="1" x14ac:dyDescent="0.5">
      <c r="D503" s="9"/>
    </row>
    <row r="504" spans="4:4" ht="15.75" customHeight="1" x14ac:dyDescent="0.5">
      <c r="D504" s="9"/>
    </row>
    <row r="505" spans="4:4" ht="15.75" customHeight="1" x14ac:dyDescent="0.5">
      <c r="D505" s="9"/>
    </row>
    <row r="506" spans="4:4" ht="15.75" customHeight="1" x14ac:dyDescent="0.5">
      <c r="D506" s="9"/>
    </row>
    <row r="507" spans="4:4" ht="15.75" customHeight="1" x14ac:dyDescent="0.5">
      <c r="D507" s="9"/>
    </row>
    <row r="508" spans="4:4" ht="15.75" customHeight="1" x14ac:dyDescent="0.5">
      <c r="D508" s="9"/>
    </row>
    <row r="509" spans="4:4" ht="15.75" customHeight="1" x14ac:dyDescent="0.5">
      <c r="D509" s="9"/>
    </row>
    <row r="510" spans="4:4" ht="15.75" customHeight="1" x14ac:dyDescent="0.5">
      <c r="D510" s="9"/>
    </row>
    <row r="511" spans="4:4" ht="15.75" customHeight="1" x14ac:dyDescent="0.5">
      <c r="D511" s="9"/>
    </row>
    <row r="512" spans="4:4" ht="15.75" customHeight="1" x14ac:dyDescent="0.5">
      <c r="D512" s="9"/>
    </row>
    <row r="513" spans="4:4" ht="15.75" customHeight="1" x14ac:dyDescent="0.5">
      <c r="D513" s="9"/>
    </row>
    <row r="514" spans="4:4" ht="15.75" customHeight="1" x14ac:dyDescent="0.5">
      <c r="D514" s="9"/>
    </row>
    <row r="515" spans="4:4" ht="15.75" customHeight="1" x14ac:dyDescent="0.5">
      <c r="D515" s="9"/>
    </row>
    <row r="516" spans="4:4" ht="15.75" customHeight="1" x14ac:dyDescent="0.5">
      <c r="D516" s="9"/>
    </row>
    <row r="517" spans="4:4" ht="15.75" customHeight="1" x14ac:dyDescent="0.5">
      <c r="D517" s="9"/>
    </row>
    <row r="518" spans="4:4" ht="15.75" customHeight="1" x14ac:dyDescent="0.5">
      <c r="D518" s="9"/>
    </row>
    <row r="519" spans="4:4" ht="15.75" customHeight="1" x14ac:dyDescent="0.5">
      <c r="D519" s="9"/>
    </row>
    <row r="520" spans="4:4" ht="15.75" customHeight="1" x14ac:dyDescent="0.5">
      <c r="D520" s="9"/>
    </row>
    <row r="521" spans="4:4" ht="15.75" customHeight="1" x14ac:dyDescent="0.5">
      <c r="D521" s="9"/>
    </row>
    <row r="522" spans="4:4" ht="15.75" customHeight="1" x14ac:dyDescent="0.5">
      <c r="D522" s="9"/>
    </row>
    <row r="523" spans="4:4" ht="15.75" customHeight="1" x14ac:dyDescent="0.5">
      <c r="D523" s="9"/>
    </row>
    <row r="524" spans="4:4" ht="15.75" customHeight="1" x14ac:dyDescent="0.5">
      <c r="D524" s="9"/>
    </row>
    <row r="525" spans="4:4" ht="15.75" customHeight="1" x14ac:dyDescent="0.5">
      <c r="D525" s="9"/>
    </row>
    <row r="526" spans="4:4" ht="15.75" customHeight="1" x14ac:dyDescent="0.5">
      <c r="D526" s="9"/>
    </row>
    <row r="527" spans="4:4" ht="15.75" customHeight="1" x14ac:dyDescent="0.5">
      <c r="D527" s="9"/>
    </row>
    <row r="528" spans="4:4" ht="15.75" customHeight="1" x14ac:dyDescent="0.5">
      <c r="D528" s="9"/>
    </row>
    <row r="529" spans="4:4" ht="15.75" customHeight="1" x14ac:dyDescent="0.5">
      <c r="D529" s="9"/>
    </row>
    <row r="530" spans="4:4" ht="15.75" customHeight="1" x14ac:dyDescent="0.5">
      <c r="D530" s="9"/>
    </row>
    <row r="531" spans="4:4" ht="15.75" customHeight="1" x14ac:dyDescent="0.5">
      <c r="D531" s="9"/>
    </row>
    <row r="532" spans="4:4" ht="15.75" customHeight="1" x14ac:dyDescent="0.5">
      <c r="D532" s="9"/>
    </row>
    <row r="533" spans="4:4" ht="15.75" customHeight="1" x14ac:dyDescent="0.5">
      <c r="D533" s="9"/>
    </row>
    <row r="534" spans="4:4" ht="15.75" customHeight="1" x14ac:dyDescent="0.5">
      <c r="D534" s="9"/>
    </row>
    <row r="535" spans="4:4" ht="15.75" customHeight="1" x14ac:dyDescent="0.5">
      <c r="D535" s="9"/>
    </row>
    <row r="536" spans="4:4" ht="15.75" customHeight="1" x14ac:dyDescent="0.5">
      <c r="D536" s="9"/>
    </row>
    <row r="537" spans="4:4" ht="15.75" customHeight="1" x14ac:dyDescent="0.5">
      <c r="D537" s="9"/>
    </row>
    <row r="538" spans="4:4" ht="15.75" customHeight="1" x14ac:dyDescent="0.5">
      <c r="D538" s="9"/>
    </row>
    <row r="539" spans="4:4" ht="15.75" customHeight="1" x14ac:dyDescent="0.5">
      <c r="D539" s="9"/>
    </row>
    <row r="540" spans="4:4" ht="15.75" customHeight="1" x14ac:dyDescent="0.5">
      <c r="D540" s="9"/>
    </row>
    <row r="541" spans="4:4" ht="15.75" customHeight="1" x14ac:dyDescent="0.5">
      <c r="D541" s="9"/>
    </row>
    <row r="542" spans="4:4" ht="15.75" customHeight="1" x14ac:dyDescent="0.5">
      <c r="D542" s="9"/>
    </row>
    <row r="543" spans="4:4" ht="15.75" customHeight="1" x14ac:dyDescent="0.5">
      <c r="D543" s="9"/>
    </row>
    <row r="544" spans="4:4" ht="15.75" customHeight="1" x14ac:dyDescent="0.5">
      <c r="D544" s="9"/>
    </row>
    <row r="545" spans="4:4" ht="15.75" customHeight="1" x14ac:dyDescent="0.5">
      <c r="D545" s="9"/>
    </row>
    <row r="546" spans="4:4" ht="15.75" customHeight="1" x14ac:dyDescent="0.5">
      <c r="D546" s="9"/>
    </row>
    <row r="547" spans="4:4" ht="15.75" customHeight="1" x14ac:dyDescent="0.5">
      <c r="D547" s="9"/>
    </row>
    <row r="548" spans="4:4" ht="15.75" customHeight="1" x14ac:dyDescent="0.5">
      <c r="D548" s="9"/>
    </row>
    <row r="549" spans="4:4" ht="15.75" customHeight="1" x14ac:dyDescent="0.5">
      <c r="D549" s="9"/>
    </row>
    <row r="550" spans="4:4" ht="15.75" customHeight="1" x14ac:dyDescent="0.5">
      <c r="D550" s="9"/>
    </row>
    <row r="551" spans="4:4" ht="15.75" customHeight="1" x14ac:dyDescent="0.5">
      <c r="D551" s="9"/>
    </row>
    <row r="552" spans="4:4" ht="15.75" customHeight="1" x14ac:dyDescent="0.5">
      <c r="D552" s="9"/>
    </row>
    <row r="553" spans="4:4" ht="15.75" customHeight="1" x14ac:dyDescent="0.5">
      <c r="D553" s="9"/>
    </row>
    <row r="554" spans="4:4" ht="15.75" customHeight="1" x14ac:dyDescent="0.5">
      <c r="D554" s="9"/>
    </row>
    <row r="555" spans="4:4" ht="15.75" customHeight="1" x14ac:dyDescent="0.5">
      <c r="D555" s="9"/>
    </row>
    <row r="556" spans="4:4" ht="15.75" customHeight="1" x14ac:dyDescent="0.5">
      <c r="D556" s="9"/>
    </row>
    <row r="557" spans="4:4" ht="15.75" customHeight="1" x14ac:dyDescent="0.5">
      <c r="D557" s="9"/>
    </row>
    <row r="558" spans="4:4" ht="15.75" customHeight="1" x14ac:dyDescent="0.5">
      <c r="D558" s="9"/>
    </row>
    <row r="559" spans="4:4" ht="15.75" customHeight="1" x14ac:dyDescent="0.5">
      <c r="D559" s="9"/>
    </row>
    <row r="560" spans="4:4" ht="15.75" customHeight="1" x14ac:dyDescent="0.5">
      <c r="D560" s="9"/>
    </row>
    <row r="561" spans="4:4" ht="15.75" customHeight="1" x14ac:dyDescent="0.5">
      <c r="D561" s="9"/>
    </row>
    <row r="562" spans="4:4" ht="15.75" customHeight="1" x14ac:dyDescent="0.5">
      <c r="D562" s="9"/>
    </row>
    <row r="563" spans="4:4" ht="15.75" customHeight="1" x14ac:dyDescent="0.5">
      <c r="D563" s="9"/>
    </row>
    <row r="564" spans="4:4" ht="15.75" customHeight="1" x14ac:dyDescent="0.5">
      <c r="D564" s="9"/>
    </row>
    <row r="565" spans="4:4" ht="15.75" customHeight="1" x14ac:dyDescent="0.5">
      <c r="D565" s="9"/>
    </row>
    <row r="566" spans="4:4" ht="15.75" customHeight="1" x14ac:dyDescent="0.5">
      <c r="D566" s="9"/>
    </row>
    <row r="567" spans="4:4" ht="15.75" customHeight="1" x14ac:dyDescent="0.5">
      <c r="D567" s="9"/>
    </row>
    <row r="568" spans="4:4" ht="15.75" customHeight="1" x14ac:dyDescent="0.5">
      <c r="D568" s="9"/>
    </row>
    <row r="569" spans="4:4" ht="15.75" customHeight="1" x14ac:dyDescent="0.5">
      <c r="D569" s="9"/>
    </row>
    <row r="570" spans="4:4" ht="15.75" customHeight="1" x14ac:dyDescent="0.5">
      <c r="D570" s="9"/>
    </row>
    <row r="571" spans="4:4" ht="15.75" customHeight="1" x14ac:dyDescent="0.5">
      <c r="D571" s="9"/>
    </row>
    <row r="572" spans="4:4" ht="15.75" customHeight="1" x14ac:dyDescent="0.5">
      <c r="D572" s="9"/>
    </row>
    <row r="573" spans="4:4" ht="15.75" customHeight="1" x14ac:dyDescent="0.5">
      <c r="D573" s="9"/>
    </row>
    <row r="574" spans="4:4" ht="15.75" customHeight="1" x14ac:dyDescent="0.5">
      <c r="D574" s="9"/>
    </row>
    <row r="575" spans="4:4" ht="15.75" customHeight="1" x14ac:dyDescent="0.5">
      <c r="D575" s="9"/>
    </row>
    <row r="576" spans="4:4" ht="15.75" customHeight="1" x14ac:dyDescent="0.5">
      <c r="D576" s="9"/>
    </row>
    <row r="577" spans="4:4" ht="15.75" customHeight="1" x14ac:dyDescent="0.5">
      <c r="D577" s="9"/>
    </row>
    <row r="578" spans="4:4" ht="15.75" customHeight="1" x14ac:dyDescent="0.5">
      <c r="D578" s="9"/>
    </row>
    <row r="579" spans="4:4" ht="15.75" customHeight="1" x14ac:dyDescent="0.5">
      <c r="D579" s="9"/>
    </row>
    <row r="580" spans="4:4" ht="15.75" customHeight="1" x14ac:dyDescent="0.5">
      <c r="D580" s="9"/>
    </row>
    <row r="581" spans="4:4" ht="15.75" customHeight="1" x14ac:dyDescent="0.5">
      <c r="D581" s="9"/>
    </row>
    <row r="582" spans="4:4" ht="15.75" customHeight="1" x14ac:dyDescent="0.5">
      <c r="D582" s="9"/>
    </row>
    <row r="583" spans="4:4" ht="15.75" customHeight="1" x14ac:dyDescent="0.5">
      <c r="D583" s="9"/>
    </row>
    <row r="584" spans="4:4" ht="15.75" customHeight="1" x14ac:dyDescent="0.5">
      <c r="D584" s="9"/>
    </row>
    <row r="585" spans="4:4" ht="15.75" customHeight="1" x14ac:dyDescent="0.5">
      <c r="D585" s="9"/>
    </row>
    <row r="586" spans="4:4" ht="15.75" customHeight="1" x14ac:dyDescent="0.5">
      <c r="D586" s="9"/>
    </row>
    <row r="587" spans="4:4" ht="15.75" customHeight="1" x14ac:dyDescent="0.5">
      <c r="D587" s="9"/>
    </row>
    <row r="588" spans="4:4" ht="15.75" customHeight="1" x14ac:dyDescent="0.5">
      <c r="D588" s="9"/>
    </row>
    <row r="589" spans="4:4" ht="15.75" customHeight="1" x14ac:dyDescent="0.5">
      <c r="D589" s="9"/>
    </row>
    <row r="590" spans="4:4" ht="15.75" customHeight="1" x14ac:dyDescent="0.5">
      <c r="D590" s="9"/>
    </row>
    <row r="591" spans="4:4" ht="15.75" customHeight="1" x14ac:dyDescent="0.5">
      <c r="D591" s="9"/>
    </row>
    <row r="592" spans="4:4" ht="15.75" customHeight="1" x14ac:dyDescent="0.5">
      <c r="D592" s="9"/>
    </row>
    <row r="593" spans="4:4" ht="15.75" customHeight="1" x14ac:dyDescent="0.5">
      <c r="D593" s="9"/>
    </row>
    <row r="594" spans="4:4" ht="15.75" customHeight="1" x14ac:dyDescent="0.5">
      <c r="D594" s="9"/>
    </row>
    <row r="595" spans="4:4" ht="15.75" customHeight="1" x14ac:dyDescent="0.5">
      <c r="D595" s="9"/>
    </row>
    <row r="596" spans="4:4" ht="15.75" customHeight="1" x14ac:dyDescent="0.5">
      <c r="D596" s="9"/>
    </row>
    <row r="597" spans="4:4" ht="15.75" customHeight="1" x14ac:dyDescent="0.5">
      <c r="D597" s="9"/>
    </row>
    <row r="598" spans="4:4" ht="15.75" customHeight="1" x14ac:dyDescent="0.5">
      <c r="D598" s="9"/>
    </row>
    <row r="599" spans="4:4" ht="15.75" customHeight="1" x14ac:dyDescent="0.5">
      <c r="D599" s="9"/>
    </row>
    <row r="600" spans="4:4" ht="15.75" customHeight="1" x14ac:dyDescent="0.5">
      <c r="D600" s="9"/>
    </row>
    <row r="601" spans="4:4" ht="15.75" customHeight="1" x14ac:dyDescent="0.5">
      <c r="D601" s="9"/>
    </row>
    <row r="602" spans="4:4" ht="15.75" customHeight="1" x14ac:dyDescent="0.5">
      <c r="D602" s="9"/>
    </row>
    <row r="603" spans="4:4" ht="15.75" customHeight="1" x14ac:dyDescent="0.5">
      <c r="D603" s="9"/>
    </row>
    <row r="604" spans="4:4" ht="15.75" customHeight="1" x14ac:dyDescent="0.5">
      <c r="D604" s="9"/>
    </row>
    <row r="605" spans="4:4" ht="15.75" customHeight="1" x14ac:dyDescent="0.5">
      <c r="D605" s="9"/>
    </row>
    <row r="606" spans="4:4" ht="15.75" customHeight="1" x14ac:dyDescent="0.5">
      <c r="D606" s="9"/>
    </row>
    <row r="607" spans="4:4" ht="15.75" customHeight="1" x14ac:dyDescent="0.5">
      <c r="D607" s="9"/>
    </row>
    <row r="608" spans="4:4" ht="15.75" customHeight="1" x14ac:dyDescent="0.5">
      <c r="D608" s="9"/>
    </row>
    <row r="609" spans="4:4" ht="15.75" customHeight="1" x14ac:dyDescent="0.5">
      <c r="D609" s="9"/>
    </row>
    <row r="610" spans="4:4" ht="15.75" customHeight="1" x14ac:dyDescent="0.5">
      <c r="D610" s="9"/>
    </row>
    <row r="611" spans="4:4" ht="15.75" customHeight="1" x14ac:dyDescent="0.5">
      <c r="D611" s="9"/>
    </row>
    <row r="612" spans="4:4" ht="15.75" customHeight="1" x14ac:dyDescent="0.5">
      <c r="D612" s="9"/>
    </row>
    <row r="613" spans="4:4" ht="15.75" customHeight="1" x14ac:dyDescent="0.5">
      <c r="D613" s="9"/>
    </row>
    <row r="614" spans="4:4" ht="15.75" customHeight="1" x14ac:dyDescent="0.5">
      <c r="D614" s="9"/>
    </row>
    <row r="615" spans="4:4" ht="15.75" customHeight="1" x14ac:dyDescent="0.5">
      <c r="D615" s="9"/>
    </row>
    <row r="616" spans="4:4" ht="15.75" customHeight="1" x14ac:dyDescent="0.5">
      <c r="D616" s="9"/>
    </row>
    <row r="617" spans="4:4" ht="15.75" customHeight="1" x14ac:dyDescent="0.5">
      <c r="D617" s="9"/>
    </row>
    <row r="618" spans="4:4" ht="15.75" customHeight="1" x14ac:dyDescent="0.5">
      <c r="D618" s="9"/>
    </row>
    <row r="619" spans="4:4" ht="15.75" customHeight="1" x14ac:dyDescent="0.5">
      <c r="D619" s="9"/>
    </row>
    <row r="620" spans="4:4" ht="15.75" customHeight="1" x14ac:dyDescent="0.5">
      <c r="D620" s="9"/>
    </row>
    <row r="621" spans="4:4" ht="15.75" customHeight="1" x14ac:dyDescent="0.5">
      <c r="D621" s="9"/>
    </row>
    <row r="622" spans="4:4" ht="15.75" customHeight="1" x14ac:dyDescent="0.5">
      <c r="D622" s="9"/>
    </row>
    <row r="623" spans="4:4" ht="15.75" customHeight="1" x14ac:dyDescent="0.5">
      <c r="D623" s="9"/>
    </row>
    <row r="624" spans="4:4" ht="15.75" customHeight="1" x14ac:dyDescent="0.5">
      <c r="D624" s="9"/>
    </row>
    <row r="625" spans="4:4" ht="15.75" customHeight="1" x14ac:dyDescent="0.5">
      <c r="D625" s="9"/>
    </row>
    <row r="626" spans="4:4" ht="15.75" customHeight="1" x14ac:dyDescent="0.5">
      <c r="D626" s="9"/>
    </row>
    <row r="627" spans="4:4" ht="15.75" customHeight="1" x14ac:dyDescent="0.5">
      <c r="D627" s="9"/>
    </row>
    <row r="628" spans="4:4" ht="15.75" customHeight="1" x14ac:dyDescent="0.5">
      <c r="D628" s="9"/>
    </row>
    <row r="629" spans="4:4" ht="15.75" customHeight="1" x14ac:dyDescent="0.5">
      <c r="D629" s="9"/>
    </row>
    <row r="630" spans="4:4" ht="15.75" customHeight="1" x14ac:dyDescent="0.5">
      <c r="D630" s="9"/>
    </row>
    <row r="631" spans="4:4" ht="15.75" customHeight="1" x14ac:dyDescent="0.5">
      <c r="D631" s="9"/>
    </row>
    <row r="632" spans="4:4" ht="15.75" customHeight="1" x14ac:dyDescent="0.5">
      <c r="D632" s="9"/>
    </row>
    <row r="633" spans="4:4" ht="15.75" customHeight="1" x14ac:dyDescent="0.5">
      <c r="D633" s="9"/>
    </row>
    <row r="634" spans="4:4" ht="15.75" customHeight="1" x14ac:dyDescent="0.5">
      <c r="D634" s="9"/>
    </row>
    <row r="635" spans="4:4" ht="15.75" customHeight="1" x14ac:dyDescent="0.5">
      <c r="D635" s="9"/>
    </row>
    <row r="636" spans="4:4" ht="15.75" customHeight="1" x14ac:dyDescent="0.5">
      <c r="D636" s="9"/>
    </row>
    <row r="637" spans="4:4" ht="15.75" customHeight="1" x14ac:dyDescent="0.5">
      <c r="D637" s="9"/>
    </row>
    <row r="638" spans="4:4" ht="15.75" customHeight="1" x14ac:dyDescent="0.5">
      <c r="D638" s="9"/>
    </row>
    <row r="639" spans="4:4" ht="15.75" customHeight="1" x14ac:dyDescent="0.5">
      <c r="D639" s="9"/>
    </row>
    <row r="640" spans="4:4" ht="15.75" customHeight="1" x14ac:dyDescent="0.5">
      <c r="D640" s="9"/>
    </row>
    <row r="641" spans="4:4" ht="15.75" customHeight="1" x14ac:dyDescent="0.5">
      <c r="D641" s="9"/>
    </row>
    <row r="642" spans="4:4" ht="15.75" customHeight="1" x14ac:dyDescent="0.5">
      <c r="D642" s="9"/>
    </row>
    <row r="643" spans="4:4" ht="15.75" customHeight="1" x14ac:dyDescent="0.5">
      <c r="D643" s="9"/>
    </row>
    <row r="644" spans="4:4" ht="15.75" customHeight="1" x14ac:dyDescent="0.5">
      <c r="D644" s="9"/>
    </row>
    <row r="645" spans="4:4" ht="15.75" customHeight="1" x14ac:dyDescent="0.5">
      <c r="D645" s="9"/>
    </row>
    <row r="646" spans="4:4" ht="15.75" customHeight="1" x14ac:dyDescent="0.5">
      <c r="D646" s="9"/>
    </row>
    <row r="647" spans="4:4" ht="15.75" customHeight="1" x14ac:dyDescent="0.5">
      <c r="D647" s="9"/>
    </row>
    <row r="648" spans="4:4" ht="15.75" customHeight="1" x14ac:dyDescent="0.5">
      <c r="D648" s="9"/>
    </row>
    <row r="649" spans="4:4" ht="15.75" customHeight="1" x14ac:dyDescent="0.5">
      <c r="D649" s="9"/>
    </row>
    <row r="650" spans="4:4" ht="15.75" customHeight="1" x14ac:dyDescent="0.5">
      <c r="D650" s="9"/>
    </row>
    <row r="651" spans="4:4" ht="15.75" customHeight="1" x14ac:dyDescent="0.5">
      <c r="D651" s="9"/>
    </row>
    <row r="652" spans="4:4" ht="15.75" customHeight="1" x14ac:dyDescent="0.5">
      <c r="D652" s="9"/>
    </row>
    <row r="653" spans="4:4" ht="15.75" customHeight="1" x14ac:dyDescent="0.5">
      <c r="D653" s="9"/>
    </row>
    <row r="654" spans="4:4" ht="15.75" customHeight="1" x14ac:dyDescent="0.5">
      <c r="D654" s="9"/>
    </row>
    <row r="655" spans="4:4" ht="15.75" customHeight="1" x14ac:dyDescent="0.5">
      <c r="D655" s="9"/>
    </row>
    <row r="656" spans="4:4" ht="15.75" customHeight="1" x14ac:dyDescent="0.5">
      <c r="D656" s="9"/>
    </row>
    <row r="657" spans="4:4" ht="15.75" customHeight="1" x14ac:dyDescent="0.5">
      <c r="D657" s="9"/>
    </row>
    <row r="658" spans="4:4" ht="15.75" customHeight="1" x14ac:dyDescent="0.5">
      <c r="D658" s="9"/>
    </row>
    <row r="659" spans="4:4" ht="15.75" customHeight="1" x14ac:dyDescent="0.5">
      <c r="D659" s="9"/>
    </row>
    <row r="660" spans="4:4" ht="15.75" customHeight="1" x14ac:dyDescent="0.5">
      <c r="D660" s="9"/>
    </row>
    <row r="661" spans="4:4" ht="15.75" customHeight="1" x14ac:dyDescent="0.5">
      <c r="D661" s="9"/>
    </row>
    <row r="662" spans="4:4" ht="15.75" customHeight="1" x14ac:dyDescent="0.5">
      <c r="D662" s="9"/>
    </row>
    <row r="663" spans="4:4" ht="15.75" customHeight="1" x14ac:dyDescent="0.5">
      <c r="D663" s="9"/>
    </row>
    <row r="664" spans="4:4" ht="15.75" customHeight="1" x14ac:dyDescent="0.5">
      <c r="D664" s="9"/>
    </row>
    <row r="665" spans="4:4" ht="15.75" customHeight="1" x14ac:dyDescent="0.5">
      <c r="D665" s="9"/>
    </row>
    <row r="666" spans="4:4" ht="15.75" customHeight="1" x14ac:dyDescent="0.5">
      <c r="D666" s="9"/>
    </row>
    <row r="667" spans="4:4" ht="15.75" customHeight="1" x14ac:dyDescent="0.5">
      <c r="D667" s="9"/>
    </row>
    <row r="668" spans="4:4" ht="15.75" customHeight="1" x14ac:dyDescent="0.5">
      <c r="D668" s="9"/>
    </row>
    <row r="669" spans="4:4" ht="15.75" customHeight="1" x14ac:dyDescent="0.5">
      <c r="D669" s="9"/>
    </row>
    <row r="670" spans="4:4" ht="15.75" customHeight="1" x14ac:dyDescent="0.5">
      <c r="D670" s="9"/>
    </row>
    <row r="671" spans="4:4" ht="15.75" customHeight="1" x14ac:dyDescent="0.5">
      <c r="D671" s="9"/>
    </row>
    <row r="672" spans="4:4" ht="15.75" customHeight="1" x14ac:dyDescent="0.5">
      <c r="D672" s="9"/>
    </row>
    <row r="673" spans="4:4" ht="15.75" customHeight="1" x14ac:dyDescent="0.5">
      <c r="D673" s="9"/>
    </row>
    <row r="674" spans="4:4" ht="15.75" customHeight="1" x14ac:dyDescent="0.5">
      <c r="D674" s="9"/>
    </row>
    <row r="675" spans="4:4" ht="15.75" customHeight="1" x14ac:dyDescent="0.5">
      <c r="D675" s="9"/>
    </row>
    <row r="676" spans="4:4" ht="15.75" customHeight="1" x14ac:dyDescent="0.5">
      <c r="D676" s="9"/>
    </row>
    <row r="677" spans="4:4" ht="15.75" customHeight="1" x14ac:dyDescent="0.5">
      <c r="D677" s="9"/>
    </row>
    <row r="678" spans="4:4" ht="15.75" customHeight="1" x14ac:dyDescent="0.5">
      <c r="D678" s="9"/>
    </row>
    <row r="679" spans="4:4" ht="15.75" customHeight="1" x14ac:dyDescent="0.5">
      <c r="D679" s="9"/>
    </row>
    <row r="680" spans="4:4" ht="15.75" customHeight="1" x14ac:dyDescent="0.5">
      <c r="D680" s="9"/>
    </row>
    <row r="681" spans="4:4" ht="15.75" customHeight="1" x14ac:dyDescent="0.5">
      <c r="D681" s="9"/>
    </row>
    <row r="682" spans="4:4" ht="15.75" customHeight="1" x14ac:dyDescent="0.5">
      <c r="D682" s="9"/>
    </row>
    <row r="683" spans="4:4" ht="15.75" customHeight="1" x14ac:dyDescent="0.5">
      <c r="D683" s="9"/>
    </row>
    <row r="684" spans="4:4" ht="15.75" customHeight="1" x14ac:dyDescent="0.5">
      <c r="D684" s="9"/>
    </row>
    <row r="685" spans="4:4" ht="15.75" customHeight="1" x14ac:dyDescent="0.5">
      <c r="D685" s="9"/>
    </row>
    <row r="686" spans="4:4" ht="15.75" customHeight="1" x14ac:dyDescent="0.5">
      <c r="D686" s="9"/>
    </row>
    <row r="687" spans="4:4" ht="15.75" customHeight="1" x14ac:dyDescent="0.5">
      <c r="D687" s="9"/>
    </row>
    <row r="688" spans="4:4" ht="15.75" customHeight="1" x14ac:dyDescent="0.5">
      <c r="D688" s="9"/>
    </row>
    <row r="689" spans="4:4" ht="15.75" customHeight="1" x14ac:dyDescent="0.5">
      <c r="D689" s="9"/>
    </row>
    <row r="690" spans="4:4" ht="15.75" customHeight="1" x14ac:dyDescent="0.5">
      <c r="D690" s="9"/>
    </row>
    <row r="691" spans="4:4" ht="15.75" customHeight="1" x14ac:dyDescent="0.5">
      <c r="D691" s="9"/>
    </row>
    <row r="692" spans="4:4" ht="15.75" customHeight="1" x14ac:dyDescent="0.5">
      <c r="D692" s="9"/>
    </row>
    <row r="693" spans="4:4" ht="15.75" customHeight="1" x14ac:dyDescent="0.5">
      <c r="D693" s="9"/>
    </row>
    <row r="694" spans="4:4" ht="15.75" customHeight="1" x14ac:dyDescent="0.5">
      <c r="D694" s="9"/>
    </row>
    <row r="695" spans="4:4" ht="15.75" customHeight="1" x14ac:dyDescent="0.5">
      <c r="D695" s="9"/>
    </row>
    <row r="696" spans="4:4" ht="15.75" customHeight="1" x14ac:dyDescent="0.5">
      <c r="D696" s="9"/>
    </row>
    <row r="697" spans="4:4" ht="15.75" customHeight="1" x14ac:dyDescent="0.5">
      <c r="D697" s="9"/>
    </row>
    <row r="698" spans="4:4" ht="15.75" customHeight="1" x14ac:dyDescent="0.5">
      <c r="D698" s="9"/>
    </row>
    <row r="699" spans="4:4" ht="15.75" customHeight="1" x14ac:dyDescent="0.5">
      <c r="D699" s="9"/>
    </row>
    <row r="700" spans="4:4" ht="15.75" customHeight="1" x14ac:dyDescent="0.5">
      <c r="D700" s="9"/>
    </row>
    <row r="701" spans="4:4" ht="15.75" customHeight="1" x14ac:dyDescent="0.5">
      <c r="D701" s="9"/>
    </row>
    <row r="702" spans="4:4" ht="15.75" customHeight="1" x14ac:dyDescent="0.5">
      <c r="D702" s="9"/>
    </row>
    <row r="703" spans="4:4" ht="15.75" customHeight="1" x14ac:dyDescent="0.5">
      <c r="D703" s="9"/>
    </row>
    <row r="704" spans="4:4" ht="15.75" customHeight="1" x14ac:dyDescent="0.5">
      <c r="D704" s="9"/>
    </row>
    <row r="705" spans="4:4" ht="15.75" customHeight="1" x14ac:dyDescent="0.5">
      <c r="D705" s="9"/>
    </row>
    <row r="706" spans="4:4" ht="15.75" customHeight="1" x14ac:dyDescent="0.5">
      <c r="D706" s="9"/>
    </row>
    <row r="707" spans="4:4" ht="15.75" customHeight="1" x14ac:dyDescent="0.5">
      <c r="D707" s="9"/>
    </row>
    <row r="708" spans="4:4" ht="15.75" customHeight="1" x14ac:dyDescent="0.5">
      <c r="D708" s="9"/>
    </row>
    <row r="709" spans="4:4" ht="15.75" customHeight="1" x14ac:dyDescent="0.5">
      <c r="D709" s="9"/>
    </row>
    <row r="710" spans="4:4" ht="15.75" customHeight="1" x14ac:dyDescent="0.5">
      <c r="D710" s="9"/>
    </row>
    <row r="711" spans="4:4" ht="15.75" customHeight="1" x14ac:dyDescent="0.5">
      <c r="D711" s="9"/>
    </row>
    <row r="712" spans="4:4" ht="15.75" customHeight="1" x14ac:dyDescent="0.5">
      <c r="D712" s="9"/>
    </row>
    <row r="713" spans="4:4" ht="15.75" customHeight="1" x14ac:dyDescent="0.5">
      <c r="D713" s="9"/>
    </row>
    <row r="714" spans="4:4" ht="15.75" customHeight="1" x14ac:dyDescent="0.5">
      <c r="D714" s="9"/>
    </row>
    <row r="715" spans="4:4" ht="15.75" customHeight="1" x14ac:dyDescent="0.5">
      <c r="D715" s="9"/>
    </row>
    <row r="716" spans="4:4" ht="15.75" customHeight="1" x14ac:dyDescent="0.5">
      <c r="D716" s="9"/>
    </row>
    <row r="717" spans="4:4" ht="15.75" customHeight="1" x14ac:dyDescent="0.5">
      <c r="D717" s="9"/>
    </row>
    <row r="718" spans="4:4" ht="15.75" customHeight="1" x14ac:dyDescent="0.5">
      <c r="D718" s="9"/>
    </row>
    <row r="719" spans="4:4" ht="15.75" customHeight="1" x14ac:dyDescent="0.5">
      <c r="D719" s="9"/>
    </row>
    <row r="720" spans="4:4" ht="15.75" customHeight="1" x14ac:dyDescent="0.5">
      <c r="D720" s="9"/>
    </row>
    <row r="721" spans="4:4" ht="15.75" customHeight="1" x14ac:dyDescent="0.5">
      <c r="D721" s="9"/>
    </row>
    <row r="722" spans="4:4" ht="15.75" customHeight="1" x14ac:dyDescent="0.5">
      <c r="D722" s="9"/>
    </row>
    <row r="723" spans="4:4" ht="15.75" customHeight="1" x14ac:dyDescent="0.5">
      <c r="D723" s="9"/>
    </row>
    <row r="724" spans="4:4" ht="15.75" customHeight="1" x14ac:dyDescent="0.5">
      <c r="D724" s="9"/>
    </row>
    <row r="725" spans="4:4" ht="15.75" customHeight="1" x14ac:dyDescent="0.5">
      <c r="D725" s="9"/>
    </row>
    <row r="726" spans="4:4" ht="15.75" customHeight="1" x14ac:dyDescent="0.5">
      <c r="D726" s="9"/>
    </row>
    <row r="727" spans="4:4" ht="15.75" customHeight="1" x14ac:dyDescent="0.5">
      <c r="D727" s="9"/>
    </row>
    <row r="728" spans="4:4" ht="15.75" customHeight="1" x14ac:dyDescent="0.5">
      <c r="D728" s="9"/>
    </row>
    <row r="729" spans="4:4" ht="15.75" customHeight="1" x14ac:dyDescent="0.5">
      <c r="D729" s="9"/>
    </row>
    <row r="730" spans="4:4" ht="15.75" customHeight="1" x14ac:dyDescent="0.5">
      <c r="D730" s="9"/>
    </row>
    <row r="731" spans="4:4" ht="15.75" customHeight="1" x14ac:dyDescent="0.5">
      <c r="D731" s="9"/>
    </row>
    <row r="732" spans="4:4" ht="15.75" customHeight="1" x14ac:dyDescent="0.5">
      <c r="D732" s="9"/>
    </row>
    <row r="733" spans="4:4" ht="15.75" customHeight="1" x14ac:dyDescent="0.5">
      <c r="D733" s="9"/>
    </row>
    <row r="734" spans="4:4" ht="15.75" customHeight="1" x14ac:dyDescent="0.5">
      <c r="D734" s="9"/>
    </row>
    <row r="735" spans="4:4" ht="15.75" customHeight="1" x14ac:dyDescent="0.5">
      <c r="D735" s="9"/>
    </row>
    <row r="736" spans="4:4" ht="15.75" customHeight="1" x14ac:dyDescent="0.5">
      <c r="D736" s="9"/>
    </row>
    <row r="737" spans="4:4" ht="15.75" customHeight="1" x14ac:dyDescent="0.5">
      <c r="D737" s="9"/>
    </row>
    <row r="738" spans="4:4" ht="15.75" customHeight="1" x14ac:dyDescent="0.5">
      <c r="D738" s="9"/>
    </row>
    <row r="739" spans="4:4" ht="15.75" customHeight="1" x14ac:dyDescent="0.5">
      <c r="D739" s="9"/>
    </row>
    <row r="740" spans="4:4" ht="15.75" customHeight="1" x14ac:dyDescent="0.5">
      <c r="D740" s="9"/>
    </row>
    <row r="741" spans="4:4" ht="15.75" customHeight="1" x14ac:dyDescent="0.5">
      <c r="D741" s="9"/>
    </row>
    <row r="742" spans="4:4" ht="15.75" customHeight="1" x14ac:dyDescent="0.5">
      <c r="D742" s="9"/>
    </row>
    <row r="743" spans="4:4" ht="15.75" customHeight="1" x14ac:dyDescent="0.5">
      <c r="D743" s="9"/>
    </row>
    <row r="744" spans="4:4" ht="15.75" customHeight="1" x14ac:dyDescent="0.5">
      <c r="D744" s="9"/>
    </row>
    <row r="745" spans="4:4" ht="15.75" customHeight="1" x14ac:dyDescent="0.5">
      <c r="D745" s="9"/>
    </row>
    <row r="746" spans="4:4" ht="15.75" customHeight="1" x14ac:dyDescent="0.5">
      <c r="D746" s="9"/>
    </row>
    <row r="747" spans="4:4" ht="15.75" customHeight="1" x14ac:dyDescent="0.5">
      <c r="D747" s="9"/>
    </row>
    <row r="748" spans="4:4" ht="15.75" customHeight="1" x14ac:dyDescent="0.5">
      <c r="D748" s="9"/>
    </row>
    <row r="749" spans="4:4" ht="15.75" customHeight="1" x14ac:dyDescent="0.5">
      <c r="D749" s="9"/>
    </row>
    <row r="750" spans="4:4" ht="15.75" customHeight="1" x14ac:dyDescent="0.5">
      <c r="D750" s="9"/>
    </row>
    <row r="751" spans="4:4" ht="15.75" customHeight="1" x14ac:dyDescent="0.5">
      <c r="D751" s="9"/>
    </row>
    <row r="752" spans="4:4" ht="15.75" customHeight="1" x14ac:dyDescent="0.5">
      <c r="D752" s="9"/>
    </row>
    <row r="753" spans="4:4" ht="15.75" customHeight="1" x14ac:dyDescent="0.5">
      <c r="D753" s="9"/>
    </row>
    <row r="754" spans="4:4" ht="15.75" customHeight="1" x14ac:dyDescent="0.5">
      <c r="D754" s="9"/>
    </row>
    <row r="755" spans="4:4" ht="15.75" customHeight="1" x14ac:dyDescent="0.5">
      <c r="D755" s="9"/>
    </row>
    <row r="756" spans="4:4" ht="15.75" customHeight="1" x14ac:dyDescent="0.5">
      <c r="D756" s="9"/>
    </row>
    <row r="757" spans="4:4" ht="15.75" customHeight="1" x14ac:dyDescent="0.5">
      <c r="D757" s="9"/>
    </row>
    <row r="758" spans="4:4" ht="15.75" customHeight="1" x14ac:dyDescent="0.5">
      <c r="D758" s="9"/>
    </row>
    <row r="759" spans="4:4" ht="15.75" customHeight="1" x14ac:dyDescent="0.5">
      <c r="D759" s="9"/>
    </row>
    <row r="760" spans="4:4" ht="15.75" customHeight="1" x14ac:dyDescent="0.5">
      <c r="D760" s="9"/>
    </row>
    <row r="761" spans="4:4" ht="15.75" customHeight="1" x14ac:dyDescent="0.5">
      <c r="D761" s="9"/>
    </row>
    <row r="762" spans="4:4" ht="15.75" customHeight="1" x14ac:dyDescent="0.5">
      <c r="D762" s="9"/>
    </row>
    <row r="763" spans="4:4" ht="15.75" customHeight="1" x14ac:dyDescent="0.5">
      <c r="D763" s="9"/>
    </row>
    <row r="764" spans="4:4" ht="15.75" customHeight="1" x14ac:dyDescent="0.5">
      <c r="D764" s="9"/>
    </row>
    <row r="765" spans="4:4" ht="15.75" customHeight="1" x14ac:dyDescent="0.5">
      <c r="D765" s="9"/>
    </row>
    <row r="766" spans="4:4" ht="15.75" customHeight="1" x14ac:dyDescent="0.5">
      <c r="D766" s="9"/>
    </row>
    <row r="767" spans="4:4" ht="15.75" customHeight="1" x14ac:dyDescent="0.5">
      <c r="D767" s="9"/>
    </row>
    <row r="768" spans="4:4" ht="15.75" customHeight="1" x14ac:dyDescent="0.5">
      <c r="D768" s="9"/>
    </row>
    <row r="769" spans="4:4" ht="15.75" customHeight="1" x14ac:dyDescent="0.5">
      <c r="D769" s="9"/>
    </row>
    <row r="770" spans="4:4" ht="15.75" customHeight="1" x14ac:dyDescent="0.5">
      <c r="D770" s="9"/>
    </row>
    <row r="771" spans="4:4" ht="15.75" customHeight="1" x14ac:dyDescent="0.5">
      <c r="D771" s="9"/>
    </row>
    <row r="772" spans="4:4" ht="15.75" customHeight="1" x14ac:dyDescent="0.5">
      <c r="D772" s="9"/>
    </row>
    <row r="773" spans="4:4" ht="15.75" customHeight="1" x14ac:dyDescent="0.5">
      <c r="D773" s="9"/>
    </row>
    <row r="774" spans="4:4" ht="15.75" customHeight="1" x14ac:dyDescent="0.5">
      <c r="D774" s="9"/>
    </row>
    <row r="775" spans="4:4" ht="15.75" customHeight="1" x14ac:dyDescent="0.5">
      <c r="D775" s="9"/>
    </row>
    <row r="776" spans="4:4" ht="15.75" customHeight="1" x14ac:dyDescent="0.5">
      <c r="D776" s="9"/>
    </row>
    <row r="777" spans="4:4" ht="15.75" customHeight="1" x14ac:dyDescent="0.5">
      <c r="D777" s="9"/>
    </row>
    <row r="778" spans="4:4" ht="15.75" customHeight="1" x14ac:dyDescent="0.5">
      <c r="D778" s="9"/>
    </row>
    <row r="779" spans="4:4" ht="15.75" customHeight="1" x14ac:dyDescent="0.5">
      <c r="D779" s="9"/>
    </row>
    <row r="780" spans="4:4" ht="15.75" customHeight="1" x14ac:dyDescent="0.5">
      <c r="D780" s="9"/>
    </row>
    <row r="781" spans="4:4" ht="15.75" customHeight="1" x14ac:dyDescent="0.5">
      <c r="D781" s="9"/>
    </row>
    <row r="782" spans="4:4" ht="15.75" customHeight="1" x14ac:dyDescent="0.5">
      <c r="D782" s="9"/>
    </row>
    <row r="783" spans="4:4" ht="15.75" customHeight="1" x14ac:dyDescent="0.5">
      <c r="D783" s="9"/>
    </row>
    <row r="784" spans="4:4" ht="15.75" customHeight="1" x14ac:dyDescent="0.5">
      <c r="D784" s="9"/>
    </row>
    <row r="785" spans="4:4" ht="15.75" customHeight="1" x14ac:dyDescent="0.5">
      <c r="D785" s="9"/>
    </row>
    <row r="786" spans="4:4" ht="15.75" customHeight="1" x14ac:dyDescent="0.5">
      <c r="D786" s="9"/>
    </row>
    <row r="787" spans="4:4" ht="15.75" customHeight="1" x14ac:dyDescent="0.5">
      <c r="D787" s="9"/>
    </row>
    <row r="788" spans="4:4" ht="15.75" customHeight="1" x14ac:dyDescent="0.5">
      <c r="D788" s="9"/>
    </row>
    <row r="789" spans="4:4" ht="15.75" customHeight="1" x14ac:dyDescent="0.5">
      <c r="D789" s="9"/>
    </row>
    <row r="790" spans="4:4" ht="15.75" customHeight="1" x14ac:dyDescent="0.5">
      <c r="D790" s="9"/>
    </row>
    <row r="791" spans="4:4" ht="15.75" customHeight="1" x14ac:dyDescent="0.5">
      <c r="D791" s="9"/>
    </row>
    <row r="792" spans="4:4" ht="15.75" customHeight="1" x14ac:dyDescent="0.5">
      <c r="D792" s="9"/>
    </row>
    <row r="793" spans="4:4" ht="15.75" customHeight="1" x14ac:dyDescent="0.5">
      <c r="D793" s="9"/>
    </row>
    <row r="794" spans="4:4" ht="15.75" customHeight="1" x14ac:dyDescent="0.5">
      <c r="D794" s="9"/>
    </row>
    <row r="795" spans="4:4" ht="15.75" customHeight="1" x14ac:dyDescent="0.5">
      <c r="D795" s="9"/>
    </row>
    <row r="796" spans="4:4" ht="15.75" customHeight="1" x14ac:dyDescent="0.5">
      <c r="D796" s="9"/>
    </row>
    <row r="797" spans="4:4" ht="15.75" customHeight="1" x14ac:dyDescent="0.5">
      <c r="D797" s="9"/>
    </row>
    <row r="798" spans="4:4" ht="15.75" customHeight="1" x14ac:dyDescent="0.5">
      <c r="D798" s="9"/>
    </row>
    <row r="799" spans="4:4" ht="15.75" customHeight="1" x14ac:dyDescent="0.5">
      <c r="D799" s="9"/>
    </row>
    <row r="800" spans="4:4" ht="15.75" customHeight="1" x14ac:dyDescent="0.5">
      <c r="D800" s="9"/>
    </row>
    <row r="801" spans="4:4" ht="15.75" customHeight="1" x14ac:dyDescent="0.5">
      <c r="D801" s="9"/>
    </row>
    <row r="802" spans="4:4" ht="15.75" customHeight="1" x14ac:dyDescent="0.5">
      <c r="D802" s="9"/>
    </row>
    <row r="803" spans="4:4" ht="15.75" customHeight="1" x14ac:dyDescent="0.5">
      <c r="D803" s="9"/>
    </row>
    <row r="804" spans="4:4" ht="15.75" customHeight="1" x14ac:dyDescent="0.5">
      <c r="D804" s="9"/>
    </row>
    <row r="805" spans="4:4" ht="15.75" customHeight="1" x14ac:dyDescent="0.5">
      <c r="D805" s="9"/>
    </row>
    <row r="806" spans="4:4" ht="15.75" customHeight="1" x14ac:dyDescent="0.5">
      <c r="D806" s="9"/>
    </row>
    <row r="807" spans="4:4" ht="15.75" customHeight="1" x14ac:dyDescent="0.5">
      <c r="D807" s="9"/>
    </row>
    <row r="808" spans="4:4" ht="15.75" customHeight="1" x14ac:dyDescent="0.5">
      <c r="D808" s="9"/>
    </row>
    <row r="809" spans="4:4" ht="15.75" customHeight="1" x14ac:dyDescent="0.5">
      <c r="D809" s="9"/>
    </row>
    <row r="810" spans="4:4" ht="15.75" customHeight="1" x14ac:dyDescent="0.5">
      <c r="D810" s="9"/>
    </row>
    <row r="811" spans="4:4" ht="15.75" customHeight="1" x14ac:dyDescent="0.5">
      <c r="D811" s="9"/>
    </row>
    <row r="812" spans="4:4" ht="15.75" customHeight="1" x14ac:dyDescent="0.5">
      <c r="D812" s="9"/>
    </row>
    <row r="813" spans="4:4" ht="15.75" customHeight="1" x14ac:dyDescent="0.5">
      <c r="D813" s="9"/>
    </row>
    <row r="814" spans="4:4" ht="15.75" customHeight="1" x14ac:dyDescent="0.5">
      <c r="D814" s="9"/>
    </row>
    <row r="815" spans="4:4" ht="15.75" customHeight="1" x14ac:dyDescent="0.5">
      <c r="D815" s="9"/>
    </row>
    <row r="816" spans="4:4" ht="15.75" customHeight="1" x14ac:dyDescent="0.5">
      <c r="D816" s="9"/>
    </row>
    <row r="817" spans="4:4" ht="15.75" customHeight="1" x14ac:dyDescent="0.5">
      <c r="D817" s="9"/>
    </row>
    <row r="818" spans="4:4" ht="15.75" customHeight="1" x14ac:dyDescent="0.5">
      <c r="D818" s="9"/>
    </row>
    <row r="819" spans="4:4" ht="15.75" customHeight="1" x14ac:dyDescent="0.5">
      <c r="D819" s="9"/>
    </row>
    <row r="820" spans="4:4" ht="15.75" customHeight="1" x14ac:dyDescent="0.5">
      <c r="D820" s="9"/>
    </row>
    <row r="821" spans="4:4" ht="15.75" customHeight="1" x14ac:dyDescent="0.5">
      <c r="D821" s="9"/>
    </row>
    <row r="822" spans="4:4" ht="15.75" customHeight="1" x14ac:dyDescent="0.5">
      <c r="D822" s="9"/>
    </row>
    <row r="823" spans="4:4" ht="15.75" customHeight="1" x14ac:dyDescent="0.5">
      <c r="D823" s="9"/>
    </row>
    <row r="824" spans="4:4" ht="15.75" customHeight="1" x14ac:dyDescent="0.5">
      <c r="D824" s="9"/>
    </row>
    <row r="825" spans="4:4" ht="15.75" customHeight="1" x14ac:dyDescent="0.5">
      <c r="D825" s="9"/>
    </row>
    <row r="826" spans="4:4" ht="15.75" customHeight="1" x14ac:dyDescent="0.5">
      <c r="D826" s="9"/>
    </row>
    <row r="827" spans="4:4" ht="15.75" customHeight="1" x14ac:dyDescent="0.5">
      <c r="D827" s="9"/>
    </row>
    <row r="828" spans="4:4" ht="15.75" customHeight="1" x14ac:dyDescent="0.5">
      <c r="D828" s="9"/>
    </row>
    <row r="829" spans="4:4" ht="15.75" customHeight="1" x14ac:dyDescent="0.5">
      <c r="D829" s="9"/>
    </row>
    <row r="830" spans="4:4" ht="15.75" customHeight="1" x14ac:dyDescent="0.5">
      <c r="D830" s="9"/>
    </row>
    <row r="831" spans="4:4" ht="15.75" customHeight="1" x14ac:dyDescent="0.5">
      <c r="D831" s="9"/>
    </row>
    <row r="832" spans="4:4" ht="15.75" customHeight="1" x14ac:dyDescent="0.5">
      <c r="D832" s="9"/>
    </row>
    <row r="833" spans="4:4" ht="15.75" customHeight="1" x14ac:dyDescent="0.5">
      <c r="D833" s="9"/>
    </row>
    <row r="834" spans="4:4" ht="15.75" customHeight="1" x14ac:dyDescent="0.5">
      <c r="D834" s="9"/>
    </row>
    <row r="835" spans="4:4" ht="15.75" customHeight="1" x14ac:dyDescent="0.5">
      <c r="D835" s="9"/>
    </row>
    <row r="836" spans="4:4" ht="15.75" customHeight="1" x14ac:dyDescent="0.5">
      <c r="D836" s="9"/>
    </row>
    <row r="837" spans="4:4" ht="15.75" customHeight="1" x14ac:dyDescent="0.5">
      <c r="D837" s="9"/>
    </row>
    <row r="838" spans="4:4" ht="15.75" customHeight="1" x14ac:dyDescent="0.5">
      <c r="D838" s="9"/>
    </row>
    <row r="839" spans="4:4" ht="15.75" customHeight="1" x14ac:dyDescent="0.5">
      <c r="D839" s="9"/>
    </row>
    <row r="840" spans="4:4" ht="15.75" customHeight="1" x14ac:dyDescent="0.5">
      <c r="D840" s="9"/>
    </row>
    <row r="841" spans="4:4" ht="15.75" customHeight="1" x14ac:dyDescent="0.5">
      <c r="D841" s="9"/>
    </row>
    <row r="842" spans="4:4" ht="15.75" customHeight="1" x14ac:dyDescent="0.5">
      <c r="D842" s="9"/>
    </row>
    <row r="843" spans="4:4" ht="15.75" customHeight="1" x14ac:dyDescent="0.5">
      <c r="D843" s="9"/>
    </row>
    <row r="844" spans="4:4" ht="15.75" customHeight="1" x14ac:dyDescent="0.5">
      <c r="D844" s="9"/>
    </row>
    <row r="845" spans="4:4" ht="15.75" customHeight="1" x14ac:dyDescent="0.5">
      <c r="D845" s="9"/>
    </row>
    <row r="846" spans="4:4" ht="15.75" customHeight="1" x14ac:dyDescent="0.5">
      <c r="D846" s="9"/>
    </row>
    <row r="847" spans="4:4" ht="15.75" customHeight="1" x14ac:dyDescent="0.5">
      <c r="D847" s="9"/>
    </row>
    <row r="848" spans="4:4" ht="15.75" customHeight="1" x14ac:dyDescent="0.5">
      <c r="D848" s="9"/>
    </row>
    <row r="849" spans="4:4" ht="15.75" customHeight="1" x14ac:dyDescent="0.5">
      <c r="D849" s="9"/>
    </row>
    <row r="850" spans="4:4" ht="15.75" customHeight="1" x14ac:dyDescent="0.5">
      <c r="D850" s="9"/>
    </row>
    <row r="851" spans="4:4" ht="15.75" customHeight="1" x14ac:dyDescent="0.5">
      <c r="D851" s="9"/>
    </row>
    <row r="852" spans="4:4" ht="15.75" customHeight="1" x14ac:dyDescent="0.5">
      <c r="D852" s="9"/>
    </row>
    <row r="853" spans="4:4" ht="15.75" customHeight="1" x14ac:dyDescent="0.5">
      <c r="D853" s="9"/>
    </row>
    <row r="854" spans="4:4" ht="15.75" customHeight="1" x14ac:dyDescent="0.5">
      <c r="D854" s="9"/>
    </row>
    <row r="855" spans="4:4" ht="15.75" customHeight="1" x14ac:dyDescent="0.5">
      <c r="D855" s="9"/>
    </row>
    <row r="856" spans="4:4" ht="15.75" customHeight="1" x14ac:dyDescent="0.5">
      <c r="D856" s="9"/>
    </row>
    <row r="857" spans="4:4" ht="15.75" customHeight="1" x14ac:dyDescent="0.5">
      <c r="D857" s="9"/>
    </row>
    <row r="858" spans="4:4" ht="15.75" customHeight="1" x14ac:dyDescent="0.5">
      <c r="D858" s="9"/>
    </row>
    <row r="859" spans="4:4" ht="15.75" customHeight="1" x14ac:dyDescent="0.5">
      <c r="D859" s="9"/>
    </row>
    <row r="860" spans="4:4" ht="15.75" customHeight="1" x14ac:dyDescent="0.5">
      <c r="D860" s="9"/>
    </row>
    <row r="861" spans="4:4" ht="15.75" customHeight="1" x14ac:dyDescent="0.5">
      <c r="D861" s="9"/>
    </row>
    <row r="862" spans="4:4" ht="15.75" customHeight="1" x14ac:dyDescent="0.5">
      <c r="D862" s="9"/>
    </row>
    <row r="863" spans="4:4" ht="15.75" customHeight="1" x14ac:dyDescent="0.5">
      <c r="D863" s="9"/>
    </row>
    <row r="864" spans="4:4" ht="15.75" customHeight="1" x14ac:dyDescent="0.5">
      <c r="D864" s="9"/>
    </row>
    <row r="865" spans="4:4" ht="15.75" customHeight="1" x14ac:dyDescent="0.5">
      <c r="D865" s="9"/>
    </row>
    <row r="866" spans="4:4" ht="15.75" customHeight="1" x14ac:dyDescent="0.5">
      <c r="D866" s="9"/>
    </row>
    <row r="867" spans="4:4" ht="15.75" customHeight="1" x14ac:dyDescent="0.5">
      <c r="D867" s="9"/>
    </row>
    <row r="868" spans="4:4" ht="15.75" customHeight="1" x14ac:dyDescent="0.5">
      <c r="D868" s="9"/>
    </row>
    <row r="869" spans="4:4" ht="15.75" customHeight="1" x14ac:dyDescent="0.5">
      <c r="D869" s="9"/>
    </row>
    <row r="870" spans="4:4" ht="15.75" customHeight="1" x14ac:dyDescent="0.5">
      <c r="D870" s="9"/>
    </row>
    <row r="871" spans="4:4" ht="15.75" customHeight="1" x14ac:dyDescent="0.5">
      <c r="D871" s="9"/>
    </row>
    <row r="872" spans="4:4" ht="15.75" customHeight="1" x14ac:dyDescent="0.5">
      <c r="D872" s="9"/>
    </row>
    <row r="873" spans="4:4" ht="15.75" customHeight="1" x14ac:dyDescent="0.5">
      <c r="D873" s="9"/>
    </row>
    <row r="874" spans="4:4" ht="15.75" customHeight="1" x14ac:dyDescent="0.5">
      <c r="D874" s="9"/>
    </row>
    <row r="875" spans="4:4" ht="15.75" customHeight="1" x14ac:dyDescent="0.5">
      <c r="D875" s="9"/>
    </row>
    <row r="876" spans="4:4" ht="15.75" customHeight="1" x14ac:dyDescent="0.5">
      <c r="D876" s="9"/>
    </row>
    <row r="877" spans="4:4" ht="15.75" customHeight="1" x14ac:dyDescent="0.5">
      <c r="D877" s="9"/>
    </row>
    <row r="878" spans="4:4" ht="15.75" customHeight="1" x14ac:dyDescent="0.5">
      <c r="D878" s="9"/>
    </row>
    <row r="879" spans="4:4" ht="15.75" customHeight="1" x14ac:dyDescent="0.5">
      <c r="D879" s="9"/>
    </row>
    <row r="880" spans="4:4" ht="15.75" customHeight="1" x14ac:dyDescent="0.5">
      <c r="D880" s="9"/>
    </row>
    <row r="881" spans="4:4" ht="15.75" customHeight="1" x14ac:dyDescent="0.5">
      <c r="D881" s="9"/>
    </row>
    <row r="882" spans="4:4" ht="15.75" customHeight="1" x14ac:dyDescent="0.5">
      <c r="D882" s="9"/>
    </row>
    <row r="883" spans="4:4" ht="15.75" customHeight="1" x14ac:dyDescent="0.5">
      <c r="D883" s="9"/>
    </row>
    <row r="884" spans="4:4" ht="15.75" customHeight="1" x14ac:dyDescent="0.5">
      <c r="D884" s="9"/>
    </row>
    <row r="885" spans="4:4" ht="15.75" customHeight="1" x14ac:dyDescent="0.5">
      <c r="D885" s="9"/>
    </row>
    <row r="886" spans="4:4" ht="15.75" customHeight="1" x14ac:dyDescent="0.5">
      <c r="D886" s="9"/>
    </row>
    <row r="887" spans="4:4" ht="15.75" customHeight="1" x14ac:dyDescent="0.5">
      <c r="D887" s="9"/>
    </row>
    <row r="888" spans="4:4" ht="15.75" customHeight="1" x14ac:dyDescent="0.5">
      <c r="D888" s="9"/>
    </row>
    <row r="889" spans="4:4" ht="15.75" customHeight="1" x14ac:dyDescent="0.5">
      <c r="D889" s="9"/>
    </row>
    <row r="890" spans="4:4" ht="15.75" customHeight="1" x14ac:dyDescent="0.5">
      <c r="D890" s="9"/>
    </row>
    <row r="891" spans="4:4" ht="15.75" customHeight="1" x14ac:dyDescent="0.5">
      <c r="D891" s="9"/>
    </row>
    <row r="892" spans="4:4" ht="15.75" customHeight="1" x14ac:dyDescent="0.5">
      <c r="D892" s="9"/>
    </row>
    <row r="893" spans="4:4" ht="15.75" customHeight="1" x14ac:dyDescent="0.5">
      <c r="D893" s="9"/>
    </row>
    <row r="894" spans="4:4" ht="15.75" customHeight="1" x14ac:dyDescent="0.5">
      <c r="D894" s="9"/>
    </row>
    <row r="895" spans="4:4" ht="15.75" customHeight="1" x14ac:dyDescent="0.5">
      <c r="D895" s="9"/>
    </row>
    <row r="896" spans="4:4" ht="15.75" customHeight="1" x14ac:dyDescent="0.5">
      <c r="D896" s="9"/>
    </row>
    <row r="897" spans="4:4" ht="15.75" customHeight="1" x14ac:dyDescent="0.5">
      <c r="D897" s="9"/>
    </row>
    <row r="898" spans="4:4" ht="15.75" customHeight="1" x14ac:dyDescent="0.5">
      <c r="D898" s="9"/>
    </row>
    <row r="899" spans="4:4" ht="15.75" customHeight="1" x14ac:dyDescent="0.5">
      <c r="D899" s="9"/>
    </row>
    <row r="900" spans="4:4" ht="15.75" customHeight="1" x14ac:dyDescent="0.5">
      <c r="D900" s="9"/>
    </row>
    <row r="901" spans="4:4" ht="15.75" customHeight="1" x14ac:dyDescent="0.5">
      <c r="D901" s="9"/>
    </row>
    <row r="902" spans="4:4" ht="15.75" customHeight="1" x14ac:dyDescent="0.5">
      <c r="D902" s="9"/>
    </row>
    <row r="903" spans="4:4" ht="15.75" customHeight="1" x14ac:dyDescent="0.5">
      <c r="D903" s="9"/>
    </row>
    <row r="904" spans="4:4" ht="15.75" customHeight="1" x14ac:dyDescent="0.5">
      <c r="D904" s="9"/>
    </row>
    <row r="905" spans="4:4" ht="15.75" customHeight="1" x14ac:dyDescent="0.5">
      <c r="D905" s="9"/>
    </row>
    <row r="906" spans="4:4" ht="15.75" customHeight="1" x14ac:dyDescent="0.5">
      <c r="D906" s="9"/>
    </row>
    <row r="907" spans="4:4" ht="15.75" customHeight="1" x14ac:dyDescent="0.5">
      <c r="D907" s="9"/>
    </row>
    <row r="908" spans="4:4" ht="15.75" customHeight="1" x14ac:dyDescent="0.5">
      <c r="D908" s="9"/>
    </row>
    <row r="909" spans="4:4" ht="15.75" customHeight="1" x14ac:dyDescent="0.5">
      <c r="D909" s="9"/>
    </row>
    <row r="910" spans="4:4" ht="15.75" customHeight="1" x14ac:dyDescent="0.5">
      <c r="D910" s="9"/>
    </row>
    <row r="911" spans="4:4" ht="15.75" customHeight="1" x14ac:dyDescent="0.5">
      <c r="D911" s="9"/>
    </row>
    <row r="912" spans="4:4" ht="15.75" customHeight="1" x14ac:dyDescent="0.5">
      <c r="D912" s="9"/>
    </row>
    <row r="913" spans="4:4" ht="15.75" customHeight="1" x14ac:dyDescent="0.5">
      <c r="D913" s="9"/>
    </row>
    <row r="914" spans="4:4" ht="15.75" customHeight="1" x14ac:dyDescent="0.5">
      <c r="D914" s="9"/>
    </row>
    <row r="915" spans="4:4" ht="15.75" customHeight="1" x14ac:dyDescent="0.5">
      <c r="D915" s="9"/>
    </row>
    <row r="916" spans="4:4" ht="15.75" customHeight="1" x14ac:dyDescent="0.5">
      <c r="D916" s="9"/>
    </row>
    <row r="917" spans="4:4" ht="15.75" customHeight="1" x14ac:dyDescent="0.5">
      <c r="D917" s="9"/>
    </row>
    <row r="918" spans="4:4" ht="15.75" customHeight="1" x14ac:dyDescent="0.5">
      <c r="D918" s="9"/>
    </row>
    <row r="919" spans="4:4" ht="15.75" customHeight="1" x14ac:dyDescent="0.5">
      <c r="D919" s="9"/>
    </row>
    <row r="920" spans="4:4" ht="15.75" customHeight="1" x14ac:dyDescent="0.5">
      <c r="D920" s="9"/>
    </row>
    <row r="921" spans="4:4" ht="15.75" customHeight="1" x14ac:dyDescent="0.5">
      <c r="D921" s="9"/>
    </row>
    <row r="922" spans="4:4" ht="15.75" customHeight="1" x14ac:dyDescent="0.5">
      <c r="D922" s="9"/>
    </row>
    <row r="923" spans="4:4" ht="15.75" customHeight="1" x14ac:dyDescent="0.5">
      <c r="D923" s="9"/>
    </row>
    <row r="924" spans="4:4" ht="15.75" customHeight="1" x14ac:dyDescent="0.5">
      <c r="D924" s="9"/>
    </row>
    <row r="925" spans="4:4" ht="15.75" customHeight="1" x14ac:dyDescent="0.5">
      <c r="D925" s="9"/>
    </row>
    <row r="926" spans="4:4" ht="15.75" customHeight="1" x14ac:dyDescent="0.5">
      <c r="D926" s="9"/>
    </row>
    <row r="927" spans="4:4" ht="15.75" customHeight="1" x14ac:dyDescent="0.5">
      <c r="D927" s="9"/>
    </row>
    <row r="928" spans="4:4" ht="15.75" customHeight="1" x14ac:dyDescent="0.5">
      <c r="D928" s="9"/>
    </row>
    <row r="929" spans="4:4" ht="15.75" customHeight="1" x14ac:dyDescent="0.5">
      <c r="D929" s="9"/>
    </row>
    <row r="930" spans="4:4" ht="15.75" customHeight="1" x14ac:dyDescent="0.5">
      <c r="D930" s="9"/>
    </row>
    <row r="931" spans="4:4" ht="15.75" customHeight="1" x14ac:dyDescent="0.5">
      <c r="D931" s="9"/>
    </row>
    <row r="932" spans="4:4" ht="15.75" customHeight="1" x14ac:dyDescent="0.5">
      <c r="D932" s="9"/>
    </row>
    <row r="933" spans="4:4" ht="15.75" customHeight="1" x14ac:dyDescent="0.5">
      <c r="D933" s="9"/>
    </row>
    <row r="934" spans="4:4" ht="15.75" customHeight="1" x14ac:dyDescent="0.5">
      <c r="D934" s="9"/>
    </row>
    <row r="935" spans="4:4" ht="15.75" customHeight="1" x14ac:dyDescent="0.5">
      <c r="D935" s="9"/>
    </row>
    <row r="936" spans="4:4" ht="15.75" customHeight="1" x14ac:dyDescent="0.5">
      <c r="D936" s="9"/>
    </row>
    <row r="937" spans="4:4" ht="15.75" customHeight="1" x14ac:dyDescent="0.5">
      <c r="D937" s="9"/>
    </row>
    <row r="938" spans="4:4" ht="15.75" customHeight="1" x14ac:dyDescent="0.5">
      <c r="D938" s="9"/>
    </row>
    <row r="939" spans="4:4" ht="15.75" customHeight="1" x14ac:dyDescent="0.5">
      <c r="D939" s="9"/>
    </row>
    <row r="940" spans="4:4" ht="15.75" customHeight="1" x14ac:dyDescent="0.5">
      <c r="D940" s="9"/>
    </row>
    <row r="941" spans="4:4" ht="15.75" customHeight="1" x14ac:dyDescent="0.5">
      <c r="D941" s="9"/>
    </row>
    <row r="942" spans="4:4" ht="15.75" customHeight="1" x14ac:dyDescent="0.5">
      <c r="D942" s="9"/>
    </row>
    <row r="943" spans="4:4" ht="15.75" customHeight="1" x14ac:dyDescent="0.5">
      <c r="D943" s="9"/>
    </row>
    <row r="944" spans="4:4" ht="15.75" customHeight="1" x14ac:dyDescent="0.5">
      <c r="D944" s="9"/>
    </row>
    <row r="945" spans="4:4" ht="15.75" customHeight="1" x14ac:dyDescent="0.5">
      <c r="D945" s="9"/>
    </row>
    <row r="946" spans="4:4" ht="15.75" customHeight="1" x14ac:dyDescent="0.5">
      <c r="D946" s="9"/>
    </row>
    <row r="947" spans="4:4" ht="15.75" customHeight="1" x14ac:dyDescent="0.5">
      <c r="D947" s="9"/>
    </row>
    <row r="948" spans="4:4" ht="15.75" customHeight="1" x14ac:dyDescent="0.5">
      <c r="D948" s="9"/>
    </row>
    <row r="949" spans="4:4" ht="15.75" customHeight="1" x14ac:dyDescent="0.5">
      <c r="D949" s="9"/>
    </row>
    <row r="950" spans="4:4" ht="15.75" customHeight="1" x14ac:dyDescent="0.5">
      <c r="D950" s="9"/>
    </row>
    <row r="951" spans="4:4" ht="15.75" customHeight="1" x14ac:dyDescent="0.5">
      <c r="D951" s="9"/>
    </row>
    <row r="952" spans="4:4" ht="15.75" customHeight="1" x14ac:dyDescent="0.5">
      <c r="D952" s="9"/>
    </row>
    <row r="953" spans="4:4" ht="15.75" customHeight="1" x14ac:dyDescent="0.5">
      <c r="D953" s="9"/>
    </row>
    <row r="954" spans="4:4" ht="15.75" customHeight="1" x14ac:dyDescent="0.5">
      <c r="D954" s="9"/>
    </row>
    <row r="955" spans="4:4" ht="15.75" customHeight="1" x14ac:dyDescent="0.5">
      <c r="D955" s="9"/>
    </row>
    <row r="956" spans="4:4" ht="15.75" customHeight="1" x14ac:dyDescent="0.5">
      <c r="D956" s="9"/>
    </row>
    <row r="957" spans="4:4" ht="15.75" customHeight="1" x14ac:dyDescent="0.5">
      <c r="D957" s="9"/>
    </row>
    <row r="958" spans="4:4" ht="15.75" customHeight="1" x14ac:dyDescent="0.5">
      <c r="D958" s="9"/>
    </row>
    <row r="959" spans="4:4" ht="15.75" customHeight="1" x14ac:dyDescent="0.5">
      <c r="D959" s="9"/>
    </row>
    <row r="960" spans="4:4" ht="15.75" customHeight="1" x14ac:dyDescent="0.5">
      <c r="D960" s="9"/>
    </row>
    <row r="961" spans="4:4" ht="15.75" customHeight="1" x14ac:dyDescent="0.5">
      <c r="D961" s="9"/>
    </row>
    <row r="962" spans="4:4" ht="15.75" customHeight="1" x14ac:dyDescent="0.5">
      <c r="D962" s="9"/>
    </row>
    <row r="963" spans="4:4" ht="15.75" customHeight="1" x14ac:dyDescent="0.5">
      <c r="D963" s="9"/>
    </row>
    <row r="964" spans="4:4" ht="15.75" customHeight="1" x14ac:dyDescent="0.5">
      <c r="D964" s="9"/>
    </row>
    <row r="965" spans="4:4" ht="15.75" customHeight="1" x14ac:dyDescent="0.5">
      <c r="D965" s="9"/>
    </row>
    <row r="966" spans="4:4" ht="15.75" customHeight="1" x14ac:dyDescent="0.5">
      <c r="D966" s="9"/>
    </row>
    <row r="967" spans="4:4" ht="15.75" customHeight="1" x14ac:dyDescent="0.5">
      <c r="D967" s="9"/>
    </row>
    <row r="968" spans="4:4" ht="15.75" customHeight="1" x14ac:dyDescent="0.5">
      <c r="D968" s="9"/>
    </row>
    <row r="969" spans="4:4" ht="15.75" customHeight="1" x14ac:dyDescent="0.5">
      <c r="D969" s="9"/>
    </row>
    <row r="970" spans="4:4" ht="15.75" customHeight="1" x14ac:dyDescent="0.5">
      <c r="D970" s="9"/>
    </row>
    <row r="971" spans="4:4" ht="15.75" customHeight="1" x14ac:dyDescent="0.5">
      <c r="D971" s="9"/>
    </row>
    <row r="972" spans="4:4" ht="15.75" customHeight="1" x14ac:dyDescent="0.5">
      <c r="D972" s="9"/>
    </row>
  </sheetData>
  <mergeCells count="10">
    <mergeCell ref="M28:M30"/>
    <mergeCell ref="M31:M34"/>
    <mergeCell ref="M35:M37"/>
    <mergeCell ref="B2:B5"/>
    <mergeCell ref="B24:B27"/>
    <mergeCell ref="M2:M5"/>
    <mergeCell ref="M6:M7"/>
    <mergeCell ref="M8:M11"/>
    <mergeCell ref="M12:M19"/>
    <mergeCell ref="M24:M27"/>
  </mergeCells>
  <hyperlinks>
    <hyperlink ref="M8" r:id="rId1" xr:uid="{186BD6E8-4918-44B0-B72B-26BD0E090244}"/>
    <hyperlink ref="M69" r:id="rId2" display="https://www.lookpolymers.com/pdf/Carpenter-AerMet-340.pdf?utm_source=chatgpt.com" xr:uid="{D77C8E51-37C4-469A-8F1C-B6C6B90BA35C}"/>
    <hyperlink ref="M68" r:id="rId3" xr:uid="{9ED58AAB-A023-4D91-848C-1E0368DB09A1}"/>
    <hyperlink ref="L59" r:id="rId4" xr:uid="{A2C467EB-08C5-40B3-9B94-54FB7DAA5E33}"/>
    <hyperlink ref="M12" r:id="rId5" xr:uid="{2A0B3997-808C-49AA-9D3B-CE59EB8FD0C9}"/>
    <hyperlink ref="M2" r:id="rId6" xr:uid="{7F825B72-25C8-4C00-A444-FF050F7CBCC3}"/>
    <hyperlink ref="M6" r:id="rId7" xr:uid="{E0E9D1C8-8D7C-4A36-84A8-17740D9CA095}"/>
  </hyperlinks>
  <pageMargins left="0.7" right="0.7" top="0.75" bottom="0.75" header="0" footer="0"/>
  <pageSetup orientation="landscape" r:id="rId8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zoomScale="47" zoomScaleNormal="70" workbookViewId="0">
      <selection activeCell="F45" sqref="F45"/>
    </sheetView>
  </sheetViews>
  <sheetFormatPr defaultColWidth="11.1875" defaultRowHeight="15" customHeight="1" x14ac:dyDescent="0.5"/>
  <cols>
    <col min="1" max="1" width="33.6875" customWidth="1"/>
    <col min="2" max="2" width="36.3125" customWidth="1"/>
    <col min="3" max="3" width="12.9375" customWidth="1"/>
    <col min="4" max="4" width="7.625" style="29" customWidth="1"/>
    <col min="5" max="5" width="15" customWidth="1"/>
    <col min="6" max="6" width="16" customWidth="1"/>
    <col min="7" max="7" width="8.9375" style="29" customWidth="1"/>
    <col min="8" max="8" width="21.4375" customWidth="1"/>
    <col min="9" max="9" width="8.5" style="29" customWidth="1"/>
    <col min="10" max="10" width="13" customWidth="1"/>
    <col min="11" max="11" width="13" style="29" customWidth="1"/>
    <col min="12" max="12" width="20.6875" customWidth="1"/>
    <col min="13" max="13" width="11.8125" style="29" customWidth="1"/>
    <col min="14" max="14" width="28.6875" customWidth="1"/>
    <col min="15" max="15" width="14.375" style="29" customWidth="1"/>
    <col min="16" max="16" width="30.6875" customWidth="1"/>
    <col min="17" max="17" width="8" style="29" customWidth="1"/>
    <col min="18" max="18" width="30.125" customWidth="1"/>
    <col min="19" max="34" width="10.5625" customWidth="1"/>
  </cols>
  <sheetData>
    <row r="1" spans="1:18" ht="15.75" customHeight="1" x14ac:dyDescent="0.5">
      <c r="A1" s="1" t="s">
        <v>0</v>
      </c>
      <c r="B1" s="1" t="s">
        <v>1</v>
      </c>
      <c r="C1" s="121" t="s">
        <v>127</v>
      </c>
      <c r="D1" s="122"/>
      <c r="E1" s="2" t="s">
        <v>3</v>
      </c>
      <c r="F1" s="1" t="s">
        <v>4</v>
      </c>
      <c r="G1" s="26" t="s">
        <v>126</v>
      </c>
      <c r="H1" s="1" t="s">
        <v>5</v>
      </c>
      <c r="I1" s="26" t="s">
        <v>126</v>
      </c>
      <c r="J1" s="1" t="s">
        <v>6</v>
      </c>
      <c r="K1" s="26" t="s">
        <v>126</v>
      </c>
      <c r="L1" s="1" t="s">
        <v>7</v>
      </c>
      <c r="M1" s="26" t="s">
        <v>126</v>
      </c>
      <c r="N1" s="1" t="s">
        <v>8</v>
      </c>
      <c r="O1" s="26" t="s">
        <v>126</v>
      </c>
      <c r="P1" s="1" t="s">
        <v>9</v>
      </c>
      <c r="Q1" s="35" t="s">
        <v>126</v>
      </c>
      <c r="R1" s="24" t="s">
        <v>125</v>
      </c>
    </row>
    <row r="2" spans="1:18" ht="15.75" customHeight="1" x14ac:dyDescent="0.5">
      <c r="A2" s="1" t="s">
        <v>10</v>
      </c>
      <c r="B2" s="111" t="s">
        <v>11</v>
      </c>
      <c r="C2" s="3">
        <v>1.05</v>
      </c>
      <c r="D2" s="27"/>
      <c r="E2" s="4">
        <f t="shared" ref="E2:E5" si="0">1/C2</f>
        <v>0.95238095238095233</v>
      </c>
      <c r="F2" s="3">
        <v>1.7</v>
      </c>
      <c r="G2" s="27">
        <v>0.2</v>
      </c>
      <c r="H2" s="3">
        <v>94.4</v>
      </c>
      <c r="I2" s="27">
        <v>5.2</v>
      </c>
      <c r="J2" s="3">
        <v>5.5</v>
      </c>
      <c r="K2" s="27">
        <v>0.4</v>
      </c>
      <c r="L2" s="1" t="s">
        <v>12</v>
      </c>
      <c r="M2" s="33"/>
      <c r="N2" s="4">
        <v>0.5</v>
      </c>
      <c r="O2" s="42"/>
      <c r="P2" s="1" t="s">
        <v>12</v>
      </c>
      <c r="Q2" s="36"/>
      <c r="R2" s="18">
        <f>F2*C2</f>
        <v>1.7849999999999999</v>
      </c>
    </row>
    <row r="3" spans="1:18" ht="15.75" customHeight="1" x14ac:dyDescent="0.5">
      <c r="A3" s="1" t="s">
        <v>13</v>
      </c>
      <c r="B3" s="112"/>
      <c r="C3" s="3">
        <v>1.23</v>
      </c>
      <c r="D3" s="27"/>
      <c r="E3" s="4">
        <f t="shared" si="0"/>
        <v>0.81300813008130079</v>
      </c>
      <c r="F3" s="3">
        <v>3.8</v>
      </c>
      <c r="G3" s="27">
        <v>0.1</v>
      </c>
      <c r="H3" s="3">
        <v>105.7</v>
      </c>
      <c r="I3" s="27">
        <v>6.1</v>
      </c>
      <c r="J3" s="3">
        <v>3.5</v>
      </c>
      <c r="K3" s="27">
        <v>0.1</v>
      </c>
      <c r="L3" s="1" t="s">
        <v>12</v>
      </c>
      <c r="M3" s="33"/>
      <c r="N3" s="4">
        <v>3.5</v>
      </c>
      <c r="O3" s="42"/>
      <c r="P3" s="1" t="s">
        <v>12</v>
      </c>
      <c r="Q3" s="36"/>
      <c r="R3" s="18">
        <f t="shared" ref="R3:R39" si="1">F3*C3</f>
        <v>4.6739999999999995</v>
      </c>
    </row>
    <row r="4" spans="1:18" ht="15.75" customHeight="1" x14ac:dyDescent="0.5">
      <c r="A4" s="1" t="s">
        <v>14</v>
      </c>
      <c r="B4" s="112"/>
      <c r="C4" s="3">
        <v>1.26</v>
      </c>
      <c r="D4" s="27"/>
      <c r="E4" s="4">
        <f t="shared" si="0"/>
        <v>0.79365079365079361</v>
      </c>
      <c r="F4" s="3">
        <v>4.5</v>
      </c>
      <c r="G4" s="27">
        <v>0.2</v>
      </c>
      <c r="H4" s="3">
        <v>130.5</v>
      </c>
      <c r="I4" s="27">
        <v>7.4</v>
      </c>
      <c r="J4" s="3">
        <v>4</v>
      </c>
      <c r="K4" s="27">
        <v>0.7</v>
      </c>
      <c r="L4" s="1" t="s">
        <v>12</v>
      </c>
      <c r="M4" s="33"/>
      <c r="N4" s="4">
        <v>2.2000000000000002</v>
      </c>
      <c r="O4" s="42"/>
      <c r="P4" s="1" t="s">
        <v>12</v>
      </c>
      <c r="Q4" s="36"/>
      <c r="R4" s="18">
        <f t="shared" si="1"/>
        <v>5.67</v>
      </c>
    </row>
    <row r="5" spans="1:18" ht="15.75" customHeight="1" x14ac:dyDescent="0.5">
      <c r="A5" s="1" t="s">
        <v>15</v>
      </c>
      <c r="B5" s="113"/>
      <c r="C5" s="3">
        <v>1.4</v>
      </c>
      <c r="D5" s="27"/>
      <c r="E5" s="4">
        <f t="shared" si="0"/>
        <v>0.7142857142857143</v>
      </c>
      <c r="F5" s="3">
        <v>5.8</v>
      </c>
      <c r="G5" s="27">
        <v>0.1</v>
      </c>
      <c r="H5" s="3">
        <v>122.4</v>
      </c>
      <c r="I5" s="27">
        <v>5.9</v>
      </c>
      <c r="J5" s="3">
        <v>5</v>
      </c>
      <c r="K5" s="27">
        <v>0.6</v>
      </c>
      <c r="L5" s="1" t="s">
        <v>12</v>
      </c>
      <c r="M5" s="33"/>
      <c r="N5" s="4">
        <v>2.9</v>
      </c>
      <c r="O5" s="42"/>
      <c r="P5" s="1" t="s">
        <v>12</v>
      </c>
      <c r="Q5" s="36"/>
      <c r="R5" s="18">
        <f t="shared" si="1"/>
        <v>8.1199999999999992</v>
      </c>
    </row>
    <row r="6" spans="1:18" ht="15.75" customHeight="1" x14ac:dyDescent="0.5">
      <c r="A6" s="1" t="s">
        <v>19</v>
      </c>
      <c r="B6" s="3" t="s">
        <v>20</v>
      </c>
      <c r="C6" s="3">
        <v>1.4</v>
      </c>
      <c r="D6" s="27">
        <v>0.01</v>
      </c>
      <c r="E6" s="4">
        <f>1/1.4</f>
        <v>0.7142857142857143</v>
      </c>
      <c r="F6" s="3">
        <v>3.22</v>
      </c>
      <c r="G6" s="27">
        <v>7.0000000000000007E-2</v>
      </c>
      <c r="H6" s="3">
        <v>138</v>
      </c>
      <c r="I6" s="27">
        <v>6</v>
      </c>
      <c r="J6" s="3">
        <v>3.9</v>
      </c>
      <c r="K6" s="27">
        <v>0.2</v>
      </c>
      <c r="L6" s="3">
        <v>75</v>
      </c>
      <c r="M6" s="27">
        <v>5</v>
      </c>
      <c r="N6" s="3">
        <v>1.07</v>
      </c>
      <c r="O6" s="27"/>
      <c r="P6" s="3">
        <v>354</v>
      </c>
      <c r="Q6" s="37"/>
      <c r="R6" s="18">
        <f t="shared" si="1"/>
        <v>4.508</v>
      </c>
    </row>
    <row r="7" spans="1:18" ht="15.75" customHeight="1" x14ac:dyDescent="0.5">
      <c r="A7" s="1" t="s">
        <v>26</v>
      </c>
      <c r="B7" s="3" t="s">
        <v>27</v>
      </c>
      <c r="C7" s="3">
        <v>0.66</v>
      </c>
      <c r="D7" s="27">
        <v>0.15</v>
      </c>
      <c r="E7" s="4">
        <f>1/0.66</f>
        <v>1.5151515151515151</v>
      </c>
      <c r="F7" s="3">
        <v>1.23</v>
      </c>
      <c r="G7" s="27">
        <v>0.08</v>
      </c>
      <c r="H7" s="3">
        <v>53</v>
      </c>
      <c r="I7" s="27">
        <v>5</v>
      </c>
      <c r="J7" s="3">
        <v>5</v>
      </c>
      <c r="K7" s="27">
        <v>0.5</v>
      </c>
      <c r="L7" s="25">
        <v>43</v>
      </c>
      <c r="M7" s="34">
        <v>6</v>
      </c>
      <c r="N7" s="3">
        <v>0.16</v>
      </c>
      <c r="O7" s="27"/>
      <c r="P7" s="3">
        <v>106</v>
      </c>
      <c r="Q7" s="37"/>
      <c r="R7" s="18">
        <f t="shared" si="1"/>
        <v>0.81180000000000008</v>
      </c>
    </row>
    <row r="8" spans="1:18" ht="15.75" customHeight="1" x14ac:dyDescent="0.5">
      <c r="A8" s="1" t="s">
        <v>28</v>
      </c>
      <c r="B8" s="3" t="s">
        <v>29</v>
      </c>
      <c r="C8" s="3">
        <v>1.5</v>
      </c>
      <c r="D8" s="27">
        <v>0.1</v>
      </c>
      <c r="E8" s="4">
        <f>1/1.5</f>
        <v>0.66666666666666663</v>
      </c>
      <c r="F8" s="3">
        <v>1.54</v>
      </c>
      <c r="G8" s="27">
        <v>0.09</v>
      </c>
      <c r="H8" s="3">
        <v>160</v>
      </c>
      <c r="I8" s="27">
        <v>40</v>
      </c>
      <c r="J8" s="3">
        <v>1.8</v>
      </c>
      <c r="K8" s="27">
        <v>0.2</v>
      </c>
      <c r="L8" s="3">
        <v>17</v>
      </c>
      <c r="M8" s="27"/>
      <c r="N8" s="3">
        <v>8.5</v>
      </c>
      <c r="O8" s="27"/>
      <c r="P8" s="3" t="s">
        <v>12</v>
      </c>
      <c r="Q8" s="37"/>
      <c r="R8" s="18">
        <f t="shared" si="1"/>
        <v>2.31</v>
      </c>
    </row>
    <row r="9" spans="1:18" ht="15.75" customHeight="1" x14ac:dyDescent="0.5">
      <c r="A9" s="1" t="s">
        <v>30</v>
      </c>
      <c r="B9" s="3" t="s">
        <v>29</v>
      </c>
      <c r="C9" s="3">
        <v>1.1100000000000001</v>
      </c>
      <c r="D9" s="27">
        <v>7.0000000000000007E-2</v>
      </c>
      <c r="E9" s="4">
        <f>1/1.11</f>
        <v>0.9009009009009008</v>
      </c>
      <c r="F9" s="3">
        <v>0.1</v>
      </c>
      <c r="G9" s="27">
        <v>0.01</v>
      </c>
      <c r="H9" s="3">
        <v>108</v>
      </c>
      <c r="I9" s="27">
        <v>9</v>
      </c>
      <c r="J9" s="3" t="s">
        <v>12</v>
      </c>
      <c r="K9" s="27"/>
      <c r="L9" s="3" t="s">
        <v>12</v>
      </c>
      <c r="M9" s="27"/>
      <c r="N9" s="3" t="s">
        <v>12</v>
      </c>
      <c r="O9" s="27"/>
      <c r="P9" s="3">
        <v>21</v>
      </c>
      <c r="Q9" s="37"/>
      <c r="R9" s="18">
        <f t="shared" si="1"/>
        <v>0.11100000000000002</v>
      </c>
    </row>
    <row r="10" spans="1:18" ht="15.75" customHeight="1" x14ac:dyDescent="0.5">
      <c r="A10" s="1" t="s">
        <v>31</v>
      </c>
      <c r="B10" s="3" t="s">
        <v>32</v>
      </c>
      <c r="C10" s="3">
        <v>1.3</v>
      </c>
      <c r="D10" s="27">
        <v>0.1</v>
      </c>
      <c r="E10" s="4">
        <f>1/1.3</f>
        <v>0.76923076923076916</v>
      </c>
      <c r="F10" s="3">
        <v>0.97</v>
      </c>
      <c r="G10" s="27"/>
      <c r="H10" s="3">
        <v>92</v>
      </c>
      <c r="I10" s="27">
        <v>38</v>
      </c>
      <c r="J10" s="3">
        <v>1.4</v>
      </c>
      <c r="K10" s="27">
        <v>0.5</v>
      </c>
      <c r="L10" s="3" t="s">
        <v>12</v>
      </c>
      <c r="M10" s="27"/>
      <c r="N10" s="3">
        <v>2.9</v>
      </c>
      <c r="O10" s="27"/>
      <c r="P10" s="3">
        <v>380</v>
      </c>
      <c r="Q10" s="37">
        <v>15</v>
      </c>
      <c r="R10" s="18">
        <f t="shared" si="1"/>
        <v>1.2609999999999999</v>
      </c>
    </row>
    <row r="11" spans="1:18" ht="15.75" customHeight="1" x14ac:dyDescent="0.5">
      <c r="A11" s="1" t="s">
        <v>33</v>
      </c>
      <c r="B11" s="3" t="s">
        <v>29</v>
      </c>
      <c r="C11" s="3">
        <v>1.93</v>
      </c>
      <c r="D11" s="27">
        <v>0.16</v>
      </c>
      <c r="E11" s="4">
        <f>1/1.93</f>
        <v>0.5181347150259068</v>
      </c>
      <c r="F11" s="3">
        <v>2.1</v>
      </c>
      <c r="G11" s="27">
        <v>0.3</v>
      </c>
      <c r="H11" s="44">
        <f>260/C11</f>
        <v>134.71502590673575</v>
      </c>
      <c r="I11" s="27"/>
      <c r="J11" s="3">
        <v>3.5</v>
      </c>
      <c r="K11" s="27">
        <v>0.6</v>
      </c>
      <c r="L11" s="3">
        <v>50</v>
      </c>
      <c r="M11" s="27">
        <v>14</v>
      </c>
      <c r="N11" s="25">
        <v>10.9</v>
      </c>
      <c r="O11" s="27">
        <v>1.2</v>
      </c>
      <c r="P11" s="3">
        <v>391</v>
      </c>
      <c r="Q11" s="37">
        <v>63</v>
      </c>
      <c r="R11" s="18">
        <f t="shared" si="1"/>
        <v>4.0529999999999999</v>
      </c>
    </row>
    <row r="12" spans="1:18" ht="15.75" customHeight="1" x14ac:dyDescent="0.5">
      <c r="A12" s="1" t="s">
        <v>34</v>
      </c>
      <c r="B12" s="3" t="s">
        <v>35</v>
      </c>
      <c r="C12" s="3"/>
      <c r="D12" s="27"/>
      <c r="E12" s="4"/>
      <c r="F12" s="3"/>
      <c r="G12" s="27"/>
      <c r="H12" s="3"/>
      <c r="I12" s="27"/>
      <c r="J12" s="3"/>
      <c r="K12" s="27"/>
      <c r="L12" s="3"/>
      <c r="M12" s="27"/>
      <c r="N12" s="3"/>
      <c r="O12" s="27"/>
      <c r="P12" s="3"/>
      <c r="Q12" s="37"/>
      <c r="R12" s="18">
        <f t="shared" si="1"/>
        <v>0</v>
      </c>
    </row>
    <row r="13" spans="1:18" ht="15.75" customHeight="1" x14ac:dyDescent="0.5">
      <c r="A13" s="1" t="s">
        <v>36</v>
      </c>
      <c r="B13" s="3"/>
      <c r="C13" s="3">
        <v>1.88</v>
      </c>
      <c r="D13" s="27"/>
      <c r="E13" s="4">
        <f t="shared" ref="E13:E19" si="2">1/C13</f>
        <v>0.53191489361702127</v>
      </c>
      <c r="F13" s="3">
        <v>2.74</v>
      </c>
      <c r="G13" s="27">
        <v>0.18</v>
      </c>
      <c r="H13" s="3">
        <v>252</v>
      </c>
      <c r="I13" s="27">
        <v>12</v>
      </c>
      <c r="J13" s="3">
        <v>1.82</v>
      </c>
      <c r="K13" s="27">
        <v>0.16</v>
      </c>
      <c r="L13" s="3">
        <v>29.08</v>
      </c>
      <c r="M13" s="27">
        <v>4.9400000000000004</v>
      </c>
      <c r="N13" s="3">
        <v>1.86</v>
      </c>
      <c r="O13" s="27">
        <v>0.56000000000000005</v>
      </c>
      <c r="P13" s="3" t="s">
        <v>12</v>
      </c>
      <c r="Q13" s="37"/>
      <c r="R13" s="18">
        <f t="shared" si="1"/>
        <v>5.1512000000000002</v>
      </c>
    </row>
    <row r="14" spans="1:18" ht="15.75" customHeight="1" x14ac:dyDescent="0.5">
      <c r="A14" s="1" t="s">
        <v>37</v>
      </c>
      <c r="B14" s="3"/>
      <c r="C14" s="3">
        <v>1.71</v>
      </c>
      <c r="D14" s="27"/>
      <c r="E14" s="4">
        <f t="shared" si="2"/>
        <v>0.58479532163742687</v>
      </c>
      <c r="F14" s="3">
        <v>3.84</v>
      </c>
      <c r="G14" s="27">
        <v>0.42</v>
      </c>
      <c r="H14" s="3">
        <v>368</v>
      </c>
      <c r="I14" s="27">
        <v>13</v>
      </c>
      <c r="J14" s="3">
        <v>1.53</v>
      </c>
      <c r="K14" s="27">
        <v>0.21</v>
      </c>
      <c r="L14" s="3">
        <v>33.76</v>
      </c>
      <c r="M14" s="27">
        <v>7.09</v>
      </c>
      <c r="N14" s="3">
        <v>2.2200000000000002</v>
      </c>
      <c r="O14" s="27">
        <v>0.34</v>
      </c>
      <c r="P14" s="3">
        <v>482</v>
      </c>
      <c r="Q14" s="37">
        <v>63</v>
      </c>
      <c r="R14" s="18">
        <f t="shared" si="1"/>
        <v>6.5663999999999998</v>
      </c>
    </row>
    <row r="15" spans="1:18" ht="15.75" customHeight="1" x14ac:dyDescent="0.5">
      <c r="A15" s="1" t="s">
        <v>38</v>
      </c>
      <c r="B15" s="3"/>
      <c r="C15" s="3">
        <v>1.58</v>
      </c>
      <c r="D15" s="27"/>
      <c r="E15" s="4">
        <f t="shared" si="2"/>
        <v>0.63291139240506322</v>
      </c>
      <c r="F15" s="3">
        <v>2.93</v>
      </c>
      <c r="G15" s="27">
        <v>0.33</v>
      </c>
      <c r="H15" s="3">
        <v>372</v>
      </c>
      <c r="I15" s="27">
        <v>5</v>
      </c>
      <c r="J15" s="3">
        <v>1.1499999999999999</v>
      </c>
      <c r="K15" s="27">
        <v>0.26</v>
      </c>
      <c r="L15" s="3">
        <v>17.55</v>
      </c>
      <c r="M15" s="27">
        <v>5.18</v>
      </c>
      <c r="N15" s="3">
        <v>1.22</v>
      </c>
      <c r="O15" s="27">
        <v>0.32</v>
      </c>
      <c r="P15" s="3" t="s">
        <v>12</v>
      </c>
      <c r="Q15" s="37"/>
      <c r="R15" s="18">
        <f t="shared" si="1"/>
        <v>4.6294000000000004</v>
      </c>
    </row>
    <row r="16" spans="1:18" ht="15.75" customHeight="1" x14ac:dyDescent="0.5">
      <c r="A16" s="1" t="s">
        <v>39</v>
      </c>
      <c r="B16" s="3"/>
      <c r="C16" s="3">
        <v>1.43</v>
      </c>
      <c r="D16" s="27"/>
      <c r="E16" s="4">
        <f t="shared" si="2"/>
        <v>0.69930069930069938</v>
      </c>
      <c r="F16" s="3">
        <v>2.2200000000000002</v>
      </c>
      <c r="G16" s="27">
        <v>0.2</v>
      </c>
      <c r="H16" s="3">
        <v>420</v>
      </c>
      <c r="I16" s="27">
        <v>2</v>
      </c>
      <c r="J16" s="3">
        <v>0.5</v>
      </c>
      <c r="K16" s="27">
        <v>0.17</v>
      </c>
      <c r="L16" s="3">
        <v>5.59</v>
      </c>
      <c r="M16" s="27">
        <v>1.03</v>
      </c>
      <c r="N16" s="3">
        <v>0.33</v>
      </c>
      <c r="O16" s="27">
        <v>0.21</v>
      </c>
      <c r="P16" s="3" t="s">
        <v>12</v>
      </c>
      <c r="Q16" s="37"/>
      <c r="R16" s="18">
        <f t="shared" si="1"/>
        <v>3.1746000000000003</v>
      </c>
    </row>
    <row r="17" spans="1:18" ht="15.75" customHeight="1" x14ac:dyDescent="0.5">
      <c r="A17" s="1" t="s">
        <v>40</v>
      </c>
      <c r="B17" s="3"/>
      <c r="C17" s="3">
        <v>1.89</v>
      </c>
      <c r="D17" s="27"/>
      <c r="E17" s="4">
        <f t="shared" si="2"/>
        <v>0.52910052910052918</v>
      </c>
      <c r="F17" s="3">
        <v>1.53</v>
      </c>
      <c r="G17" s="27">
        <v>0.26</v>
      </c>
      <c r="H17" s="3">
        <v>445</v>
      </c>
      <c r="I17" s="27">
        <v>9.5</v>
      </c>
      <c r="J17" s="3">
        <v>0.36</v>
      </c>
      <c r="K17" s="27">
        <v>0.03</v>
      </c>
      <c r="L17" s="3">
        <v>3.18</v>
      </c>
      <c r="M17" s="27">
        <v>0.46</v>
      </c>
      <c r="N17" s="3">
        <v>0.38</v>
      </c>
      <c r="O17" s="27">
        <v>0.19</v>
      </c>
      <c r="P17" s="3">
        <v>490</v>
      </c>
      <c r="Q17" s="37">
        <v>31.67</v>
      </c>
      <c r="R17" s="18">
        <f t="shared" si="1"/>
        <v>2.8916999999999997</v>
      </c>
    </row>
    <row r="18" spans="1:18" ht="15.75" customHeight="1" x14ac:dyDescent="0.5">
      <c r="A18" s="1" t="s">
        <v>41</v>
      </c>
      <c r="B18" s="3"/>
      <c r="C18" s="3">
        <v>1.8</v>
      </c>
      <c r="D18" s="27"/>
      <c r="E18" s="4">
        <f t="shared" si="2"/>
        <v>0.55555555555555558</v>
      </c>
      <c r="F18" s="3">
        <v>0.34</v>
      </c>
      <c r="G18" s="27">
        <v>7.0000000000000007E-2</v>
      </c>
      <c r="H18" s="3">
        <v>184</v>
      </c>
      <c r="I18" s="27">
        <v>11</v>
      </c>
      <c r="J18" s="3">
        <v>0.18</v>
      </c>
      <c r="K18" s="27">
        <v>7.0000000000000007E-2</v>
      </c>
      <c r="L18" s="3" t="s">
        <v>12</v>
      </c>
      <c r="M18" s="27"/>
      <c r="N18" s="3">
        <v>0.22</v>
      </c>
      <c r="O18" s="27">
        <v>0.18</v>
      </c>
      <c r="P18" s="3">
        <v>305</v>
      </c>
      <c r="Q18" s="37">
        <v>5.23</v>
      </c>
      <c r="R18" s="18">
        <f t="shared" si="1"/>
        <v>0.6120000000000001</v>
      </c>
    </row>
    <row r="19" spans="1:18" ht="15.75" customHeight="1" x14ac:dyDescent="0.5">
      <c r="A19" s="1" t="s">
        <v>42</v>
      </c>
      <c r="B19" s="3"/>
      <c r="C19" s="3">
        <v>1.96</v>
      </c>
      <c r="D19" s="27"/>
      <c r="E19" s="4">
        <f t="shared" si="2"/>
        <v>0.51020408163265307</v>
      </c>
      <c r="F19" s="3">
        <v>1.24</v>
      </c>
      <c r="G19" s="27">
        <v>0.11</v>
      </c>
      <c r="H19" s="3">
        <v>535</v>
      </c>
      <c r="I19" s="27">
        <v>54</v>
      </c>
      <c r="J19" s="3">
        <v>0.33</v>
      </c>
      <c r="K19" s="27">
        <v>0.01</v>
      </c>
      <c r="L19" s="3" t="s">
        <v>12</v>
      </c>
      <c r="M19" s="27"/>
      <c r="N19" s="3">
        <v>0.33</v>
      </c>
      <c r="O19" s="27">
        <v>0.2</v>
      </c>
      <c r="P19" s="3">
        <v>496</v>
      </c>
      <c r="Q19" s="37">
        <v>5.82</v>
      </c>
      <c r="R19" s="18">
        <f t="shared" si="1"/>
        <v>2.4304000000000001</v>
      </c>
    </row>
    <row r="20" spans="1:18" ht="15.75" customHeight="1" x14ac:dyDescent="0.5">
      <c r="A20" s="1" t="s">
        <v>48</v>
      </c>
      <c r="B20" s="3" t="s">
        <v>49</v>
      </c>
      <c r="C20" s="3"/>
      <c r="D20" s="27"/>
      <c r="E20" s="4"/>
      <c r="F20" s="3"/>
      <c r="G20" s="27"/>
      <c r="H20" s="3"/>
      <c r="I20" s="27"/>
      <c r="J20" s="3"/>
      <c r="K20" s="27"/>
      <c r="L20" s="3"/>
      <c r="M20" s="27"/>
      <c r="N20" s="3"/>
      <c r="O20" s="27"/>
      <c r="P20" s="3"/>
      <c r="Q20" s="37"/>
      <c r="R20" s="18">
        <f t="shared" si="1"/>
        <v>0</v>
      </c>
    </row>
    <row r="21" spans="1:18" ht="15.75" customHeight="1" x14ac:dyDescent="0.5">
      <c r="A21" s="1" t="s">
        <v>50</v>
      </c>
      <c r="B21" s="3"/>
      <c r="C21" s="3">
        <v>1.92</v>
      </c>
      <c r="D21" s="27"/>
      <c r="E21" s="4">
        <f t="shared" ref="E21:E24" si="3">1/C21</f>
        <v>0.52083333333333337</v>
      </c>
      <c r="F21" s="3">
        <v>2.1</v>
      </c>
      <c r="G21" s="27">
        <v>0.17</v>
      </c>
      <c r="H21" s="3">
        <v>155</v>
      </c>
      <c r="I21" s="27">
        <v>9</v>
      </c>
      <c r="J21" s="3">
        <v>2.5499999999999998</v>
      </c>
      <c r="K21" s="27">
        <v>0.37</v>
      </c>
      <c r="L21" s="3">
        <v>39.380000000000003</v>
      </c>
      <c r="M21" s="27">
        <v>6.69</v>
      </c>
      <c r="N21" s="3">
        <v>10.88</v>
      </c>
      <c r="O21" s="27">
        <v>0.77</v>
      </c>
      <c r="P21" s="3">
        <v>380</v>
      </c>
      <c r="Q21" s="37">
        <v>21.46</v>
      </c>
      <c r="R21" s="18">
        <f t="shared" si="1"/>
        <v>4.032</v>
      </c>
    </row>
    <row r="22" spans="1:18" ht="15.75" customHeight="1" x14ac:dyDescent="0.5">
      <c r="A22" s="1" t="s">
        <v>51</v>
      </c>
      <c r="B22" s="3"/>
      <c r="C22" s="3">
        <v>1.6</v>
      </c>
      <c r="D22" s="27"/>
      <c r="E22" s="4">
        <f t="shared" si="3"/>
        <v>0.625</v>
      </c>
      <c r="F22" s="3">
        <v>0.62</v>
      </c>
      <c r="G22" s="27">
        <v>0.06</v>
      </c>
      <c r="H22" s="3">
        <v>137</v>
      </c>
      <c r="I22" s="27">
        <v>30</v>
      </c>
      <c r="J22" s="3">
        <v>1.31</v>
      </c>
      <c r="K22" s="27">
        <v>0.18</v>
      </c>
      <c r="L22" s="3" t="s">
        <v>12</v>
      </c>
      <c r="M22" s="27"/>
      <c r="N22" s="3">
        <v>3.52</v>
      </c>
      <c r="O22" s="27">
        <v>0.48</v>
      </c>
      <c r="P22" s="3">
        <v>213</v>
      </c>
      <c r="Q22" s="37">
        <v>42.87</v>
      </c>
      <c r="R22" s="18">
        <f t="shared" si="1"/>
        <v>0.99199999999999999</v>
      </c>
    </row>
    <row r="23" spans="1:18" ht="15.75" customHeight="1" x14ac:dyDescent="0.5">
      <c r="A23" s="1" t="s">
        <v>52</v>
      </c>
      <c r="B23" s="3"/>
      <c r="C23" s="3">
        <v>2.1</v>
      </c>
      <c r="D23" s="27"/>
      <c r="E23" s="4">
        <f t="shared" si="3"/>
        <v>0.47619047619047616</v>
      </c>
      <c r="F23" s="3">
        <v>1.1000000000000001</v>
      </c>
      <c r="G23" s="27">
        <v>0.16</v>
      </c>
      <c r="H23" s="3">
        <v>83</v>
      </c>
      <c r="I23" s="27">
        <v>8</v>
      </c>
      <c r="J23" s="3">
        <v>2.04</v>
      </c>
      <c r="K23" s="27">
        <v>0.38</v>
      </c>
      <c r="L23" s="3" t="s">
        <v>12</v>
      </c>
      <c r="M23" s="27"/>
      <c r="N23" s="3">
        <v>8.19</v>
      </c>
      <c r="O23" s="27">
        <v>0.42</v>
      </c>
      <c r="P23" s="3">
        <v>406</v>
      </c>
      <c r="Q23" s="37">
        <v>8.69</v>
      </c>
      <c r="R23" s="18">
        <f t="shared" si="1"/>
        <v>2.3100000000000005</v>
      </c>
    </row>
    <row r="24" spans="1:18" ht="15.75" customHeight="1" x14ac:dyDescent="0.5">
      <c r="A24" s="1" t="s">
        <v>53</v>
      </c>
      <c r="B24" s="3" t="s">
        <v>54</v>
      </c>
      <c r="C24" s="3">
        <v>1.97</v>
      </c>
      <c r="D24" s="27"/>
      <c r="E24" s="4">
        <f t="shared" si="3"/>
        <v>0.50761421319796951</v>
      </c>
      <c r="F24" s="3">
        <v>2.5499999999999998</v>
      </c>
      <c r="G24" s="27">
        <v>0.2</v>
      </c>
      <c r="H24" s="3" t="s">
        <v>12</v>
      </c>
      <c r="I24" s="27"/>
      <c r="J24" s="3" t="s">
        <v>12</v>
      </c>
      <c r="K24" s="27"/>
      <c r="L24" s="3" t="s">
        <v>12</v>
      </c>
      <c r="M24" s="27"/>
      <c r="N24" s="3">
        <v>11.2</v>
      </c>
      <c r="O24" s="27"/>
      <c r="P24" s="3">
        <v>398</v>
      </c>
      <c r="Q24" s="37">
        <v>27</v>
      </c>
      <c r="R24" s="18">
        <f t="shared" si="1"/>
        <v>5.0234999999999994</v>
      </c>
    </row>
    <row r="25" spans="1:18" ht="15.75" customHeight="1" x14ac:dyDescent="0.5">
      <c r="A25" s="1" t="s">
        <v>55</v>
      </c>
      <c r="B25" s="111" t="s">
        <v>56</v>
      </c>
      <c r="C25" s="3"/>
      <c r="D25" s="27"/>
      <c r="E25" s="4"/>
      <c r="F25" s="3"/>
      <c r="G25" s="27"/>
      <c r="H25" s="3"/>
      <c r="I25" s="27"/>
      <c r="J25" s="3"/>
      <c r="K25" s="27"/>
      <c r="L25" s="3"/>
      <c r="M25" s="27"/>
      <c r="N25" s="3"/>
      <c r="O25" s="27"/>
      <c r="P25" s="3"/>
      <c r="Q25" s="37"/>
      <c r="R25" s="18">
        <f t="shared" si="1"/>
        <v>0</v>
      </c>
    </row>
    <row r="26" spans="1:18" ht="15.75" customHeight="1" x14ac:dyDescent="0.5">
      <c r="A26" s="1" t="s">
        <v>57</v>
      </c>
      <c r="B26" s="112"/>
      <c r="C26" s="3">
        <v>1.93</v>
      </c>
      <c r="D26" s="27">
        <v>0.02</v>
      </c>
      <c r="E26" s="4">
        <f>1/1.93</f>
        <v>0.5181347150259068</v>
      </c>
      <c r="F26" s="3">
        <v>2.0499999999999998</v>
      </c>
      <c r="G26" s="27"/>
      <c r="H26" s="3">
        <v>154</v>
      </c>
      <c r="I26" s="27"/>
      <c r="J26" s="3">
        <v>3</v>
      </c>
      <c r="K26" s="27"/>
      <c r="L26" s="3">
        <v>38.4</v>
      </c>
      <c r="M26" s="27">
        <v>6.2</v>
      </c>
      <c r="N26" s="3">
        <v>10.4</v>
      </c>
      <c r="O26" s="27">
        <v>0.88</v>
      </c>
      <c r="P26" s="3" t="s">
        <v>12</v>
      </c>
      <c r="Q26" s="37"/>
      <c r="R26" s="18">
        <f t="shared" si="1"/>
        <v>3.9564999999999997</v>
      </c>
    </row>
    <row r="27" spans="1:18" ht="15.75" customHeight="1" x14ac:dyDescent="0.5">
      <c r="A27" s="1" t="s">
        <v>58</v>
      </c>
      <c r="B27" s="112"/>
      <c r="C27" s="3">
        <v>1.98</v>
      </c>
      <c r="D27" s="27">
        <v>0.03</v>
      </c>
      <c r="E27" s="4">
        <f>1/1.98</f>
        <v>0.50505050505050508</v>
      </c>
      <c r="F27" s="3">
        <v>2.66</v>
      </c>
      <c r="G27" s="27"/>
      <c r="H27" s="3">
        <v>190</v>
      </c>
      <c r="I27" s="27"/>
      <c r="J27" s="3">
        <v>3.3</v>
      </c>
      <c r="K27" s="27"/>
      <c r="L27" s="3">
        <v>57.9</v>
      </c>
      <c r="M27" s="27">
        <v>5.8</v>
      </c>
      <c r="N27" s="3">
        <v>9.41</v>
      </c>
      <c r="O27" s="27">
        <v>0.81</v>
      </c>
      <c r="P27" s="3" t="s">
        <v>12</v>
      </c>
      <c r="Q27" s="37"/>
      <c r="R27" s="18">
        <f t="shared" si="1"/>
        <v>5.2667999999999999</v>
      </c>
    </row>
    <row r="28" spans="1:18" ht="15.75" customHeight="1" x14ac:dyDescent="0.5">
      <c r="A28" s="1" t="s">
        <v>59</v>
      </c>
      <c r="B28" s="112"/>
      <c r="C28" s="3">
        <v>2.0099999999999998</v>
      </c>
      <c r="D28" s="27">
        <v>0.02</v>
      </c>
      <c r="E28" s="4">
        <f>1/2.01</f>
        <v>0.49751243781094534</v>
      </c>
      <c r="F28" s="3">
        <v>3.01</v>
      </c>
      <c r="G28" s="27"/>
      <c r="H28" s="3">
        <v>210</v>
      </c>
      <c r="I28" s="27"/>
      <c r="J28" s="3">
        <v>3.6</v>
      </c>
      <c r="K28" s="27"/>
      <c r="L28" s="3">
        <v>76.8</v>
      </c>
      <c r="M28" s="27">
        <v>6.3</v>
      </c>
      <c r="N28" s="3">
        <v>8.43</v>
      </c>
      <c r="O28" s="27">
        <v>0.95</v>
      </c>
      <c r="P28" s="3" t="s">
        <v>12</v>
      </c>
      <c r="Q28" s="37"/>
      <c r="R28" s="18">
        <f t="shared" si="1"/>
        <v>6.0500999999999987</v>
      </c>
    </row>
    <row r="29" spans="1:18" ht="15.75" customHeight="1" x14ac:dyDescent="0.5">
      <c r="A29" s="1" t="s">
        <v>60</v>
      </c>
      <c r="B29" s="113"/>
      <c r="C29" s="3">
        <v>1.99</v>
      </c>
      <c r="D29" s="27">
        <v>0.03</v>
      </c>
      <c r="E29" s="4">
        <f>1/1.99</f>
        <v>0.50251256281407031</v>
      </c>
      <c r="F29" s="3">
        <v>2.41</v>
      </c>
      <c r="G29" s="27"/>
      <c r="H29" s="3">
        <v>193</v>
      </c>
      <c r="I29" s="27"/>
      <c r="J29" s="3">
        <v>3.2</v>
      </c>
      <c r="K29" s="27"/>
      <c r="L29" s="3">
        <v>51.8</v>
      </c>
      <c r="M29" s="27">
        <v>6.9</v>
      </c>
      <c r="N29" s="3">
        <v>7.45</v>
      </c>
      <c r="O29" s="27">
        <v>0.91</v>
      </c>
      <c r="P29" s="3" t="s">
        <v>12</v>
      </c>
      <c r="Q29" s="37"/>
      <c r="R29" s="18">
        <f t="shared" si="1"/>
        <v>4.7959000000000005</v>
      </c>
    </row>
    <row r="30" spans="1:18" ht="15.75" customHeight="1" x14ac:dyDescent="0.5">
      <c r="A30" s="1" t="s">
        <v>61</v>
      </c>
      <c r="B30" s="3" t="s">
        <v>62</v>
      </c>
      <c r="C30" s="3" t="s">
        <v>12</v>
      </c>
      <c r="D30" s="27"/>
      <c r="E30" s="4"/>
      <c r="F30" s="3">
        <v>2.1</v>
      </c>
      <c r="G30" s="27">
        <v>0.13</v>
      </c>
      <c r="H30" s="3">
        <v>107</v>
      </c>
      <c r="I30" s="27">
        <v>7</v>
      </c>
      <c r="J30" s="3">
        <v>5.25</v>
      </c>
      <c r="K30" s="27">
        <v>0.55000000000000004</v>
      </c>
      <c r="L30" s="3">
        <v>63</v>
      </c>
      <c r="M30" s="27">
        <v>9</v>
      </c>
      <c r="N30" s="3">
        <v>0.33800000000000002</v>
      </c>
      <c r="O30" s="27">
        <v>5.2999999999999999E-2</v>
      </c>
      <c r="P30" s="3" t="s">
        <v>12</v>
      </c>
      <c r="Q30" s="37"/>
      <c r="R30" s="18"/>
    </row>
    <row r="31" spans="1:18" ht="15.75" customHeight="1" x14ac:dyDescent="0.5">
      <c r="A31" s="1" t="s">
        <v>63</v>
      </c>
      <c r="B31" s="3" t="s">
        <v>64</v>
      </c>
      <c r="C31" s="3" t="s">
        <v>12</v>
      </c>
      <c r="D31" s="27"/>
      <c r="E31" s="4"/>
      <c r="F31" s="3">
        <v>1.7</v>
      </c>
      <c r="G31" s="27">
        <v>0.3</v>
      </c>
      <c r="H31" s="3">
        <v>61</v>
      </c>
      <c r="I31" s="27">
        <v>7</v>
      </c>
      <c r="J31" s="3" t="s">
        <v>12</v>
      </c>
      <c r="K31" s="27"/>
      <c r="L31" s="3">
        <v>100</v>
      </c>
      <c r="M31" s="27">
        <v>30</v>
      </c>
      <c r="N31" s="3" t="s">
        <v>12</v>
      </c>
      <c r="O31" s="27"/>
      <c r="P31" s="3" t="s">
        <v>12</v>
      </c>
      <c r="Q31" s="37"/>
      <c r="R31" s="18"/>
    </row>
    <row r="32" spans="1:18" ht="15.75" customHeight="1" x14ac:dyDescent="0.5">
      <c r="A32" s="1" t="s">
        <v>65</v>
      </c>
      <c r="B32" s="3" t="s">
        <v>66</v>
      </c>
      <c r="C32" s="3" t="s">
        <v>12</v>
      </c>
      <c r="D32" s="27"/>
      <c r="E32" s="4"/>
      <c r="F32" s="3">
        <v>1.1000000000000001</v>
      </c>
      <c r="G32" s="27">
        <v>0.2</v>
      </c>
      <c r="H32" s="3">
        <v>64</v>
      </c>
      <c r="I32" s="27">
        <v>16</v>
      </c>
      <c r="J32" s="3" t="s">
        <v>12</v>
      </c>
      <c r="K32" s="27"/>
      <c r="L32" s="3">
        <v>80</v>
      </c>
      <c r="M32" s="27">
        <v>40</v>
      </c>
      <c r="N32" s="3" t="s">
        <v>12</v>
      </c>
      <c r="O32" s="27"/>
      <c r="P32" s="3" t="s">
        <v>12</v>
      </c>
      <c r="Q32" s="37"/>
      <c r="R32" s="18"/>
    </row>
    <row r="33" spans="1:19" ht="15.75" customHeight="1" x14ac:dyDescent="0.5">
      <c r="A33" s="1" t="s">
        <v>67</v>
      </c>
      <c r="B33" s="3" t="s">
        <v>68</v>
      </c>
      <c r="C33" s="3" t="s">
        <v>12</v>
      </c>
      <c r="D33" s="27"/>
      <c r="E33" s="4"/>
      <c r="F33" s="3">
        <v>2.19</v>
      </c>
      <c r="G33" s="27">
        <v>0.25</v>
      </c>
      <c r="H33" s="3">
        <v>176</v>
      </c>
      <c r="I33" s="27">
        <v>22</v>
      </c>
      <c r="J33" s="3">
        <v>3.3</v>
      </c>
      <c r="K33" s="27"/>
      <c r="L33" s="3">
        <v>39</v>
      </c>
      <c r="M33" s="27"/>
      <c r="N33" s="3" t="s">
        <v>12</v>
      </c>
      <c r="O33" s="27"/>
      <c r="P33" s="3" t="s">
        <v>12</v>
      </c>
      <c r="Q33" s="37"/>
      <c r="R33" s="18"/>
    </row>
    <row r="34" spans="1:19" ht="15.75" customHeight="1" x14ac:dyDescent="0.5">
      <c r="A34" s="1" t="s">
        <v>69</v>
      </c>
      <c r="B34" s="3" t="s">
        <v>27</v>
      </c>
      <c r="C34" s="3" t="s">
        <v>12</v>
      </c>
      <c r="D34" s="27"/>
      <c r="E34" s="4"/>
      <c r="F34" s="3">
        <v>0.95</v>
      </c>
      <c r="G34" s="27">
        <v>0.13</v>
      </c>
      <c r="H34" s="3">
        <v>76</v>
      </c>
      <c r="I34" s="27">
        <v>8</v>
      </c>
      <c r="J34" s="3">
        <v>5.5</v>
      </c>
      <c r="K34" s="27"/>
      <c r="L34" s="3">
        <v>50</v>
      </c>
      <c r="M34" s="27"/>
      <c r="N34" s="3" t="s">
        <v>12</v>
      </c>
      <c r="O34" s="27"/>
      <c r="P34" s="3" t="s">
        <v>12</v>
      </c>
      <c r="Q34" s="37"/>
      <c r="R34" s="18"/>
    </row>
    <row r="35" spans="1:19" ht="15.75" customHeight="1" x14ac:dyDescent="0.5">
      <c r="A35" s="1" t="s">
        <v>70</v>
      </c>
      <c r="B35" s="3" t="s">
        <v>71</v>
      </c>
      <c r="C35" s="3" t="s">
        <v>12</v>
      </c>
      <c r="D35" s="27"/>
      <c r="E35" s="4"/>
      <c r="F35" s="3">
        <v>1.1000000000000001</v>
      </c>
      <c r="G35" s="27"/>
      <c r="H35" s="3">
        <v>50</v>
      </c>
      <c r="I35" s="27"/>
      <c r="J35" s="3">
        <v>3.8</v>
      </c>
      <c r="K35" s="27"/>
      <c r="L35" s="3">
        <v>13</v>
      </c>
      <c r="M35" s="27"/>
      <c r="N35" s="3" t="s">
        <v>12</v>
      </c>
      <c r="O35" s="27"/>
      <c r="P35" s="3" t="s">
        <v>12</v>
      </c>
      <c r="Q35" s="37"/>
      <c r="R35" s="18"/>
    </row>
    <row r="36" spans="1:19" ht="15.75" customHeight="1" x14ac:dyDescent="0.5">
      <c r="A36" s="1" t="s">
        <v>72</v>
      </c>
      <c r="B36" s="3" t="s">
        <v>73</v>
      </c>
      <c r="C36" s="3" t="s">
        <v>12</v>
      </c>
      <c r="D36" s="27"/>
      <c r="E36" s="4"/>
      <c r="F36" s="3">
        <v>2.2000000000000002</v>
      </c>
      <c r="G36" s="27"/>
      <c r="H36" s="3">
        <v>160</v>
      </c>
      <c r="I36" s="27"/>
      <c r="J36" s="3" t="s">
        <v>12</v>
      </c>
      <c r="K36" s="27"/>
      <c r="L36" s="3">
        <v>46</v>
      </c>
      <c r="M36" s="27"/>
      <c r="N36" s="3" t="s">
        <v>12</v>
      </c>
      <c r="O36" s="27"/>
      <c r="P36" s="3" t="s">
        <v>12</v>
      </c>
      <c r="Q36" s="37"/>
      <c r="R36" s="18"/>
    </row>
    <row r="37" spans="1:19" ht="15.75" customHeight="1" x14ac:dyDescent="0.5">
      <c r="A37" s="1" t="s">
        <v>74</v>
      </c>
      <c r="B37" s="3" t="s">
        <v>75</v>
      </c>
      <c r="C37" s="3">
        <v>0.8</v>
      </c>
      <c r="D37" s="27"/>
      <c r="E37" s="4">
        <f t="shared" ref="E37:E62" si="4">1/C37</f>
        <v>1.25</v>
      </c>
      <c r="F37" s="3">
        <v>0.57999999999999996</v>
      </c>
      <c r="G37" s="27"/>
      <c r="H37" s="3" t="s">
        <v>12</v>
      </c>
      <c r="I37" s="27"/>
      <c r="J37" s="3">
        <v>7.2</v>
      </c>
      <c r="K37" s="27"/>
      <c r="L37" s="3">
        <v>14</v>
      </c>
      <c r="M37" s="27"/>
      <c r="N37" s="3">
        <v>0.03</v>
      </c>
      <c r="O37" s="27"/>
      <c r="P37" s="3" t="s">
        <v>12</v>
      </c>
      <c r="Q37" s="37"/>
      <c r="R37" s="18">
        <f t="shared" si="1"/>
        <v>0.46399999999999997</v>
      </c>
    </row>
    <row r="38" spans="1:19" ht="15.75" customHeight="1" x14ac:dyDescent="0.5">
      <c r="A38" s="1" t="s">
        <v>76</v>
      </c>
      <c r="B38" s="3" t="s">
        <v>75</v>
      </c>
      <c r="C38" s="3">
        <v>0.8</v>
      </c>
      <c r="D38" s="27"/>
      <c r="E38" s="4">
        <f t="shared" si="4"/>
        <v>1.25</v>
      </c>
      <c r="F38" s="3">
        <v>0.88</v>
      </c>
      <c r="G38" s="27"/>
      <c r="H38" s="3" t="s">
        <v>12</v>
      </c>
      <c r="I38" s="27"/>
      <c r="J38" s="3">
        <v>6</v>
      </c>
      <c r="K38" s="27"/>
      <c r="L38" s="3">
        <v>27</v>
      </c>
      <c r="M38" s="27"/>
      <c r="N38" s="3" t="s">
        <v>12</v>
      </c>
      <c r="O38" s="27"/>
      <c r="P38" s="3" t="s">
        <v>12</v>
      </c>
      <c r="Q38" s="37"/>
      <c r="R38" s="18">
        <f t="shared" si="1"/>
        <v>0.70400000000000007</v>
      </c>
    </row>
    <row r="39" spans="1:19" ht="15.75" customHeight="1" x14ac:dyDescent="0.5">
      <c r="A39" s="1" t="s">
        <v>77</v>
      </c>
      <c r="B39" s="3" t="s">
        <v>78</v>
      </c>
      <c r="C39" s="3">
        <v>0.8</v>
      </c>
      <c r="D39" s="27"/>
      <c r="E39" s="4">
        <f t="shared" si="4"/>
        <v>1.25</v>
      </c>
      <c r="F39" s="3">
        <v>1.8</v>
      </c>
      <c r="G39" s="27"/>
      <c r="H39" s="3">
        <v>89</v>
      </c>
      <c r="I39" s="27"/>
      <c r="J39" s="3" t="s">
        <v>12</v>
      </c>
      <c r="K39" s="27"/>
      <c r="L39" s="3">
        <v>94</v>
      </c>
      <c r="M39" s="27"/>
      <c r="N39" s="3" t="s">
        <v>12</v>
      </c>
      <c r="O39" s="27"/>
      <c r="P39" s="3" t="s">
        <v>12</v>
      </c>
      <c r="Q39" s="37"/>
      <c r="R39" s="18">
        <f t="shared" si="1"/>
        <v>1.4400000000000002</v>
      </c>
    </row>
    <row r="40" spans="1:19" ht="15.75" customHeight="1" x14ac:dyDescent="0.5">
      <c r="A40" s="1" t="s">
        <v>122</v>
      </c>
      <c r="B40" s="3" t="s">
        <v>123</v>
      </c>
      <c r="C40" s="3">
        <v>1.93</v>
      </c>
      <c r="D40" s="27"/>
      <c r="E40" s="4">
        <f>C40^-1</f>
        <v>0.5181347150259068</v>
      </c>
      <c r="F40" s="3">
        <f>R40/C40</f>
        <v>2.1761658031088085</v>
      </c>
      <c r="G40" s="27"/>
      <c r="H40" s="3"/>
      <c r="I40" s="27"/>
      <c r="J40" s="3"/>
      <c r="K40" s="27"/>
      <c r="L40" s="3"/>
      <c r="M40" s="27"/>
      <c r="N40" s="3">
        <v>10.9</v>
      </c>
      <c r="O40" s="27"/>
      <c r="P40" s="3"/>
      <c r="Q40" s="37"/>
      <c r="R40" s="19">
        <v>4.2</v>
      </c>
      <c r="S40" s="17" t="s">
        <v>124</v>
      </c>
    </row>
    <row r="41" spans="1:19" ht="15.75" customHeight="1" x14ac:dyDescent="0.5">
      <c r="A41" s="5" t="s">
        <v>79</v>
      </c>
      <c r="B41" s="6" t="s">
        <v>80</v>
      </c>
      <c r="C41" s="6">
        <v>1.76</v>
      </c>
      <c r="D41" s="28"/>
      <c r="E41" s="7">
        <f t="shared" si="4"/>
        <v>0.56818181818181823</v>
      </c>
      <c r="F41" s="6">
        <v>2.0099999999999998</v>
      </c>
      <c r="G41" s="28"/>
      <c r="H41" s="6">
        <v>131</v>
      </c>
      <c r="I41" s="28"/>
      <c r="J41" s="6">
        <v>1.5</v>
      </c>
      <c r="K41" s="28"/>
      <c r="L41" s="6">
        <v>16</v>
      </c>
      <c r="M41" s="28"/>
      <c r="N41" s="6">
        <v>0.06</v>
      </c>
      <c r="O41" s="28"/>
      <c r="P41" s="6">
        <v>10.5</v>
      </c>
      <c r="Q41" s="38"/>
      <c r="R41" s="20"/>
    </row>
    <row r="42" spans="1:19" ht="15.75" customHeight="1" x14ac:dyDescent="0.5">
      <c r="A42" s="5" t="s">
        <v>81</v>
      </c>
      <c r="B42" s="6" t="s">
        <v>80</v>
      </c>
      <c r="C42" s="6">
        <v>1.8</v>
      </c>
      <c r="D42" s="28"/>
      <c r="E42" s="7">
        <f t="shared" si="4"/>
        <v>0.55555555555555558</v>
      </c>
      <c r="F42" s="6">
        <v>2.72</v>
      </c>
      <c r="G42" s="28"/>
      <c r="H42" s="6">
        <v>128</v>
      </c>
      <c r="I42" s="28"/>
      <c r="J42" s="6">
        <v>2.1</v>
      </c>
      <c r="K42" s="28"/>
      <c r="L42" s="6" t="s">
        <v>12</v>
      </c>
      <c r="M42" s="28"/>
      <c r="N42" s="6">
        <v>0.06</v>
      </c>
      <c r="O42" s="28"/>
      <c r="P42" s="6">
        <v>9.6</v>
      </c>
      <c r="Q42" s="38"/>
      <c r="R42" s="20"/>
    </row>
    <row r="43" spans="1:19" ht="15.75" customHeight="1" x14ac:dyDescent="0.5">
      <c r="A43" s="5" t="s">
        <v>82</v>
      </c>
      <c r="B43" s="6" t="s">
        <v>80</v>
      </c>
      <c r="C43" s="6">
        <v>1.8</v>
      </c>
      <c r="D43" s="28"/>
      <c r="E43" s="7">
        <f t="shared" si="4"/>
        <v>0.55555555555555558</v>
      </c>
      <c r="F43" s="6">
        <v>3.27</v>
      </c>
      <c r="G43" s="28"/>
      <c r="H43" s="6">
        <v>163</v>
      </c>
      <c r="I43" s="28"/>
      <c r="J43" s="6">
        <v>2</v>
      </c>
      <c r="K43" s="28"/>
      <c r="L43" s="6" t="s">
        <v>12</v>
      </c>
      <c r="M43" s="28"/>
      <c r="N43" s="6">
        <v>0.08</v>
      </c>
      <c r="O43" s="28"/>
      <c r="P43" s="6">
        <v>11.3</v>
      </c>
      <c r="Q43" s="38"/>
      <c r="R43" s="20"/>
    </row>
    <row r="44" spans="1:19" ht="15.75" customHeight="1" x14ac:dyDescent="0.5">
      <c r="A44" s="5" t="s">
        <v>83</v>
      </c>
      <c r="B44" s="6" t="s">
        <v>80</v>
      </c>
      <c r="C44" s="6">
        <v>1.8</v>
      </c>
      <c r="D44" s="28"/>
      <c r="E44" s="7">
        <f t="shared" si="4"/>
        <v>0.55555555555555558</v>
      </c>
      <c r="F44" s="6">
        <v>3.54</v>
      </c>
      <c r="G44" s="28"/>
      <c r="H44" s="6">
        <v>163</v>
      </c>
      <c r="I44" s="28"/>
      <c r="J44" s="6">
        <v>2.2000000000000002</v>
      </c>
      <c r="K44" s="28"/>
      <c r="L44" s="6" t="s">
        <v>12</v>
      </c>
      <c r="M44" s="28"/>
      <c r="N44" s="6">
        <v>7.0000000000000007E-2</v>
      </c>
      <c r="O44" s="28"/>
      <c r="P44" s="6">
        <v>10.5</v>
      </c>
      <c r="Q44" s="38"/>
      <c r="R44" s="20"/>
    </row>
    <row r="45" spans="1:19" ht="15.75" customHeight="1" x14ac:dyDescent="0.5">
      <c r="A45" s="5" t="s">
        <v>84</v>
      </c>
      <c r="B45" s="6" t="s">
        <v>80</v>
      </c>
      <c r="C45" s="6">
        <v>1.79</v>
      </c>
      <c r="D45" s="28"/>
      <c r="E45" s="7">
        <f t="shared" si="4"/>
        <v>0.55865921787709494</v>
      </c>
      <c r="F45" s="6">
        <v>3.91</v>
      </c>
      <c r="G45" s="28"/>
      <c r="H45" s="6">
        <v>181</v>
      </c>
      <c r="I45" s="28"/>
      <c r="J45" s="6">
        <v>2</v>
      </c>
      <c r="K45" s="28"/>
      <c r="L45" s="6">
        <v>39</v>
      </c>
      <c r="M45" s="28"/>
      <c r="N45" s="6">
        <v>7.0000000000000007E-2</v>
      </c>
      <c r="O45" s="28"/>
      <c r="P45" s="6">
        <v>13</v>
      </c>
      <c r="Q45" s="38"/>
      <c r="R45" s="20"/>
    </row>
    <row r="46" spans="1:19" ht="15.75" customHeight="1" x14ac:dyDescent="0.5">
      <c r="A46" s="5" t="s">
        <v>85</v>
      </c>
      <c r="B46" s="6" t="s">
        <v>80</v>
      </c>
      <c r="C46" s="6">
        <v>1.75</v>
      </c>
      <c r="D46" s="28"/>
      <c r="E46" s="7">
        <f t="shared" si="4"/>
        <v>0.5714285714285714</v>
      </c>
      <c r="F46" s="6">
        <v>2.58</v>
      </c>
      <c r="G46" s="28"/>
      <c r="H46" s="6">
        <v>196</v>
      </c>
      <c r="I46" s="28"/>
      <c r="J46" s="6">
        <v>1.3</v>
      </c>
      <c r="K46" s="28"/>
      <c r="L46" s="6">
        <v>18</v>
      </c>
      <c r="M46" s="28"/>
      <c r="N46" s="6">
        <v>0.09</v>
      </c>
      <c r="O46" s="28"/>
      <c r="P46" s="6">
        <v>38.9</v>
      </c>
      <c r="Q46" s="38"/>
      <c r="R46" s="20"/>
    </row>
    <row r="47" spans="1:19" ht="15.75" customHeight="1" x14ac:dyDescent="0.5">
      <c r="A47" s="5" t="s">
        <v>86</v>
      </c>
      <c r="B47" s="6" t="s">
        <v>80</v>
      </c>
      <c r="C47" s="6">
        <v>1.77</v>
      </c>
      <c r="D47" s="28"/>
      <c r="E47" s="7">
        <f t="shared" si="4"/>
        <v>0.56497175141242939</v>
      </c>
      <c r="F47" s="6">
        <v>2.4900000000000002</v>
      </c>
      <c r="G47" s="28"/>
      <c r="H47" s="6">
        <v>213</v>
      </c>
      <c r="I47" s="28"/>
      <c r="J47" s="6">
        <v>1.2</v>
      </c>
      <c r="K47" s="28"/>
      <c r="L47" s="6" t="s">
        <v>12</v>
      </c>
      <c r="M47" s="28"/>
      <c r="N47" s="6">
        <v>0.1</v>
      </c>
      <c r="O47" s="28"/>
      <c r="P47" s="6">
        <v>66.900000000000006</v>
      </c>
      <c r="Q47" s="38"/>
      <c r="R47" s="20"/>
    </row>
    <row r="48" spans="1:19" ht="15.75" customHeight="1" x14ac:dyDescent="0.5">
      <c r="A48" s="5" t="s">
        <v>87</v>
      </c>
      <c r="B48" s="6" t="s">
        <v>80</v>
      </c>
      <c r="C48" s="6">
        <v>1.93</v>
      </c>
      <c r="D48" s="28"/>
      <c r="E48" s="7">
        <f t="shared" si="4"/>
        <v>0.5181347150259068</v>
      </c>
      <c r="F48" s="6">
        <v>1.98</v>
      </c>
      <c r="G48" s="28"/>
      <c r="H48" s="6">
        <v>305</v>
      </c>
      <c r="I48" s="28"/>
      <c r="J48" s="6">
        <v>0.7</v>
      </c>
      <c r="K48" s="28"/>
      <c r="L48" s="6">
        <v>7</v>
      </c>
      <c r="M48" s="28"/>
      <c r="N48" s="6">
        <v>0.14000000000000001</v>
      </c>
      <c r="O48" s="28"/>
      <c r="P48" s="6">
        <v>150.5</v>
      </c>
      <c r="Q48" s="38"/>
      <c r="R48" s="20"/>
    </row>
    <row r="49" spans="1:18" ht="15.75" customHeight="1" x14ac:dyDescent="0.5">
      <c r="A49" s="5" t="s">
        <v>88</v>
      </c>
      <c r="B49" s="6" t="s">
        <v>80</v>
      </c>
      <c r="C49" s="6">
        <v>1.82</v>
      </c>
      <c r="D49" s="28"/>
      <c r="E49" s="7">
        <f t="shared" si="4"/>
        <v>0.54945054945054939</v>
      </c>
      <c r="F49" s="6">
        <v>4.4000000000000004</v>
      </c>
      <c r="G49" s="28"/>
      <c r="H49" s="6">
        <v>173</v>
      </c>
      <c r="I49" s="28"/>
      <c r="J49" s="6"/>
      <c r="K49" s="28"/>
      <c r="L49" s="6"/>
      <c r="M49" s="28"/>
      <c r="N49" s="6"/>
      <c r="O49" s="28"/>
      <c r="P49" s="6"/>
      <c r="Q49" s="38"/>
      <c r="R49" s="20"/>
    </row>
    <row r="50" spans="1:18" ht="15.75" customHeight="1" x14ac:dyDescent="0.5">
      <c r="A50" s="5" t="s">
        <v>89</v>
      </c>
      <c r="B50" s="6" t="s">
        <v>80</v>
      </c>
      <c r="C50" s="6">
        <v>1.79</v>
      </c>
      <c r="D50" s="28"/>
      <c r="E50" s="7">
        <f t="shared" si="4"/>
        <v>0.55865921787709494</v>
      </c>
      <c r="F50" s="6">
        <v>2.48</v>
      </c>
      <c r="G50" s="28"/>
      <c r="H50" s="6">
        <v>129</v>
      </c>
      <c r="I50" s="28"/>
      <c r="J50" s="6">
        <v>1.7</v>
      </c>
      <c r="K50" s="28"/>
      <c r="L50" s="6">
        <v>23</v>
      </c>
      <c r="M50" s="28"/>
      <c r="N50" s="6">
        <v>0.06</v>
      </c>
      <c r="O50" s="28"/>
      <c r="P50" s="6">
        <v>6.83</v>
      </c>
      <c r="Q50" s="38"/>
      <c r="R50" s="20"/>
    </row>
    <row r="51" spans="1:18" ht="15.75" customHeight="1" x14ac:dyDescent="0.5">
      <c r="A51" s="5" t="s">
        <v>90</v>
      </c>
      <c r="B51" s="6" t="s">
        <v>80</v>
      </c>
      <c r="C51" s="6">
        <v>1.78</v>
      </c>
      <c r="D51" s="28"/>
      <c r="E51" s="7">
        <f t="shared" si="4"/>
        <v>0.5617977528089888</v>
      </c>
      <c r="F51" s="6">
        <v>3.2</v>
      </c>
      <c r="G51" s="28"/>
      <c r="H51" s="6">
        <v>155</v>
      </c>
      <c r="I51" s="28"/>
      <c r="J51" s="6">
        <v>1.8</v>
      </c>
      <c r="K51" s="28"/>
      <c r="L51" s="6" t="s">
        <v>12</v>
      </c>
      <c r="M51" s="28"/>
      <c r="N51" s="6">
        <v>7.0000000000000007E-2</v>
      </c>
      <c r="O51" s="28"/>
      <c r="P51" s="6">
        <v>5.4</v>
      </c>
      <c r="Q51" s="38"/>
      <c r="R51" s="20"/>
    </row>
    <row r="52" spans="1:18" ht="15.75" customHeight="1" x14ac:dyDescent="0.5">
      <c r="A52" s="5" t="s">
        <v>91</v>
      </c>
      <c r="B52" s="6" t="s">
        <v>80</v>
      </c>
      <c r="C52" s="6">
        <v>1.79</v>
      </c>
      <c r="D52" s="28"/>
      <c r="E52" s="7">
        <f t="shared" si="4"/>
        <v>0.55865921787709494</v>
      </c>
      <c r="F52" s="6">
        <v>3.81</v>
      </c>
      <c r="G52" s="28"/>
      <c r="H52" s="6">
        <v>175</v>
      </c>
      <c r="I52" s="28"/>
      <c r="J52" s="6">
        <v>2</v>
      </c>
      <c r="K52" s="28"/>
      <c r="L52" s="6" t="s">
        <v>12</v>
      </c>
      <c r="M52" s="28"/>
      <c r="N52" s="6">
        <v>0.08</v>
      </c>
      <c r="O52" s="28"/>
      <c r="P52" s="6">
        <v>6.14</v>
      </c>
      <c r="Q52" s="38"/>
      <c r="R52" s="20"/>
    </row>
    <row r="53" spans="1:18" ht="15.75" customHeight="1" x14ac:dyDescent="0.5">
      <c r="A53" s="5" t="s">
        <v>92</v>
      </c>
      <c r="B53" s="6" t="s">
        <v>80</v>
      </c>
      <c r="C53" s="6">
        <v>1.83</v>
      </c>
      <c r="D53" s="28"/>
      <c r="E53" s="7">
        <f t="shared" si="4"/>
        <v>0.54644808743169393</v>
      </c>
      <c r="F53" s="6">
        <v>2.64</v>
      </c>
      <c r="G53" s="28"/>
      <c r="H53" s="6">
        <v>237</v>
      </c>
      <c r="I53" s="28"/>
      <c r="J53" s="6">
        <v>1</v>
      </c>
      <c r="K53" s="28"/>
      <c r="L53" s="6" t="s">
        <v>12</v>
      </c>
      <c r="M53" s="28"/>
      <c r="N53" s="6">
        <v>0.11</v>
      </c>
      <c r="O53" s="28"/>
      <c r="P53" s="6">
        <v>55</v>
      </c>
      <c r="Q53" s="38"/>
      <c r="R53" s="20"/>
    </row>
    <row r="54" spans="1:18" ht="15.75" customHeight="1" x14ac:dyDescent="0.5">
      <c r="A54" s="5" t="s">
        <v>93</v>
      </c>
      <c r="B54" s="6" t="s">
        <v>94</v>
      </c>
      <c r="C54" s="6">
        <v>2.1</v>
      </c>
      <c r="D54" s="28"/>
      <c r="E54" s="7">
        <f t="shared" si="4"/>
        <v>0.47619047619047616</v>
      </c>
      <c r="F54" s="6">
        <v>1.82</v>
      </c>
      <c r="G54" s="28"/>
      <c r="H54" s="6">
        <v>248</v>
      </c>
      <c r="I54" s="28"/>
      <c r="J54" s="6">
        <v>0.7</v>
      </c>
      <c r="K54" s="28"/>
      <c r="L54" s="6" t="s">
        <v>12</v>
      </c>
      <c r="M54" s="28"/>
      <c r="N54" s="6">
        <v>0.14000000000000001</v>
      </c>
      <c r="O54" s="28"/>
      <c r="P54" s="6">
        <v>120</v>
      </c>
      <c r="Q54" s="38"/>
      <c r="R54" s="20"/>
    </row>
    <row r="55" spans="1:18" ht="15.75" customHeight="1" x14ac:dyDescent="0.5">
      <c r="A55" s="5" t="s">
        <v>95</v>
      </c>
      <c r="B55" s="6" t="s">
        <v>94</v>
      </c>
      <c r="C55" s="6">
        <v>2.15</v>
      </c>
      <c r="D55" s="28"/>
      <c r="E55" s="7">
        <f t="shared" si="4"/>
        <v>0.46511627906976744</v>
      </c>
      <c r="F55" s="6">
        <v>1.69</v>
      </c>
      <c r="G55" s="28"/>
      <c r="H55" s="6">
        <v>335</v>
      </c>
      <c r="I55" s="28"/>
      <c r="J55" s="6">
        <v>0.5</v>
      </c>
      <c r="K55" s="28"/>
      <c r="L55" s="6" t="s">
        <v>12</v>
      </c>
      <c r="M55" s="28"/>
      <c r="N55" s="6">
        <v>0.2</v>
      </c>
      <c r="O55" s="28"/>
      <c r="P55" s="6">
        <v>250</v>
      </c>
      <c r="Q55" s="38"/>
      <c r="R55" s="20"/>
    </row>
    <row r="56" spans="1:18" ht="15.75" customHeight="1" x14ac:dyDescent="0.5">
      <c r="A56" s="5" t="s">
        <v>96</v>
      </c>
      <c r="B56" s="6" t="s">
        <v>94</v>
      </c>
      <c r="C56" s="6">
        <v>2.17</v>
      </c>
      <c r="D56" s="28"/>
      <c r="E56" s="7">
        <f t="shared" si="4"/>
        <v>0.46082949308755761</v>
      </c>
      <c r="F56" s="6">
        <v>1.67</v>
      </c>
      <c r="G56" s="28"/>
      <c r="H56" s="6">
        <v>362</v>
      </c>
      <c r="I56" s="28"/>
      <c r="J56" s="6">
        <v>0.5</v>
      </c>
      <c r="K56" s="28"/>
      <c r="L56" s="6" t="s">
        <v>12</v>
      </c>
      <c r="M56" s="28"/>
      <c r="N56" s="6">
        <v>0.2</v>
      </c>
      <c r="O56" s="28"/>
      <c r="P56" s="6">
        <v>320</v>
      </c>
      <c r="Q56" s="38"/>
      <c r="R56" s="20"/>
    </row>
    <row r="57" spans="1:18" ht="15.75" customHeight="1" x14ac:dyDescent="0.5">
      <c r="A57" s="5" t="s">
        <v>97</v>
      </c>
      <c r="B57" s="6" t="s">
        <v>94</v>
      </c>
      <c r="C57" s="6">
        <v>2.1800000000000002</v>
      </c>
      <c r="D57" s="28"/>
      <c r="E57" s="7">
        <f t="shared" si="4"/>
        <v>0.4587155963302752</v>
      </c>
      <c r="F57" s="6">
        <v>1.62</v>
      </c>
      <c r="G57" s="28"/>
      <c r="H57" s="6">
        <v>404</v>
      </c>
      <c r="I57" s="28"/>
      <c r="J57" s="6">
        <v>0.3</v>
      </c>
      <c r="K57" s="28"/>
      <c r="L57" s="6" t="s">
        <v>12</v>
      </c>
      <c r="M57" s="28"/>
      <c r="N57" s="6">
        <v>0.33</v>
      </c>
      <c r="O57" s="28"/>
      <c r="P57" s="6">
        <v>500</v>
      </c>
      <c r="Q57" s="38"/>
      <c r="R57" s="20"/>
    </row>
    <row r="58" spans="1:18" ht="15.75" customHeight="1" x14ac:dyDescent="0.5">
      <c r="A58" s="5" t="s">
        <v>98</v>
      </c>
      <c r="B58" s="6" t="s">
        <v>94</v>
      </c>
      <c r="C58" s="6">
        <v>2.19</v>
      </c>
      <c r="D58" s="28"/>
      <c r="E58" s="7">
        <f t="shared" si="4"/>
        <v>0.45662100456621008</v>
      </c>
      <c r="F58" s="6">
        <v>1.61</v>
      </c>
      <c r="G58" s="28"/>
      <c r="H58" s="6">
        <v>420</v>
      </c>
      <c r="I58" s="28"/>
      <c r="J58" s="6">
        <v>0.3</v>
      </c>
      <c r="K58" s="28"/>
      <c r="L58" s="6" t="s">
        <v>12</v>
      </c>
      <c r="M58" s="28"/>
      <c r="N58" s="6">
        <v>0.45</v>
      </c>
      <c r="O58" s="28"/>
      <c r="P58" s="6">
        <v>600</v>
      </c>
      <c r="Q58" s="38"/>
      <c r="R58" s="20"/>
    </row>
    <row r="59" spans="1:18" ht="15.75" customHeight="1" x14ac:dyDescent="0.5">
      <c r="A59" s="5" t="s">
        <v>99</v>
      </c>
      <c r="B59" s="6" t="s">
        <v>94</v>
      </c>
      <c r="C59" s="6">
        <v>2.12</v>
      </c>
      <c r="D59" s="28"/>
      <c r="E59" s="7">
        <f t="shared" si="4"/>
        <v>0.47169811320754712</v>
      </c>
      <c r="F59" s="6">
        <v>1.7</v>
      </c>
      <c r="G59" s="28"/>
      <c r="H59" s="6">
        <v>292</v>
      </c>
      <c r="I59" s="28"/>
      <c r="J59" s="6">
        <v>0.6</v>
      </c>
      <c r="K59" s="28"/>
      <c r="L59" s="6" t="s">
        <v>12</v>
      </c>
      <c r="M59" s="28"/>
      <c r="N59" s="6">
        <v>0.15</v>
      </c>
      <c r="O59" s="28"/>
      <c r="P59" s="6">
        <v>140</v>
      </c>
      <c r="Q59" s="38"/>
      <c r="R59" s="20"/>
    </row>
    <row r="60" spans="1:18" ht="15.75" customHeight="1" x14ac:dyDescent="0.5">
      <c r="A60" s="5" t="s">
        <v>100</v>
      </c>
      <c r="B60" s="6" t="s">
        <v>94</v>
      </c>
      <c r="C60" s="6">
        <v>2.15</v>
      </c>
      <c r="D60" s="28"/>
      <c r="E60" s="7">
        <f t="shared" si="4"/>
        <v>0.46511627906976744</v>
      </c>
      <c r="F60" s="6">
        <v>1.72</v>
      </c>
      <c r="G60" s="28"/>
      <c r="H60" s="6">
        <v>353</v>
      </c>
      <c r="I60" s="28"/>
      <c r="J60" s="6">
        <v>0.5</v>
      </c>
      <c r="K60" s="28"/>
      <c r="L60" s="6" t="s">
        <v>12</v>
      </c>
      <c r="M60" s="28"/>
      <c r="N60" s="6">
        <v>0.2</v>
      </c>
      <c r="O60" s="28"/>
      <c r="P60" s="6">
        <v>210</v>
      </c>
      <c r="Q60" s="38"/>
      <c r="R60" s="20"/>
    </row>
    <row r="61" spans="1:18" ht="15.75" customHeight="1" x14ac:dyDescent="0.5">
      <c r="A61" s="5" t="s">
        <v>101</v>
      </c>
      <c r="B61" s="6" t="s">
        <v>94</v>
      </c>
      <c r="C61" s="6">
        <v>2.1800000000000002</v>
      </c>
      <c r="D61" s="28"/>
      <c r="E61" s="7">
        <f t="shared" si="4"/>
        <v>0.4587155963302752</v>
      </c>
      <c r="F61" s="6">
        <v>1.65</v>
      </c>
      <c r="G61" s="28"/>
      <c r="H61" s="6">
        <v>413</v>
      </c>
      <c r="I61" s="28"/>
      <c r="J61" s="6">
        <v>0.4</v>
      </c>
      <c r="K61" s="28"/>
      <c r="L61" s="6" t="s">
        <v>12</v>
      </c>
      <c r="M61" s="28"/>
      <c r="N61" s="6">
        <v>0.4</v>
      </c>
      <c r="O61" s="28"/>
      <c r="P61" s="6">
        <v>580</v>
      </c>
      <c r="Q61" s="38"/>
      <c r="R61" s="20"/>
    </row>
    <row r="62" spans="1:18" ht="15.75" customHeight="1" x14ac:dyDescent="0.5">
      <c r="A62" s="5" t="s">
        <v>102</v>
      </c>
      <c r="B62" s="6" t="s">
        <v>94</v>
      </c>
      <c r="C62" s="6">
        <v>2.2000000000000002</v>
      </c>
      <c r="D62" s="28"/>
      <c r="E62" s="7">
        <f t="shared" si="4"/>
        <v>0.45454545454545453</v>
      </c>
      <c r="F62" s="6">
        <v>1.68</v>
      </c>
      <c r="G62" s="28"/>
      <c r="H62" s="6">
        <v>425</v>
      </c>
      <c r="I62" s="28"/>
      <c r="J62" s="6">
        <v>0.4</v>
      </c>
      <c r="K62" s="28"/>
      <c r="L62" s="6" t="s">
        <v>12</v>
      </c>
      <c r="M62" s="28"/>
      <c r="N62" s="6">
        <v>0.67</v>
      </c>
      <c r="O62" s="28"/>
      <c r="P62" s="6">
        <v>800</v>
      </c>
      <c r="Q62" s="38"/>
      <c r="R62" s="20"/>
    </row>
    <row r="63" spans="1:18" ht="15.75" customHeight="1" x14ac:dyDescent="0.5">
      <c r="A63" s="8"/>
      <c r="E63" s="9"/>
    </row>
    <row r="64" spans="1:18" ht="15.75" customHeight="1" x14ac:dyDescent="0.5">
      <c r="A64" s="8"/>
      <c r="E64" s="9"/>
    </row>
    <row r="65" spans="1:18" ht="15.75" customHeight="1" x14ac:dyDescent="0.5">
      <c r="A65" s="8" t="s">
        <v>103</v>
      </c>
      <c r="B65" s="10">
        <v>1.52</v>
      </c>
      <c r="E65" s="9"/>
    </row>
    <row r="66" spans="1:18" ht="15.75" customHeight="1" x14ac:dyDescent="0.5">
      <c r="A66" s="8" t="s">
        <v>104</v>
      </c>
      <c r="B66" s="10">
        <v>5.8</v>
      </c>
      <c r="E66" s="9"/>
    </row>
    <row r="67" spans="1:18" ht="15.75" customHeight="1" x14ac:dyDescent="0.5">
      <c r="A67" s="8" t="s">
        <v>105</v>
      </c>
      <c r="B67" s="10">
        <v>535</v>
      </c>
      <c r="E67" s="9"/>
    </row>
    <row r="68" spans="1:18" ht="15.75" customHeight="1" x14ac:dyDescent="0.5">
      <c r="A68" s="8" t="s">
        <v>106</v>
      </c>
      <c r="B68" s="10">
        <v>100</v>
      </c>
      <c r="E68" s="9"/>
    </row>
    <row r="69" spans="1:18" ht="15.75" customHeight="1" x14ac:dyDescent="0.5">
      <c r="A69" s="8" t="s">
        <v>107</v>
      </c>
      <c r="B69" s="10">
        <v>11.2</v>
      </c>
      <c r="E69" s="9"/>
    </row>
    <row r="70" spans="1:18" ht="15.75" customHeight="1" x14ac:dyDescent="0.5">
      <c r="A70" s="8" t="s">
        <v>108</v>
      </c>
      <c r="B70" s="10">
        <v>800</v>
      </c>
      <c r="E70" s="9"/>
    </row>
    <row r="71" spans="1:18" ht="15.75" customHeight="1" x14ac:dyDescent="0.5">
      <c r="E71" s="9"/>
    </row>
    <row r="72" spans="1:18" ht="15.75" customHeight="1" x14ac:dyDescent="0.5">
      <c r="A72" s="8" t="s">
        <v>109</v>
      </c>
      <c r="E72" s="9"/>
    </row>
    <row r="73" spans="1:18" ht="15.75" customHeight="1" x14ac:dyDescent="0.5">
      <c r="A73" s="11" t="s">
        <v>0</v>
      </c>
      <c r="B73" s="11" t="s">
        <v>1</v>
      </c>
      <c r="C73" s="11" t="s">
        <v>2</v>
      </c>
      <c r="D73" s="30"/>
      <c r="E73" s="12" t="s">
        <v>3</v>
      </c>
      <c r="F73" s="11" t="s">
        <v>4</v>
      </c>
      <c r="G73" s="30"/>
      <c r="H73" s="11" t="s">
        <v>5</v>
      </c>
      <c r="I73" s="30"/>
      <c r="J73" s="11" t="s">
        <v>6</v>
      </c>
      <c r="K73" s="30"/>
      <c r="L73" s="11" t="s">
        <v>7</v>
      </c>
      <c r="M73" s="30"/>
      <c r="N73" s="11" t="s">
        <v>8</v>
      </c>
      <c r="O73" s="30"/>
      <c r="P73" s="11" t="s">
        <v>9</v>
      </c>
      <c r="Q73" s="39"/>
      <c r="R73" s="21"/>
    </row>
    <row r="74" spans="1:18" ht="15.75" customHeight="1" x14ac:dyDescent="0.5">
      <c r="A74" s="123" t="s">
        <v>15</v>
      </c>
      <c r="B74" s="3" t="s">
        <v>110</v>
      </c>
      <c r="C74" s="3">
        <v>1.4</v>
      </c>
      <c r="D74" s="27"/>
      <c r="E74" s="4">
        <v>0.7142857142857143</v>
      </c>
      <c r="F74" s="3" t="s">
        <v>16</v>
      </c>
      <c r="G74" s="27"/>
      <c r="H74" s="3" t="s">
        <v>17</v>
      </c>
      <c r="I74" s="27"/>
      <c r="J74" s="3" t="s">
        <v>18</v>
      </c>
      <c r="K74" s="27"/>
      <c r="L74" s="1" t="s">
        <v>12</v>
      </c>
      <c r="M74" s="33"/>
      <c r="N74" s="4">
        <v>2.9</v>
      </c>
      <c r="O74" s="42"/>
      <c r="P74" s="1" t="s">
        <v>12</v>
      </c>
      <c r="Q74" s="36"/>
      <c r="R74" s="18"/>
    </row>
    <row r="75" spans="1:18" ht="15.75" customHeight="1" x14ac:dyDescent="0.5">
      <c r="A75" s="113"/>
      <c r="B75" s="3" t="s">
        <v>111</v>
      </c>
      <c r="C75" s="3"/>
      <c r="D75" s="27"/>
      <c r="E75" s="4">
        <f>E74/B65</f>
        <v>0.46992481203007519</v>
      </c>
      <c r="F75" s="3">
        <f>5.8/5.8</f>
        <v>1</v>
      </c>
      <c r="G75" s="27"/>
      <c r="H75" s="3">
        <f>122/B67</f>
        <v>0.22803738317757008</v>
      </c>
      <c r="I75" s="27"/>
      <c r="J75" s="3"/>
      <c r="K75" s="27"/>
      <c r="L75" s="3"/>
      <c r="M75" s="27"/>
      <c r="N75" s="3">
        <f>N74/B69</f>
        <v>0.25892857142857145</v>
      </c>
      <c r="O75" s="27"/>
      <c r="P75" s="3"/>
      <c r="Q75" s="37"/>
      <c r="R75" s="19"/>
    </row>
    <row r="76" spans="1:18" ht="15.75" customHeight="1" x14ac:dyDescent="0.5">
      <c r="A76" s="123" t="s">
        <v>112</v>
      </c>
      <c r="B76" s="3" t="s">
        <v>110</v>
      </c>
      <c r="C76" s="3" t="s">
        <v>21</v>
      </c>
      <c r="D76" s="27"/>
      <c r="E76" s="4">
        <f>1/1.4</f>
        <v>0.7142857142857143</v>
      </c>
      <c r="F76" s="3" t="s">
        <v>22</v>
      </c>
      <c r="G76" s="27"/>
      <c r="H76" s="3" t="s">
        <v>23</v>
      </c>
      <c r="I76" s="27"/>
      <c r="J76" s="3" t="s">
        <v>24</v>
      </c>
      <c r="K76" s="27"/>
      <c r="L76" s="3" t="s">
        <v>25</v>
      </c>
      <c r="M76" s="27"/>
      <c r="N76" s="3">
        <v>1.07</v>
      </c>
      <c r="O76" s="27"/>
      <c r="P76" s="3">
        <v>354</v>
      </c>
      <c r="Q76" s="37"/>
      <c r="R76" s="19"/>
    </row>
    <row r="77" spans="1:18" ht="15.75" customHeight="1" x14ac:dyDescent="0.5">
      <c r="A77" s="113"/>
      <c r="B77" s="3" t="s">
        <v>111</v>
      </c>
      <c r="C77" s="3"/>
      <c r="D77" s="27"/>
      <c r="E77" s="4">
        <f>E76/B65</f>
        <v>0.46992481203007519</v>
      </c>
      <c r="F77" s="3">
        <f>3.22/5.8</f>
        <v>0.55517241379310345</v>
      </c>
      <c r="G77" s="27"/>
      <c r="H77" s="3">
        <f>138/B67</f>
        <v>0.25794392523364484</v>
      </c>
      <c r="I77" s="27"/>
      <c r="J77" s="3"/>
      <c r="K77" s="27"/>
      <c r="L77" s="3">
        <v>0.75</v>
      </c>
      <c r="M77" s="27"/>
      <c r="N77" s="3">
        <f>N76/B69</f>
        <v>9.5535714285714293E-2</v>
      </c>
      <c r="O77" s="27"/>
      <c r="P77" s="3">
        <f>354/800</f>
        <v>0.4425</v>
      </c>
      <c r="Q77" s="37"/>
      <c r="R77" s="19"/>
    </row>
    <row r="78" spans="1:18" ht="15.75" customHeight="1" x14ac:dyDescent="0.5">
      <c r="A78" s="123" t="s">
        <v>42</v>
      </c>
      <c r="B78" s="3" t="s">
        <v>110</v>
      </c>
      <c r="C78" s="3">
        <v>1.96</v>
      </c>
      <c r="D78" s="27"/>
      <c r="E78" s="4">
        <f>1/C78</f>
        <v>0.51020408163265307</v>
      </c>
      <c r="F78" s="3" t="s">
        <v>43</v>
      </c>
      <c r="G78" s="27"/>
      <c r="H78" s="3" t="s">
        <v>44</v>
      </c>
      <c r="I78" s="27"/>
      <c r="J78" s="3" t="s">
        <v>45</v>
      </c>
      <c r="K78" s="27"/>
      <c r="L78" s="3" t="s">
        <v>12</v>
      </c>
      <c r="M78" s="27"/>
      <c r="N78" s="3" t="s">
        <v>46</v>
      </c>
      <c r="O78" s="27"/>
      <c r="P78" s="3" t="s">
        <v>47</v>
      </c>
      <c r="Q78" s="37"/>
      <c r="R78" s="19"/>
    </row>
    <row r="79" spans="1:18" ht="15.75" customHeight="1" x14ac:dyDescent="0.5">
      <c r="A79" s="113"/>
      <c r="B79" s="3" t="s">
        <v>111</v>
      </c>
      <c r="C79" s="3"/>
      <c r="D79" s="27"/>
      <c r="E79" s="4">
        <f>E78/B65</f>
        <v>0.3356605800214823</v>
      </c>
      <c r="F79" s="3">
        <f>1.24/B66</f>
        <v>0.21379310344827587</v>
      </c>
      <c r="G79" s="27"/>
      <c r="H79" s="3">
        <f>1</f>
        <v>1</v>
      </c>
      <c r="I79" s="27"/>
      <c r="J79" s="3"/>
      <c r="K79" s="27"/>
      <c r="L79" s="3"/>
      <c r="M79" s="27"/>
      <c r="N79" s="3">
        <f>0.33/11.2</f>
        <v>2.9464285714285717E-2</v>
      </c>
      <c r="O79" s="27"/>
      <c r="P79" s="3">
        <f>496/800</f>
        <v>0.62</v>
      </c>
      <c r="Q79" s="37"/>
      <c r="R79" s="19"/>
    </row>
    <row r="80" spans="1:18" ht="15.75" customHeight="1" x14ac:dyDescent="0.5"/>
    <row r="81" spans="1:18" ht="15.75" customHeight="1" x14ac:dyDescent="0.5">
      <c r="A81" s="11" t="s">
        <v>113</v>
      </c>
      <c r="B81" s="11" t="s">
        <v>1</v>
      </c>
      <c r="C81" s="11" t="s">
        <v>2</v>
      </c>
      <c r="D81" s="30"/>
      <c r="E81" s="12" t="s">
        <v>3</v>
      </c>
      <c r="F81" s="11" t="s">
        <v>4</v>
      </c>
      <c r="G81" s="30"/>
      <c r="H81" s="11" t="s">
        <v>5</v>
      </c>
      <c r="I81" s="30"/>
      <c r="J81" s="11" t="s">
        <v>6</v>
      </c>
      <c r="K81" s="30"/>
      <c r="L81" s="11" t="s">
        <v>7</v>
      </c>
      <c r="M81" s="30"/>
      <c r="N81" s="11" t="s">
        <v>8</v>
      </c>
      <c r="O81" s="30"/>
      <c r="P81" s="11" t="s">
        <v>9</v>
      </c>
      <c r="Q81" s="39"/>
      <c r="R81" s="21"/>
    </row>
    <row r="82" spans="1:18" ht="15.75" customHeight="1" x14ac:dyDescent="0.5">
      <c r="A82" s="120" t="s">
        <v>114</v>
      </c>
      <c r="B82" s="13" t="s">
        <v>115</v>
      </c>
      <c r="C82" s="13" t="s">
        <v>21</v>
      </c>
      <c r="D82" s="31"/>
      <c r="E82" s="13">
        <v>0.7142857142857143</v>
      </c>
      <c r="F82" s="13" t="s">
        <v>22</v>
      </c>
      <c r="G82" s="31"/>
      <c r="H82" s="13" t="s">
        <v>23</v>
      </c>
      <c r="I82" s="31"/>
      <c r="J82" s="13" t="s">
        <v>24</v>
      </c>
      <c r="K82" s="31"/>
      <c r="L82" s="13" t="s">
        <v>25</v>
      </c>
      <c r="M82" s="31"/>
      <c r="N82" s="13">
        <v>1.07</v>
      </c>
      <c r="O82" s="31"/>
      <c r="P82" s="13">
        <v>354</v>
      </c>
      <c r="Q82" s="40"/>
      <c r="R82" s="22"/>
    </row>
    <row r="83" spans="1:18" ht="15.75" customHeight="1" x14ac:dyDescent="0.5">
      <c r="A83" s="113"/>
      <c r="B83" s="13" t="s">
        <v>111</v>
      </c>
      <c r="C83" s="13"/>
      <c r="D83" s="31"/>
      <c r="E83" s="13">
        <v>0.46992481203007519</v>
      </c>
      <c r="F83" s="13">
        <v>0.55517241379310345</v>
      </c>
      <c r="G83" s="31"/>
      <c r="H83" s="13">
        <v>0.25794392523364484</v>
      </c>
      <c r="I83" s="31"/>
      <c r="J83" s="13"/>
      <c r="K83" s="31"/>
      <c r="L83" s="13">
        <v>0.75</v>
      </c>
      <c r="M83" s="31"/>
      <c r="N83" s="13">
        <v>9.5535714285714293E-2</v>
      </c>
      <c r="O83" s="31"/>
      <c r="P83" s="13">
        <v>0.4425</v>
      </c>
      <c r="Q83" s="40"/>
      <c r="R83" s="22"/>
    </row>
    <row r="84" spans="1:18" ht="15.75" customHeight="1" x14ac:dyDescent="0.5">
      <c r="A84" s="120" t="s">
        <v>116</v>
      </c>
      <c r="B84" s="13" t="s">
        <v>117</v>
      </c>
      <c r="C84" s="13">
        <v>1.4</v>
      </c>
      <c r="D84" s="31"/>
      <c r="E84" s="13">
        <v>0.7142857142857143</v>
      </c>
      <c r="F84" s="13" t="s">
        <v>16</v>
      </c>
      <c r="G84" s="31"/>
      <c r="H84" s="13" t="s">
        <v>17</v>
      </c>
      <c r="I84" s="31"/>
      <c r="J84" s="13" t="s">
        <v>18</v>
      </c>
      <c r="K84" s="31"/>
      <c r="L84" s="13" t="s">
        <v>12</v>
      </c>
      <c r="M84" s="31"/>
      <c r="N84" s="13">
        <v>2.9</v>
      </c>
      <c r="O84" s="31"/>
      <c r="P84" s="13" t="s">
        <v>12</v>
      </c>
      <c r="Q84" s="40"/>
      <c r="R84" s="22"/>
    </row>
    <row r="85" spans="1:18" ht="15.75" customHeight="1" x14ac:dyDescent="0.5">
      <c r="A85" s="113"/>
      <c r="B85" s="13" t="s">
        <v>111</v>
      </c>
      <c r="C85" s="13"/>
      <c r="D85" s="31"/>
      <c r="E85" s="13">
        <v>0.46992481203007519</v>
      </c>
      <c r="F85" s="13">
        <v>1</v>
      </c>
      <c r="G85" s="31"/>
      <c r="H85" s="13">
        <v>0.22803738317757008</v>
      </c>
      <c r="I85" s="31"/>
      <c r="J85" s="13"/>
      <c r="K85" s="31"/>
      <c r="L85" s="13"/>
      <c r="M85" s="31"/>
      <c r="N85" s="13">
        <v>0.25892857142857145</v>
      </c>
      <c r="O85" s="31"/>
      <c r="P85" s="13"/>
      <c r="Q85" s="40"/>
      <c r="R85" s="22"/>
    </row>
    <row r="86" spans="1:18" ht="15.75" customHeight="1" x14ac:dyDescent="0.5">
      <c r="A86" s="124" t="s">
        <v>118</v>
      </c>
      <c r="B86" s="13" t="s">
        <v>119</v>
      </c>
      <c r="C86" s="13">
        <v>1.71</v>
      </c>
      <c r="D86" s="31"/>
      <c r="E86" s="13">
        <f>1/1.71</f>
        <v>0.58479532163742687</v>
      </c>
      <c r="F86" s="13">
        <v>3.84</v>
      </c>
      <c r="G86" s="31"/>
      <c r="H86" s="13">
        <v>368</v>
      </c>
      <c r="I86" s="31"/>
      <c r="J86" s="13"/>
      <c r="K86" s="31"/>
      <c r="L86" s="13">
        <v>33.76</v>
      </c>
      <c r="M86" s="31"/>
      <c r="N86" s="13">
        <v>2.2200000000000002</v>
      </c>
      <c r="O86" s="31"/>
      <c r="P86" s="13">
        <v>482</v>
      </c>
      <c r="Q86" s="40"/>
      <c r="R86" s="22"/>
    </row>
    <row r="87" spans="1:18" ht="15.75" customHeight="1" x14ac:dyDescent="0.5">
      <c r="A87" s="125"/>
      <c r="B87" s="13" t="s">
        <v>111</v>
      </c>
      <c r="C87" s="13"/>
      <c r="D87" s="31"/>
      <c r="E87" s="13">
        <f>E86/1.52</f>
        <v>0.38473376423514927</v>
      </c>
      <c r="F87" s="13">
        <f>F86/5.8</f>
        <v>0.66206896551724137</v>
      </c>
      <c r="G87" s="31"/>
      <c r="H87" s="13">
        <f>H86/B67</f>
        <v>0.68785046728971966</v>
      </c>
      <c r="I87" s="31"/>
      <c r="J87" s="13"/>
      <c r="K87" s="31"/>
      <c r="L87" s="13">
        <v>0.33800000000000002</v>
      </c>
      <c r="M87" s="31"/>
      <c r="N87" s="13">
        <f>N86/B69</f>
        <v>0.19821428571428573</v>
      </c>
      <c r="O87" s="31"/>
      <c r="P87" s="13">
        <f>P86/B70</f>
        <v>0.60250000000000004</v>
      </c>
      <c r="Q87" s="40"/>
      <c r="R87" s="22"/>
    </row>
    <row r="88" spans="1:18" ht="15.75" customHeight="1" x14ac:dyDescent="0.5">
      <c r="A88" s="125"/>
      <c r="B88" s="13" t="s">
        <v>120</v>
      </c>
      <c r="C88" s="14">
        <v>1.92</v>
      </c>
      <c r="D88" s="32"/>
      <c r="E88" s="14">
        <f>1/C88</f>
        <v>0.52083333333333337</v>
      </c>
      <c r="F88" s="14">
        <v>2.1</v>
      </c>
      <c r="G88" s="32"/>
      <c r="H88" s="14">
        <v>155</v>
      </c>
      <c r="I88" s="32"/>
      <c r="J88" s="14"/>
      <c r="K88" s="32"/>
      <c r="L88" s="14">
        <v>39.380000000000003</v>
      </c>
      <c r="M88" s="32"/>
      <c r="N88" s="14">
        <v>10.88</v>
      </c>
      <c r="O88" s="32"/>
      <c r="P88" s="14">
        <v>380</v>
      </c>
      <c r="Q88" s="41"/>
      <c r="R88" s="23"/>
    </row>
    <row r="89" spans="1:18" ht="15.75" customHeight="1" x14ac:dyDescent="0.5">
      <c r="A89" s="126"/>
      <c r="B89" s="13" t="s">
        <v>111</v>
      </c>
      <c r="C89" s="14"/>
      <c r="D89" s="32"/>
      <c r="E89" s="15">
        <f>E88/B65</f>
        <v>0.34265350877192985</v>
      </c>
      <c r="F89" s="14">
        <f>F88/B66</f>
        <v>0.36206896551724138</v>
      </c>
      <c r="G89" s="32"/>
      <c r="H89" s="14">
        <f>155/B67</f>
        <v>0.28971962616822428</v>
      </c>
      <c r="I89" s="32"/>
      <c r="J89" s="14"/>
      <c r="K89" s="32"/>
      <c r="L89" s="14">
        <v>0.39</v>
      </c>
      <c r="M89" s="32"/>
      <c r="N89" s="14">
        <f>10.88/11.2</f>
        <v>0.97142857142857153</v>
      </c>
      <c r="O89" s="32"/>
      <c r="P89" s="14">
        <f>380/800</f>
        <v>0.47499999999999998</v>
      </c>
      <c r="Q89" s="41"/>
      <c r="R89" s="23"/>
    </row>
    <row r="90" spans="1:18" ht="15.75" customHeight="1" x14ac:dyDescent="0.5">
      <c r="A90" s="127" t="s">
        <v>84</v>
      </c>
      <c r="B90" s="6" t="s">
        <v>80</v>
      </c>
      <c r="C90" s="6">
        <v>1.79</v>
      </c>
      <c r="D90" s="28"/>
      <c r="E90" s="7">
        <f>1/C90</f>
        <v>0.55865921787709494</v>
      </c>
      <c r="F90" s="6">
        <v>3.91</v>
      </c>
      <c r="G90" s="28"/>
      <c r="H90" s="6">
        <v>181</v>
      </c>
      <c r="I90" s="28"/>
      <c r="J90" s="6">
        <v>2</v>
      </c>
      <c r="K90" s="28"/>
      <c r="L90" s="6">
        <v>39</v>
      </c>
      <c r="M90" s="28"/>
      <c r="N90" s="6">
        <v>7.0000000000000007E-2</v>
      </c>
      <c r="O90" s="28"/>
      <c r="P90" s="6">
        <v>13</v>
      </c>
      <c r="Q90" s="38"/>
      <c r="R90" s="20"/>
    </row>
    <row r="91" spans="1:18" ht="15.75" customHeight="1" x14ac:dyDescent="0.5">
      <c r="A91" s="113"/>
      <c r="B91" s="6" t="s">
        <v>111</v>
      </c>
      <c r="C91" s="6"/>
      <c r="D91" s="28"/>
      <c r="E91" s="7">
        <f>0.56/1.52</f>
        <v>0.36842105263157898</v>
      </c>
      <c r="F91" s="6">
        <f>F90/5.8</f>
        <v>0.67413793103448283</v>
      </c>
      <c r="G91" s="28"/>
      <c r="H91" s="6">
        <f>181/535</f>
        <v>0.3383177570093458</v>
      </c>
      <c r="I91" s="28"/>
      <c r="J91" s="6"/>
      <c r="K91" s="28"/>
      <c r="L91" s="6">
        <v>0.39</v>
      </c>
      <c r="M91" s="28"/>
      <c r="N91" s="6">
        <f>N90/11.2</f>
        <v>6.2500000000000012E-3</v>
      </c>
      <c r="O91" s="28"/>
      <c r="P91" s="6">
        <f>P90/800</f>
        <v>1.6250000000000001E-2</v>
      </c>
      <c r="Q91" s="38"/>
      <c r="R91" s="20"/>
    </row>
    <row r="92" spans="1:18" ht="15.75" customHeight="1" x14ac:dyDescent="0.5">
      <c r="A92" s="127" t="s">
        <v>92</v>
      </c>
      <c r="B92" s="6" t="s">
        <v>80</v>
      </c>
      <c r="C92" s="6">
        <v>1.83</v>
      </c>
      <c r="D92" s="28"/>
      <c r="E92" s="7">
        <f>1/C92</f>
        <v>0.54644808743169393</v>
      </c>
      <c r="F92" s="6">
        <v>2.64</v>
      </c>
      <c r="G92" s="28"/>
      <c r="H92" s="6">
        <v>237</v>
      </c>
      <c r="I92" s="28"/>
      <c r="J92" s="6">
        <v>1</v>
      </c>
      <c r="K92" s="28"/>
      <c r="L92" s="6" t="s">
        <v>12</v>
      </c>
      <c r="M92" s="28"/>
      <c r="N92" s="6">
        <v>0.11</v>
      </c>
      <c r="O92" s="28"/>
      <c r="P92" s="6">
        <v>55</v>
      </c>
      <c r="Q92" s="38"/>
      <c r="R92" s="20"/>
    </row>
    <row r="93" spans="1:18" ht="15.75" customHeight="1" x14ac:dyDescent="0.5">
      <c r="A93" s="113"/>
      <c r="B93" s="6" t="s">
        <v>111</v>
      </c>
      <c r="C93" s="6"/>
      <c r="D93" s="28"/>
      <c r="E93" s="7">
        <f>0.55/1.52</f>
        <v>0.36184210526315791</v>
      </c>
      <c r="F93" s="6">
        <f>F92/5.8</f>
        <v>0.45517241379310347</v>
      </c>
      <c r="G93" s="28"/>
      <c r="H93" s="6">
        <f>181/535</f>
        <v>0.3383177570093458</v>
      </c>
      <c r="I93" s="28"/>
      <c r="J93" s="6"/>
      <c r="K93" s="28"/>
      <c r="L93" s="6"/>
      <c r="M93" s="28"/>
      <c r="N93" s="6">
        <f>N92/11.2</f>
        <v>9.821428571428573E-3</v>
      </c>
      <c r="O93" s="28"/>
      <c r="P93" s="6">
        <f>P92/800</f>
        <v>6.8750000000000006E-2</v>
      </c>
      <c r="Q93" s="38"/>
      <c r="R93" s="20"/>
    </row>
    <row r="94" spans="1:18" ht="15.75" customHeight="1" x14ac:dyDescent="0.5">
      <c r="A94" s="127" t="s">
        <v>98</v>
      </c>
      <c r="B94" s="6" t="s">
        <v>94</v>
      </c>
      <c r="C94" s="6">
        <v>2.19</v>
      </c>
      <c r="D94" s="28"/>
      <c r="E94" s="7">
        <f>1/C94</f>
        <v>0.45662100456621008</v>
      </c>
      <c r="F94" s="6">
        <v>1.61</v>
      </c>
      <c r="G94" s="28"/>
      <c r="H94" s="6">
        <v>420</v>
      </c>
      <c r="I94" s="28"/>
      <c r="J94" s="6">
        <v>0.3</v>
      </c>
      <c r="K94" s="28"/>
      <c r="L94" s="6" t="s">
        <v>12</v>
      </c>
      <c r="M94" s="28"/>
      <c r="N94" s="6">
        <v>0.45</v>
      </c>
      <c r="O94" s="28"/>
      <c r="P94" s="6">
        <v>600</v>
      </c>
      <c r="Q94" s="38"/>
      <c r="R94" s="20"/>
    </row>
    <row r="95" spans="1:18" ht="15.75" customHeight="1" x14ac:dyDescent="0.5">
      <c r="A95" s="113"/>
      <c r="B95" s="6" t="s">
        <v>111</v>
      </c>
      <c r="C95" s="6"/>
      <c r="D95" s="28"/>
      <c r="E95" s="7">
        <f>0.46/1.52</f>
        <v>0.30263157894736842</v>
      </c>
      <c r="F95" s="6">
        <f>F94/5.8</f>
        <v>0.27758620689655172</v>
      </c>
      <c r="G95" s="28"/>
      <c r="H95" s="6">
        <f>181/535</f>
        <v>0.3383177570093458</v>
      </c>
      <c r="I95" s="28"/>
      <c r="J95" s="6"/>
      <c r="K95" s="28"/>
      <c r="L95" s="6"/>
      <c r="M95" s="28"/>
      <c r="N95" s="6">
        <f>N94/11.2</f>
        <v>4.0178571428571432E-2</v>
      </c>
      <c r="O95" s="28"/>
      <c r="P95" s="6">
        <f>P94/800</f>
        <v>0.75</v>
      </c>
      <c r="Q95" s="38"/>
      <c r="R95" s="20"/>
    </row>
    <row r="96" spans="1:18" ht="15.75" customHeight="1" x14ac:dyDescent="0.5">
      <c r="A96" s="127" t="s">
        <v>102</v>
      </c>
      <c r="B96" s="6" t="s">
        <v>94</v>
      </c>
      <c r="C96" s="6">
        <v>2.2000000000000002</v>
      </c>
      <c r="D96" s="28"/>
      <c r="E96" s="7">
        <f>1/C96</f>
        <v>0.45454545454545453</v>
      </c>
      <c r="F96" s="6">
        <v>1.68</v>
      </c>
      <c r="G96" s="28"/>
      <c r="H96" s="6">
        <v>425</v>
      </c>
      <c r="I96" s="28"/>
      <c r="J96" s="6">
        <v>0.4</v>
      </c>
      <c r="K96" s="28"/>
      <c r="L96" s="6" t="s">
        <v>12</v>
      </c>
      <c r="M96" s="28"/>
      <c r="N96" s="6">
        <v>0.67</v>
      </c>
      <c r="O96" s="28"/>
      <c r="P96" s="6">
        <v>800</v>
      </c>
      <c r="Q96" s="38"/>
      <c r="R96" s="20"/>
    </row>
    <row r="97" spans="1:18" ht="15.75" customHeight="1" x14ac:dyDescent="0.5">
      <c r="A97" s="113"/>
      <c r="B97" s="6" t="s">
        <v>111</v>
      </c>
      <c r="C97" s="6"/>
      <c r="D97" s="28"/>
      <c r="E97" s="7">
        <f>0.45/1.52</f>
        <v>0.29605263157894735</v>
      </c>
      <c r="F97" s="6">
        <f>F96/5.8</f>
        <v>0.28965517241379313</v>
      </c>
      <c r="G97" s="28"/>
      <c r="H97" s="6">
        <f>181/535</f>
        <v>0.3383177570093458</v>
      </c>
      <c r="I97" s="28"/>
      <c r="J97" s="6"/>
      <c r="K97" s="28"/>
      <c r="L97" s="6"/>
      <c r="M97" s="28"/>
      <c r="N97" s="6">
        <f>N96/11.2</f>
        <v>5.9821428571428581E-2</v>
      </c>
      <c r="O97" s="28"/>
      <c r="P97" s="6">
        <f>P96/800</f>
        <v>1</v>
      </c>
      <c r="Q97" s="38"/>
      <c r="R97" s="20"/>
    </row>
    <row r="98" spans="1:18" ht="15.75" customHeight="1" x14ac:dyDescent="0.5">
      <c r="E98" s="9"/>
    </row>
    <row r="99" spans="1:18" ht="15.75" customHeight="1" x14ac:dyDescent="0.5">
      <c r="E99" s="9"/>
      <c r="N99" s="16" t="s">
        <v>121</v>
      </c>
      <c r="O99" s="43"/>
    </row>
    <row r="100" spans="1:18" ht="15.75" customHeight="1" x14ac:dyDescent="0.5">
      <c r="E100" s="9"/>
    </row>
    <row r="101" spans="1:18" ht="15.75" customHeight="1" x14ac:dyDescent="0.5">
      <c r="E101" s="9"/>
    </row>
    <row r="102" spans="1:18" ht="15.75" customHeight="1" x14ac:dyDescent="0.5">
      <c r="E102" s="9"/>
    </row>
    <row r="103" spans="1:18" ht="15.75" customHeight="1" x14ac:dyDescent="0.5">
      <c r="E103" s="9"/>
    </row>
    <row r="104" spans="1:18" ht="15.75" customHeight="1" x14ac:dyDescent="0.5">
      <c r="E104" s="9"/>
    </row>
    <row r="105" spans="1:18" ht="15.75" customHeight="1" x14ac:dyDescent="0.5">
      <c r="E105" s="9"/>
    </row>
    <row r="106" spans="1:18" ht="15.75" customHeight="1" x14ac:dyDescent="0.5">
      <c r="E106" s="9"/>
    </row>
    <row r="107" spans="1:18" ht="15.75" customHeight="1" x14ac:dyDescent="0.5">
      <c r="E107" s="9"/>
    </row>
    <row r="108" spans="1:18" ht="15.75" customHeight="1" x14ac:dyDescent="0.5">
      <c r="E108" s="9"/>
    </row>
    <row r="109" spans="1:18" ht="15.75" customHeight="1" x14ac:dyDescent="0.5">
      <c r="E109" s="9"/>
    </row>
    <row r="110" spans="1:18" ht="15.75" customHeight="1" x14ac:dyDescent="0.5">
      <c r="E110" s="9"/>
    </row>
    <row r="111" spans="1:18" ht="15.75" customHeight="1" x14ac:dyDescent="0.5">
      <c r="E111" s="9"/>
    </row>
    <row r="112" spans="1:18" ht="15.75" customHeight="1" x14ac:dyDescent="0.5">
      <c r="E112" s="9"/>
    </row>
    <row r="113" spans="5:5" ht="15.75" customHeight="1" x14ac:dyDescent="0.5">
      <c r="E113" s="9"/>
    </row>
    <row r="114" spans="5:5" ht="15.75" customHeight="1" x14ac:dyDescent="0.5">
      <c r="E114" s="9"/>
    </row>
    <row r="115" spans="5:5" ht="15.75" customHeight="1" x14ac:dyDescent="0.5">
      <c r="E115" s="9"/>
    </row>
    <row r="116" spans="5:5" ht="15.75" customHeight="1" x14ac:dyDescent="0.5">
      <c r="E116" s="9"/>
    </row>
    <row r="117" spans="5:5" ht="15.75" customHeight="1" x14ac:dyDescent="0.5">
      <c r="E117" s="9"/>
    </row>
    <row r="118" spans="5:5" ht="15.75" customHeight="1" x14ac:dyDescent="0.5">
      <c r="E118" s="9"/>
    </row>
    <row r="119" spans="5:5" ht="15.75" customHeight="1" x14ac:dyDescent="0.5">
      <c r="E119" s="9"/>
    </row>
    <row r="120" spans="5:5" ht="15.75" customHeight="1" x14ac:dyDescent="0.5">
      <c r="E120" s="9"/>
    </row>
    <row r="121" spans="5:5" ht="15.75" customHeight="1" x14ac:dyDescent="0.5">
      <c r="E121" s="9"/>
    </row>
    <row r="122" spans="5:5" ht="15.75" customHeight="1" x14ac:dyDescent="0.5">
      <c r="E122" s="9"/>
    </row>
    <row r="123" spans="5:5" ht="15.75" customHeight="1" x14ac:dyDescent="0.5">
      <c r="E123" s="9"/>
    </row>
    <row r="124" spans="5:5" ht="15.75" customHeight="1" x14ac:dyDescent="0.5">
      <c r="E124" s="9"/>
    </row>
    <row r="125" spans="5:5" ht="15.75" customHeight="1" x14ac:dyDescent="0.5">
      <c r="E125" s="9"/>
    </row>
    <row r="126" spans="5:5" ht="15.75" customHeight="1" x14ac:dyDescent="0.5">
      <c r="E126" s="9"/>
    </row>
    <row r="127" spans="5:5" ht="15.75" customHeight="1" x14ac:dyDescent="0.5">
      <c r="E127" s="9"/>
    </row>
    <row r="128" spans="5:5" ht="15.75" customHeight="1" x14ac:dyDescent="0.5">
      <c r="E128" s="9"/>
    </row>
    <row r="129" spans="5:5" ht="15.75" customHeight="1" x14ac:dyDescent="0.5">
      <c r="E129" s="9"/>
    </row>
    <row r="130" spans="5:5" ht="15.75" customHeight="1" x14ac:dyDescent="0.5">
      <c r="E130" s="9"/>
    </row>
    <row r="131" spans="5:5" ht="15.75" customHeight="1" x14ac:dyDescent="0.5">
      <c r="E131" s="9"/>
    </row>
    <row r="132" spans="5:5" ht="15.75" customHeight="1" x14ac:dyDescent="0.5">
      <c r="E132" s="9"/>
    </row>
    <row r="133" spans="5:5" ht="15.75" customHeight="1" x14ac:dyDescent="0.5">
      <c r="E133" s="9"/>
    </row>
    <row r="134" spans="5:5" ht="15.75" customHeight="1" x14ac:dyDescent="0.5">
      <c r="E134" s="9"/>
    </row>
    <row r="135" spans="5:5" ht="15.75" customHeight="1" x14ac:dyDescent="0.5">
      <c r="E135" s="9"/>
    </row>
    <row r="136" spans="5:5" ht="15.75" customHeight="1" x14ac:dyDescent="0.5">
      <c r="E136" s="9"/>
    </row>
    <row r="137" spans="5:5" ht="15.75" customHeight="1" x14ac:dyDescent="0.5">
      <c r="E137" s="9"/>
    </row>
    <row r="138" spans="5:5" ht="15.75" customHeight="1" x14ac:dyDescent="0.5">
      <c r="E138" s="9"/>
    </row>
    <row r="139" spans="5:5" ht="15.75" customHeight="1" x14ac:dyDescent="0.5">
      <c r="E139" s="9"/>
    </row>
    <row r="140" spans="5:5" ht="15.75" customHeight="1" x14ac:dyDescent="0.5">
      <c r="E140" s="9"/>
    </row>
    <row r="141" spans="5:5" ht="15.75" customHeight="1" x14ac:dyDescent="0.5">
      <c r="E141" s="9"/>
    </row>
    <row r="142" spans="5:5" ht="15.75" customHeight="1" x14ac:dyDescent="0.5">
      <c r="E142" s="9"/>
    </row>
    <row r="143" spans="5:5" ht="15.75" customHeight="1" x14ac:dyDescent="0.5">
      <c r="E143" s="9"/>
    </row>
    <row r="144" spans="5:5" ht="15.75" customHeight="1" x14ac:dyDescent="0.5">
      <c r="E144" s="9"/>
    </row>
    <row r="145" spans="5:5" ht="15.75" customHeight="1" x14ac:dyDescent="0.5">
      <c r="E145" s="9"/>
    </row>
    <row r="146" spans="5:5" ht="15.75" customHeight="1" x14ac:dyDescent="0.5">
      <c r="E146" s="9"/>
    </row>
    <row r="147" spans="5:5" ht="15.75" customHeight="1" x14ac:dyDescent="0.5">
      <c r="E147" s="9"/>
    </row>
    <row r="148" spans="5:5" ht="15.75" customHeight="1" x14ac:dyDescent="0.5">
      <c r="E148" s="9"/>
    </row>
    <row r="149" spans="5:5" ht="15.75" customHeight="1" x14ac:dyDescent="0.5">
      <c r="E149" s="9"/>
    </row>
    <row r="150" spans="5:5" ht="15.75" customHeight="1" x14ac:dyDescent="0.5">
      <c r="E150" s="9"/>
    </row>
    <row r="151" spans="5:5" ht="15.75" customHeight="1" x14ac:dyDescent="0.5">
      <c r="E151" s="9"/>
    </row>
    <row r="152" spans="5:5" ht="15.75" customHeight="1" x14ac:dyDescent="0.5">
      <c r="E152" s="9"/>
    </row>
    <row r="153" spans="5:5" ht="15.75" customHeight="1" x14ac:dyDescent="0.5">
      <c r="E153" s="9"/>
    </row>
    <row r="154" spans="5:5" ht="15.75" customHeight="1" x14ac:dyDescent="0.5">
      <c r="E154" s="9"/>
    </row>
    <row r="155" spans="5:5" ht="15.75" customHeight="1" x14ac:dyDescent="0.5">
      <c r="E155" s="9"/>
    </row>
    <row r="156" spans="5:5" ht="15.75" customHeight="1" x14ac:dyDescent="0.5">
      <c r="E156" s="9"/>
    </row>
    <row r="157" spans="5:5" ht="15.75" customHeight="1" x14ac:dyDescent="0.5">
      <c r="E157" s="9"/>
    </row>
    <row r="158" spans="5:5" ht="15.75" customHeight="1" x14ac:dyDescent="0.5">
      <c r="E158" s="9"/>
    </row>
    <row r="159" spans="5:5" ht="15.75" customHeight="1" x14ac:dyDescent="0.5">
      <c r="E159" s="9"/>
    </row>
    <row r="160" spans="5:5" ht="15.75" customHeight="1" x14ac:dyDescent="0.5">
      <c r="E160" s="9"/>
    </row>
    <row r="161" spans="5:5" ht="15.75" customHeight="1" x14ac:dyDescent="0.5">
      <c r="E161" s="9"/>
    </row>
    <row r="162" spans="5:5" ht="15.75" customHeight="1" x14ac:dyDescent="0.5">
      <c r="E162" s="9"/>
    </row>
    <row r="163" spans="5:5" ht="15.75" customHeight="1" x14ac:dyDescent="0.5">
      <c r="E163" s="9"/>
    </row>
    <row r="164" spans="5:5" ht="15.75" customHeight="1" x14ac:dyDescent="0.5">
      <c r="E164" s="9"/>
    </row>
    <row r="165" spans="5:5" ht="15.75" customHeight="1" x14ac:dyDescent="0.5">
      <c r="E165" s="9"/>
    </row>
    <row r="166" spans="5:5" ht="15.75" customHeight="1" x14ac:dyDescent="0.5">
      <c r="E166" s="9"/>
    </row>
    <row r="167" spans="5:5" ht="15.75" customHeight="1" x14ac:dyDescent="0.5">
      <c r="E167" s="9"/>
    </row>
    <row r="168" spans="5:5" ht="15.75" customHeight="1" x14ac:dyDescent="0.5">
      <c r="E168" s="9"/>
    </row>
    <row r="169" spans="5:5" ht="15.75" customHeight="1" x14ac:dyDescent="0.5">
      <c r="E169" s="9"/>
    </row>
    <row r="170" spans="5:5" ht="15.75" customHeight="1" x14ac:dyDescent="0.5">
      <c r="E170" s="9"/>
    </row>
    <row r="171" spans="5:5" ht="15.75" customHeight="1" x14ac:dyDescent="0.5">
      <c r="E171" s="9"/>
    </row>
    <row r="172" spans="5:5" ht="15.75" customHeight="1" x14ac:dyDescent="0.5">
      <c r="E172" s="9"/>
    </row>
    <row r="173" spans="5:5" ht="15.75" customHeight="1" x14ac:dyDescent="0.5">
      <c r="E173" s="9"/>
    </row>
    <row r="174" spans="5:5" ht="15.75" customHeight="1" x14ac:dyDescent="0.5">
      <c r="E174" s="9"/>
    </row>
    <row r="175" spans="5:5" ht="15.75" customHeight="1" x14ac:dyDescent="0.5">
      <c r="E175" s="9"/>
    </row>
    <row r="176" spans="5:5" ht="15.75" customHeight="1" x14ac:dyDescent="0.5">
      <c r="E176" s="9"/>
    </row>
    <row r="177" spans="5:5" ht="15.75" customHeight="1" x14ac:dyDescent="0.5">
      <c r="E177" s="9"/>
    </row>
    <row r="178" spans="5:5" ht="15.75" customHeight="1" x14ac:dyDescent="0.5">
      <c r="E178" s="9"/>
    </row>
    <row r="179" spans="5:5" ht="15.75" customHeight="1" x14ac:dyDescent="0.5">
      <c r="E179" s="9"/>
    </row>
    <row r="180" spans="5:5" ht="15.75" customHeight="1" x14ac:dyDescent="0.5">
      <c r="E180" s="9"/>
    </row>
    <row r="181" spans="5:5" ht="15.75" customHeight="1" x14ac:dyDescent="0.5">
      <c r="E181" s="9"/>
    </row>
    <row r="182" spans="5:5" ht="15.75" customHeight="1" x14ac:dyDescent="0.5">
      <c r="E182" s="9"/>
    </row>
    <row r="183" spans="5:5" ht="15.75" customHeight="1" x14ac:dyDescent="0.5">
      <c r="E183" s="9"/>
    </row>
    <row r="184" spans="5:5" ht="15.75" customHeight="1" x14ac:dyDescent="0.5">
      <c r="E184" s="9"/>
    </row>
    <row r="185" spans="5:5" ht="15.75" customHeight="1" x14ac:dyDescent="0.5">
      <c r="E185" s="9"/>
    </row>
    <row r="186" spans="5:5" ht="15.75" customHeight="1" x14ac:dyDescent="0.5">
      <c r="E186" s="9"/>
    </row>
    <row r="187" spans="5:5" ht="15.75" customHeight="1" x14ac:dyDescent="0.5">
      <c r="E187" s="9"/>
    </row>
    <row r="188" spans="5:5" ht="15.75" customHeight="1" x14ac:dyDescent="0.5">
      <c r="E188" s="9"/>
    </row>
    <row r="189" spans="5:5" ht="15.75" customHeight="1" x14ac:dyDescent="0.5">
      <c r="E189" s="9"/>
    </row>
    <row r="190" spans="5:5" ht="15.75" customHeight="1" x14ac:dyDescent="0.5">
      <c r="E190" s="9"/>
    </row>
    <row r="191" spans="5:5" ht="15.75" customHeight="1" x14ac:dyDescent="0.5">
      <c r="E191" s="9"/>
    </row>
    <row r="192" spans="5:5" ht="15.75" customHeight="1" x14ac:dyDescent="0.5">
      <c r="E192" s="9"/>
    </row>
    <row r="193" spans="5:5" ht="15.75" customHeight="1" x14ac:dyDescent="0.5">
      <c r="E193" s="9"/>
    </row>
    <row r="194" spans="5:5" ht="15.75" customHeight="1" x14ac:dyDescent="0.5">
      <c r="E194" s="9"/>
    </row>
    <row r="195" spans="5:5" ht="15.75" customHeight="1" x14ac:dyDescent="0.5">
      <c r="E195" s="9"/>
    </row>
    <row r="196" spans="5:5" ht="15.75" customHeight="1" x14ac:dyDescent="0.5">
      <c r="E196" s="9"/>
    </row>
    <row r="197" spans="5:5" ht="15.75" customHeight="1" x14ac:dyDescent="0.5">
      <c r="E197" s="9"/>
    </row>
    <row r="198" spans="5:5" ht="15.75" customHeight="1" x14ac:dyDescent="0.5">
      <c r="E198" s="9"/>
    </row>
    <row r="199" spans="5:5" ht="15.75" customHeight="1" x14ac:dyDescent="0.5">
      <c r="E199" s="9"/>
    </row>
    <row r="200" spans="5:5" ht="15.75" customHeight="1" x14ac:dyDescent="0.5">
      <c r="E200" s="9"/>
    </row>
    <row r="201" spans="5:5" ht="15.75" customHeight="1" x14ac:dyDescent="0.5">
      <c r="E201" s="9"/>
    </row>
    <row r="202" spans="5:5" ht="15.75" customHeight="1" x14ac:dyDescent="0.5">
      <c r="E202" s="9"/>
    </row>
    <row r="203" spans="5:5" ht="15.75" customHeight="1" x14ac:dyDescent="0.5">
      <c r="E203" s="9"/>
    </row>
    <row r="204" spans="5:5" ht="15.75" customHeight="1" x14ac:dyDescent="0.5">
      <c r="E204" s="9"/>
    </row>
    <row r="205" spans="5:5" ht="15.75" customHeight="1" x14ac:dyDescent="0.5">
      <c r="E205" s="9"/>
    </row>
    <row r="206" spans="5:5" ht="15.75" customHeight="1" x14ac:dyDescent="0.5">
      <c r="E206" s="9"/>
    </row>
    <row r="207" spans="5:5" ht="15.75" customHeight="1" x14ac:dyDescent="0.5">
      <c r="E207" s="9"/>
    </row>
    <row r="208" spans="5:5" ht="15.75" customHeight="1" x14ac:dyDescent="0.5">
      <c r="E208" s="9"/>
    </row>
    <row r="209" spans="5:5" ht="15.75" customHeight="1" x14ac:dyDescent="0.5">
      <c r="E209" s="9"/>
    </row>
    <row r="210" spans="5:5" ht="15.75" customHeight="1" x14ac:dyDescent="0.5">
      <c r="E210" s="9"/>
    </row>
    <row r="211" spans="5:5" ht="15.75" customHeight="1" x14ac:dyDescent="0.5">
      <c r="E211" s="9"/>
    </row>
    <row r="212" spans="5:5" ht="15.75" customHeight="1" x14ac:dyDescent="0.5">
      <c r="E212" s="9"/>
    </row>
    <row r="213" spans="5:5" ht="15.75" customHeight="1" x14ac:dyDescent="0.5">
      <c r="E213" s="9"/>
    </row>
    <row r="214" spans="5:5" ht="15.75" customHeight="1" x14ac:dyDescent="0.5">
      <c r="E214" s="9"/>
    </row>
    <row r="215" spans="5:5" ht="15.75" customHeight="1" x14ac:dyDescent="0.5">
      <c r="E215" s="9"/>
    </row>
    <row r="216" spans="5:5" ht="15.75" customHeight="1" x14ac:dyDescent="0.5">
      <c r="E216" s="9"/>
    </row>
    <row r="217" spans="5:5" ht="15.75" customHeight="1" x14ac:dyDescent="0.5">
      <c r="E217" s="9"/>
    </row>
    <row r="218" spans="5:5" ht="15.75" customHeight="1" x14ac:dyDescent="0.5">
      <c r="E218" s="9"/>
    </row>
    <row r="219" spans="5:5" ht="15.75" customHeight="1" x14ac:dyDescent="0.5">
      <c r="E219" s="9"/>
    </row>
    <row r="220" spans="5:5" ht="15.75" customHeight="1" x14ac:dyDescent="0.5">
      <c r="E220" s="9"/>
    </row>
    <row r="221" spans="5:5" ht="15.75" customHeight="1" x14ac:dyDescent="0.5">
      <c r="E221" s="9"/>
    </row>
    <row r="222" spans="5:5" ht="15.75" customHeight="1" x14ac:dyDescent="0.5">
      <c r="E222" s="9"/>
    </row>
    <row r="223" spans="5:5" ht="15.75" customHeight="1" x14ac:dyDescent="0.5">
      <c r="E223" s="9"/>
    </row>
    <row r="224" spans="5:5" ht="15.75" customHeight="1" x14ac:dyDescent="0.5">
      <c r="E224" s="9"/>
    </row>
    <row r="225" spans="5:5" ht="15.75" customHeight="1" x14ac:dyDescent="0.5">
      <c r="E225" s="9"/>
    </row>
    <row r="226" spans="5:5" ht="15.75" customHeight="1" x14ac:dyDescent="0.5">
      <c r="E226" s="9"/>
    </row>
    <row r="227" spans="5:5" ht="15.75" customHeight="1" x14ac:dyDescent="0.5">
      <c r="E227" s="9"/>
    </row>
    <row r="228" spans="5:5" ht="15.75" customHeight="1" x14ac:dyDescent="0.5">
      <c r="E228" s="9"/>
    </row>
    <row r="229" spans="5:5" ht="15.75" customHeight="1" x14ac:dyDescent="0.5">
      <c r="E229" s="9"/>
    </row>
    <row r="230" spans="5:5" ht="15.75" customHeight="1" x14ac:dyDescent="0.5">
      <c r="E230" s="9"/>
    </row>
    <row r="231" spans="5:5" ht="15.75" customHeight="1" x14ac:dyDescent="0.5">
      <c r="E231" s="9"/>
    </row>
    <row r="232" spans="5:5" ht="15.75" customHeight="1" x14ac:dyDescent="0.5">
      <c r="E232" s="9"/>
    </row>
    <row r="233" spans="5:5" ht="15.75" customHeight="1" x14ac:dyDescent="0.5">
      <c r="E233" s="9"/>
    </row>
    <row r="234" spans="5:5" ht="15.75" customHeight="1" x14ac:dyDescent="0.5">
      <c r="E234" s="9"/>
    </row>
    <row r="235" spans="5:5" ht="15.75" customHeight="1" x14ac:dyDescent="0.5">
      <c r="E235" s="9"/>
    </row>
    <row r="236" spans="5:5" ht="15.75" customHeight="1" x14ac:dyDescent="0.5">
      <c r="E236" s="9"/>
    </row>
    <row r="237" spans="5:5" ht="15.75" customHeight="1" x14ac:dyDescent="0.5">
      <c r="E237" s="9"/>
    </row>
    <row r="238" spans="5:5" ht="15.75" customHeight="1" x14ac:dyDescent="0.5">
      <c r="E238" s="9"/>
    </row>
    <row r="239" spans="5:5" ht="15.75" customHeight="1" x14ac:dyDescent="0.5">
      <c r="E239" s="9"/>
    </row>
    <row r="240" spans="5:5" ht="15.75" customHeight="1" x14ac:dyDescent="0.5">
      <c r="E240" s="9"/>
    </row>
    <row r="241" spans="5:5" ht="15.75" customHeight="1" x14ac:dyDescent="0.5">
      <c r="E241" s="9"/>
    </row>
    <row r="242" spans="5:5" ht="15.75" customHeight="1" x14ac:dyDescent="0.5">
      <c r="E242" s="9"/>
    </row>
    <row r="243" spans="5:5" ht="15.75" customHeight="1" x14ac:dyDescent="0.5">
      <c r="E243" s="9"/>
    </row>
    <row r="244" spans="5:5" ht="15.75" customHeight="1" x14ac:dyDescent="0.5">
      <c r="E244" s="9"/>
    </row>
    <row r="245" spans="5:5" ht="15.75" customHeight="1" x14ac:dyDescent="0.5">
      <c r="E245" s="9"/>
    </row>
    <row r="246" spans="5:5" ht="15.75" customHeight="1" x14ac:dyDescent="0.5">
      <c r="E246" s="9"/>
    </row>
    <row r="247" spans="5:5" ht="15.75" customHeight="1" x14ac:dyDescent="0.5">
      <c r="E247" s="9"/>
    </row>
    <row r="248" spans="5:5" ht="15.75" customHeight="1" x14ac:dyDescent="0.5">
      <c r="E248" s="9"/>
    </row>
    <row r="249" spans="5:5" ht="15.75" customHeight="1" x14ac:dyDescent="0.5">
      <c r="E249" s="9"/>
    </row>
    <row r="250" spans="5:5" ht="15.75" customHeight="1" x14ac:dyDescent="0.5">
      <c r="E250" s="9"/>
    </row>
    <row r="251" spans="5:5" ht="15.75" customHeight="1" x14ac:dyDescent="0.5">
      <c r="E251" s="9"/>
    </row>
    <row r="252" spans="5:5" ht="15.75" customHeight="1" x14ac:dyDescent="0.5">
      <c r="E252" s="9"/>
    </row>
    <row r="253" spans="5:5" ht="15.75" customHeight="1" x14ac:dyDescent="0.5">
      <c r="E253" s="9"/>
    </row>
    <row r="254" spans="5:5" ht="15.75" customHeight="1" x14ac:dyDescent="0.5">
      <c r="E254" s="9"/>
    </row>
    <row r="255" spans="5:5" ht="15.75" customHeight="1" x14ac:dyDescent="0.5">
      <c r="E255" s="9"/>
    </row>
    <row r="256" spans="5:5" ht="15.75" customHeight="1" x14ac:dyDescent="0.5">
      <c r="E256" s="9"/>
    </row>
    <row r="257" spans="5:5" ht="15.75" customHeight="1" x14ac:dyDescent="0.5">
      <c r="E257" s="9"/>
    </row>
    <row r="258" spans="5:5" ht="15.75" customHeight="1" x14ac:dyDescent="0.5">
      <c r="E258" s="9"/>
    </row>
    <row r="259" spans="5:5" ht="15.75" customHeight="1" x14ac:dyDescent="0.5">
      <c r="E259" s="9"/>
    </row>
    <row r="260" spans="5:5" ht="15.75" customHeight="1" x14ac:dyDescent="0.5">
      <c r="E260" s="9"/>
    </row>
    <row r="261" spans="5:5" ht="15.75" customHeight="1" x14ac:dyDescent="0.5">
      <c r="E261" s="9"/>
    </row>
    <row r="262" spans="5:5" ht="15.75" customHeight="1" x14ac:dyDescent="0.5">
      <c r="E262" s="9"/>
    </row>
    <row r="263" spans="5:5" ht="15.75" customHeight="1" x14ac:dyDescent="0.5">
      <c r="E263" s="9"/>
    </row>
    <row r="264" spans="5:5" ht="15.75" customHeight="1" x14ac:dyDescent="0.5">
      <c r="E264" s="9"/>
    </row>
    <row r="265" spans="5:5" ht="15.75" customHeight="1" x14ac:dyDescent="0.5">
      <c r="E265" s="9"/>
    </row>
    <row r="266" spans="5:5" ht="15.75" customHeight="1" x14ac:dyDescent="0.5">
      <c r="E266" s="9"/>
    </row>
    <row r="267" spans="5:5" ht="15.75" customHeight="1" x14ac:dyDescent="0.5">
      <c r="E267" s="9"/>
    </row>
    <row r="268" spans="5:5" ht="15.75" customHeight="1" x14ac:dyDescent="0.5">
      <c r="E268" s="9"/>
    </row>
    <row r="269" spans="5:5" ht="15.75" customHeight="1" x14ac:dyDescent="0.5">
      <c r="E269" s="9"/>
    </row>
    <row r="270" spans="5:5" ht="15.75" customHeight="1" x14ac:dyDescent="0.5">
      <c r="E270" s="9"/>
    </row>
    <row r="271" spans="5:5" ht="15.75" customHeight="1" x14ac:dyDescent="0.5">
      <c r="E271" s="9"/>
    </row>
    <row r="272" spans="5:5" ht="15.75" customHeight="1" x14ac:dyDescent="0.5">
      <c r="E272" s="9"/>
    </row>
    <row r="273" spans="5:5" ht="15.75" customHeight="1" x14ac:dyDescent="0.5">
      <c r="E273" s="9"/>
    </row>
    <row r="274" spans="5:5" ht="15.75" customHeight="1" x14ac:dyDescent="0.5">
      <c r="E274" s="9"/>
    </row>
    <row r="275" spans="5:5" ht="15.75" customHeight="1" x14ac:dyDescent="0.5">
      <c r="E275" s="9"/>
    </row>
    <row r="276" spans="5:5" ht="15.75" customHeight="1" x14ac:dyDescent="0.5">
      <c r="E276" s="9"/>
    </row>
    <row r="277" spans="5:5" ht="15.75" customHeight="1" x14ac:dyDescent="0.5">
      <c r="E277" s="9"/>
    </row>
    <row r="278" spans="5:5" ht="15.75" customHeight="1" x14ac:dyDescent="0.5">
      <c r="E278" s="9"/>
    </row>
    <row r="279" spans="5:5" ht="15.75" customHeight="1" x14ac:dyDescent="0.5">
      <c r="E279" s="9"/>
    </row>
    <row r="280" spans="5:5" ht="15.75" customHeight="1" x14ac:dyDescent="0.5">
      <c r="E280" s="9"/>
    </row>
    <row r="281" spans="5:5" ht="15.75" customHeight="1" x14ac:dyDescent="0.5">
      <c r="E281" s="9"/>
    </row>
    <row r="282" spans="5:5" ht="15.75" customHeight="1" x14ac:dyDescent="0.5">
      <c r="E282" s="9"/>
    </row>
    <row r="283" spans="5:5" ht="15.75" customHeight="1" x14ac:dyDescent="0.5">
      <c r="E283" s="9"/>
    </row>
    <row r="284" spans="5:5" ht="15.75" customHeight="1" x14ac:dyDescent="0.5">
      <c r="E284" s="9"/>
    </row>
    <row r="285" spans="5:5" ht="15.75" customHeight="1" x14ac:dyDescent="0.5">
      <c r="E285" s="9"/>
    </row>
    <row r="286" spans="5:5" ht="15.75" customHeight="1" x14ac:dyDescent="0.5">
      <c r="E286" s="9"/>
    </row>
    <row r="287" spans="5:5" ht="15.75" customHeight="1" x14ac:dyDescent="0.5">
      <c r="E287" s="9"/>
    </row>
    <row r="288" spans="5:5" ht="15.75" customHeight="1" x14ac:dyDescent="0.5">
      <c r="E288" s="9"/>
    </row>
    <row r="289" spans="5:5" ht="15.75" customHeight="1" x14ac:dyDescent="0.5">
      <c r="E289" s="9"/>
    </row>
    <row r="290" spans="5:5" ht="15.75" customHeight="1" x14ac:dyDescent="0.5">
      <c r="E290" s="9"/>
    </row>
    <row r="291" spans="5:5" ht="15.75" customHeight="1" x14ac:dyDescent="0.5">
      <c r="E291" s="9"/>
    </row>
    <row r="292" spans="5:5" ht="15.75" customHeight="1" x14ac:dyDescent="0.5">
      <c r="E292" s="9"/>
    </row>
    <row r="293" spans="5:5" ht="15.75" customHeight="1" x14ac:dyDescent="0.5">
      <c r="E293" s="9"/>
    </row>
    <row r="294" spans="5:5" ht="15.75" customHeight="1" x14ac:dyDescent="0.5">
      <c r="E294" s="9"/>
    </row>
    <row r="295" spans="5:5" ht="15.75" customHeight="1" x14ac:dyDescent="0.5">
      <c r="E295" s="9"/>
    </row>
    <row r="296" spans="5:5" ht="15.75" customHeight="1" x14ac:dyDescent="0.5">
      <c r="E296" s="9"/>
    </row>
    <row r="297" spans="5:5" ht="15.75" customHeight="1" x14ac:dyDescent="0.5">
      <c r="E297" s="9"/>
    </row>
    <row r="298" spans="5:5" ht="15.75" customHeight="1" x14ac:dyDescent="0.5">
      <c r="E298" s="9"/>
    </row>
    <row r="299" spans="5:5" ht="15.75" customHeight="1" x14ac:dyDescent="0.5">
      <c r="E299" s="9"/>
    </row>
    <row r="300" spans="5:5" ht="15.75" customHeight="1" x14ac:dyDescent="0.5">
      <c r="E300" s="9"/>
    </row>
    <row r="301" spans="5:5" ht="15.75" customHeight="1" x14ac:dyDescent="0.5">
      <c r="E301" s="9"/>
    </row>
    <row r="302" spans="5:5" ht="15.75" customHeight="1" x14ac:dyDescent="0.5">
      <c r="E302" s="9"/>
    </row>
    <row r="303" spans="5:5" ht="15.75" customHeight="1" x14ac:dyDescent="0.5">
      <c r="E303" s="9"/>
    </row>
    <row r="304" spans="5:5" ht="15.75" customHeight="1" x14ac:dyDescent="0.5">
      <c r="E304" s="9"/>
    </row>
    <row r="305" spans="5:5" ht="15.75" customHeight="1" x14ac:dyDescent="0.5">
      <c r="E305" s="9"/>
    </row>
    <row r="306" spans="5:5" ht="15.75" customHeight="1" x14ac:dyDescent="0.5">
      <c r="E306" s="9"/>
    </row>
    <row r="307" spans="5:5" ht="15.75" customHeight="1" x14ac:dyDescent="0.5">
      <c r="E307" s="9"/>
    </row>
    <row r="308" spans="5:5" ht="15.75" customHeight="1" x14ac:dyDescent="0.5">
      <c r="E308" s="9"/>
    </row>
    <row r="309" spans="5:5" ht="15.75" customHeight="1" x14ac:dyDescent="0.5">
      <c r="E309" s="9"/>
    </row>
    <row r="310" spans="5:5" ht="15.75" customHeight="1" x14ac:dyDescent="0.5">
      <c r="E310" s="9"/>
    </row>
    <row r="311" spans="5:5" ht="15.75" customHeight="1" x14ac:dyDescent="0.5">
      <c r="E311" s="9"/>
    </row>
    <row r="312" spans="5:5" ht="15.75" customHeight="1" x14ac:dyDescent="0.5">
      <c r="E312" s="9"/>
    </row>
    <row r="313" spans="5:5" ht="15.75" customHeight="1" x14ac:dyDescent="0.5">
      <c r="E313" s="9"/>
    </row>
    <row r="314" spans="5:5" ht="15.75" customHeight="1" x14ac:dyDescent="0.5">
      <c r="E314" s="9"/>
    </row>
    <row r="315" spans="5:5" ht="15.75" customHeight="1" x14ac:dyDescent="0.5">
      <c r="E315" s="9"/>
    </row>
    <row r="316" spans="5:5" ht="15.75" customHeight="1" x14ac:dyDescent="0.5">
      <c r="E316" s="9"/>
    </row>
    <row r="317" spans="5:5" ht="15.75" customHeight="1" x14ac:dyDescent="0.5">
      <c r="E317" s="9"/>
    </row>
    <row r="318" spans="5:5" ht="15.75" customHeight="1" x14ac:dyDescent="0.5">
      <c r="E318" s="9"/>
    </row>
    <row r="319" spans="5:5" ht="15.75" customHeight="1" x14ac:dyDescent="0.5">
      <c r="E319" s="9"/>
    </row>
    <row r="320" spans="5:5" ht="15.75" customHeight="1" x14ac:dyDescent="0.5">
      <c r="E320" s="9"/>
    </row>
    <row r="321" spans="5:5" ht="15.75" customHeight="1" x14ac:dyDescent="0.5">
      <c r="E321" s="9"/>
    </row>
    <row r="322" spans="5:5" ht="15.75" customHeight="1" x14ac:dyDescent="0.5">
      <c r="E322" s="9"/>
    </row>
    <row r="323" spans="5:5" ht="15.75" customHeight="1" x14ac:dyDescent="0.5">
      <c r="E323" s="9"/>
    </row>
    <row r="324" spans="5:5" ht="15.75" customHeight="1" x14ac:dyDescent="0.5">
      <c r="E324" s="9"/>
    </row>
    <row r="325" spans="5:5" ht="15.75" customHeight="1" x14ac:dyDescent="0.5">
      <c r="E325" s="9"/>
    </row>
    <row r="326" spans="5:5" ht="15.75" customHeight="1" x14ac:dyDescent="0.5">
      <c r="E326" s="9"/>
    </row>
    <row r="327" spans="5:5" ht="15.75" customHeight="1" x14ac:dyDescent="0.5">
      <c r="E327" s="9"/>
    </row>
    <row r="328" spans="5:5" ht="15.75" customHeight="1" x14ac:dyDescent="0.5">
      <c r="E328" s="9"/>
    </row>
    <row r="329" spans="5:5" ht="15.75" customHeight="1" x14ac:dyDescent="0.5">
      <c r="E329" s="9"/>
    </row>
    <row r="330" spans="5:5" ht="15.75" customHeight="1" x14ac:dyDescent="0.5">
      <c r="E330" s="9"/>
    </row>
    <row r="331" spans="5:5" ht="15.75" customHeight="1" x14ac:dyDescent="0.5">
      <c r="E331" s="9"/>
    </row>
    <row r="332" spans="5:5" ht="15.75" customHeight="1" x14ac:dyDescent="0.5">
      <c r="E332" s="9"/>
    </row>
    <row r="333" spans="5:5" ht="15.75" customHeight="1" x14ac:dyDescent="0.5">
      <c r="E333" s="9"/>
    </row>
    <row r="334" spans="5:5" ht="15.75" customHeight="1" x14ac:dyDescent="0.5">
      <c r="E334" s="9"/>
    </row>
    <row r="335" spans="5:5" ht="15.75" customHeight="1" x14ac:dyDescent="0.5">
      <c r="E335" s="9"/>
    </row>
    <row r="336" spans="5:5" ht="15.75" customHeight="1" x14ac:dyDescent="0.5">
      <c r="E336" s="9"/>
    </row>
    <row r="337" spans="5:5" ht="15.75" customHeight="1" x14ac:dyDescent="0.5">
      <c r="E337" s="9"/>
    </row>
    <row r="338" spans="5:5" ht="15.75" customHeight="1" x14ac:dyDescent="0.5">
      <c r="E338" s="9"/>
    </row>
    <row r="339" spans="5:5" ht="15.75" customHeight="1" x14ac:dyDescent="0.5">
      <c r="E339" s="9"/>
    </row>
    <row r="340" spans="5:5" ht="15.75" customHeight="1" x14ac:dyDescent="0.5">
      <c r="E340" s="9"/>
    </row>
    <row r="341" spans="5:5" ht="15.75" customHeight="1" x14ac:dyDescent="0.5">
      <c r="E341" s="9"/>
    </row>
    <row r="342" spans="5:5" ht="15.75" customHeight="1" x14ac:dyDescent="0.5">
      <c r="E342" s="9"/>
    </row>
    <row r="343" spans="5:5" ht="15.75" customHeight="1" x14ac:dyDescent="0.5">
      <c r="E343" s="9"/>
    </row>
    <row r="344" spans="5:5" ht="15.75" customHeight="1" x14ac:dyDescent="0.5">
      <c r="E344" s="9"/>
    </row>
    <row r="345" spans="5:5" ht="15.75" customHeight="1" x14ac:dyDescent="0.5">
      <c r="E345" s="9"/>
    </row>
    <row r="346" spans="5:5" ht="15.75" customHeight="1" x14ac:dyDescent="0.5">
      <c r="E346" s="9"/>
    </row>
    <row r="347" spans="5:5" ht="15.75" customHeight="1" x14ac:dyDescent="0.5">
      <c r="E347" s="9"/>
    </row>
    <row r="348" spans="5:5" ht="15.75" customHeight="1" x14ac:dyDescent="0.5">
      <c r="E348" s="9"/>
    </row>
    <row r="349" spans="5:5" ht="15.75" customHeight="1" x14ac:dyDescent="0.5">
      <c r="E349" s="9"/>
    </row>
    <row r="350" spans="5:5" ht="15.75" customHeight="1" x14ac:dyDescent="0.5">
      <c r="E350" s="9"/>
    </row>
    <row r="351" spans="5:5" ht="15.75" customHeight="1" x14ac:dyDescent="0.5">
      <c r="E351" s="9"/>
    </row>
    <row r="352" spans="5:5" ht="15.75" customHeight="1" x14ac:dyDescent="0.5">
      <c r="E352" s="9"/>
    </row>
    <row r="353" spans="5:5" ht="15.75" customHeight="1" x14ac:dyDescent="0.5">
      <c r="E353" s="9"/>
    </row>
    <row r="354" spans="5:5" ht="15.75" customHeight="1" x14ac:dyDescent="0.5">
      <c r="E354" s="9"/>
    </row>
    <row r="355" spans="5:5" ht="15.75" customHeight="1" x14ac:dyDescent="0.5">
      <c r="E355" s="9"/>
    </row>
    <row r="356" spans="5:5" ht="15.75" customHeight="1" x14ac:dyDescent="0.5">
      <c r="E356" s="9"/>
    </row>
    <row r="357" spans="5:5" ht="15.75" customHeight="1" x14ac:dyDescent="0.5">
      <c r="E357" s="9"/>
    </row>
    <row r="358" spans="5:5" ht="15.75" customHeight="1" x14ac:dyDescent="0.5">
      <c r="E358" s="9"/>
    </row>
    <row r="359" spans="5:5" ht="15.75" customHeight="1" x14ac:dyDescent="0.5">
      <c r="E359" s="9"/>
    </row>
    <row r="360" spans="5:5" ht="15.75" customHeight="1" x14ac:dyDescent="0.5">
      <c r="E360" s="9"/>
    </row>
    <row r="361" spans="5:5" ht="15.75" customHeight="1" x14ac:dyDescent="0.5">
      <c r="E361" s="9"/>
    </row>
    <row r="362" spans="5:5" ht="15.75" customHeight="1" x14ac:dyDescent="0.5">
      <c r="E362" s="9"/>
    </row>
    <row r="363" spans="5:5" ht="15.75" customHeight="1" x14ac:dyDescent="0.5">
      <c r="E363" s="9"/>
    </row>
    <row r="364" spans="5:5" ht="15.75" customHeight="1" x14ac:dyDescent="0.5">
      <c r="E364" s="9"/>
    </row>
    <row r="365" spans="5:5" ht="15.75" customHeight="1" x14ac:dyDescent="0.5">
      <c r="E365" s="9"/>
    </row>
    <row r="366" spans="5:5" ht="15.75" customHeight="1" x14ac:dyDescent="0.5">
      <c r="E366" s="9"/>
    </row>
    <row r="367" spans="5:5" ht="15.75" customHeight="1" x14ac:dyDescent="0.5">
      <c r="E367" s="9"/>
    </row>
    <row r="368" spans="5:5" ht="15.75" customHeight="1" x14ac:dyDescent="0.5">
      <c r="E368" s="9"/>
    </row>
    <row r="369" spans="5:5" ht="15.75" customHeight="1" x14ac:dyDescent="0.5">
      <c r="E369" s="9"/>
    </row>
    <row r="370" spans="5:5" ht="15.75" customHeight="1" x14ac:dyDescent="0.5">
      <c r="E370" s="9"/>
    </row>
    <row r="371" spans="5:5" ht="15.75" customHeight="1" x14ac:dyDescent="0.5">
      <c r="E371" s="9"/>
    </row>
    <row r="372" spans="5:5" ht="15.75" customHeight="1" x14ac:dyDescent="0.5">
      <c r="E372" s="9"/>
    </row>
    <row r="373" spans="5:5" ht="15.75" customHeight="1" x14ac:dyDescent="0.5">
      <c r="E373" s="9"/>
    </row>
    <row r="374" spans="5:5" ht="15.75" customHeight="1" x14ac:dyDescent="0.5">
      <c r="E374" s="9"/>
    </row>
    <row r="375" spans="5:5" ht="15.75" customHeight="1" x14ac:dyDescent="0.5">
      <c r="E375" s="9"/>
    </row>
    <row r="376" spans="5:5" ht="15.75" customHeight="1" x14ac:dyDescent="0.5">
      <c r="E376" s="9"/>
    </row>
    <row r="377" spans="5:5" ht="15.75" customHeight="1" x14ac:dyDescent="0.5">
      <c r="E377" s="9"/>
    </row>
    <row r="378" spans="5:5" ht="15.75" customHeight="1" x14ac:dyDescent="0.5">
      <c r="E378" s="9"/>
    </row>
    <row r="379" spans="5:5" ht="15.75" customHeight="1" x14ac:dyDescent="0.5">
      <c r="E379" s="9"/>
    </row>
    <row r="380" spans="5:5" ht="15.75" customHeight="1" x14ac:dyDescent="0.5">
      <c r="E380" s="9"/>
    </row>
    <row r="381" spans="5:5" ht="15.75" customHeight="1" x14ac:dyDescent="0.5">
      <c r="E381" s="9"/>
    </row>
    <row r="382" spans="5:5" ht="15.75" customHeight="1" x14ac:dyDescent="0.5">
      <c r="E382" s="9"/>
    </row>
    <row r="383" spans="5:5" ht="15.75" customHeight="1" x14ac:dyDescent="0.5">
      <c r="E383" s="9"/>
    </row>
    <row r="384" spans="5:5" ht="15.75" customHeight="1" x14ac:dyDescent="0.5">
      <c r="E384" s="9"/>
    </row>
    <row r="385" spans="5:5" ht="15.75" customHeight="1" x14ac:dyDescent="0.5">
      <c r="E385" s="9"/>
    </row>
    <row r="386" spans="5:5" ht="15.75" customHeight="1" x14ac:dyDescent="0.5">
      <c r="E386" s="9"/>
    </row>
    <row r="387" spans="5:5" ht="15.75" customHeight="1" x14ac:dyDescent="0.5">
      <c r="E387" s="9"/>
    </row>
    <row r="388" spans="5:5" ht="15.75" customHeight="1" x14ac:dyDescent="0.5">
      <c r="E388" s="9"/>
    </row>
    <row r="389" spans="5:5" ht="15.75" customHeight="1" x14ac:dyDescent="0.5">
      <c r="E389" s="9"/>
    </row>
    <row r="390" spans="5:5" ht="15.75" customHeight="1" x14ac:dyDescent="0.5">
      <c r="E390" s="9"/>
    </row>
    <row r="391" spans="5:5" ht="15.75" customHeight="1" x14ac:dyDescent="0.5">
      <c r="E391" s="9"/>
    </row>
    <row r="392" spans="5:5" ht="15.75" customHeight="1" x14ac:dyDescent="0.5">
      <c r="E392" s="9"/>
    </row>
    <row r="393" spans="5:5" ht="15.75" customHeight="1" x14ac:dyDescent="0.5">
      <c r="E393" s="9"/>
    </row>
    <row r="394" spans="5:5" ht="15.75" customHeight="1" x14ac:dyDescent="0.5">
      <c r="E394" s="9"/>
    </row>
    <row r="395" spans="5:5" ht="15.75" customHeight="1" x14ac:dyDescent="0.5">
      <c r="E395" s="9"/>
    </row>
    <row r="396" spans="5:5" ht="15.75" customHeight="1" x14ac:dyDescent="0.5">
      <c r="E396" s="9"/>
    </row>
    <row r="397" spans="5:5" ht="15.75" customHeight="1" x14ac:dyDescent="0.5">
      <c r="E397" s="9"/>
    </row>
    <row r="398" spans="5:5" ht="15.75" customHeight="1" x14ac:dyDescent="0.5">
      <c r="E398" s="9"/>
    </row>
    <row r="399" spans="5:5" ht="15.75" customHeight="1" x14ac:dyDescent="0.5">
      <c r="E399" s="9"/>
    </row>
    <row r="400" spans="5:5" ht="15.75" customHeight="1" x14ac:dyDescent="0.5">
      <c r="E400" s="9"/>
    </row>
    <row r="401" spans="5:5" ht="15.75" customHeight="1" x14ac:dyDescent="0.5">
      <c r="E401" s="9"/>
    </row>
    <row r="402" spans="5:5" ht="15.75" customHeight="1" x14ac:dyDescent="0.5">
      <c r="E402" s="9"/>
    </row>
    <row r="403" spans="5:5" ht="15.75" customHeight="1" x14ac:dyDescent="0.5">
      <c r="E403" s="9"/>
    </row>
    <row r="404" spans="5:5" ht="15.75" customHeight="1" x14ac:dyDescent="0.5">
      <c r="E404" s="9"/>
    </row>
    <row r="405" spans="5:5" ht="15.75" customHeight="1" x14ac:dyDescent="0.5">
      <c r="E405" s="9"/>
    </row>
    <row r="406" spans="5:5" ht="15.75" customHeight="1" x14ac:dyDescent="0.5">
      <c r="E406" s="9"/>
    </row>
    <row r="407" spans="5:5" ht="15.75" customHeight="1" x14ac:dyDescent="0.5">
      <c r="E407" s="9"/>
    </row>
    <row r="408" spans="5:5" ht="15.75" customHeight="1" x14ac:dyDescent="0.5">
      <c r="E408" s="9"/>
    </row>
    <row r="409" spans="5:5" ht="15.75" customHeight="1" x14ac:dyDescent="0.5">
      <c r="E409" s="9"/>
    </row>
    <row r="410" spans="5:5" ht="15.75" customHeight="1" x14ac:dyDescent="0.5">
      <c r="E410" s="9"/>
    </row>
    <row r="411" spans="5:5" ht="15.75" customHeight="1" x14ac:dyDescent="0.5">
      <c r="E411" s="9"/>
    </row>
    <row r="412" spans="5:5" ht="15.75" customHeight="1" x14ac:dyDescent="0.5">
      <c r="E412" s="9"/>
    </row>
    <row r="413" spans="5:5" ht="15.75" customHeight="1" x14ac:dyDescent="0.5">
      <c r="E413" s="9"/>
    </row>
    <row r="414" spans="5:5" ht="15.75" customHeight="1" x14ac:dyDescent="0.5">
      <c r="E414" s="9"/>
    </row>
    <row r="415" spans="5:5" ht="15.75" customHeight="1" x14ac:dyDescent="0.5">
      <c r="E415" s="9"/>
    </row>
    <row r="416" spans="5:5" ht="15.75" customHeight="1" x14ac:dyDescent="0.5">
      <c r="E416" s="9"/>
    </row>
    <row r="417" spans="5:5" ht="15.75" customHeight="1" x14ac:dyDescent="0.5">
      <c r="E417" s="9"/>
    </row>
    <row r="418" spans="5:5" ht="15.75" customHeight="1" x14ac:dyDescent="0.5">
      <c r="E418" s="9"/>
    </row>
    <row r="419" spans="5:5" ht="15.75" customHeight="1" x14ac:dyDescent="0.5">
      <c r="E419" s="9"/>
    </row>
    <row r="420" spans="5:5" ht="15.75" customHeight="1" x14ac:dyDescent="0.5">
      <c r="E420" s="9"/>
    </row>
    <row r="421" spans="5:5" ht="15.75" customHeight="1" x14ac:dyDescent="0.5">
      <c r="E421" s="9"/>
    </row>
    <row r="422" spans="5:5" ht="15.75" customHeight="1" x14ac:dyDescent="0.5">
      <c r="E422" s="9"/>
    </row>
    <row r="423" spans="5:5" ht="15.75" customHeight="1" x14ac:dyDescent="0.5">
      <c r="E423" s="9"/>
    </row>
    <row r="424" spans="5:5" ht="15.75" customHeight="1" x14ac:dyDescent="0.5">
      <c r="E424" s="9"/>
    </row>
    <row r="425" spans="5:5" ht="15.75" customHeight="1" x14ac:dyDescent="0.5">
      <c r="E425" s="9"/>
    </row>
    <row r="426" spans="5:5" ht="15.75" customHeight="1" x14ac:dyDescent="0.5">
      <c r="E426" s="9"/>
    </row>
    <row r="427" spans="5:5" ht="15.75" customHeight="1" x14ac:dyDescent="0.5">
      <c r="E427" s="9"/>
    </row>
    <row r="428" spans="5:5" ht="15.75" customHeight="1" x14ac:dyDescent="0.5">
      <c r="E428" s="9"/>
    </row>
    <row r="429" spans="5:5" ht="15.75" customHeight="1" x14ac:dyDescent="0.5">
      <c r="E429" s="9"/>
    </row>
    <row r="430" spans="5:5" ht="15.75" customHeight="1" x14ac:dyDescent="0.5">
      <c r="E430" s="9"/>
    </row>
    <row r="431" spans="5:5" ht="15.75" customHeight="1" x14ac:dyDescent="0.5">
      <c r="E431" s="9"/>
    </row>
    <row r="432" spans="5:5" ht="15.75" customHeight="1" x14ac:dyDescent="0.5">
      <c r="E432" s="9"/>
    </row>
    <row r="433" spans="5:5" ht="15.75" customHeight="1" x14ac:dyDescent="0.5">
      <c r="E433" s="9"/>
    </row>
    <row r="434" spans="5:5" ht="15.75" customHeight="1" x14ac:dyDescent="0.5">
      <c r="E434" s="9"/>
    </row>
    <row r="435" spans="5:5" ht="15.75" customHeight="1" x14ac:dyDescent="0.5">
      <c r="E435" s="9"/>
    </row>
    <row r="436" spans="5:5" ht="15.75" customHeight="1" x14ac:dyDescent="0.5">
      <c r="E436" s="9"/>
    </row>
    <row r="437" spans="5:5" ht="15.75" customHeight="1" x14ac:dyDescent="0.5">
      <c r="E437" s="9"/>
    </row>
    <row r="438" spans="5:5" ht="15.75" customHeight="1" x14ac:dyDescent="0.5">
      <c r="E438" s="9"/>
    </row>
    <row r="439" spans="5:5" ht="15.75" customHeight="1" x14ac:dyDescent="0.5">
      <c r="E439" s="9"/>
    </row>
    <row r="440" spans="5:5" ht="15.75" customHeight="1" x14ac:dyDescent="0.5">
      <c r="E440" s="9"/>
    </row>
    <row r="441" spans="5:5" ht="15.75" customHeight="1" x14ac:dyDescent="0.5">
      <c r="E441" s="9"/>
    </row>
    <row r="442" spans="5:5" ht="15.75" customHeight="1" x14ac:dyDescent="0.5">
      <c r="E442" s="9"/>
    </row>
    <row r="443" spans="5:5" ht="15.75" customHeight="1" x14ac:dyDescent="0.5">
      <c r="E443" s="9"/>
    </row>
    <row r="444" spans="5:5" ht="15.75" customHeight="1" x14ac:dyDescent="0.5">
      <c r="E444" s="9"/>
    </row>
    <row r="445" spans="5:5" ht="15.75" customHeight="1" x14ac:dyDescent="0.5">
      <c r="E445" s="9"/>
    </row>
    <row r="446" spans="5:5" ht="15.75" customHeight="1" x14ac:dyDescent="0.5">
      <c r="E446" s="9"/>
    </row>
    <row r="447" spans="5:5" ht="15.75" customHeight="1" x14ac:dyDescent="0.5">
      <c r="E447" s="9"/>
    </row>
    <row r="448" spans="5:5" ht="15.75" customHeight="1" x14ac:dyDescent="0.5">
      <c r="E448" s="9"/>
    </row>
    <row r="449" spans="5:5" ht="15.75" customHeight="1" x14ac:dyDescent="0.5">
      <c r="E449" s="9"/>
    </row>
    <row r="450" spans="5:5" ht="15.75" customHeight="1" x14ac:dyDescent="0.5">
      <c r="E450" s="9"/>
    </row>
    <row r="451" spans="5:5" ht="15.75" customHeight="1" x14ac:dyDescent="0.5">
      <c r="E451" s="9"/>
    </row>
    <row r="452" spans="5:5" ht="15.75" customHeight="1" x14ac:dyDescent="0.5">
      <c r="E452" s="9"/>
    </row>
    <row r="453" spans="5:5" ht="15.75" customHeight="1" x14ac:dyDescent="0.5">
      <c r="E453" s="9"/>
    </row>
    <row r="454" spans="5:5" ht="15.75" customHeight="1" x14ac:dyDescent="0.5">
      <c r="E454" s="9"/>
    </row>
    <row r="455" spans="5:5" ht="15.75" customHeight="1" x14ac:dyDescent="0.5">
      <c r="E455" s="9"/>
    </row>
    <row r="456" spans="5:5" ht="15.75" customHeight="1" x14ac:dyDescent="0.5">
      <c r="E456" s="9"/>
    </row>
    <row r="457" spans="5:5" ht="15.75" customHeight="1" x14ac:dyDescent="0.5">
      <c r="E457" s="9"/>
    </row>
    <row r="458" spans="5:5" ht="15.75" customHeight="1" x14ac:dyDescent="0.5">
      <c r="E458" s="9"/>
    </row>
    <row r="459" spans="5:5" ht="15.75" customHeight="1" x14ac:dyDescent="0.5">
      <c r="E459" s="9"/>
    </row>
    <row r="460" spans="5:5" ht="15.75" customHeight="1" x14ac:dyDescent="0.5">
      <c r="E460" s="9"/>
    </row>
    <row r="461" spans="5:5" ht="15.75" customHeight="1" x14ac:dyDescent="0.5">
      <c r="E461" s="9"/>
    </row>
    <row r="462" spans="5:5" ht="15.75" customHeight="1" x14ac:dyDescent="0.5">
      <c r="E462" s="9"/>
    </row>
    <row r="463" spans="5:5" ht="15.75" customHeight="1" x14ac:dyDescent="0.5">
      <c r="E463" s="9"/>
    </row>
    <row r="464" spans="5:5" ht="15.75" customHeight="1" x14ac:dyDescent="0.5">
      <c r="E464" s="9"/>
    </row>
    <row r="465" spans="5:5" ht="15.75" customHeight="1" x14ac:dyDescent="0.5">
      <c r="E465" s="9"/>
    </row>
    <row r="466" spans="5:5" ht="15.75" customHeight="1" x14ac:dyDescent="0.5">
      <c r="E466" s="9"/>
    </row>
    <row r="467" spans="5:5" ht="15.75" customHeight="1" x14ac:dyDescent="0.5">
      <c r="E467" s="9"/>
    </row>
    <row r="468" spans="5:5" ht="15.75" customHeight="1" x14ac:dyDescent="0.5">
      <c r="E468" s="9"/>
    </row>
    <row r="469" spans="5:5" ht="15.75" customHeight="1" x14ac:dyDescent="0.5">
      <c r="E469" s="9"/>
    </row>
    <row r="470" spans="5:5" ht="15.75" customHeight="1" x14ac:dyDescent="0.5">
      <c r="E470" s="9"/>
    </row>
    <row r="471" spans="5:5" ht="15.75" customHeight="1" x14ac:dyDescent="0.5">
      <c r="E471" s="9"/>
    </row>
    <row r="472" spans="5:5" ht="15.75" customHeight="1" x14ac:dyDescent="0.5">
      <c r="E472" s="9"/>
    </row>
    <row r="473" spans="5:5" ht="15.75" customHeight="1" x14ac:dyDescent="0.5">
      <c r="E473" s="9"/>
    </row>
    <row r="474" spans="5:5" ht="15.75" customHeight="1" x14ac:dyDescent="0.5">
      <c r="E474" s="9"/>
    </row>
    <row r="475" spans="5:5" ht="15.75" customHeight="1" x14ac:dyDescent="0.5">
      <c r="E475" s="9"/>
    </row>
    <row r="476" spans="5:5" ht="15.75" customHeight="1" x14ac:dyDescent="0.5">
      <c r="E476" s="9"/>
    </row>
    <row r="477" spans="5:5" ht="15.75" customHeight="1" x14ac:dyDescent="0.5">
      <c r="E477" s="9"/>
    </row>
    <row r="478" spans="5:5" ht="15.75" customHeight="1" x14ac:dyDescent="0.5">
      <c r="E478" s="9"/>
    </row>
    <row r="479" spans="5:5" ht="15.75" customHeight="1" x14ac:dyDescent="0.5">
      <c r="E479" s="9"/>
    </row>
    <row r="480" spans="5:5" ht="15.75" customHeight="1" x14ac:dyDescent="0.5">
      <c r="E480" s="9"/>
    </row>
    <row r="481" spans="5:5" ht="15.75" customHeight="1" x14ac:dyDescent="0.5">
      <c r="E481" s="9"/>
    </row>
    <row r="482" spans="5:5" ht="15.75" customHeight="1" x14ac:dyDescent="0.5">
      <c r="E482" s="9"/>
    </row>
    <row r="483" spans="5:5" ht="15.75" customHeight="1" x14ac:dyDescent="0.5">
      <c r="E483" s="9"/>
    </row>
    <row r="484" spans="5:5" ht="15.75" customHeight="1" x14ac:dyDescent="0.5">
      <c r="E484" s="9"/>
    </row>
    <row r="485" spans="5:5" ht="15.75" customHeight="1" x14ac:dyDescent="0.5">
      <c r="E485" s="9"/>
    </row>
    <row r="486" spans="5:5" ht="15.75" customHeight="1" x14ac:dyDescent="0.5">
      <c r="E486" s="9"/>
    </row>
    <row r="487" spans="5:5" ht="15.75" customHeight="1" x14ac:dyDescent="0.5">
      <c r="E487" s="9"/>
    </row>
    <row r="488" spans="5:5" ht="15.75" customHeight="1" x14ac:dyDescent="0.5">
      <c r="E488" s="9"/>
    </row>
    <row r="489" spans="5:5" ht="15.75" customHeight="1" x14ac:dyDescent="0.5">
      <c r="E489" s="9"/>
    </row>
    <row r="490" spans="5:5" ht="15.75" customHeight="1" x14ac:dyDescent="0.5">
      <c r="E490" s="9"/>
    </row>
    <row r="491" spans="5:5" ht="15.75" customHeight="1" x14ac:dyDescent="0.5">
      <c r="E491" s="9"/>
    </row>
    <row r="492" spans="5:5" ht="15.75" customHeight="1" x14ac:dyDescent="0.5">
      <c r="E492" s="9"/>
    </row>
    <row r="493" spans="5:5" ht="15.75" customHeight="1" x14ac:dyDescent="0.5">
      <c r="E493" s="9"/>
    </row>
    <row r="494" spans="5:5" ht="15.75" customHeight="1" x14ac:dyDescent="0.5">
      <c r="E494" s="9"/>
    </row>
    <row r="495" spans="5:5" ht="15.75" customHeight="1" x14ac:dyDescent="0.5">
      <c r="E495" s="9"/>
    </row>
    <row r="496" spans="5:5" ht="15.75" customHeight="1" x14ac:dyDescent="0.5">
      <c r="E496" s="9"/>
    </row>
    <row r="497" spans="5:5" ht="15.75" customHeight="1" x14ac:dyDescent="0.5">
      <c r="E497" s="9"/>
    </row>
    <row r="498" spans="5:5" ht="15.75" customHeight="1" x14ac:dyDescent="0.5">
      <c r="E498" s="9"/>
    </row>
    <row r="499" spans="5:5" ht="15.75" customHeight="1" x14ac:dyDescent="0.5">
      <c r="E499" s="9"/>
    </row>
    <row r="500" spans="5:5" ht="15.75" customHeight="1" x14ac:dyDescent="0.5">
      <c r="E500" s="9"/>
    </row>
    <row r="501" spans="5:5" ht="15.75" customHeight="1" x14ac:dyDescent="0.5">
      <c r="E501" s="9"/>
    </row>
    <row r="502" spans="5:5" ht="15.75" customHeight="1" x14ac:dyDescent="0.5">
      <c r="E502" s="9"/>
    </row>
    <row r="503" spans="5:5" ht="15.75" customHeight="1" x14ac:dyDescent="0.5">
      <c r="E503" s="9"/>
    </row>
    <row r="504" spans="5:5" ht="15.75" customHeight="1" x14ac:dyDescent="0.5">
      <c r="E504" s="9"/>
    </row>
    <row r="505" spans="5:5" ht="15.75" customHeight="1" x14ac:dyDescent="0.5">
      <c r="E505" s="9"/>
    </row>
    <row r="506" spans="5:5" ht="15.75" customHeight="1" x14ac:dyDescent="0.5">
      <c r="E506" s="9"/>
    </row>
    <row r="507" spans="5:5" ht="15.75" customHeight="1" x14ac:dyDescent="0.5">
      <c r="E507" s="9"/>
    </row>
    <row r="508" spans="5:5" ht="15.75" customHeight="1" x14ac:dyDescent="0.5">
      <c r="E508" s="9"/>
    </row>
    <row r="509" spans="5:5" ht="15.75" customHeight="1" x14ac:dyDescent="0.5">
      <c r="E509" s="9"/>
    </row>
    <row r="510" spans="5:5" ht="15.75" customHeight="1" x14ac:dyDescent="0.5">
      <c r="E510" s="9"/>
    </row>
    <row r="511" spans="5:5" ht="15.75" customHeight="1" x14ac:dyDescent="0.5">
      <c r="E511" s="9"/>
    </row>
    <row r="512" spans="5:5" ht="15.75" customHeight="1" x14ac:dyDescent="0.5">
      <c r="E512" s="9"/>
    </row>
    <row r="513" spans="5:5" ht="15.75" customHeight="1" x14ac:dyDescent="0.5">
      <c r="E513" s="9"/>
    </row>
    <row r="514" spans="5:5" ht="15.75" customHeight="1" x14ac:dyDescent="0.5">
      <c r="E514" s="9"/>
    </row>
    <row r="515" spans="5:5" ht="15.75" customHeight="1" x14ac:dyDescent="0.5">
      <c r="E515" s="9"/>
    </row>
    <row r="516" spans="5:5" ht="15.75" customHeight="1" x14ac:dyDescent="0.5">
      <c r="E516" s="9"/>
    </row>
    <row r="517" spans="5:5" ht="15.75" customHeight="1" x14ac:dyDescent="0.5">
      <c r="E517" s="9"/>
    </row>
    <row r="518" spans="5:5" ht="15.75" customHeight="1" x14ac:dyDescent="0.5">
      <c r="E518" s="9"/>
    </row>
    <row r="519" spans="5:5" ht="15.75" customHeight="1" x14ac:dyDescent="0.5">
      <c r="E519" s="9"/>
    </row>
    <row r="520" spans="5:5" ht="15.75" customHeight="1" x14ac:dyDescent="0.5">
      <c r="E520" s="9"/>
    </row>
    <row r="521" spans="5:5" ht="15.75" customHeight="1" x14ac:dyDescent="0.5">
      <c r="E521" s="9"/>
    </row>
    <row r="522" spans="5:5" ht="15.75" customHeight="1" x14ac:dyDescent="0.5">
      <c r="E522" s="9"/>
    </row>
    <row r="523" spans="5:5" ht="15.75" customHeight="1" x14ac:dyDescent="0.5">
      <c r="E523" s="9"/>
    </row>
    <row r="524" spans="5:5" ht="15.75" customHeight="1" x14ac:dyDescent="0.5">
      <c r="E524" s="9"/>
    </row>
    <row r="525" spans="5:5" ht="15.75" customHeight="1" x14ac:dyDescent="0.5">
      <c r="E525" s="9"/>
    </row>
    <row r="526" spans="5:5" ht="15.75" customHeight="1" x14ac:dyDescent="0.5">
      <c r="E526" s="9"/>
    </row>
    <row r="527" spans="5:5" ht="15.75" customHeight="1" x14ac:dyDescent="0.5">
      <c r="E527" s="9"/>
    </row>
    <row r="528" spans="5:5" ht="15.75" customHeight="1" x14ac:dyDescent="0.5">
      <c r="E528" s="9"/>
    </row>
    <row r="529" spans="5:5" ht="15.75" customHeight="1" x14ac:dyDescent="0.5">
      <c r="E529" s="9"/>
    </row>
    <row r="530" spans="5:5" ht="15.75" customHeight="1" x14ac:dyDescent="0.5">
      <c r="E530" s="9"/>
    </row>
    <row r="531" spans="5:5" ht="15.75" customHeight="1" x14ac:dyDescent="0.5">
      <c r="E531" s="9"/>
    </row>
    <row r="532" spans="5:5" ht="15.75" customHeight="1" x14ac:dyDescent="0.5">
      <c r="E532" s="9"/>
    </row>
    <row r="533" spans="5:5" ht="15.75" customHeight="1" x14ac:dyDescent="0.5">
      <c r="E533" s="9"/>
    </row>
    <row r="534" spans="5:5" ht="15.75" customHeight="1" x14ac:dyDescent="0.5">
      <c r="E534" s="9"/>
    </row>
    <row r="535" spans="5:5" ht="15.75" customHeight="1" x14ac:dyDescent="0.5">
      <c r="E535" s="9"/>
    </row>
    <row r="536" spans="5:5" ht="15.75" customHeight="1" x14ac:dyDescent="0.5">
      <c r="E536" s="9"/>
    </row>
    <row r="537" spans="5:5" ht="15.75" customHeight="1" x14ac:dyDescent="0.5">
      <c r="E537" s="9"/>
    </row>
    <row r="538" spans="5:5" ht="15.75" customHeight="1" x14ac:dyDescent="0.5">
      <c r="E538" s="9"/>
    </row>
    <row r="539" spans="5:5" ht="15.75" customHeight="1" x14ac:dyDescent="0.5">
      <c r="E539" s="9"/>
    </row>
    <row r="540" spans="5:5" ht="15.75" customHeight="1" x14ac:dyDescent="0.5">
      <c r="E540" s="9"/>
    </row>
    <row r="541" spans="5:5" ht="15.75" customHeight="1" x14ac:dyDescent="0.5">
      <c r="E541" s="9"/>
    </row>
    <row r="542" spans="5:5" ht="15.75" customHeight="1" x14ac:dyDescent="0.5">
      <c r="E542" s="9"/>
    </row>
    <row r="543" spans="5:5" ht="15.75" customHeight="1" x14ac:dyDescent="0.5">
      <c r="E543" s="9"/>
    </row>
    <row r="544" spans="5:5" ht="15.75" customHeight="1" x14ac:dyDescent="0.5">
      <c r="E544" s="9"/>
    </row>
    <row r="545" spans="5:5" ht="15.75" customHeight="1" x14ac:dyDescent="0.5">
      <c r="E545" s="9"/>
    </row>
    <row r="546" spans="5:5" ht="15.75" customHeight="1" x14ac:dyDescent="0.5">
      <c r="E546" s="9"/>
    </row>
    <row r="547" spans="5:5" ht="15.75" customHeight="1" x14ac:dyDescent="0.5">
      <c r="E547" s="9"/>
    </row>
    <row r="548" spans="5:5" ht="15.75" customHeight="1" x14ac:dyDescent="0.5">
      <c r="E548" s="9"/>
    </row>
    <row r="549" spans="5:5" ht="15.75" customHeight="1" x14ac:dyDescent="0.5">
      <c r="E549" s="9"/>
    </row>
    <row r="550" spans="5:5" ht="15.75" customHeight="1" x14ac:dyDescent="0.5">
      <c r="E550" s="9"/>
    </row>
    <row r="551" spans="5:5" ht="15.75" customHeight="1" x14ac:dyDescent="0.5">
      <c r="E551" s="9"/>
    </row>
    <row r="552" spans="5:5" ht="15.75" customHeight="1" x14ac:dyDescent="0.5">
      <c r="E552" s="9"/>
    </row>
    <row r="553" spans="5:5" ht="15.75" customHeight="1" x14ac:dyDescent="0.5">
      <c r="E553" s="9"/>
    </row>
    <row r="554" spans="5:5" ht="15.75" customHeight="1" x14ac:dyDescent="0.5">
      <c r="E554" s="9"/>
    </row>
    <row r="555" spans="5:5" ht="15.75" customHeight="1" x14ac:dyDescent="0.5">
      <c r="E555" s="9"/>
    </row>
    <row r="556" spans="5:5" ht="15.75" customHeight="1" x14ac:dyDescent="0.5">
      <c r="E556" s="9"/>
    </row>
    <row r="557" spans="5:5" ht="15.75" customHeight="1" x14ac:dyDescent="0.5">
      <c r="E557" s="9"/>
    </row>
    <row r="558" spans="5:5" ht="15.75" customHeight="1" x14ac:dyDescent="0.5">
      <c r="E558" s="9"/>
    </row>
    <row r="559" spans="5:5" ht="15.75" customHeight="1" x14ac:dyDescent="0.5">
      <c r="E559" s="9"/>
    </row>
    <row r="560" spans="5:5" ht="15.75" customHeight="1" x14ac:dyDescent="0.5">
      <c r="E560" s="9"/>
    </row>
    <row r="561" spans="5:5" ht="15.75" customHeight="1" x14ac:dyDescent="0.5">
      <c r="E561" s="9"/>
    </row>
    <row r="562" spans="5:5" ht="15.75" customHeight="1" x14ac:dyDescent="0.5">
      <c r="E562" s="9"/>
    </row>
    <row r="563" spans="5:5" ht="15.75" customHeight="1" x14ac:dyDescent="0.5">
      <c r="E563" s="9"/>
    </row>
    <row r="564" spans="5:5" ht="15.75" customHeight="1" x14ac:dyDescent="0.5">
      <c r="E564" s="9"/>
    </row>
    <row r="565" spans="5:5" ht="15.75" customHeight="1" x14ac:dyDescent="0.5">
      <c r="E565" s="9"/>
    </row>
    <row r="566" spans="5:5" ht="15.75" customHeight="1" x14ac:dyDescent="0.5">
      <c r="E566" s="9"/>
    </row>
    <row r="567" spans="5:5" ht="15.75" customHeight="1" x14ac:dyDescent="0.5">
      <c r="E567" s="9"/>
    </row>
    <row r="568" spans="5:5" ht="15.75" customHeight="1" x14ac:dyDescent="0.5">
      <c r="E568" s="9"/>
    </row>
    <row r="569" spans="5:5" ht="15.75" customHeight="1" x14ac:dyDescent="0.5">
      <c r="E569" s="9"/>
    </row>
    <row r="570" spans="5:5" ht="15.75" customHeight="1" x14ac:dyDescent="0.5">
      <c r="E570" s="9"/>
    </row>
    <row r="571" spans="5:5" ht="15.75" customHeight="1" x14ac:dyDescent="0.5">
      <c r="E571" s="9"/>
    </row>
    <row r="572" spans="5:5" ht="15.75" customHeight="1" x14ac:dyDescent="0.5">
      <c r="E572" s="9"/>
    </row>
    <row r="573" spans="5:5" ht="15.75" customHeight="1" x14ac:dyDescent="0.5">
      <c r="E573" s="9"/>
    </row>
    <row r="574" spans="5:5" ht="15.75" customHeight="1" x14ac:dyDescent="0.5">
      <c r="E574" s="9"/>
    </row>
    <row r="575" spans="5:5" ht="15.75" customHeight="1" x14ac:dyDescent="0.5">
      <c r="E575" s="9"/>
    </row>
    <row r="576" spans="5:5" ht="15.75" customHeight="1" x14ac:dyDescent="0.5">
      <c r="E576" s="9"/>
    </row>
    <row r="577" spans="5:5" ht="15.75" customHeight="1" x14ac:dyDescent="0.5">
      <c r="E577" s="9"/>
    </row>
    <row r="578" spans="5:5" ht="15.75" customHeight="1" x14ac:dyDescent="0.5">
      <c r="E578" s="9"/>
    </row>
    <row r="579" spans="5:5" ht="15.75" customHeight="1" x14ac:dyDescent="0.5">
      <c r="E579" s="9"/>
    </row>
    <row r="580" spans="5:5" ht="15.75" customHeight="1" x14ac:dyDescent="0.5">
      <c r="E580" s="9"/>
    </row>
    <row r="581" spans="5:5" ht="15.75" customHeight="1" x14ac:dyDescent="0.5">
      <c r="E581" s="9"/>
    </row>
    <row r="582" spans="5:5" ht="15.75" customHeight="1" x14ac:dyDescent="0.5">
      <c r="E582" s="9"/>
    </row>
    <row r="583" spans="5:5" ht="15.75" customHeight="1" x14ac:dyDescent="0.5">
      <c r="E583" s="9"/>
    </row>
    <row r="584" spans="5:5" ht="15.75" customHeight="1" x14ac:dyDescent="0.5">
      <c r="E584" s="9"/>
    </row>
    <row r="585" spans="5:5" ht="15.75" customHeight="1" x14ac:dyDescent="0.5">
      <c r="E585" s="9"/>
    </row>
    <row r="586" spans="5:5" ht="15.75" customHeight="1" x14ac:dyDescent="0.5">
      <c r="E586" s="9"/>
    </row>
    <row r="587" spans="5:5" ht="15.75" customHeight="1" x14ac:dyDescent="0.5">
      <c r="E587" s="9"/>
    </row>
    <row r="588" spans="5:5" ht="15.75" customHeight="1" x14ac:dyDescent="0.5">
      <c r="E588" s="9"/>
    </row>
    <row r="589" spans="5:5" ht="15.75" customHeight="1" x14ac:dyDescent="0.5">
      <c r="E589" s="9"/>
    </row>
    <row r="590" spans="5:5" ht="15.75" customHeight="1" x14ac:dyDescent="0.5">
      <c r="E590" s="9"/>
    </row>
    <row r="591" spans="5:5" ht="15.75" customHeight="1" x14ac:dyDescent="0.5">
      <c r="E591" s="9"/>
    </row>
    <row r="592" spans="5:5" ht="15.75" customHeight="1" x14ac:dyDescent="0.5">
      <c r="E592" s="9"/>
    </row>
    <row r="593" spans="5:5" ht="15.75" customHeight="1" x14ac:dyDescent="0.5">
      <c r="E593" s="9"/>
    </row>
    <row r="594" spans="5:5" ht="15.75" customHeight="1" x14ac:dyDescent="0.5">
      <c r="E594" s="9"/>
    </row>
    <row r="595" spans="5:5" ht="15.75" customHeight="1" x14ac:dyDescent="0.5">
      <c r="E595" s="9"/>
    </row>
    <row r="596" spans="5:5" ht="15.75" customHeight="1" x14ac:dyDescent="0.5">
      <c r="E596" s="9"/>
    </row>
    <row r="597" spans="5:5" ht="15.75" customHeight="1" x14ac:dyDescent="0.5">
      <c r="E597" s="9"/>
    </row>
    <row r="598" spans="5:5" ht="15.75" customHeight="1" x14ac:dyDescent="0.5">
      <c r="E598" s="9"/>
    </row>
    <row r="599" spans="5:5" ht="15.75" customHeight="1" x14ac:dyDescent="0.5">
      <c r="E599" s="9"/>
    </row>
    <row r="600" spans="5:5" ht="15.75" customHeight="1" x14ac:dyDescent="0.5">
      <c r="E600" s="9"/>
    </row>
    <row r="601" spans="5:5" ht="15.75" customHeight="1" x14ac:dyDescent="0.5">
      <c r="E601" s="9"/>
    </row>
    <row r="602" spans="5:5" ht="15.75" customHeight="1" x14ac:dyDescent="0.5">
      <c r="E602" s="9"/>
    </row>
    <row r="603" spans="5:5" ht="15.75" customHeight="1" x14ac:dyDescent="0.5">
      <c r="E603" s="9"/>
    </row>
    <row r="604" spans="5:5" ht="15.75" customHeight="1" x14ac:dyDescent="0.5">
      <c r="E604" s="9"/>
    </row>
    <row r="605" spans="5:5" ht="15.75" customHeight="1" x14ac:dyDescent="0.5">
      <c r="E605" s="9"/>
    </row>
    <row r="606" spans="5:5" ht="15.75" customHeight="1" x14ac:dyDescent="0.5">
      <c r="E606" s="9"/>
    </row>
    <row r="607" spans="5:5" ht="15.75" customHeight="1" x14ac:dyDescent="0.5">
      <c r="E607" s="9"/>
    </row>
    <row r="608" spans="5:5" ht="15.75" customHeight="1" x14ac:dyDescent="0.5">
      <c r="E608" s="9"/>
    </row>
    <row r="609" spans="5:5" ht="15.75" customHeight="1" x14ac:dyDescent="0.5">
      <c r="E609" s="9"/>
    </row>
    <row r="610" spans="5:5" ht="15.75" customHeight="1" x14ac:dyDescent="0.5">
      <c r="E610" s="9"/>
    </row>
    <row r="611" spans="5:5" ht="15.75" customHeight="1" x14ac:dyDescent="0.5">
      <c r="E611" s="9"/>
    </row>
    <row r="612" spans="5:5" ht="15.75" customHeight="1" x14ac:dyDescent="0.5">
      <c r="E612" s="9"/>
    </row>
    <row r="613" spans="5:5" ht="15.75" customHeight="1" x14ac:dyDescent="0.5">
      <c r="E613" s="9"/>
    </row>
    <row r="614" spans="5:5" ht="15.75" customHeight="1" x14ac:dyDescent="0.5">
      <c r="E614" s="9"/>
    </row>
    <row r="615" spans="5:5" ht="15.75" customHeight="1" x14ac:dyDescent="0.5">
      <c r="E615" s="9"/>
    </row>
    <row r="616" spans="5:5" ht="15.75" customHeight="1" x14ac:dyDescent="0.5">
      <c r="E616" s="9"/>
    </row>
    <row r="617" spans="5:5" ht="15.75" customHeight="1" x14ac:dyDescent="0.5">
      <c r="E617" s="9"/>
    </row>
    <row r="618" spans="5:5" ht="15.75" customHeight="1" x14ac:dyDescent="0.5">
      <c r="E618" s="9"/>
    </row>
    <row r="619" spans="5:5" ht="15.75" customHeight="1" x14ac:dyDescent="0.5">
      <c r="E619" s="9"/>
    </row>
    <row r="620" spans="5:5" ht="15.75" customHeight="1" x14ac:dyDescent="0.5">
      <c r="E620" s="9"/>
    </row>
    <row r="621" spans="5:5" ht="15.75" customHeight="1" x14ac:dyDescent="0.5">
      <c r="E621" s="9"/>
    </row>
    <row r="622" spans="5:5" ht="15.75" customHeight="1" x14ac:dyDescent="0.5">
      <c r="E622" s="9"/>
    </row>
    <row r="623" spans="5:5" ht="15.75" customHeight="1" x14ac:dyDescent="0.5">
      <c r="E623" s="9"/>
    </row>
    <row r="624" spans="5:5" ht="15.75" customHeight="1" x14ac:dyDescent="0.5">
      <c r="E624" s="9"/>
    </row>
    <row r="625" spans="5:5" ht="15.75" customHeight="1" x14ac:dyDescent="0.5">
      <c r="E625" s="9"/>
    </row>
    <row r="626" spans="5:5" ht="15.75" customHeight="1" x14ac:dyDescent="0.5">
      <c r="E626" s="9"/>
    </row>
    <row r="627" spans="5:5" ht="15.75" customHeight="1" x14ac:dyDescent="0.5">
      <c r="E627" s="9"/>
    </row>
    <row r="628" spans="5:5" ht="15.75" customHeight="1" x14ac:dyDescent="0.5">
      <c r="E628" s="9"/>
    </row>
    <row r="629" spans="5:5" ht="15.75" customHeight="1" x14ac:dyDescent="0.5">
      <c r="E629" s="9"/>
    </row>
    <row r="630" spans="5:5" ht="15.75" customHeight="1" x14ac:dyDescent="0.5">
      <c r="E630" s="9"/>
    </row>
    <row r="631" spans="5:5" ht="15.75" customHeight="1" x14ac:dyDescent="0.5">
      <c r="E631" s="9"/>
    </row>
    <row r="632" spans="5:5" ht="15.75" customHeight="1" x14ac:dyDescent="0.5">
      <c r="E632" s="9"/>
    </row>
    <row r="633" spans="5:5" ht="15.75" customHeight="1" x14ac:dyDescent="0.5">
      <c r="E633" s="9"/>
    </row>
    <row r="634" spans="5:5" ht="15.75" customHeight="1" x14ac:dyDescent="0.5">
      <c r="E634" s="9"/>
    </row>
    <row r="635" spans="5:5" ht="15.75" customHeight="1" x14ac:dyDescent="0.5">
      <c r="E635" s="9"/>
    </row>
    <row r="636" spans="5:5" ht="15.75" customHeight="1" x14ac:dyDescent="0.5">
      <c r="E636" s="9"/>
    </row>
    <row r="637" spans="5:5" ht="15.75" customHeight="1" x14ac:dyDescent="0.5">
      <c r="E637" s="9"/>
    </row>
    <row r="638" spans="5:5" ht="15.75" customHeight="1" x14ac:dyDescent="0.5">
      <c r="E638" s="9"/>
    </row>
    <row r="639" spans="5:5" ht="15.75" customHeight="1" x14ac:dyDescent="0.5">
      <c r="E639" s="9"/>
    </row>
    <row r="640" spans="5:5" ht="15.75" customHeight="1" x14ac:dyDescent="0.5">
      <c r="E640" s="9"/>
    </row>
    <row r="641" spans="5:5" ht="15.75" customHeight="1" x14ac:dyDescent="0.5">
      <c r="E641" s="9"/>
    </row>
    <row r="642" spans="5:5" ht="15.75" customHeight="1" x14ac:dyDescent="0.5">
      <c r="E642" s="9"/>
    </row>
    <row r="643" spans="5:5" ht="15.75" customHeight="1" x14ac:dyDescent="0.5">
      <c r="E643" s="9"/>
    </row>
    <row r="644" spans="5:5" ht="15.75" customHeight="1" x14ac:dyDescent="0.5">
      <c r="E644" s="9"/>
    </row>
    <row r="645" spans="5:5" ht="15.75" customHeight="1" x14ac:dyDescent="0.5">
      <c r="E645" s="9"/>
    </row>
    <row r="646" spans="5:5" ht="15.75" customHeight="1" x14ac:dyDescent="0.5">
      <c r="E646" s="9"/>
    </row>
    <row r="647" spans="5:5" ht="15.75" customHeight="1" x14ac:dyDescent="0.5">
      <c r="E647" s="9"/>
    </row>
    <row r="648" spans="5:5" ht="15.75" customHeight="1" x14ac:dyDescent="0.5">
      <c r="E648" s="9"/>
    </row>
    <row r="649" spans="5:5" ht="15.75" customHeight="1" x14ac:dyDescent="0.5">
      <c r="E649" s="9"/>
    </row>
    <row r="650" spans="5:5" ht="15.75" customHeight="1" x14ac:dyDescent="0.5">
      <c r="E650" s="9"/>
    </row>
    <row r="651" spans="5:5" ht="15.75" customHeight="1" x14ac:dyDescent="0.5">
      <c r="E651" s="9"/>
    </row>
    <row r="652" spans="5:5" ht="15.75" customHeight="1" x14ac:dyDescent="0.5">
      <c r="E652" s="9"/>
    </row>
    <row r="653" spans="5:5" ht="15.75" customHeight="1" x14ac:dyDescent="0.5">
      <c r="E653" s="9"/>
    </row>
    <row r="654" spans="5:5" ht="15.75" customHeight="1" x14ac:dyDescent="0.5">
      <c r="E654" s="9"/>
    </row>
    <row r="655" spans="5:5" ht="15.75" customHeight="1" x14ac:dyDescent="0.5">
      <c r="E655" s="9"/>
    </row>
    <row r="656" spans="5:5" ht="15.75" customHeight="1" x14ac:dyDescent="0.5">
      <c r="E656" s="9"/>
    </row>
    <row r="657" spans="5:5" ht="15.75" customHeight="1" x14ac:dyDescent="0.5">
      <c r="E657" s="9"/>
    </row>
    <row r="658" spans="5:5" ht="15.75" customHeight="1" x14ac:dyDescent="0.5">
      <c r="E658" s="9"/>
    </row>
    <row r="659" spans="5:5" ht="15.75" customHeight="1" x14ac:dyDescent="0.5">
      <c r="E659" s="9"/>
    </row>
    <row r="660" spans="5:5" ht="15.75" customHeight="1" x14ac:dyDescent="0.5">
      <c r="E660" s="9"/>
    </row>
    <row r="661" spans="5:5" ht="15.75" customHeight="1" x14ac:dyDescent="0.5">
      <c r="E661" s="9"/>
    </row>
    <row r="662" spans="5:5" ht="15.75" customHeight="1" x14ac:dyDescent="0.5">
      <c r="E662" s="9"/>
    </row>
    <row r="663" spans="5:5" ht="15.75" customHeight="1" x14ac:dyDescent="0.5">
      <c r="E663" s="9"/>
    </row>
    <row r="664" spans="5:5" ht="15.75" customHeight="1" x14ac:dyDescent="0.5">
      <c r="E664" s="9"/>
    </row>
    <row r="665" spans="5:5" ht="15.75" customHeight="1" x14ac:dyDescent="0.5">
      <c r="E665" s="9"/>
    </row>
    <row r="666" spans="5:5" ht="15.75" customHeight="1" x14ac:dyDescent="0.5">
      <c r="E666" s="9"/>
    </row>
    <row r="667" spans="5:5" ht="15.75" customHeight="1" x14ac:dyDescent="0.5">
      <c r="E667" s="9"/>
    </row>
    <row r="668" spans="5:5" ht="15.75" customHeight="1" x14ac:dyDescent="0.5">
      <c r="E668" s="9"/>
    </row>
    <row r="669" spans="5:5" ht="15.75" customHeight="1" x14ac:dyDescent="0.5">
      <c r="E669" s="9"/>
    </row>
    <row r="670" spans="5:5" ht="15.75" customHeight="1" x14ac:dyDescent="0.5">
      <c r="E670" s="9"/>
    </row>
    <row r="671" spans="5:5" ht="15.75" customHeight="1" x14ac:dyDescent="0.5">
      <c r="E671" s="9"/>
    </row>
    <row r="672" spans="5:5" ht="15.75" customHeight="1" x14ac:dyDescent="0.5">
      <c r="E672" s="9"/>
    </row>
    <row r="673" spans="5:5" ht="15.75" customHeight="1" x14ac:dyDescent="0.5">
      <c r="E673" s="9"/>
    </row>
    <row r="674" spans="5:5" ht="15.75" customHeight="1" x14ac:dyDescent="0.5">
      <c r="E674" s="9"/>
    </row>
    <row r="675" spans="5:5" ht="15.75" customHeight="1" x14ac:dyDescent="0.5">
      <c r="E675" s="9"/>
    </row>
    <row r="676" spans="5:5" ht="15.75" customHeight="1" x14ac:dyDescent="0.5">
      <c r="E676" s="9"/>
    </row>
    <row r="677" spans="5:5" ht="15.75" customHeight="1" x14ac:dyDescent="0.5">
      <c r="E677" s="9"/>
    </row>
    <row r="678" spans="5:5" ht="15.75" customHeight="1" x14ac:dyDescent="0.5">
      <c r="E678" s="9"/>
    </row>
    <row r="679" spans="5:5" ht="15.75" customHeight="1" x14ac:dyDescent="0.5">
      <c r="E679" s="9"/>
    </row>
    <row r="680" spans="5:5" ht="15.75" customHeight="1" x14ac:dyDescent="0.5">
      <c r="E680" s="9"/>
    </row>
    <row r="681" spans="5:5" ht="15.75" customHeight="1" x14ac:dyDescent="0.5">
      <c r="E681" s="9"/>
    </row>
    <row r="682" spans="5:5" ht="15.75" customHeight="1" x14ac:dyDescent="0.5">
      <c r="E682" s="9"/>
    </row>
    <row r="683" spans="5:5" ht="15.75" customHeight="1" x14ac:dyDescent="0.5">
      <c r="E683" s="9"/>
    </row>
    <row r="684" spans="5:5" ht="15.75" customHeight="1" x14ac:dyDescent="0.5">
      <c r="E684" s="9"/>
    </row>
    <row r="685" spans="5:5" ht="15.75" customHeight="1" x14ac:dyDescent="0.5">
      <c r="E685" s="9"/>
    </row>
    <row r="686" spans="5:5" ht="15.75" customHeight="1" x14ac:dyDescent="0.5">
      <c r="E686" s="9"/>
    </row>
    <row r="687" spans="5:5" ht="15.75" customHeight="1" x14ac:dyDescent="0.5">
      <c r="E687" s="9"/>
    </row>
    <row r="688" spans="5:5" ht="15.75" customHeight="1" x14ac:dyDescent="0.5">
      <c r="E688" s="9"/>
    </row>
    <row r="689" spans="5:5" ht="15.75" customHeight="1" x14ac:dyDescent="0.5">
      <c r="E689" s="9"/>
    </row>
    <row r="690" spans="5:5" ht="15.75" customHeight="1" x14ac:dyDescent="0.5">
      <c r="E690" s="9"/>
    </row>
    <row r="691" spans="5:5" ht="15.75" customHeight="1" x14ac:dyDescent="0.5">
      <c r="E691" s="9"/>
    </row>
    <row r="692" spans="5:5" ht="15.75" customHeight="1" x14ac:dyDescent="0.5">
      <c r="E692" s="9"/>
    </row>
    <row r="693" spans="5:5" ht="15.75" customHeight="1" x14ac:dyDescent="0.5">
      <c r="E693" s="9"/>
    </row>
    <row r="694" spans="5:5" ht="15.75" customHeight="1" x14ac:dyDescent="0.5">
      <c r="E694" s="9"/>
    </row>
    <row r="695" spans="5:5" ht="15.75" customHeight="1" x14ac:dyDescent="0.5">
      <c r="E695" s="9"/>
    </row>
    <row r="696" spans="5:5" ht="15.75" customHeight="1" x14ac:dyDescent="0.5">
      <c r="E696" s="9"/>
    </row>
    <row r="697" spans="5:5" ht="15.75" customHeight="1" x14ac:dyDescent="0.5">
      <c r="E697" s="9"/>
    </row>
    <row r="698" spans="5:5" ht="15.75" customHeight="1" x14ac:dyDescent="0.5">
      <c r="E698" s="9"/>
    </row>
    <row r="699" spans="5:5" ht="15.75" customHeight="1" x14ac:dyDescent="0.5">
      <c r="E699" s="9"/>
    </row>
    <row r="700" spans="5:5" ht="15.75" customHeight="1" x14ac:dyDescent="0.5">
      <c r="E700" s="9"/>
    </row>
    <row r="701" spans="5:5" ht="15.75" customHeight="1" x14ac:dyDescent="0.5">
      <c r="E701" s="9"/>
    </row>
    <row r="702" spans="5:5" ht="15.75" customHeight="1" x14ac:dyDescent="0.5">
      <c r="E702" s="9"/>
    </row>
    <row r="703" spans="5:5" ht="15.75" customHeight="1" x14ac:dyDescent="0.5">
      <c r="E703" s="9"/>
    </row>
    <row r="704" spans="5:5" ht="15.75" customHeight="1" x14ac:dyDescent="0.5">
      <c r="E704" s="9"/>
    </row>
    <row r="705" spans="5:5" ht="15.75" customHeight="1" x14ac:dyDescent="0.5">
      <c r="E705" s="9"/>
    </row>
    <row r="706" spans="5:5" ht="15.75" customHeight="1" x14ac:dyDescent="0.5">
      <c r="E706" s="9"/>
    </row>
    <row r="707" spans="5:5" ht="15.75" customHeight="1" x14ac:dyDescent="0.5">
      <c r="E707" s="9"/>
    </row>
    <row r="708" spans="5:5" ht="15.75" customHeight="1" x14ac:dyDescent="0.5">
      <c r="E708" s="9"/>
    </row>
    <row r="709" spans="5:5" ht="15.75" customHeight="1" x14ac:dyDescent="0.5">
      <c r="E709" s="9"/>
    </row>
    <row r="710" spans="5:5" ht="15.75" customHeight="1" x14ac:dyDescent="0.5">
      <c r="E710" s="9"/>
    </row>
    <row r="711" spans="5:5" ht="15.75" customHeight="1" x14ac:dyDescent="0.5">
      <c r="E711" s="9"/>
    </row>
    <row r="712" spans="5:5" ht="15.75" customHeight="1" x14ac:dyDescent="0.5">
      <c r="E712" s="9"/>
    </row>
    <row r="713" spans="5:5" ht="15.75" customHeight="1" x14ac:dyDescent="0.5">
      <c r="E713" s="9"/>
    </row>
    <row r="714" spans="5:5" ht="15.75" customHeight="1" x14ac:dyDescent="0.5">
      <c r="E714" s="9"/>
    </row>
    <row r="715" spans="5:5" ht="15.75" customHeight="1" x14ac:dyDescent="0.5">
      <c r="E715" s="9"/>
    </row>
    <row r="716" spans="5:5" ht="15.75" customHeight="1" x14ac:dyDescent="0.5">
      <c r="E716" s="9"/>
    </row>
    <row r="717" spans="5:5" ht="15.75" customHeight="1" x14ac:dyDescent="0.5">
      <c r="E717" s="9"/>
    </row>
    <row r="718" spans="5:5" ht="15.75" customHeight="1" x14ac:dyDescent="0.5">
      <c r="E718" s="9"/>
    </row>
    <row r="719" spans="5:5" ht="15.75" customHeight="1" x14ac:dyDescent="0.5">
      <c r="E719" s="9"/>
    </row>
    <row r="720" spans="5:5" ht="15.75" customHeight="1" x14ac:dyDescent="0.5">
      <c r="E720" s="9"/>
    </row>
    <row r="721" spans="5:5" ht="15.75" customHeight="1" x14ac:dyDescent="0.5">
      <c r="E721" s="9"/>
    </row>
    <row r="722" spans="5:5" ht="15.75" customHeight="1" x14ac:dyDescent="0.5">
      <c r="E722" s="9"/>
    </row>
    <row r="723" spans="5:5" ht="15.75" customHeight="1" x14ac:dyDescent="0.5">
      <c r="E723" s="9"/>
    </row>
    <row r="724" spans="5:5" ht="15.75" customHeight="1" x14ac:dyDescent="0.5">
      <c r="E724" s="9"/>
    </row>
    <row r="725" spans="5:5" ht="15.75" customHeight="1" x14ac:dyDescent="0.5">
      <c r="E725" s="9"/>
    </row>
    <row r="726" spans="5:5" ht="15.75" customHeight="1" x14ac:dyDescent="0.5">
      <c r="E726" s="9"/>
    </row>
    <row r="727" spans="5:5" ht="15.75" customHeight="1" x14ac:dyDescent="0.5">
      <c r="E727" s="9"/>
    </row>
    <row r="728" spans="5:5" ht="15.75" customHeight="1" x14ac:dyDescent="0.5">
      <c r="E728" s="9"/>
    </row>
    <row r="729" spans="5:5" ht="15.75" customHeight="1" x14ac:dyDescent="0.5">
      <c r="E729" s="9"/>
    </row>
    <row r="730" spans="5:5" ht="15.75" customHeight="1" x14ac:dyDescent="0.5">
      <c r="E730" s="9"/>
    </row>
    <row r="731" spans="5:5" ht="15.75" customHeight="1" x14ac:dyDescent="0.5">
      <c r="E731" s="9"/>
    </row>
    <row r="732" spans="5:5" ht="15.75" customHeight="1" x14ac:dyDescent="0.5">
      <c r="E732" s="9"/>
    </row>
    <row r="733" spans="5:5" ht="15.75" customHeight="1" x14ac:dyDescent="0.5">
      <c r="E733" s="9"/>
    </row>
    <row r="734" spans="5:5" ht="15.75" customHeight="1" x14ac:dyDescent="0.5">
      <c r="E734" s="9"/>
    </row>
    <row r="735" spans="5:5" ht="15.75" customHeight="1" x14ac:dyDescent="0.5">
      <c r="E735" s="9"/>
    </row>
    <row r="736" spans="5:5" ht="15.75" customHeight="1" x14ac:dyDescent="0.5">
      <c r="E736" s="9"/>
    </row>
    <row r="737" spans="5:5" ht="15.75" customHeight="1" x14ac:dyDescent="0.5">
      <c r="E737" s="9"/>
    </row>
    <row r="738" spans="5:5" ht="15.75" customHeight="1" x14ac:dyDescent="0.5">
      <c r="E738" s="9"/>
    </row>
    <row r="739" spans="5:5" ht="15.75" customHeight="1" x14ac:dyDescent="0.5">
      <c r="E739" s="9"/>
    </row>
    <row r="740" spans="5:5" ht="15.75" customHeight="1" x14ac:dyDescent="0.5">
      <c r="E740" s="9"/>
    </row>
    <row r="741" spans="5:5" ht="15.75" customHeight="1" x14ac:dyDescent="0.5">
      <c r="E741" s="9"/>
    </row>
    <row r="742" spans="5:5" ht="15.75" customHeight="1" x14ac:dyDescent="0.5">
      <c r="E742" s="9"/>
    </row>
    <row r="743" spans="5:5" ht="15.75" customHeight="1" x14ac:dyDescent="0.5">
      <c r="E743" s="9"/>
    </row>
    <row r="744" spans="5:5" ht="15.75" customHeight="1" x14ac:dyDescent="0.5">
      <c r="E744" s="9"/>
    </row>
    <row r="745" spans="5:5" ht="15.75" customHeight="1" x14ac:dyDescent="0.5">
      <c r="E745" s="9"/>
    </row>
    <row r="746" spans="5:5" ht="15.75" customHeight="1" x14ac:dyDescent="0.5">
      <c r="E746" s="9"/>
    </row>
    <row r="747" spans="5:5" ht="15.75" customHeight="1" x14ac:dyDescent="0.5">
      <c r="E747" s="9"/>
    </row>
    <row r="748" spans="5:5" ht="15.75" customHeight="1" x14ac:dyDescent="0.5">
      <c r="E748" s="9"/>
    </row>
    <row r="749" spans="5:5" ht="15.75" customHeight="1" x14ac:dyDescent="0.5">
      <c r="E749" s="9"/>
    </row>
    <row r="750" spans="5:5" ht="15.75" customHeight="1" x14ac:dyDescent="0.5">
      <c r="E750" s="9"/>
    </row>
    <row r="751" spans="5:5" ht="15.75" customHeight="1" x14ac:dyDescent="0.5">
      <c r="E751" s="9"/>
    </row>
    <row r="752" spans="5:5" ht="15.75" customHeight="1" x14ac:dyDescent="0.5">
      <c r="E752" s="9"/>
    </row>
    <row r="753" spans="5:5" ht="15.75" customHeight="1" x14ac:dyDescent="0.5">
      <c r="E753" s="9"/>
    </row>
    <row r="754" spans="5:5" ht="15.75" customHeight="1" x14ac:dyDescent="0.5">
      <c r="E754" s="9"/>
    </row>
    <row r="755" spans="5:5" ht="15.75" customHeight="1" x14ac:dyDescent="0.5">
      <c r="E755" s="9"/>
    </row>
    <row r="756" spans="5:5" ht="15.75" customHeight="1" x14ac:dyDescent="0.5">
      <c r="E756" s="9"/>
    </row>
    <row r="757" spans="5:5" ht="15.75" customHeight="1" x14ac:dyDescent="0.5">
      <c r="E757" s="9"/>
    </row>
    <row r="758" spans="5:5" ht="15.75" customHeight="1" x14ac:dyDescent="0.5">
      <c r="E758" s="9"/>
    </row>
    <row r="759" spans="5:5" ht="15.75" customHeight="1" x14ac:dyDescent="0.5">
      <c r="E759" s="9"/>
    </row>
    <row r="760" spans="5:5" ht="15.75" customHeight="1" x14ac:dyDescent="0.5">
      <c r="E760" s="9"/>
    </row>
    <row r="761" spans="5:5" ht="15.75" customHeight="1" x14ac:dyDescent="0.5">
      <c r="E761" s="9"/>
    </row>
    <row r="762" spans="5:5" ht="15.75" customHeight="1" x14ac:dyDescent="0.5">
      <c r="E762" s="9"/>
    </row>
    <row r="763" spans="5:5" ht="15.75" customHeight="1" x14ac:dyDescent="0.5">
      <c r="E763" s="9"/>
    </row>
    <row r="764" spans="5:5" ht="15.75" customHeight="1" x14ac:dyDescent="0.5">
      <c r="E764" s="9"/>
    </row>
    <row r="765" spans="5:5" ht="15.75" customHeight="1" x14ac:dyDescent="0.5">
      <c r="E765" s="9"/>
    </row>
    <row r="766" spans="5:5" ht="15.75" customHeight="1" x14ac:dyDescent="0.5">
      <c r="E766" s="9"/>
    </row>
    <row r="767" spans="5:5" ht="15.75" customHeight="1" x14ac:dyDescent="0.5">
      <c r="E767" s="9"/>
    </row>
    <row r="768" spans="5:5" ht="15.75" customHeight="1" x14ac:dyDescent="0.5">
      <c r="E768" s="9"/>
    </row>
    <row r="769" spans="5:5" ht="15.75" customHeight="1" x14ac:dyDescent="0.5">
      <c r="E769" s="9"/>
    </row>
    <row r="770" spans="5:5" ht="15.75" customHeight="1" x14ac:dyDescent="0.5">
      <c r="E770" s="9"/>
    </row>
    <row r="771" spans="5:5" ht="15.75" customHeight="1" x14ac:dyDescent="0.5">
      <c r="E771" s="9"/>
    </row>
    <row r="772" spans="5:5" ht="15.75" customHeight="1" x14ac:dyDescent="0.5">
      <c r="E772" s="9"/>
    </row>
    <row r="773" spans="5:5" ht="15.75" customHeight="1" x14ac:dyDescent="0.5">
      <c r="E773" s="9"/>
    </row>
    <row r="774" spans="5:5" ht="15.75" customHeight="1" x14ac:dyDescent="0.5">
      <c r="E774" s="9"/>
    </row>
    <row r="775" spans="5:5" ht="15.75" customHeight="1" x14ac:dyDescent="0.5">
      <c r="E775" s="9"/>
    </row>
    <row r="776" spans="5:5" ht="15.75" customHeight="1" x14ac:dyDescent="0.5">
      <c r="E776" s="9"/>
    </row>
    <row r="777" spans="5:5" ht="15.75" customHeight="1" x14ac:dyDescent="0.5">
      <c r="E777" s="9"/>
    </row>
    <row r="778" spans="5:5" ht="15.75" customHeight="1" x14ac:dyDescent="0.5">
      <c r="E778" s="9"/>
    </row>
    <row r="779" spans="5:5" ht="15.75" customHeight="1" x14ac:dyDescent="0.5">
      <c r="E779" s="9"/>
    </row>
    <row r="780" spans="5:5" ht="15.75" customHeight="1" x14ac:dyDescent="0.5">
      <c r="E780" s="9"/>
    </row>
    <row r="781" spans="5:5" ht="15.75" customHeight="1" x14ac:dyDescent="0.5">
      <c r="E781" s="9"/>
    </row>
    <row r="782" spans="5:5" ht="15.75" customHeight="1" x14ac:dyDescent="0.5">
      <c r="E782" s="9"/>
    </row>
    <row r="783" spans="5:5" ht="15.75" customHeight="1" x14ac:dyDescent="0.5">
      <c r="E783" s="9"/>
    </row>
    <row r="784" spans="5:5" ht="15.75" customHeight="1" x14ac:dyDescent="0.5">
      <c r="E784" s="9"/>
    </row>
    <row r="785" spans="5:5" ht="15.75" customHeight="1" x14ac:dyDescent="0.5">
      <c r="E785" s="9"/>
    </row>
    <row r="786" spans="5:5" ht="15.75" customHeight="1" x14ac:dyDescent="0.5">
      <c r="E786" s="9"/>
    </row>
    <row r="787" spans="5:5" ht="15.75" customHeight="1" x14ac:dyDescent="0.5">
      <c r="E787" s="9"/>
    </row>
    <row r="788" spans="5:5" ht="15.75" customHeight="1" x14ac:dyDescent="0.5">
      <c r="E788" s="9"/>
    </row>
    <row r="789" spans="5:5" ht="15.75" customHeight="1" x14ac:dyDescent="0.5">
      <c r="E789" s="9"/>
    </row>
    <row r="790" spans="5:5" ht="15.75" customHeight="1" x14ac:dyDescent="0.5">
      <c r="E790" s="9"/>
    </row>
    <row r="791" spans="5:5" ht="15.75" customHeight="1" x14ac:dyDescent="0.5">
      <c r="E791" s="9"/>
    </row>
    <row r="792" spans="5:5" ht="15.75" customHeight="1" x14ac:dyDescent="0.5">
      <c r="E792" s="9"/>
    </row>
    <row r="793" spans="5:5" ht="15.75" customHeight="1" x14ac:dyDescent="0.5">
      <c r="E793" s="9"/>
    </row>
    <row r="794" spans="5:5" ht="15.75" customHeight="1" x14ac:dyDescent="0.5">
      <c r="E794" s="9"/>
    </row>
    <row r="795" spans="5:5" ht="15.75" customHeight="1" x14ac:dyDescent="0.5">
      <c r="E795" s="9"/>
    </row>
    <row r="796" spans="5:5" ht="15.75" customHeight="1" x14ac:dyDescent="0.5">
      <c r="E796" s="9"/>
    </row>
    <row r="797" spans="5:5" ht="15.75" customHeight="1" x14ac:dyDescent="0.5">
      <c r="E797" s="9"/>
    </row>
    <row r="798" spans="5:5" ht="15.75" customHeight="1" x14ac:dyDescent="0.5">
      <c r="E798" s="9"/>
    </row>
    <row r="799" spans="5:5" ht="15.75" customHeight="1" x14ac:dyDescent="0.5">
      <c r="E799" s="9"/>
    </row>
    <row r="800" spans="5:5" ht="15.75" customHeight="1" x14ac:dyDescent="0.5">
      <c r="E800" s="9"/>
    </row>
    <row r="801" spans="5:5" ht="15.75" customHeight="1" x14ac:dyDescent="0.5">
      <c r="E801" s="9"/>
    </row>
    <row r="802" spans="5:5" ht="15.75" customHeight="1" x14ac:dyDescent="0.5">
      <c r="E802" s="9"/>
    </row>
    <row r="803" spans="5:5" ht="15.75" customHeight="1" x14ac:dyDescent="0.5">
      <c r="E803" s="9"/>
    </row>
    <row r="804" spans="5:5" ht="15.75" customHeight="1" x14ac:dyDescent="0.5">
      <c r="E804" s="9"/>
    </row>
    <row r="805" spans="5:5" ht="15.75" customHeight="1" x14ac:dyDescent="0.5">
      <c r="E805" s="9"/>
    </row>
    <row r="806" spans="5:5" ht="15.75" customHeight="1" x14ac:dyDescent="0.5">
      <c r="E806" s="9"/>
    </row>
    <row r="807" spans="5:5" ht="15.75" customHeight="1" x14ac:dyDescent="0.5">
      <c r="E807" s="9"/>
    </row>
    <row r="808" spans="5:5" ht="15.75" customHeight="1" x14ac:dyDescent="0.5">
      <c r="E808" s="9"/>
    </row>
    <row r="809" spans="5:5" ht="15.75" customHeight="1" x14ac:dyDescent="0.5">
      <c r="E809" s="9"/>
    </row>
    <row r="810" spans="5:5" ht="15.75" customHeight="1" x14ac:dyDescent="0.5">
      <c r="E810" s="9"/>
    </row>
    <row r="811" spans="5:5" ht="15.75" customHeight="1" x14ac:dyDescent="0.5">
      <c r="E811" s="9"/>
    </row>
    <row r="812" spans="5:5" ht="15.75" customHeight="1" x14ac:dyDescent="0.5">
      <c r="E812" s="9"/>
    </row>
    <row r="813" spans="5:5" ht="15.75" customHeight="1" x14ac:dyDescent="0.5">
      <c r="E813" s="9"/>
    </row>
    <row r="814" spans="5:5" ht="15.75" customHeight="1" x14ac:dyDescent="0.5">
      <c r="E814" s="9"/>
    </row>
    <row r="815" spans="5:5" ht="15.75" customHeight="1" x14ac:dyDescent="0.5">
      <c r="E815" s="9"/>
    </row>
    <row r="816" spans="5:5" ht="15.75" customHeight="1" x14ac:dyDescent="0.5">
      <c r="E816" s="9"/>
    </row>
    <row r="817" spans="5:5" ht="15.75" customHeight="1" x14ac:dyDescent="0.5">
      <c r="E817" s="9"/>
    </row>
    <row r="818" spans="5:5" ht="15.75" customHeight="1" x14ac:dyDescent="0.5">
      <c r="E818" s="9"/>
    </row>
    <row r="819" spans="5:5" ht="15.75" customHeight="1" x14ac:dyDescent="0.5">
      <c r="E819" s="9"/>
    </row>
    <row r="820" spans="5:5" ht="15.75" customHeight="1" x14ac:dyDescent="0.5">
      <c r="E820" s="9"/>
    </row>
    <row r="821" spans="5:5" ht="15.75" customHeight="1" x14ac:dyDescent="0.5">
      <c r="E821" s="9"/>
    </row>
    <row r="822" spans="5:5" ht="15.75" customHeight="1" x14ac:dyDescent="0.5">
      <c r="E822" s="9"/>
    </row>
    <row r="823" spans="5:5" ht="15.75" customHeight="1" x14ac:dyDescent="0.5">
      <c r="E823" s="9"/>
    </row>
    <row r="824" spans="5:5" ht="15.75" customHeight="1" x14ac:dyDescent="0.5">
      <c r="E824" s="9"/>
    </row>
    <row r="825" spans="5:5" ht="15.75" customHeight="1" x14ac:dyDescent="0.5">
      <c r="E825" s="9"/>
    </row>
    <row r="826" spans="5:5" ht="15.75" customHeight="1" x14ac:dyDescent="0.5">
      <c r="E826" s="9"/>
    </row>
    <row r="827" spans="5:5" ht="15.75" customHeight="1" x14ac:dyDescent="0.5">
      <c r="E827" s="9"/>
    </row>
    <row r="828" spans="5:5" ht="15.75" customHeight="1" x14ac:dyDescent="0.5">
      <c r="E828" s="9"/>
    </row>
    <row r="829" spans="5:5" ht="15.75" customHeight="1" x14ac:dyDescent="0.5">
      <c r="E829" s="9"/>
    </row>
    <row r="830" spans="5:5" ht="15.75" customHeight="1" x14ac:dyDescent="0.5">
      <c r="E830" s="9"/>
    </row>
    <row r="831" spans="5:5" ht="15.75" customHeight="1" x14ac:dyDescent="0.5">
      <c r="E831" s="9"/>
    </row>
    <row r="832" spans="5:5" ht="15.75" customHeight="1" x14ac:dyDescent="0.5">
      <c r="E832" s="9"/>
    </row>
    <row r="833" spans="5:5" ht="15.75" customHeight="1" x14ac:dyDescent="0.5">
      <c r="E833" s="9"/>
    </row>
    <row r="834" spans="5:5" ht="15.75" customHeight="1" x14ac:dyDescent="0.5">
      <c r="E834" s="9"/>
    </row>
    <row r="835" spans="5:5" ht="15.75" customHeight="1" x14ac:dyDescent="0.5">
      <c r="E835" s="9"/>
    </row>
    <row r="836" spans="5:5" ht="15.75" customHeight="1" x14ac:dyDescent="0.5">
      <c r="E836" s="9"/>
    </row>
    <row r="837" spans="5:5" ht="15.75" customHeight="1" x14ac:dyDescent="0.5">
      <c r="E837" s="9"/>
    </row>
    <row r="838" spans="5:5" ht="15.75" customHeight="1" x14ac:dyDescent="0.5">
      <c r="E838" s="9"/>
    </row>
    <row r="839" spans="5:5" ht="15.75" customHeight="1" x14ac:dyDescent="0.5">
      <c r="E839" s="9"/>
    </row>
    <row r="840" spans="5:5" ht="15.75" customHeight="1" x14ac:dyDescent="0.5">
      <c r="E840" s="9"/>
    </row>
    <row r="841" spans="5:5" ht="15.75" customHeight="1" x14ac:dyDescent="0.5">
      <c r="E841" s="9"/>
    </row>
    <row r="842" spans="5:5" ht="15.75" customHeight="1" x14ac:dyDescent="0.5">
      <c r="E842" s="9"/>
    </row>
    <row r="843" spans="5:5" ht="15.75" customHeight="1" x14ac:dyDescent="0.5">
      <c r="E843" s="9"/>
    </row>
    <row r="844" spans="5:5" ht="15.75" customHeight="1" x14ac:dyDescent="0.5">
      <c r="E844" s="9"/>
    </row>
    <row r="845" spans="5:5" ht="15.75" customHeight="1" x14ac:dyDescent="0.5">
      <c r="E845" s="9"/>
    </row>
    <row r="846" spans="5:5" ht="15.75" customHeight="1" x14ac:dyDescent="0.5">
      <c r="E846" s="9"/>
    </row>
    <row r="847" spans="5:5" ht="15.75" customHeight="1" x14ac:dyDescent="0.5">
      <c r="E847" s="9"/>
    </row>
    <row r="848" spans="5:5" ht="15.75" customHeight="1" x14ac:dyDescent="0.5">
      <c r="E848" s="9"/>
    </row>
    <row r="849" spans="5:5" ht="15.75" customHeight="1" x14ac:dyDescent="0.5">
      <c r="E849" s="9"/>
    </row>
    <row r="850" spans="5:5" ht="15.75" customHeight="1" x14ac:dyDescent="0.5">
      <c r="E850" s="9"/>
    </row>
    <row r="851" spans="5:5" ht="15.75" customHeight="1" x14ac:dyDescent="0.5">
      <c r="E851" s="9"/>
    </row>
    <row r="852" spans="5:5" ht="15.75" customHeight="1" x14ac:dyDescent="0.5">
      <c r="E852" s="9"/>
    </row>
    <row r="853" spans="5:5" ht="15.75" customHeight="1" x14ac:dyDescent="0.5">
      <c r="E853" s="9"/>
    </row>
    <row r="854" spans="5:5" ht="15.75" customHeight="1" x14ac:dyDescent="0.5">
      <c r="E854" s="9"/>
    </row>
    <row r="855" spans="5:5" ht="15.75" customHeight="1" x14ac:dyDescent="0.5">
      <c r="E855" s="9"/>
    </row>
    <row r="856" spans="5:5" ht="15.75" customHeight="1" x14ac:dyDescent="0.5">
      <c r="E856" s="9"/>
    </row>
    <row r="857" spans="5:5" ht="15.75" customHeight="1" x14ac:dyDescent="0.5">
      <c r="E857" s="9"/>
    </row>
    <row r="858" spans="5:5" ht="15.75" customHeight="1" x14ac:dyDescent="0.5">
      <c r="E858" s="9"/>
    </row>
    <row r="859" spans="5:5" ht="15.75" customHeight="1" x14ac:dyDescent="0.5">
      <c r="E859" s="9"/>
    </row>
    <row r="860" spans="5:5" ht="15.75" customHeight="1" x14ac:dyDescent="0.5">
      <c r="E860" s="9"/>
    </row>
    <row r="861" spans="5:5" ht="15.75" customHeight="1" x14ac:dyDescent="0.5">
      <c r="E861" s="9"/>
    </row>
    <row r="862" spans="5:5" ht="15.75" customHeight="1" x14ac:dyDescent="0.5">
      <c r="E862" s="9"/>
    </row>
    <row r="863" spans="5:5" ht="15.75" customHeight="1" x14ac:dyDescent="0.5">
      <c r="E863" s="9"/>
    </row>
    <row r="864" spans="5:5" ht="15.75" customHeight="1" x14ac:dyDescent="0.5">
      <c r="E864" s="9"/>
    </row>
    <row r="865" spans="5:5" ht="15.75" customHeight="1" x14ac:dyDescent="0.5">
      <c r="E865" s="9"/>
    </row>
    <row r="866" spans="5:5" ht="15.75" customHeight="1" x14ac:dyDescent="0.5">
      <c r="E866" s="9"/>
    </row>
    <row r="867" spans="5:5" ht="15.75" customHeight="1" x14ac:dyDescent="0.5">
      <c r="E867" s="9"/>
    </row>
    <row r="868" spans="5:5" ht="15.75" customHeight="1" x14ac:dyDescent="0.5">
      <c r="E868" s="9"/>
    </row>
    <row r="869" spans="5:5" ht="15.75" customHeight="1" x14ac:dyDescent="0.5">
      <c r="E869" s="9"/>
    </row>
    <row r="870" spans="5:5" ht="15.75" customHeight="1" x14ac:dyDescent="0.5">
      <c r="E870" s="9"/>
    </row>
    <row r="871" spans="5:5" ht="15.75" customHeight="1" x14ac:dyDescent="0.5">
      <c r="E871" s="9"/>
    </row>
    <row r="872" spans="5:5" ht="15.75" customHeight="1" x14ac:dyDescent="0.5">
      <c r="E872" s="9"/>
    </row>
    <row r="873" spans="5:5" ht="15.75" customHeight="1" x14ac:dyDescent="0.5">
      <c r="E873" s="9"/>
    </row>
    <row r="874" spans="5:5" ht="15.75" customHeight="1" x14ac:dyDescent="0.5">
      <c r="E874" s="9"/>
    </row>
    <row r="875" spans="5:5" ht="15.75" customHeight="1" x14ac:dyDescent="0.5">
      <c r="E875" s="9"/>
    </row>
    <row r="876" spans="5:5" ht="15.75" customHeight="1" x14ac:dyDescent="0.5">
      <c r="E876" s="9"/>
    </row>
    <row r="877" spans="5:5" ht="15.75" customHeight="1" x14ac:dyDescent="0.5">
      <c r="E877" s="9"/>
    </row>
    <row r="878" spans="5:5" ht="15.75" customHeight="1" x14ac:dyDescent="0.5">
      <c r="E878" s="9"/>
    </row>
    <row r="879" spans="5:5" ht="15.75" customHeight="1" x14ac:dyDescent="0.5">
      <c r="E879" s="9"/>
    </row>
    <row r="880" spans="5:5" ht="15.75" customHeight="1" x14ac:dyDescent="0.5">
      <c r="E880" s="9"/>
    </row>
    <row r="881" spans="5:5" ht="15.75" customHeight="1" x14ac:dyDescent="0.5">
      <c r="E881" s="9"/>
    </row>
    <row r="882" spans="5:5" ht="15.75" customHeight="1" x14ac:dyDescent="0.5">
      <c r="E882" s="9"/>
    </row>
    <row r="883" spans="5:5" ht="15.75" customHeight="1" x14ac:dyDescent="0.5">
      <c r="E883" s="9"/>
    </row>
    <row r="884" spans="5:5" ht="15.75" customHeight="1" x14ac:dyDescent="0.5">
      <c r="E884" s="9"/>
    </row>
    <row r="885" spans="5:5" ht="15.75" customHeight="1" x14ac:dyDescent="0.5">
      <c r="E885" s="9"/>
    </row>
    <row r="886" spans="5:5" ht="15.75" customHeight="1" x14ac:dyDescent="0.5">
      <c r="E886" s="9"/>
    </row>
    <row r="887" spans="5:5" ht="15.75" customHeight="1" x14ac:dyDescent="0.5">
      <c r="E887" s="9"/>
    </row>
    <row r="888" spans="5:5" ht="15.75" customHeight="1" x14ac:dyDescent="0.5">
      <c r="E888" s="9"/>
    </row>
    <row r="889" spans="5:5" ht="15.75" customHeight="1" x14ac:dyDescent="0.5">
      <c r="E889" s="9"/>
    </row>
    <row r="890" spans="5:5" ht="15.75" customHeight="1" x14ac:dyDescent="0.5">
      <c r="E890" s="9"/>
    </row>
    <row r="891" spans="5:5" ht="15.75" customHeight="1" x14ac:dyDescent="0.5">
      <c r="E891" s="9"/>
    </row>
    <row r="892" spans="5:5" ht="15.75" customHeight="1" x14ac:dyDescent="0.5">
      <c r="E892" s="9"/>
    </row>
    <row r="893" spans="5:5" ht="15.75" customHeight="1" x14ac:dyDescent="0.5">
      <c r="E893" s="9"/>
    </row>
    <row r="894" spans="5:5" ht="15.75" customHeight="1" x14ac:dyDescent="0.5">
      <c r="E894" s="9"/>
    </row>
    <row r="895" spans="5:5" ht="15.75" customHeight="1" x14ac:dyDescent="0.5">
      <c r="E895" s="9"/>
    </row>
    <row r="896" spans="5:5" ht="15.75" customHeight="1" x14ac:dyDescent="0.5">
      <c r="E896" s="9"/>
    </row>
    <row r="897" spans="5:5" ht="15.75" customHeight="1" x14ac:dyDescent="0.5">
      <c r="E897" s="9"/>
    </row>
    <row r="898" spans="5:5" ht="15.75" customHeight="1" x14ac:dyDescent="0.5">
      <c r="E898" s="9"/>
    </row>
    <row r="899" spans="5:5" ht="15.75" customHeight="1" x14ac:dyDescent="0.5">
      <c r="E899" s="9"/>
    </row>
    <row r="900" spans="5:5" ht="15.75" customHeight="1" x14ac:dyDescent="0.5">
      <c r="E900" s="9"/>
    </row>
    <row r="901" spans="5:5" ht="15.75" customHeight="1" x14ac:dyDescent="0.5">
      <c r="E901" s="9"/>
    </row>
    <row r="902" spans="5:5" ht="15.75" customHeight="1" x14ac:dyDescent="0.5">
      <c r="E902" s="9"/>
    </row>
    <row r="903" spans="5:5" ht="15.75" customHeight="1" x14ac:dyDescent="0.5">
      <c r="E903" s="9"/>
    </row>
    <row r="904" spans="5:5" ht="15.75" customHeight="1" x14ac:dyDescent="0.5">
      <c r="E904" s="9"/>
    </row>
    <row r="905" spans="5:5" ht="15.75" customHeight="1" x14ac:dyDescent="0.5">
      <c r="E905" s="9"/>
    </row>
    <row r="906" spans="5:5" ht="15.75" customHeight="1" x14ac:dyDescent="0.5">
      <c r="E906" s="9"/>
    </row>
    <row r="907" spans="5:5" ht="15.75" customHeight="1" x14ac:dyDescent="0.5">
      <c r="E907" s="9"/>
    </row>
    <row r="908" spans="5:5" ht="15.75" customHeight="1" x14ac:dyDescent="0.5">
      <c r="E908" s="9"/>
    </row>
    <row r="909" spans="5:5" ht="15.75" customHeight="1" x14ac:dyDescent="0.5">
      <c r="E909" s="9"/>
    </row>
    <row r="910" spans="5:5" ht="15.75" customHeight="1" x14ac:dyDescent="0.5">
      <c r="E910" s="9"/>
    </row>
    <row r="911" spans="5:5" ht="15.75" customHeight="1" x14ac:dyDescent="0.5">
      <c r="E911" s="9"/>
    </row>
    <row r="912" spans="5:5" ht="15.75" customHeight="1" x14ac:dyDescent="0.5">
      <c r="E912" s="9"/>
    </row>
    <row r="913" spans="5:5" ht="15.75" customHeight="1" x14ac:dyDescent="0.5">
      <c r="E913" s="9"/>
    </row>
    <row r="914" spans="5:5" ht="15.75" customHeight="1" x14ac:dyDescent="0.5">
      <c r="E914" s="9"/>
    </row>
    <row r="915" spans="5:5" ht="15.75" customHeight="1" x14ac:dyDescent="0.5">
      <c r="E915" s="9"/>
    </row>
    <row r="916" spans="5:5" ht="15.75" customHeight="1" x14ac:dyDescent="0.5">
      <c r="E916" s="9"/>
    </row>
    <row r="917" spans="5:5" ht="15.75" customHeight="1" x14ac:dyDescent="0.5">
      <c r="E917" s="9"/>
    </row>
    <row r="918" spans="5:5" ht="15.75" customHeight="1" x14ac:dyDescent="0.5">
      <c r="E918" s="9"/>
    </row>
    <row r="919" spans="5:5" ht="15.75" customHeight="1" x14ac:dyDescent="0.5">
      <c r="E919" s="9"/>
    </row>
    <row r="920" spans="5:5" ht="15.75" customHeight="1" x14ac:dyDescent="0.5">
      <c r="E920" s="9"/>
    </row>
    <row r="921" spans="5:5" ht="15.75" customHeight="1" x14ac:dyDescent="0.5">
      <c r="E921" s="9"/>
    </row>
    <row r="922" spans="5:5" ht="15.75" customHeight="1" x14ac:dyDescent="0.5">
      <c r="E922" s="9"/>
    </row>
    <row r="923" spans="5:5" ht="15.75" customHeight="1" x14ac:dyDescent="0.5">
      <c r="E923" s="9"/>
    </row>
    <row r="924" spans="5:5" ht="15.75" customHeight="1" x14ac:dyDescent="0.5">
      <c r="E924" s="9"/>
    </row>
    <row r="925" spans="5:5" ht="15.75" customHeight="1" x14ac:dyDescent="0.5">
      <c r="E925" s="9"/>
    </row>
    <row r="926" spans="5:5" ht="15.75" customHeight="1" x14ac:dyDescent="0.5">
      <c r="E926" s="9"/>
    </row>
    <row r="927" spans="5:5" ht="15.75" customHeight="1" x14ac:dyDescent="0.5">
      <c r="E927" s="9"/>
    </row>
    <row r="928" spans="5:5" ht="15.75" customHeight="1" x14ac:dyDescent="0.5">
      <c r="E928" s="9"/>
    </row>
    <row r="929" spans="5:5" ht="15.75" customHeight="1" x14ac:dyDescent="0.5">
      <c r="E929" s="9"/>
    </row>
    <row r="930" spans="5:5" ht="15.75" customHeight="1" x14ac:dyDescent="0.5">
      <c r="E930" s="9"/>
    </row>
    <row r="931" spans="5:5" ht="15.75" customHeight="1" x14ac:dyDescent="0.5">
      <c r="E931" s="9"/>
    </row>
    <row r="932" spans="5:5" ht="15.75" customHeight="1" x14ac:dyDescent="0.5">
      <c r="E932" s="9"/>
    </row>
    <row r="933" spans="5:5" ht="15.75" customHeight="1" x14ac:dyDescent="0.5">
      <c r="E933" s="9"/>
    </row>
    <row r="934" spans="5:5" ht="15.75" customHeight="1" x14ac:dyDescent="0.5">
      <c r="E934" s="9"/>
    </row>
    <row r="935" spans="5:5" ht="15.75" customHeight="1" x14ac:dyDescent="0.5">
      <c r="E935" s="9"/>
    </row>
    <row r="936" spans="5:5" ht="15.75" customHeight="1" x14ac:dyDescent="0.5">
      <c r="E936" s="9"/>
    </row>
    <row r="937" spans="5:5" ht="15.75" customHeight="1" x14ac:dyDescent="0.5">
      <c r="E937" s="9"/>
    </row>
    <row r="938" spans="5:5" ht="15.75" customHeight="1" x14ac:dyDescent="0.5">
      <c r="E938" s="9"/>
    </row>
    <row r="939" spans="5:5" ht="15.75" customHeight="1" x14ac:dyDescent="0.5">
      <c r="E939" s="9"/>
    </row>
    <row r="940" spans="5:5" ht="15.75" customHeight="1" x14ac:dyDescent="0.5">
      <c r="E940" s="9"/>
    </row>
    <row r="941" spans="5:5" ht="15.75" customHeight="1" x14ac:dyDescent="0.5">
      <c r="E941" s="9"/>
    </row>
    <row r="942" spans="5:5" ht="15.75" customHeight="1" x14ac:dyDescent="0.5">
      <c r="E942" s="9"/>
    </row>
    <row r="943" spans="5:5" ht="15.75" customHeight="1" x14ac:dyDescent="0.5">
      <c r="E943" s="9"/>
    </row>
    <row r="944" spans="5:5" ht="15.75" customHeight="1" x14ac:dyDescent="0.5">
      <c r="E944" s="9"/>
    </row>
    <row r="945" spans="5:5" ht="15.75" customHeight="1" x14ac:dyDescent="0.5">
      <c r="E945" s="9"/>
    </row>
    <row r="946" spans="5:5" ht="15.75" customHeight="1" x14ac:dyDescent="0.5">
      <c r="E946" s="9"/>
    </row>
    <row r="947" spans="5:5" ht="15.75" customHeight="1" x14ac:dyDescent="0.5">
      <c r="E947" s="9"/>
    </row>
    <row r="948" spans="5:5" ht="15.75" customHeight="1" x14ac:dyDescent="0.5">
      <c r="E948" s="9"/>
    </row>
    <row r="949" spans="5:5" ht="15.75" customHeight="1" x14ac:dyDescent="0.5">
      <c r="E949" s="9"/>
    </row>
    <row r="950" spans="5:5" ht="15.75" customHeight="1" x14ac:dyDescent="0.5">
      <c r="E950" s="9"/>
    </row>
    <row r="951" spans="5:5" ht="15.75" customHeight="1" x14ac:dyDescent="0.5">
      <c r="E951" s="9"/>
    </row>
    <row r="952" spans="5:5" ht="15.75" customHeight="1" x14ac:dyDescent="0.5">
      <c r="E952" s="9"/>
    </row>
    <row r="953" spans="5:5" ht="15.75" customHeight="1" x14ac:dyDescent="0.5">
      <c r="E953" s="9"/>
    </row>
    <row r="954" spans="5:5" ht="15.75" customHeight="1" x14ac:dyDescent="0.5">
      <c r="E954" s="9"/>
    </row>
    <row r="955" spans="5:5" ht="15.75" customHeight="1" x14ac:dyDescent="0.5">
      <c r="E955" s="9"/>
    </row>
    <row r="956" spans="5:5" ht="15.75" customHeight="1" x14ac:dyDescent="0.5">
      <c r="E956" s="9"/>
    </row>
    <row r="957" spans="5:5" ht="15.75" customHeight="1" x14ac:dyDescent="0.5">
      <c r="E957" s="9"/>
    </row>
    <row r="958" spans="5:5" ht="15.75" customHeight="1" x14ac:dyDescent="0.5">
      <c r="E958" s="9"/>
    </row>
    <row r="959" spans="5:5" ht="15.75" customHeight="1" x14ac:dyDescent="0.5">
      <c r="E959" s="9"/>
    </row>
    <row r="960" spans="5:5" ht="15.75" customHeight="1" x14ac:dyDescent="0.5">
      <c r="E960" s="9"/>
    </row>
    <row r="961" spans="5:5" ht="15.75" customHeight="1" x14ac:dyDescent="0.5">
      <c r="E961" s="9"/>
    </row>
    <row r="962" spans="5:5" ht="15.75" customHeight="1" x14ac:dyDescent="0.5">
      <c r="E962" s="9"/>
    </row>
    <row r="963" spans="5:5" ht="15.75" customHeight="1" x14ac:dyDescent="0.5">
      <c r="E963" s="9"/>
    </row>
    <row r="964" spans="5:5" ht="15.75" customHeight="1" x14ac:dyDescent="0.5">
      <c r="E964" s="9"/>
    </row>
    <row r="965" spans="5:5" ht="15.75" customHeight="1" x14ac:dyDescent="0.5">
      <c r="E965" s="9"/>
    </row>
    <row r="966" spans="5:5" ht="15.75" customHeight="1" x14ac:dyDescent="0.5">
      <c r="E966" s="9"/>
    </row>
    <row r="967" spans="5:5" ht="15.75" customHeight="1" x14ac:dyDescent="0.5">
      <c r="E967" s="9"/>
    </row>
    <row r="968" spans="5:5" ht="15.75" customHeight="1" x14ac:dyDescent="0.5">
      <c r="E968" s="9"/>
    </row>
    <row r="969" spans="5:5" ht="15.75" customHeight="1" x14ac:dyDescent="0.5">
      <c r="E969" s="9"/>
    </row>
    <row r="970" spans="5:5" ht="15.75" customHeight="1" x14ac:dyDescent="0.5">
      <c r="E970" s="9"/>
    </row>
    <row r="971" spans="5:5" ht="15.75" customHeight="1" x14ac:dyDescent="0.5">
      <c r="E971" s="9"/>
    </row>
    <row r="972" spans="5:5" ht="15.75" customHeight="1" x14ac:dyDescent="0.5">
      <c r="E972" s="9"/>
    </row>
    <row r="973" spans="5:5" ht="15.75" customHeight="1" x14ac:dyDescent="0.5">
      <c r="E973" s="9"/>
    </row>
    <row r="974" spans="5:5" ht="15.75" customHeight="1" x14ac:dyDescent="0.5">
      <c r="E974" s="9"/>
    </row>
    <row r="975" spans="5:5" ht="15.75" customHeight="1" x14ac:dyDescent="0.5">
      <c r="E975" s="9"/>
    </row>
    <row r="976" spans="5:5" ht="15.75" customHeight="1" x14ac:dyDescent="0.5">
      <c r="E976" s="9"/>
    </row>
    <row r="977" spans="5:5" ht="15.75" customHeight="1" x14ac:dyDescent="0.5">
      <c r="E977" s="9"/>
    </row>
    <row r="978" spans="5:5" ht="15.75" customHeight="1" x14ac:dyDescent="0.5">
      <c r="E978" s="9"/>
    </row>
    <row r="979" spans="5:5" ht="15.75" customHeight="1" x14ac:dyDescent="0.5">
      <c r="E979" s="9"/>
    </row>
    <row r="980" spans="5:5" ht="15.75" customHeight="1" x14ac:dyDescent="0.5">
      <c r="E980" s="9"/>
    </row>
    <row r="981" spans="5:5" ht="15.75" customHeight="1" x14ac:dyDescent="0.5">
      <c r="E981" s="9"/>
    </row>
    <row r="982" spans="5:5" ht="15.75" customHeight="1" x14ac:dyDescent="0.5">
      <c r="E982" s="9"/>
    </row>
    <row r="983" spans="5:5" ht="15.75" customHeight="1" x14ac:dyDescent="0.5">
      <c r="E983" s="9"/>
    </row>
    <row r="984" spans="5:5" ht="15.75" customHeight="1" x14ac:dyDescent="0.5">
      <c r="E984" s="9"/>
    </row>
    <row r="985" spans="5:5" ht="15.75" customHeight="1" x14ac:dyDescent="0.5">
      <c r="E985" s="9"/>
    </row>
    <row r="986" spans="5:5" ht="15.75" customHeight="1" x14ac:dyDescent="0.5">
      <c r="E986" s="9"/>
    </row>
    <row r="987" spans="5:5" ht="15.75" customHeight="1" x14ac:dyDescent="0.5">
      <c r="E987" s="9"/>
    </row>
    <row r="988" spans="5:5" ht="15.75" customHeight="1" x14ac:dyDescent="0.5">
      <c r="E988" s="9"/>
    </row>
    <row r="989" spans="5:5" ht="15.75" customHeight="1" x14ac:dyDescent="0.5">
      <c r="E989" s="9"/>
    </row>
    <row r="990" spans="5:5" ht="15.75" customHeight="1" x14ac:dyDescent="0.5">
      <c r="E990" s="9"/>
    </row>
    <row r="991" spans="5:5" ht="15.75" customHeight="1" x14ac:dyDescent="0.5">
      <c r="E991" s="9"/>
    </row>
    <row r="992" spans="5:5" ht="15.75" customHeight="1" x14ac:dyDescent="0.5">
      <c r="E992" s="9"/>
    </row>
    <row r="993" spans="5:5" ht="15.75" customHeight="1" x14ac:dyDescent="0.5">
      <c r="E993" s="9"/>
    </row>
    <row r="994" spans="5:5" ht="15.75" customHeight="1" x14ac:dyDescent="0.5">
      <c r="E994" s="9"/>
    </row>
    <row r="995" spans="5:5" ht="15.75" customHeight="1" x14ac:dyDescent="0.5">
      <c r="E995" s="9"/>
    </row>
    <row r="996" spans="5:5" ht="15.75" customHeight="1" x14ac:dyDescent="0.5">
      <c r="E996" s="9"/>
    </row>
    <row r="997" spans="5:5" ht="15.75" customHeight="1" x14ac:dyDescent="0.5">
      <c r="E997" s="9"/>
    </row>
    <row r="998" spans="5:5" ht="15.75" customHeight="1" x14ac:dyDescent="0.5">
      <c r="E998" s="9"/>
    </row>
    <row r="999" spans="5:5" ht="15.75" customHeight="1" x14ac:dyDescent="0.5">
      <c r="E999" s="9"/>
    </row>
    <row r="1000" spans="5:5" ht="15.75" customHeight="1" x14ac:dyDescent="0.5">
      <c r="E1000" s="9"/>
    </row>
    <row r="1001" spans="5:5" ht="15.75" customHeight="1" x14ac:dyDescent="0.5">
      <c r="E1001" s="9"/>
    </row>
  </sheetData>
  <mergeCells count="13">
    <mergeCell ref="A86:A89"/>
    <mergeCell ref="A90:A91"/>
    <mergeCell ref="A92:A93"/>
    <mergeCell ref="A94:A95"/>
    <mergeCell ref="A96:A97"/>
    <mergeCell ref="A82:A83"/>
    <mergeCell ref="A84:A85"/>
    <mergeCell ref="C1:D1"/>
    <mergeCell ref="B2:B5"/>
    <mergeCell ref="B25:B29"/>
    <mergeCell ref="A74:A75"/>
    <mergeCell ref="A76:A77"/>
    <mergeCell ref="A78:A79"/>
  </mergeCells>
  <hyperlinks>
    <hyperlink ref="S40" r:id="rId1" xr:uid="{637C359D-B4DA-4DA3-A0D9-35E46CC0FE4F}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A4F8-1B72-4822-BF2E-7FC84A03A90D}">
  <dimension ref="A1:M26"/>
  <sheetViews>
    <sheetView zoomScale="72" workbookViewId="0">
      <selection activeCell="F24" sqref="F24"/>
    </sheetView>
  </sheetViews>
  <sheetFormatPr defaultRowHeight="15.75" x14ac:dyDescent="0.5"/>
  <cols>
    <col min="2" max="2" width="12.6875" customWidth="1"/>
  </cols>
  <sheetData>
    <row r="1" spans="1:13" ht="31.5" x14ac:dyDescent="0.5">
      <c r="A1" s="68" t="s">
        <v>151</v>
      </c>
      <c r="B1" s="68" t="s">
        <v>152</v>
      </c>
      <c r="C1" s="68" t="s">
        <v>154</v>
      </c>
      <c r="D1" s="68" t="s">
        <v>153</v>
      </c>
      <c r="E1" s="68" t="s">
        <v>155</v>
      </c>
      <c r="M1" s="68" t="s">
        <v>154</v>
      </c>
    </row>
    <row r="2" spans="1:13" x14ac:dyDescent="0.5">
      <c r="A2" s="70">
        <v>2014</v>
      </c>
      <c r="B2" s="70">
        <v>2.89</v>
      </c>
      <c r="C2" s="69"/>
      <c r="D2" s="70">
        <v>2.1147499999999999</v>
      </c>
      <c r="E2" s="69"/>
      <c r="M2" s="69"/>
    </row>
    <row r="3" spans="1:13" x14ac:dyDescent="0.5">
      <c r="A3" s="70">
        <v>2014</v>
      </c>
      <c r="B3" s="69"/>
      <c r="C3" s="69"/>
      <c r="D3" s="70">
        <v>2.3629600000000002</v>
      </c>
      <c r="E3" s="69"/>
      <c r="M3" s="69"/>
    </row>
    <row r="4" spans="1:13" x14ac:dyDescent="0.5">
      <c r="A4" s="70">
        <v>2015</v>
      </c>
      <c r="B4" s="69"/>
      <c r="C4" s="70">
        <v>0.64827999999999997</v>
      </c>
      <c r="D4" s="69"/>
      <c r="E4" s="70">
        <v>0.32357000000000002</v>
      </c>
      <c r="M4" s="70">
        <v>0.64827999999999997</v>
      </c>
    </row>
    <row r="5" spans="1:13" x14ac:dyDescent="0.5">
      <c r="A5" s="70">
        <v>2015</v>
      </c>
      <c r="B5" s="69"/>
      <c r="C5" s="70"/>
      <c r="D5" s="69"/>
      <c r="E5" s="70">
        <v>0.43857000000000002</v>
      </c>
      <c r="M5" s="70">
        <v>0.61714000000000002</v>
      </c>
    </row>
    <row r="6" spans="1:13" x14ac:dyDescent="0.5">
      <c r="A6" s="70">
        <v>2016</v>
      </c>
      <c r="B6" s="70">
        <v>1.1599999999999999</v>
      </c>
      <c r="C6" s="70"/>
      <c r="D6" s="70">
        <v>1.06792</v>
      </c>
      <c r="E6" s="69"/>
      <c r="M6" s="70">
        <v>0.92357</v>
      </c>
    </row>
    <row r="7" spans="1:13" x14ac:dyDescent="0.5">
      <c r="A7" s="70">
        <v>2016</v>
      </c>
      <c r="B7" s="69"/>
      <c r="C7" s="70">
        <v>1.1712400000000001</v>
      </c>
      <c r="D7" s="70">
        <v>1.5135099999999999</v>
      </c>
      <c r="E7" s="69"/>
      <c r="M7" s="70">
        <v>1.1712400000000001</v>
      </c>
    </row>
    <row r="8" spans="1:13" x14ac:dyDescent="0.5">
      <c r="A8" s="70">
        <v>2017</v>
      </c>
      <c r="B8" s="70">
        <v>1.7</v>
      </c>
      <c r="C8" s="70"/>
      <c r="D8" s="70">
        <v>0.80112000000000005</v>
      </c>
      <c r="E8" s="70">
        <v>0.33750000000000002</v>
      </c>
      <c r="M8" s="70">
        <v>0.26471</v>
      </c>
    </row>
    <row r="9" spans="1:13" x14ac:dyDescent="0.5">
      <c r="A9" s="70">
        <v>2017</v>
      </c>
      <c r="B9" s="69"/>
      <c r="C9" s="70">
        <v>0.55147000000000002</v>
      </c>
      <c r="D9" s="70">
        <v>1.0672699999999999</v>
      </c>
      <c r="E9" s="70">
        <v>0.45600000000000002</v>
      </c>
      <c r="M9" s="70">
        <v>0.55147000000000002</v>
      </c>
    </row>
    <row r="10" spans="1:13" x14ac:dyDescent="0.5">
      <c r="A10" s="70">
        <v>2018</v>
      </c>
      <c r="B10" s="70">
        <v>2.19</v>
      </c>
      <c r="C10" s="70">
        <v>0.64770000000000005</v>
      </c>
      <c r="D10" s="70">
        <v>0.10256</v>
      </c>
      <c r="E10" s="70">
        <v>9.8500000000000004E-2</v>
      </c>
      <c r="M10" s="70">
        <v>0.64770000000000005</v>
      </c>
    </row>
    <row r="11" spans="1:13" x14ac:dyDescent="0.5">
      <c r="A11" s="70">
        <v>2018</v>
      </c>
      <c r="B11" s="69"/>
      <c r="C11" s="70"/>
      <c r="D11" s="69"/>
      <c r="E11" s="70">
        <v>0.1736</v>
      </c>
      <c r="M11" s="70">
        <v>0.56000000000000005</v>
      </c>
    </row>
    <row r="12" spans="1:13" x14ac:dyDescent="0.5">
      <c r="A12" s="70">
        <v>2019</v>
      </c>
      <c r="B12" s="70">
        <v>3.88</v>
      </c>
      <c r="C12" s="70">
        <v>0.90046999999999999</v>
      </c>
      <c r="D12" s="69"/>
      <c r="E12" s="70">
        <v>0.22356000000000001</v>
      </c>
      <c r="M12" s="70">
        <v>0.90046999999999999</v>
      </c>
    </row>
    <row r="13" spans="1:13" x14ac:dyDescent="0.5">
      <c r="A13" s="70">
        <v>2019</v>
      </c>
      <c r="B13" s="70">
        <v>4.08</v>
      </c>
      <c r="C13" s="69"/>
      <c r="D13" s="69"/>
      <c r="E13" s="69"/>
      <c r="M13" s="69"/>
    </row>
    <row r="14" spans="1:13" x14ac:dyDescent="0.5">
      <c r="A14" s="70">
        <v>2020</v>
      </c>
      <c r="B14" s="70">
        <v>2.2000000000000002</v>
      </c>
      <c r="C14" s="70"/>
      <c r="D14" s="70">
        <v>0.9738</v>
      </c>
      <c r="E14" s="69"/>
      <c r="M14" s="70">
        <v>1.2857099999999999</v>
      </c>
    </row>
    <row r="15" spans="1:13" x14ac:dyDescent="0.5">
      <c r="A15" s="70">
        <v>2020</v>
      </c>
      <c r="B15" s="70">
        <v>5.5</v>
      </c>
      <c r="C15" s="70">
        <v>1.7894699999999999</v>
      </c>
      <c r="D15" s="70">
        <v>0.59136999999999995</v>
      </c>
      <c r="E15" s="69"/>
      <c r="M15" s="70">
        <v>1.7894699999999999</v>
      </c>
    </row>
    <row r="16" spans="1:13" x14ac:dyDescent="0.5">
      <c r="A16" s="70">
        <v>2021</v>
      </c>
      <c r="B16" s="70">
        <v>2.94</v>
      </c>
      <c r="C16" s="70">
        <v>0.21604000000000001</v>
      </c>
      <c r="D16" s="69"/>
      <c r="E16" s="70">
        <v>7.571E-2</v>
      </c>
      <c r="M16" s="70">
        <v>0.21604000000000001</v>
      </c>
    </row>
    <row r="17" spans="1:13" x14ac:dyDescent="0.5">
      <c r="A17" s="70">
        <v>2021</v>
      </c>
      <c r="B17" s="70">
        <v>3.1</v>
      </c>
      <c r="C17" s="70"/>
      <c r="D17" s="69"/>
      <c r="E17" s="70">
        <v>9.4289999999999999E-2</v>
      </c>
      <c r="M17" s="70">
        <v>0.19428999999999999</v>
      </c>
    </row>
    <row r="18" spans="1:13" x14ac:dyDescent="0.5">
      <c r="A18" s="70">
        <v>2022</v>
      </c>
      <c r="B18" s="70">
        <v>4.5</v>
      </c>
      <c r="C18" s="70"/>
      <c r="D18" s="70">
        <v>1.65347</v>
      </c>
      <c r="E18" s="69"/>
      <c r="M18" s="70">
        <v>0.5655</v>
      </c>
    </row>
    <row r="19" spans="1:13" x14ac:dyDescent="0.5">
      <c r="A19" s="70">
        <v>2022</v>
      </c>
      <c r="B19" s="70">
        <v>5.5</v>
      </c>
      <c r="C19" s="70">
        <v>0.62563999999999997</v>
      </c>
      <c r="D19" s="70">
        <v>1.2</v>
      </c>
      <c r="E19" s="69"/>
      <c r="M19" s="70">
        <v>0.62563999999999997</v>
      </c>
    </row>
    <row r="20" spans="1:13" x14ac:dyDescent="0.5">
      <c r="A20" s="70">
        <v>2023</v>
      </c>
      <c r="B20" s="70">
        <v>5.54</v>
      </c>
      <c r="C20" s="70"/>
      <c r="D20" s="69"/>
      <c r="E20" s="69"/>
      <c r="M20" s="70">
        <v>0.61024999999999996</v>
      </c>
    </row>
    <row r="21" spans="1:13" x14ac:dyDescent="0.5">
      <c r="A21" s="70">
        <v>2023</v>
      </c>
      <c r="B21" s="70">
        <v>4.7937500000000002</v>
      </c>
      <c r="C21" s="70">
        <v>0.67042999999999997</v>
      </c>
      <c r="D21" s="69"/>
      <c r="E21" s="69"/>
      <c r="M21" s="70">
        <v>0.67042999999999997</v>
      </c>
    </row>
    <row r="22" spans="1:13" x14ac:dyDescent="0.5">
      <c r="A22" s="70">
        <v>2024</v>
      </c>
      <c r="B22" s="70">
        <v>5.8</v>
      </c>
      <c r="C22" s="70"/>
      <c r="D22" s="69"/>
      <c r="E22" s="69"/>
      <c r="M22" s="70">
        <v>1.85185</v>
      </c>
    </row>
    <row r="23" spans="1:13" x14ac:dyDescent="0.5">
      <c r="A23" s="70">
        <v>2024</v>
      </c>
      <c r="B23" s="70">
        <v>4.5</v>
      </c>
      <c r="C23" s="70">
        <v>1.8631599999999999</v>
      </c>
      <c r="D23" s="69"/>
      <c r="E23" s="69"/>
      <c r="F23" t="s">
        <v>156</v>
      </c>
      <c r="G23" t="s">
        <v>157</v>
      </c>
      <c r="H23" t="s">
        <v>162</v>
      </c>
      <c r="I23" t="s">
        <v>163</v>
      </c>
      <c r="J23" t="s">
        <v>164</v>
      </c>
      <c r="M23" s="70">
        <v>1.8631599999999999</v>
      </c>
    </row>
    <row r="24" spans="1:13" x14ac:dyDescent="0.5">
      <c r="A24" s="70">
        <v>2024</v>
      </c>
      <c r="C24" s="72"/>
      <c r="F24" s="17" t="s">
        <v>158</v>
      </c>
      <c r="G24" t="s">
        <v>159</v>
      </c>
      <c r="H24" s="71">
        <v>0.36</v>
      </c>
      <c r="I24" s="71">
        <f>H24/J24</f>
        <v>0.36</v>
      </c>
      <c r="J24" s="71">
        <v>1</v>
      </c>
      <c r="M24" s="72"/>
    </row>
    <row r="25" spans="1:13" x14ac:dyDescent="0.5">
      <c r="A25" s="70">
        <v>2024</v>
      </c>
      <c r="C25" s="72"/>
      <c r="F25" s="17" t="s">
        <v>160</v>
      </c>
      <c r="H25" s="71">
        <v>1.4</v>
      </c>
      <c r="I25" s="71">
        <f>H25/J25</f>
        <v>0.72538860103626945</v>
      </c>
      <c r="J25" s="71">
        <v>1.93</v>
      </c>
      <c r="M25" s="72"/>
    </row>
    <row r="26" spans="1:13" x14ac:dyDescent="0.5">
      <c r="A26" s="70">
        <v>2025</v>
      </c>
      <c r="C26" s="72">
        <f>+I26</f>
        <v>2.8894736842105266</v>
      </c>
      <c r="F26" t="s">
        <v>161</v>
      </c>
      <c r="H26" s="71">
        <v>5.49</v>
      </c>
      <c r="I26" s="71">
        <f>H26/J26</f>
        <v>2.8894736842105266</v>
      </c>
      <c r="J26" s="71">
        <v>1.9</v>
      </c>
      <c r="M26" s="72">
        <f>+S26</f>
        <v>0</v>
      </c>
    </row>
  </sheetData>
  <hyperlinks>
    <hyperlink ref="F24" r:id="rId1" xr:uid="{075BE933-918B-4259-9AD6-B35713904329}"/>
    <hyperlink ref="F25" r:id="rId2" xr:uid="{A6B0BA5D-3AE4-418E-A7DD-890D8181C7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Radar</vt:lpstr>
      <vt:lpstr>Fibers With Error</vt:lpstr>
      <vt:lpstr>FibersStrengthYr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Wilkes</dc:creator>
  <cp:lastModifiedBy>Adam Meyer Boies</cp:lastModifiedBy>
  <dcterms:created xsi:type="dcterms:W3CDTF">2025-01-28T12:57:30Z</dcterms:created>
  <dcterms:modified xsi:type="dcterms:W3CDTF">2026-05-18T17:02:38Z</dcterms:modified>
</cp:coreProperties>
</file>